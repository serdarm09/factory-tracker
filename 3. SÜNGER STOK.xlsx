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dulkerim.gursoy\Desktop\DEPO STOK\"/>
    </mc:Choice>
  </mc:AlternateContent>
  <xr:revisionPtr revIDLastSave="0" documentId="13_ncr:1_{C70C2820-88D5-4F7D-8B8C-87434D8CC9C5}" xr6:coauthVersionLast="47" xr6:coauthVersionMax="47" xr10:uidLastSave="{00000000-0000-0000-0000-000000000000}"/>
  <bookViews>
    <workbookView xWindow="-120" yWindow="-120" windowWidth="24240" windowHeight="13020" firstSheet="51" activeTab="56" xr2:uid="{00000000-000D-0000-FFFF-FFFF00000000}"/>
  </bookViews>
  <sheets>
    <sheet name="KASIM 5 HAFTA   (2)" sheetId="23" r:id="rId1"/>
    <sheet name="KASIM 3 HAFTA  (2)" sheetId="20" r:id="rId2"/>
    <sheet name="AĞUSTOS 5. HAFTA" sheetId="1" r:id="rId3"/>
    <sheet name="EYLÜL 1. HAFTA" sheetId="4" r:id="rId4"/>
    <sheet name="EYLÜL 2. HAFTA " sheetId="5" r:id="rId5"/>
    <sheet name="EYLÜL 3. HAFTA" sheetId="6" r:id="rId6"/>
    <sheet name="EYLÜL 4. HAFTA" sheetId="7" r:id="rId7"/>
    <sheet name="EKİM 1 HAFTA" sheetId="8" r:id="rId8"/>
    <sheet name="EKİM 2 HAFTA " sheetId="11" r:id="rId9"/>
    <sheet name="EKİM 3 HAFTA " sheetId="12" r:id="rId10"/>
    <sheet name="EKİM 4 HAFTA " sheetId="13" r:id="rId11"/>
    <sheet name="KASIM 1 HAFTA" sheetId="16" r:id="rId12"/>
    <sheet name="KASIM 2 HAFTA " sheetId="17" r:id="rId13"/>
    <sheet name="KASIM 3 HAFTA " sheetId="19" r:id="rId14"/>
    <sheet name="KASIM 4 HAFTA  " sheetId="21" r:id="rId15"/>
    <sheet name="KASIM 5 HAFTA  " sheetId="22" r:id="rId16"/>
    <sheet name="ARALIK 1 HAFTA" sheetId="24" r:id="rId17"/>
    <sheet name="ARALIK 2 HAFTA" sheetId="25" r:id="rId18"/>
    <sheet name="ARALIK 3 HAFTA " sheetId="26" r:id="rId19"/>
    <sheet name="ARALIK 4 HAFTA " sheetId="27" r:id="rId20"/>
    <sheet name="OCAK 1.HAFTA" sheetId="28" r:id="rId21"/>
    <sheet name="OCAK 2.HAFTA " sheetId="29" r:id="rId22"/>
    <sheet name="OCAK 3.HAFTA " sheetId="30" r:id="rId23"/>
    <sheet name="OCAK 4.HAFTA" sheetId="31" r:id="rId24"/>
    <sheet name="OCAK 5.ŞUBAT 1HAFTA " sheetId="32" r:id="rId25"/>
    <sheet name="HAZ-TEM 2023" sheetId="33" r:id="rId26"/>
    <sheet name="TEMMUZ 2023" sheetId="34" r:id="rId27"/>
    <sheet name="AĞUSTOS 2023" sheetId="35" r:id="rId28"/>
    <sheet name="EYLÜL 2023" sheetId="36" r:id="rId29"/>
    <sheet name="EKİM 2023" sheetId="37" r:id="rId30"/>
    <sheet name="KASIM 2023" sheetId="38" r:id="rId31"/>
    <sheet name="ARALIK2023" sheetId="39" r:id="rId32"/>
    <sheet name="OCAK 2024" sheetId="40" r:id="rId33"/>
    <sheet name="ŞUBAT 2024" sheetId="41" r:id="rId34"/>
    <sheet name="MART 2024" sheetId="42" r:id="rId35"/>
    <sheet name="NİSAN 2024" sheetId="43" r:id="rId36"/>
    <sheet name="MAYIS 2024" sheetId="44" r:id="rId37"/>
    <sheet name="HAZİRAN 2024" sheetId="45" r:id="rId38"/>
    <sheet name="TEMMUZ 2024" sheetId="46" r:id="rId39"/>
    <sheet name="AĞUSTOS 2024" sheetId="47" r:id="rId40"/>
    <sheet name="EYLÜL 2024" sheetId="48" r:id="rId41"/>
    <sheet name="EKİM 2024" sheetId="49" r:id="rId42"/>
    <sheet name="KASIM 2024" sheetId="50" r:id="rId43"/>
    <sheet name="OCAK 2025" sheetId="51" r:id="rId44"/>
    <sheet name="ŞUBAT 2025" sheetId="52" r:id="rId45"/>
    <sheet name="MART 2025" sheetId="53" r:id="rId46"/>
    <sheet name="NİSAN 2025" sheetId="54" r:id="rId47"/>
    <sheet name="MAYIS 2025" sheetId="55" r:id="rId48"/>
    <sheet name="HAZİRAN 2025" sheetId="56" r:id="rId49"/>
    <sheet name="TEMMUZ 2025" sheetId="57" r:id="rId50"/>
    <sheet name="AĞUSTOS 2025" sheetId="58" r:id="rId51"/>
    <sheet name="EYLÜL 2025" sheetId="59" r:id="rId52"/>
    <sheet name="EKİM 2025" sheetId="60" r:id="rId53"/>
    <sheet name="KASIM 2025" sheetId="61" r:id="rId54"/>
    <sheet name="ARALIK 2025" sheetId="62" r:id="rId55"/>
    <sheet name="OCAK 2026" sheetId="63" r:id="rId56"/>
    <sheet name="ŞUBAT 2026" sheetId="64" r:id="rId57"/>
  </sheets>
  <definedNames>
    <definedName name="_xlnm.Print_Area" localSheetId="2">'AĞUSTOS 5. HAFTA'!$A$1:$AA$64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1" i="64" l="1"/>
  <c r="S73" i="64"/>
  <c r="W73" i="64" s="1"/>
  <c r="S72" i="64"/>
  <c r="W72" i="64" s="1"/>
  <c r="S71" i="64"/>
  <c r="V70" i="64"/>
  <c r="S70" i="64"/>
  <c r="W70" i="64" s="1"/>
  <c r="X70" i="64" s="1"/>
  <c r="N70" i="64"/>
  <c r="S69" i="64"/>
  <c r="W69" i="64" s="1"/>
  <c r="F69" i="64"/>
  <c r="R69" i="64" s="1"/>
  <c r="S68" i="64"/>
  <c r="W68" i="64" s="1"/>
  <c r="X68" i="64" s="1"/>
  <c r="J68" i="64"/>
  <c r="H68" i="64"/>
  <c r="F68" i="64"/>
  <c r="T68" i="64" s="1"/>
  <c r="S67" i="64"/>
  <c r="W67" i="64" s="1"/>
  <c r="X67" i="64" s="1"/>
  <c r="H67" i="64"/>
  <c r="F67" i="64"/>
  <c r="N67" i="64" s="1"/>
  <c r="V66" i="64"/>
  <c r="S66" i="64"/>
  <c r="W66" i="64" s="1"/>
  <c r="N66" i="64"/>
  <c r="J66" i="64"/>
  <c r="H66" i="64"/>
  <c r="F66" i="64"/>
  <c r="X66" i="64" s="1"/>
  <c r="V65" i="64"/>
  <c r="S65" i="64"/>
  <c r="W65" i="64" s="1"/>
  <c r="X65" i="64" s="1"/>
  <c r="R65" i="64"/>
  <c r="P65" i="64"/>
  <c r="L65" i="64"/>
  <c r="J65" i="64"/>
  <c r="H65" i="64"/>
  <c r="F65" i="64"/>
  <c r="S64" i="64"/>
  <c r="W64" i="64" s="1"/>
  <c r="X64" i="64" s="1"/>
  <c r="R64" i="64"/>
  <c r="L64" i="64"/>
  <c r="J64" i="64"/>
  <c r="H64" i="64"/>
  <c r="F64" i="64"/>
  <c r="V64" i="64" s="1"/>
  <c r="S63" i="64"/>
  <c r="W63" i="64" s="1"/>
  <c r="X63" i="64" s="1"/>
  <c r="R63" i="64"/>
  <c r="L63" i="64"/>
  <c r="J63" i="64"/>
  <c r="H63" i="64"/>
  <c r="F63" i="64"/>
  <c r="V63" i="64" s="1"/>
  <c r="S62" i="64"/>
  <c r="W62" i="64" s="1"/>
  <c r="X62" i="64" s="1"/>
  <c r="R62" i="64"/>
  <c r="L62" i="64"/>
  <c r="J62" i="64"/>
  <c r="F62" i="64"/>
  <c r="V62" i="64" s="1"/>
  <c r="S61" i="64"/>
  <c r="W61" i="64" s="1"/>
  <c r="X61" i="64" s="1"/>
  <c r="L61" i="64"/>
  <c r="J61" i="64"/>
  <c r="F61" i="64"/>
  <c r="R61" i="64" s="1"/>
  <c r="S60" i="64"/>
  <c r="W60" i="64" s="1"/>
  <c r="X60" i="64" s="1"/>
  <c r="L60" i="64"/>
  <c r="F60" i="64"/>
  <c r="R60" i="64" s="1"/>
  <c r="S59" i="64"/>
  <c r="W59" i="64" s="1"/>
  <c r="X59" i="64" s="1"/>
  <c r="L59" i="64"/>
  <c r="F59" i="64"/>
  <c r="R59" i="64" s="1"/>
  <c r="S58" i="64"/>
  <c r="W58" i="64" s="1"/>
  <c r="X58" i="64" s="1"/>
  <c r="L58" i="64"/>
  <c r="F58" i="64"/>
  <c r="R58" i="64" s="1"/>
  <c r="S57" i="64"/>
  <c r="W57" i="64" s="1"/>
  <c r="X57" i="64" s="1"/>
  <c r="L57" i="64"/>
  <c r="F57" i="64"/>
  <c r="R57" i="64" s="1"/>
  <c r="S56" i="64"/>
  <c r="W56" i="64" s="1"/>
  <c r="X56" i="64" s="1"/>
  <c r="L56" i="64"/>
  <c r="F56" i="64"/>
  <c r="R56" i="64" s="1"/>
  <c r="S55" i="64"/>
  <c r="W55" i="64" s="1"/>
  <c r="X55" i="64" s="1"/>
  <c r="L55" i="64"/>
  <c r="F55" i="64"/>
  <c r="R55" i="64" s="1"/>
  <c r="S54" i="64"/>
  <c r="W54" i="64" s="1"/>
  <c r="X54" i="64" s="1"/>
  <c r="L54" i="64"/>
  <c r="F54" i="64"/>
  <c r="R54" i="64" s="1"/>
  <c r="S53" i="64"/>
  <c r="W53" i="64" s="1"/>
  <c r="X53" i="64" s="1"/>
  <c r="L53" i="64"/>
  <c r="F53" i="64"/>
  <c r="R53" i="64" s="1"/>
  <c r="S52" i="64"/>
  <c r="W52" i="64" s="1"/>
  <c r="X52" i="64" s="1"/>
  <c r="L52" i="64"/>
  <c r="F52" i="64"/>
  <c r="R52" i="64" s="1"/>
  <c r="S51" i="64"/>
  <c r="W51" i="64" s="1"/>
  <c r="X51" i="64" s="1"/>
  <c r="L51" i="64"/>
  <c r="F51" i="64"/>
  <c r="R51" i="64" s="1"/>
  <c r="S50" i="64"/>
  <c r="W50" i="64" s="1"/>
  <c r="X50" i="64" s="1"/>
  <c r="L50" i="64"/>
  <c r="F50" i="64"/>
  <c r="R50" i="64" s="1"/>
  <c r="S49" i="64"/>
  <c r="W49" i="64" s="1"/>
  <c r="X49" i="64" s="1"/>
  <c r="L49" i="64"/>
  <c r="F49" i="64"/>
  <c r="R49" i="64" s="1"/>
  <c r="S48" i="64"/>
  <c r="W48" i="64" s="1"/>
  <c r="X48" i="64" s="1"/>
  <c r="L48" i="64"/>
  <c r="F48" i="64"/>
  <c r="R48" i="64" s="1"/>
  <c r="S47" i="64"/>
  <c r="W47" i="64" s="1"/>
  <c r="X47" i="64" s="1"/>
  <c r="L47" i="64"/>
  <c r="F47" i="64"/>
  <c r="R47" i="64" s="1"/>
  <c r="S46" i="64"/>
  <c r="W46" i="64" s="1"/>
  <c r="X46" i="64" s="1"/>
  <c r="L46" i="64"/>
  <c r="F46" i="64"/>
  <c r="R46" i="64" s="1"/>
  <c r="S45" i="64"/>
  <c r="W45" i="64" s="1"/>
  <c r="X45" i="64" s="1"/>
  <c r="L45" i="64"/>
  <c r="F45" i="64"/>
  <c r="R45" i="64" s="1"/>
  <c r="S44" i="64"/>
  <c r="W44" i="64" s="1"/>
  <c r="X44" i="64" s="1"/>
  <c r="L44" i="64"/>
  <c r="F44" i="64"/>
  <c r="R44" i="64" s="1"/>
  <c r="S43" i="64"/>
  <c r="W43" i="64" s="1"/>
  <c r="F43" i="64"/>
  <c r="S42" i="64"/>
  <c r="W42" i="64" s="1"/>
  <c r="F42" i="64"/>
  <c r="N42" i="64" s="1"/>
  <c r="S41" i="64"/>
  <c r="W41" i="64" s="1"/>
  <c r="F41" i="64"/>
  <c r="S40" i="64"/>
  <c r="W40" i="64" s="1"/>
  <c r="F40" i="64"/>
  <c r="N40" i="64" s="1"/>
  <c r="S39" i="64"/>
  <c r="W39" i="64" s="1"/>
  <c r="F39" i="64"/>
  <c r="V38" i="64"/>
  <c r="S38" i="64"/>
  <c r="W38" i="64" s="1"/>
  <c r="X38" i="64" s="1"/>
  <c r="J38" i="64"/>
  <c r="H38" i="64"/>
  <c r="L38" i="64" s="1"/>
  <c r="F38" i="64"/>
  <c r="S37" i="64"/>
  <c r="W37" i="64" s="1"/>
  <c r="X37" i="64" s="1"/>
  <c r="J37" i="64"/>
  <c r="F37" i="64"/>
  <c r="R37" i="64" s="1"/>
  <c r="S36" i="64"/>
  <c r="W36" i="64" s="1"/>
  <c r="R36" i="64"/>
  <c r="J36" i="64"/>
  <c r="F36" i="64"/>
  <c r="V36" i="64" s="1"/>
  <c r="S35" i="64"/>
  <c r="W35" i="64" s="1"/>
  <c r="R35" i="64"/>
  <c r="J35" i="64"/>
  <c r="F35" i="64"/>
  <c r="V35" i="64" s="1"/>
  <c r="S34" i="64"/>
  <c r="W34" i="64" s="1"/>
  <c r="R34" i="64"/>
  <c r="J34" i="64"/>
  <c r="F34" i="64"/>
  <c r="V34" i="64" s="1"/>
  <c r="S33" i="64"/>
  <c r="W33" i="64" s="1"/>
  <c r="R33" i="64"/>
  <c r="J33" i="64"/>
  <c r="F33" i="64"/>
  <c r="V33" i="64" s="1"/>
  <c r="S32" i="64"/>
  <c r="W32" i="64" s="1"/>
  <c r="R32" i="64"/>
  <c r="J32" i="64"/>
  <c r="F32" i="64"/>
  <c r="V32" i="64" s="1"/>
  <c r="S31" i="64"/>
  <c r="W31" i="64" s="1"/>
  <c r="R31" i="64"/>
  <c r="J31" i="64"/>
  <c r="F31" i="64"/>
  <c r="V31" i="64" s="1"/>
  <c r="S30" i="64"/>
  <c r="W30" i="64" s="1"/>
  <c r="R30" i="64"/>
  <c r="J30" i="64"/>
  <c r="F30" i="64"/>
  <c r="V30" i="64" s="1"/>
  <c r="S29" i="64"/>
  <c r="W29" i="64" s="1"/>
  <c r="R29" i="64"/>
  <c r="J29" i="64"/>
  <c r="F29" i="64"/>
  <c r="V29" i="64" s="1"/>
  <c r="W28" i="64"/>
  <c r="S28" i="64"/>
  <c r="R28" i="64"/>
  <c r="J28" i="64"/>
  <c r="F28" i="64"/>
  <c r="V28" i="64" s="1"/>
  <c r="S27" i="64"/>
  <c r="W27" i="64" s="1"/>
  <c r="R27" i="64"/>
  <c r="J27" i="64"/>
  <c r="F27" i="64"/>
  <c r="V27" i="64" s="1"/>
  <c r="S26" i="64"/>
  <c r="W26" i="64" s="1"/>
  <c r="R26" i="64"/>
  <c r="J26" i="64"/>
  <c r="F26" i="64"/>
  <c r="V26" i="64" s="1"/>
  <c r="S25" i="64"/>
  <c r="W25" i="64" s="1"/>
  <c r="R25" i="64"/>
  <c r="J25" i="64"/>
  <c r="F25" i="64"/>
  <c r="V25" i="64" s="1"/>
  <c r="S24" i="64"/>
  <c r="W24" i="64" s="1"/>
  <c r="R24" i="64"/>
  <c r="J24" i="64"/>
  <c r="F24" i="64"/>
  <c r="V24" i="64" s="1"/>
  <c r="S23" i="64"/>
  <c r="W23" i="64" s="1"/>
  <c r="R23" i="64"/>
  <c r="J23" i="64"/>
  <c r="F23" i="64"/>
  <c r="V23" i="64" s="1"/>
  <c r="S22" i="64"/>
  <c r="T22" i="64" s="1"/>
  <c r="P22" i="64"/>
  <c r="L22" i="64"/>
  <c r="H22" i="64"/>
  <c r="F22" i="64"/>
  <c r="V22" i="64" s="1"/>
  <c r="V21" i="64"/>
  <c r="S21" i="64"/>
  <c r="T21" i="64" s="1"/>
  <c r="J21" i="64"/>
  <c r="H21" i="64"/>
  <c r="L21" i="64" s="1"/>
  <c r="F21" i="64"/>
  <c r="P21" i="64" s="1"/>
  <c r="V20" i="64"/>
  <c r="S20" i="64"/>
  <c r="W20" i="64" s="1"/>
  <c r="X20" i="64" s="1"/>
  <c r="R20" i="64"/>
  <c r="P20" i="64"/>
  <c r="L20" i="64"/>
  <c r="J20" i="64"/>
  <c r="H20" i="64"/>
  <c r="F20" i="64"/>
  <c r="V19" i="64"/>
  <c r="S19" i="64"/>
  <c r="W19" i="64" s="1"/>
  <c r="X19" i="64" s="1"/>
  <c r="R19" i="64"/>
  <c r="P19" i="64"/>
  <c r="L19" i="64"/>
  <c r="J19" i="64"/>
  <c r="H19" i="64"/>
  <c r="F19" i="64"/>
  <c r="V18" i="64"/>
  <c r="S18" i="64"/>
  <c r="W18" i="64" s="1"/>
  <c r="X18" i="64" s="1"/>
  <c r="R18" i="64"/>
  <c r="P18" i="64"/>
  <c r="L18" i="64"/>
  <c r="J18" i="64"/>
  <c r="H18" i="64"/>
  <c r="F18" i="64"/>
  <c r="V17" i="64"/>
  <c r="S17" i="64"/>
  <c r="W17" i="64" s="1"/>
  <c r="X17" i="64" s="1"/>
  <c r="R17" i="64"/>
  <c r="P17" i="64"/>
  <c r="L17" i="64"/>
  <c r="J17" i="64"/>
  <c r="H17" i="64"/>
  <c r="F17" i="64"/>
  <c r="V16" i="64"/>
  <c r="S16" i="64"/>
  <c r="W16" i="64" s="1"/>
  <c r="X16" i="64" s="1"/>
  <c r="R16" i="64"/>
  <c r="P16" i="64"/>
  <c r="L16" i="64"/>
  <c r="J16" i="64"/>
  <c r="H16" i="64"/>
  <c r="F16" i="64"/>
  <c r="V15" i="64"/>
  <c r="S15" i="64"/>
  <c r="W15" i="64" s="1"/>
  <c r="X15" i="64" s="1"/>
  <c r="R15" i="64"/>
  <c r="P15" i="64"/>
  <c r="L15" i="64"/>
  <c r="J15" i="64"/>
  <c r="H15" i="64"/>
  <c r="F15" i="64"/>
  <c r="V14" i="64"/>
  <c r="S14" i="64"/>
  <c r="W14" i="64" s="1"/>
  <c r="X14" i="64" s="1"/>
  <c r="L14" i="64"/>
  <c r="P14" i="64" s="1"/>
  <c r="J14" i="64"/>
  <c r="H14" i="64"/>
  <c r="F14" i="64"/>
  <c r="T14" i="64" s="1"/>
  <c r="V13" i="64"/>
  <c r="S13" i="64"/>
  <c r="W13" i="64" s="1"/>
  <c r="X13" i="64" s="1"/>
  <c r="P13" i="64"/>
  <c r="L13" i="64"/>
  <c r="H13" i="64"/>
  <c r="F13" i="64"/>
  <c r="R13" i="64" s="1"/>
  <c r="S12" i="64"/>
  <c r="W12" i="64" s="1"/>
  <c r="X12" i="64" s="1"/>
  <c r="J12" i="64"/>
  <c r="F12" i="64"/>
  <c r="P12" i="64" s="1"/>
  <c r="S11" i="64"/>
  <c r="W11" i="64" s="1"/>
  <c r="R11" i="64"/>
  <c r="F11" i="64"/>
  <c r="S10" i="64"/>
  <c r="W10" i="64" s="1"/>
  <c r="F10" i="64"/>
  <c r="S9" i="64"/>
  <c r="W9" i="64" s="1"/>
  <c r="F9" i="64"/>
  <c r="S8" i="64"/>
  <c r="W8" i="64" s="1"/>
  <c r="N8" i="64"/>
  <c r="F8" i="64"/>
  <c r="T8" i="64" s="1"/>
  <c r="S7" i="64"/>
  <c r="T7" i="64" s="1"/>
  <c r="N7" i="64"/>
  <c r="F7" i="64"/>
  <c r="S6" i="64"/>
  <c r="W6" i="64" s="1"/>
  <c r="F6" i="64"/>
  <c r="S5" i="64"/>
  <c r="W5" i="64" s="1"/>
  <c r="F5" i="64"/>
  <c r="S73" i="63"/>
  <c r="W73" i="63" s="1"/>
  <c r="S72" i="63"/>
  <c r="T72" i="63" s="1"/>
  <c r="S71" i="63"/>
  <c r="W71" i="63" s="1"/>
  <c r="V70" i="63"/>
  <c r="S70" i="63"/>
  <c r="W70" i="63" s="1"/>
  <c r="X70" i="63" s="1"/>
  <c r="N70" i="63"/>
  <c r="S69" i="63"/>
  <c r="W69" i="63" s="1"/>
  <c r="H69" i="63"/>
  <c r="F69" i="63"/>
  <c r="S68" i="63"/>
  <c r="W68" i="63" s="1"/>
  <c r="F68" i="63"/>
  <c r="S67" i="63"/>
  <c r="W67" i="63" s="1"/>
  <c r="X67" i="63" s="1"/>
  <c r="J67" i="63"/>
  <c r="H67" i="63"/>
  <c r="F67" i="63"/>
  <c r="N67" i="63" s="1"/>
  <c r="V66" i="63"/>
  <c r="S66" i="63"/>
  <c r="W66" i="63" s="1"/>
  <c r="F66" i="63"/>
  <c r="S65" i="63"/>
  <c r="W65" i="63" s="1"/>
  <c r="X65" i="63" s="1"/>
  <c r="N65" i="63"/>
  <c r="L65" i="63"/>
  <c r="F65" i="63"/>
  <c r="S64" i="63"/>
  <c r="W64" i="63" s="1"/>
  <c r="F64" i="63"/>
  <c r="S63" i="63"/>
  <c r="W63" i="63" s="1"/>
  <c r="X63" i="63" s="1"/>
  <c r="N63" i="63"/>
  <c r="L63" i="63"/>
  <c r="F63" i="63"/>
  <c r="S62" i="63"/>
  <c r="W62" i="63" s="1"/>
  <c r="F62" i="63"/>
  <c r="S61" i="63"/>
  <c r="W61" i="63" s="1"/>
  <c r="X61" i="63" s="1"/>
  <c r="N61" i="63"/>
  <c r="L61" i="63"/>
  <c r="F61" i="63"/>
  <c r="S60" i="63"/>
  <c r="W60" i="63" s="1"/>
  <c r="F60" i="63"/>
  <c r="S59" i="63"/>
  <c r="W59" i="63" s="1"/>
  <c r="X59" i="63" s="1"/>
  <c r="N59" i="63"/>
  <c r="L59" i="63"/>
  <c r="F59" i="63"/>
  <c r="S58" i="63"/>
  <c r="W58" i="63" s="1"/>
  <c r="F58" i="63"/>
  <c r="S57" i="63"/>
  <c r="W57" i="63" s="1"/>
  <c r="X57" i="63" s="1"/>
  <c r="N57" i="63"/>
  <c r="L57" i="63"/>
  <c r="F57" i="63"/>
  <c r="S56" i="63"/>
  <c r="W56" i="63" s="1"/>
  <c r="F56" i="63"/>
  <c r="S55" i="63"/>
  <c r="W55" i="63" s="1"/>
  <c r="X55" i="63" s="1"/>
  <c r="N55" i="63"/>
  <c r="L55" i="63"/>
  <c r="F55" i="63"/>
  <c r="S54" i="63"/>
  <c r="W54" i="63" s="1"/>
  <c r="F54" i="63"/>
  <c r="S53" i="63"/>
  <c r="W53" i="63" s="1"/>
  <c r="X53" i="63" s="1"/>
  <c r="N53" i="63"/>
  <c r="L53" i="63"/>
  <c r="F53" i="63"/>
  <c r="S52" i="63"/>
  <c r="W52" i="63" s="1"/>
  <c r="F52" i="63"/>
  <c r="S51" i="63"/>
  <c r="W51" i="63" s="1"/>
  <c r="X51" i="63" s="1"/>
  <c r="N51" i="63"/>
  <c r="L51" i="63"/>
  <c r="F51" i="63"/>
  <c r="S50" i="63"/>
  <c r="W50" i="63" s="1"/>
  <c r="F50" i="63"/>
  <c r="S49" i="63"/>
  <c r="W49" i="63" s="1"/>
  <c r="X49" i="63" s="1"/>
  <c r="N49" i="63"/>
  <c r="L49" i="63"/>
  <c r="F49" i="63"/>
  <c r="S48" i="63"/>
  <c r="W48" i="63" s="1"/>
  <c r="F48" i="63"/>
  <c r="S47" i="63"/>
  <c r="W47" i="63" s="1"/>
  <c r="X47" i="63" s="1"/>
  <c r="N47" i="63"/>
  <c r="L47" i="63"/>
  <c r="F47" i="63"/>
  <c r="S46" i="63"/>
  <c r="W46" i="63" s="1"/>
  <c r="F46" i="63"/>
  <c r="S45" i="63"/>
  <c r="W45" i="63" s="1"/>
  <c r="X45" i="63" s="1"/>
  <c r="N45" i="63"/>
  <c r="L45" i="63"/>
  <c r="F45" i="63"/>
  <c r="S44" i="63"/>
  <c r="W44" i="63" s="1"/>
  <c r="F44" i="63"/>
  <c r="S43" i="63"/>
  <c r="W43" i="63" s="1"/>
  <c r="X43" i="63" s="1"/>
  <c r="H43" i="63"/>
  <c r="L43" i="63" s="1"/>
  <c r="F43" i="63"/>
  <c r="S42" i="63"/>
  <c r="W42" i="63" s="1"/>
  <c r="P42" i="63"/>
  <c r="F42" i="63"/>
  <c r="S41" i="63"/>
  <c r="W41" i="63" s="1"/>
  <c r="P41" i="63"/>
  <c r="H41" i="63"/>
  <c r="F41" i="63"/>
  <c r="S40" i="63"/>
  <c r="W40" i="63" s="1"/>
  <c r="F40" i="63"/>
  <c r="S39" i="63"/>
  <c r="W39" i="63" s="1"/>
  <c r="X39" i="63" s="1"/>
  <c r="N39" i="63"/>
  <c r="L39" i="63"/>
  <c r="R39" i="63" s="1"/>
  <c r="F39" i="63"/>
  <c r="S38" i="63"/>
  <c r="H38" i="63"/>
  <c r="L38" i="63" s="1"/>
  <c r="F38" i="63"/>
  <c r="S37" i="63"/>
  <c r="W37" i="63" s="1"/>
  <c r="F37" i="63"/>
  <c r="S36" i="63"/>
  <c r="W36" i="63" s="1"/>
  <c r="X36" i="63" s="1"/>
  <c r="N36" i="63"/>
  <c r="L36" i="63"/>
  <c r="F36" i="63"/>
  <c r="S35" i="63"/>
  <c r="W35" i="63" s="1"/>
  <c r="F35" i="63"/>
  <c r="S34" i="63"/>
  <c r="W34" i="63" s="1"/>
  <c r="X34" i="63" s="1"/>
  <c r="N34" i="63"/>
  <c r="L34" i="63"/>
  <c r="F34" i="63"/>
  <c r="S33" i="63"/>
  <c r="W33" i="63" s="1"/>
  <c r="F33" i="63"/>
  <c r="S32" i="63"/>
  <c r="W32" i="63" s="1"/>
  <c r="X32" i="63" s="1"/>
  <c r="N32" i="63"/>
  <c r="L32" i="63"/>
  <c r="F32" i="63"/>
  <c r="S31" i="63"/>
  <c r="W31" i="63" s="1"/>
  <c r="F31" i="63"/>
  <c r="S30" i="63"/>
  <c r="W30" i="63" s="1"/>
  <c r="X30" i="63" s="1"/>
  <c r="N30" i="63"/>
  <c r="L30" i="63"/>
  <c r="F30" i="63"/>
  <c r="S29" i="63"/>
  <c r="W29" i="63" s="1"/>
  <c r="F29" i="63"/>
  <c r="S28" i="63"/>
  <c r="W28" i="63" s="1"/>
  <c r="X28" i="63" s="1"/>
  <c r="N28" i="63"/>
  <c r="L28" i="63"/>
  <c r="F28" i="63"/>
  <c r="S27" i="63"/>
  <c r="W27" i="63" s="1"/>
  <c r="F27" i="63"/>
  <c r="S26" i="63"/>
  <c r="W26" i="63" s="1"/>
  <c r="X26" i="63" s="1"/>
  <c r="N26" i="63"/>
  <c r="L26" i="63"/>
  <c r="F26" i="63"/>
  <c r="S25" i="63"/>
  <c r="W25" i="63" s="1"/>
  <c r="F25" i="63"/>
  <c r="S24" i="63"/>
  <c r="W24" i="63" s="1"/>
  <c r="X24" i="63" s="1"/>
  <c r="N24" i="63"/>
  <c r="L24" i="63"/>
  <c r="F24" i="63"/>
  <c r="S23" i="63"/>
  <c r="W23" i="63" s="1"/>
  <c r="F23" i="63"/>
  <c r="S22" i="63"/>
  <c r="P22" i="63"/>
  <c r="L22" i="63"/>
  <c r="J22" i="63"/>
  <c r="H22" i="63"/>
  <c r="F22" i="63"/>
  <c r="V22" i="63" s="1"/>
  <c r="S21" i="63"/>
  <c r="W21" i="63" s="1"/>
  <c r="L21" i="63"/>
  <c r="H21" i="63"/>
  <c r="F21" i="63"/>
  <c r="V20" i="63"/>
  <c r="S20" i="63"/>
  <c r="W20" i="63" s="1"/>
  <c r="N20" i="63"/>
  <c r="L20" i="63"/>
  <c r="H20" i="63"/>
  <c r="F20" i="63"/>
  <c r="S19" i="63"/>
  <c r="W19" i="63" s="1"/>
  <c r="L19" i="63"/>
  <c r="F19" i="63"/>
  <c r="S18" i="63"/>
  <c r="W18" i="63" s="1"/>
  <c r="F18" i="63"/>
  <c r="S17" i="63"/>
  <c r="W17" i="63" s="1"/>
  <c r="X17" i="63" s="1"/>
  <c r="P17" i="63"/>
  <c r="L17" i="63"/>
  <c r="F17" i="63"/>
  <c r="V16" i="63"/>
  <c r="S16" i="63"/>
  <c r="W16" i="63" s="1"/>
  <c r="N16" i="63"/>
  <c r="L16" i="63"/>
  <c r="H16" i="63"/>
  <c r="F16" i="63"/>
  <c r="V15" i="63"/>
  <c r="S15" i="63"/>
  <c r="W15" i="63" s="1"/>
  <c r="X15" i="63" s="1"/>
  <c r="P15" i="63"/>
  <c r="N15" i="63"/>
  <c r="L15" i="63"/>
  <c r="F15" i="63"/>
  <c r="V14" i="63"/>
  <c r="S14" i="63"/>
  <c r="W14" i="63" s="1"/>
  <c r="H14" i="63"/>
  <c r="F14" i="63"/>
  <c r="S13" i="63"/>
  <c r="W13" i="63" s="1"/>
  <c r="F13" i="63"/>
  <c r="V12" i="63"/>
  <c r="S12" i="63"/>
  <c r="W12" i="63" s="1"/>
  <c r="L12" i="63"/>
  <c r="J12" i="63"/>
  <c r="F12" i="63"/>
  <c r="S11" i="63"/>
  <c r="W11" i="63" s="1"/>
  <c r="F11" i="63"/>
  <c r="S10" i="63"/>
  <c r="W10" i="63" s="1"/>
  <c r="H10" i="63"/>
  <c r="F10" i="63"/>
  <c r="V10" i="63" s="1"/>
  <c r="V9" i="63"/>
  <c r="S9" i="63"/>
  <c r="W9" i="63" s="1"/>
  <c r="N9" i="63"/>
  <c r="L9" i="63"/>
  <c r="H9" i="63"/>
  <c r="F9" i="63"/>
  <c r="V8" i="63"/>
  <c r="S8" i="63"/>
  <c r="W8" i="63" s="1"/>
  <c r="N8" i="63"/>
  <c r="L8" i="63"/>
  <c r="F8" i="63"/>
  <c r="S7" i="63"/>
  <c r="W7" i="63" s="1"/>
  <c r="F7" i="63"/>
  <c r="S6" i="63"/>
  <c r="W6" i="63" s="1"/>
  <c r="H6" i="63"/>
  <c r="F6" i="63"/>
  <c r="V6" i="63" s="1"/>
  <c r="V5" i="63"/>
  <c r="S5" i="63"/>
  <c r="W5" i="63" s="1"/>
  <c r="N5" i="63"/>
  <c r="L5" i="63"/>
  <c r="H5" i="63"/>
  <c r="F5" i="63"/>
  <c r="W73" i="62"/>
  <c r="S73" i="62"/>
  <c r="W72" i="62"/>
  <c r="W71" i="62"/>
  <c r="T72" i="62"/>
  <c r="T71" i="62"/>
  <c r="S72" i="62"/>
  <c r="S71" i="62"/>
  <c r="T5" i="64" l="1"/>
  <c r="T6" i="64"/>
  <c r="T15" i="64"/>
  <c r="T18" i="64"/>
  <c r="T38" i="64"/>
  <c r="T65" i="64"/>
  <c r="X43" i="64"/>
  <c r="T72" i="64"/>
  <c r="T70" i="64"/>
  <c r="T66" i="64"/>
  <c r="W22" i="64"/>
  <c r="X22" i="64" s="1"/>
  <c r="T20" i="64"/>
  <c r="T19" i="64"/>
  <c r="T10" i="64"/>
  <c r="T9" i="64"/>
  <c r="W7" i="64"/>
  <c r="X7" i="64" s="1"/>
  <c r="N5" i="64"/>
  <c r="X6" i="64"/>
  <c r="L6" i="64"/>
  <c r="R6" i="64"/>
  <c r="J6" i="64"/>
  <c r="V6" i="64"/>
  <c r="P6" i="64"/>
  <c r="H6" i="64"/>
  <c r="N9" i="64"/>
  <c r="X10" i="64"/>
  <c r="L10" i="64"/>
  <c r="R10" i="64"/>
  <c r="J10" i="64"/>
  <c r="V10" i="64"/>
  <c r="P10" i="64"/>
  <c r="H10" i="64"/>
  <c r="T16" i="64"/>
  <c r="N6" i="64"/>
  <c r="L7" i="64"/>
  <c r="R7" i="64"/>
  <c r="J7" i="64"/>
  <c r="V7" i="64"/>
  <c r="P7" i="64"/>
  <c r="H7" i="64"/>
  <c r="N10" i="64"/>
  <c r="V11" i="64"/>
  <c r="L11" i="64"/>
  <c r="T11" i="64"/>
  <c r="J11" i="64"/>
  <c r="X11" i="64"/>
  <c r="H11" i="64"/>
  <c r="T17" i="64"/>
  <c r="X8" i="64"/>
  <c r="L8" i="64"/>
  <c r="R8" i="64"/>
  <c r="J8" i="64"/>
  <c r="V8" i="64"/>
  <c r="P8" i="64"/>
  <c r="H8" i="64"/>
  <c r="X5" i="64"/>
  <c r="L5" i="64"/>
  <c r="R5" i="64"/>
  <c r="J5" i="64"/>
  <c r="V5" i="64"/>
  <c r="P5" i="64"/>
  <c r="H5" i="64"/>
  <c r="X9" i="64"/>
  <c r="L9" i="64"/>
  <c r="R9" i="64"/>
  <c r="J9" i="64"/>
  <c r="V9" i="64"/>
  <c r="P9" i="64"/>
  <c r="H9" i="64"/>
  <c r="J39" i="64"/>
  <c r="P39" i="64" s="1"/>
  <c r="V39" i="64"/>
  <c r="X41" i="64"/>
  <c r="L41" i="64"/>
  <c r="R41" i="64"/>
  <c r="J41" i="64"/>
  <c r="V41" i="64"/>
  <c r="P41" i="64"/>
  <c r="H41" i="64"/>
  <c r="W71" i="64"/>
  <c r="T71" i="64"/>
  <c r="L12" i="64"/>
  <c r="T12" i="64"/>
  <c r="N13" i="64"/>
  <c r="T13" i="64"/>
  <c r="N14" i="64"/>
  <c r="R14" i="64" s="1"/>
  <c r="N15" i="64"/>
  <c r="N16" i="64"/>
  <c r="N17" i="64"/>
  <c r="N18" i="64"/>
  <c r="N19" i="64"/>
  <c r="N20" i="64"/>
  <c r="W21" i="64"/>
  <c r="X21" i="64" s="1"/>
  <c r="J22" i="64"/>
  <c r="L23" i="64"/>
  <c r="X23" i="64"/>
  <c r="L24" i="64"/>
  <c r="X24" i="64"/>
  <c r="L25" i="64"/>
  <c r="X25" i="64"/>
  <c r="L26" i="64"/>
  <c r="X26" i="64"/>
  <c r="L27" i="64"/>
  <c r="X27" i="64"/>
  <c r="L28" i="64"/>
  <c r="X28" i="64"/>
  <c r="L29" i="64"/>
  <c r="X29" i="64"/>
  <c r="L30" i="64"/>
  <c r="X30" i="64"/>
  <c r="L31" i="64"/>
  <c r="X31" i="64"/>
  <c r="L32" i="64"/>
  <c r="X32" i="64"/>
  <c r="L33" i="64"/>
  <c r="X33" i="64"/>
  <c r="L34" i="64"/>
  <c r="X34" i="64"/>
  <c r="L35" i="64"/>
  <c r="X35" i="64"/>
  <c r="L36" i="64"/>
  <c r="X36" i="64"/>
  <c r="L37" i="64"/>
  <c r="T37" i="64"/>
  <c r="H39" i="64"/>
  <c r="N41" i="64"/>
  <c r="X42" i="64"/>
  <c r="L42" i="64"/>
  <c r="R42" i="64"/>
  <c r="J42" i="64"/>
  <c r="V42" i="64"/>
  <c r="P42" i="64"/>
  <c r="H42" i="64"/>
  <c r="V69" i="64"/>
  <c r="P69" i="64"/>
  <c r="T69" i="64"/>
  <c r="J69" i="64"/>
  <c r="X69" i="64"/>
  <c r="H69" i="64"/>
  <c r="N12" i="64"/>
  <c r="V12" i="64"/>
  <c r="N23" i="64"/>
  <c r="T23" i="64"/>
  <c r="N24" i="64"/>
  <c r="T24" i="64"/>
  <c r="N25" i="64"/>
  <c r="T25" i="64"/>
  <c r="N26" i="64"/>
  <c r="T26" i="64"/>
  <c r="N27" i="64"/>
  <c r="T27" i="64"/>
  <c r="N28" i="64"/>
  <c r="T28" i="64"/>
  <c r="N29" i="64"/>
  <c r="T29" i="64"/>
  <c r="N30" i="64"/>
  <c r="T30" i="64"/>
  <c r="N31" i="64"/>
  <c r="T31" i="64"/>
  <c r="N32" i="64"/>
  <c r="T32" i="64"/>
  <c r="N33" i="64"/>
  <c r="T33" i="64"/>
  <c r="N34" i="64"/>
  <c r="T34" i="64"/>
  <c r="N35" i="64"/>
  <c r="T35" i="64"/>
  <c r="N36" i="64"/>
  <c r="T36" i="64"/>
  <c r="N37" i="64"/>
  <c r="V37" i="64"/>
  <c r="L39" i="64"/>
  <c r="R39" i="64" s="1"/>
  <c r="T39" i="64"/>
  <c r="X40" i="64"/>
  <c r="L40" i="64"/>
  <c r="R40" i="64"/>
  <c r="J40" i="64"/>
  <c r="V40" i="64"/>
  <c r="P40" i="64"/>
  <c r="H40" i="64"/>
  <c r="V43" i="64"/>
  <c r="J43" i="64"/>
  <c r="T43" i="64"/>
  <c r="H43" i="64"/>
  <c r="L43" i="64" s="1"/>
  <c r="H12" i="64"/>
  <c r="J13" i="64"/>
  <c r="N22" i="64"/>
  <c r="H23" i="64"/>
  <c r="P23" i="64"/>
  <c r="H24" i="64"/>
  <c r="P24" i="64"/>
  <c r="H25" i="64"/>
  <c r="P25" i="64"/>
  <c r="H26" i="64"/>
  <c r="P26" i="64"/>
  <c r="H27" i="64"/>
  <c r="P27" i="64"/>
  <c r="H28" i="64"/>
  <c r="P28" i="64"/>
  <c r="H29" i="64"/>
  <c r="P29" i="64"/>
  <c r="H30" i="64"/>
  <c r="P30" i="64"/>
  <c r="H31" i="64"/>
  <c r="P31" i="64"/>
  <c r="H32" i="64"/>
  <c r="P32" i="64"/>
  <c r="H33" i="64"/>
  <c r="P33" i="64"/>
  <c r="H34" i="64"/>
  <c r="P34" i="64"/>
  <c r="H35" i="64"/>
  <c r="P35" i="64"/>
  <c r="H36" i="64"/>
  <c r="P36" i="64"/>
  <c r="H37" i="64"/>
  <c r="N39" i="64"/>
  <c r="X39" i="64"/>
  <c r="T40" i="64"/>
  <c r="T41" i="64"/>
  <c r="T42" i="64"/>
  <c r="N44" i="64"/>
  <c r="T44" i="64"/>
  <c r="N45" i="64"/>
  <c r="T45" i="64"/>
  <c r="N46" i="64"/>
  <c r="T46" i="64"/>
  <c r="N47" i="64"/>
  <c r="T47" i="64"/>
  <c r="N48" i="64"/>
  <c r="T48" i="64"/>
  <c r="N49" i="64"/>
  <c r="T49" i="64"/>
  <c r="N50" i="64"/>
  <c r="T50" i="64"/>
  <c r="N51" i="64"/>
  <c r="T51" i="64"/>
  <c r="N52" i="64"/>
  <c r="T52" i="64"/>
  <c r="N53" i="64"/>
  <c r="T53" i="64"/>
  <c r="N54" i="64"/>
  <c r="T54" i="64"/>
  <c r="N55" i="64"/>
  <c r="T55" i="64"/>
  <c r="N56" i="64"/>
  <c r="T56" i="64"/>
  <c r="N57" i="64"/>
  <c r="T57" i="64"/>
  <c r="N58" i="64"/>
  <c r="T58" i="64"/>
  <c r="N59" i="64"/>
  <c r="T59" i="64"/>
  <c r="N60" i="64"/>
  <c r="T60" i="64"/>
  <c r="N61" i="64"/>
  <c r="T61" i="64"/>
  <c r="N62" i="64"/>
  <c r="T62" i="64"/>
  <c r="N63" i="64"/>
  <c r="T63" i="64"/>
  <c r="N64" i="64"/>
  <c r="T64" i="64"/>
  <c r="N65" i="64"/>
  <c r="P66" i="64"/>
  <c r="J67" i="64"/>
  <c r="T67" i="64"/>
  <c r="H44" i="64"/>
  <c r="P44" i="64"/>
  <c r="V44" i="64"/>
  <c r="H45" i="64"/>
  <c r="P45" i="64"/>
  <c r="V45" i="64"/>
  <c r="H46" i="64"/>
  <c r="P46" i="64"/>
  <c r="V46" i="64"/>
  <c r="H47" i="64"/>
  <c r="P47" i="64"/>
  <c r="V47" i="64"/>
  <c r="H48" i="64"/>
  <c r="P48" i="64"/>
  <c r="V48" i="64"/>
  <c r="H49" i="64"/>
  <c r="P49" i="64"/>
  <c r="V49" i="64"/>
  <c r="H50" i="64"/>
  <c r="P50" i="64"/>
  <c r="V50" i="64"/>
  <c r="H51" i="64"/>
  <c r="P51" i="64"/>
  <c r="V51" i="64"/>
  <c r="H52" i="64"/>
  <c r="P52" i="64"/>
  <c r="V52" i="64"/>
  <c r="H53" i="64"/>
  <c r="P53" i="64"/>
  <c r="V53" i="64"/>
  <c r="H54" i="64"/>
  <c r="P54" i="64"/>
  <c r="V54" i="64"/>
  <c r="H55" i="64"/>
  <c r="P55" i="64"/>
  <c r="V55" i="64"/>
  <c r="H56" i="64"/>
  <c r="P56" i="64"/>
  <c r="V56" i="64"/>
  <c r="H57" i="64"/>
  <c r="P57" i="64"/>
  <c r="V57" i="64"/>
  <c r="H58" i="64"/>
  <c r="P58" i="64"/>
  <c r="V58" i="64"/>
  <c r="H59" i="64"/>
  <c r="P59" i="64"/>
  <c r="V59" i="64"/>
  <c r="H60" i="64"/>
  <c r="P60" i="64"/>
  <c r="V60" i="64"/>
  <c r="H61" i="64"/>
  <c r="P61" i="64"/>
  <c r="V61" i="64"/>
  <c r="H62" i="64"/>
  <c r="P62" i="64"/>
  <c r="P63" i="64"/>
  <c r="P64" i="64"/>
  <c r="L67" i="64"/>
  <c r="V67" i="64"/>
  <c r="J44" i="64"/>
  <c r="J45" i="64"/>
  <c r="J46" i="64"/>
  <c r="J47" i="64"/>
  <c r="J48" i="64"/>
  <c r="J49" i="64"/>
  <c r="J50" i="64"/>
  <c r="J51" i="64"/>
  <c r="J52" i="64"/>
  <c r="J53" i="64"/>
  <c r="J54" i="64"/>
  <c r="J55" i="64"/>
  <c r="J56" i="64"/>
  <c r="J57" i="64"/>
  <c r="J58" i="64"/>
  <c r="J59" i="64"/>
  <c r="J60" i="64"/>
  <c r="T9" i="63"/>
  <c r="T46" i="63"/>
  <c r="T25" i="63"/>
  <c r="T44" i="63"/>
  <c r="T58" i="63"/>
  <c r="T19" i="63"/>
  <c r="T37" i="63"/>
  <c r="T70" i="63"/>
  <c r="T16" i="63"/>
  <c r="X19" i="63"/>
  <c r="T31" i="63"/>
  <c r="T60" i="63"/>
  <c r="W72" i="63"/>
  <c r="T27" i="63"/>
  <c r="T56" i="63"/>
  <c r="T64" i="63"/>
  <c r="T71" i="63"/>
  <c r="T67" i="63"/>
  <c r="T62" i="63"/>
  <c r="T54" i="63"/>
  <c r="T52" i="63"/>
  <c r="T50" i="63"/>
  <c r="T48" i="63"/>
  <c r="T35" i="63"/>
  <c r="T29" i="63"/>
  <c r="T23" i="63"/>
  <c r="T20" i="63"/>
  <c r="X18" i="63"/>
  <c r="T15" i="63"/>
  <c r="X14" i="63"/>
  <c r="T8" i="63"/>
  <c r="T5" i="63"/>
  <c r="R7" i="63"/>
  <c r="J7" i="63"/>
  <c r="X7" i="63"/>
  <c r="V11" i="63"/>
  <c r="L11" i="63"/>
  <c r="X11" i="63"/>
  <c r="R11" i="63"/>
  <c r="T11" i="63"/>
  <c r="R13" i="63"/>
  <c r="J13" i="63"/>
  <c r="V13" i="63"/>
  <c r="N13" i="63"/>
  <c r="R33" i="63"/>
  <c r="J33" i="63"/>
  <c r="V33" i="63"/>
  <c r="P33" i="63"/>
  <c r="H33" i="63"/>
  <c r="N33" i="63"/>
  <c r="X33" i="63"/>
  <c r="L33" i="63"/>
  <c r="X68" i="63"/>
  <c r="J68" i="63"/>
  <c r="H68" i="63"/>
  <c r="T68" i="63"/>
  <c r="L6" i="63"/>
  <c r="T6" i="63"/>
  <c r="H7" i="63"/>
  <c r="R8" i="63"/>
  <c r="J8" i="63"/>
  <c r="P8" i="63"/>
  <c r="X8" i="63"/>
  <c r="L10" i="63"/>
  <c r="T10" i="63"/>
  <c r="H11" i="63"/>
  <c r="H13" i="63"/>
  <c r="T13" i="63"/>
  <c r="N14" i="63"/>
  <c r="R14" i="63" s="1"/>
  <c r="R17" i="63"/>
  <c r="J17" i="63"/>
  <c r="V17" i="63"/>
  <c r="N17" i="63"/>
  <c r="H18" i="63"/>
  <c r="V18" i="63"/>
  <c r="N19" i="63"/>
  <c r="V19" i="63"/>
  <c r="W22" i="63"/>
  <c r="X22" i="63" s="1"/>
  <c r="T22" i="63"/>
  <c r="R31" i="63"/>
  <c r="J31" i="63"/>
  <c r="V31" i="63"/>
  <c r="P31" i="63"/>
  <c r="H31" i="63"/>
  <c r="N31" i="63"/>
  <c r="X31" i="63"/>
  <c r="L31" i="63"/>
  <c r="R5" i="63"/>
  <c r="J5" i="63"/>
  <c r="P5" i="63"/>
  <c r="X5" i="63"/>
  <c r="N6" i="63"/>
  <c r="L7" i="63"/>
  <c r="T7" i="63"/>
  <c r="H8" i="63"/>
  <c r="R9" i="63"/>
  <c r="J9" i="63"/>
  <c r="P9" i="63"/>
  <c r="X9" i="63"/>
  <c r="N10" i="63"/>
  <c r="J11" i="63"/>
  <c r="P12" i="63"/>
  <c r="H12" i="63"/>
  <c r="X12" i="63"/>
  <c r="N12" i="63"/>
  <c r="T12" i="63"/>
  <c r="L13" i="63"/>
  <c r="X13" i="63"/>
  <c r="R15" i="63"/>
  <c r="J15" i="63"/>
  <c r="H15" i="63"/>
  <c r="H17" i="63"/>
  <c r="T17" i="63"/>
  <c r="N18" i="63"/>
  <c r="P19" i="63"/>
  <c r="T21" i="63"/>
  <c r="J21" i="63"/>
  <c r="X21" i="63"/>
  <c r="P21" i="63"/>
  <c r="V21" i="63"/>
  <c r="R29" i="63"/>
  <c r="J29" i="63"/>
  <c r="V29" i="63"/>
  <c r="P29" i="63"/>
  <c r="H29" i="63"/>
  <c r="N29" i="63"/>
  <c r="X29" i="63"/>
  <c r="L29" i="63"/>
  <c r="T33" i="63"/>
  <c r="X37" i="63"/>
  <c r="J37" i="63"/>
  <c r="R37" i="63"/>
  <c r="H37" i="63"/>
  <c r="N37" i="63"/>
  <c r="V37" i="63"/>
  <c r="L37" i="63"/>
  <c r="P7" i="63"/>
  <c r="R18" i="63"/>
  <c r="J18" i="63"/>
  <c r="T18" i="63"/>
  <c r="L18" i="63"/>
  <c r="R6" i="63"/>
  <c r="J6" i="63"/>
  <c r="P6" i="63"/>
  <c r="X6" i="63"/>
  <c r="N7" i="63"/>
  <c r="V7" i="63"/>
  <c r="X10" i="63"/>
  <c r="R10" i="63"/>
  <c r="J10" i="63"/>
  <c r="P10" i="63"/>
  <c r="P13" i="63"/>
  <c r="J14" i="63"/>
  <c r="T14" i="63"/>
  <c r="L14" i="63"/>
  <c r="P14" i="63" s="1"/>
  <c r="P18" i="63"/>
  <c r="R19" i="63"/>
  <c r="J19" i="63"/>
  <c r="H19" i="63"/>
  <c r="R23" i="63"/>
  <c r="J23" i="63"/>
  <c r="V23" i="63"/>
  <c r="P23" i="63"/>
  <c r="H23" i="63"/>
  <c r="N23" i="63"/>
  <c r="X23" i="63"/>
  <c r="L23" i="63"/>
  <c r="R25" i="63"/>
  <c r="J25" i="63"/>
  <c r="V25" i="63"/>
  <c r="P25" i="63"/>
  <c r="H25" i="63"/>
  <c r="N25" i="63"/>
  <c r="X25" i="63"/>
  <c r="L25" i="63"/>
  <c r="R27" i="63"/>
  <c r="J27" i="63"/>
  <c r="V27" i="63"/>
  <c r="P27" i="63"/>
  <c r="H27" i="63"/>
  <c r="N27" i="63"/>
  <c r="X27" i="63"/>
  <c r="L27" i="63"/>
  <c r="R35" i="63"/>
  <c r="J35" i="63"/>
  <c r="V35" i="63"/>
  <c r="P35" i="63"/>
  <c r="H35" i="63"/>
  <c r="N35" i="63"/>
  <c r="X35" i="63"/>
  <c r="L35" i="63"/>
  <c r="W38" i="63"/>
  <c r="X38" i="63" s="1"/>
  <c r="T38" i="63"/>
  <c r="X40" i="63"/>
  <c r="R40" i="63"/>
  <c r="J40" i="63"/>
  <c r="V40" i="63"/>
  <c r="P40" i="63"/>
  <c r="H40" i="63"/>
  <c r="T40" i="63"/>
  <c r="R16" i="63"/>
  <c r="J16" i="63"/>
  <c r="P16" i="63"/>
  <c r="X16" i="63"/>
  <c r="R20" i="63"/>
  <c r="J20" i="63"/>
  <c r="P20" i="63"/>
  <c r="X20" i="63"/>
  <c r="R24" i="63"/>
  <c r="J24" i="63"/>
  <c r="V24" i="63"/>
  <c r="P24" i="63"/>
  <c r="H24" i="63"/>
  <c r="T24" i="63"/>
  <c r="R26" i="63"/>
  <c r="J26" i="63"/>
  <c r="V26" i="63"/>
  <c r="P26" i="63"/>
  <c r="H26" i="63"/>
  <c r="T26" i="63"/>
  <c r="R28" i="63"/>
  <c r="J28" i="63"/>
  <c r="V28" i="63"/>
  <c r="P28" i="63"/>
  <c r="H28" i="63"/>
  <c r="T28" i="63"/>
  <c r="R30" i="63"/>
  <c r="J30" i="63"/>
  <c r="V30" i="63"/>
  <c r="P30" i="63"/>
  <c r="H30" i="63"/>
  <c r="T30" i="63"/>
  <c r="R32" i="63"/>
  <c r="J32" i="63"/>
  <c r="V32" i="63"/>
  <c r="P32" i="63"/>
  <c r="H32" i="63"/>
  <c r="T32" i="63"/>
  <c r="R34" i="63"/>
  <c r="J34" i="63"/>
  <c r="V34" i="63"/>
  <c r="P34" i="63"/>
  <c r="H34" i="63"/>
  <c r="T34" i="63"/>
  <c r="R36" i="63"/>
  <c r="J36" i="63"/>
  <c r="V36" i="63"/>
  <c r="P36" i="63"/>
  <c r="H36" i="63"/>
  <c r="T36" i="63"/>
  <c r="V38" i="63"/>
  <c r="J38" i="63"/>
  <c r="L40" i="63"/>
  <c r="R41" i="63"/>
  <c r="J41" i="63"/>
  <c r="V41" i="63"/>
  <c r="N41" i="63"/>
  <c r="T41" i="63"/>
  <c r="L41" i="63"/>
  <c r="X41" i="63"/>
  <c r="V43" i="63"/>
  <c r="J43" i="63"/>
  <c r="T43" i="63"/>
  <c r="R44" i="63"/>
  <c r="J44" i="63"/>
  <c r="V44" i="63"/>
  <c r="P44" i="63"/>
  <c r="H44" i="63"/>
  <c r="N44" i="63"/>
  <c r="X44" i="63"/>
  <c r="L44" i="63"/>
  <c r="R46" i="63"/>
  <c r="J46" i="63"/>
  <c r="V46" i="63"/>
  <c r="P46" i="63"/>
  <c r="H46" i="63"/>
  <c r="N46" i="63"/>
  <c r="X46" i="63"/>
  <c r="L46" i="63"/>
  <c r="R48" i="63"/>
  <c r="J48" i="63"/>
  <c r="V48" i="63"/>
  <c r="P48" i="63"/>
  <c r="H48" i="63"/>
  <c r="N48" i="63"/>
  <c r="X48" i="63"/>
  <c r="L48" i="63"/>
  <c r="R50" i="63"/>
  <c r="J50" i="63"/>
  <c r="V50" i="63"/>
  <c r="P50" i="63"/>
  <c r="H50" i="63"/>
  <c r="N50" i="63"/>
  <c r="X50" i="63"/>
  <c r="L50" i="63"/>
  <c r="R52" i="63"/>
  <c r="J52" i="63"/>
  <c r="V52" i="63"/>
  <c r="P52" i="63"/>
  <c r="H52" i="63"/>
  <c r="N52" i="63"/>
  <c r="X52" i="63"/>
  <c r="L52" i="63"/>
  <c r="R54" i="63"/>
  <c r="J54" i="63"/>
  <c r="V54" i="63"/>
  <c r="P54" i="63"/>
  <c r="H54" i="63"/>
  <c r="N54" i="63"/>
  <c r="X54" i="63"/>
  <c r="L54" i="63"/>
  <c r="R56" i="63"/>
  <c r="J56" i="63"/>
  <c r="V56" i="63"/>
  <c r="P56" i="63"/>
  <c r="H56" i="63"/>
  <c r="N56" i="63"/>
  <c r="X56" i="63"/>
  <c r="L56" i="63"/>
  <c r="R58" i="63"/>
  <c r="J58" i="63"/>
  <c r="V58" i="63"/>
  <c r="P58" i="63"/>
  <c r="H58" i="63"/>
  <c r="N58" i="63"/>
  <c r="X58" i="63"/>
  <c r="L58" i="63"/>
  <c r="R60" i="63"/>
  <c r="J60" i="63"/>
  <c r="V60" i="63"/>
  <c r="P60" i="63"/>
  <c r="H60" i="63"/>
  <c r="N60" i="63"/>
  <c r="X60" i="63"/>
  <c r="L60" i="63"/>
  <c r="R62" i="63"/>
  <c r="J62" i="63"/>
  <c r="V62" i="63"/>
  <c r="P62" i="63"/>
  <c r="H62" i="63"/>
  <c r="N62" i="63"/>
  <c r="X62" i="63"/>
  <c r="L62" i="63"/>
  <c r="R64" i="63"/>
  <c r="J64" i="63"/>
  <c r="V64" i="63"/>
  <c r="P64" i="63"/>
  <c r="H64" i="63"/>
  <c r="N64" i="63"/>
  <c r="X64" i="63"/>
  <c r="L64" i="63"/>
  <c r="T66" i="63"/>
  <c r="J66" i="63"/>
  <c r="X66" i="63"/>
  <c r="H66" i="63"/>
  <c r="P66" i="63"/>
  <c r="N66" i="63"/>
  <c r="V69" i="63"/>
  <c r="P69" i="63"/>
  <c r="T69" i="63"/>
  <c r="J69" i="63"/>
  <c r="R69" i="63"/>
  <c r="X69" i="63"/>
  <c r="J39" i="63"/>
  <c r="P39" i="63" s="1"/>
  <c r="V39" i="63"/>
  <c r="H39" i="63"/>
  <c r="T39" i="63"/>
  <c r="N40" i="63"/>
  <c r="X42" i="63"/>
  <c r="L42" i="63"/>
  <c r="R42" i="63"/>
  <c r="J42" i="63"/>
  <c r="V42" i="63"/>
  <c r="N42" i="63"/>
  <c r="T42" i="63"/>
  <c r="H42" i="63"/>
  <c r="N22" i="63"/>
  <c r="R45" i="63"/>
  <c r="J45" i="63"/>
  <c r="V45" i="63"/>
  <c r="P45" i="63"/>
  <c r="H45" i="63"/>
  <c r="T45" i="63"/>
  <c r="R47" i="63"/>
  <c r="J47" i="63"/>
  <c r="V47" i="63"/>
  <c r="P47" i="63"/>
  <c r="H47" i="63"/>
  <c r="T47" i="63"/>
  <c r="R49" i="63"/>
  <c r="J49" i="63"/>
  <c r="V49" i="63"/>
  <c r="P49" i="63"/>
  <c r="H49" i="63"/>
  <c r="T49" i="63"/>
  <c r="R51" i="63"/>
  <c r="J51" i="63"/>
  <c r="V51" i="63"/>
  <c r="P51" i="63"/>
  <c r="H51" i="63"/>
  <c r="T51" i="63"/>
  <c r="R53" i="63"/>
  <c r="J53" i="63"/>
  <c r="V53" i="63"/>
  <c r="P53" i="63"/>
  <c r="H53" i="63"/>
  <c r="T53" i="63"/>
  <c r="R55" i="63"/>
  <c r="J55" i="63"/>
  <c r="V55" i="63"/>
  <c r="P55" i="63"/>
  <c r="H55" i="63"/>
  <c r="T55" i="63"/>
  <c r="R57" i="63"/>
  <c r="J57" i="63"/>
  <c r="V57" i="63"/>
  <c r="P57" i="63"/>
  <c r="H57" i="63"/>
  <c r="T57" i="63"/>
  <c r="R59" i="63"/>
  <c r="J59" i="63"/>
  <c r="V59" i="63"/>
  <c r="P59" i="63"/>
  <c r="H59" i="63"/>
  <c r="T59" i="63"/>
  <c r="R61" i="63"/>
  <c r="J61" i="63"/>
  <c r="V61" i="63"/>
  <c r="P61" i="63"/>
  <c r="H61" i="63"/>
  <c r="T61" i="63"/>
  <c r="R63" i="63"/>
  <c r="J63" i="63"/>
  <c r="V63" i="63"/>
  <c r="P63" i="63"/>
  <c r="H63" i="63"/>
  <c r="T63" i="63"/>
  <c r="R65" i="63"/>
  <c r="J65" i="63"/>
  <c r="V65" i="63"/>
  <c r="P65" i="63"/>
  <c r="H65" i="63"/>
  <c r="T65" i="63"/>
  <c r="L67" i="63"/>
  <c r="V67" i="63"/>
  <c r="V70" i="62"/>
  <c r="S70" i="62"/>
  <c r="W70" i="62" s="1"/>
  <c r="X70" i="62" s="1"/>
  <c r="N70" i="62"/>
  <c r="S69" i="62"/>
  <c r="W69" i="62" s="1"/>
  <c r="F69" i="62"/>
  <c r="S68" i="62"/>
  <c r="W68" i="62" s="1"/>
  <c r="F68" i="62"/>
  <c r="S67" i="62"/>
  <c r="J67" i="62"/>
  <c r="H67" i="62"/>
  <c r="F67" i="62"/>
  <c r="N67" i="62" s="1"/>
  <c r="V66" i="62"/>
  <c r="S66" i="62"/>
  <c r="W66" i="62" s="1"/>
  <c r="N66" i="62"/>
  <c r="F66" i="62"/>
  <c r="S65" i="62"/>
  <c r="W65" i="62" s="1"/>
  <c r="X65" i="62" s="1"/>
  <c r="L65" i="62"/>
  <c r="F65" i="62"/>
  <c r="R65" i="62" s="1"/>
  <c r="S64" i="62"/>
  <c r="W64" i="62" s="1"/>
  <c r="X64" i="62" s="1"/>
  <c r="L64" i="62"/>
  <c r="F64" i="62"/>
  <c r="R64" i="62" s="1"/>
  <c r="S63" i="62"/>
  <c r="W63" i="62" s="1"/>
  <c r="X63" i="62" s="1"/>
  <c r="L63" i="62"/>
  <c r="F63" i="62"/>
  <c r="R63" i="62" s="1"/>
  <c r="S62" i="62"/>
  <c r="W62" i="62" s="1"/>
  <c r="X62" i="62" s="1"/>
  <c r="L62" i="62"/>
  <c r="F62" i="62"/>
  <c r="R62" i="62" s="1"/>
  <c r="S61" i="62"/>
  <c r="W61" i="62" s="1"/>
  <c r="X61" i="62" s="1"/>
  <c r="L61" i="62"/>
  <c r="F61" i="62"/>
  <c r="R61" i="62" s="1"/>
  <c r="S60" i="62"/>
  <c r="W60" i="62" s="1"/>
  <c r="X60" i="62" s="1"/>
  <c r="L60" i="62"/>
  <c r="F60" i="62"/>
  <c r="R60" i="62" s="1"/>
  <c r="S59" i="62"/>
  <c r="W59" i="62" s="1"/>
  <c r="X59" i="62" s="1"/>
  <c r="L59" i="62"/>
  <c r="F59" i="62"/>
  <c r="R59" i="62" s="1"/>
  <c r="S58" i="62"/>
  <c r="W58" i="62" s="1"/>
  <c r="X58" i="62" s="1"/>
  <c r="L58" i="62"/>
  <c r="F58" i="62"/>
  <c r="R58" i="62" s="1"/>
  <c r="S57" i="62"/>
  <c r="W57" i="62" s="1"/>
  <c r="X57" i="62" s="1"/>
  <c r="L57" i="62"/>
  <c r="F57" i="62"/>
  <c r="R57" i="62" s="1"/>
  <c r="S56" i="62"/>
  <c r="W56" i="62" s="1"/>
  <c r="X56" i="62" s="1"/>
  <c r="L56" i="62"/>
  <c r="F56" i="62"/>
  <c r="R56" i="62" s="1"/>
  <c r="S55" i="62"/>
  <c r="W55" i="62" s="1"/>
  <c r="X55" i="62" s="1"/>
  <c r="L55" i="62"/>
  <c r="F55" i="62"/>
  <c r="R55" i="62" s="1"/>
  <c r="S54" i="62"/>
  <c r="W54" i="62" s="1"/>
  <c r="X54" i="62" s="1"/>
  <c r="L54" i="62"/>
  <c r="F54" i="62"/>
  <c r="R54" i="62" s="1"/>
  <c r="S53" i="62"/>
  <c r="W53" i="62" s="1"/>
  <c r="X53" i="62" s="1"/>
  <c r="L53" i="62"/>
  <c r="F53" i="62"/>
  <c r="R53" i="62" s="1"/>
  <c r="S52" i="62"/>
  <c r="W52" i="62" s="1"/>
  <c r="X52" i="62" s="1"/>
  <c r="L52" i="62"/>
  <c r="F52" i="62"/>
  <c r="R52" i="62" s="1"/>
  <c r="S51" i="62"/>
  <c r="W51" i="62" s="1"/>
  <c r="X51" i="62" s="1"/>
  <c r="L51" i="62"/>
  <c r="F51" i="62"/>
  <c r="R51" i="62" s="1"/>
  <c r="S50" i="62"/>
  <c r="W50" i="62" s="1"/>
  <c r="X50" i="62" s="1"/>
  <c r="L50" i="62"/>
  <c r="F50" i="62"/>
  <c r="R50" i="62" s="1"/>
  <c r="S49" i="62"/>
  <c r="W49" i="62" s="1"/>
  <c r="X49" i="62" s="1"/>
  <c r="L49" i="62"/>
  <c r="F49" i="62"/>
  <c r="R49" i="62" s="1"/>
  <c r="S48" i="62"/>
  <c r="W48" i="62" s="1"/>
  <c r="X48" i="62" s="1"/>
  <c r="L48" i="62"/>
  <c r="F48" i="62"/>
  <c r="R48" i="62" s="1"/>
  <c r="S47" i="62"/>
  <c r="W47" i="62" s="1"/>
  <c r="X47" i="62" s="1"/>
  <c r="L47" i="62"/>
  <c r="F47" i="62"/>
  <c r="R47" i="62" s="1"/>
  <c r="S46" i="62"/>
  <c r="W46" i="62" s="1"/>
  <c r="X46" i="62" s="1"/>
  <c r="L46" i="62"/>
  <c r="F46" i="62"/>
  <c r="R46" i="62" s="1"/>
  <c r="S45" i="62"/>
  <c r="W45" i="62" s="1"/>
  <c r="X45" i="62" s="1"/>
  <c r="L45" i="62"/>
  <c r="F45" i="62"/>
  <c r="R45" i="62" s="1"/>
  <c r="S44" i="62"/>
  <c r="W44" i="62" s="1"/>
  <c r="X44" i="62" s="1"/>
  <c r="L44" i="62"/>
  <c r="F44" i="62"/>
  <c r="R44" i="62" s="1"/>
  <c r="S43" i="62"/>
  <c r="W43" i="62" s="1"/>
  <c r="X43" i="62" s="1"/>
  <c r="F43" i="62"/>
  <c r="S42" i="62"/>
  <c r="W42" i="62" s="1"/>
  <c r="N42" i="62"/>
  <c r="F42" i="62"/>
  <c r="S41" i="62"/>
  <c r="W41" i="62" s="1"/>
  <c r="N41" i="62"/>
  <c r="F41" i="62"/>
  <c r="S40" i="62"/>
  <c r="W40" i="62" s="1"/>
  <c r="P40" i="62"/>
  <c r="L40" i="62"/>
  <c r="J40" i="62"/>
  <c r="H40" i="62"/>
  <c r="F40" i="62"/>
  <c r="V39" i="62"/>
  <c r="S39" i="62"/>
  <c r="W39" i="62" s="1"/>
  <c r="X39" i="62" s="1"/>
  <c r="P39" i="62"/>
  <c r="L39" i="62"/>
  <c r="R39" i="62" s="1"/>
  <c r="J39" i="62"/>
  <c r="H39" i="62"/>
  <c r="F39" i="62"/>
  <c r="S38" i="62"/>
  <c r="W38" i="62" s="1"/>
  <c r="J38" i="62"/>
  <c r="F38" i="62"/>
  <c r="V38" i="62" s="1"/>
  <c r="S37" i="62"/>
  <c r="T37" i="62" s="1"/>
  <c r="R37" i="62"/>
  <c r="L37" i="62"/>
  <c r="J37" i="62"/>
  <c r="H37" i="62"/>
  <c r="F37" i="62"/>
  <c r="V37" i="62" s="1"/>
  <c r="V36" i="62"/>
  <c r="S36" i="62"/>
  <c r="W36" i="62" s="1"/>
  <c r="X36" i="62" s="1"/>
  <c r="R36" i="62"/>
  <c r="P36" i="62"/>
  <c r="L36" i="62"/>
  <c r="J36" i="62"/>
  <c r="H36" i="62"/>
  <c r="F36" i="62"/>
  <c r="V35" i="62"/>
  <c r="S35" i="62"/>
  <c r="W35" i="62" s="1"/>
  <c r="X35" i="62" s="1"/>
  <c r="R35" i="62"/>
  <c r="P35" i="62"/>
  <c r="L35" i="62"/>
  <c r="J35" i="62"/>
  <c r="H35" i="62"/>
  <c r="F35" i="62"/>
  <c r="V34" i="62"/>
  <c r="S34" i="62"/>
  <c r="W34" i="62" s="1"/>
  <c r="X34" i="62" s="1"/>
  <c r="R34" i="62"/>
  <c r="P34" i="62"/>
  <c r="L34" i="62"/>
  <c r="J34" i="62"/>
  <c r="H34" i="62"/>
  <c r="F34" i="62"/>
  <c r="V33" i="62"/>
  <c r="S33" i="62"/>
  <c r="W33" i="62" s="1"/>
  <c r="X33" i="62" s="1"/>
  <c r="R33" i="62"/>
  <c r="P33" i="62"/>
  <c r="L33" i="62"/>
  <c r="J33" i="62"/>
  <c r="H33" i="62"/>
  <c r="F33" i="62"/>
  <c r="V32" i="62"/>
  <c r="S32" i="62"/>
  <c r="W32" i="62" s="1"/>
  <c r="X32" i="62" s="1"/>
  <c r="R32" i="62"/>
  <c r="P32" i="62"/>
  <c r="L32" i="62"/>
  <c r="J32" i="62"/>
  <c r="H32" i="62"/>
  <c r="F32" i="62"/>
  <c r="V31" i="62"/>
  <c r="S31" i="62"/>
  <c r="W31" i="62" s="1"/>
  <c r="X31" i="62" s="1"/>
  <c r="R31" i="62"/>
  <c r="P31" i="62"/>
  <c r="L31" i="62"/>
  <c r="J31" i="62"/>
  <c r="H31" i="62"/>
  <c r="F31" i="62"/>
  <c r="V30" i="62"/>
  <c r="S30" i="62"/>
  <c r="W30" i="62" s="1"/>
  <c r="X30" i="62" s="1"/>
  <c r="R30" i="62"/>
  <c r="P30" i="62"/>
  <c r="L30" i="62"/>
  <c r="J30" i="62"/>
  <c r="H30" i="62"/>
  <c r="F30" i="62"/>
  <c r="V29" i="62"/>
  <c r="S29" i="62"/>
  <c r="W29" i="62" s="1"/>
  <c r="X29" i="62" s="1"/>
  <c r="R29" i="62"/>
  <c r="P29" i="62"/>
  <c r="L29" i="62"/>
  <c r="J29" i="62"/>
  <c r="H29" i="62"/>
  <c r="F29" i="62"/>
  <c r="V28" i="62"/>
  <c r="S28" i="62"/>
  <c r="W28" i="62" s="1"/>
  <c r="X28" i="62" s="1"/>
  <c r="R28" i="62"/>
  <c r="P28" i="62"/>
  <c r="L28" i="62"/>
  <c r="J28" i="62"/>
  <c r="H28" i="62"/>
  <c r="F28" i="62"/>
  <c r="V27" i="62"/>
  <c r="S27" i="62"/>
  <c r="W27" i="62" s="1"/>
  <c r="X27" i="62" s="1"/>
  <c r="R27" i="62"/>
  <c r="P27" i="62"/>
  <c r="L27" i="62"/>
  <c r="J27" i="62"/>
  <c r="H27" i="62"/>
  <c r="F27" i="62"/>
  <c r="V26" i="62"/>
  <c r="S26" i="62"/>
  <c r="W26" i="62" s="1"/>
  <c r="X26" i="62" s="1"/>
  <c r="R26" i="62"/>
  <c r="P26" i="62"/>
  <c r="L26" i="62"/>
  <c r="J26" i="62"/>
  <c r="H26" i="62"/>
  <c r="F26" i="62"/>
  <c r="V25" i="62"/>
  <c r="S25" i="62"/>
  <c r="W25" i="62" s="1"/>
  <c r="X25" i="62" s="1"/>
  <c r="R25" i="62"/>
  <c r="P25" i="62"/>
  <c r="L25" i="62"/>
  <c r="J25" i="62"/>
  <c r="H25" i="62"/>
  <c r="F25" i="62"/>
  <c r="V24" i="62"/>
  <c r="S24" i="62"/>
  <c r="W24" i="62" s="1"/>
  <c r="X24" i="62" s="1"/>
  <c r="R24" i="62"/>
  <c r="P24" i="62"/>
  <c r="L24" i="62"/>
  <c r="J24" i="62"/>
  <c r="H24" i="62"/>
  <c r="F24" i="62"/>
  <c r="V23" i="62"/>
  <c r="S23" i="62"/>
  <c r="W23" i="62" s="1"/>
  <c r="X23" i="62" s="1"/>
  <c r="R23" i="62"/>
  <c r="P23" i="62"/>
  <c r="L23" i="62"/>
  <c r="J23" i="62"/>
  <c r="H23" i="62"/>
  <c r="F23" i="62"/>
  <c r="S22" i="62"/>
  <c r="W22" i="62" s="1"/>
  <c r="X22" i="62" s="1"/>
  <c r="N22" i="62"/>
  <c r="J22" i="62"/>
  <c r="F22" i="62"/>
  <c r="S21" i="62"/>
  <c r="W21" i="62" s="1"/>
  <c r="F21" i="62"/>
  <c r="P21" i="62" s="1"/>
  <c r="S20" i="62"/>
  <c r="T20" i="62" s="1"/>
  <c r="R20" i="62"/>
  <c r="N20" i="62"/>
  <c r="J20" i="62"/>
  <c r="F20" i="62"/>
  <c r="S19" i="62"/>
  <c r="W19" i="62" s="1"/>
  <c r="N19" i="62"/>
  <c r="J19" i="62"/>
  <c r="F19" i="62"/>
  <c r="R19" i="62" s="1"/>
  <c r="S18" i="62"/>
  <c r="T18" i="62" s="1"/>
  <c r="J18" i="62"/>
  <c r="F18" i="62"/>
  <c r="R18" i="62" s="1"/>
  <c r="S17" i="62"/>
  <c r="W17" i="62" s="1"/>
  <c r="F17" i="62"/>
  <c r="S16" i="62"/>
  <c r="W16" i="62" s="1"/>
  <c r="F16" i="62"/>
  <c r="S15" i="62"/>
  <c r="W15" i="62" s="1"/>
  <c r="J15" i="62"/>
  <c r="F15" i="62"/>
  <c r="N15" i="62" s="1"/>
  <c r="S14" i="62"/>
  <c r="W14" i="62" s="1"/>
  <c r="L14" i="62"/>
  <c r="P14" i="62" s="1"/>
  <c r="J14" i="62"/>
  <c r="F14" i="62"/>
  <c r="N14" i="62" s="1"/>
  <c r="R14" i="62" s="1"/>
  <c r="S13" i="62"/>
  <c r="T13" i="62" s="1"/>
  <c r="N13" i="62"/>
  <c r="L13" i="62"/>
  <c r="J13" i="62"/>
  <c r="F13" i="62"/>
  <c r="S12" i="62"/>
  <c r="T12" i="62" s="1"/>
  <c r="P12" i="62"/>
  <c r="L12" i="62"/>
  <c r="J12" i="62"/>
  <c r="H12" i="62"/>
  <c r="F12" i="62"/>
  <c r="V12" i="62" s="1"/>
  <c r="S11" i="62"/>
  <c r="W11" i="62" s="1"/>
  <c r="F11" i="62"/>
  <c r="L11" i="62" s="1"/>
  <c r="S10" i="62"/>
  <c r="W10" i="62" s="1"/>
  <c r="H10" i="62"/>
  <c r="F10" i="62"/>
  <c r="V10" i="62" s="1"/>
  <c r="S9" i="62"/>
  <c r="W9" i="62" s="1"/>
  <c r="L9" i="62"/>
  <c r="H9" i="62"/>
  <c r="F9" i="62"/>
  <c r="V9" i="62" s="1"/>
  <c r="V8" i="62"/>
  <c r="S8" i="62"/>
  <c r="W8" i="62" s="1"/>
  <c r="N8" i="62"/>
  <c r="L8" i="62"/>
  <c r="H8" i="62"/>
  <c r="F8" i="62"/>
  <c r="S7" i="62"/>
  <c r="W7" i="62" s="1"/>
  <c r="F7" i="62"/>
  <c r="H7" i="62" s="1"/>
  <c r="S6" i="62"/>
  <c r="W6" i="62" s="1"/>
  <c r="H6" i="62"/>
  <c r="F6" i="62"/>
  <c r="V6" i="62" s="1"/>
  <c r="V5" i="62"/>
  <c r="S5" i="62"/>
  <c r="W5" i="62" s="1"/>
  <c r="P5" i="62"/>
  <c r="H5" i="62"/>
  <c r="F5" i="62"/>
  <c r="V70" i="61"/>
  <c r="S70" i="61"/>
  <c r="W70" i="61" s="1"/>
  <c r="X70" i="61" s="1"/>
  <c r="N70" i="61"/>
  <c r="W69" i="61"/>
  <c r="S69" i="61"/>
  <c r="F69" i="61"/>
  <c r="S68" i="61"/>
  <c r="W68" i="61" s="1"/>
  <c r="H68" i="61"/>
  <c r="F68" i="61"/>
  <c r="V67" i="61"/>
  <c r="S67" i="61"/>
  <c r="L67" i="61"/>
  <c r="J67" i="61"/>
  <c r="H67" i="61"/>
  <c r="F67" i="61"/>
  <c r="N67" i="61" s="1"/>
  <c r="V66" i="61"/>
  <c r="S66" i="61"/>
  <c r="W66" i="61" s="1"/>
  <c r="N66" i="61"/>
  <c r="H66" i="61"/>
  <c r="F66" i="61"/>
  <c r="V65" i="61"/>
  <c r="S65" i="61"/>
  <c r="W65" i="61" s="1"/>
  <c r="X65" i="61" s="1"/>
  <c r="P65" i="61"/>
  <c r="L65" i="61"/>
  <c r="H65" i="61"/>
  <c r="F65" i="61"/>
  <c r="R65" i="61" s="1"/>
  <c r="V64" i="61"/>
  <c r="S64" i="61"/>
  <c r="W64" i="61" s="1"/>
  <c r="X64" i="61" s="1"/>
  <c r="P64" i="61"/>
  <c r="L64" i="61"/>
  <c r="H64" i="61"/>
  <c r="F64" i="61"/>
  <c r="R64" i="61" s="1"/>
  <c r="V63" i="61"/>
  <c r="S63" i="61"/>
  <c r="W63" i="61" s="1"/>
  <c r="X63" i="61" s="1"/>
  <c r="P63" i="61"/>
  <c r="L63" i="61"/>
  <c r="H63" i="61"/>
  <c r="F63" i="61"/>
  <c r="R63" i="61" s="1"/>
  <c r="S62" i="61"/>
  <c r="W62" i="61" s="1"/>
  <c r="X62" i="61" s="1"/>
  <c r="P62" i="61"/>
  <c r="L62" i="61"/>
  <c r="H62" i="61"/>
  <c r="F62" i="61"/>
  <c r="R62" i="61" s="1"/>
  <c r="S61" i="61"/>
  <c r="W61" i="61" s="1"/>
  <c r="X61" i="61" s="1"/>
  <c r="P61" i="61"/>
  <c r="L61" i="61"/>
  <c r="H61" i="61"/>
  <c r="F61" i="61"/>
  <c r="R61" i="61" s="1"/>
  <c r="S60" i="61"/>
  <c r="W60" i="61" s="1"/>
  <c r="X60" i="61" s="1"/>
  <c r="L60" i="61"/>
  <c r="H60" i="61"/>
  <c r="F60" i="61"/>
  <c r="R60" i="61" s="1"/>
  <c r="S59" i="61"/>
  <c r="W59" i="61" s="1"/>
  <c r="X59" i="61" s="1"/>
  <c r="L59" i="61"/>
  <c r="F59" i="61"/>
  <c r="R59" i="61" s="1"/>
  <c r="S58" i="61"/>
  <c r="W58" i="61" s="1"/>
  <c r="X58" i="61" s="1"/>
  <c r="L58" i="61"/>
  <c r="F58" i="61"/>
  <c r="R58" i="61" s="1"/>
  <c r="S57" i="61"/>
  <c r="W57" i="61" s="1"/>
  <c r="X57" i="61" s="1"/>
  <c r="L57" i="61"/>
  <c r="F57" i="61"/>
  <c r="R57" i="61" s="1"/>
  <c r="S56" i="61"/>
  <c r="W56" i="61" s="1"/>
  <c r="X56" i="61" s="1"/>
  <c r="L56" i="61"/>
  <c r="F56" i="61"/>
  <c r="R56" i="61" s="1"/>
  <c r="S55" i="61"/>
  <c r="W55" i="61" s="1"/>
  <c r="X55" i="61" s="1"/>
  <c r="L55" i="61"/>
  <c r="F55" i="61"/>
  <c r="R55" i="61" s="1"/>
  <c r="S54" i="61"/>
  <c r="W54" i="61" s="1"/>
  <c r="X54" i="61" s="1"/>
  <c r="L54" i="61"/>
  <c r="F54" i="61"/>
  <c r="R54" i="61" s="1"/>
  <c r="S53" i="61"/>
  <c r="W53" i="61" s="1"/>
  <c r="X53" i="61" s="1"/>
  <c r="L53" i="61"/>
  <c r="F53" i="61"/>
  <c r="R53" i="61" s="1"/>
  <c r="S52" i="61"/>
  <c r="W52" i="61" s="1"/>
  <c r="X52" i="61" s="1"/>
  <c r="L52" i="61"/>
  <c r="F52" i="61"/>
  <c r="R52" i="61" s="1"/>
  <c r="S51" i="61"/>
  <c r="W51" i="61" s="1"/>
  <c r="X51" i="61" s="1"/>
  <c r="L51" i="61"/>
  <c r="F51" i="61"/>
  <c r="R51" i="61" s="1"/>
  <c r="S50" i="61"/>
  <c r="W50" i="61" s="1"/>
  <c r="X50" i="61" s="1"/>
  <c r="L50" i="61"/>
  <c r="F50" i="61"/>
  <c r="R50" i="61" s="1"/>
  <c r="S49" i="61"/>
  <c r="W49" i="61" s="1"/>
  <c r="X49" i="61" s="1"/>
  <c r="L49" i="61"/>
  <c r="F49" i="61"/>
  <c r="R49" i="61" s="1"/>
  <c r="S48" i="61"/>
  <c r="W48" i="61" s="1"/>
  <c r="X48" i="61" s="1"/>
  <c r="L48" i="61"/>
  <c r="F48" i="61"/>
  <c r="R48" i="61" s="1"/>
  <c r="S47" i="61"/>
  <c r="W47" i="61" s="1"/>
  <c r="X47" i="61" s="1"/>
  <c r="L47" i="61"/>
  <c r="F47" i="61"/>
  <c r="R47" i="61" s="1"/>
  <c r="S46" i="61"/>
  <c r="W46" i="61" s="1"/>
  <c r="X46" i="61" s="1"/>
  <c r="L46" i="61"/>
  <c r="F46" i="61"/>
  <c r="R46" i="61" s="1"/>
  <c r="S45" i="61"/>
  <c r="W45" i="61" s="1"/>
  <c r="X45" i="61" s="1"/>
  <c r="L45" i="61"/>
  <c r="F45" i="61"/>
  <c r="R45" i="61" s="1"/>
  <c r="S44" i="61"/>
  <c r="W44" i="61" s="1"/>
  <c r="X44" i="61" s="1"/>
  <c r="L44" i="61"/>
  <c r="F44" i="61"/>
  <c r="R44" i="61" s="1"/>
  <c r="S43" i="61"/>
  <c r="W43" i="61" s="1"/>
  <c r="F43" i="61"/>
  <c r="S42" i="61"/>
  <c r="W42" i="61" s="1"/>
  <c r="F42" i="61"/>
  <c r="S41" i="61"/>
  <c r="W41" i="61" s="1"/>
  <c r="F41" i="61"/>
  <c r="S40" i="61"/>
  <c r="W40" i="61" s="1"/>
  <c r="F40" i="61"/>
  <c r="S39" i="61"/>
  <c r="W39" i="61" s="1"/>
  <c r="F39" i="61"/>
  <c r="S38" i="61"/>
  <c r="W38" i="61" s="1"/>
  <c r="H38" i="61"/>
  <c r="L38" i="61" s="1"/>
  <c r="F38" i="61"/>
  <c r="S37" i="61"/>
  <c r="W37" i="61" s="1"/>
  <c r="F37" i="61"/>
  <c r="S36" i="61"/>
  <c r="W36" i="61" s="1"/>
  <c r="X36" i="61" s="1"/>
  <c r="R36" i="61"/>
  <c r="P36" i="61"/>
  <c r="L36" i="61"/>
  <c r="J36" i="61"/>
  <c r="H36" i="61"/>
  <c r="F36" i="61"/>
  <c r="V36" i="61" s="1"/>
  <c r="V35" i="61"/>
  <c r="S35" i="61"/>
  <c r="W35" i="61" s="1"/>
  <c r="X35" i="61" s="1"/>
  <c r="R35" i="61"/>
  <c r="P35" i="61"/>
  <c r="L35" i="61"/>
  <c r="J35" i="61"/>
  <c r="H35" i="61"/>
  <c r="F35" i="61"/>
  <c r="V34" i="61"/>
  <c r="S34" i="61"/>
  <c r="W34" i="61" s="1"/>
  <c r="X34" i="61" s="1"/>
  <c r="R34" i="61"/>
  <c r="P34" i="61"/>
  <c r="L34" i="61"/>
  <c r="J34" i="61"/>
  <c r="H34" i="61"/>
  <c r="F34" i="61"/>
  <c r="V33" i="61"/>
  <c r="S33" i="61"/>
  <c r="W33" i="61" s="1"/>
  <c r="X33" i="61" s="1"/>
  <c r="R33" i="61"/>
  <c r="P33" i="61"/>
  <c r="L33" i="61"/>
  <c r="J33" i="61"/>
  <c r="H33" i="61"/>
  <c r="F33" i="61"/>
  <c r="V32" i="61"/>
  <c r="S32" i="61"/>
  <c r="W32" i="61" s="1"/>
  <c r="X32" i="61" s="1"/>
  <c r="R32" i="61"/>
  <c r="P32" i="61"/>
  <c r="L32" i="61"/>
  <c r="J32" i="61"/>
  <c r="H32" i="61"/>
  <c r="F32" i="61"/>
  <c r="V31" i="61"/>
  <c r="S31" i="61"/>
  <c r="W31" i="61" s="1"/>
  <c r="X31" i="61" s="1"/>
  <c r="R31" i="61"/>
  <c r="P31" i="61"/>
  <c r="L31" i="61"/>
  <c r="J31" i="61"/>
  <c r="H31" i="61"/>
  <c r="F31" i="61"/>
  <c r="V30" i="61"/>
  <c r="S30" i="61"/>
  <c r="W30" i="61" s="1"/>
  <c r="X30" i="61" s="1"/>
  <c r="R30" i="61"/>
  <c r="P30" i="61"/>
  <c r="L30" i="61"/>
  <c r="J30" i="61"/>
  <c r="H30" i="61"/>
  <c r="F30" i="61"/>
  <c r="V29" i="61"/>
  <c r="S29" i="61"/>
  <c r="W29" i="61" s="1"/>
  <c r="X29" i="61" s="1"/>
  <c r="R29" i="61"/>
  <c r="P29" i="61"/>
  <c r="L29" i="61"/>
  <c r="J29" i="61"/>
  <c r="H29" i="61"/>
  <c r="F29" i="61"/>
  <c r="V28" i="61"/>
  <c r="S28" i="61"/>
  <c r="W28" i="61" s="1"/>
  <c r="X28" i="61" s="1"/>
  <c r="R28" i="61"/>
  <c r="P28" i="61"/>
  <c r="L28" i="61"/>
  <c r="J28" i="61"/>
  <c r="H28" i="61"/>
  <c r="F28" i="61"/>
  <c r="V27" i="61"/>
  <c r="S27" i="61"/>
  <c r="W27" i="61" s="1"/>
  <c r="X27" i="61" s="1"/>
  <c r="R27" i="61"/>
  <c r="P27" i="61"/>
  <c r="L27" i="61"/>
  <c r="J27" i="61"/>
  <c r="H27" i="61"/>
  <c r="F27" i="61"/>
  <c r="V26" i="61"/>
  <c r="S26" i="61"/>
  <c r="W26" i="61" s="1"/>
  <c r="X26" i="61" s="1"/>
  <c r="R26" i="61"/>
  <c r="P26" i="61"/>
  <c r="L26" i="61"/>
  <c r="J26" i="61"/>
  <c r="H26" i="61"/>
  <c r="F26" i="61"/>
  <c r="V25" i="61"/>
  <c r="S25" i="61"/>
  <c r="W25" i="61" s="1"/>
  <c r="X25" i="61" s="1"/>
  <c r="R25" i="61"/>
  <c r="P25" i="61"/>
  <c r="L25" i="61"/>
  <c r="J25" i="61"/>
  <c r="H25" i="61"/>
  <c r="F25" i="61"/>
  <c r="V24" i="61"/>
  <c r="S24" i="61"/>
  <c r="W24" i="61" s="1"/>
  <c r="X24" i="61" s="1"/>
  <c r="R24" i="61"/>
  <c r="P24" i="61"/>
  <c r="L24" i="61"/>
  <c r="J24" i="61"/>
  <c r="H24" i="61"/>
  <c r="F24" i="61"/>
  <c r="V23" i="61"/>
  <c r="S23" i="61"/>
  <c r="W23" i="61" s="1"/>
  <c r="X23" i="61" s="1"/>
  <c r="R23" i="61"/>
  <c r="P23" i="61"/>
  <c r="L23" i="61"/>
  <c r="J23" i="61"/>
  <c r="H23" i="61"/>
  <c r="F23" i="61"/>
  <c r="S22" i="61"/>
  <c r="W22" i="61" s="1"/>
  <c r="X22" i="61" s="1"/>
  <c r="J22" i="61"/>
  <c r="F22" i="61"/>
  <c r="V21" i="61"/>
  <c r="S21" i="61"/>
  <c r="T21" i="61" s="1"/>
  <c r="P21" i="61"/>
  <c r="J21" i="61"/>
  <c r="F21" i="61"/>
  <c r="S20" i="61"/>
  <c r="W20" i="61" s="1"/>
  <c r="F20" i="61"/>
  <c r="S19" i="61"/>
  <c r="W19" i="61" s="1"/>
  <c r="N19" i="61"/>
  <c r="J19" i="61"/>
  <c r="F19" i="61"/>
  <c r="S18" i="61"/>
  <c r="W18" i="61" s="1"/>
  <c r="L18" i="61"/>
  <c r="F18" i="61"/>
  <c r="N18" i="61" s="1"/>
  <c r="S17" i="61"/>
  <c r="T17" i="61" s="1"/>
  <c r="N17" i="61"/>
  <c r="L17" i="61"/>
  <c r="J17" i="61"/>
  <c r="F17" i="61"/>
  <c r="S16" i="61"/>
  <c r="W16" i="61" s="1"/>
  <c r="F16" i="61"/>
  <c r="S15" i="61"/>
  <c r="W15" i="61" s="1"/>
  <c r="N15" i="61"/>
  <c r="J15" i="61"/>
  <c r="F15" i="61"/>
  <c r="S14" i="61"/>
  <c r="W14" i="61" s="1"/>
  <c r="L14" i="61"/>
  <c r="P14" i="61" s="1"/>
  <c r="F14" i="61"/>
  <c r="N14" i="61" s="1"/>
  <c r="R14" i="61" s="1"/>
  <c r="S13" i="61"/>
  <c r="T13" i="61" s="1"/>
  <c r="N13" i="61"/>
  <c r="L13" i="61"/>
  <c r="J13" i="61"/>
  <c r="F13" i="61"/>
  <c r="S12" i="61"/>
  <c r="W12" i="61" s="1"/>
  <c r="X12" i="61" s="1"/>
  <c r="P12" i="61"/>
  <c r="L12" i="61"/>
  <c r="J12" i="61"/>
  <c r="H12" i="61"/>
  <c r="F12" i="61"/>
  <c r="V12" i="61" s="1"/>
  <c r="S11" i="61"/>
  <c r="W11" i="61" s="1"/>
  <c r="F11" i="61"/>
  <c r="V10" i="61"/>
  <c r="S10" i="61"/>
  <c r="W10" i="61" s="1"/>
  <c r="N10" i="61"/>
  <c r="H10" i="61"/>
  <c r="F10" i="61"/>
  <c r="S9" i="61"/>
  <c r="W9" i="61" s="1"/>
  <c r="L9" i="61"/>
  <c r="F9" i="61"/>
  <c r="V9" i="61" s="1"/>
  <c r="V8" i="61"/>
  <c r="S8" i="61"/>
  <c r="W8" i="61" s="1"/>
  <c r="N8" i="61"/>
  <c r="L8" i="61"/>
  <c r="H8" i="61"/>
  <c r="F8" i="61"/>
  <c r="S7" i="61"/>
  <c r="W7" i="61" s="1"/>
  <c r="F7" i="61"/>
  <c r="V6" i="61"/>
  <c r="S6" i="61"/>
  <c r="W6" i="61" s="1"/>
  <c r="N6" i="61"/>
  <c r="H6" i="61"/>
  <c r="F6" i="61"/>
  <c r="V5" i="61"/>
  <c r="S5" i="61"/>
  <c r="W5" i="61" s="1"/>
  <c r="X5" i="61" s="1"/>
  <c r="P5" i="61"/>
  <c r="L5" i="61"/>
  <c r="H5" i="61"/>
  <c r="F5" i="61"/>
  <c r="V70" i="60"/>
  <c r="S70" i="60"/>
  <c r="W70" i="60" s="1"/>
  <c r="X70" i="60" s="1"/>
  <c r="N70" i="60"/>
  <c r="S69" i="60"/>
  <c r="W69" i="60" s="1"/>
  <c r="R69" i="60"/>
  <c r="F69" i="60"/>
  <c r="S68" i="60"/>
  <c r="W68" i="60" s="1"/>
  <c r="F68" i="60"/>
  <c r="V67" i="60"/>
  <c r="S67" i="60"/>
  <c r="W67" i="60" s="1"/>
  <c r="X67" i="60" s="1"/>
  <c r="L67" i="60"/>
  <c r="J67" i="60"/>
  <c r="H67" i="60"/>
  <c r="F67" i="60"/>
  <c r="N67" i="60" s="1"/>
  <c r="S66" i="60"/>
  <c r="W66" i="60" s="1"/>
  <c r="P66" i="60"/>
  <c r="N66" i="60"/>
  <c r="F66" i="60"/>
  <c r="S65" i="60"/>
  <c r="W65" i="60" s="1"/>
  <c r="X65" i="60" s="1"/>
  <c r="L65" i="60"/>
  <c r="F65" i="60"/>
  <c r="N65" i="60" s="1"/>
  <c r="S64" i="60"/>
  <c r="W64" i="60" s="1"/>
  <c r="X64" i="60" s="1"/>
  <c r="N64" i="60"/>
  <c r="L64" i="60"/>
  <c r="F64" i="60"/>
  <c r="S63" i="60"/>
  <c r="W63" i="60" s="1"/>
  <c r="X63" i="60" s="1"/>
  <c r="L63" i="60"/>
  <c r="F63" i="60"/>
  <c r="N63" i="60" s="1"/>
  <c r="S62" i="60"/>
  <c r="W62" i="60" s="1"/>
  <c r="X62" i="60" s="1"/>
  <c r="N62" i="60"/>
  <c r="L62" i="60"/>
  <c r="F62" i="60"/>
  <c r="S61" i="60"/>
  <c r="W61" i="60" s="1"/>
  <c r="X61" i="60" s="1"/>
  <c r="L61" i="60"/>
  <c r="F61" i="60"/>
  <c r="N61" i="60" s="1"/>
  <c r="S60" i="60"/>
  <c r="W60" i="60" s="1"/>
  <c r="X60" i="60" s="1"/>
  <c r="N60" i="60"/>
  <c r="L60" i="60"/>
  <c r="F60" i="60"/>
  <c r="S59" i="60"/>
  <c r="W59" i="60" s="1"/>
  <c r="X59" i="60" s="1"/>
  <c r="L59" i="60"/>
  <c r="F59" i="60"/>
  <c r="N59" i="60" s="1"/>
  <c r="S58" i="60"/>
  <c r="W58" i="60" s="1"/>
  <c r="X58" i="60" s="1"/>
  <c r="N58" i="60"/>
  <c r="L58" i="60"/>
  <c r="F58" i="60"/>
  <c r="S57" i="60"/>
  <c r="W57" i="60" s="1"/>
  <c r="X57" i="60" s="1"/>
  <c r="L57" i="60"/>
  <c r="F57" i="60"/>
  <c r="N57" i="60" s="1"/>
  <c r="S56" i="60"/>
  <c r="W56" i="60" s="1"/>
  <c r="X56" i="60" s="1"/>
  <c r="N56" i="60"/>
  <c r="L56" i="60"/>
  <c r="F56" i="60"/>
  <c r="S55" i="60"/>
  <c r="W55" i="60" s="1"/>
  <c r="X55" i="60" s="1"/>
  <c r="L55" i="60"/>
  <c r="F55" i="60"/>
  <c r="N55" i="60" s="1"/>
  <c r="S54" i="60"/>
  <c r="W54" i="60" s="1"/>
  <c r="X54" i="60" s="1"/>
  <c r="N54" i="60"/>
  <c r="L54" i="60"/>
  <c r="F54" i="60"/>
  <c r="S53" i="60"/>
  <c r="W53" i="60" s="1"/>
  <c r="X53" i="60" s="1"/>
  <c r="L53" i="60"/>
  <c r="F53" i="60"/>
  <c r="N53" i="60" s="1"/>
  <c r="S52" i="60"/>
  <c r="W52" i="60" s="1"/>
  <c r="X52" i="60" s="1"/>
  <c r="N52" i="60"/>
  <c r="L52" i="60"/>
  <c r="F52" i="60"/>
  <c r="S51" i="60"/>
  <c r="W51" i="60" s="1"/>
  <c r="X51" i="60" s="1"/>
  <c r="L51" i="60"/>
  <c r="F51" i="60"/>
  <c r="N51" i="60" s="1"/>
  <c r="S50" i="60"/>
  <c r="W50" i="60" s="1"/>
  <c r="X50" i="60" s="1"/>
  <c r="N50" i="60"/>
  <c r="L50" i="60"/>
  <c r="F50" i="60"/>
  <c r="S49" i="60"/>
  <c r="W49" i="60" s="1"/>
  <c r="X49" i="60" s="1"/>
  <c r="L49" i="60"/>
  <c r="F49" i="60"/>
  <c r="N49" i="60" s="1"/>
  <c r="S48" i="60"/>
  <c r="W48" i="60" s="1"/>
  <c r="X48" i="60" s="1"/>
  <c r="N48" i="60"/>
  <c r="L48" i="60"/>
  <c r="F48" i="60"/>
  <c r="S47" i="60"/>
  <c r="W47" i="60" s="1"/>
  <c r="X47" i="60" s="1"/>
  <c r="L47" i="60"/>
  <c r="F47" i="60"/>
  <c r="N47" i="60" s="1"/>
  <c r="S46" i="60"/>
  <c r="W46" i="60" s="1"/>
  <c r="X46" i="60" s="1"/>
  <c r="N46" i="60"/>
  <c r="L46" i="60"/>
  <c r="F46" i="60"/>
  <c r="S45" i="60"/>
  <c r="W45" i="60" s="1"/>
  <c r="X45" i="60" s="1"/>
  <c r="L45" i="60"/>
  <c r="F45" i="60"/>
  <c r="N45" i="60" s="1"/>
  <c r="S44" i="60"/>
  <c r="W44" i="60" s="1"/>
  <c r="X44" i="60" s="1"/>
  <c r="N44" i="60"/>
  <c r="L44" i="60"/>
  <c r="F44" i="60"/>
  <c r="S43" i="60"/>
  <c r="W43" i="60" s="1"/>
  <c r="X43" i="60" s="1"/>
  <c r="F43" i="60"/>
  <c r="V42" i="60"/>
  <c r="S42" i="60"/>
  <c r="W42" i="60" s="1"/>
  <c r="P42" i="60"/>
  <c r="N42" i="60"/>
  <c r="H42" i="60"/>
  <c r="F42" i="60"/>
  <c r="S41" i="60"/>
  <c r="W41" i="60" s="1"/>
  <c r="F41" i="60"/>
  <c r="V41" i="60" s="1"/>
  <c r="V40" i="60"/>
  <c r="S40" i="60"/>
  <c r="N40" i="60"/>
  <c r="L40" i="60"/>
  <c r="H40" i="60"/>
  <c r="F40" i="60"/>
  <c r="S39" i="60"/>
  <c r="W39" i="60" s="1"/>
  <c r="X39" i="60" s="1"/>
  <c r="N39" i="60"/>
  <c r="J39" i="60"/>
  <c r="P39" i="60" s="1"/>
  <c r="F39" i="60"/>
  <c r="V38" i="60"/>
  <c r="S38" i="60"/>
  <c r="W38" i="60" s="1"/>
  <c r="L38" i="60"/>
  <c r="J38" i="60"/>
  <c r="H38" i="60"/>
  <c r="F38" i="60"/>
  <c r="S37" i="60"/>
  <c r="W37" i="60" s="1"/>
  <c r="X37" i="60" s="1"/>
  <c r="J37" i="60"/>
  <c r="F37" i="60"/>
  <c r="N37" i="60" s="1"/>
  <c r="S36" i="60"/>
  <c r="W36" i="60" s="1"/>
  <c r="F36" i="60"/>
  <c r="S35" i="60"/>
  <c r="W35" i="60" s="1"/>
  <c r="R35" i="60"/>
  <c r="N35" i="60"/>
  <c r="J35" i="60"/>
  <c r="F35" i="60"/>
  <c r="S34" i="60"/>
  <c r="W34" i="60" s="1"/>
  <c r="N34" i="60"/>
  <c r="F34" i="60"/>
  <c r="R34" i="60" s="1"/>
  <c r="S33" i="60"/>
  <c r="T33" i="60" s="1"/>
  <c r="R33" i="60"/>
  <c r="J33" i="60"/>
  <c r="F33" i="60"/>
  <c r="N33" i="60" s="1"/>
  <c r="S32" i="60"/>
  <c r="W32" i="60" s="1"/>
  <c r="F32" i="60"/>
  <c r="S31" i="60"/>
  <c r="T31" i="60" s="1"/>
  <c r="R31" i="60"/>
  <c r="N31" i="60"/>
  <c r="J31" i="60"/>
  <c r="F31" i="60"/>
  <c r="S30" i="60"/>
  <c r="W30" i="60" s="1"/>
  <c r="N30" i="60"/>
  <c r="F30" i="60"/>
  <c r="R30" i="60" s="1"/>
  <c r="S29" i="60"/>
  <c r="T29" i="60" s="1"/>
  <c r="R29" i="60"/>
  <c r="J29" i="60"/>
  <c r="F29" i="60"/>
  <c r="N29" i="60" s="1"/>
  <c r="S28" i="60"/>
  <c r="W28" i="60" s="1"/>
  <c r="F28" i="60"/>
  <c r="N28" i="60" s="1"/>
  <c r="S27" i="60"/>
  <c r="W27" i="60" s="1"/>
  <c r="R27" i="60"/>
  <c r="N27" i="60"/>
  <c r="J27" i="60"/>
  <c r="F27" i="60"/>
  <c r="S26" i="60"/>
  <c r="W26" i="60" s="1"/>
  <c r="N26" i="60"/>
  <c r="F26" i="60"/>
  <c r="R26" i="60" s="1"/>
  <c r="S25" i="60"/>
  <c r="W25" i="60" s="1"/>
  <c r="R25" i="60"/>
  <c r="J25" i="60"/>
  <c r="F25" i="60"/>
  <c r="N25" i="60" s="1"/>
  <c r="S24" i="60"/>
  <c r="W24" i="60" s="1"/>
  <c r="F24" i="60"/>
  <c r="S23" i="60"/>
  <c r="T23" i="60" s="1"/>
  <c r="R23" i="60"/>
  <c r="N23" i="60"/>
  <c r="J23" i="60"/>
  <c r="F23" i="60"/>
  <c r="S22" i="60"/>
  <c r="W22" i="60" s="1"/>
  <c r="P22" i="60"/>
  <c r="L22" i="60"/>
  <c r="H22" i="60"/>
  <c r="F22" i="60"/>
  <c r="V22" i="60" s="1"/>
  <c r="V21" i="60"/>
  <c r="S21" i="60"/>
  <c r="J21" i="60"/>
  <c r="H21" i="60"/>
  <c r="L21" i="60" s="1"/>
  <c r="F21" i="60"/>
  <c r="P21" i="60" s="1"/>
  <c r="V20" i="60"/>
  <c r="S20" i="60"/>
  <c r="W20" i="60" s="1"/>
  <c r="X20" i="60" s="1"/>
  <c r="R20" i="60"/>
  <c r="P20" i="60"/>
  <c r="L20" i="60"/>
  <c r="J20" i="60"/>
  <c r="H20" i="60"/>
  <c r="F20" i="60"/>
  <c r="V19" i="60"/>
  <c r="S19" i="60"/>
  <c r="W19" i="60" s="1"/>
  <c r="X19" i="60" s="1"/>
  <c r="R19" i="60"/>
  <c r="P19" i="60"/>
  <c r="L19" i="60"/>
  <c r="J19" i="60"/>
  <c r="H19" i="60"/>
  <c r="F19" i="60"/>
  <c r="V18" i="60"/>
  <c r="S18" i="60"/>
  <c r="W18" i="60" s="1"/>
  <c r="X18" i="60" s="1"/>
  <c r="R18" i="60"/>
  <c r="P18" i="60"/>
  <c r="L18" i="60"/>
  <c r="J18" i="60"/>
  <c r="H18" i="60"/>
  <c r="F18" i="60"/>
  <c r="V17" i="60"/>
  <c r="S17" i="60"/>
  <c r="W17" i="60" s="1"/>
  <c r="X17" i="60" s="1"/>
  <c r="R17" i="60"/>
  <c r="P17" i="60"/>
  <c r="L17" i="60"/>
  <c r="J17" i="60"/>
  <c r="H17" i="60"/>
  <c r="F17" i="60"/>
  <c r="V16" i="60"/>
  <c r="S16" i="60"/>
  <c r="W16" i="60" s="1"/>
  <c r="X16" i="60" s="1"/>
  <c r="R16" i="60"/>
  <c r="P16" i="60"/>
  <c r="L16" i="60"/>
  <c r="J16" i="60"/>
  <c r="H16" i="60"/>
  <c r="F16" i="60"/>
  <c r="V15" i="60"/>
  <c r="S15" i="60"/>
  <c r="W15" i="60" s="1"/>
  <c r="X15" i="60" s="1"/>
  <c r="R15" i="60"/>
  <c r="P15" i="60"/>
  <c r="L15" i="60"/>
  <c r="J15" i="60"/>
  <c r="H15" i="60"/>
  <c r="F15" i="60"/>
  <c r="V14" i="60"/>
  <c r="S14" i="60"/>
  <c r="W14" i="60" s="1"/>
  <c r="X14" i="60" s="1"/>
  <c r="L14" i="60"/>
  <c r="P14" i="60" s="1"/>
  <c r="J14" i="60"/>
  <c r="H14" i="60"/>
  <c r="F14" i="60"/>
  <c r="S13" i="60"/>
  <c r="W13" i="60" s="1"/>
  <c r="J13" i="60"/>
  <c r="F13" i="60"/>
  <c r="V13" i="60" s="1"/>
  <c r="S12" i="60"/>
  <c r="T12" i="60" s="1"/>
  <c r="P12" i="60"/>
  <c r="L12" i="60"/>
  <c r="H12" i="60"/>
  <c r="F12" i="60"/>
  <c r="V12" i="60" s="1"/>
  <c r="V11" i="60"/>
  <c r="S11" i="60"/>
  <c r="T11" i="60" s="1"/>
  <c r="L11" i="60"/>
  <c r="J11" i="60"/>
  <c r="H11" i="60"/>
  <c r="F11" i="60"/>
  <c r="R11" i="60" s="1"/>
  <c r="V10" i="60"/>
  <c r="S10" i="60"/>
  <c r="W10" i="60" s="1"/>
  <c r="X10" i="60" s="1"/>
  <c r="R10" i="60"/>
  <c r="P10" i="60"/>
  <c r="L10" i="60"/>
  <c r="J10" i="60"/>
  <c r="H10" i="60"/>
  <c r="F10" i="60"/>
  <c r="V9" i="60"/>
  <c r="S9" i="60"/>
  <c r="W9" i="60" s="1"/>
  <c r="X9" i="60" s="1"/>
  <c r="R9" i="60"/>
  <c r="P9" i="60"/>
  <c r="L9" i="60"/>
  <c r="J9" i="60"/>
  <c r="H9" i="60"/>
  <c r="F9" i="60"/>
  <c r="V8" i="60"/>
  <c r="S8" i="60"/>
  <c r="W8" i="60" s="1"/>
  <c r="X8" i="60" s="1"/>
  <c r="R8" i="60"/>
  <c r="P8" i="60"/>
  <c r="L8" i="60"/>
  <c r="J8" i="60"/>
  <c r="H8" i="60"/>
  <c r="F8" i="60"/>
  <c r="V7" i="60"/>
  <c r="S7" i="60"/>
  <c r="W7" i="60" s="1"/>
  <c r="X7" i="60" s="1"/>
  <c r="R7" i="60"/>
  <c r="P7" i="60"/>
  <c r="L7" i="60"/>
  <c r="J7" i="60"/>
  <c r="H7" i="60"/>
  <c r="F7" i="60"/>
  <c r="V6" i="60"/>
  <c r="S6" i="60"/>
  <c r="W6" i="60" s="1"/>
  <c r="X6" i="60" s="1"/>
  <c r="R6" i="60"/>
  <c r="P6" i="60"/>
  <c r="L6" i="60"/>
  <c r="J6" i="60"/>
  <c r="H6" i="60"/>
  <c r="F6" i="60"/>
  <c r="V5" i="60"/>
  <c r="S5" i="60"/>
  <c r="W5" i="60" s="1"/>
  <c r="X5" i="60" s="1"/>
  <c r="R5" i="60"/>
  <c r="P5" i="60"/>
  <c r="L5" i="60"/>
  <c r="J5" i="60"/>
  <c r="H5" i="60"/>
  <c r="F5" i="60"/>
  <c r="S69" i="59"/>
  <c r="V70" i="59"/>
  <c r="S70" i="59"/>
  <c r="W70" i="59" s="1"/>
  <c r="X70" i="59" s="1"/>
  <c r="N70" i="59"/>
  <c r="W69" i="59"/>
  <c r="P69" i="59"/>
  <c r="F69" i="59"/>
  <c r="V69" i="59" s="1"/>
  <c r="S68" i="59"/>
  <c r="W68" i="59" s="1"/>
  <c r="X68" i="59" s="1"/>
  <c r="F68" i="59"/>
  <c r="H68" i="59" s="1"/>
  <c r="S67" i="59"/>
  <c r="W67" i="59" s="1"/>
  <c r="N67" i="59"/>
  <c r="F67" i="59"/>
  <c r="S66" i="59"/>
  <c r="W66" i="59" s="1"/>
  <c r="N66" i="59"/>
  <c r="F66" i="59"/>
  <c r="J66" i="59" s="1"/>
  <c r="S65" i="59"/>
  <c r="W65" i="59" s="1"/>
  <c r="R65" i="59"/>
  <c r="J65" i="59"/>
  <c r="F65" i="59"/>
  <c r="V65" i="59" s="1"/>
  <c r="S64" i="59"/>
  <c r="W64" i="59" s="1"/>
  <c r="F64" i="59"/>
  <c r="V64" i="59" s="1"/>
  <c r="S63" i="59"/>
  <c r="W63" i="59" s="1"/>
  <c r="R63" i="59"/>
  <c r="L63" i="59"/>
  <c r="J63" i="59"/>
  <c r="F63" i="59"/>
  <c r="V63" i="59" s="1"/>
  <c r="S62" i="59"/>
  <c r="W62" i="59" s="1"/>
  <c r="L62" i="59"/>
  <c r="F62" i="59"/>
  <c r="V62" i="59" s="1"/>
  <c r="S61" i="59"/>
  <c r="W61" i="59" s="1"/>
  <c r="R61" i="59"/>
  <c r="J61" i="59"/>
  <c r="F61" i="59"/>
  <c r="V61" i="59" s="1"/>
  <c r="S60" i="59"/>
  <c r="W60" i="59" s="1"/>
  <c r="X60" i="59" s="1"/>
  <c r="F60" i="59"/>
  <c r="V60" i="59" s="1"/>
  <c r="S59" i="59"/>
  <c r="W59" i="59" s="1"/>
  <c r="R59" i="59"/>
  <c r="L59" i="59"/>
  <c r="J59" i="59"/>
  <c r="F59" i="59"/>
  <c r="V59" i="59" s="1"/>
  <c r="S58" i="59"/>
  <c r="W58" i="59" s="1"/>
  <c r="L58" i="59"/>
  <c r="F58" i="59"/>
  <c r="V58" i="59" s="1"/>
  <c r="S57" i="59"/>
  <c r="W57" i="59" s="1"/>
  <c r="R57" i="59"/>
  <c r="J57" i="59"/>
  <c r="F57" i="59"/>
  <c r="V57" i="59" s="1"/>
  <c r="S56" i="59"/>
  <c r="W56" i="59" s="1"/>
  <c r="X56" i="59" s="1"/>
  <c r="F56" i="59"/>
  <c r="V56" i="59" s="1"/>
  <c r="S55" i="59"/>
  <c r="W55" i="59" s="1"/>
  <c r="R55" i="59"/>
  <c r="L55" i="59"/>
  <c r="J55" i="59"/>
  <c r="F55" i="59"/>
  <c r="V55" i="59" s="1"/>
  <c r="S54" i="59"/>
  <c r="W54" i="59" s="1"/>
  <c r="L54" i="59"/>
  <c r="F54" i="59"/>
  <c r="V54" i="59" s="1"/>
  <c r="S53" i="59"/>
  <c r="W53" i="59" s="1"/>
  <c r="R53" i="59"/>
  <c r="J53" i="59"/>
  <c r="F53" i="59"/>
  <c r="V53" i="59" s="1"/>
  <c r="S52" i="59"/>
  <c r="W52" i="59" s="1"/>
  <c r="X52" i="59" s="1"/>
  <c r="F52" i="59"/>
  <c r="V52" i="59" s="1"/>
  <c r="S51" i="59"/>
  <c r="W51" i="59" s="1"/>
  <c r="R51" i="59"/>
  <c r="J51" i="59"/>
  <c r="F51" i="59"/>
  <c r="V51" i="59" s="1"/>
  <c r="S50" i="59"/>
  <c r="W50" i="59" s="1"/>
  <c r="L50" i="59"/>
  <c r="F50" i="59"/>
  <c r="V50" i="59" s="1"/>
  <c r="S49" i="59"/>
  <c r="W49" i="59" s="1"/>
  <c r="R49" i="59"/>
  <c r="J49" i="59"/>
  <c r="F49" i="59"/>
  <c r="V49" i="59" s="1"/>
  <c r="S48" i="59"/>
  <c r="W48" i="59" s="1"/>
  <c r="X48" i="59" s="1"/>
  <c r="F48" i="59"/>
  <c r="V48" i="59" s="1"/>
  <c r="S47" i="59"/>
  <c r="W47" i="59" s="1"/>
  <c r="R47" i="59"/>
  <c r="J47" i="59"/>
  <c r="F47" i="59"/>
  <c r="V47" i="59" s="1"/>
  <c r="S46" i="59"/>
  <c r="W46" i="59" s="1"/>
  <c r="L46" i="59"/>
  <c r="F46" i="59"/>
  <c r="V46" i="59" s="1"/>
  <c r="S45" i="59"/>
  <c r="W45" i="59" s="1"/>
  <c r="R45" i="59"/>
  <c r="J45" i="59"/>
  <c r="F45" i="59"/>
  <c r="V45" i="59" s="1"/>
  <c r="S44" i="59"/>
  <c r="W44" i="59" s="1"/>
  <c r="X44" i="59" s="1"/>
  <c r="F44" i="59"/>
  <c r="V44" i="59" s="1"/>
  <c r="S43" i="59"/>
  <c r="W43" i="59" s="1"/>
  <c r="F43" i="59"/>
  <c r="S42" i="59"/>
  <c r="W42" i="59" s="1"/>
  <c r="N42" i="59"/>
  <c r="F42" i="59"/>
  <c r="H42" i="59" s="1"/>
  <c r="S41" i="59"/>
  <c r="W41" i="59" s="1"/>
  <c r="L41" i="59"/>
  <c r="F41" i="59"/>
  <c r="V41" i="59" s="1"/>
  <c r="V40" i="59"/>
  <c r="S40" i="59"/>
  <c r="W40" i="59" s="1"/>
  <c r="N40" i="59"/>
  <c r="F40" i="59"/>
  <c r="S39" i="59"/>
  <c r="W39" i="59" s="1"/>
  <c r="F39" i="59"/>
  <c r="S38" i="59"/>
  <c r="T38" i="59" s="1"/>
  <c r="F38" i="59"/>
  <c r="H38" i="59" s="1"/>
  <c r="L38" i="59" s="1"/>
  <c r="S37" i="59"/>
  <c r="W37" i="59" s="1"/>
  <c r="F37" i="59"/>
  <c r="N37" i="59" s="1"/>
  <c r="S36" i="59"/>
  <c r="W36" i="59" s="1"/>
  <c r="J36" i="59"/>
  <c r="F36" i="59"/>
  <c r="S35" i="59"/>
  <c r="W35" i="59" s="1"/>
  <c r="F35" i="59"/>
  <c r="R35" i="59" s="1"/>
  <c r="S34" i="59"/>
  <c r="W34" i="59" s="1"/>
  <c r="F34" i="59"/>
  <c r="N34" i="59" s="1"/>
  <c r="S33" i="59"/>
  <c r="W33" i="59" s="1"/>
  <c r="F33" i="59"/>
  <c r="N33" i="59" s="1"/>
  <c r="S32" i="59"/>
  <c r="W32" i="59" s="1"/>
  <c r="L32" i="59"/>
  <c r="F32" i="59"/>
  <c r="N32" i="59" s="1"/>
  <c r="S31" i="59"/>
  <c r="F31" i="59"/>
  <c r="N31" i="59" s="1"/>
  <c r="S30" i="59"/>
  <c r="W30" i="59" s="1"/>
  <c r="F30" i="59"/>
  <c r="J30" i="59" s="1"/>
  <c r="S29" i="59"/>
  <c r="W29" i="59" s="1"/>
  <c r="N29" i="59"/>
  <c r="F29" i="59"/>
  <c r="J29" i="59" s="1"/>
  <c r="S28" i="59"/>
  <c r="W28" i="59" s="1"/>
  <c r="L28" i="59"/>
  <c r="F28" i="59"/>
  <c r="N28" i="59" s="1"/>
  <c r="S27" i="59"/>
  <c r="L27" i="59"/>
  <c r="F27" i="59"/>
  <c r="J27" i="59" s="1"/>
  <c r="S26" i="59"/>
  <c r="W26" i="59" s="1"/>
  <c r="F26" i="59"/>
  <c r="S25" i="59"/>
  <c r="W25" i="59" s="1"/>
  <c r="F25" i="59"/>
  <c r="N25" i="59" s="1"/>
  <c r="S24" i="59"/>
  <c r="W24" i="59" s="1"/>
  <c r="L24" i="59"/>
  <c r="F24" i="59"/>
  <c r="N24" i="59" s="1"/>
  <c r="S23" i="59"/>
  <c r="T23" i="59" s="1"/>
  <c r="F23" i="59"/>
  <c r="N23" i="59" s="1"/>
  <c r="S22" i="59"/>
  <c r="W22" i="59" s="1"/>
  <c r="J22" i="59"/>
  <c r="F22" i="59"/>
  <c r="V22" i="59" s="1"/>
  <c r="S21" i="59"/>
  <c r="W21" i="59" s="1"/>
  <c r="F21" i="59"/>
  <c r="V21" i="59" s="1"/>
  <c r="S20" i="59"/>
  <c r="W20" i="59" s="1"/>
  <c r="H20" i="59"/>
  <c r="F20" i="59"/>
  <c r="V20" i="59" s="1"/>
  <c r="S19" i="59"/>
  <c r="W19" i="59" s="1"/>
  <c r="F19" i="59"/>
  <c r="V19" i="59" s="1"/>
  <c r="S18" i="59"/>
  <c r="W18" i="59" s="1"/>
  <c r="L18" i="59"/>
  <c r="F18" i="59"/>
  <c r="V18" i="59" s="1"/>
  <c r="S17" i="59"/>
  <c r="W17" i="59" s="1"/>
  <c r="F17" i="59"/>
  <c r="S16" i="59"/>
  <c r="W16" i="59" s="1"/>
  <c r="H16" i="59"/>
  <c r="F16" i="59"/>
  <c r="V16" i="59" s="1"/>
  <c r="S15" i="59"/>
  <c r="W15" i="59" s="1"/>
  <c r="F15" i="59"/>
  <c r="V15" i="59" s="1"/>
  <c r="S14" i="59"/>
  <c r="W14" i="59" s="1"/>
  <c r="F14" i="59"/>
  <c r="S13" i="59"/>
  <c r="W13" i="59" s="1"/>
  <c r="F13" i="59"/>
  <c r="S12" i="59"/>
  <c r="J12" i="59"/>
  <c r="F12" i="59"/>
  <c r="V12" i="59" s="1"/>
  <c r="S11" i="59"/>
  <c r="W11" i="59" s="1"/>
  <c r="X11" i="59" s="1"/>
  <c r="L11" i="59"/>
  <c r="H11" i="59"/>
  <c r="F11" i="59"/>
  <c r="R11" i="59" s="1"/>
  <c r="V10" i="59"/>
  <c r="S10" i="59"/>
  <c r="W10" i="59" s="1"/>
  <c r="P10" i="59"/>
  <c r="H10" i="59"/>
  <c r="F10" i="59"/>
  <c r="V9" i="59"/>
  <c r="S9" i="59"/>
  <c r="W9" i="59" s="1"/>
  <c r="P9" i="59"/>
  <c r="L9" i="59"/>
  <c r="H9" i="59"/>
  <c r="F9" i="59"/>
  <c r="V8" i="59"/>
  <c r="S8" i="59"/>
  <c r="W8" i="59" s="1"/>
  <c r="H8" i="59"/>
  <c r="F8" i="59"/>
  <c r="T8" i="59" s="1"/>
  <c r="S7" i="59"/>
  <c r="W7" i="59" s="1"/>
  <c r="P7" i="59"/>
  <c r="L7" i="59"/>
  <c r="H7" i="59"/>
  <c r="F7" i="59"/>
  <c r="V7" i="59" s="1"/>
  <c r="V6" i="59"/>
  <c r="S6" i="59"/>
  <c r="W6" i="59" s="1"/>
  <c r="H6" i="59"/>
  <c r="F6" i="59"/>
  <c r="S5" i="59"/>
  <c r="W5" i="59" s="1"/>
  <c r="P5" i="59"/>
  <c r="L5" i="59"/>
  <c r="F5" i="59"/>
  <c r="V5" i="59" s="1"/>
  <c r="V69" i="58"/>
  <c r="V12" i="58"/>
  <c r="V70" i="58"/>
  <c r="S70" i="58"/>
  <c r="W70" i="58" s="1"/>
  <c r="X70" i="58" s="1"/>
  <c r="N70" i="58"/>
  <c r="W69" i="58"/>
  <c r="P69" i="58"/>
  <c r="F69" i="58"/>
  <c r="S68" i="58"/>
  <c r="W68" i="58" s="1"/>
  <c r="X68" i="58" s="1"/>
  <c r="J68" i="58"/>
  <c r="F68" i="58"/>
  <c r="H68" i="58" s="1"/>
  <c r="S67" i="58"/>
  <c r="W67" i="58" s="1"/>
  <c r="F67" i="58"/>
  <c r="V66" i="58"/>
  <c r="S66" i="58"/>
  <c r="W66" i="58" s="1"/>
  <c r="N66" i="58"/>
  <c r="J66" i="58"/>
  <c r="F66" i="58"/>
  <c r="S65" i="58"/>
  <c r="W65" i="58" s="1"/>
  <c r="X65" i="58" s="1"/>
  <c r="R65" i="58"/>
  <c r="L65" i="58"/>
  <c r="J65" i="58"/>
  <c r="F65" i="58"/>
  <c r="V65" i="58" s="1"/>
  <c r="S64" i="58"/>
  <c r="W64" i="58" s="1"/>
  <c r="X64" i="58" s="1"/>
  <c r="R64" i="58"/>
  <c r="L64" i="58"/>
  <c r="J64" i="58"/>
  <c r="F64" i="58"/>
  <c r="V64" i="58" s="1"/>
  <c r="S63" i="58"/>
  <c r="W63" i="58" s="1"/>
  <c r="X63" i="58" s="1"/>
  <c r="R63" i="58"/>
  <c r="L63" i="58"/>
  <c r="J63" i="58"/>
  <c r="F63" i="58"/>
  <c r="V63" i="58" s="1"/>
  <c r="S62" i="58"/>
  <c r="W62" i="58" s="1"/>
  <c r="X62" i="58" s="1"/>
  <c r="R62" i="58"/>
  <c r="L62" i="58"/>
  <c r="J62" i="58"/>
  <c r="F62" i="58"/>
  <c r="V62" i="58" s="1"/>
  <c r="S61" i="58"/>
  <c r="W61" i="58" s="1"/>
  <c r="X61" i="58" s="1"/>
  <c r="R61" i="58"/>
  <c r="L61" i="58"/>
  <c r="J61" i="58"/>
  <c r="F61" i="58"/>
  <c r="V61" i="58" s="1"/>
  <c r="S60" i="58"/>
  <c r="W60" i="58" s="1"/>
  <c r="X60" i="58" s="1"/>
  <c r="R60" i="58"/>
  <c r="L60" i="58"/>
  <c r="J60" i="58"/>
  <c r="F60" i="58"/>
  <c r="V60" i="58" s="1"/>
  <c r="S59" i="58"/>
  <c r="W59" i="58" s="1"/>
  <c r="X59" i="58" s="1"/>
  <c r="R59" i="58"/>
  <c r="L59" i="58"/>
  <c r="J59" i="58"/>
  <c r="F59" i="58"/>
  <c r="V59" i="58" s="1"/>
  <c r="S58" i="58"/>
  <c r="W58" i="58" s="1"/>
  <c r="X58" i="58" s="1"/>
  <c r="R58" i="58"/>
  <c r="L58" i="58"/>
  <c r="J58" i="58"/>
  <c r="F58" i="58"/>
  <c r="V58" i="58" s="1"/>
  <c r="S57" i="58"/>
  <c r="W57" i="58" s="1"/>
  <c r="X57" i="58" s="1"/>
  <c r="R57" i="58"/>
  <c r="L57" i="58"/>
  <c r="J57" i="58"/>
  <c r="F57" i="58"/>
  <c r="V57" i="58" s="1"/>
  <c r="S56" i="58"/>
  <c r="W56" i="58" s="1"/>
  <c r="X56" i="58" s="1"/>
  <c r="R56" i="58"/>
  <c r="L56" i="58"/>
  <c r="J56" i="58"/>
  <c r="F56" i="58"/>
  <c r="V56" i="58" s="1"/>
  <c r="S55" i="58"/>
  <c r="W55" i="58" s="1"/>
  <c r="X55" i="58" s="1"/>
  <c r="R55" i="58"/>
  <c r="L55" i="58"/>
  <c r="J55" i="58"/>
  <c r="F55" i="58"/>
  <c r="V55" i="58" s="1"/>
  <c r="S54" i="58"/>
  <c r="W54" i="58" s="1"/>
  <c r="X54" i="58" s="1"/>
  <c r="R54" i="58"/>
  <c r="L54" i="58"/>
  <c r="J54" i="58"/>
  <c r="F54" i="58"/>
  <c r="V54" i="58" s="1"/>
  <c r="S53" i="58"/>
  <c r="W53" i="58" s="1"/>
  <c r="X53" i="58" s="1"/>
  <c r="R53" i="58"/>
  <c r="L53" i="58"/>
  <c r="J53" i="58"/>
  <c r="F53" i="58"/>
  <c r="V53" i="58" s="1"/>
  <c r="S52" i="58"/>
  <c r="W52" i="58" s="1"/>
  <c r="X52" i="58" s="1"/>
  <c r="R52" i="58"/>
  <c r="L52" i="58"/>
  <c r="J52" i="58"/>
  <c r="F52" i="58"/>
  <c r="V52" i="58" s="1"/>
  <c r="S51" i="58"/>
  <c r="W51" i="58" s="1"/>
  <c r="X51" i="58" s="1"/>
  <c r="R51" i="58"/>
  <c r="L51" i="58"/>
  <c r="J51" i="58"/>
  <c r="F51" i="58"/>
  <c r="V51" i="58" s="1"/>
  <c r="S50" i="58"/>
  <c r="W50" i="58" s="1"/>
  <c r="X50" i="58" s="1"/>
  <c r="R50" i="58"/>
  <c r="L50" i="58"/>
  <c r="J50" i="58"/>
  <c r="F50" i="58"/>
  <c r="V50" i="58" s="1"/>
  <c r="S49" i="58"/>
  <c r="W49" i="58" s="1"/>
  <c r="X49" i="58" s="1"/>
  <c r="R49" i="58"/>
  <c r="L49" i="58"/>
  <c r="J49" i="58"/>
  <c r="F49" i="58"/>
  <c r="V49" i="58" s="1"/>
  <c r="S48" i="58"/>
  <c r="W48" i="58" s="1"/>
  <c r="X48" i="58" s="1"/>
  <c r="R48" i="58"/>
  <c r="L48" i="58"/>
  <c r="J48" i="58"/>
  <c r="F48" i="58"/>
  <c r="V48" i="58" s="1"/>
  <c r="S47" i="58"/>
  <c r="W47" i="58" s="1"/>
  <c r="X47" i="58" s="1"/>
  <c r="R47" i="58"/>
  <c r="L47" i="58"/>
  <c r="J47" i="58"/>
  <c r="F47" i="58"/>
  <c r="V47" i="58" s="1"/>
  <c r="S46" i="58"/>
  <c r="W46" i="58" s="1"/>
  <c r="X46" i="58" s="1"/>
  <c r="R46" i="58"/>
  <c r="L46" i="58"/>
  <c r="J46" i="58"/>
  <c r="F46" i="58"/>
  <c r="V46" i="58" s="1"/>
  <c r="S45" i="58"/>
  <c r="W45" i="58" s="1"/>
  <c r="X45" i="58" s="1"/>
  <c r="R45" i="58"/>
  <c r="L45" i="58"/>
  <c r="J45" i="58"/>
  <c r="F45" i="58"/>
  <c r="V45" i="58" s="1"/>
  <c r="S44" i="58"/>
  <c r="W44" i="58" s="1"/>
  <c r="R44" i="58"/>
  <c r="J44" i="58"/>
  <c r="F44" i="58"/>
  <c r="S43" i="58"/>
  <c r="W43" i="58" s="1"/>
  <c r="F43" i="58"/>
  <c r="T43" i="58" s="1"/>
  <c r="V42" i="58"/>
  <c r="S42" i="58"/>
  <c r="W42" i="58" s="1"/>
  <c r="N42" i="58"/>
  <c r="H42" i="58"/>
  <c r="F42" i="58"/>
  <c r="S41" i="58"/>
  <c r="W41" i="58" s="1"/>
  <c r="L41" i="58"/>
  <c r="F41" i="58"/>
  <c r="V41" i="58" s="1"/>
  <c r="S40" i="58"/>
  <c r="W40" i="58" s="1"/>
  <c r="N40" i="58"/>
  <c r="J40" i="58"/>
  <c r="F40" i="58"/>
  <c r="S39" i="58"/>
  <c r="T39" i="58" s="1"/>
  <c r="N39" i="58"/>
  <c r="J39" i="58"/>
  <c r="P39" i="58" s="1"/>
  <c r="F39" i="58"/>
  <c r="S38" i="58"/>
  <c r="W38" i="58" s="1"/>
  <c r="L38" i="58"/>
  <c r="H38" i="58"/>
  <c r="F38" i="58"/>
  <c r="S37" i="58"/>
  <c r="W37" i="58" s="1"/>
  <c r="X37" i="58" s="1"/>
  <c r="N37" i="58"/>
  <c r="J37" i="58"/>
  <c r="F37" i="58"/>
  <c r="S36" i="58"/>
  <c r="T36" i="58" s="1"/>
  <c r="J36" i="58"/>
  <c r="F36" i="58"/>
  <c r="R36" i="58" s="1"/>
  <c r="S35" i="58"/>
  <c r="W35" i="58" s="1"/>
  <c r="F35" i="58"/>
  <c r="S34" i="58"/>
  <c r="T34" i="58" s="1"/>
  <c r="R34" i="58"/>
  <c r="N34" i="58"/>
  <c r="J34" i="58"/>
  <c r="F34" i="58"/>
  <c r="S33" i="58"/>
  <c r="W33" i="58" s="1"/>
  <c r="N33" i="58"/>
  <c r="J33" i="58"/>
  <c r="F33" i="58"/>
  <c r="R33" i="58" s="1"/>
  <c r="S32" i="58"/>
  <c r="T32" i="58" s="1"/>
  <c r="J32" i="58"/>
  <c r="F32" i="58"/>
  <c r="R32" i="58" s="1"/>
  <c r="S31" i="58"/>
  <c r="W31" i="58" s="1"/>
  <c r="F31" i="58"/>
  <c r="S30" i="58"/>
  <c r="W30" i="58" s="1"/>
  <c r="J30" i="58"/>
  <c r="F30" i="58"/>
  <c r="N30" i="58" s="1"/>
  <c r="S29" i="58"/>
  <c r="W29" i="58" s="1"/>
  <c r="L29" i="58"/>
  <c r="J29" i="58"/>
  <c r="F29" i="58"/>
  <c r="N29" i="58" s="1"/>
  <c r="S28" i="58"/>
  <c r="W28" i="58" s="1"/>
  <c r="N28" i="58"/>
  <c r="L28" i="58"/>
  <c r="J28" i="58"/>
  <c r="F28" i="58"/>
  <c r="S27" i="58"/>
  <c r="W27" i="58" s="1"/>
  <c r="F27" i="58"/>
  <c r="S26" i="58"/>
  <c r="W26" i="58" s="1"/>
  <c r="J26" i="58"/>
  <c r="F26" i="58"/>
  <c r="N26" i="58" s="1"/>
  <c r="S25" i="58"/>
  <c r="W25" i="58" s="1"/>
  <c r="L25" i="58"/>
  <c r="J25" i="58"/>
  <c r="F25" i="58"/>
  <c r="N25" i="58" s="1"/>
  <c r="S24" i="58"/>
  <c r="W24" i="58" s="1"/>
  <c r="N24" i="58"/>
  <c r="L24" i="58"/>
  <c r="J24" i="58"/>
  <c r="F24" i="58"/>
  <c r="S23" i="58"/>
  <c r="W23" i="58" s="1"/>
  <c r="F23" i="58"/>
  <c r="S22" i="58"/>
  <c r="W22" i="58" s="1"/>
  <c r="X22" i="58" s="1"/>
  <c r="P22" i="58"/>
  <c r="L22" i="58"/>
  <c r="J22" i="58"/>
  <c r="H22" i="58"/>
  <c r="F22" i="58"/>
  <c r="V22" i="58" s="1"/>
  <c r="V21" i="58"/>
  <c r="S21" i="58"/>
  <c r="W21" i="58" s="1"/>
  <c r="H21" i="58"/>
  <c r="L21" i="58" s="1"/>
  <c r="F21" i="58"/>
  <c r="S20" i="58"/>
  <c r="W20" i="58" s="1"/>
  <c r="L20" i="58"/>
  <c r="H20" i="58"/>
  <c r="F20" i="58"/>
  <c r="V20" i="58" s="1"/>
  <c r="V19" i="58"/>
  <c r="S19" i="58"/>
  <c r="W19" i="58" s="1"/>
  <c r="N19" i="58"/>
  <c r="L19" i="58"/>
  <c r="H19" i="58"/>
  <c r="F19" i="58"/>
  <c r="S18" i="58"/>
  <c r="W18" i="58" s="1"/>
  <c r="F18" i="58"/>
  <c r="S17" i="58"/>
  <c r="W17" i="58" s="1"/>
  <c r="H17" i="58"/>
  <c r="F17" i="58"/>
  <c r="V17" i="58" s="1"/>
  <c r="S16" i="58"/>
  <c r="W16" i="58" s="1"/>
  <c r="L16" i="58"/>
  <c r="H16" i="58"/>
  <c r="F16" i="58"/>
  <c r="V16" i="58" s="1"/>
  <c r="S15" i="58"/>
  <c r="W15" i="58" s="1"/>
  <c r="F15" i="58"/>
  <c r="R15" i="58" s="1"/>
  <c r="S14" i="58"/>
  <c r="W14" i="58" s="1"/>
  <c r="F14" i="58"/>
  <c r="S13" i="58"/>
  <c r="W13" i="58" s="1"/>
  <c r="F13" i="58"/>
  <c r="S12" i="58"/>
  <c r="W12" i="58" s="1"/>
  <c r="X12" i="58" s="1"/>
  <c r="P12" i="58"/>
  <c r="L12" i="58"/>
  <c r="J12" i="58"/>
  <c r="H12" i="58"/>
  <c r="F12" i="58"/>
  <c r="S11" i="58"/>
  <c r="W11" i="58" s="1"/>
  <c r="X11" i="58" s="1"/>
  <c r="H11" i="58"/>
  <c r="F11" i="58"/>
  <c r="R11" i="58" s="1"/>
  <c r="V10" i="58"/>
  <c r="S10" i="58"/>
  <c r="W10" i="58" s="1"/>
  <c r="P10" i="58"/>
  <c r="H10" i="58"/>
  <c r="F10" i="58"/>
  <c r="V9" i="58"/>
  <c r="S9" i="58"/>
  <c r="W9" i="58" s="1"/>
  <c r="P9" i="58"/>
  <c r="H9" i="58"/>
  <c r="F9" i="58"/>
  <c r="V8" i="58"/>
  <c r="S8" i="58"/>
  <c r="W8" i="58" s="1"/>
  <c r="P8" i="58"/>
  <c r="H8" i="58"/>
  <c r="F8" i="58"/>
  <c r="V7" i="58"/>
  <c r="S7" i="58"/>
  <c r="W7" i="58" s="1"/>
  <c r="P7" i="58"/>
  <c r="H7" i="58"/>
  <c r="F7" i="58"/>
  <c r="V6" i="58"/>
  <c r="S6" i="58"/>
  <c r="W6" i="58" s="1"/>
  <c r="P6" i="58"/>
  <c r="H6" i="58"/>
  <c r="F6" i="58"/>
  <c r="V5" i="58"/>
  <c r="S5" i="58"/>
  <c r="W5" i="58" s="1"/>
  <c r="P5" i="58"/>
  <c r="H5" i="58"/>
  <c r="F5" i="58"/>
  <c r="V70" i="57"/>
  <c r="S70" i="57"/>
  <c r="W70" i="57" s="1"/>
  <c r="X70" i="57" s="1"/>
  <c r="N70" i="57"/>
  <c r="S69" i="57"/>
  <c r="W69" i="57" s="1"/>
  <c r="P69" i="57"/>
  <c r="J69" i="57"/>
  <c r="H69" i="57"/>
  <c r="F69" i="57"/>
  <c r="S68" i="57"/>
  <c r="W68" i="57" s="1"/>
  <c r="X68" i="57" s="1"/>
  <c r="J68" i="57"/>
  <c r="H68" i="57"/>
  <c r="F68" i="57"/>
  <c r="S67" i="57"/>
  <c r="W67" i="57" s="1"/>
  <c r="N67" i="57"/>
  <c r="F67" i="57"/>
  <c r="S66" i="57"/>
  <c r="W66" i="57" s="1"/>
  <c r="X66" i="57" s="1"/>
  <c r="J66" i="57"/>
  <c r="H66" i="57"/>
  <c r="F66" i="57"/>
  <c r="P66" i="57" s="1"/>
  <c r="V65" i="57"/>
  <c r="S65" i="57"/>
  <c r="W65" i="57" s="1"/>
  <c r="R65" i="57"/>
  <c r="P65" i="57"/>
  <c r="J65" i="57"/>
  <c r="H65" i="57"/>
  <c r="F65" i="57"/>
  <c r="W64" i="57"/>
  <c r="V64" i="57"/>
  <c r="S64" i="57"/>
  <c r="R64" i="57"/>
  <c r="P64" i="57"/>
  <c r="J64" i="57"/>
  <c r="H64" i="57"/>
  <c r="F64" i="57"/>
  <c r="W63" i="57"/>
  <c r="V63" i="57"/>
  <c r="S63" i="57"/>
  <c r="R63" i="57"/>
  <c r="P63" i="57"/>
  <c r="J63" i="57"/>
  <c r="H63" i="57"/>
  <c r="F63" i="57"/>
  <c r="W62" i="57"/>
  <c r="V62" i="57"/>
  <c r="S62" i="57"/>
  <c r="R62" i="57"/>
  <c r="P62" i="57"/>
  <c r="J62" i="57"/>
  <c r="H62" i="57"/>
  <c r="F62" i="57"/>
  <c r="W61" i="57"/>
  <c r="V61" i="57"/>
  <c r="S61" i="57"/>
  <c r="R61" i="57"/>
  <c r="P61" i="57"/>
  <c r="J61" i="57"/>
  <c r="H61" i="57"/>
  <c r="F61" i="57"/>
  <c r="S60" i="57"/>
  <c r="W60" i="57" s="1"/>
  <c r="R60" i="57"/>
  <c r="P60" i="57"/>
  <c r="J60" i="57"/>
  <c r="H60" i="57"/>
  <c r="F60" i="57"/>
  <c r="V60" i="57" s="1"/>
  <c r="S59" i="57"/>
  <c r="W59" i="57" s="1"/>
  <c r="R59" i="57"/>
  <c r="L59" i="57"/>
  <c r="J59" i="57"/>
  <c r="H59" i="57"/>
  <c r="F59" i="57"/>
  <c r="V59" i="57" s="1"/>
  <c r="S58" i="57"/>
  <c r="W58" i="57" s="1"/>
  <c r="R58" i="57"/>
  <c r="L58" i="57"/>
  <c r="J58" i="57"/>
  <c r="F58" i="57"/>
  <c r="V58" i="57" s="1"/>
  <c r="S57" i="57"/>
  <c r="W57" i="57" s="1"/>
  <c r="R57" i="57"/>
  <c r="L57" i="57"/>
  <c r="J57" i="57"/>
  <c r="F57" i="57"/>
  <c r="V57" i="57" s="1"/>
  <c r="S56" i="57"/>
  <c r="W56" i="57" s="1"/>
  <c r="X56" i="57" s="1"/>
  <c r="R56" i="57"/>
  <c r="L56" i="57"/>
  <c r="J56" i="57"/>
  <c r="F56" i="57"/>
  <c r="V56" i="57" s="1"/>
  <c r="S55" i="57"/>
  <c r="W55" i="57" s="1"/>
  <c r="X55" i="57" s="1"/>
  <c r="R55" i="57"/>
  <c r="L55" i="57"/>
  <c r="J55" i="57"/>
  <c r="F55" i="57"/>
  <c r="V55" i="57" s="1"/>
  <c r="S54" i="57"/>
  <c r="W54" i="57" s="1"/>
  <c r="X54" i="57" s="1"/>
  <c r="R54" i="57"/>
  <c r="L54" i="57"/>
  <c r="J54" i="57"/>
  <c r="F54" i="57"/>
  <c r="V54" i="57" s="1"/>
  <c r="S53" i="57"/>
  <c r="W53" i="57" s="1"/>
  <c r="X53" i="57" s="1"/>
  <c r="R53" i="57"/>
  <c r="L53" i="57"/>
  <c r="J53" i="57"/>
  <c r="F53" i="57"/>
  <c r="V53" i="57" s="1"/>
  <c r="S52" i="57"/>
  <c r="W52" i="57" s="1"/>
  <c r="X52" i="57" s="1"/>
  <c r="R52" i="57"/>
  <c r="L52" i="57"/>
  <c r="J52" i="57"/>
  <c r="F52" i="57"/>
  <c r="V52" i="57" s="1"/>
  <c r="S51" i="57"/>
  <c r="W51" i="57" s="1"/>
  <c r="X51" i="57" s="1"/>
  <c r="R51" i="57"/>
  <c r="L51" i="57"/>
  <c r="J51" i="57"/>
  <c r="F51" i="57"/>
  <c r="V51" i="57" s="1"/>
  <c r="S50" i="57"/>
  <c r="W50" i="57" s="1"/>
  <c r="X50" i="57" s="1"/>
  <c r="R50" i="57"/>
  <c r="L50" i="57"/>
  <c r="J50" i="57"/>
  <c r="F50" i="57"/>
  <c r="V50" i="57" s="1"/>
  <c r="S49" i="57"/>
  <c r="W49" i="57" s="1"/>
  <c r="X49" i="57" s="1"/>
  <c r="R49" i="57"/>
  <c r="L49" i="57"/>
  <c r="J49" i="57"/>
  <c r="F49" i="57"/>
  <c r="V49" i="57" s="1"/>
  <c r="S48" i="57"/>
  <c r="W48" i="57" s="1"/>
  <c r="X48" i="57" s="1"/>
  <c r="R48" i="57"/>
  <c r="L48" i="57"/>
  <c r="J48" i="57"/>
  <c r="F48" i="57"/>
  <c r="V48" i="57" s="1"/>
  <c r="S47" i="57"/>
  <c r="W47" i="57" s="1"/>
  <c r="X47" i="57" s="1"/>
  <c r="R47" i="57"/>
  <c r="L47" i="57"/>
  <c r="J47" i="57"/>
  <c r="F47" i="57"/>
  <c r="V47" i="57" s="1"/>
  <c r="S46" i="57"/>
  <c r="W46" i="57" s="1"/>
  <c r="X46" i="57" s="1"/>
  <c r="R46" i="57"/>
  <c r="L46" i="57"/>
  <c r="J46" i="57"/>
  <c r="F46" i="57"/>
  <c r="V46" i="57" s="1"/>
  <c r="S45" i="57"/>
  <c r="W45" i="57" s="1"/>
  <c r="X45" i="57" s="1"/>
  <c r="R45" i="57"/>
  <c r="L45" i="57"/>
  <c r="J45" i="57"/>
  <c r="F45" i="57"/>
  <c r="V45" i="57" s="1"/>
  <c r="S44" i="57"/>
  <c r="W44" i="57" s="1"/>
  <c r="X44" i="57" s="1"/>
  <c r="R44" i="57"/>
  <c r="L44" i="57"/>
  <c r="J44" i="57"/>
  <c r="F44" i="57"/>
  <c r="V44" i="57" s="1"/>
  <c r="S43" i="57"/>
  <c r="W43" i="57" s="1"/>
  <c r="F43" i="57"/>
  <c r="V43" i="57" s="1"/>
  <c r="S42" i="57"/>
  <c r="W42" i="57" s="1"/>
  <c r="N42" i="57"/>
  <c r="L42" i="57"/>
  <c r="F42" i="57"/>
  <c r="S41" i="57"/>
  <c r="W41" i="57" s="1"/>
  <c r="X41" i="57" s="1"/>
  <c r="L41" i="57"/>
  <c r="F41" i="57"/>
  <c r="N41" i="57" s="1"/>
  <c r="S40" i="57"/>
  <c r="W40" i="57" s="1"/>
  <c r="X40" i="57" s="1"/>
  <c r="N40" i="57"/>
  <c r="L40" i="57"/>
  <c r="F40" i="57"/>
  <c r="S39" i="57"/>
  <c r="W39" i="57" s="1"/>
  <c r="X39" i="57" s="1"/>
  <c r="L39" i="57"/>
  <c r="R39" i="57" s="1"/>
  <c r="F39" i="57"/>
  <c r="N39" i="57" s="1"/>
  <c r="S38" i="57"/>
  <c r="W38" i="57" s="1"/>
  <c r="H38" i="57"/>
  <c r="L38" i="57" s="1"/>
  <c r="F38" i="57"/>
  <c r="S37" i="57"/>
  <c r="W37" i="57" s="1"/>
  <c r="F37" i="57"/>
  <c r="N37" i="57" s="1"/>
  <c r="S36" i="57"/>
  <c r="W36" i="57" s="1"/>
  <c r="N36" i="57"/>
  <c r="L36" i="57"/>
  <c r="F36" i="57"/>
  <c r="S35" i="57"/>
  <c r="W35" i="57" s="1"/>
  <c r="F35" i="57"/>
  <c r="N35" i="57" s="1"/>
  <c r="S34" i="57"/>
  <c r="W34" i="57" s="1"/>
  <c r="X34" i="57" s="1"/>
  <c r="N34" i="57"/>
  <c r="L34" i="57"/>
  <c r="F34" i="57"/>
  <c r="S33" i="57"/>
  <c r="W33" i="57" s="1"/>
  <c r="F33" i="57"/>
  <c r="N33" i="57" s="1"/>
  <c r="S32" i="57"/>
  <c r="W32" i="57" s="1"/>
  <c r="X32" i="57" s="1"/>
  <c r="N32" i="57"/>
  <c r="L32" i="57"/>
  <c r="F32" i="57"/>
  <c r="S31" i="57"/>
  <c r="W31" i="57" s="1"/>
  <c r="P31" i="57"/>
  <c r="H31" i="57"/>
  <c r="F31" i="57"/>
  <c r="V31" i="57" s="1"/>
  <c r="V30" i="57"/>
  <c r="S30" i="57"/>
  <c r="W30" i="57" s="1"/>
  <c r="P30" i="57"/>
  <c r="H30" i="57"/>
  <c r="F30" i="57"/>
  <c r="V29" i="57"/>
  <c r="S29" i="57"/>
  <c r="W29" i="57" s="1"/>
  <c r="P29" i="57"/>
  <c r="H29" i="57"/>
  <c r="F29" i="57"/>
  <c r="V28" i="57"/>
  <c r="S28" i="57"/>
  <c r="W28" i="57" s="1"/>
  <c r="P28" i="57"/>
  <c r="H28" i="57"/>
  <c r="F28" i="57"/>
  <c r="T28" i="57" s="1"/>
  <c r="V27" i="57"/>
  <c r="S27" i="57"/>
  <c r="W27" i="57" s="1"/>
  <c r="P27" i="57"/>
  <c r="H27" i="57"/>
  <c r="F27" i="57"/>
  <c r="V26" i="57"/>
  <c r="S26" i="57"/>
  <c r="W26" i="57" s="1"/>
  <c r="P26" i="57"/>
  <c r="H26" i="57"/>
  <c r="F26" i="57"/>
  <c r="V25" i="57"/>
  <c r="S25" i="57"/>
  <c r="W25" i="57" s="1"/>
  <c r="P25" i="57"/>
  <c r="L25" i="57"/>
  <c r="H25" i="57"/>
  <c r="F25" i="57"/>
  <c r="T25" i="57" s="1"/>
  <c r="V24" i="57"/>
  <c r="S24" i="57"/>
  <c r="W24" i="57" s="1"/>
  <c r="P24" i="57"/>
  <c r="L24" i="57"/>
  <c r="H24" i="57"/>
  <c r="F24" i="57"/>
  <c r="V23" i="57"/>
  <c r="S23" i="57"/>
  <c r="W23" i="57" s="1"/>
  <c r="P23" i="57"/>
  <c r="L23" i="57"/>
  <c r="H23" i="57"/>
  <c r="F23" i="57"/>
  <c r="T23" i="57" s="1"/>
  <c r="S22" i="57"/>
  <c r="W22" i="57" s="1"/>
  <c r="F22" i="57"/>
  <c r="S21" i="57"/>
  <c r="W21" i="57" s="1"/>
  <c r="J21" i="57"/>
  <c r="F21" i="57"/>
  <c r="S20" i="57"/>
  <c r="W20" i="57" s="1"/>
  <c r="R20" i="57"/>
  <c r="J20" i="57"/>
  <c r="F20" i="57"/>
  <c r="V20" i="57" s="1"/>
  <c r="S19" i="57"/>
  <c r="W19" i="57" s="1"/>
  <c r="R19" i="57"/>
  <c r="J19" i="57"/>
  <c r="F19" i="57"/>
  <c r="V19" i="57" s="1"/>
  <c r="S18" i="57"/>
  <c r="W18" i="57" s="1"/>
  <c r="R18" i="57"/>
  <c r="J18" i="57"/>
  <c r="F18" i="57"/>
  <c r="V18" i="57" s="1"/>
  <c r="W17" i="57"/>
  <c r="S17" i="57"/>
  <c r="R17" i="57"/>
  <c r="J17" i="57"/>
  <c r="F17" i="57"/>
  <c r="V17" i="57" s="1"/>
  <c r="S16" i="57"/>
  <c r="W16" i="57" s="1"/>
  <c r="R16" i="57"/>
  <c r="J16" i="57"/>
  <c r="F16" i="57"/>
  <c r="V16" i="57" s="1"/>
  <c r="S15" i="57"/>
  <c r="W15" i="57" s="1"/>
  <c r="R15" i="57"/>
  <c r="J15" i="57"/>
  <c r="F15" i="57"/>
  <c r="V15" i="57" s="1"/>
  <c r="S14" i="57"/>
  <c r="W14" i="57" s="1"/>
  <c r="J14" i="57"/>
  <c r="F14" i="57"/>
  <c r="V14" i="57" s="1"/>
  <c r="S13" i="57"/>
  <c r="W13" i="57" s="1"/>
  <c r="R13" i="57"/>
  <c r="J13" i="57"/>
  <c r="F13" i="57"/>
  <c r="V13" i="57" s="1"/>
  <c r="W12" i="57"/>
  <c r="S12" i="57"/>
  <c r="T12" i="57" s="1"/>
  <c r="P12" i="57"/>
  <c r="L12" i="57"/>
  <c r="H12" i="57"/>
  <c r="F12" i="57"/>
  <c r="V12" i="57" s="1"/>
  <c r="V11" i="57"/>
  <c r="S11" i="57"/>
  <c r="T11" i="57" s="1"/>
  <c r="L11" i="57"/>
  <c r="J11" i="57"/>
  <c r="H11" i="57"/>
  <c r="F11" i="57"/>
  <c r="R11" i="57" s="1"/>
  <c r="V10" i="57"/>
  <c r="S10" i="57"/>
  <c r="W10" i="57" s="1"/>
  <c r="X10" i="57" s="1"/>
  <c r="R10" i="57"/>
  <c r="P10" i="57"/>
  <c r="L10" i="57"/>
  <c r="J10" i="57"/>
  <c r="H10" i="57"/>
  <c r="F10" i="57"/>
  <c r="V9" i="57"/>
  <c r="S9" i="57"/>
  <c r="W9" i="57" s="1"/>
  <c r="X9" i="57" s="1"/>
  <c r="R9" i="57"/>
  <c r="P9" i="57"/>
  <c r="L9" i="57"/>
  <c r="J9" i="57"/>
  <c r="H9" i="57"/>
  <c r="F9" i="57"/>
  <c r="V8" i="57"/>
  <c r="S8" i="57"/>
  <c r="W8" i="57" s="1"/>
  <c r="X8" i="57" s="1"/>
  <c r="R8" i="57"/>
  <c r="P8" i="57"/>
  <c r="L8" i="57"/>
  <c r="J8" i="57"/>
  <c r="H8" i="57"/>
  <c r="F8" i="57"/>
  <c r="V7" i="57"/>
  <c r="S7" i="57"/>
  <c r="W7" i="57" s="1"/>
  <c r="X7" i="57" s="1"/>
  <c r="R7" i="57"/>
  <c r="P7" i="57"/>
  <c r="L7" i="57"/>
  <c r="J7" i="57"/>
  <c r="H7" i="57"/>
  <c r="F7" i="57"/>
  <c r="V6" i="57"/>
  <c r="S6" i="57"/>
  <c r="W6" i="57" s="1"/>
  <c r="X6" i="57" s="1"/>
  <c r="R6" i="57"/>
  <c r="P6" i="57"/>
  <c r="L6" i="57"/>
  <c r="J6" i="57"/>
  <c r="H6" i="57"/>
  <c r="F6" i="57"/>
  <c r="V5" i="57"/>
  <c r="S5" i="57"/>
  <c r="W5" i="57" s="1"/>
  <c r="X5" i="57" s="1"/>
  <c r="R5" i="57"/>
  <c r="P5" i="57"/>
  <c r="L5" i="57"/>
  <c r="J5" i="57"/>
  <c r="H5" i="57"/>
  <c r="F5" i="57"/>
  <c r="W23" i="56"/>
  <c r="W36" i="56"/>
  <c r="V70" i="56"/>
  <c r="S70" i="56"/>
  <c r="W70" i="56" s="1"/>
  <c r="X70" i="56" s="1"/>
  <c r="N70" i="56"/>
  <c r="S69" i="56"/>
  <c r="W69" i="56" s="1"/>
  <c r="P69" i="56"/>
  <c r="H69" i="56"/>
  <c r="F69" i="56"/>
  <c r="S68" i="56"/>
  <c r="W68" i="56" s="1"/>
  <c r="X68" i="56" s="1"/>
  <c r="J68" i="56"/>
  <c r="F68" i="56"/>
  <c r="H68" i="56" s="1"/>
  <c r="S67" i="56"/>
  <c r="W67" i="56" s="1"/>
  <c r="N67" i="56"/>
  <c r="F67" i="56"/>
  <c r="S66" i="56"/>
  <c r="W66" i="56" s="1"/>
  <c r="J66" i="56"/>
  <c r="F66" i="56"/>
  <c r="S65" i="56"/>
  <c r="W65" i="56" s="1"/>
  <c r="R65" i="56"/>
  <c r="J65" i="56"/>
  <c r="F65" i="56"/>
  <c r="V65" i="56" s="1"/>
  <c r="S64" i="56"/>
  <c r="W64" i="56" s="1"/>
  <c r="R64" i="56"/>
  <c r="J64" i="56"/>
  <c r="F64" i="56"/>
  <c r="V64" i="56" s="1"/>
  <c r="S63" i="56"/>
  <c r="W63" i="56" s="1"/>
  <c r="R63" i="56"/>
  <c r="J63" i="56"/>
  <c r="F63" i="56"/>
  <c r="V63" i="56" s="1"/>
  <c r="S62" i="56"/>
  <c r="W62" i="56" s="1"/>
  <c r="R62" i="56"/>
  <c r="J62" i="56"/>
  <c r="F62" i="56"/>
  <c r="V62" i="56" s="1"/>
  <c r="S61" i="56"/>
  <c r="W61" i="56" s="1"/>
  <c r="R61" i="56"/>
  <c r="J61" i="56"/>
  <c r="F61" i="56"/>
  <c r="V61" i="56" s="1"/>
  <c r="S60" i="56"/>
  <c r="W60" i="56" s="1"/>
  <c r="R60" i="56"/>
  <c r="J60" i="56"/>
  <c r="F60" i="56"/>
  <c r="V60" i="56" s="1"/>
  <c r="S59" i="56"/>
  <c r="W59" i="56" s="1"/>
  <c r="R59" i="56"/>
  <c r="J59" i="56"/>
  <c r="F59" i="56"/>
  <c r="V59" i="56" s="1"/>
  <c r="S58" i="56"/>
  <c r="W58" i="56" s="1"/>
  <c r="R58" i="56"/>
  <c r="J58" i="56"/>
  <c r="F58" i="56"/>
  <c r="V58" i="56" s="1"/>
  <c r="S57" i="56"/>
  <c r="W57" i="56" s="1"/>
  <c r="R57" i="56"/>
  <c r="J57" i="56"/>
  <c r="F57" i="56"/>
  <c r="V57" i="56" s="1"/>
  <c r="S56" i="56"/>
  <c r="W56" i="56" s="1"/>
  <c r="R56" i="56"/>
  <c r="J56" i="56"/>
  <c r="F56" i="56"/>
  <c r="V56" i="56" s="1"/>
  <c r="S55" i="56"/>
  <c r="W55" i="56" s="1"/>
  <c r="R55" i="56"/>
  <c r="J55" i="56"/>
  <c r="F55" i="56"/>
  <c r="V55" i="56" s="1"/>
  <c r="S54" i="56"/>
  <c r="W54" i="56" s="1"/>
  <c r="R54" i="56"/>
  <c r="J54" i="56"/>
  <c r="F54" i="56"/>
  <c r="V54" i="56" s="1"/>
  <c r="S53" i="56"/>
  <c r="W53" i="56" s="1"/>
  <c r="R53" i="56"/>
  <c r="J53" i="56"/>
  <c r="F53" i="56"/>
  <c r="V53" i="56" s="1"/>
  <c r="S52" i="56"/>
  <c r="W52" i="56" s="1"/>
  <c r="R52" i="56"/>
  <c r="N52" i="56"/>
  <c r="J52" i="56"/>
  <c r="F52" i="56"/>
  <c r="S51" i="56"/>
  <c r="W51" i="56" s="1"/>
  <c r="N51" i="56"/>
  <c r="J51" i="56"/>
  <c r="F51" i="56"/>
  <c r="R51" i="56" s="1"/>
  <c r="S50" i="56"/>
  <c r="W50" i="56" s="1"/>
  <c r="L50" i="56"/>
  <c r="J50" i="56"/>
  <c r="F50" i="56"/>
  <c r="N50" i="56" s="1"/>
  <c r="S49" i="56"/>
  <c r="T49" i="56" s="1"/>
  <c r="N49" i="56"/>
  <c r="L49" i="56"/>
  <c r="J49" i="56"/>
  <c r="F49" i="56"/>
  <c r="S48" i="56"/>
  <c r="W48" i="56" s="1"/>
  <c r="R48" i="56"/>
  <c r="F48" i="56"/>
  <c r="S47" i="56"/>
  <c r="W47" i="56" s="1"/>
  <c r="J47" i="56"/>
  <c r="F47" i="56"/>
  <c r="N47" i="56" s="1"/>
  <c r="S46" i="56"/>
  <c r="W46" i="56" s="1"/>
  <c r="L46" i="56"/>
  <c r="J46" i="56"/>
  <c r="F46" i="56"/>
  <c r="N46" i="56" s="1"/>
  <c r="S45" i="56"/>
  <c r="W45" i="56" s="1"/>
  <c r="N45" i="56"/>
  <c r="L45" i="56"/>
  <c r="J45" i="56"/>
  <c r="F45" i="56"/>
  <c r="S44" i="56"/>
  <c r="W44" i="56" s="1"/>
  <c r="R44" i="56"/>
  <c r="F44" i="56"/>
  <c r="S43" i="56"/>
  <c r="W43" i="56" s="1"/>
  <c r="X43" i="56" s="1"/>
  <c r="H43" i="56"/>
  <c r="L43" i="56" s="1"/>
  <c r="F43" i="56"/>
  <c r="S42" i="56"/>
  <c r="W42" i="56" s="1"/>
  <c r="X42" i="56" s="1"/>
  <c r="P42" i="56"/>
  <c r="F42" i="56"/>
  <c r="S41" i="56"/>
  <c r="W41" i="56" s="1"/>
  <c r="H41" i="56"/>
  <c r="F41" i="56"/>
  <c r="V41" i="56" s="1"/>
  <c r="S40" i="56"/>
  <c r="W40" i="56" s="1"/>
  <c r="X40" i="56" s="1"/>
  <c r="P40" i="56"/>
  <c r="L40" i="56"/>
  <c r="J40" i="56"/>
  <c r="H40" i="56"/>
  <c r="F40" i="56"/>
  <c r="R40" i="56" s="1"/>
  <c r="V39" i="56"/>
  <c r="S39" i="56"/>
  <c r="W39" i="56" s="1"/>
  <c r="X39" i="56" s="1"/>
  <c r="L39" i="56"/>
  <c r="R39" i="56" s="1"/>
  <c r="J39" i="56"/>
  <c r="P39" i="56" s="1"/>
  <c r="H39" i="56"/>
  <c r="F39" i="56"/>
  <c r="T39" i="56" s="1"/>
  <c r="S38" i="56"/>
  <c r="W38" i="56" s="1"/>
  <c r="F38" i="56"/>
  <c r="S37" i="56"/>
  <c r="W37" i="56" s="1"/>
  <c r="X37" i="56" s="1"/>
  <c r="R37" i="56"/>
  <c r="L37" i="56"/>
  <c r="J37" i="56"/>
  <c r="H37" i="56"/>
  <c r="F37" i="56"/>
  <c r="V37" i="56" s="1"/>
  <c r="V36" i="56"/>
  <c r="S36" i="56"/>
  <c r="R36" i="56"/>
  <c r="P36" i="56"/>
  <c r="L36" i="56"/>
  <c r="J36" i="56"/>
  <c r="H36" i="56"/>
  <c r="F36" i="56"/>
  <c r="V35" i="56"/>
  <c r="S35" i="56"/>
  <c r="W35" i="56" s="1"/>
  <c r="X35" i="56" s="1"/>
  <c r="R35" i="56"/>
  <c r="P35" i="56"/>
  <c r="L35" i="56"/>
  <c r="J35" i="56"/>
  <c r="H35" i="56"/>
  <c r="F35" i="56"/>
  <c r="V34" i="56"/>
  <c r="S34" i="56"/>
  <c r="W34" i="56" s="1"/>
  <c r="X34" i="56" s="1"/>
  <c r="R34" i="56"/>
  <c r="P34" i="56"/>
  <c r="L34" i="56"/>
  <c r="J34" i="56"/>
  <c r="H34" i="56"/>
  <c r="F34" i="56"/>
  <c r="V33" i="56"/>
  <c r="S33" i="56"/>
  <c r="W33" i="56" s="1"/>
  <c r="X33" i="56" s="1"/>
  <c r="R33" i="56"/>
  <c r="P33" i="56"/>
  <c r="L33" i="56"/>
  <c r="J33" i="56"/>
  <c r="H33" i="56"/>
  <c r="F33" i="56"/>
  <c r="V32" i="56"/>
  <c r="S32" i="56"/>
  <c r="W32" i="56" s="1"/>
  <c r="X32" i="56" s="1"/>
  <c r="R32" i="56"/>
  <c r="P32" i="56"/>
  <c r="L32" i="56"/>
  <c r="J32" i="56"/>
  <c r="H32" i="56"/>
  <c r="F32" i="56"/>
  <c r="V31" i="56"/>
  <c r="S31" i="56"/>
  <c r="W31" i="56" s="1"/>
  <c r="X31" i="56" s="1"/>
  <c r="R31" i="56"/>
  <c r="P31" i="56"/>
  <c r="L31" i="56"/>
  <c r="J31" i="56"/>
  <c r="H31" i="56"/>
  <c r="F31" i="56"/>
  <c r="V30" i="56"/>
  <c r="S30" i="56"/>
  <c r="W30" i="56" s="1"/>
  <c r="X30" i="56" s="1"/>
  <c r="R30" i="56"/>
  <c r="P30" i="56"/>
  <c r="L30" i="56"/>
  <c r="J30" i="56"/>
  <c r="H30" i="56"/>
  <c r="F30" i="56"/>
  <c r="V29" i="56"/>
  <c r="S29" i="56"/>
  <c r="W29" i="56" s="1"/>
  <c r="X29" i="56" s="1"/>
  <c r="R29" i="56"/>
  <c r="P29" i="56"/>
  <c r="L29" i="56"/>
  <c r="J29" i="56"/>
  <c r="H29" i="56"/>
  <c r="F29" i="56"/>
  <c r="V28" i="56"/>
  <c r="S28" i="56"/>
  <c r="W28" i="56" s="1"/>
  <c r="X28" i="56" s="1"/>
  <c r="R28" i="56"/>
  <c r="P28" i="56"/>
  <c r="L28" i="56"/>
  <c r="J28" i="56"/>
  <c r="H28" i="56"/>
  <c r="F28" i="56"/>
  <c r="V27" i="56"/>
  <c r="S27" i="56"/>
  <c r="W27" i="56" s="1"/>
  <c r="X27" i="56" s="1"/>
  <c r="R27" i="56"/>
  <c r="P27" i="56"/>
  <c r="L27" i="56"/>
  <c r="J27" i="56"/>
  <c r="H27" i="56"/>
  <c r="F27" i="56"/>
  <c r="V26" i="56"/>
  <c r="S26" i="56"/>
  <c r="W26" i="56" s="1"/>
  <c r="X26" i="56" s="1"/>
  <c r="R26" i="56"/>
  <c r="P26" i="56"/>
  <c r="L26" i="56"/>
  <c r="J26" i="56"/>
  <c r="H26" i="56"/>
  <c r="F26" i="56"/>
  <c r="V25" i="56"/>
  <c r="S25" i="56"/>
  <c r="W25" i="56" s="1"/>
  <c r="X25" i="56" s="1"/>
  <c r="R25" i="56"/>
  <c r="P25" i="56"/>
  <c r="L25" i="56"/>
  <c r="J25" i="56"/>
  <c r="H25" i="56"/>
  <c r="F25" i="56"/>
  <c r="V24" i="56"/>
  <c r="S24" i="56"/>
  <c r="W24" i="56" s="1"/>
  <c r="X24" i="56" s="1"/>
  <c r="R24" i="56"/>
  <c r="P24" i="56"/>
  <c r="L24" i="56"/>
  <c r="J24" i="56"/>
  <c r="H24" i="56"/>
  <c r="F24" i="56"/>
  <c r="V23" i="56"/>
  <c r="S23" i="56"/>
  <c r="X23" i="56" s="1"/>
  <c r="R23" i="56"/>
  <c r="P23" i="56"/>
  <c r="L23" i="56"/>
  <c r="J23" i="56"/>
  <c r="H23" i="56"/>
  <c r="F23" i="56"/>
  <c r="S22" i="56"/>
  <c r="W22" i="56" s="1"/>
  <c r="N22" i="56"/>
  <c r="H22" i="56"/>
  <c r="F22" i="56"/>
  <c r="V22" i="56" s="1"/>
  <c r="S21" i="56"/>
  <c r="W21" i="56" s="1"/>
  <c r="P21" i="56"/>
  <c r="J21" i="56"/>
  <c r="F21" i="56"/>
  <c r="V21" i="56" s="1"/>
  <c r="S20" i="56"/>
  <c r="W20" i="56" s="1"/>
  <c r="L20" i="56"/>
  <c r="F20" i="56"/>
  <c r="N20" i="56" s="1"/>
  <c r="S19" i="56"/>
  <c r="T19" i="56" s="1"/>
  <c r="N19" i="56"/>
  <c r="L19" i="56"/>
  <c r="J19" i="56"/>
  <c r="F19" i="56"/>
  <c r="S18" i="56"/>
  <c r="W18" i="56" s="1"/>
  <c r="F18" i="56"/>
  <c r="S17" i="56"/>
  <c r="W17" i="56" s="1"/>
  <c r="N17" i="56"/>
  <c r="J17" i="56"/>
  <c r="F17" i="56"/>
  <c r="T17" i="56" s="1"/>
  <c r="S16" i="56"/>
  <c r="W16" i="56" s="1"/>
  <c r="L16" i="56"/>
  <c r="F16" i="56"/>
  <c r="N16" i="56" s="1"/>
  <c r="S15" i="56"/>
  <c r="T15" i="56" s="1"/>
  <c r="N15" i="56"/>
  <c r="L15" i="56"/>
  <c r="J15" i="56"/>
  <c r="F15" i="56"/>
  <c r="S14" i="56"/>
  <c r="W14" i="56" s="1"/>
  <c r="F14" i="56"/>
  <c r="S13" i="56"/>
  <c r="W13" i="56" s="1"/>
  <c r="N13" i="56"/>
  <c r="J13" i="56"/>
  <c r="F13" i="56"/>
  <c r="S12" i="56"/>
  <c r="W12" i="56" s="1"/>
  <c r="X12" i="56" s="1"/>
  <c r="P12" i="56"/>
  <c r="L12" i="56"/>
  <c r="J12" i="56"/>
  <c r="H12" i="56"/>
  <c r="F12" i="56"/>
  <c r="V12" i="56" s="1"/>
  <c r="V11" i="56"/>
  <c r="S11" i="56"/>
  <c r="W11" i="56" s="1"/>
  <c r="L11" i="56"/>
  <c r="J11" i="56"/>
  <c r="H11" i="56"/>
  <c r="F11" i="56"/>
  <c r="V10" i="56"/>
  <c r="S10" i="56"/>
  <c r="W10" i="56" s="1"/>
  <c r="X10" i="56" s="1"/>
  <c r="R10" i="56"/>
  <c r="P10" i="56"/>
  <c r="L10" i="56"/>
  <c r="J10" i="56"/>
  <c r="H10" i="56"/>
  <c r="F10" i="56"/>
  <c r="V9" i="56"/>
  <c r="S9" i="56"/>
  <c r="W9" i="56" s="1"/>
  <c r="X9" i="56" s="1"/>
  <c r="R9" i="56"/>
  <c r="P9" i="56"/>
  <c r="L9" i="56"/>
  <c r="J9" i="56"/>
  <c r="H9" i="56"/>
  <c r="F9" i="56"/>
  <c r="V8" i="56"/>
  <c r="S8" i="56"/>
  <c r="W8" i="56" s="1"/>
  <c r="X8" i="56" s="1"/>
  <c r="R8" i="56"/>
  <c r="P8" i="56"/>
  <c r="L8" i="56"/>
  <c r="J8" i="56"/>
  <c r="H8" i="56"/>
  <c r="F8" i="56"/>
  <c r="V7" i="56"/>
  <c r="S7" i="56"/>
  <c r="W7" i="56" s="1"/>
  <c r="X7" i="56" s="1"/>
  <c r="R7" i="56"/>
  <c r="P7" i="56"/>
  <c r="L7" i="56"/>
  <c r="J7" i="56"/>
  <c r="H7" i="56"/>
  <c r="F7" i="56"/>
  <c r="V6" i="56"/>
  <c r="S6" i="56"/>
  <c r="W6" i="56" s="1"/>
  <c r="X6" i="56" s="1"/>
  <c r="R6" i="56"/>
  <c r="P6" i="56"/>
  <c r="L6" i="56"/>
  <c r="J6" i="56"/>
  <c r="H6" i="56"/>
  <c r="F6" i="56"/>
  <c r="V5" i="56"/>
  <c r="S5" i="56"/>
  <c r="W5" i="56" s="1"/>
  <c r="X5" i="56" s="1"/>
  <c r="R5" i="56"/>
  <c r="P5" i="56"/>
  <c r="L5" i="56"/>
  <c r="J5" i="56"/>
  <c r="H5" i="56"/>
  <c r="F5" i="56"/>
  <c r="V70" i="55"/>
  <c r="S70" i="55"/>
  <c r="W70" i="55" s="1"/>
  <c r="X70" i="55" s="1"/>
  <c r="N70" i="55"/>
  <c r="S69" i="55"/>
  <c r="W69" i="55" s="1"/>
  <c r="R69" i="55"/>
  <c r="F69" i="55"/>
  <c r="S68" i="55"/>
  <c r="W68" i="55" s="1"/>
  <c r="X68" i="55" s="1"/>
  <c r="J68" i="55"/>
  <c r="F68" i="55"/>
  <c r="H68" i="55" s="1"/>
  <c r="S67" i="55"/>
  <c r="W67" i="55" s="1"/>
  <c r="F67" i="55"/>
  <c r="V66" i="55"/>
  <c r="S66" i="55"/>
  <c r="T66" i="55" s="1"/>
  <c r="N66" i="55"/>
  <c r="J66" i="55"/>
  <c r="F66" i="55"/>
  <c r="S65" i="55"/>
  <c r="W65" i="55" s="1"/>
  <c r="X65" i="55" s="1"/>
  <c r="R65" i="55"/>
  <c r="L65" i="55"/>
  <c r="J65" i="55"/>
  <c r="F65" i="55"/>
  <c r="V65" i="55" s="1"/>
  <c r="W64" i="55"/>
  <c r="X64" i="55" s="1"/>
  <c r="S64" i="55"/>
  <c r="R64" i="55"/>
  <c r="L64" i="55"/>
  <c r="J64" i="55"/>
  <c r="F64" i="55"/>
  <c r="V64" i="55" s="1"/>
  <c r="S63" i="55"/>
  <c r="W63" i="55" s="1"/>
  <c r="X63" i="55" s="1"/>
  <c r="R63" i="55"/>
  <c r="L63" i="55"/>
  <c r="J63" i="55"/>
  <c r="F63" i="55"/>
  <c r="V63" i="55" s="1"/>
  <c r="S62" i="55"/>
  <c r="W62" i="55" s="1"/>
  <c r="X62" i="55" s="1"/>
  <c r="R62" i="55"/>
  <c r="L62" i="55"/>
  <c r="J62" i="55"/>
  <c r="F62" i="55"/>
  <c r="V62" i="55" s="1"/>
  <c r="X61" i="55"/>
  <c r="S61" i="55"/>
  <c r="W61" i="55" s="1"/>
  <c r="R61" i="55"/>
  <c r="L61" i="55"/>
  <c r="J61" i="55"/>
  <c r="F61" i="55"/>
  <c r="V61" i="55" s="1"/>
  <c r="S60" i="55"/>
  <c r="W60" i="55" s="1"/>
  <c r="X60" i="55" s="1"/>
  <c r="R60" i="55"/>
  <c r="L60" i="55"/>
  <c r="J60" i="55"/>
  <c r="F60" i="55"/>
  <c r="V60" i="55" s="1"/>
  <c r="S59" i="55"/>
  <c r="W59" i="55" s="1"/>
  <c r="X59" i="55" s="1"/>
  <c r="R59" i="55"/>
  <c r="L59" i="55"/>
  <c r="J59" i="55"/>
  <c r="F59" i="55"/>
  <c r="V59" i="55" s="1"/>
  <c r="S58" i="55"/>
  <c r="W58" i="55" s="1"/>
  <c r="X58" i="55" s="1"/>
  <c r="R58" i="55"/>
  <c r="L58" i="55"/>
  <c r="J58" i="55"/>
  <c r="F58" i="55"/>
  <c r="V58" i="55" s="1"/>
  <c r="S57" i="55"/>
  <c r="W57" i="55" s="1"/>
  <c r="X57" i="55" s="1"/>
  <c r="R57" i="55"/>
  <c r="L57" i="55"/>
  <c r="J57" i="55"/>
  <c r="F57" i="55"/>
  <c r="V57" i="55" s="1"/>
  <c r="S56" i="55"/>
  <c r="W56" i="55" s="1"/>
  <c r="X56" i="55" s="1"/>
  <c r="R56" i="55"/>
  <c r="L56" i="55"/>
  <c r="J56" i="55"/>
  <c r="F56" i="55"/>
  <c r="V56" i="55" s="1"/>
  <c r="S55" i="55"/>
  <c r="W55" i="55" s="1"/>
  <c r="X55" i="55" s="1"/>
  <c r="R55" i="55"/>
  <c r="L55" i="55"/>
  <c r="J55" i="55"/>
  <c r="F55" i="55"/>
  <c r="V55" i="55" s="1"/>
  <c r="S54" i="55"/>
  <c r="W54" i="55" s="1"/>
  <c r="X54" i="55" s="1"/>
  <c r="R54" i="55"/>
  <c r="L54" i="55"/>
  <c r="J54" i="55"/>
  <c r="F54" i="55"/>
  <c r="V54" i="55" s="1"/>
  <c r="S53" i="55"/>
  <c r="W53" i="55" s="1"/>
  <c r="X53" i="55" s="1"/>
  <c r="R53" i="55"/>
  <c r="L53" i="55"/>
  <c r="J53" i="55"/>
  <c r="F53" i="55"/>
  <c r="V53" i="55" s="1"/>
  <c r="S52" i="55"/>
  <c r="W52" i="55" s="1"/>
  <c r="X52" i="55" s="1"/>
  <c r="R52" i="55"/>
  <c r="L52" i="55"/>
  <c r="J52" i="55"/>
  <c r="F52" i="55"/>
  <c r="V52" i="55" s="1"/>
  <c r="S51" i="55"/>
  <c r="W51" i="55" s="1"/>
  <c r="X51" i="55" s="1"/>
  <c r="R51" i="55"/>
  <c r="L51" i="55"/>
  <c r="J51" i="55"/>
  <c r="F51" i="55"/>
  <c r="V51" i="55" s="1"/>
  <c r="S50" i="55"/>
  <c r="W50" i="55" s="1"/>
  <c r="X50" i="55" s="1"/>
  <c r="R50" i="55"/>
  <c r="L50" i="55"/>
  <c r="J50" i="55"/>
  <c r="F50" i="55"/>
  <c r="V50" i="55" s="1"/>
  <c r="S49" i="55"/>
  <c r="W49" i="55" s="1"/>
  <c r="X49" i="55" s="1"/>
  <c r="R49" i="55"/>
  <c r="L49" i="55"/>
  <c r="J49" i="55"/>
  <c r="F49" i="55"/>
  <c r="V49" i="55" s="1"/>
  <c r="W48" i="55"/>
  <c r="X48" i="55" s="1"/>
  <c r="S48" i="55"/>
  <c r="R48" i="55"/>
  <c r="L48" i="55"/>
  <c r="J48" i="55"/>
  <c r="F48" i="55"/>
  <c r="V48" i="55" s="1"/>
  <c r="S47" i="55"/>
  <c r="W47" i="55" s="1"/>
  <c r="X47" i="55" s="1"/>
  <c r="R47" i="55"/>
  <c r="L47" i="55"/>
  <c r="J47" i="55"/>
  <c r="F47" i="55"/>
  <c r="V47" i="55" s="1"/>
  <c r="S46" i="55"/>
  <c r="W46" i="55" s="1"/>
  <c r="X46" i="55" s="1"/>
  <c r="R46" i="55"/>
  <c r="L46" i="55"/>
  <c r="J46" i="55"/>
  <c r="F46" i="55"/>
  <c r="V46" i="55" s="1"/>
  <c r="X45" i="55"/>
  <c r="S45" i="55"/>
  <c r="W45" i="55" s="1"/>
  <c r="F45" i="55"/>
  <c r="S44" i="55"/>
  <c r="N44" i="55"/>
  <c r="L44" i="55"/>
  <c r="J44" i="55"/>
  <c r="F44" i="55"/>
  <c r="S43" i="55"/>
  <c r="W43" i="55" s="1"/>
  <c r="F43" i="55"/>
  <c r="V42" i="55"/>
  <c r="S42" i="55"/>
  <c r="N42" i="55"/>
  <c r="L42" i="55"/>
  <c r="H42" i="55"/>
  <c r="F42" i="55"/>
  <c r="V41" i="55"/>
  <c r="S41" i="55"/>
  <c r="W41" i="55" s="1"/>
  <c r="N41" i="55"/>
  <c r="L41" i="55"/>
  <c r="F41" i="55"/>
  <c r="S40" i="55"/>
  <c r="W40" i="55" s="1"/>
  <c r="F40" i="55"/>
  <c r="S39" i="55"/>
  <c r="W39" i="55" s="1"/>
  <c r="N39" i="55"/>
  <c r="F39" i="55"/>
  <c r="V38" i="55"/>
  <c r="S38" i="55"/>
  <c r="W38" i="55" s="1"/>
  <c r="J38" i="55"/>
  <c r="H38" i="55"/>
  <c r="L38" i="55" s="1"/>
  <c r="F38" i="55"/>
  <c r="S37" i="55"/>
  <c r="W37" i="55" s="1"/>
  <c r="N37" i="55"/>
  <c r="F37" i="55"/>
  <c r="V37" i="55" s="1"/>
  <c r="S36" i="55"/>
  <c r="W36" i="55" s="1"/>
  <c r="N36" i="55"/>
  <c r="F36" i="55"/>
  <c r="S35" i="55"/>
  <c r="W35" i="55" s="1"/>
  <c r="F35" i="55"/>
  <c r="S34" i="55"/>
  <c r="W34" i="55" s="1"/>
  <c r="N34" i="55"/>
  <c r="H34" i="55"/>
  <c r="F34" i="55"/>
  <c r="V33" i="55"/>
  <c r="S33" i="55"/>
  <c r="T33" i="55" s="1"/>
  <c r="N33" i="55"/>
  <c r="H33" i="55"/>
  <c r="F33" i="55"/>
  <c r="P33" i="55" s="1"/>
  <c r="V32" i="55"/>
  <c r="S32" i="55"/>
  <c r="W32" i="55" s="1"/>
  <c r="N32" i="55"/>
  <c r="H32" i="55"/>
  <c r="F32" i="55"/>
  <c r="P32" i="55" s="1"/>
  <c r="V31" i="55"/>
  <c r="S31" i="55"/>
  <c r="T31" i="55" s="1"/>
  <c r="N31" i="55"/>
  <c r="H31" i="55"/>
  <c r="F31" i="55"/>
  <c r="P31" i="55" s="1"/>
  <c r="V30" i="55"/>
  <c r="S30" i="55"/>
  <c r="W30" i="55" s="1"/>
  <c r="N30" i="55"/>
  <c r="H30" i="55"/>
  <c r="F30" i="55"/>
  <c r="P30" i="55" s="1"/>
  <c r="V29" i="55"/>
  <c r="S29" i="55"/>
  <c r="W29" i="55" s="1"/>
  <c r="N29" i="55"/>
  <c r="H29" i="55"/>
  <c r="F29" i="55"/>
  <c r="P29" i="55" s="1"/>
  <c r="V28" i="55"/>
  <c r="S28" i="55"/>
  <c r="W28" i="55" s="1"/>
  <c r="N28" i="55"/>
  <c r="H28" i="55"/>
  <c r="F28" i="55"/>
  <c r="P28" i="55" s="1"/>
  <c r="V27" i="55"/>
  <c r="S27" i="55"/>
  <c r="T27" i="55" s="1"/>
  <c r="N27" i="55"/>
  <c r="H27" i="55"/>
  <c r="F27" i="55"/>
  <c r="P27" i="55" s="1"/>
  <c r="V26" i="55"/>
  <c r="S26" i="55"/>
  <c r="T26" i="55" s="1"/>
  <c r="N26" i="55"/>
  <c r="H26" i="55"/>
  <c r="F26" i="55"/>
  <c r="P26" i="55" s="1"/>
  <c r="V25" i="55"/>
  <c r="S25" i="55"/>
  <c r="T25" i="55" s="1"/>
  <c r="N25" i="55"/>
  <c r="H25" i="55"/>
  <c r="F25" i="55"/>
  <c r="P25" i="55" s="1"/>
  <c r="V24" i="55"/>
  <c r="S24" i="55"/>
  <c r="W24" i="55" s="1"/>
  <c r="N24" i="55"/>
  <c r="H24" i="55"/>
  <c r="F24" i="55"/>
  <c r="P24" i="55" s="1"/>
  <c r="V23" i="55"/>
  <c r="S23" i="55"/>
  <c r="W23" i="55" s="1"/>
  <c r="N23" i="55"/>
  <c r="H23" i="55"/>
  <c r="F23" i="55"/>
  <c r="P23" i="55" s="1"/>
  <c r="S22" i="55"/>
  <c r="W22" i="55" s="1"/>
  <c r="F22" i="55"/>
  <c r="V21" i="55"/>
  <c r="S21" i="55"/>
  <c r="W21" i="55" s="1"/>
  <c r="X21" i="55" s="1"/>
  <c r="J21" i="55"/>
  <c r="H21" i="55"/>
  <c r="L21" i="55" s="1"/>
  <c r="F21" i="55"/>
  <c r="P21" i="55" s="1"/>
  <c r="V20" i="55"/>
  <c r="S20" i="55"/>
  <c r="W20" i="55" s="1"/>
  <c r="X20" i="55" s="1"/>
  <c r="R20" i="55"/>
  <c r="P20" i="55"/>
  <c r="L20" i="55"/>
  <c r="J20" i="55"/>
  <c r="H20" i="55"/>
  <c r="F20" i="55"/>
  <c r="V19" i="55"/>
  <c r="S19" i="55"/>
  <c r="W19" i="55" s="1"/>
  <c r="X19" i="55" s="1"/>
  <c r="R19" i="55"/>
  <c r="P19" i="55"/>
  <c r="L19" i="55"/>
  <c r="J19" i="55"/>
  <c r="H19" i="55"/>
  <c r="F19" i="55"/>
  <c r="V18" i="55"/>
  <c r="S18" i="55"/>
  <c r="W18" i="55" s="1"/>
  <c r="X18" i="55" s="1"/>
  <c r="R18" i="55"/>
  <c r="P18" i="55"/>
  <c r="L18" i="55"/>
  <c r="J18" i="55"/>
  <c r="H18" i="55"/>
  <c r="F18" i="55"/>
  <c r="V17" i="55"/>
  <c r="S17" i="55"/>
  <c r="W17" i="55" s="1"/>
  <c r="X17" i="55" s="1"/>
  <c r="R17" i="55"/>
  <c r="P17" i="55"/>
  <c r="L17" i="55"/>
  <c r="J17" i="55"/>
  <c r="H17" i="55"/>
  <c r="F17" i="55"/>
  <c r="V16" i="55"/>
  <c r="S16" i="55"/>
  <c r="W16" i="55" s="1"/>
  <c r="X16" i="55" s="1"/>
  <c r="R16" i="55"/>
  <c r="P16" i="55"/>
  <c r="L16" i="55"/>
  <c r="J16" i="55"/>
  <c r="H16" i="55"/>
  <c r="F16" i="55"/>
  <c r="V15" i="55"/>
  <c r="S15" i="55"/>
  <c r="W15" i="55" s="1"/>
  <c r="X15" i="55" s="1"/>
  <c r="R15" i="55"/>
  <c r="P15" i="55"/>
  <c r="L15" i="55"/>
  <c r="J15" i="55"/>
  <c r="H15" i="55"/>
  <c r="F15" i="55"/>
  <c r="V14" i="55"/>
  <c r="S14" i="55"/>
  <c r="W14" i="55" s="1"/>
  <c r="X14" i="55" s="1"/>
  <c r="L14" i="55"/>
  <c r="P14" i="55" s="1"/>
  <c r="J14" i="55"/>
  <c r="H14" i="55"/>
  <c r="F14" i="55"/>
  <c r="V13" i="55"/>
  <c r="S13" i="55"/>
  <c r="W13" i="55" s="1"/>
  <c r="X13" i="55" s="1"/>
  <c r="R13" i="55"/>
  <c r="P13" i="55"/>
  <c r="L13" i="55"/>
  <c r="J13" i="55"/>
  <c r="H13" i="55"/>
  <c r="F13" i="55"/>
  <c r="V12" i="55"/>
  <c r="S12" i="55"/>
  <c r="W12" i="55" s="1"/>
  <c r="P12" i="55"/>
  <c r="N12" i="55"/>
  <c r="H12" i="55"/>
  <c r="F12" i="55"/>
  <c r="V11" i="55"/>
  <c r="S11" i="55"/>
  <c r="T11" i="55" s="1"/>
  <c r="L11" i="55"/>
  <c r="J11" i="55"/>
  <c r="F11" i="55"/>
  <c r="S10" i="55"/>
  <c r="W10" i="55" s="1"/>
  <c r="X10" i="55" s="1"/>
  <c r="R10" i="55"/>
  <c r="L10" i="55"/>
  <c r="J10" i="55"/>
  <c r="F10" i="55"/>
  <c r="V10" i="55" s="1"/>
  <c r="S9" i="55"/>
  <c r="W9" i="55" s="1"/>
  <c r="X9" i="55" s="1"/>
  <c r="R9" i="55"/>
  <c r="L9" i="55"/>
  <c r="J9" i="55"/>
  <c r="F9" i="55"/>
  <c r="V9" i="55" s="1"/>
  <c r="S8" i="55"/>
  <c r="W8" i="55" s="1"/>
  <c r="X8" i="55" s="1"/>
  <c r="R8" i="55"/>
  <c r="L8" i="55"/>
  <c r="J8" i="55"/>
  <c r="F8" i="55"/>
  <c r="V8" i="55" s="1"/>
  <c r="S7" i="55"/>
  <c r="W7" i="55" s="1"/>
  <c r="X7" i="55" s="1"/>
  <c r="R7" i="55"/>
  <c r="L7" i="55"/>
  <c r="J7" i="55"/>
  <c r="F7" i="55"/>
  <c r="V7" i="55" s="1"/>
  <c r="S6" i="55"/>
  <c r="W6" i="55" s="1"/>
  <c r="X6" i="55" s="1"/>
  <c r="R6" i="55"/>
  <c r="L6" i="55"/>
  <c r="J6" i="55"/>
  <c r="F6" i="55"/>
  <c r="V6" i="55" s="1"/>
  <c r="S5" i="55"/>
  <c r="W5" i="55" s="1"/>
  <c r="X5" i="55" s="1"/>
  <c r="R5" i="55"/>
  <c r="L5" i="55"/>
  <c r="J5" i="55"/>
  <c r="F5" i="55"/>
  <c r="V5" i="55" s="1"/>
  <c r="V70" i="54"/>
  <c r="S70" i="54"/>
  <c r="W70" i="54" s="1"/>
  <c r="X70" i="54" s="1"/>
  <c r="N70" i="54"/>
  <c r="S69" i="54"/>
  <c r="W69" i="54" s="1"/>
  <c r="P69" i="54"/>
  <c r="H69" i="54"/>
  <c r="F69" i="54"/>
  <c r="S68" i="54"/>
  <c r="W68" i="54" s="1"/>
  <c r="X68" i="54" s="1"/>
  <c r="J68" i="54"/>
  <c r="F68" i="54"/>
  <c r="H68" i="54" s="1"/>
  <c r="S67" i="54"/>
  <c r="W67" i="54" s="1"/>
  <c r="N67" i="54"/>
  <c r="F67" i="54"/>
  <c r="S66" i="54"/>
  <c r="W66" i="54" s="1"/>
  <c r="J66" i="54"/>
  <c r="F66" i="54"/>
  <c r="S65" i="54"/>
  <c r="W65" i="54" s="1"/>
  <c r="R65" i="54"/>
  <c r="J65" i="54"/>
  <c r="F65" i="54"/>
  <c r="V65" i="54" s="1"/>
  <c r="S64" i="54"/>
  <c r="W64" i="54" s="1"/>
  <c r="R64" i="54"/>
  <c r="J64" i="54"/>
  <c r="F64" i="54"/>
  <c r="V64" i="54" s="1"/>
  <c r="S63" i="54"/>
  <c r="W63" i="54" s="1"/>
  <c r="R63" i="54"/>
  <c r="J63" i="54"/>
  <c r="F63" i="54"/>
  <c r="V63" i="54" s="1"/>
  <c r="S62" i="54"/>
  <c r="W62" i="54" s="1"/>
  <c r="R62" i="54"/>
  <c r="J62" i="54"/>
  <c r="F62" i="54"/>
  <c r="V62" i="54" s="1"/>
  <c r="S61" i="54"/>
  <c r="W61" i="54" s="1"/>
  <c r="R61" i="54"/>
  <c r="J61" i="54"/>
  <c r="F61" i="54"/>
  <c r="V61" i="54" s="1"/>
  <c r="S60" i="54"/>
  <c r="W60" i="54" s="1"/>
  <c r="R60" i="54"/>
  <c r="J60" i="54"/>
  <c r="F60" i="54"/>
  <c r="V60" i="54" s="1"/>
  <c r="S59" i="54"/>
  <c r="W59" i="54" s="1"/>
  <c r="R59" i="54"/>
  <c r="J59" i="54"/>
  <c r="F59" i="54"/>
  <c r="V59" i="54" s="1"/>
  <c r="S58" i="54"/>
  <c r="W58" i="54" s="1"/>
  <c r="R58" i="54"/>
  <c r="J58" i="54"/>
  <c r="F58" i="54"/>
  <c r="V58" i="54" s="1"/>
  <c r="S57" i="54"/>
  <c r="W57" i="54" s="1"/>
  <c r="R57" i="54"/>
  <c r="L57" i="54"/>
  <c r="J57" i="54"/>
  <c r="F57" i="54"/>
  <c r="V57" i="54" s="1"/>
  <c r="S56" i="54"/>
  <c r="W56" i="54" s="1"/>
  <c r="R56" i="54"/>
  <c r="L56" i="54"/>
  <c r="J56" i="54"/>
  <c r="F56" i="54"/>
  <c r="V56" i="54" s="1"/>
  <c r="S55" i="54"/>
  <c r="W55" i="54" s="1"/>
  <c r="X55" i="54" s="1"/>
  <c r="R55" i="54"/>
  <c r="L55" i="54"/>
  <c r="J55" i="54"/>
  <c r="F55" i="54"/>
  <c r="V55" i="54" s="1"/>
  <c r="S54" i="54"/>
  <c r="W54" i="54" s="1"/>
  <c r="X54" i="54" s="1"/>
  <c r="R54" i="54"/>
  <c r="L54" i="54"/>
  <c r="J54" i="54"/>
  <c r="F54" i="54"/>
  <c r="V54" i="54" s="1"/>
  <c r="S53" i="54"/>
  <c r="W53" i="54" s="1"/>
  <c r="X53" i="54" s="1"/>
  <c r="R53" i="54"/>
  <c r="L53" i="54"/>
  <c r="J53" i="54"/>
  <c r="F53" i="54"/>
  <c r="V53" i="54" s="1"/>
  <c r="S52" i="54"/>
  <c r="W52" i="54" s="1"/>
  <c r="X52" i="54" s="1"/>
  <c r="R52" i="54"/>
  <c r="L52" i="54"/>
  <c r="J52" i="54"/>
  <c r="F52" i="54"/>
  <c r="V52" i="54" s="1"/>
  <c r="S51" i="54"/>
  <c r="W51" i="54" s="1"/>
  <c r="X51" i="54" s="1"/>
  <c r="R51" i="54"/>
  <c r="L51" i="54"/>
  <c r="J51" i="54"/>
  <c r="F51" i="54"/>
  <c r="V51" i="54" s="1"/>
  <c r="S50" i="54"/>
  <c r="W50" i="54" s="1"/>
  <c r="X50" i="54" s="1"/>
  <c r="R50" i="54"/>
  <c r="L50" i="54"/>
  <c r="J50" i="54"/>
  <c r="F50" i="54"/>
  <c r="V50" i="54" s="1"/>
  <c r="S49" i="54"/>
  <c r="W49" i="54" s="1"/>
  <c r="X49" i="54" s="1"/>
  <c r="R49" i="54"/>
  <c r="L49" i="54"/>
  <c r="J49" i="54"/>
  <c r="F49" i="54"/>
  <c r="V49" i="54" s="1"/>
  <c r="S48" i="54"/>
  <c r="W48" i="54" s="1"/>
  <c r="X48" i="54" s="1"/>
  <c r="R48" i="54"/>
  <c r="L48" i="54"/>
  <c r="J48" i="54"/>
  <c r="F48" i="54"/>
  <c r="V48" i="54" s="1"/>
  <c r="S47" i="54"/>
  <c r="W47" i="54" s="1"/>
  <c r="X47" i="54" s="1"/>
  <c r="R47" i="54"/>
  <c r="L47" i="54"/>
  <c r="J47" i="54"/>
  <c r="F47" i="54"/>
  <c r="V47" i="54" s="1"/>
  <c r="S46" i="54"/>
  <c r="W46" i="54" s="1"/>
  <c r="R46" i="54"/>
  <c r="F46" i="54"/>
  <c r="S45" i="54"/>
  <c r="W45" i="54" s="1"/>
  <c r="N45" i="54"/>
  <c r="J45" i="54"/>
  <c r="F45" i="54"/>
  <c r="S44" i="54"/>
  <c r="W44" i="54" s="1"/>
  <c r="L44" i="54"/>
  <c r="F44" i="54"/>
  <c r="N44" i="54" s="1"/>
  <c r="S43" i="54"/>
  <c r="W43" i="54" s="1"/>
  <c r="H43" i="54"/>
  <c r="L43" i="54" s="1"/>
  <c r="F43" i="54"/>
  <c r="S42" i="54"/>
  <c r="W42" i="54" s="1"/>
  <c r="L42" i="54"/>
  <c r="F42" i="54"/>
  <c r="V42" i="54" s="1"/>
  <c r="V41" i="54"/>
  <c r="S41" i="54"/>
  <c r="W41" i="54" s="1"/>
  <c r="N41" i="54"/>
  <c r="L41" i="54"/>
  <c r="H41" i="54"/>
  <c r="F41" i="54"/>
  <c r="S40" i="54"/>
  <c r="W40" i="54" s="1"/>
  <c r="X40" i="54" s="1"/>
  <c r="P40" i="54"/>
  <c r="L40" i="54"/>
  <c r="H40" i="54"/>
  <c r="F40" i="54"/>
  <c r="R40" i="54" s="1"/>
  <c r="V39" i="54"/>
  <c r="S39" i="54"/>
  <c r="W39" i="54" s="1"/>
  <c r="X39" i="54" s="1"/>
  <c r="L39" i="54"/>
  <c r="R39" i="54" s="1"/>
  <c r="H39" i="54"/>
  <c r="F39" i="54"/>
  <c r="S38" i="54"/>
  <c r="W38" i="54" s="1"/>
  <c r="J38" i="54"/>
  <c r="F38" i="54"/>
  <c r="V38" i="54" s="1"/>
  <c r="S37" i="54"/>
  <c r="T37" i="54" s="1"/>
  <c r="R37" i="54"/>
  <c r="L37" i="54"/>
  <c r="H37" i="54"/>
  <c r="F37" i="54"/>
  <c r="V37" i="54" s="1"/>
  <c r="V36" i="54"/>
  <c r="S36" i="54"/>
  <c r="W36" i="54" s="1"/>
  <c r="X36" i="54" s="1"/>
  <c r="P36" i="54"/>
  <c r="L36" i="54"/>
  <c r="H36" i="54"/>
  <c r="F36" i="54"/>
  <c r="V35" i="54"/>
  <c r="S35" i="54"/>
  <c r="W35" i="54" s="1"/>
  <c r="X35" i="54" s="1"/>
  <c r="P35" i="54"/>
  <c r="L35" i="54"/>
  <c r="H35" i="54"/>
  <c r="F35" i="54"/>
  <c r="V34" i="54"/>
  <c r="S34" i="54"/>
  <c r="W34" i="54" s="1"/>
  <c r="X34" i="54" s="1"/>
  <c r="P34" i="54"/>
  <c r="L34" i="54"/>
  <c r="H34" i="54"/>
  <c r="F34" i="54"/>
  <c r="T34" i="54" s="1"/>
  <c r="V33" i="54"/>
  <c r="S33" i="54"/>
  <c r="W33" i="54" s="1"/>
  <c r="X33" i="54" s="1"/>
  <c r="P33" i="54"/>
  <c r="L33" i="54"/>
  <c r="H33" i="54"/>
  <c r="F33" i="54"/>
  <c r="V32" i="54"/>
  <c r="S32" i="54"/>
  <c r="W32" i="54" s="1"/>
  <c r="X32" i="54" s="1"/>
  <c r="P32" i="54"/>
  <c r="L32" i="54"/>
  <c r="H32" i="54"/>
  <c r="F32" i="54"/>
  <c r="V31" i="54"/>
  <c r="S31" i="54"/>
  <c r="W31" i="54" s="1"/>
  <c r="X31" i="54" s="1"/>
  <c r="P31" i="54"/>
  <c r="L31" i="54"/>
  <c r="H31" i="54"/>
  <c r="F31" i="54"/>
  <c r="V30" i="54"/>
  <c r="S30" i="54"/>
  <c r="W30" i="54" s="1"/>
  <c r="X30" i="54" s="1"/>
  <c r="N30" i="54"/>
  <c r="L30" i="54"/>
  <c r="H30" i="54"/>
  <c r="F30" i="54"/>
  <c r="S29" i="54"/>
  <c r="W29" i="54" s="1"/>
  <c r="F29" i="54"/>
  <c r="H29" i="54" s="1"/>
  <c r="S28" i="54"/>
  <c r="W28" i="54" s="1"/>
  <c r="H28" i="54"/>
  <c r="F28" i="54"/>
  <c r="V28" i="54" s="1"/>
  <c r="T27" i="54"/>
  <c r="S27" i="54"/>
  <c r="W27" i="54" s="1"/>
  <c r="L27" i="54"/>
  <c r="H27" i="54"/>
  <c r="F27" i="54"/>
  <c r="V27" i="54" s="1"/>
  <c r="V26" i="54"/>
  <c r="S26" i="54"/>
  <c r="W26" i="54" s="1"/>
  <c r="N26" i="54"/>
  <c r="L26" i="54"/>
  <c r="H26" i="54"/>
  <c r="F26" i="54"/>
  <c r="S25" i="54"/>
  <c r="W25" i="54" s="1"/>
  <c r="F25" i="54"/>
  <c r="S24" i="54"/>
  <c r="W24" i="54" s="1"/>
  <c r="H24" i="54"/>
  <c r="F24" i="54"/>
  <c r="V24" i="54" s="1"/>
  <c r="S23" i="54"/>
  <c r="W23" i="54" s="1"/>
  <c r="L23" i="54"/>
  <c r="H23" i="54"/>
  <c r="F23" i="54"/>
  <c r="V23" i="54" s="1"/>
  <c r="V22" i="54"/>
  <c r="S22" i="54"/>
  <c r="W22" i="54" s="1"/>
  <c r="L22" i="54"/>
  <c r="J22" i="54"/>
  <c r="F22" i="54"/>
  <c r="S21" i="54"/>
  <c r="W21" i="54" s="1"/>
  <c r="J21" i="54"/>
  <c r="H21" i="54"/>
  <c r="L21" i="54" s="1"/>
  <c r="F21" i="54"/>
  <c r="V21" i="54" s="1"/>
  <c r="S20" i="54"/>
  <c r="W20" i="54" s="1"/>
  <c r="F20" i="54"/>
  <c r="S19" i="54"/>
  <c r="W19" i="54" s="1"/>
  <c r="R19" i="54"/>
  <c r="J19" i="54"/>
  <c r="H19" i="54"/>
  <c r="F19" i="54"/>
  <c r="S18" i="54"/>
  <c r="W18" i="54" s="1"/>
  <c r="F18" i="54"/>
  <c r="S17" i="54"/>
  <c r="W17" i="54" s="1"/>
  <c r="R17" i="54"/>
  <c r="J17" i="54"/>
  <c r="H17" i="54"/>
  <c r="F17" i="54"/>
  <c r="T17" i="54" s="1"/>
  <c r="S16" i="54"/>
  <c r="W16" i="54" s="1"/>
  <c r="F16" i="54"/>
  <c r="R16" i="54" s="1"/>
  <c r="S15" i="54"/>
  <c r="W15" i="54" s="1"/>
  <c r="R15" i="54"/>
  <c r="J15" i="54"/>
  <c r="H15" i="54"/>
  <c r="F15" i="54"/>
  <c r="S14" i="54"/>
  <c r="W14" i="54" s="1"/>
  <c r="F14" i="54"/>
  <c r="J14" i="54" s="1"/>
  <c r="S13" i="54"/>
  <c r="W13" i="54" s="1"/>
  <c r="R13" i="54"/>
  <c r="J13" i="54"/>
  <c r="H13" i="54"/>
  <c r="F13" i="54"/>
  <c r="S12" i="54"/>
  <c r="W12" i="54" s="1"/>
  <c r="F12" i="54"/>
  <c r="P12" i="54" s="1"/>
  <c r="S11" i="54"/>
  <c r="W11" i="54" s="1"/>
  <c r="X11" i="54" s="1"/>
  <c r="J11" i="54"/>
  <c r="H11" i="54"/>
  <c r="F11" i="54"/>
  <c r="R11" i="54" s="1"/>
  <c r="V10" i="54"/>
  <c r="S10" i="54"/>
  <c r="W10" i="54" s="1"/>
  <c r="F10" i="54"/>
  <c r="P10" i="54" s="1"/>
  <c r="V9" i="54"/>
  <c r="S9" i="54"/>
  <c r="W9" i="54" s="1"/>
  <c r="R9" i="54"/>
  <c r="P9" i="54"/>
  <c r="J9" i="54"/>
  <c r="H9" i="54"/>
  <c r="F9" i="54"/>
  <c r="V8" i="54"/>
  <c r="S8" i="54"/>
  <c r="W8" i="54" s="1"/>
  <c r="R8" i="54"/>
  <c r="P8" i="54"/>
  <c r="J8" i="54"/>
  <c r="H8" i="54"/>
  <c r="F8" i="54"/>
  <c r="V7" i="54"/>
  <c r="S7" i="54"/>
  <c r="W7" i="54" s="1"/>
  <c r="R7" i="54"/>
  <c r="P7" i="54"/>
  <c r="J7" i="54"/>
  <c r="H7" i="54"/>
  <c r="F7" i="54"/>
  <c r="V6" i="54"/>
  <c r="S6" i="54"/>
  <c r="W6" i="54" s="1"/>
  <c r="R6" i="54"/>
  <c r="P6" i="54"/>
  <c r="J6" i="54"/>
  <c r="H6" i="54"/>
  <c r="F6" i="54"/>
  <c r="V5" i="54"/>
  <c r="S5" i="54"/>
  <c r="W5" i="54" s="1"/>
  <c r="R5" i="54"/>
  <c r="P5" i="54"/>
  <c r="J5" i="54"/>
  <c r="H5" i="54"/>
  <c r="F5" i="54"/>
  <c r="V70" i="53"/>
  <c r="S70" i="53"/>
  <c r="W70" i="53" s="1"/>
  <c r="X70" i="53" s="1"/>
  <c r="N70" i="53"/>
  <c r="S69" i="53"/>
  <c r="P69" i="53"/>
  <c r="J69" i="53"/>
  <c r="F69" i="53"/>
  <c r="H69" i="53" s="1"/>
  <c r="S68" i="53"/>
  <c r="W68" i="53" s="1"/>
  <c r="X68" i="53" s="1"/>
  <c r="J68" i="53"/>
  <c r="F68" i="53"/>
  <c r="H68" i="53" s="1"/>
  <c r="S67" i="53"/>
  <c r="W67" i="53" s="1"/>
  <c r="F67" i="53"/>
  <c r="L67" i="53" s="1"/>
  <c r="S66" i="53"/>
  <c r="W66" i="53" s="1"/>
  <c r="F66" i="53"/>
  <c r="S65" i="53"/>
  <c r="W65" i="53" s="1"/>
  <c r="F65" i="53"/>
  <c r="V64" i="53"/>
  <c r="S64" i="53"/>
  <c r="W64" i="53" s="1"/>
  <c r="P64" i="53"/>
  <c r="J64" i="53"/>
  <c r="F64" i="53"/>
  <c r="H64" i="53" s="1"/>
  <c r="V63" i="53"/>
  <c r="S63" i="53"/>
  <c r="W63" i="53" s="1"/>
  <c r="P63" i="53"/>
  <c r="J63" i="53"/>
  <c r="H63" i="53"/>
  <c r="F63" i="53"/>
  <c r="S62" i="53"/>
  <c r="W62" i="53" s="1"/>
  <c r="R62" i="53"/>
  <c r="F62" i="53"/>
  <c r="S61" i="53"/>
  <c r="W61" i="53" s="1"/>
  <c r="R61" i="53"/>
  <c r="F61" i="53"/>
  <c r="V60" i="53"/>
  <c r="S60" i="53"/>
  <c r="W60" i="53" s="1"/>
  <c r="P60" i="53"/>
  <c r="J60" i="53"/>
  <c r="F60" i="53"/>
  <c r="H60" i="53" s="1"/>
  <c r="V59" i="53"/>
  <c r="S59" i="53"/>
  <c r="W59" i="53" s="1"/>
  <c r="P59" i="53"/>
  <c r="J59" i="53"/>
  <c r="H59" i="53"/>
  <c r="F59" i="53"/>
  <c r="S58" i="53"/>
  <c r="W58" i="53" s="1"/>
  <c r="R58" i="53"/>
  <c r="H58" i="53"/>
  <c r="F58" i="53"/>
  <c r="S57" i="53"/>
  <c r="W57" i="53" s="1"/>
  <c r="R57" i="53"/>
  <c r="P57" i="53"/>
  <c r="F57" i="53"/>
  <c r="V56" i="53"/>
  <c r="S56" i="53"/>
  <c r="W56" i="53" s="1"/>
  <c r="P56" i="53"/>
  <c r="J56" i="53"/>
  <c r="F56" i="53"/>
  <c r="H56" i="53" s="1"/>
  <c r="V55" i="53"/>
  <c r="S55" i="53"/>
  <c r="W55" i="53" s="1"/>
  <c r="P55" i="53"/>
  <c r="J55" i="53"/>
  <c r="H55" i="53"/>
  <c r="F55" i="53"/>
  <c r="S54" i="53"/>
  <c r="W54" i="53" s="1"/>
  <c r="F54" i="53"/>
  <c r="R54" i="53" s="1"/>
  <c r="S53" i="53"/>
  <c r="W53" i="53" s="1"/>
  <c r="F53" i="53"/>
  <c r="R53" i="53" s="1"/>
  <c r="V52" i="53"/>
  <c r="S52" i="53"/>
  <c r="W52" i="53" s="1"/>
  <c r="P52" i="53"/>
  <c r="J52" i="53"/>
  <c r="F52" i="53"/>
  <c r="H52" i="53" s="1"/>
  <c r="V51" i="53"/>
  <c r="S51" i="53"/>
  <c r="W51" i="53" s="1"/>
  <c r="P51" i="53"/>
  <c r="J51" i="53"/>
  <c r="H51" i="53"/>
  <c r="F51" i="53"/>
  <c r="S50" i="53"/>
  <c r="W50" i="53" s="1"/>
  <c r="F50" i="53"/>
  <c r="S49" i="53"/>
  <c r="W49" i="53" s="1"/>
  <c r="F49" i="53"/>
  <c r="V48" i="53"/>
  <c r="S48" i="53"/>
  <c r="W48" i="53" s="1"/>
  <c r="P48" i="53"/>
  <c r="J48" i="53"/>
  <c r="F48" i="53"/>
  <c r="H48" i="53" s="1"/>
  <c r="V47" i="53"/>
  <c r="S47" i="53"/>
  <c r="W47" i="53" s="1"/>
  <c r="P47" i="53"/>
  <c r="J47" i="53"/>
  <c r="H47" i="53"/>
  <c r="F47" i="53"/>
  <c r="S46" i="53"/>
  <c r="W46" i="53" s="1"/>
  <c r="R46" i="53"/>
  <c r="F46" i="53"/>
  <c r="S45" i="53"/>
  <c r="W45" i="53" s="1"/>
  <c r="R45" i="53"/>
  <c r="F45" i="53"/>
  <c r="V44" i="53"/>
  <c r="S44" i="53"/>
  <c r="W44" i="53" s="1"/>
  <c r="P44" i="53"/>
  <c r="J44" i="53"/>
  <c r="F44" i="53"/>
  <c r="H44" i="53" s="1"/>
  <c r="V43" i="53"/>
  <c r="S43" i="53"/>
  <c r="W43" i="53" s="1"/>
  <c r="F43" i="53"/>
  <c r="J43" i="53" s="1"/>
  <c r="S42" i="53"/>
  <c r="W42" i="53" s="1"/>
  <c r="F42" i="53"/>
  <c r="P42" i="53" s="1"/>
  <c r="S41" i="53"/>
  <c r="W41" i="53" s="1"/>
  <c r="R41" i="53"/>
  <c r="P41" i="53"/>
  <c r="H41" i="53"/>
  <c r="F41" i="53"/>
  <c r="S40" i="53"/>
  <c r="W40" i="53" s="1"/>
  <c r="R40" i="53"/>
  <c r="P40" i="53"/>
  <c r="F40" i="53"/>
  <c r="S39" i="53"/>
  <c r="W39" i="53" s="1"/>
  <c r="F39" i="53"/>
  <c r="S38" i="53"/>
  <c r="W38" i="53" s="1"/>
  <c r="F38" i="53"/>
  <c r="S37" i="53"/>
  <c r="W37" i="53" s="1"/>
  <c r="F37" i="53"/>
  <c r="L37" i="53" s="1"/>
  <c r="S36" i="53"/>
  <c r="W36" i="53" s="1"/>
  <c r="P36" i="53"/>
  <c r="L36" i="53"/>
  <c r="F36" i="53"/>
  <c r="S35" i="53"/>
  <c r="W35" i="53" s="1"/>
  <c r="P35" i="53"/>
  <c r="F35" i="53"/>
  <c r="V34" i="53"/>
  <c r="S34" i="53"/>
  <c r="W34" i="53" s="1"/>
  <c r="P34" i="53"/>
  <c r="L34" i="53"/>
  <c r="F34" i="53"/>
  <c r="J34" i="53" s="1"/>
  <c r="V33" i="53"/>
  <c r="S33" i="53"/>
  <c r="W33" i="53" s="1"/>
  <c r="P33" i="53"/>
  <c r="L33" i="53"/>
  <c r="H33" i="53"/>
  <c r="F33" i="53"/>
  <c r="J33" i="53" s="1"/>
  <c r="S32" i="53"/>
  <c r="W32" i="53" s="1"/>
  <c r="F32" i="53"/>
  <c r="J32" i="53" s="1"/>
  <c r="S31" i="53"/>
  <c r="W31" i="53" s="1"/>
  <c r="P31" i="53"/>
  <c r="F31" i="53"/>
  <c r="J31" i="53" s="1"/>
  <c r="V30" i="53"/>
  <c r="S30" i="53"/>
  <c r="W30" i="53" s="1"/>
  <c r="P30" i="53"/>
  <c r="L30" i="53"/>
  <c r="F30" i="53"/>
  <c r="J30" i="53" s="1"/>
  <c r="V29" i="53"/>
  <c r="S29" i="53"/>
  <c r="W29" i="53" s="1"/>
  <c r="P29" i="53"/>
  <c r="L29" i="53"/>
  <c r="H29" i="53"/>
  <c r="F29" i="53"/>
  <c r="J29" i="53" s="1"/>
  <c r="S28" i="53"/>
  <c r="W28" i="53" s="1"/>
  <c r="F28" i="53"/>
  <c r="J28" i="53" s="1"/>
  <c r="S27" i="53"/>
  <c r="W27" i="53" s="1"/>
  <c r="P27" i="53"/>
  <c r="F27" i="53"/>
  <c r="J27" i="53" s="1"/>
  <c r="V26" i="53"/>
  <c r="S26" i="53"/>
  <c r="W26" i="53" s="1"/>
  <c r="F26" i="53"/>
  <c r="L26" i="53" s="1"/>
  <c r="S25" i="53"/>
  <c r="W25" i="53" s="1"/>
  <c r="X25" i="53" s="1"/>
  <c r="F25" i="53"/>
  <c r="S24" i="53"/>
  <c r="W24" i="53" s="1"/>
  <c r="X24" i="53" s="1"/>
  <c r="L24" i="53"/>
  <c r="F24" i="53"/>
  <c r="R24" i="53" s="1"/>
  <c r="S23" i="53"/>
  <c r="W23" i="53" s="1"/>
  <c r="F23" i="53"/>
  <c r="R23" i="53" s="1"/>
  <c r="S22" i="53"/>
  <c r="W22" i="53" s="1"/>
  <c r="F22" i="53"/>
  <c r="L22" i="53" s="1"/>
  <c r="S21" i="53"/>
  <c r="W21" i="53" s="1"/>
  <c r="P21" i="53"/>
  <c r="F21" i="53"/>
  <c r="S20" i="53"/>
  <c r="W20" i="53" s="1"/>
  <c r="F20" i="53"/>
  <c r="N20" i="53" s="1"/>
  <c r="S19" i="53"/>
  <c r="W19" i="53" s="1"/>
  <c r="N19" i="53"/>
  <c r="F19" i="53"/>
  <c r="S18" i="53"/>
  <c r="W18" i="53" s="1"/>
  <c r="F18" i="53"/>
  <c r="N18" i="53" s="1"/>
  <c r="S17" i="53"/>
  <c r="W17" i="53" s="1"/>
  <c r="N17" i="53"/>
  <c r="F17" i="53"/>
  <c r="S16" i="53"/>
  <c r="W16" i="53" s="1"/>
  <c r="N16" i="53"/>
  <c r="F16" i="53"/>
  <c r="S15" i="53"/>
  <c r="W15" i="53" s="1"/>
  <c r="F15" i="53"/>
  <c r="N15" i="53" s="1"/>
  <c r="S14" i="53"/>
  <c r="W14" i="53" s="1"/>
  <c r="F14" i="53"/>
  <c r="N14" i="53" s="1"/>
  <c r="R14" i="53" s="1"/>
  <c r="S13" i="53"/>
  <c r="W13" i="53" s="1"/>
  <c r="N13" i="53"/>
  <c r="F13" i="53"/>
  <c r="S12" i="53"/>
  <c r="W12" i="53" s="1"/>
  <c r="F12" i="53"/>
  <c r="L12" i="53" s="1"/>
  <c r="S11" i="53"/>
  <c r="F11" i="53"/>
  <c r="R11" i="53" s="1"/>
  <c r="S10" i="53"/>
  <c r="W10" i="53" s="1"/>
  <c r="R10" i="53"/>
  <c r="P10" i="53"/>
  <c r="H10" i="53"/>
  <c r="F10" i="53"/>
  <c r="S9" i="53"/>
  <c r="W9" i="53" s="1"/>
  <c r="R9" i="53"/>
  <c r="F9" i="53"/>
  <c r="H9" i="53" s="1"/>
  <c r="V8" i="53"/>
  <c r="S8" i="53"/>
  <c r="W8" i="53" s="1"/>
  <c r="P8" i="53"/>
  <c r="J8" i="53"/>
  <c r="H8" i="53"/>
  <c r="F8" i="53"/>
  <c r="R8" i="53" s="1"/>
  <c r="S7" i="53"/>
  <c r="W7" i="53" s="1"/>
  <c r="R7" i="53"/>
  <c r="F7" i="53"/>
  <c r="S6" i="53"/>
  <c r="W6" i="53" s="1"/>
  <c r="F6" i="53"/>
  <c r="P6" i="53" s="1"/>
  <c r="S5" i="53"/>
  <c r="W5" i="53" s="1"/>
  <c r="R5" i="53"/>
  <c r="P5" i="53"/>
  <c r="F5" i="53"/>
  <c r="H5" i="53" s="1"/>
  <c r="T17" i="62" l="1"/>
  <c r="W13" i="62"/>
  <c r="X13" i="62" s="1"/>
  <c r="T16" i="62"/>
  <c r="W12" i="62"/>
  <c r="X12" i="62" s="1"/>
  <c r="T27" i="62"/>
  <c r="T70" i="62"/>
  <c r="T30" i="62"/>
  <c r="T14" i="62"/>
  <c r="W18" i="62"/>
  <c r="X18" i="62" s="1"/>
  <c r="T40" i="62"/>
  <c r="T41" i="62"/>
  <c r="T42" i="62"/>
  <c r="T31" i="62"/>
  <c r="T66" i="62"/>
  <c r="T9" i="62"/>
  <c r="W20" i="62"/>
  <c r="X20" i="62" s="1"/>
  <c r="T23" i="62"/>
  <c r="X68" i="62"/>
  <c r="W37" i="62"/>
  <c r="X37" i="62" s="1"/>
  <c r="T35" i="62"/>
  <c r="T34" i="62"/>
  <c r="T26" i="62"/>
  <c r="T8" i="62"/>
  <c r="T5" i="62"/>
  <c r="X7" i="62"/>
  <c r="R16" i="62"/>
  <c r="J5" i="62"/>
  <c r="R5" i="62"/>
  <c r="L6" i="62"/>
  <c r="T6" i="62"/>
  <c r="R8" i="62"/>
  <c r="J8" i="62"/>
  <c r="P8" i="62"/>
  <c r="X8" i="62"/>
  <c r="N9" i="62"/>
  <c r="L10" i="62"/>
  <c r="T10" i="62"/>
  <c r="H11" i="62"/>
  <c r="V11" i="62"/>
  <c r="V13" i="62"/>
  <c r="P13" i="62"/>
  <c r="H13" i="62"/>
  <c r="R13" i="62"/>
  <c r="L15" i="62"/>
  <c r="T15" i="62"/>
  <c r="J16" i="62"/>
  <c r="J17" i="62"/>
  <c r="N18" i="62"/>
  <c r="L20" i="62"/>
  <c r="V20" i="62"/>
  <c r="P20" i="62"/>
  <c r="H20" i="62"/>
  <c r="J21" i="62"/>
  <c r="T24" i="62"/>
  <c r="T28" i="62"/>
  <c r="T32" i="62"/>
  <c r="T36" i="62"/>
  <c r="V69" i="62"/>
  <c r="P69" i="62"/>
  <c r="T69" i="62"/>
  <c r="J69" i="62"/>
  <c r="X69" i="62"/>
  <c r="H69" i="62"/>
  <c r="R69" i="62"/>
  <c r="R7" i="62"/>
  <c r="J7" i="62"/>
  <c r="X17" i="62"/>
  <c r="L17" i="62"/>
  <c r="V17" i="62"/>
  <c r="P17" i="62"/>
  <c r="H17" i="62"/>
  <c r="T21" i="62"/>
  <c r="L5" i="62"/>
  <c r="X5" i="62"/>
  <c r="N6" i="62"/>
  <c r="L7" i="62"/>
  <c r="T7" i="62"/>
  <c r="R9" i="62"/>
  <c r="J9" i="62"/>
  <c r="P9" i="62"/>
  <c r="X9" i="62"/>
  <c r="N10" i="62"/>
  <c r="V14" i="62"/>
  <c r="H14" i="62"/>
  <c r="X14" i="62"/>
  <c r="L16" i="62"/>
  <c r="N17" i="62"/>
  <c r="X19" i="62"/>
  <c r="L19" i="62"/>
  <c r="V19" i="62"/>
  <c r="P19" i="62"/>
  <c r="H19" i="62"/>
  <c r="P22" i="62"/>
  <c r="H22" i="62"/>
  <c r="T22" i="62"/>
  <c r="L22" i="62"/>
  <c r="V22" i="62"/>
  <c r="T25" i="62"/>
  <c r="T29" i="62"/>
  <c r="T33" i="62"/>
  <c r="T38" i="62"/>
  <c r="H38" i="62"/>
  <c r="L38" i="62" s="1"/>
  <c r="X38" i="62"/>
  <c r="W67" i="62"/>
  <c r="X67" i="62" s="1"/>
  <c r="T67" i="62"/>
  <c r="P7" i="62"/>
  <c r="T11" i="62"/>
  <c r="J11" i="62"/>
  <c r="X16" i="62"/>
  <c r="V16" i="62"/>
  <c r="P16" i="62"/>
  <c r="H16" i="62"/>
  <c r="V21" i="62"/>
  <c r="X21" i="62"/>
  <c r="H21" i="62"/>
  <c r="L21" i="62" s="1"/>
  <c r="N5" i="62"/>
  <c r="R6" i="62"/>
  <c r="J6" i="62"/>
  <c r="P6" i="62"/>
  <c r="X6" i="62"/>
  <c r="N7" i="62"/>
  <c r="V7" i="62"/>
  <c r="R10" i="62"/>
  <c r="J10" i="62"/>
  <c r="P10" i="62"/>
  <c r="X10" i="62"/>
  <c r="R11" i="62"/>
  <c r="X11" i="62"/>
  <c r="V15" i="62"/>
  <c r="P15" i="62"/>
  <c r="H15" i="62"/>
  <c r="R15" i="62"/>
  <c r="X15" i="62"/>
  <c r="N16" i="62"/>
  <c r="R17" i="62"/>
  <c r="L18" i="62"/>
  <c r="V18" i="62"/>
  <c r="P18" i="62"/>
  <c r="H18" i="62"/>
  <c r="T19" i="62"/>
  <c r="T39" i="62"/>
  <c r="N12" i="62"/>
  <c r="N23" i="62"/>
  <c r="N24" i="62"/>
  <c r="N25" i="62"/>
  <c r="N26" i="62"/>
  <c r="N27" i="62"/>
  <c r="N28" i="62"/>
  <c r="N29" i="62"/>
  <c r="N30" i="62"/>
  <c r="N31" i="62"/>
  <c r="N32" i="62"/>
  <c r="N33" i="62"/>
  <c r="N34" i="62"/>
  <c r="N35" i="62"/>
  <c r="N36" i="62"/>
  <c r="N37" i="62"/>
  <c r="N39" i="62"/>
  <c r="X40" i="62"/>
  <c r="R40" i="62"/>
  <c r="V40" i="62"/>
  <c r="N40" i="62"/>
  <c r="X41" i="62"/>
  <c r="L41" i="62"/>
  <c r="R41" i="62"/>
  <c r="J41" i="62"/>
  <c r="V41" i="62"/>
  <c r="P41" i="62"/>
  <c r="H41" i="62"/>
  <c r="X42" i="62"/>
  <c r="L42" i="62"/>
  <c r="R42" i="62"/>
  <c r="J42" i="62"/>
  <c r="V42" i="62"/>
  <c r="P42" i="62"/>
  <c r="H42" i="62"/>
  <c r="V43" i="62"/>
  <c r="J43" i="62"/>
  <c r="T43" i="62"/>
  <c r="H43" i="62"/>
  <c r="L43" i="62" s="1"/>
  <c r="N44" i="62"/>
  <c r="T44" i="62"/>
  <c r="N45" i="62"/>
  <c r="T45" i="62"/>
  <c r="N46" i="62"/>
  <c r="T46" i="62"/>
  <c r="N47" i="62"/>
  <c r="T47" i="62"/>
  <c r="N48" i="62"/>
  <c r="T48" i="62"/>
  <c r="N49" i="62"/>
  <c r="T49" i="62"/>
  <c r="N50" i="62"/>
  <c r="T50" i="62"/>
  <c r="N51" i="62"/>
  <c r="T51" i="62"/>
  <c r="N52" i="62"/>
  <c r="T52" i="62"/>
  <c r="N53" i="62"/>
  <c r="T53" i="62"/>
  <c r="N54" i="62"/>
  <c r="T54" i="62"/>
  <c r="N55" i="62"/>
  <c r="T55" i="62"/>
  <c r="N56" i="62"/>
  <c r="T56" i="62"/>
  <c r="N57" i="62"/>
  <c r="T57" i="62"/>
  <c r="N58" i="62"/>
  <c r="T58" i="62"/>
  <c r="N59" i="62"/>
  <c r="T59" i="62"/>
  <c r="N60" i="62"/>
  <c r="T60" i="62"/>
  <c r="N61" i="62"/>
  <c r="T61" i="62"/>
  <c r="N62" i="62"/>
  <c r="T62" i="62"/>
  <c r="N63" i="62"/>
  <c r="T63" i="62"/>
  <c r="N64" i="62"/>
  <c r="T64" i="62"/>
  <c r="N65" i="62"/>
  <c r="T65" i="62"/>
  <c r="P66" i="62"/>
  <c r="T68" i="62"/>
  <c r="H44" i="62"/>
  <c r="P44" i="62"/>
  <c r="V44" i="62"/>
  <c r="H45" i="62"/>
  <c r="P45" i="62"/>
  <c r="V45" i="62"/>
  <c r="H46" i="62"/>
  <c r="P46" i="62"/>
  <c r="V46" i="62"/>
  <c r="H47" i="62"/>
  <c r="P47" i="62"/>
  <c r="V47" i="62"/>
  <c r="H48" i="62"/>
  <c r="P48" i="62"/>
  <c r="V48" i="62"/>
  <c r="H49" i="62"/>
  <c r="P49" i="62"/>
  <c r="V49" i="62"/>
  <c r="H50" i="62"/>
  <c r="P50" i="62"/>
  <c r="V50" i="62"/>
  <c r="H51" i="62"/>
  <c r="P51" i="62"/>
  <c r="V51" i="62"/>
  <c r="H52" i="62"/>
  <c r="P52" i="62"/>
  <c r="V52" i="62"/>
  <c r="H53" i="62"/>
  <c r="P53" i="62"/>
  <c r="V53" i="62"/>
  <c r="H54" i="62"/>
  <c r="P54" i="62"/>
  <c r="V54" i="62"/>
  <c r="H55" i="62"/>
  <c r="P55" i="62"/>
  <c r="V55" i="62"/>
  <c r="H56" i="62"/>
  <c r="P56" i="62"/>
  <c r="V56" i="62"/>
  <c r="H57" i="62"/>
  <c r="P57" i="62"/>
  <c r="V57" i="62"/>
  <c r="H58" i="62"/>
  <c r="P58" i="62"/>
  <c r="V58" i="62"/>
  <c r="H59" i="62"/>
  <c r="P59" i="62"/>
  <c r="V59" i="62"/>
  <c r="H60" i="62"/>
  <c r="P60" i="62"/>
  <c r="V60" i="62"/>
  <c r="H61" i="62"/>
  <c r="P61" i="62"/>
  <c r="V61" i="62"/>
  <c r="H62" i="62"/>
  <c r="P62" i="62"/>
  <c r="V62" i="62"/>
  <c r="H63" i="62"/>
  <c r="P63" i="62"/>
  <c r="V63" i="62"/>
  <c r="H64" i="62"/>
  <c r="P64" i="62"/>
  <c r="V64" i="62"/>
  <c r="H65" i="62"/>
  <c r="P65" i="62"/>
  <c r="V65" i="62"/>
  <c r="H66" i="62"/>
  <c r="X66" i="62"/>
  <c r="L67" i="62"/>
  <c r="V67" i="62"/>
  <c r="H68" i="62"/>
  <c r="J44" i="62"/>
  <c r="J45" i="62"/>
  <c r="J46" i="62"/>
  <c r="J47" i="62"/>
  <c r="J48" i="62"/>
  <c r="J49" i="62"/>
  <c r="J50" i="62"/>
  <c r="J51" i="62"/>
  <c r="J52" i="62"/>
  <c r="J53" i="62"/>
  <c r="J54" i="62"/>
  <c r="J55" i="62"/>
  <c r="J56" i="62"/>
  <c r="J57" i="62"/>
  <c r="J58" i="62"/>
  <c r="J59" i="62"/>
  <c r="J60" i="62"/>
  <c r="J61" i="62"/>
  <c r="J62" i="62"/>
  <c r="J63" i="62"/>
  <c r="J64" i="62"/>
  <c r="J65" i="62"/>
  <c r="J66" i="62"/>
  <c r="J68" i="62"/>
  <c r="W13" i="61"/>
  <c r="X13" i="61" s="1"/>
  <c r="T14" i="61"/>
  <c r="T33" i="61"/>
  <c r="T25" i="61"/>
  <c r="T30" i="61"/>
  <c r="T5" i="61"/>
  <c r="T15" i="61"/>
  <c r="T12" i="61"/>
  <c r="T26" i="61"/>
  <c r="T34" i="61"/>
  <c r="T29" i="61"/>
  <c r="T38" i="61"/>
  <c r="T70" i="61"/>
  <c r="T66" i="61"/>
  <c r="W21" i="61"/>
  <c r="X21" i="61" s="1"/>
  <c r="T20" i="61"/>
  <c r="T19" i="61"/>
  <c r="T18" i="61"/>
  <c r="W17" i="61"/>
  <c r="X17" i="61" s="1"/>
  <c r="T10" i="61"/>
  <c r="T9" i="61"/>
  <c r="T6" i="61"/>
  <c r="R7" i="61"/>
  <c r="J7" i="61"/>
  <c r="X7" i="61"/>
  <c r="T11" i="61"/>
  <c r="J11" i="61"/>
  <c r="V16" i="61"/>
  <c r="P16" i="61"/>
  <c r="H16" i="61"/>
  <c r="J5" i="61"/>
  <c r="R5" i="61"/>
  <c r="L6" i="61"/>
  <c r="H7" i="61"/>
  <c r="R8" i="61"/>
  <c r="J8" i="61"/>
  <c r="P8" i="61"/>
  <c r="X8" i="61"/>
  <c r="N9" i="61"/>
  <c r="L10" i="61"/>
  <c r="H11" i="61"/>
  <c r="V11" i="61"/>
  <c r="V13" i="61"/>
  <c r="P13" i="61"/>
  <c r="H13" i="61"/>
  <c r="R13" i="61"/>
  <c r="L15" i="61"/>
  <c r="J16" i="61"/>
  <c r="V17" i="61"/>
  <c r="P17" i="61"/>
  <c r="H17" i="61"/>
  <c r="R17" i="61"/>
  <c r="L19" i="61"/>
  <c r="J20" i="61"/>
  <c r="H21" i="61"/>
  <c r="L21" i="61" s="1"/>
  <c r="P22" i="61"/>
  <c r="H22" i="61"/>
  <c r="V22" i="61"/>
  <c r="N22" i="61"/>
  <c r="T22" i="61"/>
  <c r="L22" i="61"/>
  <c r="T23" i="61"/>
  <c r="T27" i="61"/>
  <c r="T31" i="61"/>
  <c r="T35" i="61"/>
  <c r="X37" i="61"/>
  <c r="R37" i="61"/>
  <c r="H37" i="61"/>
  <c r="N37" i="61"/>
  <c r="V37" i="61"/>
  <c r="L37" i="61"/>
  <c r="T37" i="61"/>
  <c r="J37" i="61"/>
  <c r="X40" i="61"/>
  <c r="L40" i="61"/>
  <c r="R40" i="61"/>
  <c r="J40" i="61"/>
  <c r="V40" i="61"/>
  <c r="P40" i="61"/>
  <c r="H40" i="61"/>
  <c r="T40" i="61"/>
  <c r="N40" i="61"/>
  <c r="X42" i="61"/>
  <c r="L42" i="61"/>
  <c r="R42" i="61"/>
  <c r="J42" i="61"/>
  <c r="V42" i="61"/>
  <c r="P42" i="61"/>
  <c r="H42" i="61"/>
  <c r="T42" i="61"/>
  <c r="N42" i="61"/>
  <c r="V69" i="61"/>
  <c r="P69" i="61"/>
  <c r="T69" i="61"/>
  <c r="J69" i="61"/>
  <c r="X69" i="61"/>
  <c r="H69" i="61"/>
  <c r="R69" i="61"/>
  <c r="R16" i="61"/>
  <c r="X20" i="61"/>
  <c r="L7" i="61"/>
  <c r="T7" i="61"/>
  <c r="R9" i="61"/>
  <c r="J9" i="61"/>
  <c r="P9" i="61"/>
  <c r="X9" i="61"/>
  <c r="L11" i="61"/>
  <c r="V14" i="61"/>
  <c r="H14" i="61"/>
  <c r="X14" i="61"/>
  <c r="L16" i="61"/>
  <c r="T16" i="61"/>
  <c r="V18" i="61"/>
  <c r="P18" i="61"/>
  <c r="H18" i="61"/>
  <c r="R18" i="61"/>
  <c r="X18" i="61"/>
  <c r="L20" i="61"/>
  <c r="T24" i="61"/>
  <c r="T28" i="61"/>
  <c r="T32" i="61"/>
  <c r="P7" i="61"/>
  <c r="X16" i="61"/>
  <c r="V20" i="61"/>
  <c r="P20" i="61"/>
  <c r="H20" i="61"/>
  <c r="R20" i="61"/>
  <c r="N5" i="61"/>
  <c r="R6" i="61"/>
  <c r="J6" i="61"/>
  <c r="P6" i="61"/>
  <c r="X6" i="61"/>
  <c r="N7" i="61"/>
  <c r="V7" i="61"/>
  <c r="T8" i="61"/>
  <c r="H9" i="61"/>
  <c r="R10" i="61"/>
  <c r="J10" i="61"/>
  <c r="P10" i="61"/>
  <c r="X10" i="61"/>
  <c r="R11" i="61"/>
  <c r="X11" i="61"/>
  <c r="J14" i="61"/>
  <c r="V15" i="61"/>
  <c r="P15" i="61"/>
  <c r="H15" i="61"/>
  <c r="R15" i="61"/>
  <c r="X15" i="61"/>
  <c r="N16" i="61"/>
  <c r="J18" i="61"/>
  <c r="V19" i="61"/>
  <c r="P19" i="61"/>
  <c r="H19" i="61"/>
  <c r="R19" i="61"/>
  <c r="X19" i="61"/>
  <c r="N20" i="61"/>
  <c r="X39" i="61"/>
  <c r="L39" i="61"/>
  <c r="R39" i="61" s="1"/>
  <c r="J39" i="61"/>
  <c r="P39" i="61" s="1"/>
  <c r="V39" i="61"/>
  <c r="H39" i="61"/>
  <c r="T39" i="61"/>
  <c r="N39" i="61"/>
  <c r="X41" i="61"/>
  <c r="L41" i="61"/>
  <c r="R41" i="61"/>
  <c r="J41" i="61"/>
  <c r="V41" i="61"/>
  <c r="P41" i="61"/>
  <c r="H41" i="61"/>
  <c r="T41" i="61"/>
  <c r="N41" i="61"/>
  <c r="V43" i="61"/>
  <c r="J43" i="61"/>
  <c r="T43" i="61"/>
  <c r="H43" i="61"/>
  <c r="L43" i="61" s="1"/>
  <c r="X43" i="61"/>
  <c r="N12" i="61"/>
  <c r="N23" i="61"/>
  <c r="N24" i="61"/>
  <c r="N25" i="61"/>
  <c r="N26" i="61"/>
  <c r="N27" i="61"/>
  <c r="N28" i="61"/>
  <c r="N29" i="61"/>
  <c r="N30" i="61"/>
  <c r="N31" i="61"/>
  <c r="N32" i="61"/>
  <c r="N33" i="61"/>
  <c r="N34" i="61"/>
  <c r="N35" i="61"/>
  <c r="N36" i="61"/>
  <c r="T36" i="61"/>
  <c r="X68" i="61"/>
  <c r="W67" i="61"/>
  <c r="X67" i="61" s="1"/>
  <c r="T67" i="61"/>
  <c r="V38" i="61"/>
  <c r="J38" i="61"/>
  <c r="X38" i="61"/>
  <c r="N44" i="61"/>
  <c r="T44" i="61"/>
  <c r="N45" i="61"/>
  <c r="T45" i="61"/>
  <c r="N46" i="61"/>
  <c r="T46" i="61"/>
  <c r="N47" i="61"/>
  <c r="T47" i="61"/>
  <c r="N48" i="61"/>
  <c r="T48" i="61"/>
  <c r="N49" i="61"/>
  <c r="T49" i="61"/>
  <c r="N50" i="61"/>
  <c r="T50" i="61"/>
  <c r="N51" i="61"/>
  <c r="T51" i="61"/>
  <c r="N52" i="61"/>
  <c r="T52" i="61"/>
  <c r="N53" i="61"/>
  <c r="T53" i="61"/>
  <c r="N54" i="61"/>
  <c r="T54" i="61"/>
  <c r="N55" i="61"/>
  <c r="T55" i="61"/>
  <c r="N56" i="61"/>
  <c r="T56" i="61"/>
  <c r="N57" i="61"/>
  <c r="T57" i="61"/>
  <c r="N58" i="61"/>
  <c r="T58" i="61"/>
  <c r="N59" i="61"/>
  <c r="T59" i="61"/>
  <c r="N60" i="61"/>
  <c r="T60" i="61"/>
  <c r="N61" i="61"/>
  <c r="T61" i="61"/>
  <c r="N62" i="61"/>
  <c r="T62" i="61"/>
  <c r="N63" i="61"/>
  <c r="T63" i="61"/>
  <c r="N64" i="61"/>
  <c r="T64" i="61"/>
  <c r="N65" i="61"/>
  <c r="T65" i="61"/>
  <c r="P66" i="61"/>
  <c r="T68" i="61"/>
  <c r="H44" i="61"/>
  <c r="P44" i="61"/>
  <c r="V44" i="61"/>
  <c r="H45" i="61"/>
  <c r="P45" i="61"/>
  <c r="V45" i="61"/>
  <c r="H46" i="61"/>
  <c r="P46" i="61"/>
  <c r="V46" i="61"/>
  <c r="H47" i="61"/>
  <c r="P47" i="61"/>
  <c r="V47" i="61"/>
  <c r="H48" i="61"/>
  <c r="P48" i="61"/>
  <c r="V48" i="61"/>
  <c r="H49" i="61"/>
  <c r="P49" i="61"/>
  <c r="V49" i="61"/>
  <c r="H50" i="61"/>
  <c r="P50" i="61"/>
  <c r="V50" i="61"/>
  <c r="H51" i="61"/>
  <c r="P51" i="61"/>
  <c r="V51" i="61"/>
  <c r="H52" i="61"/>
  <c r="P52" i="61"/>
  <c r="V52" i="61"/>
  <c r="H53" i="61"/>
  <c r="P53" i="61"/>
  <c r="V53" i="61"/>
  <c r="H54" i="61"/>
  <c r="P54" i="61"/>
  <c r="V54" i="61"/>
  <c r="H55" i="61"/>
  <c r="P55" i="61"/>
  <c r="V55" i="61"/>
  <c r="H56" i="61"/>
  <c r="P56" i="61"/>
  <c r="V56" i="61"/>
  <c r="H57" i="61"/>
  <c r="P57" i="61"/>
  <c r="V57" i="61"/>
  <c r="H58" i="61"/>
  <c r="P58" i="61"/>
  <c r="V58" i="61"/>
  <c r="H59" i="61"/>
  <c r="P59" i="61"/>
  <c r="V59" i="61"/>
  <c r="P60" i="61"/>
  <c r="V60" i="61"/>
  <c r="V61" i="61"/>
  <c r="V62" i="61"/>
  <c r="X66" i="61"/>
  <c r="J44" i="61"/>
  <c r="J45" i="61"/>
  <c r="J46" i="61"/>
  <c r="J47" i="61"/>
  <c r="J48" i="61"/>
  <c r="J49" i="61"/>
  <c r="J50" i="61"/>
  <c r="J51" i="61"/>
  <c r="J52" i="61"/>
  <c r="J53" i="61"/>
  <c r="J54" i="61"/>
  <c r="J55" i="61"/>
  <c r="J56" i="61"/>
  <c r="J57" i="61"/>
  <c r="J58" i="61"/>
  <c r="J59" i="61"/>
  <c r="J60" i="61"/>
  <c r="J61" i="61"/>
  <c r="J62" i="61"/>
  <c r="J63" i="61"/>
  <c r="J64" i="61"/>
  <c r="J65" i="61"/>
  <c r="J66" i="61"/>
  <c r="J68" i="61"/>
  <c r="W29" i="60"/>
  <c r="T5" i="60"/>
  <c r="T7" i="60"/>
  <c r="T9" i="60"/>
  <c r="T70" i="60"/>
  <c r="W33" i="60"/>
  <c r="X33" i="60" s="1"/>
  <c r="T39" i="60"/>
  <c r="T18" i="60"/>
  <c r="T25" i="60"/>
  <c r="W23" i="60"/>
  <c r="X23" i="60" s="1"/>
  <c r="T22" i="60"/>
  <c r="T24" i="60"/>
  <c r="T27" i="60"/>
  <c r="T32" i="60"/>
  <c r="W31" i="60"/>
  <c r="X31" i="60" s="1"/>
  <c r="T38" i="60"/>
  <c r="W12" i="60"/>
  <c r="X12" i="60" s="1"/>
  <c r="T14" i="60"/>
  <c r="T16" i="60"/>
  <c r="T67" i="60"/>
  <c r="T42" i="60"/>
  <c r="T35" i="60"/>
  <c r="T10" i="60"/>
  <c r="T8" i="60"/>
  <c r="T6" i="60"/>
  <c r="V36" i="60"/>
  <c r="P36" i="60"/>
  <c r="H36" i="60"/>
  <c r="X36" i="60"/>
  <c r="L36" i="60"/>
  <c r="N5" i="60"/>
  <c r="N6" i="60"/>
  <c r="N7" i="60"/>
  <c r="N8" i="60"/>
  <c r="N9" i="60"/>
  <c r="N10" i="60"/>
  <c r="W11" i="60"/>
  <c r="X11" i="60" s="1"/>
  <c r="J12" i="60"/>
  <c r="L13" i="60"/>
  <c r="T19" i="60"/>
  <c r="V23" i="60"/>
  <c r="P23" i="60"/>
  <c r="H23" i="60"/>
  <c r="L23" i="60"/>
  <c r="J24" i="60"/>
  <c r="V27" i="60"/>
  <c r="P27" i="60"/>
  <c r="H27" i="60"/>
  <c r="X27" i="60"/>
  <c r="L27" i="60"/>
  <c r="J28" i="60"/>
  <c r="T28" i="60"/>
  <c r="V31" i="60"/>
  <c r="P31" i="60"/>
  <c r="H31" i="60"/>
  <c r="L31" i="60"/>
  <c r="J32" i="60"/>
  <c r="V35" i="60"/>
  <c r="P35" i="60"/>
  <c r="H35" i="60"/>
  <c r="X35" i="60"/>
  <c r="L35" i="60"/>
  <c r="J36" i="60"/>
  <c r="T36" i="60"/>
  <c r="X38" i="60"/>
  <c r="V39" i="60"/>
  <c r="H39" i="60"/>
  <c r="L39" i="60"/>
  <c r="R39" i="60" s="1"/>
  <c r="V43" i="60"/>
  <c r="J43" i="60"/>
  <c r="T43" i="60"/>
  <c r="H43" i="60"/>
  <c r="L43" i="60" s="1"/>
  <c r="V24" i="60"/>
  <c r="P24" i="60"/>
  <c r="H24" i="60"/>
  <c r="X24" i="60"/>
  <c r="L24" i="60"/>
  <c r="V32" i="60"/>
  <c r="P32" i="60"/>
  <c r="H32" i="60"/>
  <c r="X32" i="60"/>
  <c r="L32" i="60"/>
  <c r="T13" i="60"/>
  <c r="N13" i="60"/>
  <c r="P13" i="60"/>
  <c r="T15" i="60"/>
  <c r="T17" i="60"/>
  <c r="T20" i="60"/>
  <c r="N24" i="60"/>
  <c r="V26" i="60"/>
  <c r="P26" i="60"/>
  <c r="H26" i="60"/>
  <c r="X26" i="60"/>
  <c r="L26" i="60"/>
  <c r="V30" i="60"/>
  <c r="P30" i="60"/>
  <c r="H30" i="60"/>
  <c r="X30" i="60"/>
  <c r="L30" i="60"/>
  <c r="N32" i="60"/>
  <c r="V34" i="60"/>
  <c r="P34" i="60"/>
  <c r="H34" i="60"/>
  <c r="X34" i="60"/>
  <c r="L34" i="60"/>
  <c r="N36" i="60"/>
  <c r="X41" i="60"/>
  <c r="L41" i="60"/>
  <c r="R41" i="60"/>
  <c r="J41" i="60"/>
  <c r="T41" i="60"/>
  <c r="H41" i="60"/>
  <c r="P41" i="60"/>
  <c r="T68" i="60"/>
  <c r="V28" i="60"/>
  <c r="P28" i="60"/>
  <c r="H28" i="60"/>
  <c r="X28" i="60"/>
  <c r="L28" i="60"/>
  <c r="W40" i="60"/>
  <c r="X40" i="60" s="1"/>
  <c r="T40" i="60"/>
  <c r="N12" i="60"/>
  <c r="H13" i="60"/>
  <c r="R13" i="60"/>
  <c r="X13" i="60"/>
  <c r="T21" i="60"/>
  <c r="W21" i="60"/>
  <c r="X21" i="60" s="1"/>
  <c r="R24" i="60"/>
  <c r="V25" i="60"/>
  <c r="P25" i="60"/>
  <c r="H25" i="60"/>
  <c r="X25" i="60"/>
  <c r="L25" i="60"/>
  <c r="J26" i="60"/>
  <c r="T26" i="60"/>
  <c r="R28" i="60"/>
  <c r="V29" i="60"/>
  <c r="P29" i="60"/>
  <c r="H29" i="60"/>
  <c r="X29" i="60"/>
  <c r="L29" i="60"/>
  <c r="J30" i="60"/>
  <c r="T30" i="60"/>
  <c r="R32" i="60"/>
  <c r="V33" i="60"/>
  <c r="P33" i="60"/>
  <c r="H33" i="60"/>
  <c r="L33" i="60"/>
  <c r="J34" i="60"/>
  <c r="T34" i="60"/>
  <c r="R36" i="60"/>
  <c r="R37" i="60"/>
  <c r="H37" i="60"/>
  <c r="T37" i="60"/>
  <c r="L37" i="60"/>
  <c r="V37" i="60"/>
  <c r="N41" i="60"/>
  <c r="N14" i="60"/>
  <c r="R14" i="60" s="1"/>
  <c r="N15" i="60"/>
  <c r="N16" i="60"/>
  <c r="N17" i="60"/>
  <c r="N18" i="60"/>
  <c r="N19" i="60"/>
  <c r="N20" i="60"/>
  <c r="J22" i="60"/>
  <c r="X22" i="60"/>
  <c r="R40" i="60"/>
  <c r="J40" i="60"/>
  <c r="P40" i="60"/>
  <c r="X42" i="60"/>
  <c r="L42" i="60"/>
  <c r="R42" i="60"/>
  <c r="J42" i="60"/>
  <c r="R44" i="60"/>
  <c r="J44" i="60"/>
  <c r="V44" i="60"/>
  <c r="P44" i="60"/>
  <c r="H44" i="60"/>
  <c r="T44" i="60"/>
  <c r="R46" i="60"/>
  <c r="J46" i="60"/>
  <c r="V46" i="60"/>
  <c r="P46" i="60"/>
  <c r="H46" i="60"/>
  <c r="T46" i="60"/>
  <c r="R48" i="60"/>
  <c r="J48" i="60"/>
  <c r="V48" i="60"/>
  <c r="P48" i="60"/>
  <c r="H48" i="60"/>
  <c r="T48" i="60"/>
  <c r="R50" i="60"/>
  <c r="J50" i="60"/>
  <c r="V50" i="60"/>
  <c r="P50" i="60"/>
  <c r="H50" i="60"/>
  <c r="T50" i="60"/>
  <c r="R52" i="60"/>
  <c r="J52" i="60"/>
  <c r="V52" i="60"/>
  <c r="P52" i="60"/>
  <c r="H52" i="60"/>
  <c r="T52" i="60"/>
  <c r="R54" i="60"/>
  <c r="J54" i="60"/>
  <c r="V54" i="60"/>
  <c r="P54" i="60"/>
  <c r="H54" i="60"/>
  <c r="T54" i="60"/>
  <c r="R56" i="60"/>
  <c r="J56" i="60"/>
  <c r="V56" i="60"/>
  <c r="P56" i="60"/>
  <c r="H56" i="60"/>
  <c r="T56" i="60"/>
  <c r="R58" i="60"/>
  <c r="J58" i="60"/>
  <c r="V58" i="60"/>
  <c r="P58" i="60"/>
  <c r="H58" i="60"/>
  <c r="T58" i="60"/>
  <c r="R60" i="60"/>
  <c r="J60" i="60"/>
  <c r="V60" i="60"/>
  <c r="P60" i="60"/>
  <c r="H60" i="60"/>
  <c r="T60" i="60"/>
  <c r="R62" i="60"/>
  <c r="J62" i="60"/>
  <c r="V62" i="60"/>
  <c r="P62" i="60"/>
  <c r="H62" i="60"/>
  <c r="T62" i="60"/>
  <c r="R64" i="60"/>
  <c r="J64" i="60"/>
  <c r="V64" i="60"/>
  <c r="P64" i="60"/>
  <c r="H64" i="60"/>
  <c r="T64" i="60"/>
  <c r="T66" i="60"/>
  <c r="J66" i="60"/>
  <c r="X66" i="60"/>
  <c r="H66" i="60"/>
  <c r="V66" i="60"/>
  <c r="V69" i="60"/>
  <c r="P69" i="60"/>
  <c r="T69" i="60"/>
  <c r="J69" i="60"/>
  <c r="N22" i="60"/>
  <c r="R45" i="60"/>
  <c r="J45" i="60"/>
  <c r="V45" i="60"/>
  <c r="P45" i="60"/>
  <c r="H45" i="60"/>
  <c r="T45" i="60"/>
  <c r="R47" i="60"/>
  <c r="J47" i="60"/>
  <c r="V47" i="60"/>
  <c r="P47" i="60"/>
  <c r="H47" i="60"/>
  <c r="T47" i="60"/>
  <c r="R49" i="60"/>
  <c r="J49" i="60"/>
  <c r="V49" i="60"/>
  <c r="P49" i="60"/>
  <c r="H49" i="60"/>
  <c r="T49" i="60"/>
  <c r="R51" i="60"/>
  <c r="J51" i="60"/>
  <c r="V51" i="60"/>
  <c r="P51" i="60"/>
  <c r="H51" i="60"/>
  <c r="T51" i="60"/>
  <c r="R53" i="60"/>
  <c r="J53" i="60"/>
  <c r="V53" i="60"/>
  <c r="P53" i="60"/>
  <c r="H53" i="60"/>
  <c r="T53" i="60"/>
  <c r="R55" i="60"/>
  <c r="J55" i="60"/>
  <c r="V55" i="60"/>
  <c r="P55" i="60"/>
  <c r="H55" i="60"/>
  <c r="T55" i="60"/>
  <c r="R57" i="60"/>
  <c r="J57" i="60"/>
  <c r="V57" i="60"/>
  <c r="P57" i="60"/>
  <c r="H57" i="60"/>
  <c r="T57" i="60"/>
  <c r="R59" i="60"/>
  <c r="J59" i="60"/>
  <c r="V59" i="60"/>
  <c r="P59" i="60"/>
  <c r="H59" i="60"/>
  <c r="T59" i="60"/>
  <c r="R61" i="60"/>
  <c r="J61" i="60"/>
  <c r="V61" i="60"/>
  <c r="P61" i="60"/>
  <c r="H61" i="60"/>
  <c r="T61" i="60"/>
  <c r="R63" i="60"/>
  <c r="J63" i="60"/>
  <c r="V63" i="60"/>
  <c r="P63" i="60"/>
  <c r="H63" i="60"/>
  <c r="T63" i="60"/>
  <c r="R65" i="60"/>
  <c r="J65" i="60"/>
  <c r="V65" i="60"/>
  <c r="P65" i="60"/>
  <c r="H65" i="60"/>
  <c r="T65" i="60"/>
  <c r="X68" i="60"/>
  <c r="J68" i="60"/>
  <c r="H68" i="60"/>
  <c r="H69" i="60"/>
  <c r="X69" i="60"/>
  <c r="T6" i="59"/>
  <c r="T10" i="59"/>
  <c r="T31" i="59"/>
  <c r="X64" i="59"/>
  <c r="X5" i="59"/>
  <c r="L6" i="59"/>
  <c r="X7" i="59"/>
  <c r="L8" i="59"/>
  <c r="X9" i="59"/>
  <c r="L10" i="59"/>
  <c r="V11" i="59"/>
  <c r="L12" i="59"/>
  <c r="L15" i="59"/>
  <c r="N16" i="59"/>
  <c r="N18" i="59"/>
  <c r="L19" i="59"/>
  <c r="N20" i="59"/>
  <c r="L22" i="59"/>
  <c r="J23" i="59"/>
  <c r="J25" i="59"/>
  <c r="N27" i="59"/>
  <c r="J31" i="59"/>
  <c r="J33" i="59"/>
  <c r="J34" i="59"/>
  <c r="N35" i="59"/>
  <c r="V37" i="59"/>
  <c r="X42" i="59"/>
  <c r="J44" i="59"/>
  <c r="X45" i="59"/>
  <c r="R46" i="59"/>
  <c r="L47" i="59"/>
  <c r="J48" i="59"/>
  <c r="X49" i="59"/>
  <c r="R50" i="59"/>
  <c r="L51" i="59"/>
  <c r="J52" i="59"/>
  <c r="X53" i="59"/>
  <c r="R54" i="59"/>
  <c r="J56" i="59"/>
  <c r="X57" i="59"/>
  <c r="R58" i="59"/>
  <c r="J60" i="59"/>
  <c r="X61" i="59"/>
  <c r="R62" i="59"/>
  <c r="J64" i="59"/>
  <c r="X65" i="59"/>
  <c r="H5" i="59"/>
  <c r="P6" i="59"/>
  <c r="P8" i="59"/>
  <c r="P12" i="59"/>
  <c r="P22" i="59"/>
  <c r="L23" i="59"/>
  <c r="T27" i="59"/>
  <c r="L31" i="59"/>
  <c r="R34" i="59"/>
  <c r="L44" i="59"/>
  <c r="X46" i="59"/>
  <c r="L48" i="59"/>
  <c r="X50" i="59"/>
  <c r="L52" i="59"/>
  <c r="X54" i="59"/>
  <c r="L56" i="59"/>
  <c r="X58" i="59"/>
  <c r="L60" i="59"/>
  <c r="X62" i="59"/>
  <c r="L64" i="59"/>
  <c r="V66" i="59"/>
  <c r="X6" i="59"/>
  <c r="X8" i="59"/>
  <c r="X10" i="59"/>
  <c r="H12" i="59"/>
  <c r="T12" i="59"/>
  <c r="H18" i="59"/>
  <c r="H22" i="59"/>
  <c r="X22" i="59"/>
  <c r="R44" i="59"/>
  <c r="L45" i="59"/>
  <c r="J46" i="59"/>
  <c r="X47" i="59"/>
  <c r="R48" i="59"/>
  <c r="L49" i="59"/>
  <c r="J50" i="59"/>
  <c r="X51" i="59"/>
  <c r="R52" i="59"/>
  <c r="L53" i="59"/>
  <c r="J54" i="59"/>
  <c r="X55" i="59"/>
  <c r="R56" i="59"/>
  <c r="L57" i="59"/>
  <c r="J58" i="59"/>
  <c r="X59" i="59"/>
  <c r="R60" i="59"/>
  <c r="L61" i="59"/>
  <c r="J62" i="59"/>
  <c r="X63" i="59"/>
  <c r="R64" i="59"/>
  <c r="L65" i="59"/>
  <c r="J68" i="59"/>
  <c r="W38" i="59"/>
  <c r="X38" i="59" s="1"/>
  <c r="T26" i="59"/>
  <c r="T5" i="59"/>
  <c r="T33" i="59"/>
  <c r="T34" i="59"/>
  <c r="W12" i="59"/>
  <c r="X12" i="59" s="1"/>
  <c r="T20" i="59"/>
  <c r="T41" i="59"/>
  <c r="T9" i="59"/>
  <c r="W27" i="59"/>
  <c r="X27" i="59" s="1"/>
  <c r="T28" i="59"/>
  <c r="T7" i="59"/>
  <c r="T14" i="59"/>
  <c r="T70" i="59"/>
  <c r="X66" i="59"/>
  <c r="T66" i="59"/>
  <c r="T32" i="59"/>
  <c r="W31" i="59"/>
  <c r="X31" i="59" s="1"/>
  <c r="T29" i="59"/>
  <c r="T25" i="59"/>
  <c r="T24" i="59"/>
  <c r="W23" i="59"/>
  <c r="T22" i="59"/>
  <c r="T19" i="59"/>
  <c r="T16" i="59"/>
  <c r="T15" i="59"/>
  <c r="X13" i="59"/>
  <c r="N13" i="59"/>
  <c r="N14" i="59"/>
  <c r="R14" i="59" s="1"/>
  <c r="R17" i="59"/>
  <c r="J17" i="59"/>
  <c r="X17" i="59"/>
  <c r="R26" i="59"/>
  <c r="R30" i="59"/>
  <c r="X39" i="59"/>
  <c r="L39" i="59"/>
  <c r="R39" i="59" s="1"/>
  <c r="J39" i="59"/>
  <c r="P39" i="59" s="1"/>
  <c r="V39" i="59"/>
  <c r="H39" i="59"/>
  <c r="J5" i="59"/>
  <c r="R5" i="59"/>
  <c r="J6" i="59"/>
  <c r="R6" i="59"/>
  <c r="J7" i="59"/>
  <c r="R7" i="59"/>
  <c r="J8" i="59"/>
  <c r="R8" i="59"/>
  <c r="J9" i="59"/>
  <c r="R9" i="59"/>
  <c r="J10" i="59"/>
  <c r="R10" i="59"/>
  <c r="J11" i="59"/>
  <c r="T11" i="59"/>
  <c r="N12" i="59"/>
  <c r="H13" i="59"/>
  <c r="P13" i="59"/>
  <c r="V13" i="59"/>
  <c r="H14" i="59"/>
  <c r="X14" i="59"/>
  <c r="N15" i="59"/>
  <c r="L16" i="59"/>
  <c r="H17" i="59"/>
  <c r="R18" i="59"/>
  <c r="J18" i="59"/>
  <c r="P18" i="59"/>
  <c r="X18" i="59"/>
  <c r="N19" i="59"/>
  <c r="L20" i="59"/>
  <c r="H21" i="59"/>
  <c r="L21" i="59" s="1"/>
  <c r="V23" i="59"/>
  <c r="P23" i="59"/>
  <c r="H23" i="59"/>
  <c r="R23" i="59"/>
  <c r="X23" i="59"/>
  <c r="L25" i="59"/>
  <c r="J26" i="59"/>
  <c r="V27" i="59"/>
  <c r="P27" i="59"/>
  <c r="H27" i="59"/>
  <c r="R27" i="59"/>
  <c r="L29" i="59"/>
  <c r="V31" i="59"/>
  <c r="P31" i="59"/>
  <c r="H31" i="59"/>
  <c r="R31" i="59"/>
  <c r="L33" i="59"/>
  <c r="X36" i="59"/>
  <c r="L36" i="59"/>
  <c r="R36" i="59"/>
  <c r="V36" i="59"/>
  <c r="P36" i="59"/>
  <c r="H36" i="59"/>
  <c r="T36" i="59"/>
  <c r="N39" i="59"/>
  <c r="R40" i="59"/>
  <c r="T40" i="59"/>
  <c r="L40" i="59"/>
  <c r="J40" i="59"/>
  <c r="X40" i="59"/>
  <c r="P40" i="59"/>
  <c r="H40" i="59"/>
  <c r="T42" i="59"/>
  <c r="T13" i="59"/>
  <c r="X26" i="59"/>
  <c r="V30" i="59"/>
  <c r="P30" i="59"/>
  <c r="H30" i="59"/>
  <c r="X30" i="59"/>
  <c r="J13" i="59"/>
  <c r="R13" i="59"/>
  <c r="J14" i="59"/>
  <c r="R15" i="59"/>
  <c r="J15" i="59"/>
  <c r="P15" i="59"/>
  <c r="X15" i="59"/>
  <c r="L17" i="59"/>
  <c r="T17" i="59"/>
  <c r="R19" i="59"/>
  <c r="J19" i="59"/>
  <c r="P19" i="59"/>
  <c r="X19" i="59"/>
  <c r="V24" i="59"/>
  <c r="P24" i="59"/>
  <c r="H24" i="59"/>
  <c r="R24" i="59"/>
  <c r="X24" i="59"/>
  <c r="L26" i="59"/>
  <c r="V28" i="59"/>
  <c r="P28" i="59"/>
  <c r="H28" i="59"/>
  <c r="R28" i="59"/>
  <c r="X28" i="59"/>
  <c r="L30" i="59"/>
  <c r="T30" i="59"/>
  <c r="V32" i="59"/>
  <c r="P32" i="59"/>
  <c r="H32" i="59"/>
  <c r="R32" i="59"/>
  <c r="X32" i="59"/>
  <c r="X35" i="59"/>
  <c r="L35" i="59"/>
  <c r="V35" i="59"/>
  <c r="P35" i="59"/>
  <c r="H35" i="59"/>
  <c r="V14" i="59"/>
  <c r="P17" i="59"/>
  <c r="T21" i="59"/>
  <c r="J21" i="59"/>
  <c r="V26" i="59"/>
  <c r="P26" i="59"/>
  <c r="H26" i="59"/>
  <c r="N5" i="59"/>
  <c r="N6" i="59"/>
  <c r="N7" i="59"/>
  <c r="N8" i="59"/>
  <c r="N9" i="59"/>
  <c r="N10" i="59"/>
  <c r="L13" i="59"/>
  <c r="L14" i="59"/>
  <c r="P14" i="59" s="1"/>
  <c r="H15" i="59"/>
  <c r="R16" i="59"/>
  <c r="J16" i="59"/>
  <c r="P16" i="59"/>
  <c r="X16" i="59"/>
  <c r="N17" i="59"/>
  <c r="V17" i="59"/>
  <c r="T18" i="59"/>
  <c r="H19" i="59"/>
  <c r="R20" i="59"/>
  <c r="J20" i="59"/>
  <c r="P20" i="59"/>
  <c r="X20" i="59"/>
  <c r="P21" i="59"/>
  <c r="X21" i="59"/>
  <c r="J24" i="59"/>
  <c r="V25" i="59"/>
  <c r="P25" i="59"/>
  <c r="H25" i="59"/>
  <c r="R25" i="59"/>
  <c r="X25" i="59"/>
  <c r="N26" i="59"/>
  <c r="J28" i="59"/>
  <c r="V29" i="59"/>
  <c r="P29" i="59"/>
  <c r="H29" i="59"/>
  <c r="R29" i="59"/>
  <c r="X29" i="59"/>
  <c r="N30" i="59"/>
  <c r="J32" i="59"/>
  <c r="X33" i="59"/>
  <c r="V33" i="59"/>
  <c r="P33" i="59"/>
  <c r="H33" i="59"/>
  <c r="R33" i="59"/>
  <c r="X34" i="59"/>
  <c r="L34" i="59"/>
  <c r="V34" i="59"/>
  <c r="P34" i="59"/>
  <c r="H34" i="59"/>
  <c r="J35" i="59"/>
  <c r="T35" i="59"/>
  <c r="N36" i="59"/>
  <c r="T37" i="59"/>
  <c r="L37" i="59"/>
  <c r="X37" i="59"/>
  <c r="J37" i="59"/>
  <c r="R37" i="59"/>
  <c r="H37" i="59"/>
  <c r="T39" i="59"/>
  <c r="N22" i="59"/>
  <c r="J38" i="59"/>
  <c r="V38" i="59"/>
  <c r="N41" i="59"/>
  <c r="L42" i="59"/>
  <c r="V67" i="59"/>
  <c r="L67" i="59"/>
  <c r="T67" i="59"/>
  <c r="J67" i="59"/>
  <c r="X67" i="59"/>
  <c r="H67" i="59"/>
  <c r="R41" i="59"/>
  <c r="J41" i="59"/>
  <c r="P41" i="59"/>
  <c r="X41" i="59"/>
  <c r="H41" i="59"/>
  <c r="R42" i="59"/>
  <c r="J42" i="59"/>
  <c r="V42" i="59"/>
  <c r="P42" i="59"/>
  <c r="V43" i="59"/>
  <c r="J43" i="59"/>
  <c r="T43" i="59"/>
  <c r="H43" i="59"/>
  <c r="L43" i="59" s="1"/>
  <c r="X43" i="59"/>
  <c r="R69" i="59"/>
  <c r="X69" i="59"/>
  <c r="N44" i="59"/>
  <c r="T44" i="59"/>
  <c r="N45" i="59"/>
  <c r="T45" i="59"/>
  <c r="N46" i="59"/>
  <c r="T46" i="59"/>
  <c r="N47" i="59"/>
  <c r="T47" i="59"/>
  <c r="N48" i="59"/>
  <c r="T48" i="59"/>
  <c r="N49" i="59"/>
  <c r="T49" i="59"/>
  <c r="N50" i="59"/>
  <c r="T50" i="59"/>
  <c r="N51" i="59"/>
  <c r="T51" i="59"/>
  <c r="N52" i="59"/>
  <c r="T52" i="59"/>
  <c r="N53" i="59"/>
  <c r="T53" i="59"/>
  <c r="N54" i="59"/>
  <c r="T54" i="59"/>
  <c r="N55" i="59"/>
  <c r="T55" i="59"/>
  <c r="N56" i="59"/>
  <c r="T56" i="59"/>
  <c r="N57" i="59"/>
  <c r="T57" i="59"/>
  <c r="N58" i="59"/>
  <c r="T58" i="59"/>
  <c r="N59" i="59"/>
  <c r="T59" i="59"/>
  <c r="N60" i="59"/>
  <c r="T60" i="59"/>
  <c r="N61" i="59"/>
  <c r="T61" i="59"/>
  <c r="N62" i="59"/>
  <c r="T62" i="59"/>
  <c r="N63" i="59"/>
  <c r="T63" i="59"/>
  <c r="N64" i="59"/>
  <c r="T64" i="59"/>
  <c r="N65" i="59"/>
  <c r="T65" i="59"/>
  <c r="P66" i="59"/>
  <c r="T68" i="59"/>
  <c r="H69" i="59"/>
  <c r="T69" i="59"/>
  <c r="H44" i="59"/>
  <c r="P44" i="59"/>
  <c r="H45" i="59"/>
  <c r="P45" i="59"/>
  <c r="H46" i="59"/>
  <c r="P46" i="59"/>
  <c r="H47" i="59"/>
  <c r="P47" i="59"/>
  <c r="H48" i="59"/>
  <c r="P48" i="59"/>
  <c r="H49" i="59"/>
  <c r="P49" i="59"/>
  <c r="H50" i="59"/>
  <c r="P50" i="59"/>
  <c r="H51" i="59"/>
  <c r="P51" i="59"/>
  <c r="H52" i="59"/>
  <c r="P52" i="59"/>
  <c r="H53" i="59"/>
  <c r="P53" i="59"/>
  <c r="H54" i="59"/>
  <c r="P54" i="59"/>
  <c r="H55" i="59"/>
  <c r="P55" i="59"/>
  <c r="H56" i="59"/>
  <c r="P56" i="59"/>
  <c r="H57" i="59"/>
  <c r="P57" i="59"/>
  <c r="H58" i="59"/>
  <c r="P58" i="59"/>
  <c r="H59" i="59"/>
  <c r="P59" i="59"/>
  <c r="H60" i="59"/>
  <c r="P60" i="59"/>
  <c r="H61" i="59"/>
  <c r="P61" i="59"/>
  <c r="H62" i="59"/>
  <c r="P62" i="59"/>
  <c r="H63" i="59"/>
  <c r="P63" i="59"/>
  <c r="H64" i="59"/>
  <c r="P64" i="59"/>
  <c r="H65" i="59"/>
  <c r="P65" i="59"/>
  <c r="H66" i="59"/>
  <c r="J69" i="59"/>
  <c r="T38" i="58"/>
  <c r="T5" i="58"/>
  <c r="W32" i="58"/>
  <c r="X32" i="58" s="1"/>
  <c r="T16" i="58"/>
  <c r="T28" i="58"/>
  <c r="T12" i="58"/>
  <c r="W39" i="58"/>
  <c r="X39" i="58" s="1"/>
  <c r="T19" i="58"/>
  <c r="T29" i="58"/>
  <c r="W34" i="58"/>
  <c r="W36" i="58"/>
  <c r="X36" i="58" s="1"/>
  <c r="X44" i="58"/>
  <c r="X38" i="58"/>
  <c r="X14" i="58"/>
  <c r="T70" i="58"/>
  <c r="T69" i="58"/>
  <c r="X66" i="58"/>
  <c r="T66" i="58"/>
  <c r="T42" i="58"/>
  <c r="T41" i="58"/>
  <c r="T33" i="58"/>
  <c r="T25" i="58"/>
  <c r="T24" i="58"/>
  <c r="X21" i="58"/>
  <c r="T20" i="58"/>
  <c r="X13" i="58"/>
  <c r="T10" i="58"/>
  <c r="T9" i="58"/>
  <c r="T8" i="58"/>
  <c r="T7" i="58"/>
  <c r="T6" i="58"/>
  <c r="N13" i="58"/>
  <c r="R18" i="58"/>
  <c r="J18" i="58"/>
  <c r="X18" i="58"/>
  <c r="V23" i="58"/>
  <c r="P23" i="58"/>
  <c r="H23" i="58"/>
  <c r="X23" i="58"/>
  <c r="V27" i="58"/>
  <c r="P27" i="58"/>
  <c r="H27" i="58"/>
  <c r="X27" i="58"/>
  <c r="X31" i="58"/>
  <c r="L31" i="58"/>
  <c r="V31" i="58"/>
  <c r="P31" i="58"/>
  <c r="H31" i="58"/>
  <c r="X35" i="58"/>
  <c r="L35" i="58"/>
  <c r="V35" i="58"/>
  <c r="P35" i="58"/>
  <c r="H35" i="58"/>
  <c r="J5" i="58"/>
  <c r="R5" i="58"/>
  <c r="J6" i="58"/>
  <c r="R6" i="58"/>
  <c r="J7" i="58"/>
  <c r="R7" i="58"/>
  <c r="J8" i="58"/>
  <c r="R8" i="58"/>
  <c r="J9" i="58"/>
  <c r="R9" i="58"/>
  <c r="J10" i="58"/>
  <c r="R10" i="58"/>
  <c r="J11" i="58"/>
  <c r="T11" i="58"/>
  <c r="N12" i="58"/>
  <c r="H13" i="58"/>
  <c r="P13" i="58"/>
  <c r="V13" i="58"/>
  <c r="H14" i="58"/>
  <c r="V14" i="58"/>
  <c r="H15" i="58"/>
  <c r="P15" i="58"/>
  <c r="X15" i="58"/>
  <c r="N16" i="58"/>
  <c r="L17" i="58"/>
  <c r="T17" i="58"/>
  <c r="H18" i="58"/>
  <c r="R19" i="58"/>
  <c r="J19" i="58"/>
  <c r="P19" i="58"/>
  <c r="X19" i="58"/>
  <c r="N20" i="58"/>
  <c r="T22" i="58"/>
  <c r="J23" i="58"/>
  <c r="V24" i="58"/>
  <c r="P24" i="58"/>
  <c r="H24" i="58"/>
  <c r="R24" i="58"/>
  <c r="X24" i="58"/>
  <c r="L26" i="58"/>
  <c r="T26" i="58"/>
  <c r="J27" i="58"/>
  <c r="V28" i="58"/>
  <c r="P28" i="58"/>
  <c r="H28" i="58"/>
  <c r="R28" i="58"/>
  <c r="X28" i="58"/>
  <c r="L30" i="58"/>
  <c r="T30" i="58"/>
  <c r="J31" i="58"/>
  <c r="T31" i="58"/>
  <c r="N32" i="58"/>
  <c r="X34" i="58"/>
  <c r="L34" i="58"/>
  <c r="V34" i="58"/>
  <c r="P34" i="58"/>
  <c r="H34" i="58"/>
  <c r="J35" i="58"/>
  <c r="T35" i="58"/>
  <c r="N36" i="58"/>
  <c r="R40" i="58"/>
  <c r="T40" i="58"/>
  <c r="L40" i="58"/>
  <c r="X40" i="58"/>
  <c r="P40" i="58"/>
  <c r="H40" i="58"/>
  <c r="V40" i="58"/>
  <c r="T14" i="58"/>
  <c r="V15" i="58"/>
  <c r="P18" i="58"/>
  <c r="L5" i="58"/>
  <c r="X5" i="58"/>
  <c r="L6" i="58"/>
  <c r="X6" i="58"/>
  <c r="L7" i="58"/>
  <c r="X7" i="58"/>
  <c r="L8" i="58"/>
  <c r="X8" i="58"/>
  <c r="L9" i="58"/>
  <c r="X9" i="58"/>
  <c r="L10" i="58"/>
  <c r="X10" i="58"/>
  <c r="L11" i="58"/>
  <c r="V11" i="58"/>
  <c r="J13" i="58"/>
  <c r="R13" i="58"/>
  <c r="J14" i="58"/>
  <c r="J15" i="58"/>
  <c r="R16" i="58"/>
  <c r="J16" i="58"/>
  <c r="P16" i="58"/>
  <c r="X16" i="58"/>
  <c r="N17" i="58"/>
  <c r="L18" i="58"/>
  <c r="T18" i="58"/>
  <c r="R20" i="58"/>
  <c r="J20" i="58"/>
  <c r="P20" i="58"/>
  <c r="X20" i="58"/>
  <c r="P21" i="58"/>
  <c r="L23" i="58"/>
  <c r="T23" i="58"/>
  <c r="V25" i="58"/>
  <c r="P25" i="58"/>
  <c r="H25" i="58"/>
  <c r="R25" i="58"/>
  <c r="X25" i="58"/>
  <c r="L27" i="58"/>
  <c r="T27" i="58"/>
  <c r="V29" i="58"/>
  <c r="P29" i="58"/>
  <c r="H29" i="58"/>
  <c r="R29" i="58"/>
  <c r="X29" i="58"/>
  <c r="N31" i="58"/>
  <c r="X33" i="58"/>
  <c r="L33" i="58"/>
  <c r="V33" i="58"/>
  <c r="P33" i="58"/>
  <c r="H33" i="58"/>
  <c r="N35" i="58"/>
  <c r="T37" i="58"/>
  <c r="L37" i="58"/>
  <c r="R37" i="58"/>
  <c r="H37" i="58"/>
  <c r="V37" i="58"/>
  <c r="L39" i="58"/>
  <c r="R39" i="58" s="1"/>
  <c r="V39" i="58"/>
  <c r="H39" i="58"/>
  <c r="V67" i="58"/>
  <c r="L67" i="58"/>
  <c r="T67" i="58"/>
  <c r="J67" i="58"/>
  <c r="X67" i="58"/>
  <c r="H67" i="58"/>
  <c r="N67" i="58"/>
  <c r="T13" i="58"/>
  <c r="N14" i="58"/>
  <c r="R14" i="58" s="1"/>
  <c r="N15" i="58"/>
  <c r="R23" i="58"/>
  <c r="R27" i="58"/>
  <c r="N5" i="58"/>
  <c r="N6" i="58"/>
  <c r="N7" i="58"/>
  <c r="N8" i="58"/>
  <c r="N9" i="58"/>
  <c r="N10" i="58"/>
  <c r="L13" i="58"/>
  <c r="L14" i="58"/>
  <c r="P14" i="58" s="1"/>
  <c r="L15" i="58"/>
  <c r="T15" i="58"/>
  <c r="R17" i="58"/>
  <c r="J17" i="58"/>
  <c r="P17" i="58"/>
  <c r="X17" i="58"/>
  <c r="N18" i="58"/>
  <c r="V18" i="58"/>
  <c r="T21" i="58"/>
  <c r="J21" i="58"/>
  <c r="N23" i="58"/>
  <c r="V26" i="58"/>
  <c r="P26" i="58"/>
  <c r="H26" i="58"/>
  <c r="R26" i="58"/>
  <c r="X26" i="58"/>
  <c r="N27" i="58"/>
  <c r="V30" i="58"/>
  <c r="P30" i="58"/>
  <c r="H30" i="58"/>
  <c r="R30" i="58"/>
  <c r="X30" i="58"/>
  <c r="R31" i="58"/>
  <c r="L32" i="58"/>
  <c r="V32" i="58"/>
  <c r="P32" i="58"/>
  <c r="H32" i="58"/>
  <c r="R35" i="58"/>
  <c r="L36" i="58"/>
  <c r="V36" i="58"/>
  <c r="P36" i="58"/>
  <c r="H36" i="58"/>
  <c r="V43" i="58"/>
  <c r="J43" i="58"/>
  <c r="X43" i="58"/>
  <c r="H43" i="58"/>
  <c r="L43" i="58" s="1"/>
  <c r="N22" i="58"/>
  <c r="J38" i="58"/>
  <c r="V38" i="58"/>
  <c r="N41" i="58"/>
  <c r="L42" i="58"/>
  <c r="L44" i="58"/>
  <c r="R41" i="58"/>
  <c r="J41" i="58"/>
  <c r="P41" i="58"/>
  <c r="X41" i="58"/>
  <c r="H41" i="58"/>
  <c r="R42" i="58"/>
  <c r="J42" i="58"/>
  <c r="P42" i="58"/>
  <c r="X42" i="58"/>
  <c r="V44" i="58"/>
  <c r="P44" i="58"/>
  <c r="H44" i="58"/>
  <c r="T44" i="58"/>
  <c r="N44" i="58"/>
  <c r="R69" i="58"/>
  <c r="X69" i="58"/>
  <c r="N45" i="58"/>
  <c r="T45" i="58"/>
  <c r="N46" i="58"/>
  <c r="T46" i="58"/>
  <c r="N47" i="58"/>
  <c r="T47" i="58"/>
  <c r="N48" i="58"/>
  <c r="T48" i="58"/>
  <c r="N49" i="58"/>
  <c r="T49" i="58"/>
  <c r="N50" i="58"/>
  <c r="T50" i="58"/>
  <c r="N51" i="58"/>
  <c r="T51" i="58"/>
  <c r="N52" i="58"/>
  <c r="T52" i="58"/>
  <c r="N53" i="58"/>
  <c r="T53" i="58"/>
  <c r="N54" i="58"/>
  <c r="T54" i="58"/>
  <c r="N55" i="58"/>
  <c r="T55" i="58"/>
  <c r="N56" i="58"/>
  <c r="T56" i="58"/>
  <c r="N57" i="58"/>
  <c r="T57" i="58"/>
  <c r="N58" i="58"/>
  <c r="T58" i="58"/>
  <c r="N59" i="58"/>
  <c r="T59" i="58"/>
  <c r="N60" i="58"/>
  <c r="T60" i="58"/>
  <c r="N61" i="58"/>
  <c r="T61" i="58"/>
  <c r="N62" i="58"/>
  <c r="T62" i="58"/>
  <c r="N63" i="58"/>
  <c r="T63" i="58"/>
  <c r="N64" i="58"/>
  <c r="T64" i="58"/>
  <c r="N65" i="58"/>
  <c r="T65" i="58"/>
  <c r="P66" i="58"/>
  <c r="T68" i="58"/>
  <c r="H69" i="58"/>
  <c r="H45" i="58"/>
  <c r="P45" i="58"/>
  <c r="H46" i="58"/>
  <c r="P46" i="58"/>
  <c r="H47" i="58"/>
  <c r="P47" i="58"/>
  <c r="H48" i="58"/>
  <c r="P48" i="58"/>
  <c r="H49" i="58"/>
  <c r="P49" i="58"/>
  <c r="H50" i="58"/>
  <c r="P50" i="58"/>
  <c r="H51" i="58"/>
  <c r="P51" i="58"/>
  <c r="H52" i="58"/>
  <c r="P52" i="58"/>
  <c r="H53" i="58"/>
  <c r="P53" i="58"/>
  <c r="H54" i="58"/>
  <c r="P54" i="58"/>
  <c r="H55" i="58"/>
  <c r="P55" i="58"/>
  <c r="H56" i="58"/>
  <c r="P56" i="58"/>
  <c r="H57" i="58"/>
  <c r="P57" i="58"/>
  <c r="H58" i="58"/>
  <c r="P58" i="58"/>
  <c r="H59" i="58"/>
  <c r="P59" i="58"/>
  <c r="H60" i="58"/>
  <c r="P60" i="58"/>
  <c r="H61" i="58"/>
  <c r="P61" i="58"/>
  <c r="H62" i="58"/>
  <c r="P62" i="58"/>
  <c r="H63" i="58"/>
  <c r="P63" i="58"/>
  <c r="H64" i="58"/>
  <c r="P64" i="58"/>
  <c r="H65" i="58"/>
  <c r="P65" i="58"/>
  <c r="H66" i="58"/>
  <c r="J69" i="58"/>
  <c r="T22" i="57"/>
  <c r="T30" i="57"/>
  <c r="T70" i="57"/>
  <c r="T8" i="57"/>
  <c r="T9" i="57"/>
  <c r="T61" i="57"/>
  <c r="T62" i="57"/>
  <c r="T63" i="57"/>
  <c r="T64" i="57"/>
  <c r="T65" i="57"/>
  <c r="T24" i="57"/>
  <c r="T21" i="57"/>
  <c r="T29" i="57"/>
  <c r="T68" i="57"/>
  <c r="T38" i="57"/>
  <c r="T5" i="57"/>
  <c r="T6" i="57"/>
  <c r="T7" i="57"/>
  <c r="T27" i="57"/>
  <c r="T69" i="57"/>
  <c r="T66" i="57"/>
  <c r="T26" i="57"/>
  <c r="X21" i="57"/>
  <c r="T10" i="57"/>
  <c r="T35" i="57"/>
  <c r="N5" i="57"/>
  <c r="N6" i="57"/>
  <c r="N7" i="57"/>
  <c r="N8" i="57"/>
  <c r="N9" i="57"/>
  <c r="N10" i="57"/>
  <c r="W11" i="57"/>
  <c r="X11" i="57" s="1"/>
  <c r="J12" i="57"/>
  <c r="X12" i="57"/>
  <c r="L13" i="57"/>
  <c r="X13" i="57"/>
  <c r="L14" i="57"/>
  <c r="P14" i="57" s="1"/>
  <c r="X14" i="57"/>
  <c r="L15" i="57"/>
  <c r="X15" i="57"/>
  <c r="L16" i="57"/>
  <c r="X16" i="57"/>
  <c r="L17" i="57"/>
  <c r="X17" i="57"/>
  <c r="L18" i="57"/>
  <c r="X18" i="57"/>
  <c r="L19" i="57"/>
  <c r="X19" i="57"/>
  <c r="L20" i="57"/>
  <c r="X20" i="57"/>
  <c r="V21" i="57"/>
  <c r="H22" i="57"/>
  <c r="P22" i="57"/>
  <c r="J23" i="57"/>
  <c r="R23" i="57"/>
  <c r="J24" i="57"/>
  <c r="R24" i="57"/>
  <c r="J25" i="57"/>
  <c r="R25" i="57"/>
  <c r="J26" i="57"/>
  <c r="R26" i="57"/>
  <c r="J27" i="57"/>
  <c r="R27" i="57"/>
  <c r="J28" i="57"/>
  <c r="R28" i="57"/>
  <c r="J29" i="57"/>
  <c r="R29" i="57"/>
  <c r="J30" i="57"/>
  <c r="R30" i="57"/>
  <c r="J31" i="57"/>
  <c r="R31" i="57"/>
  <c r="X31" i="57"/>
  <c r="L33" i="57"/>
  <c r="X33" i="57"/>
  <c r="L35" i="57"/>
  <c r="X35" i="57"/>
  <c r="L37" i="57"/>
  <c r="V37" i="57"/>
  <c r="R40" i="57"/>
  <c r="J40" i="57"/>
  <c r="V40" i="57"/>
  <c r="P40" i="57"/>
  <c r="H40" i="57"/>
  <c r="T40" i="57"/>
  <c r="R42" i="57"/>
  <c r="J42" i="57"/>
  <c r="V42" i="57"/>
  <c r="P42" i="57"/>
  <c r="H42" i="57"/>
  <c r="T42" i="57"/>
  <c r="X42" i="57"/>
  <c r="X69" i="57"/>
  <c r="N22" i="57"/>
  <c r="T33" i="57"/>
  <c r="N13" i="57"/>
  <c r="T13" i="57"/>
  <c r="N14" i="57"/>
  <c r="R14" i="57" s="1"/>
  <c r="T14" i="57"/>
  <c r="N15" i="57"/>
  <c r="T15" i="57"/>
  <c r="N16" i="57"/>
  <c r="T16" i="57"/>
  <c r="N17" i="57"/>
  <c r="T17" i="57"/>
  <c r="N18" i="57"/>
  <c r="T18" i="57"/>
  <c r="N19" i="57"/>
  <c r="T19" i="57"/>
  <c r="N20" i="57"/>
  <c r="T20" i="57"/>
  <c r="P21" i="57"/>
  <c r="J22" i="57"/>
  <c r="X22" i="57"/>
  <c r="X23" i="57"/>
  <c r="X24" i="57"/>
  <c r="X25" i="57"/>
  <c r="L26" i="57"/>
  <c r="X26" i="57"/>
  <c r="L27" i="57"/>
  <c r="X27" i="57"/>
  <c r="L28" i="57"/>
  <c r="X28" i="57"/>
  <c r="L29" i="57"/>
  <c r="X29" i="57"/>
  <c r="L30" i="57"/>
  <c r="X30" i="57"/>
  <c r="L31" i="57"/>
  <c r="R32" i="57"/>
  <c r="J32" i="57"/>
  <c r="V32" i="57"/>
  <c r="P32" i="57"/>
  <c r="H32" i="57"/>
  <c r="T32" i="57"/>
  <c r="R34" i="57"/>
  <c r="J34" i="57"/>
  <c r="V34" i="57"/>
  <c r="P34" i="57"/>
  <c r="H34" i="57"/>
  <c r="T34" i="57"/>
  <c r="R36" i="57"/>
  <c r="J36" i="57"/>
  <c r="V36" i="57"/>
  <c r="P36" i="57"/>
  <c r="H36" i="57"/>
  <c r="T36" i="57"/>
  <c r="V38" i="57"/>
  <c r="J38" i="57"/>
  <c r="X38" i="57"/>
  <c r="V22" i="57"/>
  <c r="R33" i="57"/>
  <c r="J33" i="57"/>
  <c r="V33" i="57"/>
  <c r="P33" i="57"/>
  <c r="H33" i="57"/>
  <c r="R35" i="57"/>
  <c r="J35" i="57"/>
  <c r="V35" i="57"/>
  <c r="P35" i="57"/>
  <c r="H35" i="57"/>
  <c r="X37" i="57"/>
  <c r="J37" i="57"/>
  <c r="R37" i="57"/>
  <c r="H37" i="57"/>
  <c r="T37" i="57"/>
  <c r="N12" i="57"/>
  <c r="H13" i="57"/>
  <c r="P13" i="57"/>
  <c r="H14" i="57"/>
  <c r="H15" i="57"/>
  <c r="P15" i="57"/>
  <c r="H16" i="57"/>
  <c r="P16" i="57"/>
  <c r="H17" i="57"/>
  <c r="P17" i="57"/>
  <c r="H18" i="57"/>
  <c r="P18" i="57"/>
  <c r="H19" i="57"/>
  <c r="P19" i="57"/>
  <c r="H20" i="57"/>
  <c r="P20" i="57"/>
  <c r="H21" i="57"/>
  <c r="L21" i="57" s="1"/>
  <c r="L22" i="57"/>
  <c r="N23" i="57"/>
  <c r="N24" i="57"/>
  <c r="N25" i="57"/>
  <c r="N26" i="57"/>
  <c r="N27" i="57"/>
  <c r="N28" i="57"/>
  <c r="N29" i="57"/>
  <c r="N30" i="57"/>
  <c r="N31" i="57"/>
  <c r="T31" i="57"/>
  <c r="X36" i="57"/>
  <c r="J39" i="57"/>
  <c r="P39" i="57" s="1"/>
  <c r="V39" i="57"/>
  <c r="H39" i="57"/>
  <c r="T39" i="57"/>
  <c r="R41" i="57"/>
  <c r="J41" i="57"/>
  <c r="V41" i="57"/>
  <c r="P41" i="57"/>
  <c r="H41" i="57"/>
  <c r="T41" i="57"/>
  <c r="V67" i="57"/>
  <c r="L67" i="57"/>
  <c r="T67" i="57"/>
  <c r="J67" i="57"/>
  <c r="X67" i="57"/>
  <c r="H67" i="57"/>
  <c r="X43" i="57"/>
  <c r="X57" i="57"/>
  <c r="X58" i="57"/>
  <c r="X59" i="57"/>
  <c r="L60" i="57"/>
  <c r="X60" i="57"/>
  <c r="L61" i="57"/>
  <c r="X61" i="57"/>
  <c r="L62" i="57"/>
  <c r="X62" i="57"/>
  <c r="L63" i="57"/>
  <c r="X63" i="57"/>
  <c r="L64" i="57"/>
  <c r="X64" i="57"/>
  <c r="L65" i="57"/>
  <c r="X65" i="57"/>
  <c r="N66" i="57"/>
  <c r="V66" i="57"/>
  <c r="R69" i="57"/>
  <c r="H43" i="57"/>
  <c r="L43" i="57" s="1"/>
  <c r="T43" i="57"/>
  <c r="N44" i="57"/>
  <c r="T44" i="57"/>
  <c r="N45" i="57"/>
  <c r="T45" i="57"/>
  <c r="N46" i="57"/>
  <c r="T46" i="57"/>
  <c r="N47" i="57"/>
  <c r="T47" i="57"/>
  <c r="N48" i="57"/>
  <c r="T48" i="57"/>
  <c r="N49" i="57"/>
  <c r="T49" i="57"/>
  <c r="N50" i="57"/>
  <c r="T50" i="57"/>
  <c r="N51" i="57"/>
  <c r="T51" i="57"/>
  <c r="N52" i="57"/>
  <c r="T52" i="57"/>
  <c r="N53" i="57"/>
  <c r="T53" i="57"/>
  <c r="N54" i="57"/>
  <c r="T54" i="57"/>
  <c r="N55" i="57"/>
  <c r="T55" i="57"/>
  <c r="N56" i="57"/>
  <c r="T56" i="57"/>
  <c r="N57" i="57"/>
  <c r="T57" i="57"/>
  <c r="N58" i="57"/>
  <c r="T58" i="57"/>
  <c r="N59" i="57"/>
  <c r="T59" i="57"/>
  <c r="N60" i="57"/>
  <c r="T60" i="57"/>
  <c r="N61" i="57"/>
  <c r="N62" i="57"/>
  <c r="N63" i="57"/>
  <c r="N64" i="57"/>
  <c r="N65" i="57"/>
  <c r="J43" i="57"/>
  <c r="H44" i="57"/>
  <c r="P44" i="57"/>
  <c r="H45" i="57"/>
  <c r="P45" i="57"/>
  <c r="H46" i="57"/>
  <c r="P46" i="57"/>
  <c r="H47" i="57"/>
  <c r="P47" i="57"/>
  <c r="H48" i="57"/>
  <c r="P48" i="57"/>
  <c r="H49" i="57"/>
  <c r="P49" i="57"/>
  <c r="H50" i="57"/>
  <c r="P50" i="57"/>
  <c r="H51" i="57"/>
  <c r="P51" i="57"/>
  <c r="H52" i="57"/>
  <c r="P52" i="57"/>
  <c r="H53" i="57"/>
  <c r="P53" i="57"/>
  <c r="H54" i="57"/>
  <c r="P54" i="57"/>
  <c r="H55" i="57"/>
  <c r="P55" i="57"/>
  <c r="H56" i="57"/>
  <c r="P56" i="57"/>
  <c r="H57" i="57"/>
  <c r="P57" i="57"/>
  <c r="H58" i="57"/>
  <c r="P58" i="57"/>
  <c r="P59" i="57"/>
  <c r="X36" i="56"/>
  <c r="T12" i="56"/>
  <c r="X38" i="56"/>
  <c r="T45" i="56"/>
  <c r="T33" i="56"/>
  <c r="T37" i="56"/>
  <c r="T40" i="56"/>
  <c r="T50" i="56"/>
  <c r="T66" i="56"/>
  <c r="T36" i="56"/>
  <c r="X66" i="56"/>
  <c r="T5" i="56"/>
  <c r="T6" i="56"/>
  <c r="T52" i="56"/>
  <c r="T70" i="56"/>
  <c r="T25" i="56"/>
  <c r="T46" i="56"/>
  <c r="T51" i="56"/>
  <c r="T8" i="56"/>
  <c r="T9" i="56"/>
  <c r="T10" i="56"/>
  <c r="T27" i="56"/>
  <c r="W49" i="56"/>
  <c r="X49" i="56" s="1"/>
  <c r="T69" i="56"/>
  <c r="T32" i="56"/>
  <c r="T29" i="56"/>
  <c r="T23" i="56"/>
  <c r="T21" i="56"/>
  <c r="T20" i="56"/>
  <c r="W19" i="56"/>
  <c r="X19" i="56" s="1"/>
  <c r="T16" i="56"/>
  <c r="W15" i="56"/>
  <c r="X15" i="56" s="1"/>
  <c r="T13" i="56"/>
  <c r="T7" i="56"/>
  <c r="V14" i="56"/>
  <c r="H14" i="56"/>
  <c r="X14" i="56"/>
  <c r="V18" i="56"/>
  <c r="P18" i="56"/>
  <c r="H18" i="56"/>
  <c r="X18" i="56"/>
  <c r="N5" i="56"/>
  <c r="N6" i="56"/>
  <c r="N7" i="56"/>
  <c r="N8" i="56"/>
  <c r="N9" i="56"/>
  <c r="N10" i="56"/>
  <c r="T11" i="56"/>
  <c r="R11" i="56"/>
  <c r="X11" i="56"/>
  <c r="L13" i="56"/>
  <c r="J14" i="56"/>
  <c r="V15" i="56"/>
  <c r="P15" i="56"/>
  <c r="H15" i="56"/>
  <c r="R15" i="56"/>
  <c r="L17" i="56"/>
  <c r="J18" i="56"/>
  <c r="V19" i="56"/>
  <c r="P19" i="56"/>
  <c r="H19" i="56"/>
  <c r="R19" i="56"/>
  <c r="J22" i="56"/>
  <c r="T30" i="56"/>
  <c r="T34" i="56"/>
  <c r="L14" i="56"/>
  <c r="P14" i="56" s="1"/>
  <c r="T14" i="56"/>
  <c r="V16" i="56"/>
  <c r="P16" i="56"/>
  <c r="H16" i="56"/>
  <c r="R16" i="56"/>
  <c r="X16" i="56"/>
  <c r="L18" i="56"/>
  <c r="T18" i="56"/>
  <c r="V20" i="56"/>
  <c r="P20" i="56"/>
  <c r="H20" i="56"/>
  <c r="R20" i="56"/>
  <c r="X20" i="56"/>
  <c r="T24" i="56"/>
  <c r="T26" i="56"/>
  <c r="T28" i="56"/>
  <c r="T31" i="56"/>
  <c r="T35" i="56"/>
  <c r="R18" i="56"/>
  <c r="V13" i="56"/>
  <c r="P13" i="56"/>
  <c r="H13" i="56"/>
  <c r="R13" i="56"/>
  <c r="X13" i="56"/>
  <c r="N14" i="56"/>
  <c r="R14" i="56" s="1"/>
  <c r="J16" i="56"/>
  <c r="V17" i="56"/>
  <c r="P17" i="56"/>
  <c r="H17" i="56"/>
  <c r="R17" i="56"/>
  <c r="X17" i="56"/>
  <c r="N18" i="56"/>
  <c r="J20" i="56"/>
  <c r="X21" i="56"/>
  <c r="H21" i="56"/>
  <c r="L21" i="56" s="1"/>
  <c r="T22" i="56"/>
  <c r="L22" i="56"/>
  <c r="P22" i="56"/>
  <c r="X22" i="56"/>
  <c r="V38" i="56"/>
  <c r="J38" i="56"/>
  <c r="T38" i="56"/>
  <c r="H38" i="56"/>
  <c r="L38" i="56" s="1"/>
  <c r="R42" i="56"/>
  <c r="J42" i="56"/>
  <c r="V42" i="56"/>
  <c r="N42" i="56"/>
  <c r="T42" i="56"/>
  <c r="L42" i="56"/>
  <c r="H42" i="56"/>
  <c r="V44" i="56"/>
  <c r="P44" i="56"/>
  <c r="H44" i="56"/>
  <c r="N44" i="56"/>
  <c r="T44" i="56"/>
  <c r="L44" i="56"/>
  <c r="J44" i="56"/>
  <c r="X44" i="56"/>
  <c r="V48" i="56"/>
  <c r="P48" i="56"/>
  <c r="H48" i="56"/>
  <c r="N48" i="56"/>
  <c r="T48" i="56"/>
  <c r="L48" i="56"/>
  <c r="J48" i="56"/>
  <c r="X48" i="56"/>
  <c r="N12" i="56"/>
  <c r="N23" i="56"/>
  <c r="N24" i="56"/>
  <c r="N25" i="56"/>
  <c r="N26" i="56"/>
  <c r="N27" i="56"/>
  <c r="N28" i="56"/>
  <c r="N29" i="56"/>
  <c r="N30" i="56"/>
  <c r="N31" i="56"/>
  <c r="N32" i="56"/>
  <c r="N33" i="56"/>
  <c r="N34" i="56"/>
  <c r="N35" i="56"/>
  <c r="N36" i="56"/>
  <c r="N37" i="56"/>
  <c r="N39" i="56"/>
  <c r="N40" i="56"/>
  <c r="V40" i="56"/>
  <c r="L41" i="56"/>
  <c r="T41" i="56"/>
  <c r="V43" i="56"/>
  <c r="J43" i="56"/>
  <c r="T43" i="56"/>
  <c r="V45" i="56"/>
  <c r="P45" i="56"/>
  <c r="H45" i="56"/>
  <c r="R45" i="56"/>
  <c r="X45" i="56"/>
  <c r="L47" i="56"/>
  <c r="T47" i="56"/>
  <c r="V49" i="56"/>
  <c r="P49" i="56"/>
  <c r="H49" i="56"/>
  <c r="R49" i="56"/>
  <c r="V52" i="56"/>
  <c r="P52" i="56"/>
  <c r="H52" i="56"/>
  <c r="X52" i="56"/>
  <c r="L52" i="56"/>
  <c r="N41" i="56"/>
  <c r="V46" i="56"/>
  <c r="P46" i="56"/>
  <c r="H46" i="56"/>
  <c r="R46" i="56"/>
  <c r="X46" i="56"/>
  <c r="V50" i="56"/>
  <c r="P50" i="56"/>
  <c r="H50" i="56"/>
  <c r="X50" i="56"/>
  <c r="R50" i="56"/>
  <c r="V51" i="56"/>
  <c r="P51" i="56"/>
  <c r="H51" i="56"/>
  <c r="X51" i="56"/>
  <c r="L51" i="56"/>
  <c r="V67" i="56"/>
  <c r="L67" i="56"/>
  <c r="T67" i="56"/>
  <c r="J67" i="56"/>
  <c r="X67" i="56"/>
  <c r="H67" i="56"/>
  <c r="R41" i="56"/>
  <c r="J41" i="56"/>
  <c r="P41" i="56"/>
  <c r="X41" i="56"/>
  <c r="V47" i="56"/>
  <c r="P47" i="56"/>
  <c r="H47" i="56"/>
  <c r="R47" i="56"/>
  <c r="X47" i="56"/>
  <c r="L53" i="56"/>
  <c r="X53" i="56"/>
  <c r="L54" i="56"/>
  <c r="X54" i="56"/>
  <c r="L55" i="56"/>
  <c r="X55" i="56"/>
  <c r="L56" i="56"/>
  <c r="X56" i="56"/>
  <c r="L57" i="56"/>
  <c r="X57" i="56"/>
  <c r="L58" i="56"/>
  <c r="X58" i="56"/>
  <c r="L59" i="56"/>
  <c r="X59" i="56"/>
  <c r="L60" i="56"/>
  <c r="X60" i="56"/>
  <c r="L61" i="56"/>
  <c r="X61" i="56"/>
  <c r="L62" i="56"/>
  <c r="X62" i="56"/>
  <c r="L63" i="56"/>
  <c r="X63" i="56"/>
  <c r="L64" i="56"/>
  <c r="X64" i="56"/>
  <c r="L65" i="56"/>
  <c r="X65" i="56"/>
  <c r="N66" i="56"/>
  <c r="V66" i="56"/>
  <c r="R69" i="56"/>
  <c r="X69" i="56"/>
  <c r="N53" i="56"/>
  <c r="T53" i="56"/>
  <c r="N54" i="56"/>
  <c r="T54" i="56"/>
  <c r="N55" i="56"/>
  <c r="T55" i="56"/>
  <c r="N56" i="56"/>
  <c r="T56" i="56"/>
  <c r="N57" i="56"/>
  <c r="T57" i="56"/>
  <c r="N58" i="56"/>
  <c r="T58" i="56"/>
  <c r="N59" i="56"/>
  <c r="T59" i="56"/>
  <c r="N60" i="56"/>
  <c r="T60" i="56"/>
  <c r="N61" i="56"/>
  <c r="T61" i="56"/>
  <c r="N62" i="56"/>
  <c r="T62" i="56"/>
  <c r="N63" i="56"/>
  <c r="T63" i="56"/>
  <c r="N64" i="56"/>
  <c r="T64" i="56"/>
  <c r="N65" i="56"/>
  <c r="T65" i="56"/>
  <c r="P66" i="56"/>
  <c r="T68" i="56"/>
  <c r="H53" i="56"/>
  <c r="P53" i="56"/>
  <c r="H54" i="56"/>
  <c r="P54" i="56"/>
  <c r="H55" i="56"/>
  <c r="P55" i="56"/>
  <c r="H56" i="56"/>
  <c r="P56" i="56"/>
  <c r="H57" i="56"/>
  <c r="P57" i="56"/>
  <c r="H58" i="56"/>
  <c r="P58" i="56"/>
  <c r="H59" i="56"/>
  <c r="P59" i="56"/>
  <c r="H60" i="56"/>
  <c r="P60" i="56"/>
  <c r="H61" i="56"/>
  <c r="P61" i="56"/>
  <c r="H62" i="56"/>
  <c r="P62" i="56"/>
  <c r="H63" i="56"/>
  <c r="P63" i="56"/>
  <c r="H64" i="56"/>
  <c r="P64" i="56"/>
  <c r="H65" i="56"/>
  <c r="P65" i="56"/>
  <c r="H66" i="56"/>
  <c r="J69" i="56"/>
  <c r="T23" i="55"/>
  <c r="T70" i="55"/>
  <c r="T35" i="55"/>
  <c r="W66" i="55"/>
  <c r="W27" i="55"/>
  <c r="T38" i="55"/>
  <c r="T18" i="55"/>
  <c r="W25" i="55"/>
  <c r="X25" i="55" s="1"/>
  <c r="T29" i="55"/>
  <c r="W33" i="55"/>
  <c r="X33" i="55" s="1"/>
  <c r="W31" i="55"/>
  <c r="X31" i="55" s="1"/>
  <c r="T30" i="55"/>
  <c r="T41" i="55"/>
  <c r="W11" i="55"/>
  <c r="T13" i="55"/>
  <c r="T28" i="55"/>
  <c r="T14" i="55"/>
  <c r="T17" i="55"/>
  <c r="X38" i="55"/>
  <c r="X66" i="55"/>
  <c r="T39" i="55"/>
  <c r="T36" i="55"/>
  <c r="T32" i="55"/>
  <c r="W26" i="55"/>
  <c r="X26" i="55" s="1"/>
  <c r="T24" i="55"/>
  <c r="T20" i="55"/>
  <c r="T19" i="55"/>
  <c r="T16" i="55"/>
  <c r="T15" i="55"/>
  <c r="X11" i="55"/>
  <c r="X22" i="55"/>
  <c r="J22" i="55"/>
  <c r="P22" i="55"/>
  <c r="H22" i="55"/>
  <c r="R40" i="55"/>
  <c r="T40" i="55"/>
  <c r="L40" i="55"/>
  <c r="X40" i="55"/>
  <c r="H40" i="55"/>
  <c r="J40" i="55"/>
  <c r="P40" i="55"/>
  <c r="V43" i="55"/>
  <c r="J43" i="55"/>
  <c r="H43" i="55"/>
  <c r="L43" i="55" s="1"/>
  <c r="X43" i="55"/>
  <c r="T21" i="55"/>
  <c r="L22" i="55"/>
  <c r="V22" i="55"/>
  <c r="X35" i="55"/>
  <c r="L35" i="55"/>
  <c r="P35" i="55"/>
  <c r="R35" i="55"/>
  <c r="J35" i="55"/>
  <c r="V35" i="55"/>
  <c r="H35" i="55"/>
  <c r="N40" i="55"/>
  <c r="V45" i="55"/>
  <c r="P45" i="55"/>
  <c r="H45" i="55"/>
  <c r="N45" i="55"/>
  <c r="J45" i="55"/>
  <c r="T45" i="55"/>
  <c r="L45" i="55"/>
  <c r="T12" i="55"/>
  <c r="L12" i="55"/>
  <c r="X12" i="55"/>
  <c r="J12" i="55"/>
  <c r="N22" i="55"/>
  <c r="N35" i="55"/>
  <c r="X36" i="55"/>
  <c r="L36" i="55"/>
  <c r="P36" i="55"/>
  <c r="R36" i="55"/>
  <c r="J36" i="55"/>
  <c r="V36" i="55"/>
  <c r="H36" i="55"/>
  <c r="W42" i="55"/>
  <c r="X42" i="55" s="1"/>
  <c r="T42" i="55"/>
  <c r="T43" i="55"/>
  <c r="R45" i="55"/>
  <c r="V67" i="55"/>
  <c r="L67" i="55"/>
  <c r="T67" i="55"/>
  <c r="J67" i="55"/>
  <c r="N67" i="55"/>
  <c r="X67" i="55"/>
  <c r="H67" i="55"/>
  <c r="T22" i="55"/>
  <c r="W44" i="55"/>
  <c r="X44" i="55" s="1"/>
  <c r="T44" i="55"/>
  <c r="X23" i="55"/>
  <c r="L23" i="55"/>
  <c r="R23" i="55"/>
  <c r="J23" i="55"/>
  <c r="X24" i="55"/>
  <c r="L24" i="55"/>
  <c r="R24" i="55"/>
  <c r="J24" i="55"/>
  <c r="L25" i="55"/>
  <c r="R25" i="55"/>
  <c r="J25" i="55"/>
  <c r="L26" i="55"/>
  <c r="R26" i="55"/>
  <c r="J26" i="55"/>
  <c r="X27" i="55"/>
  <c r="L27" i="55"/>
  <c r="R27" i="55"/>
  <c r="J27" i="55"/>
  <c r="X28" i="55"/>
  <c r="L28" i="55"/>
  <c r="R28" i="55"/>
  <c r="J28" i="55"/>
  <c r="X29" i="55"/>
  <c r="L29" i="55"/>
  <c r="R29" i="55"/>
  <c r="J29" i="55"/>
  <c r="X30" i="55"/>
  <c r="L30" i="55"/>
  <c r="R30" i="55"/>
  <c r="J30" i="55"/>
  <c r="L31" i="55"/>
  <c r="R31" i="55"/>
  <c r="J31" i="55"/>
  <c r="X32" i="55"/>
  <c r="L32" i="55"/>
  <c r="R32" i="55"/>
  <c r="J32" i="55"/>
  <c r="L33" i="55"/>
  <c r="R33" i="55"/>
  <c r="J33" i="55"/>
  <c r="X34" i="55"/>
  <c r="L34" i="55"/>
  <c r="V34" i="55"/>
  <c r="P34" i="55"/>
  <c r="R34" i="55"/>
  <c r="J34" i="55"/>
  <c r="T34" i="55"/>
  <c r="T37" i="55"/>
  <c r="L37" i="55"/>
  <c r="H37" i="55"/>
  <c r="X37" i="55"/>
  <c r="J37" i="55"/>
  <c r="R37" i="55"/>
  <c r="X39" i="55"/>
  <c r="L39" i="55"/>
  <c r="R39" i="55" s="1"/>
  <c r="H39" i="55"/>
  <c r="J39" i="55"/>
  <c r="P39" i="55" s="1"/>
  <c r="V39" i="55"/>
  <c r="V40" i="55"/>
  <c r="N5" i="55"/>
  <c r="T5" i="55"/>
  <c r="N6" i="55"/>
  <c r="T6" i="55"/>
  <c r="N7" i="55"/>
  <c r="N8" i="55"/>
  <c r="T8" i="55"/>
  <c r="N9" i="55"/>
  <c r="T9" i="55"/>
  <c r="R41" i="55"/>
  <c r="J41" i="55"/>
  <c r="P41" i="55"/>
  <c r="X41" i="55"/>
  <c r="T69" i="55"/>
  <c r="J69" i="55"/>
  <c r="H69" i="55"/>
  <c r="T7" i="55"/>
  <c r="N10" i="55"/>
  <c r="T10" i="55"/>
  <c r="R11" i="55"/>
  <c r="H5" i="55"/>
  <c r="P5" i="55"/>
  <c r="H6" i="55"/>
  <c r="P6" i="55"/>
  <c r="H7" i="55"/>
  <c r="P7" i="55"/>
  <c r="H8" i="55"/>
  <c r="P8" i="55"/>
  <c r="H9" i="55"/>
  <c r="P9" i="55"/>
  <c r="H10" i="55"/>
  <c r="P10" i="55"/>
  <c r="H11" i="55"/>
  <c r="N13" i="55"/>
  <c r="N14" i="55"/>
  <c r="R14" i="55" s="1"/>
  <c r="N15" i="55"/>
  <c r="N16" i="55"/>
  <c r="N17" i="55"/>
  <c r="N18" i="55"/>
  <c r="N19" i="55"/>
  <c r="N20" i="55"/>
  <c r="H41" i="55"/>
  <c r="R42" i="55"/>
  <c r="J42" i="55"/>
  <c r="P42" i="55"/>
  <c r="V44" i="55"/>
  <c r="P44" i="55"/>
  <c r="H44" i="55"/>
  <c r="R44" i="55"/>
  <c r="P69" i="55"/>
  <c r="X69" i="55"/>
  <c r="N46" i="55"/>
  <c r="T46" i="55"/>
  <c r="N47" i="55"/>
  <c r="T47" i="55"/>
  <c r="N48" i="55"/>
  <c r="T48" i="55"/>
  <c r="N49" i="55"/>
  <c r="T49" i="55"/>
  <c r="N50" i="55"/>
  <c r="T50" i="55"/>
  <c r="N51" i="55"/>
  <c r="T51" i="55"/>
  <c r="N52" i="55"/>
  <c r="T52" i="55"/>
  <c r="N53" i="55"/>
  <c r="T53" i="55"/>
  <c r="N54" i="55"/>
  <c r="T54" i="55"/>
  <c r="N55" i="55"/>
  <c r="T55" i="55"/>
  <c r="N56" i="55"/>
  <c r="T56" i="55"/>
  <c r="N57" i="55"/>
  <c r="T57" i="55"/>
  <c r="N58" i="55"/>
  <c r="T58" i="55"/>
  <c r="N59" i="55"/>
  <c r="T59" i="55"/>
  <c r="N60" i="55"/>
  <c r="T60" i="55"/>
  <c r="N61" i="55"/>
  <c r="T61" i="55"/>
  <c r="N62" i="55"/>
  <c r="T62" i="55"/>
  <c r="N63" i="55"/>
  <c r="T63" i="55"/>
  <c r="N64" i="55"/>
  <c r="T64" i="55"/>
  <c r="N65" i="55"/>
  <c r="T65" i="55"/>
  <c r="P66" i="55"/>
  <c r="T68" i="55"/>
  <c r="H46" i="55"/>
  <c r="P46" i="55"/>
  <c r="H47" i="55"/>
  <c r="P47" i="55"/>
  <c r="H48" i="55"/>
  <c r="P48" i="55"/>
  <c r="H49" i="55"/>
  <c r="P49" i="55"/>
  <c r="H50" i="55"/>
  <c r="P50" i="55"/>
  <c r="H51" i="55"/>
  <c r="P51" i="55"/>
  <c r="H52" i="55"/>
  <c r="P52" i="55"/>
  <c r="H53" i="55"/>
  <c r="P53" i="55"/>
  <c r="H54" i="55"/>
  <c r="P54" i="55"/>
  <c r="H55" i="55"/>
  <c r="P55" i="55"/>
  <c r="H56" i="55"/>
  <c r="P56" i="55"/>
  <c r="H57" i="55"/>
  <c r="P57" i="55"/>
  <c r="H58" i="55"/>
  <c r="P58" i="55"/>
  <c r="H59" i="55"/>
  <c r="P59" i="55"/>
  <c r="H60" i="55"/>
  <c r="P60" i="55"/>
  <c r="H61" i="55"/>
  <c r="P61" i="55"/>
  <c r="H62" i="55"/>
  <c r="P62" i="55"/>
  <c r="H63" i="55"/>
  <c r="P63" i="55"/>
  <c r="H64" i="55"/>
  <c r="P64" i="55"/>
  <c r="H65" i="55"/>
  <c r="P65" i="55"/>
  <c r="H66" i="55"/>
  <c r="J10" i="54"/>
  <c r="R10" i="54"/>
  <c r="H10" i="54"/>
  <c r="T31" i="54"/>
  <c r="T36" i="54"/>
  <c r="T70" i="54"/>
  <c r="T21" i="54"/>
  <c r="W37" i="54"/>
  <c r="T33" i="54"/>
  <c r="T5" i="54"/>
  <c r="T15" i="54"/>
  <c r="T7" i="54"/>
  <c r="T8" i="54"/>
  <c r="T9" i="54"/>
  <c r="T10" i="54"/>
  <c r="T11" i="54"/>
  <c r="T66" i="54"/>
  <c r="X66" i="54"/>
  <c r="T19" i="54"/>
  <c r="T42" i="54"/>
  <c r="T44" i="54"/>
  <c r="T69" i="54"/>
  <c r="T40" i="54"/>
  <c r="T39" i="54"/>
  <c r="T35" i="54"/>
  <c r="T26" i="54"/>
  <c r="T23" i="54"/>
  <c r="X22" i="54"/>
  <c r="T22" i="54"/>
  <c r="T13" i="54"/>
  <c r="T6" i="54"/>
  <c r="N12" i="54"/>
  <c r="V12" i="54"/>
  <c r="V14" i="54"/>
  <c r="X18" i="54"/>
  <c r="L18" i="54"/>
  <c r="X20" i="54"/>
  <c r="L20" i="54"/>
  <c r="R25" i="54"/>
  <c r="J25" i="54"/>
  <c r="P29" i="54"/>
  <c r="L5" i="54"/>
  <c r="X5" i="54"/>
  <c r="L6" i="54"/>
  <c r="X6" i="54"/>
  <c r="L7" i="54"/>
  <c r="X7" i="54"/>
  <c r="L8" i="54"/>
  <c r="X8" i="54"/>
  <c r="L9" i="54"/>
  <c r="X9" i="54"/>
  <c r="L10" i="54"/>
  <c r="X10" i="54"/>
  <c r="L11" i="54"/>
  <c r="V11" i="54"/>
  <c r="H12" i="54"/>
  <c r="N13" i="54"/>
  <c r="H14" i="54"/>
  <c r="N15" i="54"/>
  <c r="H16" i="54"/>
  <c r="N17" i="54"/>
  <c r="H18" i="54"/>
  <c r="R18" i="54"/>
  <c r="N19" i="54"/>
  <c r="H20" i="54"/>
  <c r="R20" i="54"/>
  <c r="P21" i="54"/>
  <c r="X21" i="54"/>
  <c r="N22" i="54"/>
  <c r="N23" i="54"/>
  <c r="L24" i="54"/>
  <c r="T24" i="54"/>
  <c r="H25" i="54"/>
  <c r="R26" i="54"/>
  <c r="J26" i="54"/>
  <c r="P26" i="54"/>
  <c r="X26" i="54"/>
  <c r="N27" i="54"/>
  <c r="L28" i="54"/>
  <c r="T28" i="54"/>
  <c r="T30" i="54"/>
  <c r="R30" i="54"/>
  <c r="J30" i="54"/>
  <c r="P30" i="54"/>
  <c r="X43" i="54"/>
  <c r="T45" i="54"/>
  <c r="V46" i="54"/>
  <c r="P46" i="54"/>
  <c r="H46" i="54"/>
  <c r="N46" i="54"/>
  <c r="T46" i="54"/>
  <c r="L46" i="54"/>
  <c r="J46" i="54"/>
  <c r="X46" i="54"/>
  <c r="X12" i="54"/>
  <c r="X16" i="54"/>
  <c r="L16" i="54"/>
  <c r="V16" i="54"/>
  <c r="P18" i="54"/>
  <c r="P20" i="54"/>
  <c r="P25" i="54"/>
  <c r="R29" i="54"/>
  <c r="J29" i="54"/>
  <c r="X29" i="54"/>
  <c r="T32" i="54"/>
  <c r="N5" i="54"/>
  <c r="N6" i="54"/>
  <c r="N7" i="54"/>
  <c r="N8" i="54"/>
  <c r="N9" i="54"/>
  <c r="N10" i="54"/>
  <c r="J12" i="54"/>
  <c r="X13" i="54"/>
  <c r="L13" i="54"/>
  <c r="P13" i="54"/>
  <c r="V13" i="54"/>
  <c r="X15" i="54"/>
  <c r="L15" i="54"/>
  <c r="P15" i="54"/>
  <c r="V15" i="54"/>
  <c r="J16" i="54"/>
  <c r="X17" i="54"/>
  <c r="L17" i="54"/>
  <c r="P17" i="54"/>
  <c r="V17" i="54"/>
  <c r="J18" i="54"/>
  <c r="X19" i="54"/>
  <c r="L19" i="54"/>
  <c r="P19" i="54"/>
  <c r="V19" i="54"/>
  <c r="J20" i="54"/>
  <c r="P22" i="54"/>
  <c r="H22" i="54"/>
  <c r="R23" i="54"/>
  <c r="J23" i="54"/>
  <c r="P23" i="54"/>
  <c r="X23" i="54"/>
  <c r="N24" i="54"/>
  <c r="L25" i="54"/>
  <c r="T25" i="54"/>
  <c r="R27" i="54"/>
  <c r="J27" i="54"/>
  <c r="P27" i="54"/>
  <c r="X27" i="54"/>
  <c r="N28" i="54"/>
  <c r="L29" i="54"/>
  <c r="T29" i="54"/>
  <c r="T38" i="54"/>
  <c r="H38" i="54"/>
  <c r="L38" i="54" s="1"/>
  <c r="X38" i="54"/>
  <c r="X14" i="54"/>
  <c r="L14" i="54"/>
  <c r="P14" i="54" s="1"/>
  <c r="P16" i="54"/>
  <c r="V18" i="54"/>
  <c r="V20" i="54"/>
  <c r="X25" i="54"/>
  <c r="L12" i="54"/>
  <c r="T12" i="54"/>
  <c r="N14" i="54"/>
  <c r="R14" i="54" s="1"/>
  <c r="T14" i="54"/>
  <c r="N16" i="54"/>
  <c r="T16" i="54"/>
  <c r="N18" i="54"/>
  <c r="T18" i="54"/>
  <c r="N20" i="54"/>
  <c r="T20" i="54"/>
  <c r="R24" i="54"/>
  <c r="J24" i="54"/>
  <c r="P24" i="54"/>
  <c r="X24" i="54"/>
  <c r="N25" i="54"/>
  <c r="V25" i="54"/>
  <c r="R28" i="54"/>
  <c r="J28" i="54"/>
  <c r="P28" i="54"/>
  <c r="X28" i="54"/>
  <c r="N29" i="54"/>
  <c r="V29" i="54"/>
  <c r="J31" i="54"/>
  <c r="R31" i="54"/>
  <c r="J32" i="54"/>
  <c r="R32" i="54"/>
  <c r="J33" i="54"/>
  <c r="R33" i="54"/>
  <c r="J34" i="54"/>
  <c r="R34" i="54"/>
  <c r="J35" i="54"/>
  <c r="R35" i="54"/>
  <c r="J36" i="54"/>
  <c r="R36" i="54"/>
  <c r="J37" i="54"/>
  <c r="X37" i="54"/>
  <c r="J39" i="54"/>
  <c r="P39" i="54" s="1"/>
  <c r="J40" i="54"/>
  <c r="R41" i="54"/>
  <c r="J41" i="54"/>
  <c r="P41" i="54"/>
  <c r="X41" i="54"/>
  <c r="N42" i="54"/>
  <c r="L45" i="54"/>
  <c r="R42" i="54"/>
  <c r="J42" i="54"/>
  <c r="P42" i="54"/>
  <c r="X42" i="54"/>
  <c r="V44" i="54"/>
  <c r="P44" i="54"/>
  <c r="H44" i="54"/>
  <c r="R44" i="54"/>
  <c r="X44" i="54"/>
  <c r="N31" i="54"/>
  <c r="N32" i="54"/>
  <c r="N33" i="54"/>
  <c r="N34" i="54"/>
  <c r="N35" i="54"/>
  <c r="N36" i="54"/>
  <c r="N37" i="54"/>
  <c r="N39" i="54"/>
  <c r="N40" i="54"/>
  <c r="V40" i="54"/>
  <c r="T41" i="54"/>
  <c r="H42" i="54"/>
  <c r="V43" i="54"/>
  <c r="J43" i="54"/>
  <c r="T43" i="54"/>
  <c r="J44" i="54"/>
  <c r="V45" i="54"/>
  <c r="P45" i="54"/>
  <c r="H45" i="54"/>
  <c r="R45" i="54"/>
  <c r="X45" i="54"/>
  <c r="V67" i="54"/>
  <c r="L67" i="54"/>
  <c r="T67" i="54"/>
  <c r="J67" i="54"/>
  <c r="X67" i="54"/>
  <c r="H67" i="54"/>
  <c r="X56" i="54"/>
  <c r="X57" i="54"/>
  <c r="L58" i="54"/>
  <c r="X58" i="54"/>
  <c r="L59" i="54"/>
  <c r="X59" i="54"/>
  <c r="L60" i="54"/>
  <c r="X60" i="54"/>
  <c r="L61" i="54"/>
  <c r="X61" i="54"/>
  <c r="L62" i="54"/>
  <c r="X62" i="54"/>
  <c r="L63" i="54"/>
  <c r="X63" i="54"/>
  <c r="L64" i="54"/>
  <c r="X64" i="54"/>
  <c r="L65" i="54"/>
  <c r="X65" i="54"/>
  <c r="N66" i="54"/>
  <c r="V66" i="54"/>
  <c r="R69" i="54"/>
  <c r="X69" i="54"/>
  <c r="N47" i="54"/>
  <c r="T47" i="54"/>
  <c r="N48" i="54"/>
  <c r="T48" i="54"/>
  <c r="N49" i="54"/>
  <c r="T49" i="54"/>
  <c r="N50" i="54"/>
  <c r="T50" i="54"/>
  <c r="N51" i="54"/>
  <c r="T51" i="54"/>
  <c r="N52" i="54"/>
  <c r="T52" i="54"/>
  <c r="N53" i="54"/>
  <c r="T53" i="54"/>
  <c r="N54" i="54"/>
  <c r="T54" i="54"/>
  <c r="N55" i="54"/>
  <c r="T55" i="54"/>
  <c r="N56" i="54"/>
  <c r="T56" i="54"/>
  <c r="N57" i="54"/>
  <c r="T57" i="54"/>
  <c r="N58" i="54"/>
  <c r="T58" i="54"/>
  <c r="N59" i="54"/>
  <c r="T59" i="54"/>
  <c r="N60" i="54"/>
  <c r="T60" i="54"/>
  <c r="N61" i="54"/>
  <c r="T61" i="54"/>
  <c r="N62" i="54"/>
  <c r="T62" i="54"/>
  <c r="N63" i="54"/>
  <c r="T63" i="54"/>
  <c r="N64" i="54"/>
  <c r="T64" i="54"/>
  <c r="N65" i="54"/>
  <c r="T65" i="54"/>
  <c r="P66" i="54"/>
  <c r="T68" i="54"/>
  <c r="H47" i="54"/>
  <c r="P47" i="54"/>
  <c r="H48" i="54"/>
  <c r="P48" i="54"/>
  <c r="H49" i="54"/>
  <c r="P49" i="54"/>
  <c r="H50" i="54"/>
  <c r="P50" i="54"/>
  <c r="H51" i="54"/>
  <c r="P51" i="54"/>
  <c r="H52" i="54"/>
  <c r="P52" i="54"/>
  <c r="H53" i="54"/>
  <c r="P53" i="54"/>
  <c r="H54" i="54"/>
  <c r="P54" i="54"/>
  <c r="H55" i="54"/>
  <c r="P55" i="54"/>
  <c r="H56" i="54"/>
  <c r="P56" i="54"/>
  <c r="H57" i="54"/>
  <c r="P57" i="54"/>
  <c r="H58" i="54"/>
  <c r="P58" i="54"/>
  <c r="H59" i="54"/>
  <c r="P59" i="54"/>
  <c r="H60" i="54"/>
  <c r="P60" i="54"/>
  <c r="H61" i="54"/>
  <c r="P61" i="54"/>
  <c r="H62" i="54"/>
  <c r="P62" i="54"/>
  <c r="H63" i="54"/>
  <c r="P63" i="54"/>
  <c r="H64" i="54"/>
  <c r="P64" i="54"/>
  <c r="H65" i="54"/>
  <c r="P65" i="54"/>
  <c r="H66" i="54"/>
  <c r="J69" i="54"/>
  <c r="R28" i="53"/>
  <c r="R32" i="53"/>
  <c r="T7" i="53"/>
  <c r="P7" i="53"/>
  <c r="H11" i="53"/>
  <c r="J22" i="53"/>
  <c r="R27" i="53"/>
  <c r="H28" i="53"/>
  <c r="R31" i="53"/>
  <c r="H32" i="53"/>
  <c r="J35" i="53"/>
  <c r="R35" i="53"/>
  <c r="H42" i="53"/>
  <c r="V49" i="53"/>
  <c r="J49" i="53"/>
  <c r="H49" i="53"/>
  <c r="P50" i="53"/>
  <c r="V50" i="53"/>
  <c r="J50" i="53"/>
  <c r="P53" i="53"/>
  <c r="H54" i="53"/>
  <c r="V65" i="53"/>
  <c r="J65" i="53"/>
  <c r="H65" i="53"/>
  <c r="P66" i="53"/>
  <c r="J66" i="53"/>
  <c r="V37" i="53"/>
  <c r="J37" i="53"/>
  <c r="H37" i="53"/>
  <c r="H7" i="53"/>
  <c r="V7" i="53"/>
  <c r="J9" i="53"/>
  <c r="V9" i="53"/>
  <c r="J11" i="53"/>
  <c r="L23" i="53"/>
  <c r="H27" i="53"/>
  <c r="L28" i="53"/>
  <c r="V28" i="53"/>
  <c r="R30" i="53"/>
  <c r="H31" i="53"/>
  <c r="L32" i="53"/>
  <c r="V32" i="53"/>
  <c r="R34" i="53"/>
  <c r="H35" i="53"/>
  <c r="V35" i="53"/>
  <c r="R37" i="53"/>
  <c r="V39" i="53"/>
  <c r="J39" i="53"/>
  <c r="P39" i="53" s="1"/>
  <c r="H39" i="53"/>
  <c r="V40" i="53"/>
  <c r="L40" i="53"/>
  <c r="J40" i="53"/>
  <c r="H43" i="53"/>
  <c r="L43" i="53" s="1"/>
  <c r="V45" i="53"/>
  <c r="J45" i="53"/>
  <c r="H45" i="53"/>
  <c r="P46" i="53"/>
  <c r="V46" i="53"/>
  <c r="J46" i="53"/>
  <c r="P49" i="53"/>
  <c r="H50" i="53"/>
  <c r="V61" i="53"/>
  <c r="J61" i="53"/>
  <c r="H61" i="53"/>
  <c r="P62" i="53"/>
  <c r="V62" i="53"/>
  <c r="J62" i="53"/>
  <c r="P65" i="53"/>
  <c r="H66" i="53"/>
  <c r="V6" i="53"/>
  <c r="J6" i="53"/>
  <c r="V22" i="53"/>
  <c r="H22" i="53"/>
  <c r="V42" i="53"/>
  <c r="L42" i="53"/>
  <c r="J42" i="53"/>
  <c r="V53" i="53"/>
  <c r="J53" i="53"/>
  <c r="H53" i="53"/>
  <c r="P54" i="53"/>
  <c r="V54" i="53"/>
  <c r="J54" i="53"/>
  <c r="H6" i="53"/>
  <c r="J5" i="53"/>
  <c r="V5" i="53"/>
  <c r="R6" i="53"/>
  <c r="J7" i="53"/>
  <c r="P9" i="53"/>
  <c r="T10" i="53"/>
  <c r="V10" i="53"/>
  <c r="J10" i="53"/>
  <c r="P22" i="53"/>
  <c r="X23" i="53"/>
  <c r="R25" i="53"/>
  <c r="L25" i="53"/>
  <c r="L27" i="53"/>
  <c r="V27" i="53"/>
  <c r="P28" i="53"/>
  <c r="R29" i="53"/>
  <c r="H30" i="53"/>
  <c r="L31" i="53"/>
  <c r="V31" i="53"/>
  <c r="P32" i="53"/>
  <c r="R33" i="53"/>
  <c r="H34" i="53"/>
  <c r="L35" i="53"/>
  <c r="J36" i="53"/>
  <c r="R36" i="53"/>
  <c r="H36" i="53"/>
  <c r="V36" i="53"/>
  <c r="X37" i="53"/>
  <c r="L39" i="53"/>
  <c r="R39" i="53" s="1"/>
  <c r="H40" i="53"/>
  <c r="V41" i="53"/>
  <c r="L41" i="53"/>
  <c r="J41" i="53"/>
  <c r="R42" i="53"/>
  <c r="P45" i="53"/>
  <c r="H46" i="53"/>
  <c r="R49" i="53"/>
  <c r="R50" i="53"/>
  <c r="V57" i="53"/>
  <c r="J57" i="53"/>
  <c r="H57" i="53"/>
  <c r="P58" i="53"/>
  <c r="V58" i="53"/>
  <c r="J58" i="53"/>
  <c r="P61" i="53"/>
  <c r="H62" i="53"/>
  <c r="R65" i="53"/>
  <c r="X39" i="53"/>
  <c r="X40" i="53"/>
  <c r="X41" i="53"/>
  <c r="X42" i="53"/>
  <c r="R44" i="53"/>
  <c r="R48" i="53"/>
  <c r="R52" i="53"/>
  <c r="R56" i="53"/>
  <c r="R60" i="53"/>
  <c r="R64" i="53"/>
  <c r="T69" i="53"/>
  <c r="X22" i="53"/>
  <c r="X27" i="53"/>
  <c r="X28" i="53"/>
  <c r="X29" i="53"/>
  <c r="X30" i="53"/>
  <c r="X31" i="53"/>
  <c r="X32" i="53"/>
  <c r="X33" i="53"/>
  <c r="X34" i="53"/>
  <c r="X35" i="53"/>
  <c r="X36" i="53"/>
  <c r="T47" i="53"/>
  <c r="R47" i="53"/>
  <c r="T51" i="53"/>
  <c r="R51" i="53"/>
  <c r="T55" i="53"/>
  <c r="R55" i="53"/>
  <c r="T59" i="53"/>
  <c r="R59" i="53"/>
  <c r="T63" i="53"/>
  <c r="R63" i="53"/>
  <c r="X66" i="53"/>
  <c r="W69" i="53"/>
  <c r="X69" i="53" s="1"/>
  <c r="T6" i="53"/>
  <c r="T5" i="53"/>
  <c r="T9" i="53"/>
  <c r="T45" i="53"/>
  <c r="T49" i="53"/>
  <c r="T53" i="53"/>
  <c r="T57" i="53"/>
  <c r="T61" i="53"/>
  <c r="T65" i="53"/>
  <c r="T8" i="53"/>
  <c r="T44" i="53"/>
  <c r="T48" i="53"/>
  <c r="T52" i="53"/>
  <c r="T56" i="53"/>
  <c r="T60" i="53"/>
  <c r="T64" i="53"/>
  <c r="T68" i="53"/>
  <c r="T32" i="53"/>
  <c r="T34" i="53"/>
  <c r="T46" i="53"/>
  <c r="T50" i="53"/>
  <c r="T54" i="53"/>
  <c r="T58" i="53"/>
  <c r="T62" i="53"/>
  <c r="T12" i="53"/>
  <c r="T13" i="53"/>
  <c r="T15" i="53"/>
  <c r="T17" i="53"/>
  <c r="T18" i="53"/>
  <c r="T20" i="53"/>
  <c r="T43" i="53"/>
  <c r="T28" i="53"/>
  <c r="T36" i="53"/>
  <c r="T40" i="53"/>
  <c r="X43" i="53"/>
  <c r="T14" i="53"/>
  <c r="T16" i="53"/>
  <c r="T19" i="53"/>
  <c r="T30" i="53"/>
  <c r="T39" i="53"/>
  <c r="T42" i="53"/>
  <c r="W11" i="53"/>
  <c r="X11" i="53" s="1"/>
  <c r="T11" i="53"/>
  <c r="X12" i="53"/>
  <c r="X13" i="53"/>
  <c r="L13" i="53"/>
  <c r="P13" i="53"/>
  <c r="R13" i="53"/>
  <c r="J13" i="53"/>
  <c r="V13" i="53"/>
  <c r="H13" i="53"/>
  <c r="X14" i="53"/>
  <c r="L14" i="53"/>
  <c r="P14" i="53" s="1"/>
  <c r="V14" i="53"/>
  <c r="H14" i="53"/>
  <c r="J14" i="53"/>
  <c r="X15" i="53"/>
  <c r="L15" i="53"/>
  <c r="P15" i="53"/>
  <c r="R15" i="53"/>
  <c r="J15" i="53"/>
  <c r="V15" i="53"/>
  <c r="H15" i="53"/>
  <c r="X16" i="53"/>
  <c r="L16" i="53"/>
  <c r="V16" i="53"/>
  <c r="H16" i="53"/>
  <c r="R16" i="53"/>
  <c r="J16" i="53"/>
  <c r="P16" i="53"/>
  <c r="X17" i="53"/>
  <c r="L17" i="53"/>
  <c r="P17" i="53"/>
  <c r="R17" i="53"/>
  <c r="J17" i="53"/>
  <c r="V17" i="53"/>
  <c r="H17" i="53"/>
  <c r="X18" i="53"/>
  <c r="L18" i="53"/>
  <c r="V18" i="53"/>
  <c r="H18" i="53"/>
  <c r="R18" i="53"/>
  <c r="J18" i="53"/>
  <c r="P18" i="53"/>
  <c r="X19" i="53"/>
  <c r="L19" i="53"/>
  <c r="V19" i="53"/>
  <c r="R19" i="53"/>
  <c r="J19" i="53"/>
  <c r="P19" i="53"/>
  <c r="H19" i="53"/>
  <c r="X20" i="53"/>
  <c r="L20" i="53"/>
  <c r="P20" i="53"/>
  <c r="R20" i="53"/>
  <c r="J20" i="53"/>
  <c r="V20" i="53"/>
  <c r="H20" i="53"/>
  <c r="V21" i="53"/>
  <c r="T21" i="53"/>
  <c r="J21" i="53"/>
  <c r="X21" i="53"/>
  <c r="H21" i="53"/>
  <c r="L21" i="53" s="1"/>
  <c r="N12" i="53"/>
  <c r="N23" i="53"/>
  <c r="T23" i="53"/>
  <c r="T26" i="53"/>
  <c r="N26" i="53"/>
  <c r="P26" i="53"/>
  <c r="T37" i="53"/>
  <c r="V67" i="53"/>
  <c r="L5" i="53"/>
  <c r="X5" i="53"/>
  <c r="L6" i="53"/>
  <c r="X6" i="53"/>
  <c r="L7" i="53"/>
  <c r="X7" i="53"/>
  <c r="L8" i="53"/>
  <c r="X8" i="53"/>
  <c r="L9" i="53"/>
  <c r="X9" i="53"/>
  <c r="L10" i="53"/>
  <c r="X10" i="53"/>
  <c r="L11" i="53"/>
  <c r="V11" i="53"/>
  <c r="H12" i="53"/>
  <c r="P12" i="53"/>
  <c r="N22" i="53"/>
  <c r="H23" i="53"/>
  <c r="P23" i="53"/>
  <c r="V23" i="53"/>
  <c r="H24" i="53"/>
  <c r="P24" i="53"/>
  <c r="V24" i="53"/>
  <c r="H25" i="53"/>
  <c r="P25" i="53"/>
  <c r="V25" i="53"/>
  <c r="H26" i="53"/>
  <c r="R26" i="53"/>
  <c r="X26" i="53"/>
  <c r="T70" i="53"/>
  <c r="V12" i="53"/>
  <c r="T22" i="53"/>
  <c r="N24" i="53"/>
  <c r="T24" i="53"/>
  <c r="N25" i="53"/>
  <c r="T25" i="53"/>
  <c r="T67" i="53"/>
  <c r="J67" i="53"/>
  <c r="X67" i="53"/>
  <c r="H67" i="53"/>
  <c r="N5" i="53"/>
  <c r="N6" i="53"/>
  <c r="N7" i="53"/>
  <c r="N8" i="53"/>
  <c r="N9" i="53"/>
  <c r="N10" i="53"/>
  <c r="J12" i="53"/>
  <c r="J23" i="53"/>
  <c r="J24" i="53"/>
  <c r="J25" i="53"/>
  <c r="J26" i="53"/>
  <c r="T27" i="53"/>
  <c r="T29" i="53"/>
  <c r="T31" i="53"/>
  <c r="T33" i="53"/>
  <c r="T35" i="53"/>
  <c r="V38" i="53"/>
  <c r="J38" i="53"/>
  <c r="T38" i="53"/>
  <c r="H38" i="53"/>
  <c r="L38" i="53" s="1"/>
  <c r="X38" i="53"/>
  <c r="T41" i="53"/>
  <c r="T66" i="53"/>
  <c r="N67" i="53"/>
  <c r="N27" i="53"/>
  <c r="N28" i="53"/>
  <c r="N29" i="53"/>
  <c r="N30" i="53"/>
  <c r="N31" i="53"/>
  <c r="N32" i="53"/>
  <c r="N33" i="53"/>
  <c r="N34" i="53"/>
  <c r="N35" i="53"/>
  <c r="N36" i="53"/>
  <c r="N37" i="53"/>
  <c r="N39" i="53"/>
  <c r="N40" i="53"/>
  <c r="N41" i="53"/>
  <c r="N42" i="53"/>
  <c r="L44" i="53"/>
  <c r="X44" i="53"/>
  <c r="L45" i="53"/>
  <c r="X45" i="53"/>
  <c r="L46" i="53"/>
  <c r="X46" i="53"/>
  <c r="L47" i="53"/>
  <c r="X47" i="53"/>
  <c r="L48" i="53"/>
  <c r="X48" i="53"/>
  <c r="L49" i="53"/>
  <c r="X49" i="53"/>
  <c r="L50" i="53"/>
  <c r="X50" i="53"/>
  <c r="L51" i="53"/>
  <c r="X51" i="53"/>
  <c r="L52" i="53"/>
  <c r="X52" i="53"/>
  <c r="L53" i="53"/>
  <c r="X53" i="53"/>
  <c r="L54" i="53"/>
  <c r="X54" i="53"/>
  <c r="L55" i="53"/>
  <c r="X55" i="53"/>
  <c r="L56" i="53"/>
  <c r="X56" i="53"/>
  <c r="L57" i="53"/>
  <c r="X57" i="53"/>
  <c r="L58" i="53"/>
  <c r="X58" i="53"/>
  <c r="L59" i="53"/>
  <c r="X59" i="53"/>
  <c r="L60" i="53"/>
  <c r="X60" i="53"/>
  <c r="L61" i="53"/>
  <c r="X61" i="53"/>
  <c r="L62" i="53"/>
  <c r="X62" i="53"/>
  <c r="L63" i="53"/>
  <c r="X63" i="53"/>
  <c r="L64" i="53"/>
  <c r="X64" i="53"/>
  <c r="L65" i="53"/>
  <c r="X65" i="53"/>
  <c r="N66" i="53"/>
  <c r="V66" i="53"/>
  <c r="R69" i="53"/>
  <c r="N44" i="53"/>
  <c r="N45" i="53"/>
  <c r="N46" i="53"/>
  <c r="N47" i="53"/>
  <c r="N48" i="53"/>
  <c r="N49" i="53"/>
  <c r="N50" i="53"/>
  <c r="N51" i="53"/>
  <c r="N52" i="53"/>
  <c r="N53" i="53"/>
  <c r="N54" i="53"/>
  <c r="N55" i="53"/>
  <c r="N56" i="53"/>
  <c r="N57" i="53"/>
  <c r="N58" i="53"/>
  <c r="N59" i="53"/>
  <c r="N60" i="53"/>
  <c r="N61" i="53"/>
  <c r="N62" i="53"/>
  <c r="N63" i="53"/>
  <c r="N64" i="53"/>
  <c r="N65" i="53"/>
  <c r="V70" i="52" l="1"/>
  <c r="S70" i="52"/>
  <c r="N70" i="52"/>
  <c r="S69" i="52"/>
  <c r="W69" i="52" s="1"/>
  <c r="X69" i="52" s="1"/>
  <c r="R69" i="52"/>
  <c r="F69" i="52"/>
  <c r="J69" i="52" s="1"/>
  <c r="S68" i="52"/>
  <c r="W68" i="52" s="1"/>
  <c r="H68" i="52"/>
  <c r="F68" i="52"/>
  <c r="S67" i="52"/>
  <c r="F67" i="52"/>
  <c r="N67" i="52" s="1"/>
  <c r="S66" i="52"/>
  <c r="W66" i="52" s="1"/>
  <c r="H66" i="52"/>
  <c r="F66" i="52"/>
  <c r="P66" i="52" s="1"/>
  <c r="S65" i="52"/>
  <c r="W65" i="52" s="1"/>
  <c r="J65" i="52"/>
  <c r="F65" i="52"/>
  <c r="L65" i="52" s="1"/>
  <c r="S64" i="52"/>
  <c r="W64" i="52" s="1"/>
  <c r="F64" i="52"/>
  <c r="S63" i="52"/>
  <c r="W63" i="52" s="1"/>
  <c r="F63" i="52"/>
  <c r="S62" i="52"/>
  <c r="N62" i="52"/>
  <c r="J62" i="52"/>
  <c r="F62" i="52"/>
  <c r="R62" i="52" s="1"/>
  <c r="S61" i="52"/>
  <c r="N61" i="52"/>
  <c r="L61" i="52"/>
  <c r="F61" i="52"/>
  <c r="J61" i="52" s="1"/>
  <c r="S60" i="52"/>
  <c r="W60" i="52" s="1"/>
  <c r="R60" i="52"/>
  <c r="F60" i="52"/>
  <c r="S59" i="52"/>
  <c r="W59" i="52" s="1"/>
  <c r="J59" i="52"/>
  <c r="F59" i="52"/>
  <c r="R59" i="52" s="1"/>
  <c r="S58" i="52"/>
  <c r="W58" i="52" s="1"/>
  <c r="J58" i="52"/>
  <c r="F58" i="52"/>
  <c r="N58" i="52" s="1"/>
  <c r="S57" i="52"/>
  <c r="L57" i="52"/>
  <c r="F57" i="52"/>
  <c r="J57" i="52" s="1"/>
  <c r="S56" i="52"/>
  <c r="W56" i="52" s="1"/>
  <c r="X56" i="52" s="1"/>
  <c r="R56" i="52"/>
  <c r="F56" i="52"/>
  <c r="N56" i="52" s="1"/>
  <c r="S55" i="52"/>
  <c r="W55" i="52" s="1"/>
  <c r="R55" i="52"/>
  <c r="F55" i="52"/>
  <c r="S54" i="52"/>
  <c r="W54" i="52" s="1"/>
  <c r="L54" i="52"/>
  <c r="J54" i="52"/>
  <c r="F54" i="52"/>
  <c r="N54" i="52" s="1"/>
  <c r="S53" i="52"/>
  <c r="W53" i="52" s="1"/>
  <c r="L53" i="52"/>
  <c r="F53" i="52"/>
  <c r="J53" i="52" s="1"/>
  <c r="S52" i="52"/>
  <c r="W52" i="52" s="1"/>
  <c r="F52" i="52"/>
  <c r="R52" i="52" s="1"/>
  <c r="S51" i="52"/>
  <c r="W51" i="52" s="1"/>
  <c r="F51" i="52"/>
  <c r="R51" i="52" s="1"/>
  <c r="S50" i="52"/>
  <c r="W50" i="52" s="1"/>
  <c r="F50" i="52"/>
  <c r="N50" i="52" s="1"/>
  <c r="S49" i="52"/>
  <c r="W49" i="52" s="1"/>
  <c r="J49" i="52"/>
  <c r="F49" i="52"/>
  <c r="N49" i="52" s="1"/>
  <c r="S48" i="52"/>
  <c r="W48" i="52" s="1"/>
  <c r="F48" i="52"/>
  <c r="R48" i="52" s="1"/>
  <c r="S47" i="52"/>
  <c r="W47" i="52" s="1"/>
  <c r="F47" i="52"/>
  <c r="R47" i="52" s="1"/>
  <c r="S46" i="52"/>
  <c r="W46" i="52" s="1"/>
  <c r="L46" i="52"/>
  <c r="F46" i="52"/>
  <c r="N46" i="52" s="1"/>
  <c r="S45" i="52"/>
  <c r="N45" i="52"/>
  <c r="J45" i="52"/>
  <c r="F45" i="52"/>
  <c r="L45" i="52" s="1"/>
  <c r="S44" i="52"/>
  <c r="W44" i="52" s="1"/>
  <c r="F44" i="52"/>
  <c r="R44" i="52" s="1"/>
  <c r="S43" i="52"/>
  <c r="W43" i="52" s="1"/>
  <c r="X43" i="52" s="1"/>
  <c r="F43" i="52"/>
  <c r="H43" i="52" s="1"/>
  <c r="L43" i="52" s="1"/>
  <c r="S42" i="52"/>
  <c r="W42" i="52" s="1"/>
  <c r="X42" i="52" s="1"/>
  <c r="P42" i="52"/>
  <c r="F42" i="52"/>
  <c r="N42" i="52" s="1"/>
  <c r="S41" i="52"/>
  <c r="W41" i="52" s="1"/>
  <c r="P41" i="52"/>
  <c r="F41" i="52"/>
  <c r="S40" i="52"/>
  <c r="W40" i="52" s="1"/>
  <c r="L40" i="52"/>
  <c r="F40" i="52"/>
  <c r="R40" i="52" s="1"/>
  <c r="V39" i="52"/>
  <c r="S39" i="52"/>
  <c r="W39" i="52" s="1"/>
  <c r="L39" i="52"/>
  <c r="R39" i="52" s="1"/>
  <c r="J39" i="52"/>
  <c r="P39" i="52" s="1"/>
  <c r="F39" i="52"/>
  <c r="H39" i="52" s="1"/>
  <c r="S38" i="52"/>
  <c r="W38" i="52" s="1"/>
  <c r="F38" i="52"/>
  <c r="S37" i="52"/>
  <c r="L37" i="52"/>
  <c r="J37" i="52"/>
  <c r="F37" i="52"/>
  <c r="V37" i="52" s="1"/>
  <c r="V36" i="52"/>
  <c r="S36" i="52"/>
  <c r="W36" i="52" s="1"/>
  <c r="X36" i="52" s="1"/>
  <c r="L36" i="52"/>
  <c r="J36" i="52"/>
  <c r="F36" i="52"/>
  <c r="R36" i="52" s="1"/>
  <c r="V35" i="52"/>
  <c r="S35" i="52"/>
  <c r="W35" i="52" s="1"/>
  <c r="X35" i="52" s="1"/>
  <c r="L35" i="52"/>
  <c r="J35" i="52"/>
  <c r="F35" i="52"/>
  <c r="R35" i="52" s="1"/>
  <c r="V34" i="52"/>
  <c r="S34" i="52"/>
  <c r="W34" i="52" s="1"/>
  <c r="X34" i="52" s="1"/>
  <c r="L34" i="52"/>
  <c r="J34" i="52"/>
  <c r="F34" i="52"/>
  <c r="R34" i="52" s="1"/>
  <c r="S33" i="52"/>
  <c r="W33" i="52" s="1"/>
  <c r="X33" i="52" s="1"/>
  <c r="L33" i="52"/>
  <c r="J33" i="52"/>
  <c r="F33" i="52"/>
  <c r="R33" i="52" s="1"/>
  <c r="S32" i="52"/>
  <c r="W32" i="52" s="1"/>
  <c r="X32" i="52" s="1"/>
  <c r="L32" i="52"/>
  <c r="J32" i="52"/>
  <c r="F32" i="52"/>
  <c r="R32" i="52" s="1"/>
  <c r="S31" i="52"/>
  <c r="W31" i="52" s="1"/>
  <c r="X31" i="52" s="1"/>
  <c r="J31" i="52"/>
  <c r="F31" i="52"/>
  <c r="R31" i="52" s="1"/>
  <c r="S30" i="52"/>
  <c r="W30" i="52" s="1"/>
  <c r="X30" i="52" s="1"/>
  <c r="J30" i="52"/>
  <c r="F30" i="52"/>
  <c r="R30" i="52" s="1"/>
  <c r="S29" i="52"/>
  <c r="W29" i="52" s="1"/>
  <c r="X29" i="52" s="1"/>
  <c r="J29" i="52"/>
  <c r="F29" i="52"/>
  <c r="R29" i="52" s="1"/>
  <c r="S28" i="52"/>
  <c r="W28" i="52" s="1"/>
  <c r="X28" i="52" s="1"/>
  <c r="J28" i="52"/>
  <c r="F28" i="52"/>
  <c r="R28" i="52" s="1"/>
  <c r="S27" i="52"/>
  <c r="W27" i="52" s="1"/>
  <c r="X27" i="52" s="1"/>
  <c r="J27" i="52"/>
  <c r="F27" i="52"/>
  <c r="R27" i="52" s="1"/>
  <c r="S26" i="52"/>
  <c r="W26" i="52" s="1"/>
  <c r="X26" i="52" s="1"/>
  <c r="J26" i="52"/>
  <c r="F26" i="52"/>
  <c r="R26" i="52" s="1"/>
  <c r="S25" i="52"/>
  <c r="W25" i="52" s="1"/>
  <c r="X25" i="52" s="1"/>
  <c r="J25" i="52"/>
  <c r="F25" i="52"/>
  <c r="R25" i="52" s="1"/>
  <c r="S24" i="52"/>
  <c r="W24" i="52" s="1"/>
  <c r="X24" i="52" s="1"/>
  <c r="J24" i="52"/>
  <c r="F24" i="52"/>
  <c r="R24" i="52" s="1"/>
  <c r="S23" i="52"/>
  <c r="W23" i="52" s="1"/>
  <c r="X23" i="52" s="1"/>
  <c r="J23" i="52"/>
  <c r="F23" i="52"/>
  <c r="R23" i="52" s="1"/>
  <c r="S22" i="52"/>
  <c r="W22" i="52" s="1"/>
  <c r="F22" i="52"/>
  <c r="N22" i="52" s="1"/>
  <c r="S21" i="52"/>
  <c r="W21" i="52" s="1"/>
  <c r="F21" i="52"/>
  <c r="P21" i="52" s="1"/>
  <c r="S20" i="52"/>
  <c r="W20" i="52" s="1"/>
  <c r="J20" i="52"/>
  <c r="F20" i="52"/>
  <c r="S19" i="52"/>
  <c r="W19" i="52" s="1"/>
  <c r="J19" i="52"/>
  <c r="F19" i="52"/>
  <c r="R19" i="52" s="1"/>
  <c r="S18" i="52"/>
  <c r="W18" i="52" s="1"/>
  <c r="J18" i="52"/>
  <c r="F18" i="52"/>
  <c r="R18" i="52" s="1"/>
  <c r="S17" i="52"/>
  <c r="W17" i="52" s="1"/>
  <c r="J17" i="52"/>
  <c r="F17" i="52"/>
  <c r="R17" i="52" s="1"/>
  <c r="S16" i="52"/>
  <c r="W16" i="52" s="1"/>
  <c r="J16" i="52"/>
  <c r="F16" i="52"/>
  <c r="R16" i="52" s="1"/>
  <c r="S15" i="52"/>
  <c r="W15" i="52" s="1"/>
  <c r="J15" i="52"/>
  <c r="F15" i="52"/>
  <c r="R15" i="52" s="1"/>
  <c r="S14" i="52"/>
  <c r="W14" i="52" s="1"/>
  <c r="F14" i="52"/>
  <c r="J14" i="52" s="1"/>
  <c r="S13" i="52"/>
  <c r="W13" i="52" s="1"/>
  <c r="F13" i="52"/>
  <c r="R13" i="52" s="1"/>
  <c r="S12" i="52"/>
  <c r="W12" i="52" s="1"/>
  <c r="J12" i="52"/>
  <c r="F12" i="52"/>
  <c r="V12" i="52" s="1"/>
  <c r="S11" i="52"/>
  <c r="W11" i="52" s="1"/>
  <c r="X11" i="52" s="1"/>
  <c r="L11" i="52"/>
  <c r="H11" i="52"/>
  <c r="F11" i="52"/>
  <c r="R11" i="52" s="1"/>
  <c r="V10" i="52"/>
  <c r="S10" i="52"/>
  <c r="W10" i="52" s="1"/>
  <c r="P10" i="52"/>
  <c r="H10" i="52"/>
  <c r="F10" i="52"/>
  <c r="L10" i="52" s="1"/>
  <c r="V9" i="52"/>
  <c r="S9" i="52"/>
  <c r="W9" i="52" s="1"/>
  <c r="P9" i="52"/>
  <c r="H9" i="52"/>
  <c r="F9" i="52"/>
  <c r="L9" i="52" s="1"/>
  <c r="V8" i="52"/>
  <c r="S8" i="52"/>
  <c r="W8" i="52" s="1"/>
  <c r="H8" i="52"/>
  <c r="F8" i="52"/>
  <c r="P8" i="52" s="1"/>
  <c r="S7" i="52"/>
  <c r="W7" i="52" s="1"/>
  <c r="P7" i="52"/>
  <c r="F7" i="52"/>
  <c r="L7" i="52" s="1"/>
  <c r="V6" i="52"/>
  <c r="S6" i="52"/>
  <c r="W6" i="52" s="1"/>
  <c r="H6" i="52"/>
  <c r="F6" i="52"/>
  <c r="P6" i="52" s="1"/>
  <c r="S5" i="52"/>
  <c r="W5" i="52" s="1"/>
  <c r="X5" i="52" s="1"/>
  <c r="P5" i="52"/>
  <c r="F5" i="52"/>
  <c r="L5" i="52" s="1"/>
  <c r="L6" i="52" l="1"/>
  <c r="X7" i="52"/>
  <c r="L8" i="52"/>
  <c r="X9" i="52"/>
  <c r="V11" i="52"/>
  <c r="L12" i="52"/>
  <c r="J13" i="52"/>
  <c r="L23" i="52"/>
  <c r="V23" i="52"/>
  <c r="L24" i="52"/>
  <c r="V24" i="52"/>
  <c r="L25" i="52"/>
  <c r="V25" i="52"/>
  <c r="L26" i="52"/>
  <c r="V26" i="52"/>
  <c r="L27" i="52"/>
  <c r="V27" i="52"/>
  <c r="L28" i="52"/>
  <c r="V28" i="52"/>
  <c r="L29" i="52"/>
  <c r="V29" i="52"/>
  <c r="L30" i="52"/>
  <c r="V30" i="52"/>
  <c r="L31" i="52"/>
  <c r="V31" i="52"/>
  <c r="V32" i="52"/>
  <c r="V33" i="52"/>
  <c r="X38" i="52"/>
  <c r="P40" i="52"/>
  <c r="T45" i="52"/>
  <c r="N48" i="52"/>
  <c r="L49" i="52"/>
  <c r="J50" i="52"/>
  <c r="J51" i="52"/>
  <c r="N53" i="52"/>
  <c r="N57" i="52"/>
  <c r="L58" i="52"/>
  <c r="T61" i="52"/>
  <c r="P65" i="52"/>
  <c r="N66" i="52"/>
  <c r="H67" i="52"/>
  <c r="V67" i="52"/>
  <c r="H5" i="52"/>
  <c r="V5" i="52"/>
  <c r="H7" i="52"/>
  <c r="V7" i="52"/>
  <c r="P12" i="52"/>
  <c r="P23" i="52"/>
  <c r="P24" i="52"/>
  <c r="P25" i="52"/>
  <c r="P26" i="52"/>
  <c r="P27" i="52"/>
  <c r="P28" i="52"/>
  <c r="P29" i="52"/>
  <c r="P30" i="52"/>
  <c r="P31" i="52"/>
  <c r="P32" i="52"/>
  <c r="P33" i="52"/>
  <c r="P34" i="52"/>
  <c r="P35" i="52"/>
  <c r="P36" i="52"/>
  <c r="R37" i="52"/>
  <c r="H40" i="52"/>
  <c r="X40" i="52"/>
  <c r="X48" i="52"/>
  <c r="L50" i="52"/>
  <c r="T57" i="52"/>
  <c r="T62" i="52"/>
  <c r="X65" i="52"/>
  <c r="X66" i="52"/>
  <c r="J67" i="52"/>
  <c r="X6" i="52"/>
  <c r="X8" i="52"/>
  <c r="X10" i="52"/>
  <c r="H12" i="52"/>
  <c r="X12" i="52"/>
  <c r="H23" i="52"/>
  <c r="H24" i="52"/>
  <c r="H25" i="52"/>
  <c r="H26" i="52"/>
  <c r="H27" i="52"/>
  <c r="H28" i="52"/>
  <c r="H29" i="52"/>
  <c r="H30" i="52"/>
  <c r="H31" i="52"/>
  <c r="H32" i="52"/>
  <c r="H33" i="52"/>
  <c r="H34" i="52"/>
  <c r="H35" i="52"/>
  <c r="H36" i="52"/>
  <c r="H37" i="52"/>
  <c r="T37" i="52"/>
  <c r="X39" i="52"/>
  <c r="J40" i="52"/>
  <c r="J46" i="52"/>
  <c r="V66" i="52"/>
  <c r="L67" i="52"/>
  <c r="T9" i="52"/>
  <c r="T10" i="52"/>
  <c r="W57" i="52"/>
  <c r="X57" i="52" s="1"/>
  <c r="W61" i="52"/>
  <c r="T25" i="52"/>
  <c r="T35" i="52"/>
  <c r="W62" i="52"/>
  <c r="X62" i="52" s="1"/>
  <c r="W45" i="52"/>
  <c r="T50" i="52"/>
  <c r="T53" i="52"/>
  <c r="T5" i="52"/>
  <c r="T29" i="52"/>
  <c r="X17" i="52"/>
  <c r="T23" i="52"/>
  <c r="T12" i="52"/>
  <c r="T39" i="52"/>
  <c r="T49" i="52"/>
  <c r="X14" i="52"/>
  <c r="X15" i="52"/>
  <c r="T27" i="52"/>
  <c r="T31" i="52"/>
  <c r="T58" i="52"/>
  <c r="W37" i="52"/>
  <c r="X37" i="52" s="1"/>
  <c r="T33" i="52"/>
  <c r="X19" i="52"/>
  <c r="X18" i="52"/>
  <c r="X16" i="52"/>
  <c r="X13" i="52"/>
  <c r="T8" i="52"/>
  <c r="T7" i="52"/>
  <c r="T6" i="52"/>
  <c r="N13" i="52"/>
  <c r="T13" i="52"/>
  <c r="N14" i="52"/>
  <c r="R14" i="52" s="1"/>
  <c r="T14" i="52"/>
  <c r="N15" i="52"/>
  <c r="T15" i="52"/>
  <c r="N16" i="52"/>
  <c r="T16" i="52"/>
  <c r="N17" i="52"/>
  <c r="T17" i="52"/>
  <c r="N18" i="52"/>
  <c r="T18" i="52"/>
  <c r="N19" i="52"/>
  <c r="T19" i="52"/>
  <c r="V20" i="52"/>
  <c r="P20" i="52"/>
  <c r="N20" i="52"/>
  <c r="V21" i="52"/>
  <c r="J22" i="52"/>
  <c r="V22" i="52"/>
  <c r="T38" i="52"/>
  <c r="H38" i="52"/>
  <c r="L38" i="52" s="1"/>
  <c r="V38" i="52"/>
  <c r="R41" i="52"/>
  <c r="J41" i="52"/>
  <c r="V41" i="52"/>
  <c r="N41" i="52"/>
  <c r="T41" i="52"/>
  <c r="L41" i="52"/>
  <c r="X41" i="52"/>
  <c r="V44" i="52"/>
  <c r="P44" i="52"/>
  <c r="H44" i="52"/>
  <c r="T44" i="52"/>
  <c r="L44" i="52"/>
  <c r="J44" i="52"/>
  <c r="V55" i="52"/>
  <c r="P55" i="52"/>
  <c r="H55" i="52"/>
  <c r="N55" i="52"/>
  <c r="T55" i="52"/>
  <c r="L55" i="52"/>
  <c r="X55" i="52"/>
  <c r="V60" i="52"/>
  <c r="P60" i="52"/>
  <c r="H60" i="52"/>
  <c r="T60" i="52"/>
  <c r="L60" i="52"/>
  <c r="J60" i="52"/>
  <c r="X63" i="52"/>
  <c r="L63" i="52"/>
  <c r="V63" i="52"/>
  <c r="P63" i="52"/>
  <c r="H63" i="52"/>
  <c r="N63" i="52"/>
  <c r="T63" i="52"/>
  <c r="J63" i="52"/>
  <c r="X64" i="52"/>
  <c r="L64" i="52"/>
  <c r="V64" i="52"/>
  <c r="P64" i="52"/>
  <c r="H64" i="52"/>
  <c r="R64" i="52"/>
  <c r="N64" i="52"/>
  <c r="J5" i="52"/>
  <c r="R5" i="52"/>
  <c r="J6" i="52"/>
  <c r="R6" i="52"/>
  <c r="J7" i="52"/>
  <c r="R7" i="52"/>
  <c r="J8" i="52"/>
  <c r="R8" i="52"/>
  <c r="J9" i="52"/>
  <c r="R9" i="52"/>
  <c r="J10" i="52"/>
  <c r="R10" i="52"/>
  <c r="J11" i="52"/>
  <c r="T11" i="52"/>
  <c r="N12" i="52"/>
  <c r="H13" i="52"/>
  <c r="P13" i="52"/>
  <c r="V13" i="52"/>
  <c r="H14" i="52"/>
  <c r="V14" i="52"/>
  <c r="H15" i="52"/>
  <c r="P15" i="52"/>
  <c r="V15" i="52"/>
  <c r="H16" i="52"/>
  <c r="P16" i="52"/>
  <c r="V16" i="52"/>
  <c r="H17" i="52"/>
  <c r="P17" i="52"/>
  <c r="V17" i="52"/>
  <c r="H18" i="52"/>
  <c r="P18" i="52"/>
  <c r="V18" i="52"/>
  <c r="H19" i="52"/>
  <c r="P19" i="52"/>
  <c r="V19" i="52"/>
  <c r="H20" i="52"/>
  <c r="R20" i="52"/>
  <c r="X20" i="52"/>
  <c r="T24" i="52"/>
  <c r="T26" i="52"/>
  <c r="T28" i="52"/>
  <c r="T30" i="52"/>
  <c r="T32" i="52"/>
  <c r="T34" i="52"/>
  <c r="T36" i="52"/>
  <c r="J38" i="52"/>
  <c r="H41" i="52"/>
  <c r="R42" i="52"/>
  <c r="J42" i="52"/>
  <c r="T42" i="52"/>
  <c r="L42" i="52"/>
  <c r="H42" i="52"/>
  <c r="V42" i="52"/>
  <c r="N44" i="52"/>
  <c r="X44" i="52"/>
  <c r="T46" i="52"/>
  <c r="V51" i="52"/>
  <c r="P51" i="52"/>
  <c r="H51" i="52"/>
  <c r="N51" i="52"/>
  <c r="T51" i="52"/>
  <c r="L51" i="52"/>
  <c r="X51" i="52"/>
  <c r="J55" i="52"/>
  <c r="V56" i="52"/>
  <c r="P56" i="52"/>
  <c r="H56" i="52"/>
  <c r="T56" i="52"/>
  <c r="L56" i="52"/>
  <c r="J56" i="52"/>
  <c r="N60" i="52"/>
  <c r="X60" i="52"/>
  <c r="R63" i="52"/>
  <c r="J64" i="52"/>
  <c r="X21" i="52"/>
  <c r="H21" i="52"/>
  <c r="L21" i="52" s="1"/>
  <c r="T22" i="52"/>
  <c r="L22" i="52"/>
  <c r="P22" i="52"/>
  <c r="X22" i="52"/>
  <c r="V47" i="52"/>
  <c r="P47" i="52"/>
  <c r="H47" i="52"/>
  <c r="N47" i="52"/>
  <c r="T47" i="52"/>
  <c r="L47" i="52"/>
  <c r="X47" i="52"/>
  <c r="V52" i="52"/>
  <c r="P52" i="52"/>
  <c r="H52" i="52"/>
  <c r="T52" i="52"/>
  <c r="L52" i="52"/>
  <c r="J52" i="52"/>
  <c r="N5" i="52"/>
  <c r="N6" i="52"/>
  <c r="N7" i="52"/>
  <c r="N8" i="52"/>
  <c r="N9" i="52"/>
  <c r="N10" i="52"/>
  <c r="L13" i="52"/>
  <c r="L14" i="52"/>
  <c r="P14" i="52" s="1"/>
  <c r="L15" i="52"/>
  <c r="L16" i="52"/>
  <c r="L17" i="52"/>
  <c r="L18" i="52"/>
  <c r="L19" i="52"/>
  <c r="L20" i="52"/>
  <c r="T20" i="52"/>
  <c r="J21" i="52"/>
  <c r="T21" i="52"/>
  <c r="H22" i="52"/>
  <c r="T40" i="52"/>
  <c r="J47" i="52"/>
  <c r="V48" i="52"/>
  <c r="P48" i="52"/>
  <c r="H48" i="52"/>
  <c r="T48" i="52"/>
  <c r="L48" i="52"/>
  <c r="J48" i="52"/>
  <c r="N52" i="52"/>
  <c r="X52" i="52"/>
  <c r="T54" i="52"/>
  <c r="V59" i="52"/>
  <c r="P59" i="52"/>
  <c r="H59" i="52"/>
  <c r="N59" i="52"/>
  <c r="T59" i="52"/>
  <c r="L59" i="52"/>
  <c r="X59" i="52"/>
  <c r="T64" i="52"/>
  <c r="W70" i="52"/>
  <c r="X70" i="52" s="1"/>
  <c r="T70" i="52"/>
  <c r="N23" i="52"/>
  <c r="N24" i="52"/>
  <c r="N25" i="52"/>
  <c r="N26" i="52"/>
  <c r="N27" i="52"/>
  <c r="N28" i="52"/>
  <c r="N29" i="52"/>
  <c r="N30" i="52"/>
  <c r="N31" i="52"/>
  <c r="N32" i="52"/>
  <c r="N33" i="52"/>
  <c r="N34" i="52"/>
  <c r="N35" i="52"/>
  <c r="N36" i="52"/>
  <c r="N37" i="52"/>
  <c r="N39" i="52"/>
  <c r="N40" i="52"/>
  <c r="V40" i="52"/>
  <c r="V43" i="52"/>
  <c r="J43" i="52"/>
  <c r="T43" i="52"/>
  <c r="V45" i="52"/>
  <c r="P45" i="52"/>
  <c r="H45" i="52"/>
  <c r="R45" i="52"/>
  <c r="X45" i="52"/>
  <c r="V49" i="52"/>
  <c r="P49" i="52"/>
  <c r="H49" i="52"/>
  <c r="R49" i="52"/>
  <c r="X49" i="52"/>
  <c r="V53" i="52"/>
  <c r="P53" i="52"/>
  <c r="H53" i="52"/>
  <c r="R53" i="52"/>
  <c r="X53" i="52"/>
  <c r="V57" i="52"/>
  <c r="P57" i="52"/>
  <c r="H57" i="52"/>
  <c r="R57" i="52"/>
  <c r="X61" i="52"/>
  <c r="V61" i="52"/>
  <c r="P61" i="52"/>
  <c r="H61" i="52"/>
  <c r="R61" i="52"/>
  <c r="L62" i="52"/>
  <c r="V62" i="52"/>
  <c r="P62" i="52"/>
  <c r="H62" i="52"/>
  <c r="T68" i="52"/>
  <c r="H69" i="52"/>
  <c r="P69" i="52"/>
  <c r="T69" i="52"/>
  <c r="V46" i="52"/>
  <c r="P46" i="52"/>
  <c r="H46" i="52"/>
  <c r="R46" i="52"/>
  <c r="X46" i="52"/>
  <c r="V50" i="52"/>
  <c r="P50" i="52"/>
  <c r="H50" i="52"/>
  <c r="R50" i="52"/>
  <c r="X50" i="52"/>
  <c r="V54" i="52"/>
  <c r="P54" i="52"/>
  <c r="H54" i="52"/>
  <c r="R54" i="52"/>
  <c r="X54" i="52"/>
  <c r="V58" i="52"/>
  <c r="P58" i="52"/>
  <c r="H58" i="52"/>
  <c r="R58" i="52"/>
  <c r="X58" i="52"/>
  <c r="T65" i="52"/>
  <c r="N65" i="52"/>
  <c r="R65" i="52"/>
  <c r="H65" i="52"/>
  <c r="V65" i="52"/>
  <c r="T67" i="52"/>
  <c r="W67" i="52"/>
  <c r="X67" i="52" s="1"/>
  <c r="J66" i="52"/>
  <c r="T66" i="52"/>
  <c r="J68" i="52"/>
  <c r="X68" i="52"/>
  <c r="F69" i="51" l="1"/>
  <c r="J69" i="51" s="1"/>
  <c r="F68" i="51"/>
  <c r="J68" i="51" s="1"/>
  <c r="H68" i="51"/>
  <c r="H69" i="51" l="1"/>
  <c r="V70" i="51"/>
  <c r="S70" i="51"/>
  <c r="W70" i="51" s="1"/>
  <c r="X70" i="51" s="1"/>
  <c r="N70" i="51"/>
  <c r="S69" i="51"/>
  <c r="T69" i="51" s="1"/>
  <c r="R69" i="51"/>
  <c r="P69" i="51"/>
  <c r="S68" i="51"/>
  <c r="T68" i="51" s="1"/>
  <c r="S67" i="51"/>
  <c r="W67" i="51" s="1"/>
  <c r="F67" i="51"/>
  <c r="N67" i="51" s="1"/>
  <c r="S66" i="51"/>
  <c r="W66" i="51" s="1"/>
  <c r="F66" i="51"/>
  <c r="P66" i="51" s="1"/>
  <c r="S65" i="51"/>
  <c r="T65" i="51" s="1"/>
  <c r="J65" i="51"/>
  <c r="H65" i="51"/>
  <c r="F65" i="51"/>
  <c r="V65" i="51" s="1"/>
  <c r="S64" i="51"/>
  <c r="W64" i="51" s="1"/>
  <c r="X64" i="51" s="1"/>
  <c r="R64" i="51"/>
  <c r="J64" i="51"/>
  <c r="H64" i="51"/>
  <c r="F64" i="51"/>
  <c r="P64" i="51" s="1"/>
  <c r="S63" i="51"/>
  <c r="W63" i="51" s="1"/>
  <c r="X63" i="51" s="1"/>
  <c r="R63" i="51"/>
  <c r="J63" i="51"/>
  <c r="H63" i="51"/>
  <c r="F63" i="51"/>
  <c r="P63" i="51" s="1"/>
  <c r="S62" i="51"/>
  <c r="W62" i="51" s="1"/>
  <c r="X62" i="51" s="1"/>
  <c r="R62" i="51"/>
  <c r="J62" i="51"/>
  <c r="H62" i="51"/>
  <c r="F62" i="51"/>
  <c r="P62" i="51" s="1"/>
  <c r="S61" i="51"/>
  <c r="W61" i="51" s="1"/>
  <c r="X61" i="51" s="1"/>
  <c r="R61" i="51"/>
  <c r="J61" i="51"/>
  <c r="H61" i="51"/>
  <c r="F61" i="51"/>
  <c r="P61" i="51" s="1"/>
  <c r="S60" i="51"/>
  <c r="W60" i="51" s="1"/>
  <c r="X60" i="51" s="1"/>
  <c r="R60" i="51"/>
  <c r="J60" i="51"/>
  <c r="H60" i="51"/>
  <c r="F60" i="51"/>
  <c r="P60" i="51" s="1"/>
  <c r="S59" i="51"/>
  <c r="W59" i="51" s="1"/>
  <c r="X59" i="51" s="1"/>
  <c r="R59" i="51"/>
  <c r="J59" i="51"/>
  <c r="H59" i="51"/>
  <c r="F59" i="51"/>
  <c r="P59" i="51" s="1"/>
  <c r="S58" i="51"/>
  <c r="W58" i="51" s="1"/>
  <c r="X58" i="51" s="1"/>
  <c r="R58" i="51"/>
  <c r="J58" i="51"/>
  <c r="H58" i="51"/>
  <c r="F58" i="51"/>
  <c r="P58" i="51" s="1"/>
  <c r="S57" i="51"/>
  <c r="W57" i="51" s="1"/>
  <c r="X57" i="51" s="1"/>
  <c r="R57" i="51"/>
  <c r="J57" i="51"/>
  <c r="H57" i="51"/>
  <c r="F57" i="51"/>
  <c r="P57" i="51" s="1"/>
  <c r="S56" i="51"/>
  <c r="W56" i="51" s="1"/>
  <c r="X56" i="51" s="1"/>
  <c r="R56" i="51"/>
  <c r="J56" i="51"/>
  <c r="H56" i="51"/>
  <c r="F56" i="51"/>
  <c r="P56" i="51" s="1"/>
  <c r="S55" i="51"/>
  <c r="W55" i="51" s="1"/>
  <c r="F55" i="51"/>
  <c r="L55" i="51" s="1"/>
  <c r="S54" i="51"/>
  <c r="W54" i="51" s="1"/>
  <c r="F54" i="51"/>
  <c r="V54" i="51" s="1"/>
  <c r="S53" i="51"/>
  <c r="W53" i="51" s="1"/>
  <c r="F53" i="51"/>
  <c r="V53" i="51" s="1"/>
  <c r="S52" i="51"/>
  <c r="W52" i="51" s="1"/>
  <c r="F52" i="51"/>
  <c r="V52" i="51" s="1"/>
  <c r="S51" i="51"/>
  <c r="W51" i="51" s="1"/>
  <c r="F51" i="51"/>
  <c r="V51" i="51" s="1"/>
  <c r="S50" i="51"/>
  <c r="W50" i="51" s="1"/>
  <c r="F50" i="51"/>
  <c r="V50" i="51" s="1"/>
  <c r="S49" i="51"/>
  <c r="W49" i="51" s="1"/>
  <c r="F49" i="51"/>
  <c r="V49" i="51" s="1"/>
  <c r="S48" i="51"/>
  <c r="W48" i="51" s="1"/>
  <c r="F48" i="51"/>
  <c r="V48" i="51" s="1"/>
  <c r="S47" i="51"/>
  <c r="W47" i="51" s="1"/>
  <c r="F47" i="51"/>
  <c r="V47" i="51" s="1"/>
  <c r="S46" i="51"/>
  <c r="W46" i="51" s="1"/>
  <c r="F46" i="51"/>
  <c r="V46" i="51" s="1"/>
  <c r="S45" i="51"/>
  <c r="W45" i="51" s="1"/>
  <c r="F45" i="51"/>
  <c r="V45" i="51" s="1"/>
  <c r="S44" i="51"/>
  <c r="W44" i="51" s="1"/>
  <c r="F44" i="51"/>
  <c r="V44" i="51" s="1"/>
  <c r="S43" i="51"/>
  <c r="W43" i="51" s="1"/>
  <c r="F43" i="51"/>
  <c r="V43" i="51" s="1"/>
  <c r="S42" i="51"/>
  <c r="W42" i="51" s="1"/>
  <c r="N42" i="51"/>
  <c r="F42" i="51"/>
  <c r="S41" i="51"/>
  <c r="W41" i="51" s="1"/>
  <c r="J41" i="51"/>
  <c r="F41" i="51"/>
  <c r="N41" i="51" s="1"/>
  <c r="S40" i="51"/>
  <c r="W40" i="51" s="1"/>
  <c r="F40" i="51"/>
  <c r="N40" i="51" s="1"/>
  <c r="S39" i="51"/>
  <c r="L39" i="51"/>
  <c r="R39" i="51" s="1"/>
  <c r="F39" i="51"/>
  <c r="J39" i="51" s="1"/>
  <c r="P39" i="51" s="1"/>
  <c r="S38" i="51"/>
  <c r="W38" i="51" s="1"/>
  <c r="F38" i="51"/>
  <c r="S37" i="51"/>
  <c r="W37" i="51" s="1"/>
  <c r="F37" i="51"/>
  <c r="S36" i="51"/>
  <c r="N36" i="51"/>
  <c r="J36" i="51"/>
  <c r="F36" i="51"/>
  <c r="L36" i="51" s="1"/>
  <c r="S35" i="51"/>
  <c r="T35" i="51" s="1"/>
  <c r="F35" i="51"/>
  <c r="L35" i="51" s="1"/>
  <c r="S34" i="51"/>
  <c r="W34" i="51" s="1"/>
  <c r="N34" i="51"/>
  <c r="F34" i="51"/>
  <c r="J34" i="51" s="1"/>
  <c r="S33" i="51"/>
  <c r="W33" i="51" s="1"/>
  <c r="F33" i="51"/>
  <c r="N33" i="51" s="1"/>
  <c r="S32" i="51"/>
  <c r="N32" i="51"/>
  <c r="L32" i="51"/>
  <c r="J32" i="51"/>
  <c r="F32" i="51"/>
  <c r="S31" i="51"/>
  <c r="W31" i="51" s="1"/>
  <c r="F31" i="51"/>
  <c r="V31" i="51" s="1"/>
  <c r="S30" i="51"/>
  <c r="W30" i="51" s="1"/>
  <c r="F30" i="51"/>
  <c r="V30" i="51" s="1"/>
  <c r="S29" i="51"/>
  <c r="W29" i="51" s="1"/>
  <c r="F29" i="51"/>
  <c r="S28" i="51"/>
  <c r="W28" i="51" s="1"/>
  <c r="F28" i="51"/>
  <c r="S27" i="51"/>
  <c r="W27" i="51" s="1"/>
  <c r="F27" i="51"/>
  <c r="S26" i="51"/>
  <c r="W26" i="51" s="1"/>
  <c r="F26" i="51"/>
  <c r="N26" i="51" s="1"/>
  <c r="S25" i="51"/>
  <c r="T25" i="51" s="1"/>
  <c r="N25" i="51"/>
  <c r="F25" i="51"/>
  <c r="S24" i="51"/>
  <c r="W24" i="51" s="1"/>
  <c r="F24" i="51"/>
  <c r="S23" i="51"/>
  <c r="W23" i="51" s="1"/>
  <c r="F23" i="51"/>
  <c r="S22" i="51"/>
  <c r="L22" i="51"/>
  <c r="F22" i="51"/>
  <c r="V22" i="51" s="1"/>
  <c r="S21" i="51"/>
  <c r="H21" i="51"/>
  <c r="L21" i="51" s="1"/>
  <c r="F21" i="51"/>
  <c r="P21" i="51" s="1"/>
  <c r="V20" i="51"/>
  <c r="S20" i="51"/>
  <c r="W20" i="51" s="1"/>
  <c r="R20" i="51"/>
  <c r="L20" i="51"/>
  <c r="H20" i="51"/>
  <c r="F20" i="51"/>
  <c r="J20" i="51" s="1"/>
  <c r="V19" i="51"/>
  <c r="S19" i="51"/>
  <c r="W19" i="51" s="1"/>
  <c r="R19" i="51"/>
  <c r="L19" i="51"/>
  <c r="H19" i="51"/>
  <c r="F19" i="51"/>
  <c r="J19" i="51" s="1"/>
  <c r="V18" i="51"/>
  <c r="S18" i="51"/>
  <c r="W18" i="51" s="1"/>
  <c r="R18" i="51"/>
  <c r="L18" i="51"/>
  <c r="H18" i="51"/>
  <c r="F18" i="51"/>
  <c r="J18" i="51" s="1"/>
  <c r="V17" i="51"/>
  <c r="S17" i="51"/>
  <c r="W17" i="51" s="1"/>
  <c r="R17" i="51"/>
  <c r="L17" i="51"/>
  <c r="H17" i="51"/>
  <c r="F17" i="51"/>
  <c r="J17" i="51" s="1"/>
  <c r="V16" i="51"/>
  <c r="S16" i="51"/>
  <c r="W16" i="51" s="1"/>
  <c r="R16" i="51"/>
  <c r="L16" i="51"/>
  <c r="H16" i="51"/>
  <c r="F16" i="51"/>
  <c r="J16" i="51" s="1"/>
  <c r="V15" i="51"/>
  <c r="S15" i="51"/>
  <c r="W15" i="51" s="1"/>
  <c r="R15" i="51"/>
  <c r="L15" i="51"/>
  <c r="H15" i="51"/>
  <c r="F15" i="51"/>
  <c r="J15" i="51" s="1"/>
  <c r="V14" i="51"/>
  <c r="S14" i="51"/>
  <c r="W14" i="51" s="1"/>
  <c r="H14" i="51"/>
  <c r="F14" i="51"/>
  <c r="L14" i="51" s="1"/>
  <c r="P14" i="51" s="1"/>
  <c r="S13" i="51"/>
  <c r="W13" i="51" s="1"/>
  <c r="R13" i="51"/>
  <c r="H13" i="51"/>
  <c r="F13" i="51"/>
  <c r="P13" i="51" s="1"/>
  <c r="S12" i="51"/>
  <c r="W12" i="51" s="1"/>
  <c r="F12" i="51"/>
  <c r="N12" i="51" s="1"/>
  <c r="S11" i="51"/>
  <c r="W11" i="51" s="1"/>
  <c r="F11" i="51"/>
  <c r="R11" i="51" s="1"/>
  <c r="S10" i="51"/>
  <c r="F10" i="51"/>
  <c r="R10" i="51" s="1"/>
  <c r="S9" i="51"/>
  <c r="W9" i="51" s="1"/>
  <c r="F9" i="51"/>
  <c r="N9" i="51" s="1"/>
  <c r="S8" i="51"/>
  <c r="W8" i="51" s="1"/>
  <c r="F8" i="51"/>
  <c r="R8" i="51" s="1"/>
  <c r="S7" i="51"/>
  <c r="W7" i="51" s="1"/>
  <c r="J7" i="51"/>
  <c r="F7" i="51"/>
  <c r="R7" i="51" s="1"/>
  <c r="S6" i="51"/>
  <c r="F6" i="51"/>
  <c r="R6" i="51" s="1"/>
  <c r="S5" i="51"/>
  <c r="W5" i="51" s="1"/>
  <c r="F5" i="51"/>
  <c r="N5" i="51" s="1"/>
  <c r="P46" i="51" l="1"/>
  <c r="P47" i="51"/>
  <c r="P51" i="51"/>
  <c r="P53" i="51"/>
  <c r="P54" i="51"/>
  <c r="R55" i="51"/>
  <c r="J6" i="51"/>
  <c r="N7" i="51"/>
  <c r="J10" i="51"/>
  <c r="J13" i="51"/>
  <c r="X13" i="51"/>
  <c r="J14" i="51"/>
  <c r="P15" i="51"/>
  <c r="P16" i="51"/>
  <c r="P17" i="51"/>
  <c r="P18" i="51"/>
  <c r="P19" i="51"/>
  <c r="P20" i="51"/>
  <c r="V21" i="51"/>
  <c r="P22" i="51"/>
  <c r="T36" i="51"/>
  <c r="N39" i="51"/>
  <c r="J43" i="51"/>
  <c r="H44" i="51"/>
  <c r="R44" i="51"/>
  <c r="H45" i="51"/>
  <c r="R45" i="51"/>
  <c r="H46" i="51"/>
  <c r="R46" i="51"/>
  <c r="H47" i="51"/>
  <c r="R47" i="51"/>
  <c r="H48" i="51"/>
  <c r="R48" i="51"/>
  <c r="H49" i="51"/>
  <c r="R49" i="51"/>
  <c r="H50" i="51"/>
  <c r="R50" i="51"/>
  <c r="H51" i="51"/>
  <c r="R51" i="51"/>
  <c r="H52" i="51"/>
  <c r="R52" i="51"/>
  <c r="H53" i="51"/>
  <c r="R53" i="51"/>
  <c r="H54" i="51"/>
  <c r="R54" i="51"/>
  <c r="H55" i="51"/>
  <c r="X55" i="51"/>
  <c r="P45" i="51"/>
  <c r="P48" i="51"/>
  <c r="P50" i="51"/>
  <c r="P52" i="51"/>
  <c r="T6" i="51"/>
  <c r="T10" i="51"/>
  <c r="L13" i="51"/>
  <c r="V13" i="51"/>
  <c r="T22" i="51"/>
  <c r="T39" i="51"/>
  <c r="J44" i="51"/>
  <c r="X44" i="51"/>
  <c r="J45" i="51"/>
  <c r="X45" i="51"/>
  <c r="J46" i="51"/>
  <c r="X46" i="51"/>
  <c r="J47" i="51"/>
  <c r="X47" i="51"/>
  <c r="J48" i="51"/>
  <c r="X48" i="51"/>
  <c r="J49" i="51"/>
  <c r="X49" i="51"/>
  <c r="J50" i="51"/>
  <c r="X50" i="51"/>
  <c r="J51" i="51"/>
  <c r="X51" i="51"/>
  <c r="J52" i="51"/>
  <c r="X52" i="51"/>
  <c r="J53" i="51"/>
  <c r="X53" i="51"/>
  <c r="J54" i="51"/>
  <c r="X54" i="51"/>
  <c r="J55" i="51"/>
  <c r="V55" i="51"/>
  <c r="L56" i="51"/>
  <c r="V56" i="51"/>
  <c r="L57" i="51"/>
  <c r="V57" i="51"/>
  <c r="L58" i="51"/>
  <c r="V58" i="51"/>
  <c r="L59" i="51"/>
  <c r="V59" i="51"/>
  <c r="L60" i="51"/>
  <c r="V60" i="51"/>
  <c r="L61" i="51"/>
  <c r="V61" i="51"/>
  <c r="L62" i="51"/>
  <c r="V62" i="51"/>
  <c r="L63" i="51"/>
  <c r="V63" i="51"/>
  <c r="L64" i="51"/>
  <c r="V64" i="51"/>
  <c r="N65" i="51"/>
  <c r="J66" i="51"/>
  <c r="J67" i="51"/>
  <c r="P44" i="51"/>
  <c r="P49" i="51"/>
  <c r="X14" i="51"/>
  <c r="X15" i="51"/>
  <c r="X16" i="51"/>
  <c r="X17" i="51"/>
  <c r="X18" i="51"/>
  <c r="X19" i="51"/>
  <c r="X20" i="51"/>
  <c r="J21" i="51"/>
  <c r="H22" i="51"/>
  <c r="T32" i="51"/>
  <c r="L44" i="51"/>
  <c r="L45" i="51"/>
  <c r="L46" i="51"/>
  <c r="L47" i="51"/>
  <c r="L48" i="51"/>
  <c r="L49" i="51"/>
  <c r="L50" i="51"/>
  <c r="L51" i="51"/>
  <c r="L52" i="51"/>
  <c r="L53" i="51"/>
  <c r="L54" i="51"/>
  <c r="P55" i="51"/>
  <c r="R65" i="51"/>
  <c r="W68" i="51"/>
  <c r="X68" i="51" s="1"/>
  <c r="W69" i="51"/>
  <c r="X69" i="51" s="1"/>
  <c r="N8" i="51"/>
  <c r="J11" i="51"/>
  <c r="T51" i="51"/>
  <c r="T59" i="51"/>
  <c r="T16" i="51"/>
  <c r="T26" i="51"/>
  <c r="T62" i="51"/>
  <c r="T47" i="51"/>
  <c r="W22" i="51"/>
  <c r="X22" i="51" s="1"/>
  <c r="W25" i="51"/>
  <c r="X25" i="51" s="1"/>
  <c r="W10" i="51"/>
  <c r="X10" i="51" s="1"/>
  <c r="T19" i="51"/>
  <c r="T20" i="51"/>
  <c r="W35" i="51"/>
  <c r="X35" i="51" s="1"/>
  <c r="X38" i="51"/>
  <c r="T54" i="51"/>
  <c r="T55" i="51"/>
  <c r="T63" i="51"/>
  <c r="W65" i="51"/>
  <c r="X65" i="51" s="1"/>
  <c r="T46" i="51"/>
  <c r="T58" i="51"/>
  <c r="T70" i="51"/>
  <c r="W6" i="51"/>
  <c r="X6" i="51" s="1"/>
  <c r="T28" i="51"/>
  <c r="T34" i="51"/>
  <c r="T50" i="51"/>
  <c r="T41" i="51"/>
  <c r="X37" i="51"/>
  <c r="T24" i="51"/>
  <c r="T15" i="51"/>
  <c r="T7" i="51"/>
  <c r="V12" i="51"/>
  <c r="V23" i="51"/>
  <c r="P23" i="51"/>
  <c r="H23" i="51"/>
  <c r="X23" i="51"/>
  <c r="L23" i="51"/>
  <c r="R23" i="51"/>
  <c r="J23" i="51"/>
  <c r="V27" i="51"/>
  <c r="P27" i="51"/>
  <c r="H27" i="51"/>
  <c r="X27" i="51"/>
  <c r="L27" i="51"/>
  <c r="R27" i="51"/>
  <c r="J27" i="51"/>
  <c r="J5" i="51"/>
  <c r="T5" i="51"/>
  <c r="N6" i="51"/>
  <c r="X8" i="51"/>
  <c r="L8" i="51"/>
  <c r="V8" i="51"/>
  <c r="P8" i="51"/>
  <c r="H8" i="51"/>
  <c r="J9" i="51"/>
  <c r="T9" i="51"/>
  <c r="N10" i="51"/>
  <c r="J12" i="51"/>
  <c r="X12" i="51"/>
  <c r="T17" i="51"/>
  <c r="N23" i="51"/>
  <c r="V24" i="51"/>
  <c r="P24" i="51"/>
  <c r="H24" i="51"/>
  <c r="X24" i="51"/>
  <c r="L24" i="51"/>
  <c r="R24" i="51"/>
  <c r="J24" i="51"/>
  <c r="N27" i="51"/>
  <c r="V28" i="51"/>
  <c r="P28" i="51"/>
  <c r="H28" i="51"/>
  <c r="X28" i="51"/>
  <c r="L28" i="51"/>
  <c r="R28" i="51"/>
  <c r="J28" i="51"/>
  <c r="X7" i="51"/>
  <c r="L7" i="51"/>
  <c r="V7" i="51"/>
  <c r="P7" i="51"/>
  <c r="H7" i="51"/>
  <c r="J8" i="51"/>
  <c r="T8" i="51"/>
  <c r="V11" i="51"/>
  <c r="L11" i="51"/>
  <c r="X11" i="51"/>
  <c r="H11" i="51"/>
  <c r="T11" i="51"/>
  <c r="T13" i="51"/>
  <c r="T18" i="51"/>
  <c r="T21" i="51"/>
  <c r="W21" i="51"/>
  <c r="X21" i="51" s="1"/>
  <c r="N24" i="51"/>
  <c r="V25" i="51"/>
  <c r="P25" i="51"/>
  <c r="H25" i="51"/>
  <c r="L25" i="51"/>
  <c r="R25" i="51"/>
  <c r="J25" i="51"/>
  <c r="N28" i="51"/>
  <c r="V29" i="51"/>
  <c r="P29" i="51"/>
  <c r="H29" i="51"/>
  <c r="T29" i="51"/>
  <c r="N29" i="51"/>
  <c r="X29" i="51"/>
  <c r="L29" i="51"/>
  <c r="R29" i="51"/>
  <c r="J29" i="51"/>
  <c r="X5" i="51"/>
  <c r="L5" i="51"/>
  <c r="V5" i="51"/>
  <c r="P5" i="51"/>
  <c r="H5" i="51"/>
  <c r="X9" i="51"/>
  <c r="L9" i="51"/>
  <c r="V9" i="51"/>
  <c r="P9" i="51"/>
  <c r="H9" i="51"/>
  <c r="P12" i="51"/>
  <c r="H12" i="51"/>
  <c r="T12" i="51"/>
  <c r="L12" i="51"/>
  <c r="R5" i="51"/>
  <c r="L6" i="51"/>
  <c r="V6" i="51"/>
  <c r="P6" i="51"/>
  <c r="H6" i="51"/>
  <c r="R9" i="51"/>
  <c r="L10" i="51"/>
  <c r="V10" i="51"/>
  <c r="P10" i="51"/>
  <c r="H10" i="51"/>
  <c r="T14" i="51"/>
  <c r="T23" i="51"/>
  <c r="V26" i="51"/>
  <c r="P26" i="51"/>
  <c r="H26" i="51"/>
  <c r="X26" i="51"/>
  <c r="L26" i="51"/>
  <c r="R26" i="51"/>
  <c r="J26" i="51"/>
  <c r="T27" i="51"/>
  <c r="J30" i="51"/>
  <c r="R30" i="51"/>
  <c r="J31" i="51"/>
  <c r="R31" i="51"/>
  <c r="X31" i="51"/>
  <c r="W32" i="51"/>
  <c r="X32" i="51" s="1"/>
  <c r="L33" i="51"/>
  <c r="T33" i="51"/>
  <c r="V35" i="51"/>
  <c r="P35" i="51"/>
  <c r="H35" i="51"/>
  <c r="R35" i="51"/>
  <c r="W36" i="51"/>
  <c r="X36" i="51" s="1"/>
  <c r="L37" i="51"/>
  <c r="V37" i="51"/>
  <c r="W39" i="51"/>
  <c r="X39" i="51" s="1"/>
  <c r="L40" i="51"/>
  <c r="T40" i="51"/>
  <c r="X42" i="51"/>
  <c r="L42" i="51"/>
  <c r="V42" i="51"/>
  <c r="P42" i="51"/>
  <c r="H42" i="51"/>
  <c r="T44" i="51"/>
  <c r="T48" i="51"/>
  <c r="T52" i="51"/>
  <c r="T56" i="51"/>
  <c r="T60" i="51"/>
  <c r="T64" i="51"/>
  <c r="N13" i="51"/>
  <c r="N14" i="51"/>
  <c r="R14" i="51" s="1"/>
  <c r="N15" i="51"/>
  <c r="N16" i="51"/>
  <c r="N17" i="51"/>
  <c r="N18" i="51"/>
  <c r="N19" i="51"/>
  <c r="N20" i="51"/>
  <c r="J22" i="51"/>
  <c r="L30" i="51"/>
  <c r="X30" i="51"/>
  <c r="L31" i="51"/>
  <c r="V32" i="51"/>
  <c r="P32" i="51"/>
  <c r="H32" i="51"/>
  <c r="R32" i="51"/>
  <c r="L34" i="51"/>
  <c r="J35" i="51"/>
  <c r="V36" i="51"/>
  <c r="P36" i="51"/>
  <c r="H36" i="51"/>
  <c r="R36" i="51"/>
  <c r="N37" i="51"/>
  <c r="V39" i="51"/>
  <c r="H39" i="51"/>
  <c r="L41" i="51"/>
  <c r="J42" i="51"/>
  <c r="T42" i="51"/>
  <c r="T45" i="51"/>
  <c r="T49" i="51"/>
  <c r="T53" i="51"/>
  <c r="T57" i="51"/>
  <c r="T61" i="51"/>
  <c r="V66" i="51"/>
  <c r="N66" i="51"/>
  <c r="X66" i="51"/>
  <c r="H66" i="51"/>
  <c r="T66" i="51"/>
  <c r="N30" i="51"/>
  <c r="T30" i="51"/>
  <c r="N31" i="51"/>
  <c r="T31" i="51"/>
  <c r="V33" i="51"/>
  <c r="P33" i="51"/>
  <c r="H33" i="51"/>
  <c r="R33" i="51"/>
  <c r="X33" i="51"/>
  <c r="R37" i="51"/>
  <c r="H37" i="51"/>
  <c r="V38" i="51"/>
  <c r="J38" i="51"/>
  <c r="T38" i="51"/>
  <c r="V40" i="51"/>
  <c r="P40" i="51"/>
  <c r="H40" i="51"/>
  <c r="R40" i="51"/>
  <c r="X40" i="51"/>
  <c r="N22" i="51"/>
  <c r="H30" i="51"/>
  <c r="P30" i="51"/>
  <c r="H31" i="51"/>
  <c r="P31" i="51"/>
  <c r="J33" i="51"/>
  <c r="V34" i="51"/>
  <c r="P34" i="51"/>
  <c r="H34" i="51"/>
  <c r="R34" i="51"/>
  <c r="X34" i="51"/>
  <c r="N35" i="51"/>
  <c r="J37" i="51"/>
  <c r="T37" i="51"/>
  <c r="H38" i="51"/>
  <c r="L38" i="51" s="1"/>
  <c r="J40" i="51"/>
  <c r="V41" i="51"/>
  <c r="P41" i="51"/>
  <c r="H41" i="51"/>
  <c r="R41" i="51"/>
  <c r="X41" i="51"/>
  <c r="R42" i="51"/>
  <c r="T43" i="51"/>
  <c r="H43" i="51"/>
  <c r="L43" i="51" s="1"/>
  <c r="X43" i="51"/>
  <c r="X67" i="51"/>
  <c r="H67" i="51"/>
  <c r="V67" i="51"/>
  <c r="L67" i="51"/>
  <c r="T67" i="51"/>
  <c r="N44" i="51"/>
  <c r="N45" i="51"/>
  <c r="N46" i="51"/>
  <c r="N47" i="51"/>
  <c r="N48" i="51"/>
  <c r="N49" i="51"/>
  <c r="N50" i="51"/>
  <c r="N51" i="51"/>
  <c r="N52" i="51"/>
  <c r="N53" i="51"/>
  <c r="N54" i="51"/>
  <c r="N55" i="51"/>
  <c r="N56" i="51"/>
  <c r="N57" i="51"/>
  <c r="N58" i="51"/>
  <c r="N59" i="51"/>
  <c r="N60" i="51"/>
  <c r="N61" i="51"/>
  <c r="N62" i="51"/>
  <c r="N63" i="51"/>
  <c r="N64" i="51"/>
  <c r="P65" i="51"/>
  <c r="S70" i="50" l="1"/>
  <c r="S69" i="50"/>
  <c r="S68" i="50"/>
  <c r="S67" i="50"/>
  <c r="S66" i="50"/>
  <c r="S65" i="50"/>
  <c r="S64" i="50"/>
  <c r="S63" i="50"/>
  <c r="S62" i="50"/>
  <c r="S61" i="50"/>
  <c r="S60" i="50"/>
  <c r="S59" i="50"/>
  <c r="S58" i="50"/>
  <c r="S57" i="50"/>
  <c r="S56" i="50"/>
  <c r="S55" i="50"/>
  <c r="S54" i="50"/>
  <c r="S53" i="50"/>
  <c r="S52" i="50"/>
  <c r="S51" i="50"/>
  <c r="S50" i="50"/>
  <c r="S49" i="50"/>
  <c r="S48" i="50"/>
  <c r="S47" i="50"/>
  <c r="S46" i="50"/>
  <c r="S45" i="50"/>
  <c r="S44" i="50"/>
  <c r="S43" i="50"/>
  <c r="S42" i="50"/>
  <c r="S41" i="50"/>
  <c r="S40" i="50"/>
  <c r="S39" i="50"/>
  <c r="S38" i="50"/>
  <c r="S37" i="50"/>
  <c r="S36" i="50"/>
  <c r="S35" i="50"/>
  <c r="S34" i="50"/>
  <c r="S33" i="50"/>
  <c r="S32" i="50"/>
  <c r="S31" i="50"/>
  <c r="S30" i="50"/>
  <c r="S29" i="50"/>
  <c r="S28" i="50"/>
  <c r="S27" i="50"/>
  <c r="S26" i="50"/>
  <c r="S25" i="50"/>
  <c r="S24" i="50"/>
  <c r="S23" i="50"/>
  <c r="S22" i="50"/>
  <c r="S21" i="50"/>
  <c r="S20" i="50"/>
  <c r="S19" i="50"/>
  <c r="S18" i="50"/>
  <c r="S17" i="50"/>
  <c r="S16" i="50"/>
  <c r="S15" i="50"/>
  <c r="S14" i="50"/>
  <c r="S13" i="50"/>
  <c r="S12" i="50"/>
  <c r="S11" i="50"/>
  <c r="S10" i="50"/>
  <c r="S9" i="50"/>
  <c r="S8" i="50"/>
  <c r="S7" i="50"/>
  <c r="S6" i="50"/>
  <c r="S5" i="50"/>
  <c r="V70" i="50" l="1"/>
  <c r="W70" i="50"/>
  <c r="X70" i="50" s="1"/>
  <c r="N70" i="50"/>
  <c r="W69" i="50"/>
  <c r="X69" i="50" s="1"/>
  <c r="R69" i="50"/>
  <c r="P69" i="50"/>
  <c r="T68" i="50"/>
  <c r="V67" i="50"/>
  <c r="N67" i="50"/>
  <c r="L67" i="50"/>
  <c r="H67" i="50"/>
  <c r="F67" i="50"/>
  <c r="J67" i="50" s="1"/>
  <c r="W66" i="50"/>
  <c r="F66" i="50"/>
  <c r="J66" i="50" s="1"/>
  <c r="W65" i="50"/>
  <c r="X65" i="50" s="1"/>
  <c r="N65" i="50"/>
  <c r="J65" i="50"/>
  <c r="H65" i="50"/>
  <c r="F65" i="50"/>
  <c r="V65" i="50" s="1"/>
  <c r="V64" i="50"/>
  <c r="W64" i="50"/>
  <c r="X64" i="50" s="1"/>
  <c r="R64" i="50"/>
  <c r="L64" i="50"/>
  <c r="J64" i="50"/>
  <c r="H64" i="50"/>
  <c r="F64" i="50"/>
  <c r="P64" i="50" s="1"/>
  <c r="V63" i="50"/>
  <c r="W63" i="50"/>
  <c r="X63" i="50" s="1"/>
  <c r="R63" i="50"/>
  <c r="L63" i="50"/>
  <c r="J63" i="50"/>
  <c r="H63" i="50"/>
  <c r="F63" i="50"/>
  <c r="P63" i="50" s="1"/>
  <c r="V62" i="50"/>
  <c r="W62" i="50"/>
  <c r="X62" i="50" s="1"/>
  <c r="R62" i="50"/>
  <c r="L62" i="50"/>
  <c r="J62" i="50"/>
  <c r="H62" i="50"/>
  <c r="F62" i="50"/>
  <c r="P62" i="50" s="1"/>
  <c r="V61" i="50"/>
  <c r="W61" i="50"/>
  <c r="X61" i="50" s="1"/>
  <c r="R61" i="50"/>
  <c r="L61" i="50"/>
  <c r="J61" i="50"/>
  <c r="H61" i="50"/>
  <c r="F61" i="50"/>
  <c r="P61" i="50" s="1"/>
  <c r="V60" i="50"/>
  <c r="W60" i="50"/>
  <c r="X60" i="50" s="1"/>
  <c r="R60" i="50"/>
  <c r="L60" i="50"/>
  <c r="J60" i="50"/>
  <c r="H60" i="50"/>
  <c r="F60" i="50"/>
  <c r="P60" i="50" s="1"/>
  <c r="W59" i="50"/>
  <c r="X59" i="50" s="1"/>
  <c r="R59" i="50"/>
  <c r="L59" i="50"/>
  <c r="J59" i="50"/>
  <c r="H59" i="50"/>
  <c r="F59" i="50"/>
  <c r="P59" i="50" s="1"/>
  <c r="W58" i="50"/>
  <c r="X58" i="50" s="1"/>
  <c r="R58" i="50"/>
  <c r="J58" i="50"/>
  <c r="H58" i="50"/>
  <c r="F58" i="50"/>
  <c r="P58" i="50" s="1"/>
  <c r="W57" i="50"/>
  <c r="X57" i="50" s="1"/>
  <c r="R57" i="50"/>
  <c r="J57" i="50"/>
  <c r="H57" i="50"/>
  <c r="F57" i="50"/>
  <c r="P57" i="50" s="1"/>
  <c r="W56" i="50"/>
  <c r="X56" i="50" s="1"/>
  <c r="R56" i="50"/>
  <c r="J56" i="50"/>
  <c r="H56" i="50"/>
  <c r="F56" i="50"/>
  <c r="P56" i="50" s="1"/>
  <c r="W55" i="50"/>
  <c r="X55" i="50" s="1"/>
  <c r="R55" i="50"/>
  <c r="J55" i="50"/>
  <c r="H55" i="50"/>
  <c r="L55" i="50" s="1"/>
  <c r="F55" i="50"/>
  <c r="P55" i="50" s="1"/>
  <c r="W54" i="50"/>
  <c r="X54" i="50" s="1"/>
  <c r="R54" i="50"/>
  <c r="J54" i="50"/>
  <c r="H54" i="50"/>
  <c r="F54" i="50"/>
  <c r="P54" i="50" s="1"/>
  <c r="W53" i="50"/>
  <c r="X53" i="50" s="1"/>
  <c r="R53" i="50"/>
  <c r="J53" i="50"/>
  <c r="H53" i="50"/>
  <c r="F53" i="50"/>
  <c r="P53" i="50" s="1"/>
  <c r="W52" i="50"/>
  <c r="X52" i="50" s="1"/>
  <c r="R52" i="50"/>
  <c r="J52" i="50"/>
  <c r="H52" i="50"/>
  <c r="F52" i="50"/>
  <c r="P52" i="50" s="1"/>
  <c r="W51" i="50"/>
  <c r="X51" i="50" s="1"/>
  <c r="R51" i="50"/>
  <c r="J51" i="50"/>
  <c r="H51" i="50"/>
  <c r="F51" i="50"/>
  <c r="P51" i="50" s="1"/>
  <c r="W50" i="50"/>
  <c r="X50" i="50" s="1"/>
  <c r="R50" i="50"/>
  <c r="J50" i="50"/>
  <c r="H50" i="50"/>
  <c r="F50" i="50"/>
  <c r="P50" i="50" s="1"/>
  <c r="W49" i="50"/>
  <c r="X49" i="50" s="1"/>
  <c r="R49" i="50"/>
  <c r="J49" i="50"/>
  <c r="H49" i="50"/>
  <c r="F49" i="50"/>
  <c r="P49" i="50" s="1"/>
  <c r="W48" i="50"/>
  <c r="X48" i="50" s="1"/>
  <c r="R48" i="50"/>
  <c r="J48" i="50"/>
  <c r="H48" i="50"/>
  <c r="F48" i="50"/>
  <c r="P48" i="50" s="1"/>
  <c r="W47" i="50"/>
  <c r="X47" i="50" s="1"/>
  <c r="R47" i="50"/>
  <c r="J47" i="50"/>
  <c r="H47" i="50"/>
  <c r="F47" i="50"/>
  <c r="P47" i="50" s="1"/>
  <c r="W46" i="50"/>
  <c r="X46" i="50" s="1"/>
  <c r="R46" i="50"/>
  <c r="J46" i="50"/>
  <c r="H46" i="50"/>
  <c r="F46" i="50"/>
  <c r="P46" i="50" s="1"/>
  <c r="W45" i="50"/>
  <c r="X45" i="50" s="1"/>
  <c r="R45" i="50"/>
  <c r="J45" i="50"/>
  <c r="H45" i="50"/>
  <c r="F45" i="50"/>
  <c r="P45" i="50" s="1"/>
  <c r="W44" i="50"/>
  <c r="X44" i="50" s="1"/>
  <c r="R44" i="50"/>
  <c r="J44" i="50"/>
  <c r="H44" i="50"/>
  <c r="F44" i="50"/>
  <c r="P44" i="50" s="1"/>
  <c r="W43" i="50"/>
  <c r="F43" i="50"/>
  <c r="L42" i="50"/>
  <c r="J42" i="50"/>
  <c r="F42" i="50"/>
  <c r="N42" i="50" s="1"/>
  <c r="W41" i="50"/>
  <c r="N41" i="50"/>
  <c r="F41" i="50"/>
  <c r="L41" i="50" s="1"/>
  <c r="W40" i="50"/>
  <c r="N40" i="50"/>
  <c r="F40" i="50"/>
  <c r="W39" i="50"/>
  <c r="F39" i="50"/>
  <c r="W38" i="50"/>
  <c r="F38" i="50"/>
  <c r="W37" i="50"/>
  <c r="F37" i="50"/>
  <c r="W36" i="50"/>
  <c r="F36" i="50"/>
  <c r="V36" i="50" s="1"/>
  <c r="W35" i="50"/>
  <c r="F35" i="50"/>
  <c r="V35" i="50" s="1"/>
  <c r="W34" i="50"/>
  <c r="F34" i="50"/>
  <c r="V34" i="50" s="1"/>
  <c r="W33" i="50"/>
  <c r="F33" i="50"/>
  <c r="V33" i="50" s="1"/>
  <c r="W32" i="50"/>
  <c r="F32" i="50"/>
  <c r="V32" i="50" s="1"/>
  <c r="W31" i="50"/>
  <c r="F31" i="50"/>
  <c r="T31" i="50" s="1"/>
  <c r="W30" i="50"/>
  <c r="F30" i="50"/>
  <c r="V30" i="50" s="1"/>
  <c r="W29" i="50"/>
  <c r="F29" i="50"/>
  <c r="V29" i="50" s="1"/>
  <c r="W28" i="50"/>
  <c r="J28" i="50"/>
  <c r="H28" i="50"/>
  <c r="F28" i="50"/>
  <c r="V28" i="50" s="1"/>
  <c r="W27" i="50"/>
  <c r="F27" i="50"/>
  <c r="P27" i="50" s="1"/>
  <c r="W26" i="50"/>
  <c r="P26" i="50"/>
  <c r="F26" i="50"/>
  <c r="V26" i="50" s="1"/>
  <c r="V25" i="50"/>
  <c r="W25" i="50"/>
  <c r="P25" i="50"/>
  <c r="J25" i="50"/>
  <c r="H25" i="50"/>
  <c r="F25" i="50"/>
  <c r="R25" i="50" s="1"/>
  <c r="V24" i="50"/>
  <c r="W24" i="50"/>
  <c r="J24" i="50"/>
  <c r="H24" i="50"/>
  <c r="F24" i="50"/>
  <c r="R24" i="50" s="1"/>
  <c r="W23" i="50"/>
  <c r="F23" i="50"/>
  <c r="P23" i="50" s="1"/>
  <c r="W22" i="50"/>
  <c r="F22" i="50"/>
  <c r="W21" i="50"/>
  <c r="F21" i="50"/>
  <c r="P21" i="50" s="1"/>
  <c r="W20" i="50"/>
  <c r="F20" i="50"/>
  <c r="V20" i="50" s="1"/>
  <c r="W19" i="50"/>
  <c r="F19" i="50"/>
  <c r="V19" i="50" s="1"/>
  <c r="W18" i="50"/>
  <c r="F18" i="50"/>
  <c r="V18" i="50" s="1"/>
  <c r="W17" i="50"/>
  <c r="F17" i="50"/>
  <c r="V17" i="50" s="1"/>
  <c r="W16" i="50"/>
  <c r="P16" i="50"/>
  <c r="F16" i="50"/>
  <c r="W15" i="50"/>
  <c r="F15" i="50"/>
  <c r="W14" i="50"/>
  <c r="L14" i="50"/>
  <c r="P14" i="50" s="1"/>
  <c r="J14" i="50"/>
  <c r="F14" i="50"/>
  <c r="V14" i="50" s="1"/>
  <c r="V13" i="50"/>
  <c r="W13" i="50"/>
  <c r="X13" i="50" s="1"/>
  <c r="L13" i="50"/>
  <c r="J13" i="50"/>
  <c r="F13" i="50"/>
  <c r="R13" i="50" s="1"/>
  <c r="W12" i="50"/>
  <c r="P12" i="50"/>
  <c r="F12" i="50"/>
  <c r="V12" i="50" s="1"/>
  <c r="V11" i="50"/>
  <c r="W11" i="50"/>
  <c r="F11" i="50"/>
  <c r="L11" i="50" s="1"/>
  <c r="W10" i="50"/>
  <c r="F10" i="50"/>
  <c r="W9" i="50"/>
  <c r="F9" i="50"/>
  <c r="N9" i="50" s="1"/>
  <c r="W8" i="50"/>
  <c r="F8" i="50"/>
  <c r="W7" i="50"/>
  <c r="N7" i="50"/>
  <c r="F7" i="50"/>
  <c r="W6" i="50"/>
  <c r="F6" i="50"/>
  <c r="W5" i="50"/>
  <c r="F5" i="50"/>
  <c r="N5" i="50" s="1"/>
  <c r="V15" i="50" l="1"/>
  <c r="L15" i="50"/>
  <c r="J15" i="50"/>
  <c r="R15" i="50"/>
  <c r="H15" i="50"/>
  <c r="P15" i="50"/>
  <c r="V16" i="50"/>
  <c r="L16" i="50"/>
  <c r="J16" i="50"/>
  <c r="R16" i="50"/>
  <c r="H16" i="50"/>
  <c r="P19" i="50"/>
  <c r="P20" i="50"/>
  <c r="V21" i="50"/>
  <c r="R27" i="50"/>
  <c r="R37" i="50"/>
  <c r="N37" i="50"/>
  <c r="X12" i="50"/>
  <c r="H17" i="50"/>
  <c r="R17" i="50"/>
  <c r="H18" i="50"/>
  <c r="R18" i="50"/>
  <c r="H19" i="50"/>
  <c r="R19" i="50"/>
  <c r="H20" i="50"/>
  <c r="R20" i="50"/>
  <c r="H21" i="50"/>
  <c r="L21" i="50" s="1"/>
  <c r="N22" i="50"/>
  <c r="L22" i="50"/>
  <c r="H23" i="50"/>
  <c r="R26" i="50"/>
  <c r="H27" i="50"/>
  <c r="H29" i="50"/>
  <c r="R29" i="50"/>
  <c r="H30" i="50"/>
  <c r="R30" i="50"/>
  <c r="H31" i="50"/>
  <c r="R31" i="50"/>
  <c r="H32" i="50"/>
  <c r="R32" i="50"/>
  <c r="H33" i="50"/>
  <c r="R33" i="50"/>
  <c r="H34" i="50"/>
  <c r="R34" i="50"/>
  <c r="H35" i="50"/>
  <c r="R35" i="50"/>
  <c r="H36" i="50"/>
  <c r="R36" i="50"/>
  <c r="H37" i="50"/>
  <c r="V37" i="50"/>
  <c r="X39" i="50"/>
  <c r="P17" i="50"/>
  <c r="P18" i="50"/>
  <c r="R23" i="50"/>
  <c r="P29" i="50"/>
  <c r="P30" i="50"/>
  <c r="P31" i="50"/>
  <c r="P32" i="50"/>
  <c r="P33" i="50"/>
  <c r="P34" i="50"/>
  <c r="P35" i="50"/>
  <c r="P36" i="50"/>
  <c r="H12" i="50"/>
  <c r="P13" i="50"/>
  <c r="X14" i="50"/>
  <c r="X15" i="50"/>
  <c r="X16" i="50"/>
  <c r="J17" i="50"/>
  <c r="X17" i="50"/>
  <c r="J18" i="50"/>
  <c r="X18" i="50"/>
  <c r="J19" i="50"/>
  <c r="X19" i="50"/>
  <c r="J20" i="50"/>
  <c r="X20" i="50"/>
  <c r="J21" i="50"/>
  <c r="J23" i="50"/>
  <c r="V23" i="50"/>
  <c r="P24" i="50"/>
  <c r="H26" i="50"/>
  <c r="J27" i="50"/>
  <c r="V27" i="50"/>
  <c r="R28" i="50"/>
  <c r="J29" i="50"/>
  <c r="X29" i="50"/>
  <c r="J30" i="50"/>
  <c r="X30" i="50"/>
  <c r="J31" i="50"/>
  <c r="V31" i="50"/>
  <c r="J32" i="50"/>
  <c r="X32" i="50"/>
  <c r="J33" i="50"/>
  <c r="X33" i="50"/>
  <c r="J34" i="50"/>
  <c r="X34" i="50"/>
  <c r="J35" i="50"/>
  <c r="X35" i="50"/>
  <c r="J36" i="50"/>
  <c r="X36" i="50"/>
  <c r="J37" i="50"/>
  <c r="J41" i="50"/>
  <c r="L44" i="50"/>
  <c r="V44" i="50"/>
  <c r="L45" i="50"/>
  <c r="V45" i="50"/>
  <c r="L46" i="50"/>
  <c r="V46" i="50"/>
  <c r="L47" i="50"/>
  <c r="V47" i="50"/>
  <c r="L48" i="50"/>
  <c r="V48" i="50"/>
  <c r="L49" i="50"/>
  <c r="V49" i="50"/>
  <c r="L50" i="50"/>
  <c r="V50" i="50"/>
  <c r="L51" i="50"/>
  <c r="V51" i="50"/>
  <c r="L52" i="50"/>
  <c r="V52" i="50"/>
  <c r="L53" i="50"/>
  <c r="V53" i="50"/>
  <c r="L54" i="50"/>
  <c r="V54" i="50"/>
  <c r="V55" i="50"/>
  <c r="L56" i="50"/>
  <c r="V56" i="50"/>
  <c r="L57" i="50"/>
  <c r="V57" i="50"/>
  <c r="L58" i="50"/>
  <c r="V58" i="50"/>
  <c r="V59" i="50"/>
  <c r="X37" i="50"/>
  <c r="J12" i="50"/>
  <c r="H13" i="50"/>
  <c r="H14" i="50"/>
  <c r="L17" i="50"/>
  <c r="L18" i="50"/>
  <c r="L19" i="50"/>
  <c r="L20" i="50"/>
  <c r="X21" i="50"/>
  <c r="V22" i="50"/>
  <c r="J26" i="50"/>
  <c r="X28" i="50"/>
  <c r="L29" i="50"/>
  <c r="L30" i="50"/>
  <c r="L31" i="50"/>
  <c r="X31" i="50"/>
  <c r="L32" i="50"/>
  <c r="L33" i="50"/>
  <c r="L34" i="50"/>
  <c r="L35" i="50"/>
  <c r="L36" i="50"/>
  <c r="L37" i="50"/>
  <c r="R65" i="50"/>
  <c r="T67" i="50"/>
  <c r="W68" i="50"/>
  <c r="X68" i="50" s="1"/>
  <c r="T33" i="50"/>
  <c r="T17" i="50"/>
  <c r="T18" i="50"/>
  <c r="T51" i="50"/>
  <c r="T19" i="50"/>
  <c r="T23" i="50"/>
  <c r="T45" i="50"/>
  <c r="T14" i="50"/>
  <c r="T11" i="50"/>
  <c r="T47" i="50"/>
  <c r="T57" i="50"/>
  <c r="T15" i="50"/>
  <c r="T21" i="50"/>
  <c r="T27" i="50"/>
  <c r="T35" i="50"/>
  <c r="T53" i="50"/>
  <c r="T61" i="50"/>
  <c r="W67" i="50"/>
  <c r="X67" i="50" s="1"/>
  <c r="T69" i="50"/>
  <c r="T70" i="50"/>
  <c r="T16" i="50"/>
  <c r="T29" i="50"/>
  <c r="T49" i="50"/>
  <c r="T55" i="50"/>
  <c r="T63" i="50"/>
  <c r="T65" i="50"/>
  <c r="T59" i="50"/>
  <c r="T41" i="50"/>
  <c r="T26" i="50"/>
  <c r="T25" i="50"/>
  <c r="T24" i="50"/>
  <c r="T20" i="50"/>
  <c r="T13" i="50"/>
  <c r="T8" i="50"/>
  <c r="X7" i="50"/>
  <c r="R6" i="50"/>
  <c r="J6" i="50"/>
  <c r="V6" i="50"/>
  <c r="P6" i="50"/>
  <c r="H6" i="50"/>
  <c r="R10" i="50"/>
  <c r="J10" i="50"/>
  <c r="T10" i="50"/>
  <c r="V10" i="50"/>
  <c r="P10" i="50"/>
  <c r="H10" i="50"/>
  <c r="X10" i="50"/>
  <c r="W42" i="50"/>
  <c r="X42" i="50" s="1"/>
  <c r="T42" i="50"/>
  <c r="L6" i="50"/>
  <c r="X6" i="50"/>
  <c r="T43" i="50"/>
  <c r="H43" i="50"/>
  <c r="L43" i="50" s="1"/>
  <c r="X43" i="50"/>
  <c r="J43" i="50"/>
  <c r="R5" i="50"/>
  <c r="J5" i="50"/>
  <c r="V5" i="50"/>
  <c r="P5" i="50"/>
  <c r="H5" i="50"/>
  <c r="T5" i="50"/>
  <c r="N6" i="50"/>
  <c r="T7" i="50"/>
  <c r="R9" i="50"/>
  <c r="J9" i="50"/>
  <c r="V9" i="50"/>
  <c r="P9" i="50"/>
  <c r="H9" i="50"/>
  <c r="T9" i="50"/>
  <c r="L5" i="50"/>
  <c r="X5" i="50"/>
  <c r="L7" i="50"/>
  <c r="L9" i="50"/>
  <c r="X9" i="50"/>
  <c r="V43" i="50"/>
  <c r="T6" i="50"/>
  <c r="R8" i="50"/>
  <c r="J8" i="50"/>
  <c r="V8" i="50"/>
  <c r="P8" i="50"/>
  <c r="H8" i="50"/>
  <c r="L8" i="50"/>
  <c r="X8" i="50"/>
  <c r="L10" i="50"/>
  <c r="R7" i="50"/>
  <c r="J7" i="50"/>
  <c r="V7" i="50"/>
  <c r="P7" i="50"/>
  <c r="H7" i="50"/>
  <c r="N8" i="50"/>
  <c r="N10" i="50"/>
  <c r="T22" i="50"/>
  <c r="P22" i="50"/>
  <c r="X22" i="50"/>
  <c r="J22" i="50"/>
  <c r="H22" i="50"/>
  <c r="V39" i="50"/>
  <c r="H39" i="50"/>
  <c r="N39" i="50"/>
  <c r="T39" i="50"/>
  <c r="L39" i="50"/>
  <c r="R39" i="50" s="1"/>
  <c r="J39" i="50"/>
  <c r="P39" i="50" s="1"/>
  <c r="V38" i="50"/>
  <c r="J38" i="50"/>
  <c r="T38" i="50"/>
  <c r="V40" i="50"/>
  <c r="P40" i="50"/>
  <c r="H40" i="50"/>
  <c r="R40" i="50"/>
  <c r="X40" i="50"/>
  <c r="V66" i="50"/>
  <c r="N66" i="50"/>
  <c r="T66" i="50"/>
  <c r="H66" i="50"/>
  <c r="X66" i="50"/>
  <c r="H11" i="50"/>
  <c r="X11" i="50"/>
  <c r="L12" i="50"/>
  <c r="T12" i="50"/>
  <c r="N13" i="50"/>
  <c r="N14" i="50"/>
  <c r="R14" i="50" s="1"/>
  <c r="N15" i="50"/>
  <c r="N16" i="50"/>
  <c r="N17" i="50"/>
  <c r="N18" i="50"/>
  <c r="N19" i="50"/>
  <c r="N20" i="50"/>
  <c r="L23" i="50"/>
  <c r="X23" i="50"/>
  <c r="L24" i="50"/>
  <c r="X24" i="50"/>
  <c r="L25" i="50"/>
  <c r="X25" i="50"/>
  <c r="L26" i="50"/>
  <c r="X26" i="50"/>
  <c r="L27" i="50"/>
  <c r="X27" i="50"/>
  <c r="L28" i="50"/>
  <c r="T37" i="50"/>
  <c r="H38" i="50"/>
  <c r="L38" i="50" s="1"/>
  <c r="J40" i="50"/>
  <c r="V41" i="50"/>
  <c r="P41" i="50"/>
  <c r="H41" i="50"/>
  <c r="R41" i="50"/>
  <c r="X41" i="50"/>
  <c r="P66" i="50"/>
  <c r="R11" i="50"/>
  <c r="J11" i="50"/>
  <c r="N12" i="50"/>
  <c r="N23" i="50"/>
  <c r="N24" i="50"/>
  <c r="N25" i="50"/>
  <c r="N26" i="50"/>
  <c r="N27" i="50"/>
  <c r="T28" i="50"/>
  <c r="N28" i="50"/>
  <c r="P28" i="50"/>
  <c r="T30" i="50"/>
  <c r="T32" i="50"/>
  <c r="T34" i="50"/>
  <c r="T36" i="50"/>
  <c r="X38" i="50"/>
  <c r="L40" i="50"/>
  <c r="T40" i="50"/>
  <c r="V42" i="50"/>
  <c r="P42" i="50"/>
  <c r="H42" i="50"/>
  <c r="R42" i="50"/>
  <c r="T44" i="50"/>
  <c r="T46" i="50"/>
  <c r="T48" i="50"/>
  <c r="T50" i="50"/>
  <c r="T52" i="50"/>
  <c r="T54" i="50"/>
  <c r="T56" i="50"/>
  <c r="T58" i="50"/>
  <c r="T60" i="50"/>
  <c r="T62" i="50"/>
  <c r="T64" i="50"/>
  <c r="N29" i="50"/>
  <c r="N30" i="50"/>
  <c r="N31" i="50"/>
  <c r="N32" i="50"/>
  <c r="N33" i="50"/>
  <c r="N34" i="50"/>
  <c r="N35" i="50"/>
  <c r="N36" i="50"/>
  <c r="N44" i="50"/>
  <c r="N45" i="50"/>
  <c r="N46" i="50"/>
  <c r="N47" i="50"/>
  <c r="N48" i="50"/>
  <c r="N49" i="50"/>
  <c r="N50" i="50"/>
  <c r="N51" i="50"/>
  <c r="N52" i="50"/>
  <c r="N53" i="50"/>
  <c r="N54" i="50"/>
  <c r="N55" i="50"/>
  <c r="N56" i="50"/>
  <c r="N57" i="50"/>
  <c r="N58" i="50"/>
  <c r="N59" i="50"/>
  <c r="N60" i="50"/>
  <c r="N61" i="50"/>
  <c r="N62" i="50"/>
  <c r="N63" i="50"/>
  <c r="N64" i="50"/>
  <c r="P65" i="50"/>
  <c r="R69" i="49"/>
  <c r="P69" i="49" l="1"/>
  <c r="N70" i="49" l="1"/>
  <c r="N69" i="49"/>
  <c r="V70" i="49" l="1"/>
  <c r="V32" i="49"/>
  <c r="H67" i="49"/>
  <c r="S70" i="49"/>
  <c r="T70" i="49" s="1"/>
  <c r="S69" i="49"/>
  <c r="S68" i="49"/>
  <c r="T68" i="49" s="1"/>
  <c r="S67" i="49"/>
  <c r="W67" i="49" s="1"/>
  <c r="F67" i="49"/>
  <c r="S66" i="49"/>
  <c r="T66" i="49" s="1"/>
  <c r="P66" i="49"/>
  <c r="F66" i="49"/>
  <c r="H66" i="49" s="1"/>
  <c r="S65" i="49"/>
  <c r="W65" i="49" s="1"/>
  <c r="N65" i="49"/>
  <c r="F65" i="49"/>
  <c r="J65" i="49" s="1"/>
  <c r="S64" i="49"/>
  <c r="W64" i="49" s="1"/>
  <c r="F64" i="49"/>
  <c r="S63" i="49"/>
  <c r="W63" i="49" s="1"/>
  <c r="F63" i="49"/>
  <c r="R63" i="49" s="1"/>
  <c r="S62" i="49"/>
  <c r="W62" i="49" s="1"/>
  <c r="P62" i="49"/>
  <c r="L62" i="49"/>
  <c r="F62" i="49"/>
  <c r="V62" i="49" s="1"/>
  <c r="S61" i="49"/>
  <c r="W61" i="49" s="1"/>
  <c r="F61" i="49"/>
  <c r="R61" i="49" s="1"/>
  <c r="S60" i="49"/>
  <c r="W60" i="49" s="1"/>
  <c r="F60" i="49"/>
  <c r="V59" i="49"/>
  <c r="S59" i="49"/>
  <c r="W59" i="49" s="1"/>
  <c r="X59" i="49" s="1"/>
  <c r="L59" i="49"/>
  <c r="J59" i="49"/>
  <c r="F59" i="49"/>
  <c r="R59" i="49" s="1"/>
  <c r="V58" i="49"/>
  <c r="S58" i="49"/>
  <c r="W58" i="49" s="1"/>
  <c r="X58" i="49" s="1"/>
  <c r="L58" i="49"/>
  <c r="J58" i="49"/>
  <c r="F58" i="49"/>
  <c r="R58" i="49" s="1"/>
  <c r="V57" i="49"/>
  <c r="S57" i="49"/>
  <c r="W57" i="49" s="1"/>
  <c r="X57" i="49" s="1"/>
  <c r="L57" i="49"/>
  <c r="J57" i="49"/>
  <c r="F57" i="49"/>
  <c r="R57" i="49" s="1"/>
  <c r="V56" i="49"/>
  <c r="S56" i="49"/>
  <c r="W56" i="49" s="1"/>
  <c r="X56" i="49" s="1"/>
  <c r="L56" i="49"/>
  <c r="J56" i="49"/>
  <c r="F56" i="49"/>
  <c r="V55" i="49"/>
  <c r="S55" i="49"/>
  <c r="W55" i="49" s="1"/>
  <c r="X55" i="49" s="1"/>
  <c r="P55" i="49"/>
  <c r="J55" i="49"/>
  <c r="H55" i="49"/>
  <c r="L55" i="49" s="1"/>
  <c r="F55" i="49"/>
  <c r="R55" i="49" s="1"/>
  <c r="V54" i="49"/>
  <c r="S54" i="49"/>
  <c r="W54" i="49" s="1"/>
  <c r="X54" i="49" s="1"/>
  <c r="R54" i="49"/>
  <c r="L54" i="49"/>
  <c r="J54" i="49"/>
  <c r="H54" i="49"/>
  <c r="F54" i="49"/>
  <c r="P54" i="49" s="1"/>
  <c r="V53" i="49"/>
  <c r="S53" i="49"/>
  <c r="W53" i="49" s="1"/>
  <c r="X53" i="49" s="1"/>
  <c r="R53" i="49"/>
  <c r="L53" i="49"/>
  <c r="J53" i="49"/>
  <c r="H53" i="49"/>
  <c r="F53" i="49"/>
  <c r="P53" i="49" s="1"/>
  <c r="V52" i="49"/>
  <c r="S52" i="49"/>
  <c r="W52" i="49" s="1"/>
  <c r="X52" i="49" s="1"/>
  <c r="R52" i="49"/>
  <c r="L52" i="49"/>
  <c r="J52" i="49"/>
  <c r="H52" i="49"/>
  <c r="F52" i="49"/>
  <c r="P52" i="49" s="1"/>
  <c r="V51" i="49"/>
  <c r="S51" i="49"/>
  <c r="W51" i="49" s="1"/>
  <c r="X51" i="49" s="1"/>
  <c r="R51" i="49"/>
  <c r="L51" i="49"/>
  <c r="J51" i="49"/>
  <c r="H51" i="49"/>
  <c r="F51" i="49"/>
  <c r="P51" i="49" s="1"/>
  <c r="V50" i="49"/>
  <c r="S50" i="49"/>
  <c r="W50" i="49" s="1"/>
  <c r="X50" i="49" s="1"/>
  <c r="R50" i="49"/>
  <c r="L50" i="49"/>
  <c r="J50" i="49"/>
  <c r="H50" i="49"/>
  <c r="F50" i="49"/>
  <c r="P50" i="49" s="1"/>
  <c r="V49" i="49"/>
  <c r="S49" i="49"/>
  <c r="W49" i="49" s="1"/>
  <c r="X49" i="49" s="1"/>
  <c r="R49" i="49"/>
  <c r="L49" i="49"/>
  <c r="J49" i="49"/>
  <c r="H49" i="49"/>
  <c r="F49" i="49"/>
  <c r="P49" i="49" s="1"/>
  <c r="V48" i="49"/>
  <c r="S48" i="49"/>
  <c r="W48" i="49" s="1"/>
  <c r="X48" i="49" s="1"/>
  <c r="R48" i="49"/>
  <c r="L48" i="49"/>
  <c r="J48" i="49"/>
  <c r="H48" i="49"/>
  <c r="F48" i="49"/>
  <c r="P48" i="49" s="1"/>
  <c r="V47" i="49"/>
  <c r="S47" i="49"/>
  <c r="W47" i="49" s="1"/>
  <c r="X47" i="49" s="1"/>
  <c r="R47" i="49"/>
  <c r="L47" i="49"/>
  <c r="J47" i="49"/>
  <c r="H47" i="49"/>
  <c r="F47" i="49"/>
  <c r="P47" i="49" s="1"/>
  <c r="V46" i="49"/>
  <c r="S46" i="49"/>
  <c r="W46" i="49" s="1"/>
  <c r="X46" i="49" s="1"/>
  <c r="R46" i="49"/>
  <c r="L46" i="49"/>
  <c r="J46" i="49"/>
  <c r="H46" i="49"/>
  <c r="F46" i="49"/>
  <c r="P46" i="49" s="1"/>
  <c r="V45" i="49"/>
  <c r="S45" i="49"/>
  <c r="W45" i="49" s="1"/>
  <c r="X45" i="49" s="1"/>
  <c r="R45" i="49"/>
  <c r="L45" i="49"/>
  <c r="J45" i="49"/>
  <c r="H45" i="49"/>
  <c r="F45" i="49"/>
  <c r="P45" i="49" s="1"/>
  <c r="S44" i="49"/>
  <c r="W44" i="49" s="1"/>
  <c r="F44" i="49"/>
  <c r="L44" i="49" s="1"/>
  <c r="S43" i="49"/>
  <c r="W43" i="49" s="1"/>
  <c r="F43" i="49"/>
  <c r="V43" i="49" s="1"/>
  <c r="S42" i="49"/>
  <c r="W42" i="49" s="1"/>
  <c r="F42" i="49"/>
  <c r="S41" i="49"/>
  <c r="W41" i="49" s="1"/>
  <c r="R41" i="49"/>
  <c r="F41" i="49"/>
  <c r="N41" i="49" s="1"/>
  <c r="S40" i="49"/>
  <c r="W40" i="49" s="1"/>
  <c r="F40" i="49"/>
  <c r="N40" i="49" s="1"/>
  <c r="S39" i="49"/>
  <c r="W39" i="49" s="1"/>
  <c r="F39" i="49"/>
  <c r="J39" i="49" s="1"/>
  <c r="P39" i="49" s="1"/>
  <c r="S38" i="49"/>
  <c r="T38" i="49" s="1"/>
  <c r="H38" i="49"/>
  <c r="L38" i="49" s="1"/>
  <c r="F38" i="49"/>
  <c r="V38" i="49" s="1"/>
  <c r="S37" i="49"/>
  <c r="L37" i="49"/>
  <c r="F37" i="49"/>
  <c r="R37" i="49" s="1"/>
  <c r="V36" i="49"/>
  <c r="S36" i="49"/>
  <c r="W36" i="49" s="1"/>
  <c r="L36" i="49"/>
  <c r="F36" i="49"/>
  <c r="J36" i="49" s="1"/>
  <c r="V35" i="49"/>
  <c r="S35" i="49"/>
  <c r="W35" i="49" s="1"/>
  <c r="L35" i="49"/>
  <c r="F35" i="49"/>
  <c r="J35" i="49" s="1"/>
  <c r="V34" i="49"/>
  <c r="S34" i="49"/>
  <c r="W34" i="49" s="1"/>
  <c r="L34" i="49"/>
  <c r="F34" i="49"/>
  <c r="J34" i="49" s="1"/>
  <c r="V33" i="49"/>
  <c r="S33" i="49"/>
  <c r="W33" i="49" s="1"/>
  <c r="L33" i="49"/>
  <c r="F33" i="49"/>
  <c r="J33" i="49" s="1"/>
  <c r="S32" i="49"/>
  <c r="W32" i="49" s="1"/>
  <c r="X32" i="49" s="1"/>
  <c r="R32" i="49"/>
  <c r="L32" i="49"/>
  <c r="J32" i="49"/>
  <c r="H32" i="49"/>
  <c r="F32" i="49"/>
  <c r="P32" i="49" s="1"/>
  <c r="V31" i="49"/>
  <c r="S31" i="49"/>
  <c r="W31" i="49" s="1"/>
  <c r="X31" i="49" s="1"/>
  <c r="R31" i="49"/>
  <c r="L31" i="49"/>
  <c r="J31" i="49"/>
  <c r="H31" i="49"/>
  <c r="F31" i="49"/>
  <c r="P31" i="49" s="1"/>
  <c r="V30" i="49"/>
  <c r="S30" i="49"/>
  <c r="W30" i="49" s="1"/>
  <c r="X30" i="49" s="1"/>
  <c r="L30" i="49"/>
  <c r="J30" i="49"/>
  <c r="F30" i="49"/>
  <c r="R30" i="49" s="1"/>
  <c r="V29" i="49"/>
  <c r="S29" i="49"/>
  <c r="W29" i="49" s="1"/>
  <c r="F29" i="49"/>
  <c r="N29" i="49" s="1"/>
  <c r="S28" i="49"/>
  <c r="W28" i="49" s="1"/>
  <c r="F28" i="49"/>
  <c r="N28" i="49" s="1"/>
  <c r="S27" i="49"/>
  <c r="W27" i="49" s="1"/>
  <c r="F27" i="49"/>
  <c r="S26" i="49"/>
  <c r="W26" i="49" s="1"/>
  <c r="N26" i="49"/>
  <c r="F26" i="49"/>
  <c r="L26" i="49" s="1"/>
  <c r="S25" i="49"/>
  <c r="W25" i="49" s="1"/>
  <c r="F25" i="49"/>
  <c r="V25" i="49" s="1"/>
  <c r="S24" i="49"/>
  <c r="W24" i="49" s="1"/>
  <c r="F24" i="49"/>
  <c r="N24" i="49" s="1"/>
  <c r="S23" i="49"/>
  <c r="W23" i="49" s="1"/>
  <c r="F23" i="49"/>
  <c r="S22" i="49"/>
  <c r="W22" i="49" s="1"/>
  <c r="H22" i="49"/>
  <c r="L22" i="49" s="1"/>
  <c r="F22" i="49"/>
  <c r="V22" i="49" s="1"/>
  <c r="S21" i="49"/>
  <c r="F21" i="49"/>
  <c r="P21" i="49" s="1"/>
  <c r="V20" i="49"/>
  <c r="S20" i="49"/>
  <c r="W20" i="49" s="1"/>
  <c r="L20" i="49"/>
  <c r="F20" i="49"/>
  <c r="J20" i="49" s="1"/>
  <c r="V19" i="49"/>
  <c r="S19" i="49"/>
  <c r="W19" i="49" s="1"/>
  <c r="L19" i="49"/>
  <c r="F19" i="49"/>
  <c r="J19" i="49" s="1"/>
  <c r="V18" i="49"/>
  <c r="S18" i="49"/>
  <c r="W18" i="49" s="1"/>
  <c r="L18" i="49"/>
  <c r="F18" i="49"/>
  <c r="J18" i="49" s="1"/>
  <c r="V17" i="49"/>
  <c r="S17" i="49"/>
  <c r="W17" i="49" s="1"/>
  <c r="L17" i="49"/>
  <c r="F17" i="49"/>
  <c r="J17" i="49" s="1"/>
  <c r="V16" i="49"/>
  <c r="S16" i="49"/>
  <c r="W16" i="49" s="1"/>
  <c r="L16" i="49"/>
  <c r="F16" i="49"/>
  <c r="J16" i="49" s="1"/>
  <c r="V15" i="49"/>
  <c r="S15" i="49"/>
  <c r="W15" i="49" s="1"/>
  <c r="L15" i="49"/>
  <c r="F15" i="49"/>
  <c r="J15" i="49" s="1"/>
  <c r="V14" i="49"/>
  <c r="S14" i="49"/>
  <c r="W14" i="49" s="1"/>
  <c r="J14" i="49"/>
  <c r="H14" i="49"/>
  <c r="F14" i="49"/>
  <c r="L14" i="49" s="1"/>
  <c r="P14" i="49" s="1"/>
  <c r="S13" i="49"/>
  <c r="W13" i="49" s="1"/>
  <c r="X13" i="49" s="1"/>
  <c r="R13" i="49"/>
  <c r="J13" i="49"/>
  <c r="H13" i="49"/>
  <c r="F13" i="49"/>
  <c r="P13" i="49" s="1"/>
  <c r="S12" i="49"/>
  <c r="W12" i="49" s="1"/>
  <c r="F12" i="49"/>
  <c r="S11" i="49"/>
  <c r="W11" i="49" s="1"/>
  <c r="F11" i="49"/>
  <c r="S10" i="49"/>
  <c r="W10" i="49" s="1"/>
  <c r="N10" i="49"/>
  <c r="L10" i="49"/>
  <c r="J10" i="49"/>
  <c r="F10" i="49"/>
  <c r="S9" i="49"/>
  <c r="T9" i="49" s="1"/>
  <c r="L9" i="49"/>
  <c r="F9" i="49"/>
  <c r="N9" i="49" s="1"/>
  <c r="S8" i="49"/>
  <c r="W8" i="49" s="1"/>
  <c r="N8" i="49"/>
  <c r="J8" i="49"/>
  <c r="F8" i="49"/>
  <c r="S7" i="49"/>
  <c r="W7" i="49" s="1"/>
  <c r="F7" i="49"/>
  <c r="J7" i="49" s="1"/>
  <c r="S6" i="49"/>
  <c r="W6" i="49" s="1"/>
  <c r="F6" i="49"/>
  <c r="N6" i="49" s="1"/>
  <c r="S5" i="49"/>
  <c r="W5" i="49" s="1"/>
  <c r="F5" i="49"/>
  <c r="N5" i="49" s="1"/>
  <c r="X61" i="49" l="1"/>
  <c r="J6" i="49"/>
  <c r="P16" i="49"/>
  <c r="P18" i="49"/>
  <c r="P19" i="49"/>
  <c r="V28" i="49"/>
  <c r="P33" i="49"/>
  <c r="P36" i="49"/>
  <c r="X44" i="49"/>
  <c r="H61" i="49"/>
  <c r="V61" i="49"/>
  <c r="R65" i="49"/>
  <c r="L5" i="49"/>
  <c r="L6" i="49"/>
  <c r="L13" i="49"/>
  <c r="V13" i="49"/>
  <c r="H15" i="49"/>
  <c r="R15" i="49"/>
  <c r="H16" i="49"/>
  <c r="R16" i="49"/>
  <c r="H17" i="49"/>
  <c r="R17" i="49"/>
  <c r="H18" i="49"/>
  <c r="R18" i="49"/>
  <c r="H19" i="49"/>
  <c r="R19" i="49"/>
  <c r="H20" i="49"/>
  <c r="R20" i="49"/>
  <c r="H21" i="49"/>
  <c r="L21" i="49" s="1"/>
  <c r="V21" i="49"/>
  <c r="H24" i="49"/>
  <c r="H26" i="49"/>
  <c r="V26" i="49"/>
  <c r="H28" i="49"/>
  <c r="P30" i="49"/>
  <c r="H33" i="49"/>
  <c r="R33" i="49"/>
  <c r="H34" i="49"/>
  <c r="R34" i="49"/>
  <c r="H35" i="49"/>
  <c r="R35" i="49"/>
  <c r="H36" i="49"/>
  <c r="R36" i="49"/>
  <c r="H37" i="49"/>
  <c r="V37" i="49"/>
  <c r="J40" i="49"/>
  <c r="J41" i="49"/>
  <c r="J44" i="49"/>
  <c r="V44" i="49"/>
  <c r="T56" i="49"/>
  <c r="P56" i="49"/>
  <c r="P57" i="49"/>
  <c r="P58" i="49"/>
  <c r="P59" i="49"/>
  <c r="L61" i="49"/>
  <c r="H65" i="49"/>
  <c r="X65" i="49"/>
  <c r="N67" i="49"/>
  <c r="L67" i="49"/>
  <c r="V65" i="49"/>
  <c r="P44" i="49"/>
  <c r="P15" i="49"/>
  <c r="P17" i="49"/>
  <c r="P20" i="49"/>
  <c r="T21" i="49"/>
  <c r="V24" i="49"/>
  <c r="P34" i="49"/>
  <c r="P35" i="49"/>
  <c r="J43" i="49"/>
  <c r="H44" i="49"/>
  <c r="X14" i="49"/>
  <c r="X15" i="49"/>
  <c r="X16" i="49"/>
  <c r="X17" i="49"/>
  <c r="X18" i="49"/>
  <c r="X19" i="49"/>
  <c r="X20" i="49"/>
  <c r="J21" i="49"/>
  <c r="P22" i="49"/>
  <c r="N22" i="49"/>
  <c r="L25" i="49"/>
  <c r="L29" i="49"/>
  <c r="H30" i="49"/>
  <c r="X33" i="49"/>
  <c r="X34" i="49"/>
  <c r="X35" i="49"/>
  <c r="X36" i="49"/>
  <c r="J37" i="49"/>
  <c r="H56" i="49"/>
  <c r="R56" i="49"/>
  <c r="H57" i="49"/>
  <c r="H58" i="49"/>
  <c r="H59" i="49"/>
  <c r="P61" i="49"/>
  <c r="H62" i="49"/>
  <c r="T53" i="49"/>
  <c r="T41" i="49"/>
  <c r="W21" i="49"/>
  <c r="X21" i="49" s="1"/>
  <c r="W38" i="49"/>
  <c r="T48" i="49"/>
  <c r="T17" i="49"/>
  <c r="T31" i="49"/>
  <c r="T49" i="49"/>
  <c r="T11" i="49"/>
  <c r="T19" i="49"/>
  <c r="X22" i="49"/>
  <c r="T52" i="49"/>
  <c r="W9" i="49"/>
  <c r="X9" i="49" s="1"/>
  <c r="T44" i="49"/>
  <c r="W66" i="49"/>
  <c r="X66" i="49" s="1"/>
  <c r="W68" i="49"/>
  <c r="X68" i="49" s="1"/>
  <c r="T67" i="49"/>
  <c r="T65" i="49"/>
  <c r="X62" i="49"/>
  <c r="T34" i="49"/>
  <c r="T33" i="49"/>
  <c r="T25" i="49"/>
  <c r="T15" i="49"/>
  <c r="T13" i="49"/>
  <c r="T5" i="49"/>
  <c r="R7" i="49"/>
  <c r="T12" i="49"/>
  <c r="L12" i="49"/>
  <c r="R23" i="49"/>
  <c r="J23" i="49"/>
  <c r="P23" i="49"/>
  <c r="X23" i="49"/>
  <c r="R27" i="49"/>
  <c r="J27" i="49"/>
  <c r="P27" i="49"/>
  <c r="X27" i="49"/>
  <c r="W37" i="49"/>
  <c r="X37" i="49" s="1"/>
  <c r="T37" i="49"/>
  <c r="V42" i="49"/>
  <c r="P42" i="49"/>
  <c r="H42" i="49"/>
  <c r="X42" i="49"/>
  <c r="L42" i="49"/>
  <c r="T42" i="49"/>
  <c r="J42" i="49"/>
  <c r="V60" i="49"/>
  <c r="P60" i="49"/>
  <c r="H60" i="49"/>
  <c r="L60" i="49"/>
  <c r="X60" i="49"/>
  <c r="N60" i="49"/>
  <c r="T60" i="49"/>
  <c r="L64" i="49"/>
  <c r="V64" i="49"/>
  <c r="P64" i="49"/>
  <c r="H64" i="49"/>
  <c r="R64" i="49"/>
  <c r="T64" i="49"/>
  <c r="T6" i="49"/>
  <c r="V8" i="49"/>
  <c r="P8" i="49"/>
  <c r="H8" i="49"/>
  <c r="R8" i="49"/>
  <c r="X8" i="49"/>
  <c r="T10" i="49"/>
  <c r="J11" i="49"/>
  <c r="H12" i="49"/>
  <c r="T22" i="49"/>
  <c r="H23" i="49"/>
  <c r="R24" i="49"/>
  <c r="J24" i="49"/>
  <c r="P24" i="49"/>
  <c r="X24" i="49"/>
  <c r="N25" i="49"/>
  <c r="T26" i="49"/>
  <c r="H27" i="49"/>
  <c r="R28" i="49"/>
  <c r="J28" i="49"/>
  <c r="P28" i="49"/>
  <c r="X28" i="49"/>
  <c r="V39" i="49"/>
  <c r="H39" i="49"/>
  <c r="X39" i="49"/>
  <c r="L39" i="49"/>
  <c r="R39" i="49" s="1"/>
  <c r="N39" i="49"/>
  <c r="T39" i="49"/>
  <c r="N42" i="49"/>
  <c r="T43" i="49"/>
  <c r="H43" i="49"/>
  <c r="L43" i="49" s="1"/>
  <c r="X43" i="49"/>
  <c r="T55" i="49"/>
  <c r="J60" i="49"/>
  <c r="J64" i="49"/>
  <c r="X64" i="49"/>
  <c r="T69" i="49"/>
  <c r="W69" i="49"/>
  <c r="X69" i="49" s="1"/>
  <c r="V7" i="49"/>
  <c r="P7" i="49"/>
  <c r="H7" i="49"/>
  <c r="X7" i="49"/>
  <c r="X11" i="49"/>
  <c r="H11" i="49"/>
  <c r="P12" i="49"/>
  <c r="X12" i="49"/>
  <c r="V5" i="49"/>
  <c r="P5" i="49"/>
  <c r="H5" i="49"/>
  <c r="R5" i="49"/>
  <c r="X5" i="49"/>
  <c r="L7" i="49"/>
  <c r="T7" i="49"/>
  <c r="V9" i="49"/>
  <c r="P9" i="49"/>
  <c r="H9" i="49"/>
  <c r="R9" i="49"/>
  <c r="L11" i="49"/>
  <c r="V11" i="49"/>
  <c r="J12" i="49"/>
  <c r="V12" i="49"/>
  <c r="L23" i="49"/>
  <c r="T23" i="49"/>
  <c r="R25" i="49"/>
  <c r="J25" i="49"/>
  <c r="P25" i="49"/>
  <c r="X25" i="49"/>
  <c r="L27" i="49"/>
  <c r="T27" i="49"/>
  <c r="T29" i="49"/>
  <c r="X29" i="49"/>
  <c r="R29" i="49"/>
  <c r="J29" i="49"/>
  <c r="P29" i="49"/>
  <c r="T30" i="49"/>
  <c r="R42" i="49"/>
  <c r="T45" i="49"/>
  <c r="T51" i="49"/>
  <c r="T57" i="49"/>
  <c r="R60" i="49"/>
  <c r="X63" i="49"/>
  <c r="L63" i="49"/>
  <c r="V63" i="49"/>
  <c r="P63" i="49"/>
  <c r="H63" i="49"/>
  <c r="N63" i="49"/>
  <c r="T63" i="49"/>
  <c r="N64" i="49"/>
  <c r="J5" i="49"/>
  <c r="V6" i="49"/>
  <c r="P6" i="49"/>
  <c r="H6" i="49"/>
  <c r="R6" i="49"/>
  <c r="X6" i="49"/>
  <c r="N7" i="49"/>
  <c r="L8" i="49"/>
  <c r="T8" i="49"/>
  <c r="J9" i="49"/>
  <c r="V10" i="49"/>
  <c r="P10" i="49"/>
  <c r="H10" i="49"/>
  <c r="R10" i="49"/>
  <c r="X10" i="49"/>
  <c r="R11" i="49"/>
  <c r="N12" i="49"/>
  <c r="T14" i="49"/>
  <c r="T16" i="49"/>
  <c r="T18" i="49"/>
  <c r="T20" i="49"/>
  <c r="J22" i="49"/>
  <c r="N23" i="49"/>
  <c r="V23" i="49"/>
  <c r="L24" i="49"/>
  <c r="T24" i="49"/>
  <c r="H25" i="49"/>
  <c r="R26" i="49"/>
  <c r="J26" i="49"/>
  <c r="P26" i="49"/>
  <c r="X26" i="49"/>
  <c r="N27" i="49"/>
  <c r="V27" i="49"/>
  <c r="L28" i="49"/>
  <c r="T28" i="49"/>
  <c r="H29" i="49"/>
  <c r="T35" i="49"/>
  <c r="V40" i="49"/>
  <c r="P40" i="49"/>
  <c r="H40" i="49"/>
  <c r="X40" i="49"/>
  <c r="L40" i="49"/>
  <c r="R40" i="49"/>
  <c r="T40" i="49"/>
  <c r="T47" i="49"/>
  <c r="T59" i="49"/>
  <c r="J63" i="49"/>
  <c r="X67" i="49"/>
  <c r="V67" i="49"/>
  <c r="W70" i="49"/>
  <c r="X70" i="49" s="1"/>
  <c r="N13" i="49"/>
  <c r="N14" i="49"/>
  <c r="R14" i="49" s="1"/>
  <c r="N15" i="49"/>
  <c r="N16" i="49"/>
  <c r="N17" i="49"/>
  <c r="N18" i="49"/>
  <c r="N19" i="49"/>
  <c r="N20" i="49"/>
  <c r="T32" i="49"/>
  <c r="T36" i="49"/>
  <c r="V41" i="49"/>
  <c r="P41" i="49"/>
  <c r="H41" i="49"/>
  <c r="X41" i="49"/>
  <c r="L41" i="49"/>
  <c r="T46" i="49"/>
  <c r="T50" i="49"/>
  <c r="T54" i="49"/>
  <c r="T58" i="49"/>
  <c r="V66" i="49"/>
  <c r="N66" i="49"/>
  <c r="X38" i="49"/>
  <c r="R44" i="49"/>
  <c r="N61" i="49"/>
  <c r="T61" i="49"/>
  <c r="N62" i="49"/>
  <c r="T62" i="49"/>
  <c r="N30" i="49"/>
  <c r="N31" i="49"/>
  <c r="N32" i="49"/>
  <c r="N33" i="49"/>
  <c r="N34" i="49"/>
  <c r="N35" i="49"/>
  <c r="N36" i="49"/>
  <c r="J38" i="49"/>
  <c r="N44" i="49"/>
  <c r="N45" i="49"/>
  <c r="N46" i="49"/>
  <c r="N47" i="49"/>
  <c r="N48" i="49"/>
  <c r="N49" i="49"/>
  <c r="N50" i="49"/>
  <c r="N51" i="49"/>
  <c r="N52" i="49"/>
  <c r="N53" i="49"/>
  <c r="N54" i="49"/>
  <c r="N55" i="49"/>
  <c r="N56" i="49"/>
  <c r="N57" i="49"/>
  <c r="N58" i="49"/>
  <c r="N59" i="49"/>
  <c r="J61" i="49"/>
  <c r="J62" i="49"/>
  <c r="R62" i="49"/>
  <c r="P65" i="49"/>
  <c r="S32" i="48"/>
  <c r="T70" i="48" l="1"/>
  <c r="T68" i="48"/>
  <c r="W68" i="48"/>
  <c r="X68" i="48" s="1"/>
  <c r="S70" i="48"/>
  <c r="W70" i="48" s="1"/>
  <c r="X70" i="48" s="1"/>
  <c r="S69" i="48"/>
  <c r="T69" i="48" s="1"/>
  <c r="S68" i="48"/>
  <c r="S67" i="48"/>
  <c r="W67" i="48" s="1"/>
  <c r="S66" i="48"/>
  <c r="W69" i="48" l="1"/>
  <c r="X69" i="48" s="1"/>
  <c r="W66" i="48"/>
  <c r="V67" i="48"/>
  <c r="F67" i="48"/>
  <c r="F66" i="48"/>
  <c r="F65" i="48"/>
  <c r="P66" i="48" l="1"/>
  <c r="N66" i="48"/>
  <c r="V65" i="48"/>
  <c r="X66" i="48"/>
  <c r="T67" i="48"/>
  <c r="X67" i="48"/>
  <c r="H65" i="48"/>
  <c r="V66" i="48"/>
  <c r="T66" i="48"/>
  <c r="S65" i="48"/>
  <c r="W65" i="48" s="1"/>
  <c r="X65" i="48" s="1"/>
  <c r="R65" i="48"/>
  <c r="P65" i="48"/>
  <c r="N65" i="48"/>
  <c r="J65" i="48"/>
  <c r="S64" i="48"/>
  <c r="P64" i="48"/>
  <c r="F64" i="48"/>
  <c r="X64" i="48" s="1"/>
  <c r="S63" i="48"/>
  <c r="N63" i="48"/>
  <c r="F63" i="48"/>
  <c r="X62" i="48"/>
  <c r="S62" i="48"/>
  <c r="T62" i="48" s="1"/>
  <c r="R62" i="48"/>
  <c r="L62" i="48"/>
  <c r="J62" i="48"/>
  <c r="H62" i="48"/>
  <c r="F62" i="48"/>
  <c r="V62" i="48" s="1"/>
  <c r="S61" i="48"/>
  <c r="W61" i="48" s="1"/>
  <c r="F61" i="48"/>
  <c r="T61" i="48" s="1"/>
  <c r="S60" i="48"/>
  <c r="L60" i="48"/>
  <c r="J60" i="48"/>
  <c r="F60" i="48"/>
  <c r="X60" i="48" s="1"/>
  <c r="S59" i="48"/>
  <c r="T59" i="48" s="1"/>
  <c r="F59" i="48"/>
  <c r="P59" i="48" s="1"/>
  <c r="S58" i="48"/>
  <c r="W58" i="48" s="1"/>
  <c r="F58" i="48"/>
  <c r="T58" i="48" s="1"/>
  <c r="S57" i="48"/>
  <c r="W57" i="48" s="1"/>
  <c r="F57" i="48"/>
  <c r="L57" i="48" s="1"/>
  <c r="S56" i="48"/>
  <c r="W56" i="48" s="1"/>
  <c r="L56" i="48"/>
  <c r="F56" i="48"/>
  <c r="V55" i="48"/>
  <c r="S55" i="48"/>
  <c r="F55" i="48"/>
  <c r="H55" i="48" s="1"/>
  <c r="L55" i="48" s="1"/>
  <c r="S54" i="48"/>
  <c r="W54" i="48" s="1"/>
  <c r="F54" i="48"/>
  <c r="S53" i="48"/>
  <c r="W53" i="48" s="1"/>
  <c r="F53" i="48"/>
  <c r="S52" i="48"/>
  <c r="W52" i="48" s="1"/>
  <c r="F52" i="48"/>
  <c r="S51" i="48"/>
  <c r="W51" i="48" s="1"/>
  <c r="F51" i="48"/>
  <c r="H51" i="48" s="1"/>
  <c r="S50" i="48"/>
  <c r="T50" i="48" s="1"/>
  <c r="F50" i="48"/>
  <c r="S49" i="48"/>
  <c r="F49" i="48"/>
  <c r="H49" i="48" s="1"/>
  <c r="S48" i="48"/>
  <c r="W48" i="48" s="1"/>
  <c r="F48" i="48"/>
  <c r="H48" i="48" s="1"/>
  <c r="S47" i="48"/>
  <c r="W47" i="48" s="1"/>
  <c r="H47" i="48"/>
  <c r="F47" i="48"/>
  <c r="S46" i="48"/>
  <c r="W46" i="48" s="1"/>
  <c r="F46" i="48"/>
  <c r="S45" i="48"/>
  <c r="W45" i="48" s="1"/>
  <c r="F45" i="48"/>
  <c r="S44" i="48"/>
  <c r="W44" i="48" s="1"/>
  <c r="F44" i="48"/>
  <c r="S43" i="48"/>
  <c r="W43" i="48" s="1"/>
  <c r="F43" i="48"/>
  <c r="J43" i="48" s="1"/>
  <c r="S42" i="48"/>
  <c r="W42" i="48" s="1"/>
  <c r="P42" i="48"/>
  <c r="F42" i="48"/>
  <c r="V42" i="48" s="1"/>
  <c r="V41" i="48"/>
  <c r="S41" i="48"/>
  <c r="W41" i="48" s="1"/>
  <c r="P41" i="48"/>
  <c r="J41" i="48"/>
  <c r="H41" i="48"/>
  <c r="F41" i="48"/>
  <c r="R41" i="48" s="1"/>
  <c r="V40" i="48"/>
  <c r="S40" i="48"/>
  <c r="W40" i="48" s="1"/>
  <c r="J40" i="48"/>
  <c r="H40" i="48"/>
  <c r="F40" i="48"/>
  <c r="R40" i="48" s="1"/>
  <c r="S39" i="48"/>
  <c r="W39" i="48" s="1"/>
  <c r="J39" i="48"/>
  <c r="P39" i="48" s="1"/>
  <c r="F39" i="48"/>
  <c r="H39" i="48" s="1"/>
  <c r="V38" i="48"/>
  <c r="S38" i="48"/>
  <c r="W38" i="48" s="1"/>
  <c r="F38" i="48"/>
  <c r="J38" i="48" s="1"/>
  <c r="S37" i="48"/>
  <c r="W37" i="48" s="1"/>
  <c r="X37" i="48" s="1"/>
  <c r="R37" i="48"/>
  <c r="F37" i="48"/>
  <c r="H37" i="48" s="1"/>
  <c r="S36" i="48"/>
  <c r="W36" i="48" s="1"/>
  <c r="F36" i="48"/>
  <c r="S35" i="48"/>
  <c r="W35" i="48" s="1"/>
  <c r="F35" i="48"/>
  <c r="S34" i="48"/>
  <c r="W34" i="48" s="1"/>
  <c r="F34" i="48"/>
  <c r="P34" i="48" s="1"/>
  <c r="V33" i="48"/>
  <c r="S33" i="48"/>
  <c r="W33" i="48" s="1"/>
  <c r="N33" i="48"/>
  <c r="H33" i="48"/>
  <c r="F33" i="48"/>
  <c r="P33" i="48" s="1"/>
  <c r="W32" i="48"/>
  <c r="F32" i="48"/>
  <c r="H32" i="48" s="1"/>
  <c r="S31" i="48"/>
  <c r="W31" i="48" s="1"/>
  <c r="F31" i="48"/>
  <c r="S30" i="48"/>
  <c r="W30" i="48" s="1"/>
  <c r="F30" i="48"/>
  <c r="S29" i="48"/>
  <c r="W29" i="48" s="1"/>
  <c r="X29" i="48" s="1"/>
  <c r="F29" i="48"/>
  <c r="P29" i="48" s="1"/>
  <c r="V28" i="48"/>
  <c r="S28" i="48"/>
  <c r="W28" i="48" s="1"/>
  <c r="L28" i="48"/>
  <c r="H28" i="48"/>
  <c r="F28" i="48"/>
  <c r="N28" i="48" s="1"/>
  <c r="S27" i="48"/>
  <c r="W27" i="48" s="1"/>
  <c r="N27" i="48"/>
  <c r="L27" i="48"/>
  <c r="F27" i="48"/>
  <c r="V27" i="48" s="1"/>
  <c r="V26" i="48"/>
  <c r="S26" i="48"/>
  <c r="W26" i="48" s="1"/>
  <c r="F26" i="48"/>
  <c r="H26" i="48" s="1"/>
  <c r="S25" i="48"/>
  <c r="W25" i="48" s="1"/>
  <c r="F25" i="48"/>
  <c r="T25" i="48" s="1"/>
  <c r="S24" i="48"/>
  <c r="W24" i="48" s="1"/>
  <c r="N24" i="48"/>
  <c r="L24" i="48"/>
  <c r="F24" i="48"/>
  <c r="V24" i="48" s="1"/>
  <c r="S23" i="48"/>
  <c r="W23" i="48" s="1"/>
  <c r="F23" i="48"/>
  <c r="N23" i="48" s="1"/>
  <c r="S22" i="48"/>
  <c r="W22" i="48" s="1"/>
  <c r="F22" i="48"/>
  <c r="V22" i="48" s="1"/>
  <c r="S21" i="48"/>
  <c r="W21" i="48" s="1"/>
  <c r="J21" i="48"/>
  <c r="H21" i="48"/>
  <c r="L21" i="48" s="1"/>
  <c r="F21" i="48"/>
  <c r="V21" i="48" s="1"/>
  <c r="S20" i="48"/>
  <c r="W20" i="48" s="1"/>
  <c r="X20" i="48" s="1"/>
  <c r="R20" i="48"/>
  <c r="J20" i="48"/>
  <c r="H20" i="48"/>
  <c r="F20" i="48"/>
  <c r="P20" i="48" s="1"/>
  <c r="S19" i="48"/>
  <c r="W19" i="48" s="1"/>
  <c r="X19" i="48" s="1"/>
  <c r="R19" i="48"/>
  <c r="J19" i="48"/>
  <c r="H19" i="48"/>
  <c r="F19" i="48"/>
  <c r="P19" i="48" s="1"/>
  <c r="S18" i="48"/>
  <c r="W18" i="48" s="1"/>
  <c r="X18" i="48" s="1"/>
  <c r="R18" i="48"/>
  <c r="J18" i="48"/>
  <c r="H18" i="48"/>
  <c r="F18" i="48"/>
  <c r="P18" i="48" s="1"/>
  <c r="S17" i="48"/>
  <c r="W17" i="48" s="1"/>
  <c r="X17" i="48" s="1"/>
  <c r="R17" i="48"/>
  <c r="J17" i="48"/>
  <c r="H17" i="48"/>
  <c r="F17" i="48"/>
  <c r="P17" i="48" s="1"/>
  <c r="S16" i="48"/>
  <c r="W16" i="48" s="1"/>
  <c r="X16" i="48" s="1"/>
  <c r="R16" i="48"/>
  <c r="J16" i="48"/>
  <c r="H16" i="48"/>
  <c r="F16" i="48"/>
  <c r="P16" i="48" s="1"/>
  <c r="S15" i="48"/>
  <c r="W15" i="48" s="1"/>
  <c r="X15" i="48" s="1"/>
  <c r="R15" i="48"/>
  <c r="J15" i="48"/>
  <c r="H15" i="48"/>
  <c r="F15" i="48"/>
  <c r="P15" i="48" s="1"/>
  <c r="S14" i="48"/>
  <c r="W14" i="48" s="1"/>
  <c r="X14" i="48" s="1"/>
  <c r="L14" i="48"/>
  <c r="P14" i="48" s="1"/>
  <c r="F14" i="48"/>
  <c r="N14" i="48" s="1"/>
  <c r="V13" i="48"/>
  <c r="S13" i="48"/>
  <c r="W13" i="48" s="1"/>
  <c r="L13" i="48"/>
  <c r="F13" i="48"/>
  <c r="J13" i="48" s="1"/>
  <c r="S12" i="48"/>
  <c r="W12" i="48" s="1"/>
  <c r="F12" i="48"/>
  <c r="N12" i="48" s="1"/>
  <c r="S11" i="48"/>
  <c r="W11" i="48" s="1"/>
  <c r="R11" i="48"/>
  <c r="L11" i="48"/>
  <c r="F11" i="48"/>
  <c r="V11" i="48" s="1"/>
  <c r="S10" i="48"/>
  <c r="W10" i="48" s="1"/>
  <c r="N10" i="48"/>
  <c r="F10" i="48"/>
  <c r="R10" i="48" s="1"/>
  <c r="S9" i="48"/>
  <c r="W9" i="48" s="1"/>
  <c r="F9" i="48"/>
  <c r="S8" i="48"/>
  <c r="T8" i="48" s="1"/>
  <c r="F8" i="48"/>
  <c r="N8" i="48" s="1"/>
  <c r="S7" i="48"/>
  <c r="W7" i="48" s="1"/>
  <c r="F7" i="48"/>
  <c r="N7" i="48" s="1"/>
  <c r="S6" i="48"/>
  <c r="W6" i="48" s="1"/>
  <c r="L6" i="48"/>
  <c r="F6" i="48"/>
  <c r="V6" i="48" s="1"/>
  <c r="V5" i="48"/>
  <c r="S5" i="48"/>
  <c r="W5" i="48" s="1"/>
  <c r="L5" i="48"/>
  <c r="F5" i="48"/>
  <c r="J5" i="48" s="1"/>
  <c r="V12" i="48" l="1"/>
  <c r="V43" i="48"/>
  <c r="X57" i="48"/>
  <c r="L7" i="48"/>
  <c r="J12" i="48"/>
  <c r="H22" i="48"/>
  <c r="L22" i="48" s="1"/>
  <c r="V23" i="48"/>
  <c r="V34" i="48"/>
  <c r="H43" i="48"/>
  <c r="L43" i="48" s="1"/>
  <c r="T49" i="48"/>
  <c r="V56" i="48"/>
  <c r="T56" i="48"/>
  <c r="P56" i="48"/>
  <c r="H59" i="48"/>
  <c r="V59" i="48"/>
  <c r="H61" i="48"/>
  <c r="V61" i="48"/>
  <c r="T64" i="48"/>
  <c r="H5" i="48"/>
  <c r="R5" i="48"/>
  <c r="H6" i="48"/>
  <c r="R6" i="48"/>
  <c r="L8" i="48"/>
  <c r="H13" i="48"/>
  <c r="R13" i="48"/>
  <c r="H14" i="48"/>
  <c r="V14" i="48"/>
  <c r="L15" i="48"/>
  <c r="V15" i="48"/>
  <c r="L16" i="48"/>
  <c r="V16" i="48"/>
  <c r="L17" i="48"/>
  <c r="V17" i="48"/>
  <c r="L18" i="48"/>
  <c r="V18" i="48"/>
  <c r="L19" i="48"/>
  <c r="V19" i="48"/>
  <c r="L20" i="48"/>
  <c r="V20" i="48"/>
  <c r="J22" i="48"/>
  <c r="L23" i="48"/>
  <c r="L29" i="48"/>
  <c r="N34" i="48"/>
  <c r="V39" i="48"/>
  <c r="P40" i="48"/>
  <c r="H42" i="48"/>
  <c r="H56" i="48"/>
  <c r="R56" i="48"/>
  <c r="N58" i="48"/>
  <c r="N59" i="48"/>
  <c r="X59" i="48"/>
  <c r="R60" i="48"/>
  <c r="N61" i="48"/>
  <c r="P62" i="48"/>
  <c r="H64" i="48"/>
  <c r="V64" i="48"/>
  <c r="P57" i="48"/>
  <c r="T57" i="48"/>
  <c r="P5" i="48"/>
  <c r="P6" i="48"/>
  <c r="J8" i="48"/>
  <c r="P13" i="48"/>
  <c r="R42" i="48"/>
  <c r="J57" i="48"/>
  <c r="X5" i="48"/>
  <c r="J6" i="48"/>
  <c r="X6" i="48"/>
  <c r="X13" i="48"/>
  <c r="J14" i="48"/>
  <c r="R14" i="48" s="1"/>
  <c r="X22" i="48"/>
  <c r="H24" i="48"/>
  <c r="N26" i="48"/>
  <c r="J42" i="48"/>
  <c r="J56" i="48"/>
  <c r="X56" i="48"/>
  <c r="R57" i="48"/>
  <c r="T60" i="48"/>
  <c r="P61" i="48"/>
  <c r="N64" i="48"/>
  <c r="T65" i="48"/>
  <c r="W55" i="48"/>
  <c r="T55" i="48"/>
  <c r="W63" i="48"/>
  <c r="T63" i="48"/>
  <c r="W50" i="48"/>
  <c r="X50" i="48" s="1"/>
  <c r="W49" i="48"/>
  <c r="T5" i="48"/>
  <c r="T14" i="48"/>
  <c r="T40" i="48"/>
  <c r="T21" i="48"/>
  <c r="T41" i="48"/>
  <c r="T47" i="48"/>
  <c r="T51" i="48"/>
  <c r="T27" i="48"/>
  <c r="T32" i="48"/>
  <c r="T43" i="48"/>
  <c r="T28" i="48"/>
  <c r="T22" i="48"/>
  <c r="T38" i="48"/>
  <c r="T42" i="48"/>
  <c r="T54" i="48"/>
  <c r="T53" i="48"/>
  <c r="T46" i="48"/>
  <c r="T45" i="48"/>
  <c r="T39" i="48"/>
  <c r="T33" i="48"/>
  <c r="T23" i="48"/>
  <c r="T20" i="48"/>
  <c r="T18" i="48"/>
  <c r="T16" i="48"/>
  <c r="T7" i="48"/>
  <c r="X9" i="48"/>
  <c r="P25" i="48"/>
  <c r="P26" i="48"/>
  <c r="X30" i="48"/>
  <c r="R30" i="48"/>
  <c r="J30" i="48"/>
  <c r="T30" i="48"/>
  <c r="L30" i="48"/>
  <c r="H30" i="48"/>
  <c r="V30" i="48"/>
  <c r="X35" i="48"/>
  <c r="L35" i="48"/>
  <c r="R35" i="48"/>
  <c r="J35" i="48"/>
  <c r="V35" i="48"/>
  <c r="N35" i="48"/>
  <c r="T35" i="48"/>
  <c r="H35" i="48"/>
  <c r="X45" i="48"/>
  <c r="L45" i="48"/>
  <c r="R45" i="48"/>
  <c r="J45" i="48"/>
  <c r="P45" i="48"/>
  <c r="V45" i="48"/>
  <c r="N45" i="48"/>
  <c r="X53" i="48"/>
  <c r="L53" i="48"/>
  <c r="R53" i="48"/>
  <c r="J53" i="48"/>
  <c r="P53" i="48"/>
  <c r="V53" i="48"/>
  <c r="N53" i="48"/>
  <c r="W8" i="48"/>
  <c r="X8" i="48" s="1"/>
  <c r="R23" i="48"/>
  <c r="J23" i="48"/>
  <c r="P23" i="48"/>
  <c r="X23" i="48"/>
  <c r="L25" i="48"/>
  <c r="R27" i="48"/>
  <c r="J27" i="48"/>
  <c r="P27" i="48"/>
  <c r="X27" i="48"/>
  <c r="R29" i="48"/>
  <c r="J29" i="48"/>
  <c r="V29" i="48"/>
  <c r="N29" i="48"/>
  <c r="N30" i="48"/>
  <c r="X31" i="48"/>
  <c r="L31" i="48"/>
  <c r="R31" i="48"/>
  <c r="J31" i="48"/>
  <c r="V31" i="48"/>
  <c r="N31" i="48"/>
  <c r="T31" i="48"/>
  <c r="H31" i="48"/>
  <c r="P35" i="48"/>
  <c r="X44" i="48"/>
  <c r="L44" i="48"/>
  <c r="R44" i="48"/>
  <c r="J44" i="48"/>
  <c r="V44" i="48"/>
  <c r="N44" i="48"/>
  <c r="T44" i="48"/>
  <c r="H44" i="48"/>
  <c r="H45" i="48"/>
  <c r="X46" i="48"/>
  <c r="L46" i="48"/>
  <c r="R46" i="48"/>
  <c r="J46" i="48"/>
  <c r="P46" i="48"/>
  <c r="V46" i="48"/>
  <c r="N46" i="48"/>
  <c r="L50" i="48"/>
  <c r="R50" i="48"/>
  <c r="J50" i="48"/>
  <c r="P50" i="48"/>
  <c r="V50" i="48"/>
  <c r="N50" i="48"/>
  <c r="H53" i="48"/>
  <c r="X54" i="48"/>
  <c r="L54" i="48"/>
  <c r="R54" i="48"/>
  <c r="J54" i="48"/>
  <c r="P54" i="48"/>
  <c r="V54" i="48"/>
  <c r="N54" i="48"/>
  <c r="V9" i="48"/>
  <c r="P9" i="48"/>
  <c r="H9" i="48"/>
  <c r="R9" i="48"/>
  <c r="R25" i="48"/>
  <c r="J25" i="48"/>
  <c r="X25" i="48"/>
  <c r="X36" i="48"/>
  <c r="L36" i="48"/>
  <c r="R36" i="48"/>
  <c r="J36" i="48"/>
  <c r="P36" i="48"/>
  <c r="V36" i="48"/>
  <c r="N36" i="48"/>
  <c r="X48" i="48"/>
  <c r="L48" i="48"/>
  <c r="R48" i="48"/>
  <c r="J48" i="48"/>
  <c r="P48" i="48"/>
  <c r="V48" i="48"/>
  <c r="N48" i="48"/>
  <c r="X52" i="48"/>
  <c r="L52" i="48"/>
  <c r="R52" i="48"/>
  <c r="J52" i="48"/>
  <c r="P52" i="48"/>
  <c r="V52" i="48"/>
  <c r="N52" i="48"/>
  <c r="J9" i="48"/>
  <c r="V10" i="48"/>
  <c r="P10" i="48"/>
  <c r="H10" i="48"/>
  <c r="X10" i="48"/>
  <c r="T24" i="48"/>
  <c r="H25" i="48"/>
  <c r="R26" i="48"/>
  <c r="J26" i="48"/>
  <c r="X26" i="48"/>
  <c r="X32" i="48"/>
  <c r="L32" i="48"/>
  <c r="R32" i="48"/>
  <c r="J32" i="48"/>
  <c r="P32" i="48"/>
  <c r="V32" i="48"/>
  <c r="N32" i="48"/>
  <c r="H36" i="48"/>
  <c r="X49" i="48"/>
  <c r="L49" i="48"/>
  <c r="R49" i="48"/>
  <c r="J49" i="48"/>
  <c r="P49" i="48"/>
  <c r="V49" i="48"/>
  <c r="N49" i="48"/>
  <c r="H52" i="48"/>
  <c r="V7" i="48"/>
  <c r="P7" i="48"/>
  <c r="H7" i="48"/>
  <c r="R7" i="48"/>
  <c r="X7" i="48"/>
  <c r="L9" i="48"/>
  <c r="T9" i="48"/>
  <c r="J10" i="48"/>
  <c r="X11" i="48"/>
  <c r="H11" i="48"/>
  <c r="T12" i="48"/>
  <c r="L12" i="48"/>
  <c r="P12" i="48"/>
  <c r="X12" i="48"/>
  <c r="N5" i="48"/>
  <c r="N6" i="48"/>
  <c r="T6" i="48"/>
  <c r="J7" i="48"/>
  <c r="V8" i="48"/>
  <c r="P8" i="48"/>
  <c r="H8" i="48"/>
  <c r="R8" i="48"/>
  <c r="N9" i="48"/>
  <c r="L10" i="48"/>
  <c r="T10" i="48"/>
  <c r="J11" i="48"/>
  <c r="T11" i="48"/>
  <c r="H12" i="48"/>
  <c r="T13" i="48"/>
  <c r="T15" i="48"/>
  <c r="T17" i="48"/>
  <c r="T19" i="48"/>
  <c r="X21" i="48"/>
  <c r="H23" i="48"/>
  <c r="R24" i="48"/>
  <c r="J24" i="48"/>
  <c r="P24" i="48"/>
  <c r="X24" i="48"/>
  <c r="N25" i="48"/>
  <c r="V25" i="48"/>
  <c r="L26" i="48"/>
  <c r="T26" i="48"/>
  <c r="H27" i="48"/>
  <c r="H29" i="48"/>
  <c r="T29" i="48"/>
  <c r="P30" i="48"/>
  <c r="P31" i="48"/>
  <c r="T36" i="48"/>
  <c r="P44" i="48"/>
  <c r="H46" i="48"/>
  <c r="X47" i="48"/>
  <c r="L47" i="48"/>
  <c r="R47" i="48"/>
  <c r="J47" i="48"/>
  <c r="P47" i="48"/>
  <c r="V47" i="48"/>
  <c r="N47" i="48"/>
  <c r="T48" i="48"/>
  <c r="H50" i="48"/>
  <c r="X51" i="48"/>
  <c r="L51" i="48"/>
  <c r="R51" i="48"/>
  <c r="J51" i="48"/>
  <c r="P51" i="48"/>
  <c r="V51" i="48"/>
  <c r="N51" i="48"/>
  <c r="T52" i="48"/>
  <c r="H54" i="48"/>
  <c r="X55" i="48"/>
  <c r="R55" i="48"/>
  <c r="J55" i="48"/>
  <c r="P55" i="48"/>
  <c r="N55" i="48"/>
  <c r="X34" i="48"/>
  <c r="L34" i="48"/>
  <c r="R34" i="48"/>
  <c r="J34" i="48"/>
  <c r="X58" i="48"/>
  <c r="R58" i="48"/>
  <c r="J58" i="48"/>
  <c r="P58" i="48"/>
  <c r="H58" i="48"/>
  <c r="V58" i="48"/>
  <c r="X63" i="48"/>
  <c r="R63" i="48"/>
  <c r="J63" i="48"/>
  <c r="P63" i="48"/>
  <c r="H63" i="48"/>
  <c r="V63" i="48"/>
  <c r="N13" i="48"/>
  <c r="N15" i="48"/>
  <c r="N16" i="48"/>
  <c r="N17" i="48"/>
  <c r="N18" i="48"/>
  <c r="N19" i="48"/>
  <c r="N20" i="48"/>
  <c r="R28" i="48"/>
  <c r="J28" i="48"/>
  <c r="P28" i="48"/>
  <c r="X28" i="48"/>
  <c r="X33" i="48"/>
  <c r="L33" i="48"/>
  <c r="R33" i="48"/>
  <c r="J33" i="48"/>
  <c r="H34" i="48"/>
  <c r="T34" i="48"/>
  <c r="V37" i="48"/>
  <c r="L37" i="48"/>
  <c r="T37" i="48"/>
  <c r="J37" i="48"/>
  <c r="X43" i="48"/>
  <c r="L58" i="48"/>
  <c r="L59" i="48"/>
  <c r="R59" i="48"/>
  <c r="J59" i="48"/>
  <c r="L61" i="48"/>
  <c r="X61" i="48"/>
  <c r="R61" i="48"/>
  <c r="J61" i="48"/>
  <c r="L63" i="48"/>
  <c r="L64" i="48"/>
  <c r="R64" i="48"/>
  <c r="J64" i="48"/>
  <c r="X38" i="48"/>
  <c r="L39" i="48"/>
  <c r="R39" i="48" s="1"/>
  <c r="X39" i="48"/>
  <c r="L40" i="48"/>
  <c r="X40" i="48"/>
  <c r="L41" i="48"/>
  <c r="X41" i="48"/>
  <c r="L42" i="48"/>
  <c r="X42" i="48"/>
  <c r="N57" i="48"/>
  <c r="V57" i="48"/>
  <c r="N60" i="48"/>
  <c r="V60" i="48"/>
  <c r="H38" i="48"/>
  <c r="L38" i="48" s="1"/>
  <c r="N39" i="48"/>
  <c r="N40" i="48"/>
  <c r="N41" i="48"/>
  <c r="N42" i="48"/>
  <c r="N56" i="48"/>
  <c r="H57" i="48"/>
  <c r="H60" i="48"/>
  <c r="P60" i="48"/>
  <c r="N62" i="48"/>
  <c r="S65" i="47" l="1"/>
  <c r="W65" i="47" s="1"/>
  <c r="S64" i="47"/>
  <c r="S63" i="47"/>
  <c r="W63" i="47" s="1"/>
  <c r="S62" i="47"/>
  <c r="S61" i="47"/>
  <c r="W61" i="47" s="1"/>
  <c r="S60" i="47"/>
  <c r="S59" i="47"/>
  <c r="S58" i="47"/>
  <c r="W58" i="47" s="1"/>
  <c r="S57" i="47"/>
  <c r="W57" i="47" s="1"/>
  <c r="S56" i="47"/>
  <c r="S55" i="47"/>
  <c r="W55" i="47" s="1"/>
  <c r="X55" i="47" s="1"/>
  <c r="R65" i="47"/>
  <c r="P65" i="47"/>
  <c r="N65" i="47"/>
  <c r="L65" i="47"/>
  <c r="J65" i="47"/>
  <c r="F64" i="47"/>
  <c r="V64" i="47" s="1"/>
  <c r="F63" i="47"/>
  <c r="N63" i="47" s="1"/>
  <c r="L62" i="47"/>
  <c r="F62" i="47"/>
  <c r="X62" i="47" s="1"/>
  <c r="P61" i="47"/>
  <c r="N61" i="47"/>
  <c r="F61" i="47"/>
  <c r="P60" i="47"/>
  <c r="F60" i="47"/>
  <c r="X60" i="47" s="1"/>
  <c r="V59" i="47"/>
  <c r="L59" i="47"/>
  <c r="J59" i="47"/>
  <c r="H59" i="47"/>
  <c r="F59" i="47"/>
  <c r="X59" i="47" s="1"/>
  <c r="F58" i="47"/>
  <c r="F57" i="47"/>
  <c r="N57" i="47" s="1"/>
  <c r="W56" i="47"/>
  <c r="F56" i="47"/>
  <c r="X56" i="47" s="1"/>
  <c r="V55" i="47"/>
  <c r="J55" i="47"/>
  <c r="F55" i="47"/>
  <c r="N55" i="47" s="1"/>
  <c r="V54" i="47"/>
  <c r="S54" i="47"/>
  <c r="W54" i="47" s="1"/>
  <c r="X54" i="47" s="1"/>
  <c r="J54" i="47"/>
  <c r="H54" i="47"/>
  <c r="F54" i="47"/>
  <c r="L54" i="47" s="1"/>
  <c r="S53" i="47"/>
  <c r="W53" i="47" s="1"/>
  <c r="F53" i="47"/>
  <c r="V53" i="47" s="1"/>
  <c r="S52" i="47"/>
  <c r="W52" i="47" s="1"/>
  <c r="F52" i="47"/>
  <c r="V52" i="47" s="1"/>
  <c r="S51" i="47"/>
  <c r="W51" i="47" s="1"/>
  <c r="F51" i="47"/>
  <c r="V51" i="47" s="1"/>
  <c r="S50" i="47"/>
  <c r="W50" i="47" s="1"/>
  <c r="F50" i="47"/>
  <c r="V50" i="47" s="1"/>
  <c r="S49" i="47"/>
  <c r="W49" i="47" s="1"/>
  <c r="F49" i="47"/>
  <c r="V49" i="47" s="1"/>
  <c r="S48" i="47"/>
  <c r="W48" i="47" s="1"/>
  <c r="F48" i="47"/>
  <c r="V48" i="47" s="1"/>
  <c r="S47" i="47"/>
  <c r="W47" i="47" s="1"/>
  <c r="F47" i="47"/>
  <c r="V47" i="47" s="1"/>
  <c r="S46" i="47"/>
  <c r="W46" i="47" s="1"/>
  <c r="F46" i="47"/>
  <c r="V46" i="47" s="1"/>
  <c r="S45" i="47"/>
  <c r="W45" i="47" s="1"/>
  <c r="F45" i="47"/>
  <c r="V45" i="47" s="1"/>
  <c r="S44" i="47"/>
  <c r="W44" i="47" s="1"/>
  <c r="F44" i="47"/>
  <c r="V44" i="47" s="1"/>
  <c r="S43" i="47"/>
  <c r="W43" i="47" s="1"/>
  <c r="F43" i="47"/>
  <c r="S42" i="47"/>
  <c r="W42" i="47" s="1"/>
  <c r="X42" i="47" s="1"/>
  <c r="N42" i="47"/>
  <c r="F42" i="47"/>
  <c r="L42" i="47" s="1"/>
  <c r="S41" i="47"/>
  <c r="W41" i="47" s="1"/>
  <c r="F41" i="47"/>
  <c r="S40" i="47"/>
  <c r="N40" i="47"/>
  <c r="L40" i="47"/>
  <c r="J40" i="47"/>
  <c r="F40" i="47"/>
  <c r="S39" i="47"/>
  <c r="W39" i="47" s="1"/>
  <c r="F39" i="47"/>
  <c r="N39" i="47" s="1"/>
  <c r="S38" i="47"/>
  <c r="W38" i="47" s="1"/>
  <c r="F38" i="47"/>
  <c r="H38" i="47" s="1"/>
  <c r="L38" i="47" s="1"/>
  <c r="S37" i="47"/>
  <c r="W37" i="47" s="1"/>
  <c r="F37" i="47"/>
  <c r="R37" i="47" s="1"/>
  <c r="S36" i="47"/>
  <c r="W36" i="47" s="1"/>
  <c r="N36" i="47"/>
  <c r="J36" i="47"/>
  <c r="F36" i="47"/>
  <c r="V36" i="47" s="1"/>
  <c r="S35" i="47"/>
  <c r="W35" i="47" s="1"/>
  <c r="F35" i="47"/>
  <c r="S34" i="47"/>
  <c r="W34" i="47" s="1"/>
  <c r="F34" i="47"/>
  <c r="N34" i="47" s="1"/>
  <c r="V33" i="47"/>
  <c r="S33" i="47"/>
  <c r="W33" i="47" s="1"/>
  <c r="F33" i="47"/>
  <c r="S32" i="47"/>
  <c r="W32" i="47" s="1"/>
  <c r="N32" i="47"/>
  <c r="F32" i="47"/>
  <c r="J32" i="47" s="1"/>
  <c r="V31" i="47"/>
  <c r="S31" i="47"/>
  <c r="W31" i="47" s="1"/>
  <c r="F31" i="47"/>
  <c r="P31" i="47" s="1"/>
  <c r="S30" i="47"/>
  <c r="T30" i="47" s="1"/>
  <c r="N30" i="47"/>
  <c r="F30" i="47"/>
  <c r="J30" i="47" s="1"/>
  <c r="S29" i="47"/>
  <c r="W29" i="47" s="1"/>
  <c r="P29" i="47"/>
  <c r="F29" i="47"/>
  <c r="V29" i="47" s="1"/>
  <c r="S28" i="47"/>
  <c r="W28" i="47" s="1"/>
  <c r="N28" i="47"/>
  <c r="J28" i="47"/>
  <c r="F28" i="47"/>
  <c r="S27" i="47"/>
  <c r="W27" i="47" s="1"/>
  <c r="F27" i="47"/>
  <c r="S26" i="47"/>
  <c r="T26" i="47" s="1"/>
  <c r="F26" i="47"/>
  <c r="N26" i="47" s="1"/>
  <c r="V25" i="47"/>
  <c r="S25" i="47"/>
  <c r="W25" i="47" s="1"/>
  <c r="F25" i="47"/>
  <c r="S24" i="47"/>
  <c r="W24" i="47" s="1"/>
  <c r="N24" i="47"/>
  <c r="F24" i="47"/>
  <c r="J24" i="47" s="1"/>
  <c r="V23" i="47"/>
  <c r="S23" i="47"/>
  <c r="W23" i="47" s="1"/>
  <c r="L23" i="47"/>
  <c r="J23" i="47"/>
  <c r="F23" i="47"/>
  <c r="R23" i="47" s="1"/>
  <c r="V22" i="47"/>
  <c r="S22" i="47"/>
  <c r="W22" i="47" s="1"/>
  <c r="F22" i="47"/>
  <c r="J22" i="47" s="1"/>
  <c r="S21" i="47"/>
  <c r="W21" i="47" s="1"/>
  <c r="F21" i="47"/>
  <c r="V21" i="47" s="1"/>
  <c r="S20" i="47"/>
  <c r="W20" i="47" s="1"/>
  <c r="F20" i="47"/>
  <c r="R20" i="47" s="1"/>
  <c r="S19" i="47"/>
  <c r="W19" i="47" s="1"/>
  <c r="X19" i="47" s="1"/>
  <c r="F19" i="47"/>
  <c r="R19" i="47" s="1"/>
  <c r="S18" i="47"/>
  <c r="W18" i="47" s="1"/>
  <c r="X18" i="47" s="1"/>
  <c r="L18" i="47"/>
  <c r="F18" i="47"/>
  <c r="R18" i="47" s="1"/>
  <c r="S17" i="47"/>
  <c r="W17" i="47" s="1"/>
  <c r="F17" i="47"/>
  <c r="R17" i="47" s="1"/>
  <c r="S16" i="47"/>
  <c r="W16" i="47" s="1"/>
  <c r="F16" i="47"/>
  <c r="R16" i="47" s="1"/>
  <c r="S15" i="47"/>
  <c r="W15" i="47" s="1"/>
  <c r="X15" i="47" s="1"/>
  <c r="F15" i="47"/>
  <c r="R15" i="47" s="1"/>
  <c r="S14" i="47"/>
  <c r="W14" i="47" s="1"/>
  <c r="X14" i="47" s="1"/>
  <c r="F14" i="47"/>
  <c r="J14" i="47" s="1"/>
  <c r="N14" i="47" s="1"/>
  <c r="R14" i="47" s="1"/>
  <c r="S13" i="47"/>
  <c r="W13" i="47" s="1"/>
  <c r="X13" i="47" s="1"/>
  <c r="L13" i="47"/>
  <c r="F13" i="47"/>
  <c r="R13" i="47" s="1"/>
  <c r="S12" i="47"/>
  <c r="L12" i="47"/>
  <c r="J12" i="47"/>
  <c r="F12" i="47"/>
  <c r="P12" i="47" s="1"/>
  <c r="S11" i="47"/>
  <c r="W11" i="47" s="1"/>
  <c r="F11" i="47"/>
  <c r="R11" i="47" s="1"/>
  <c r="S10" i="47"/>
  <c r="W10" i="47" s="1"/>
  <c r="F10" i="47"/>
  <c r="N10" i="47" s="1"/>
  <c r="S9" i="47"/>
  <c r="W9" i="47" s="1"/>
  <c r="N9" i="47"/>
  <c r="F9" i="47"/>
  <c r="S8" i="47"/>
  <c r="F8" i="47"/>
  <c r="S7" i="47"/>
  <c r="W7" i="47" s="1"/>
  <c r="F7" i="47"/>
  <c r="N7" i="47" s="1"/>
  <c r="S6" i="47"/>
  <c r="W6" i="47" s="1"/>
  <c r="N6" i="47"/>
  <c r="F6" i="47"/>
  <c r="S5" i="47"/>
  <c r="W5" i="47" s="1"/>
  <c r="F5" i="47"/>
  <c r="P5" i="47" s="1"/>
  <c r="W65" i="46"/>
  <c r="W63" i="46"/>
  <c r="W61" i="46"/>
  <c r="W58" i="46"/>
  <c r="P65" i="46"/>
  <c r="N65" i="46"/>
  <c r="L65" i="46"/>
  <c r="R65" i="46"/>
  <c r="J65" i="46"/>
  <c r="P46" i="47" l="1"/>
  <c r="P48" i="47"/>
  <c r="P50" i="47"/>
  <c r="H5" i="47"/>
  <c r="T8" i="47"/>
  <c r="H44" i="47"/>
  <c r="R44" i="47"/>
  <c r="R45" i="47"/>
  <c r="R46" i="47"/>
  <c r="R47" i="47"/>
  <c r="R48" i="47"/>
  <c r="R50" i="47"/>
  <c r="X53" i="47"/>
  <c r="H63" i="47"/>
  <c r="X63" i="47"/>
  <c r="W8" i="47"/>
  <c r="L16" i="47"/>
  <c r="X17" i="47"/>
  <c r="L20" i="47"/>
  <c r="P23" i="47"/>
  <c r="J26" i="47"/>
  <c r="J34" i="47"/>
  <c r="J44" i="47"/>
  <c r="X44" i="47"/>
  <c r="J45" i="47"/>
  <c r="X45" i="47"/>
  <c r="J46" i="47"/>
  <c r="X46" i="47"/>
  <c r="J47" i="47"/>
  <c r="X47" i="47"/>
  <c r="J48" i="47"/>
  <c r="X48" i="47"/>
  <c r="J49" i="47"/>
  <c r="X49" i="47"/>
  <c r="J50" i="47"/>
  <c r="X50" i="47"/>
  <c r="J51" i="47"/>
  <c r="X51" i="47"/>
  <c r="J52" i="47"/>
  <c r="X52" i="47"/>
  <c r="J53" i="47"/>
  <c r="P54" i="47"/>
  <c r="P55" i="47"/>
  <c r="P56" i="47"/>
  <c r="P59" i="47"/>
  <c r="H60" i="47"/>
  <c r="H62" i="47"/>
  <c r="R62" i="47"/>
  <c r="J63" i="47"/>
  <c r="N64" i="47"/>
  <c r="P44" i="47"/>
  <c r="P45" i="47"/>
  <c r="P47" i="47"/>
  <c r="P49" i="47"/>
  <c r="P51" i="47"/>
  <c r="P52" i="47"/>
  <c r="T53" i="47"/>
  <c r="L53" i="47"/>
  <c r="R53" i="47"/>
  <c r="R63" i="47"/>
  <c r="L17" i="47"/>
  <c r="L39" i="47"/>
  <c r="R39" i="47" s="1"/>
  <c r="H45" i="47"/>
  <c r="H46" i="47"/>
  <c r="H47" i="47"/>
  <c r="H48" i="47"/>
  <c r="H49" i="47"/>
  <c r="R49" i="47"/>
  <c r="H50" i="47"/>
  <c r="H51" i="47"/>
  <c r="R51" i="47"/>
  <c r="H52" i="47"/>
  <c r="R52" i="47"/>
  <c r="H53" i="47"/>
  <c r="R60" i="47"/>
  <c r="P62" i="47"/>
  <c r="L14" i="47"/>
  <c r="P14" i="47" s="1"/>
  <c r="L15" i="47"/>
  <c r="X16" i="47"/>
  <c r="L19" i="47"/>
  <c r="X20" i="47"/>
  <c r="H23" i="47"/>
  <c r="X38" i="47"/>
  <c r="L44" i="47"/>
  <c r="L45" i="47"/>
  <c r="L46" i="47"/>
  <c r="L47" i="47"/>
  <c r="L48" i="47"/>
  <c r="L49" i="47"/>
  <c r="L50" i="47"/>
  <c r="L51" i="47"/>
  <c r="L52" i="47"/>
  <c r="P53" i="47"/>
  <c r="R54" i="47"/>
  <c r="H55" i="47"/>
  <c r="L55" i="47" s="1"/>
  <c r="R55" i="47"/>
  <c r="R59" i="47"/>
  <c r="J60" i="47"/>
  <c r="J62" i="47"/>
  <c r="V62" i="47"/>
  <c r="P63" i="47"/>
  <c r="J57" i="47"/>
  <c r="V57" i="47"/>
  <c r="L57" i="47"/>
  <c r="P57" i="47"/>
  <c r="H57" i="47"/>
  <c r="R57" i="47"/>
  <c r="X57" i="47"/>
  <c r="T37" i="47"/>
  <c r="T39" i="47"/>
  <c r="T34" i="47"/>
  <c r="W26" i="47"/>
  <c r="X26" i="47" s="1"/>
  <c r="T45" i="47"/>
  <c r="T47" i="47"/>
  <c r="T22" i="47"/>
  <c r="W30" i="47"/>
  <c r="X30" i="47" s="1"/>
  <c r="T36" i="47"/>
  <c r="T51" i="47"/>
  <c r="T49" i="47"/>
  <c r="T32" i="47"/>
  <c r="T28" i="47"/>
  <c r="T24" i="47"/>
  <c r="T10" i="47"/>
  <c r="T9" i="47"/>
  <c r="T6" i="47"/>
  <c r="T5" i="47"/>
  <c r="X27" i="47"/>
  <c r="L27" i="47"/>
  <c r="T27" i="47"/>
  <c r="N27" i="47"/>
  <c r="R27" i="47"/>
  <c r="J27" i="47"/>
  <c r="H27" i="47"/>
  <c r="X35" i="47"/>
  <c r="L35" i="47"/>
  <c r="T35" i="47"/>
  <c r="N35" i="47"/>
  <c r="R35" i="47"/>
  <c r="H35" i="47"/>
  <c r="J35" i="47"/>
  <c r="R41" i="47"/>
  <c r="V41" i="47"/>
  <c r="P41" i="47"/>
  <c r="H41" i="47"/>
  <c r="N41" i="47"/>
  <c r="T41" i="47"/>
  <c r="X41" i="47"/>
  <c r="L41" i="47"/>
  <c r="J41" i="47"/>
  <c r="V58" i="47"/>
  <c r="L58" i="47"/>
  <c r="R58" i="47"/>
  <c r="J58" i="47"/>
  <c r="P58" i="47"/>
  <c r="H58" i="47"/>
  <c r="N58" i="47"/>
  <c r="X58" i="47"/>
  <c r="N5" i="47"/>
  <c r="V5" i="47"/>
  <c r="X8" i="47"/>
  <c r="L8" i="47"/>
  <c r="J8" i="47"/>
  <c r="V8" i="47"/>
  <c r="H8" i="47"/>
  <c r="R8" i="47"/>
  <c r="P8" i="47"/>
  <c r="X25" i="47"/>
  <c r="L25" i="47"/>
  <c r="T25" i="47"/>
  <c r="N25" i="47"/>
  <c r="H25" i="47"/>
  <c r="J25" i="47"/>
  <c r="R25" i="47"/>
  <c r="P27" i="47"/>
  <c r="X33" i="47"/>
  <c r="L33" i="47"/>
  <c r="T33" i="47"/>
  <c r="N33" i="47"/>
  <c r="R33" i="47"/>
  <c r="J33" i="47"/>
  <c r="H33" i="47"/>
  <c r="P35" i="47"/>
  <c r="N8" i="47"/>
  <c r="X9" i="47"/>
  <c r="L9" i="47"/>
  <c r="R9" i="47"/>
  <c r="J9" i="47"/>
  <c r="P9" i="47"/>
  <c r="V9" i="47"/>
  <c r="H9" i="47"/>
  <c r="P25" i="47"/>
  <c r="X31" i="47"/>
  <c r="L31" i="47"/>
  <c r="T31" i="47"/>
  <c r="N31" i="47"/>
  <c r="R31" i="47"/>
  <c r="H31" i="47"/>
  <c r="J31" i="47"/>
  <c r="P33" i="47"/>
  <c r="X7" i="47"/>
  <c r="L7" i="47"/>
  <c r="R7" i="47"/>
  <c r="J7" i="47"/>
  <c r="P7" i="47"/>
  <c r="H7" i="47"/>
  <c r="V7" i="47"/>
  <c r="V11" i="47"/>
  <c r="L11" i="47"/>
  <c r="J11" i="47"/>
  <c r="H11" i="47"/>
  <c r="T11" i="47"/>
  <c r="X11" i="47"/>
  <c r="X5" i="47"/>
  <c r="L5" i="47"/>
  <c r="J5" i="47"/>
  <c r="R5" i="47"/>
  <c r="X6" i="47"/>
  <c r="L6" i="47"/>
  <c r="R6" i="47"/>
  <c r="P6" i="47"/>
  <c r="J6" i="47"/>
  <c r="V6" i="47"/>
  <c r="H6" i="47"/>
  <c r="T7" i="47"/>
  <c r="X10" i="47"/>
  <c r="L10" i="47"/>
  <c r="R10" i="47"/>
  <c r="J10" i="47"/>
  <c r="V10" i="47"/>
  <c r="H10" i="47"/>
  <c r="P10" i="47"/>
  <c r="W12" i="47"/>
  <c r="X12" i="47" s="1"/>
  <c r="T12" i="47"/>
  <c r="V27" i="47"/>
  <c r="X29" i="47"/>
  <c r="L29" i="47"/>
  <c r="T29" i="47"/>
  <c r="N29" i="47"/>
  <c r="R29" i="47"/>
  <c r="H29" i="47"/>
  <c r="J29" i="47"/>
  <c r="V35" i="47"/>
  <c r="L37" i="47"/>
  <c r="H37" i="47"/>
  <c r="X37" i="47"/>
  <c r="J37" i="47"/>
  <c r="V37" i="47"/>
  <c r="T40" i="47"/>
  <c r="W40" i="47"/>
  <c r="X40" i="47" s="1"/>
  <c r="X43" i="47"/>
  <c r="T17" i="47"/>
  <c r="T20" i="47"/>
  <c r="X21" i="47"/>
  <c r="H13" i="47"/>
  <c r="H15" i="47"/>
  <c r="V15" i="47"/>
  <c r="P16" i="47"/>
  <c r="P17" i="47"/>
  <c r="P18" i="47"/>
  <c r="P20" i="47"/>
  <c r="X24" i="47"/>
  <c r="L24" i="47"/>
  <c r="X28" i="47"/>
  <c r="L28" i="47"/>
  <c r="P28" i="47"/>
  <c r="L30" i="47"/>
  <c r="P30" i="47"/>
  <c r="V30" i="47"/>
  <c r="X32" i="47"/>
  <c r="L32" i="47"/>
  <c r="P32" i="47"/>
  <c r="V32" i="47"/>
  <c r="X34" i="47"/>
  <c r="L34" i="47"/>
  <c r="P34" i="47"/>
  <c r="V34" i="47"/>
  <c r="X36" i="47"/>
  <c r="L36" i="47"/>
  <c r="P36" i="47"/>
  <c r="V39" i="47"/>
  <c r="H39" i="47"/>
  <c r="X39" i="47"/>
  <c r="T44" i="47"/>
  <c r="T46" i="47"/>
  <c r="T48" i="47"/>
  <c r="T50" i="47"/>
  <c r="T52" i="47"/>
  <c r="T54" i="47"/>
  <c r="H56" i="47"/>
  <c r="V61" i="47"/>
  <c r="L61" i="47"/>
  <c r="R61" i="47"/>
  <c r="J61" i="47"/>
  <c r="R64" i="47"/>
  <c r="J64" i="47"/>
  <c r="P64" i="47"/>
  <c r="H64" i="47"/>
  <c r="X64" i="47"/>
  <c r="N13" i="47"/>
  <c r="T13" i="47"/>
  <c r="T14" i="47"/>
  <c r="N15" i="47"/>
  <c r="T15" i="47"/>
  <c r="N16" i="47"/>
  <c r="T16" i="47"/>
  <c r="N17" i="47"/>
  <c r="N18" i="47"/>
  <c r="T18" i="47"/>
  <c r="N19" i="47"/>
  <c r="T19" i="47"/>
  <c r="N20" i="47"/>
  <c r="V43" i="47"/>
  <c r="J43" i="47"/>
  <c r="T43" i="47"/>
  <c r="H43" i="47"/>
  <c r="L43" i="47" s="1"/>
  <c r="V56" i="47"/>
  <c r="L56" i="47"/>
  <c r="R56" i="47"/>
  <c r="J56" i="47"/>
  <c r="N12" i="47"/>
  <c r="V12" i="47"/>
  <c r="P13" i="47"/>
  <c r="V13" i="47"/>
  <c r="H14" i="47"/>
  <c r="V14" i="47"/>
  <c r="P15" i="47"/>
  <c r="H16" i="47"/>
  <c r="V16" i="47"/>
  <c r="H17" i="47"/>
  <c r="V17" i="47"/>
  <c r="H18" i="47"/>
  <c r="V18" i="47"/>
  <c r="H19" i="47"/>
  <c r="P19" i="47"/>
  <c r="V19" i="47"/>
  <c r="H20" i="47"/>
  <c r="V20" i="47"/>
  <c r="H21" i="47"/>
  <c r="L21" i="47" s="1"/>
  <c r="T21" i="47"/>
  <c r="X22" i="47"/>
  <c r="P24" i="47"/>
  <c r="V24" i="47"/>
  <c r="L26" i="47"/>
  <c r="P26" i="47"/>
  <c r="V26" i="47"/>
  <c r="V28" i="47"/>
  <c r="H12" i="47"/>
  <c r="J13" i="47"/>
  <c r="J15" i="47"/>
  <c r="J16" i="47"/>
  <c r="J17" i="47"/>
  <c r="J18" i="47"/>
  <c r="J19" i="47"/>
  <c r="J20" i="47"/>
  <c r="J21" i="47"/>
  <c r="H22" i="47"/>
  <c r="L22" i="47" s="1"/>
  <c r="X23" i="47"/>
  <c r="N23" i="47"/>
  <c r="T23" i="47"/>
  <c r="H24" i="47"/>
  <c r="R24" i="47"/>
  <c r="H26" i="47"/>
  <c r="R26" i="47"/>
  <c r="H28" i="47"/>
  <c r="R28" i="47"/>
  <c r="H30" i="47"/>
  <c r="R30" i="47"/>
  <c r="H32" i="47"/>
  <c r="R32" i="47"/>
  <c r="H34" i="47"/>
  <c r="R34" i="47"/>
  <c r="H36" i="47"/>
  <c r="R36" i="47"/>
  <c r="V38" i="47"/>
  <c r="J38" i="47"/>
  <c r="T38" i="47"/>
  <c r="J39" i="47"/>
  <c r="P39" i="47" s="1"/>
  <c r="V40" i="47"/>
  <c r="P40" i="47"/>
  <c r="H40" i="47"/>
  <c r="R40" i="47"/>
  <c r="R42" i="47"/>
  <c r="J42" i="47"/>
  <c r="V42" i="47"/>
  <c r="P42" i="47"/>
  <c r="H42" i="47"/>
  <c r="T42" i="47"/>
  <c r="N56" i="47"/>
  <c r="H61" i="47"/>
  <c r="X61" i="47"/>
  <c r="L64" i="47"/>
  <c r="N44" i="47"/>
  <c r="N45" i="47"/>
  <c r="N46" i="47"/>
  <c r="N47" i="47"/>
  <c r="N48" i="47"/>
  <c r="N49" i="47"/>
  <c r="N50" i="47"/>
  <c r="N51" i="47"/>
  <c r="N52" i="47"/>
  <c r="N53" i="47"/>
  <c r="N54" i="47"/>
  <c r="N59" i="47"/>
  <c r="L60" i="47"/>
  <c r="V60" i="47"/>
  <c r="N62" i="47"/>
  <c r="L63" i="47"/>
  <c r="V63" i="47"/>
  <c r="N60" i="47"/>
  <c r="F64" i="46"/>
  <c r="F63" i="46"/>
  <c r="X63" i="46" s="1"/>
  <c r="F62" i="46"/>
  <c r="H63" i="46"/>
  <c r="V61" i="46"/>
  <c r="F61" i="46"/>
  <c r="H62" i="46" l="1"/>
  <c r="R62" i="46"/>
  <c r="P62" i="46"/>
  <c r="N62" i="46"/>
  <c r="L62" i="46"/>
  <c r="J62" i="46"/>
  <c r="R64" i="46"/>
  <c r="L64" i="46"/>
  <c r="P64" i="46"/>
  <c r="N64" i="46"/>
  <c r="J64" i="46"/>
  <c r="X62" i="46"/>
  <c r="V63" i="46"/>
  <c r="N63" i="46"/>
  <c r="L63" i="46"/>
  <c r="J63" i="46"/>
  <c r="R63" i="46"/>
  <c r="P63" i="46"/>
  <c r="H64" i="46"/>
  <c r="X64" i="46"/>
  <c r="P61" i="46"/>
  <c r="L61" i="46"/>
  <c r="J61" i="46"/>
  <c r="R61" i="46"/>
  <c r="V64" i="46"/>
  <c r="X61" i="46"/>
  <c r="V62" i="46"/>
  <c r="N61" i="46" l="1"/>
  <c r="X60" i="46" l="1"/>
  <c r="V59" i="46"/>
  <c r="X59" i="46"/>
  <c r="F60" i="46"/>
  <c r="H61" i="46"/>
  <c r="H59" i="46"/>
  <c r="F59" i="46"/>
  <c r="L59" i="46" l="1"/>
  <c r="J59" i="46"/>
  <c r="P59" i="46"/>
  <c r="R59" i="46"/>
  <c r="N59" i="46"/>
  <c r="H60" i="46"/>
  <c r="R60" i="46"/>
  <c r="J60" i="46"/>
  <c r="P60" i="46"/>
  <c r="L60" i="46"/>
  <c r="N60" i="46"/>
  <c r="V60" i="46"/>
  <c r="F58" i="46"/>
  <c r="R58" i="46" l="1"/>
  <c r="L58" i="46"/>
  <c r="J58" i="46"/>
  <c r="P58" i="46"/>
  <c r="N58" i="46"/>
  <c r="H58" i="46"/>
  <c r="V58" i="46"/>
  <c r="X58" i="46"/>
  <c r="W57" i="46"/>
  <c r="F57" i="46"/>
  <c r="W56" i="46"/>
  <c r="F56" i="46"/>
  <c r="V56" i="46" s="1"/>
  <c r="W55" i="46"/>
  <c r="V55" i="46"/>
  <c r="F55" i="46"/>
  <c r="V54" i="46"/>
  <c r="S54" i="46"/>
  <c r="W54" i="46" s="1"/>
  <c r="H54" i="46"/>
  <c r="L54" i="46" s="1"/>
  <c r="F54" i="46"/>
  <c r="S53" i="46"/>
  <c r="T53" i="46" s="1"/>
  <c r="F53" i="46"/>
  <c r="H53" i="46" s="1"/>
  <c r="L53" i="46" s="1"/>
  <c r="V52" i="46"/>
  <c r="S52" i="46"/>
  <c r="W52" i="46" s="1"/>
  <c r="X52" i="46" s="1"/>
  <c r="L52" i="46"/>
  <c r="J52" i="46"/>
  <c r="H52" i="46"/>
  <c r="F52" i="46"/>
  <c r="R52" i="46" s="1"/>
  <c r="V51" i="46"/>
  <c r="S51" i="46"/>
  <c r="W51" i="46" s="1"/>
  <c r="X51" i="46" s="1"/>
  <c r="J51" i="46"/>
  <c r="H51" i="46"/>
  <c r="F51" i="46"/>
  <c r="R51" i="46" s="1"/>
  <c r="S50" i="46"/>
  <c r="W50" i="46" s="1"/>
  <c r="X50" i="46" s="1"/>
  <c r="R50" i="46"/>
  <c r="J50" i="46"/>
  <c r="H50" i="46"/>
  <c r="F50" i="46"/>
  <c r="P50" i="46" s="1"/>
  <c r="S49" i="46"/>
  <c r="W49" i="46" s="1"/>
  <c r="X49" i="46" s="1"/>
  <c r="R49" i="46"/>
  <c r="J49" i="46"/>
  <c r="H49" i="46"/>
  <c r="F49" i="46"/>
  <c r="P49" i="46" s="1"/>
  <c r="S48" i="46"/>
  <c r="W48" i="46" s="1"/>
  <c r="F48" i="46"/>
  <c r="P48" i="46" s="1"/>
  <c r="V47" i="46"/>
  <c r="S47" i="46"/>
  <c r="W47" i="46" s="1"/>
  <c r="L47" i="46"/>
  <c r="F47" i="46"/>
  <c r="J47" i="46" s="1"/>
  <c r="V46" i="46"/>
  <c r="S46" i="46"/>
  <c r="W46" i="46" s="1"/>
  <c r="L46" i="46"/>
  <c r="F46" i="46"/>
  <c r="J46" i="46" s="1"/>
  <c r="V45" i="46"/>
  <c r="S45" i="46"/>
  <c r="W45" i="46" s="1"/>
  <c r="L45" i="46"/>
  <c r="F45" i="46"/>
  <c r="J45" i="46" s="1"/>
  <c r="V44" i="46"/>
  <c r="S44" i="46"/>
  <c r="W44" i="46" s="1"/>
  <c r="L44" i="46"/>
  <c r="F44" i="46"/>
  <c r="J44" i="46" s="1"/>
  <c r="S43" i="46"/>
  <c r="W43" i="46" s="1"/>
  <c r="F43" i="46"/>
  <c r="S42" i="46"/>
  <c r="W42" i="46" s="1"/>
  <c r="F42" i="46"/>
  <c r="S41" i="46"/>
  <c r="W41" i="46" s="1"/>
  <c r="X41" i="46" s="1"/>
  <c r="F41" i="46"/>
  <c r="N41" i="46" s="1"/>
  <c r="S40" i="46"/>
  <c r="W40" i="46" s="1"/>
  <c r="F40" i="46"/>
  <c r="N40" i="46" s="1"/>
  <c r="S39" i="46"/>
  <c r="W39" i="46" s="1"/>
  <c r="F39" i="46"/>
  <c r="L39" i="46" s="1"/>
  <c r="R39" i="46" s="1"/>
  <c r="S38" i="46"/>
  <c r="W38" i="46" s="1"/>
  <c r="F38" i="46"/>
  <c r="S37" i="46"/>
  <c r="W37" i="46" s="1"/>
  <c r="F37" i="46"/>
  <c r="J37" i="46" s="1"/>
  <c r="V36" i="46"/>
  <c r="S36" i="46"/>
  <c r="W36" i="46" s="1"/>
  <c r="P36" i="46"/>
  <c r="J36" i="46"/>
  <c r="H36" i="46"/>
  <c r="F36" i="46"/>
  <c r="R36" i="46" s="1"/>
  <c r="V35" i="46"/>
  <c r="S35" i="46"/>
  <c r="W35" i="46" s="1"/>
  <c r="J35" i="46"/>
  <c r="H35" i="46"/>
  <c r="F35" i="46"/>
  <c r="R35" i="46" s="1"/>
  <c r="S34" i="46"/>
  <c r="W34" i="46" s="1"/>
  <c r="F34" i="46"/>
  <c r="P34" i="46" s="1"/>
  <c r="S33" i="46"/>
  <c r="W33" i="46" s="1"/>
  <c r="P33" i="46"/>
  <c r="F33" i="46"/>
  <c r="V33" i="46" s="1"/>
  <c r="V32" i="46"/>
  <c r="S32" i="46"/>
  <c r="W32" i="46" s="1"/>
  <c r="P32" i="46"/>
  <c r="J32" i="46"/>
  <c r="H32" i="46"/>
  <c r="F32" i="46"/>
  <c r="R32" i="46" s="1"/>
  <c r="V31" i="46"/>
  <c r="S31" i="46"/>
  <c r="W31" i="46" s="1"/>
  <c r="J31" i="46"/>
  <c r="H31" i="46"/>
  <c r="F31" i="46"/>
  <c r="R31" i="46" s="1"/>
  <c r="S30" i="46"/>
  <c r="W30" i="46" s="1"/>
  <c r="F30" i="46"/>
  <c r="P30" i="46" s="1"/>
  <c r="S29" i="46"/>
  <c r="W29" i="46" s="1"/>
  <c r="P29" i="46"/>
  <c r="F29" i="46"/>
  <c r="V29" i="46" s="1"/>
  <c r="V28" i="46"/>
  <c r="S28" i="46"/>
  <c r="W28" i="46" s="1"/>
  <c r="P28" i="46"/>
  <c r="J28" i="46"/>
  <c r="H28" i="46"/>
  <c r="F28" i="46"/>
  <c r="R28" i="46" s="1"/>
  <c r="V27" i="46"/>
  <c r="S27" i="46"/>
  <c r="W27" i="46" s="1"/>
  <c r="J27" i="46"/>
  <c r="H27" i="46"/>
  <c r="F27" i="46"/>
  <c r="R27" i="46" s="1"/>
  <c r="S26" i="46"/>
  <c r="W26" i="46" s="1"/>
  <c r="F26" i="46"/>
  <c r="P26" i="46" s="1"/>
  <c r="S25" i="46"/>
  <c r="W25" i="46" s="1"/>
  <c r="J25" i="46"/>
  <c r="H25" i="46"/>
  <c r="F25" i="46"/>
  <c r="P25" i="46" s="1"/>
  <c r="S24" i="46"/>
  <c r="W24" i="46" s="1"/>
  <c r="F24" i="46"/>
  <c r="N24" i="46" s="1"/>
  <c r="S23" i="46"/>
  <c r="W23" i="46" s="1"/>
  <c r="J23" i="46"/>
  <c r="H23" i="46"/>
  <c r="F23" i="46"/>
  <c r="R23" i="46" s="1"/>
  <c r="S22" i="46"/>
  <c r="T22" i="46" s="1"/>
  <c r="J22" i="46"/>
  <c r="H22" i="46"/>
  <c r="L22" i="46" s="1"/>
  <c r="F22" i="46"/>
  <c r="V22" i="46" s="1"/>
  <c r="S21" i="46"/>
  <c r="W21" i="46" s="1"/>
  <c r="F21" i="46"/>
  <c r="S20" i="46"/>
  <c r="F20" i="46"/>
  <c r="N20" i="46" s="1"/>
  <c r="S19" i="46"/>
  <c r="L19" i="46"/>
  <c r="J19" i="46"/>
  <c r="F19" i="46"/>
  <c r="N19" i="46" s="1"/>
  <c r="S18" i="46"/>
  <c r="W18" i="46" s="1"/>
  <c r="F18" i="46"/>
  <c r="N18" i="46" s="1"/>
  <c r="S17" i="46"/>
  <c r="W17" i="46" s="1"/>
  <c r="F17" i="46"/>
  <c r="S16" i="46"/>
  <c r="T16" i="46" s="1"/>
  <c r="L16" i="46"/>
  <c r="J16" i="46"/>
  <c r="F16" i="46"/>
  <c r="N16" i="46" s="1"/>
  <c r="V15" i="46"/>
  <c r="S15" i="46"/>
  <c r="W15" i="46" s="1"/>
  <c r="J15" i="46"/>
  <c r="H15" i="46"/>
  <c r="F15" i="46"/>
  <c r="R15" i="46" s="1"/>
  <c r="S14" i="46"/>
  <c r="W14" i="46" s="1"/>
  <c r="J14" i="46"/>
  <c r="N14" i="46" s="1"/>
  <c r="R14" i="46" s="1"/>
  <c r="H14" i="46"/>
  <c r="F14" i="46"/>
  <c r="V14" i="46" s="1"/>
  <c r="V13" i="46"/>
  <c r="S13" i="46"/>
  <c r="W13" i="46" s="1"/>
  <c r="J13" i="46"/>
  <c r="H13" i="46"/>
  <c r="F13" i="46"/>
  <c r="R13" i="46" s="1"/>
  <c r="S12" i="46"/>
  <c r="W12" i="46" s="1"/>
  <c r="F12" i="46"/>
  <c r="S11" i="46"/>
  <c r="W11" i="46" s="1"/>
  <c r="F11" i="46"/>
  <c r="S10" i="46"/>
  <c r="W10" i="46" s="1"/>
  <c r="F10" i="46"/>
  <c r="S9" i="46"/>
  <c r="W9" i="46" s="1"/>
  <c r="F9" i="46"/>
  <c r="R9" i="46" s="1"/>
  <c r="S8" i="46"/>
  <c r="W8" i="46" s="1"/>
  <c r="X8" i="46" s="1"/>
  <c r="L8" i="46"/>
  <c r="F8" i="46"/>
  <c r="R8" i="46" s="1"/>
  <c r="S7" i="46"/>
  <c r="W7" i="46" s="1"/>
  <c r="X7" i="46" s="1"/>
  <c r="L7" i="46"/>
  <c r="F7" i="46"/>
  <c r="R7" i="46" s="1"/>
  <c r="S6" i="46"/>
  <c r="W6" i="46" s="1"/>
  <c r="F6" i="46"/>
  <c r="R6" i="46" s="1"/>
  <c r="S5" i="46"/>
  <c r="W5" i="46" s="1"/>
  <c r="F5" i="46"/>
  <c r="R5" i="46" s="1"/>
  <c r="J10" i="46" l="1"/>
  <c r="R10" i="46"/>
  <c r="P10" i="46"/>
  <c r="R26" i="46"/>
  <c r="R30" i="46"/>
  <c r="L6" i="46"/>
  <c r="L10" i="46"/>
  <c r="J20" i="46"/>
  <c r="H26" i="46"/>
  <c r="V37" i="46"/>
  <c r="P46" i="46"/>
  <c r="V53" i="46"/>
  <c r="L5" i="46"/>
  <c r="X6" i="46"/>
  <c r="L9" i="46"/>
  <c r="X10" i="46"/>
  <c r="P13" i="46"/>
  <c r="P15" i="46"/>
  <c r="L20" i="46"/>
  <c r="J26" i="46"/>
  <c r="V26" i="46"/>
  <c r="P27" i="46"/>
  <c r="H29" i="46"/>
  <c r="J30" i="46"/>
  <c r="V30" i="46"/>
  <c r="P31" i="46"/>
  <c r="H33" i="46"/>
  <c r="J34" i="46"/>
  <c r="V34" i="46"/>
  <c r="P35" i="46"/>
  <c r="H37" i="46"/>
  <c r="X39" i="46"/>
  <c r="L41" i="46"/>
  <c r="H44" i="46"/>
  <c r="R44" i="46"/>
  <c r="H45" i="46"/>
  <c r="R45" i="46"/>
  <c r="H46" i="46"/>
  <c r="R46" i="46"/>
  <c r="H47" i="46"/>
  <c r="R47" i="46"/>
  <c r="L49" i="46"/>
  <c r="V49" i="46"/>
  <c r="L50" i="46"/>
  <c r="V50" i="46"/>
  <c r="L51" i="46"/>
  <c r="P52" i="46"/>
  <c r="J54" i="46"/>
  <c r="R54" i="46"/>
  <c r="P54" i="46"/>
  <c r="N54" i="46"/>
  <c r="J55" i="46"/>
  <c r="R55" i="46"/>
  <c r="P55" i="46"/>
  <c r="N55" i="46"/>
  <c r="H55" i="46"/>
  <c r="L55" i="46" s="1"/>
  <c r="R34" i="46"/>
  <c r="X57" i="46"/>
  <c r="P57" i="46"/>
  <c r="R57" i="46"/>
  <c r="L57" i="46"/>
  <c r="J57" i="46"/>
  <c r="N57" i="46"/>
  <c r="H57" i="46"/>
  <c r="L12" i="46"/>
  <c r="P12" i="46"/>
  <c r="N12" i="46"/>
  <c r="R29" i="46"/>
  <c r="H30" i="46"/>
  <c r="R33" i="46"/>
  <c r="H34" i="46"/>
  <c r="P44" i="46"/>
  <c r="P45" i="46"/>
  <c r="P47" i="46"/>
  <c r="R53" i="46"/>
  <c r="J53" i="46"/>
  <c r="P53" i="46"/>
  <c r="N53" i="46"/>
  <c r="P56" i="46"/>
  <c r="R56" i="46"/>
  <c r="J56" i="46"/>
  <c r="N56" i="46"/>
  <c r="L56" i="46"/>
  <c r="X5" i="46"/>
  <c r="X9" i="46"/>
  <c r="V11" i="46"/>
  <c r="R11" i="46"/>
  <c r="L11" i="46"/>
  <c r="T19" i="46"/>
  <c r="T20" i="46"/>
  <c r="V25" i="46"/>
  <c r="J29" i="46"/>
  <c r="J33" i="46"/>
  <c r="X44" i="46"/>
  <c r="X45" i="46"/>
  <c r="X46" i="46"/>
  <c r="X47" i="46"/>
  <c r="P51" i="46"/>
  <c r="H56" i="46"/>
  <c r="W19" i="46"/>
  <c r="X19" i="46" s="1"/>
  <c r="X56" i="46"/>
  <c r="H12" i="46"/>
  <c r="V12" i="46"/>
  <c r="J12" i="46"/>
  <c r="H48" i="46"/>
  <c r="R48" i="46"/>
  <c r="J48" i="46"/>
  <c r="X48" i="46"/>
  <c r="L48" i="46"/>
  <c r="V48" i="46"/>
  <c r="X55" i="46"/>
  <c r="T29" i="46"/>
  <c r="T33" i="46"/>
  <c r="T12" i="46"/>
  <c r="T15" i="46"/>
  <c r="T45" i="46"/>
  <c r="T27" i="46"/>
  <c r="T31" i="46"/>
  <c r="T49" i="46"/>
  <c r="T17" i="46"/>
  <c r="W22" i="46"/>
  <c r="T28" i="46"/>
  <c r="T32" i="46"/>
  <c r="T26" i="46"/>
  <c r="T30" i="46"/>
  <c r="T14" i="46"/>
  <c r="T36" i="46"/>
  <c r="X37" i="46"/>
  <c r="T37" i="46"/>
  <c r="T38" i="46"/>
  <c r="T51" i="46"/>
  <c r="X12" i="46"/>
  <c r="T13" i="46"/>
  <c r="T34" i="46"/>
  <c r="T35" i="46"/>
  <c r="T54" i="46"/>
  <c r="W53" i="46"/>
  <c r="X53" i="46" s="1"/>
  <c r="T47" i="46"/>
  <c r="T24" i="46"/>
  <c r="T23" i="46"/>
  <c r="X22" i="46"/>
  <c r="X21" i="46"/>
  <c r="R17" i="46"/>
  <c r="V21" i="46"/>
  <c r="T40" i="46"/>
  <c r="R42" i="46"/>
  <c r="J42" i="46"/>
  <c r="V42" i="46"/>
  <c r="P42" i="46"/>
  <c r="H42" i="46"/>
  <c r="T42" i="46"/>
  <c r="T5" i="46"/>
  <c r="N6" i="46"/>
  <c r="T6" i="46"/>
  <c r="N7" i="46"/>
  <c r="T7" i="46"/>
  <c r="N8" i="46"/>
  <c r="T8" i="46"/>
  <c r="N9" i="46"/>
  <c r="T9" i="46"/>
  <c r="X11" i="46"/>
  <c r="J17" i="46"/>
  <c r="V18" i="46"/>
  <c r="P18" i="46"/>
  <c r="H18" i="46"/>
  <c r="J21" i="46"/>
  <c r="X24" i="46"/>
  <c r="L24" i="46"/>
  <c r="P24" i="46"/>
  <c r="V24" i="46"/>
  <c r="V38" i="46"/>
  <c r="J38" i="46"/>
  <c r="X38" i="46"/>
  <c r="L40" i="46"/>
  <c r="X40" i="46"/>
  <c r="L42" i="46"/>
  <c r="X42" i="46"/>
  <c r="X54" i="46"/>
  <c r="H5" i="46"/>
  <c r="P5" i="46"/>
  <c r="V5" i="46"/>
  <c r="H6" i="46"/>
  <c r="P6" i="46"/>
  <c r="V6" i="46"/>
  <c r="H7" i="46"/>
  <c r="P7" i="46"/>
  <c r="V7" i="46"/>
  <c r="H8" i="46"/>
  <c r="P8" i="46"/>
  <c r="V8" i="46"/>
  <c r="H9" i="46"/>
  <c r="P9" i="46"/>
  <c r="V9" i="46"/>
  <c r="H10" i="46"/>
  <c r="N10" i="46" s="1"/>
  <c r="V10" i="46"/>
  <c r="H11" i="46"/>
  <c r="T11" i="46"/>
  <c r="L13" i="46"/>
  <c r="X13" i="46"/>
  <c r="L14" i="46"/>
  <c r="P14" i="46" s="1"/>
  <c r="X14" i="46"/>
  <c r="L15" i="46"/>
  <c r="X15" i="46"/>
  <c r="W16" i="46"/>
  <c r="X16" i="46" s="1"/>
  <c r="L17" i="46"/>
  <c r="J18" i="46"/>
  <c r="V19" i="46"/>
  <c r="P19" i="46"/>
  <c r="H19" i="46"/>
  <c r="R19" i="46"/>
  <c r="W20" i="46"/>
  <c r="X20" i="46" s="1"/>
  <c r="N23" i="46"/>
  <c r="H24" i="46"/>
  <c r="R24" i="46"/>
  <c r="H38" i="46"/>
  <c r="L38" i="46" s="1"/>
  <c r="J39" i="46"/>
  <c r="P39" i="46" s="1"/>
  <c r="V39" i="46"/>
  <c r="H39" i="46"/>
  <c r="N39" i="46" s="1"/>
  <c r="T39" i="46"/>
  <c r="R41" i="46"/>
  <c r="J41" i="46"/>
  <c r="V41" i="46"/>
  <c r="P41" i="46"/>
  <c r="H41" i="46"/>
  <c r="T41" i="46"/>
  <c r="N42" i="46"/>
  <c r="V43" i="46"/>
  <c r="J43" i="46"/>
  <c r="T43" i="46"/>
  <c r="H43" i="46"/>
  <c r="L43" i="46" s="1"/>
  <c r="X43" i="46"/>
  <c r="V57" i="46"/>
  <c r="V17" i="46"/>
  <c r="P17" i="46"/>
  <c r="H17" i="46"/>
  <c r="X17" i="46"/>
  <c r="T21" i="46"/>
  <c r="H21" i="46"/>
  <c r="L21" i="46" s="1"/>
  <c r="R40" i="46"/>
  <c r="J40" i="46"/>
  <c r="V40" i="46"/>
  <c r="P40" i="46"/>
  <c r="H40" i="46"/>
  <c r="N5" i="46"/>
  <c r="T10" i="46"/>
  <c r="R18" i="46"/>
  <c r="X18" i="46"/>
  <c r="J5" i="46"/>
  <c r="J6" i="46"/>
  <c r="J7" i="46"/>
  <c r="J8" i="46"/>
  <c r="J9" i="46"/>
  <c r="J11" i="46"/>
  <c r="N13" i="46"/>
  <c r="N15" i="46"/>
  <c r="V16" i="46"/>
  <c r="P16" i="46"/>
  <c r="H16" i="46"/>
  <c r="R16" i="46"/>
  <c r="N17" i="46"/>
  <c r="L18" i="46"/>
  <c r="T18" i="46"/>
  <c r="V20" i="46"/>
  <c r="P20" i="46"/>
  <c r="H20" i="46"/>
  <c r="R20" i="46"/>
  <c r="X23" i="46"/>
  <c r="L23" i="46"/>
  <c r="P23" i="46"/>
  <c r="V23" i="46"/>
  <c r="J24" i="46"/>
  <c r="T25" i="46"/>
  <c r="N25" i="46"/>
  <c r="X25" i="46"/>
  <c r="L25" i="46"/>
  <c r="R25" i="46"/>
  <c r="T44" i="46"/>
  <c r="T46" i="46"/>
  <c r="T48" i="46"/>
  <c r="T50" i="46"/>
  <c r="T52" i="46"/>
  <c r="L26" i="46"/>
  <c r="X26" i="46"/>
  <c r="L27" i="46"/>
  <c r="X27" i="46"/>
  <c r="L28" i="46"/>
  <c r="X28" i="46"/>
  <c r="L29" i="46"/>
  <c r="X29" i="46"/>
  <c r="L30" i="46"/>
  <c r="X30" i="46"/>
  <c r="L31" i="46"/>
  <c r="X31" i="46"/>
  <c r="L32" i="46"/>
  <c r="X32" i="46"/>
  <c r="L33" i="46"/>
  <c r="X33" i="46"/>
  <c r="L34" i="46"/>
  <c r="X34" i="46"/>
  <c r="L35" i="46"/>
  <c r="X35" i="46"/>
  <c r="L36" i="46"/>
  <c r="X36" i="46"/>
  <c r="L37" i="46"/>
  <c r="N44" i="46"/>
  <c r="N45" i="46"/>
  <c r="N46" i="46"/>
  <c r="N47" i="46"/>
  <c r="N48" i="46"/>
  <c r="N49" i="46"/>
  <c r="N50" i="46"/>
  <c r="N51" i="46"/>
  <c r="N52" i="46"/>
  <c r="N26" i="46"/>
  <c r="N27" i="46"/>
  <c r="N28" i="46"/>
  <c r="N29" i="46"/>
  <c r="N30" i="46"/>
  <c r="N31" i="46"/>
  <c r="N32" i="46"/>
  <c r="N33" i="46"/>
  <c r="N34" i="46"/>
  <c r="N35" i="46"/>
  <c r="N36" i="46"/>
  <c r="W57" i="45"/>
  <c r="W56" i="45"/>
  <c r="W55" i="45"/>
  <c r="F57" i="45" l="1"/>
  <c r="X57" i="45" s="1"/>
  <c r="F56" i="45"/>
  <c r="X56" i="45" s="1"/>
  <c r="F55" i="45"/>
  <c r="X55" i="45" s="1"/>
  <c r="F54" i="45"/>
  <c r="F53" i="45"/>
  <c r="H53" i="45" s="1"/>
  <c r="V55" i="45" l="1"/>
  <c r="V56" i="45"/>
  <c r="V57" i="45"/>
  <c r="V54" i="45" l="1"/>
  <c r="S54" i="45"/>
  <c r="W54" i="45" s="1"/>
  <c r="X54" i="45" s="1"/>
  <c r="L54" i="45"/>
  <c r="J54" i="45"/>
  <c r="H54" i="45"/>
  <c r="V53" i="45"/>
  <c r="S53" i="45"/>
  <c r="W53" i="45" s="1"/>
  <c r="X53" i="45" s="1"/>
  <c r="J53" i="45"/>
  <c r="L53" i="45"/>
  <c r="S52" i="45"/>
  <c r="T52" i="45" s="1"/>
  <c r="R52" i="45"/>
  <c r="F52" i="45"/>
  <c r="N52" i="45" s="1"/>
  <c r="S51" i="45"/>
  <c r="W51" i="45" s="1"/>
  <c r="F51" i="45"/>
  <c r="N51" i="45" s="1"/>
  <c r="S50" i="45"/>
  <c r="W50" i="45" s="1"/>
  <c r="R50" i="45"/>
  <c r="N50" i="45"/>
  <c r="F50" i="45"/>
  <c r="T50" i="45" s="1"/>
  <c r="S49" i="45"/>
  <c r="W49" i="45" s="1"/>
  <c r="F49" i="45"/>
  <c r="R49" i="45" s="1"/>
  <c r="S48" i="45"/>
  <c r="W48" i="45" s="1"/>
  <c r="F48" i="45"/>
  <c r="N48" i="45" s="1"/>
  <c r="S47" i="45"/>
  <c r="W47" i="45" s="1"/>
  <c r="F47" i="45"/>
  <c r="N47" i="45" s="1"/>
  <c r="S46" i="45"/>
  <c r="R46" i="45"/>
  <c r="F46" i="45"/>
  <c r="N46" i="45" s="1"/>
  <c r="S45" i="45"/>
  <c r="W45" i="45" s="1"/>
  <c r="F45" i="45"/>
  <c r="R45" i="45" s="1"/>
  <c r="S44" i="45"/>
  <c r="W44" i="45" s="1"/>
  <c r="R44" i="45"/>
  <c r="J44" i="45"/>
  <c r="F44" i="45"/>
  <c r="N44" i="45" s="1"/>
  <c r="S43" i="45"/>
  <c r="W43" i="45" s="1"/>
  <c r="F43" i="45"/>
  <c r="T43" i="45" s="1"/>
  <c r="S42" i="45"/>
  <c r="W42" i="45" s="1"/>
  <c r="P42" i="45"/>
  <c r="L42" i="45"/>
  <c r="F42" i="45"/>
  <c r="T42" i="45" s="1"/>
  <c r="S41" i="45"/>
  <c r="W41" i="45" s="1"/>
  <c r="F41" i="45"/>
  <c r="T41" i="45" s="1"/>
  <c r="S40" i="45"/>
  <c r="W40" i="45" s="1"/>
  <c r="P40" i="45"/>
  <c r="L40" i="45"/>
  <c r="F40" i="45"/>
  <c r="T40" i="45" s="1"/>
  <c r="V39" i="45"/>
  <c r="S39" i="45"/>
  <c r="W39" i="45" s="1"/>
  <c r="F39" i="45"/>
  <c r="S38" i="45"/>
  <c r="W38" i="45" s="1"/>
  <c r="F38" i="45"/>
  <c r="J38" i="45" s="1"/>
  <c r="S37" i="45"/>
  <c r="W37" i="45" s="1"/>
  <c r="X37" i="45" s="1"/>
  <c r="F37" i="45"/>
  <c r="L37" i="45" s="1"/>
  <c r="S36" i="45"/>
  <c r="W36" i="45" s="1"/>
  <c r="F36" i="45"/>
  <c r="L36" i="45" s="1"/>
  <c r="S35" i="45"/>
  <c r="W35" i="45" s="1"/>
  <c r="N35" i="45"/>
  <c r="F35" i="45"/>
  <c r="J35" i="45" s="1"/>
  <c r="S34" i="45"/>
  <c r="W34" i="45" s="1"/>
  <c r="F34" i="45"/>
  <c r="N34" i="45" s="1"/>
  <c r="S33" i="45"/>
  <c r="N33" i="45"/>
  <c r="L33" i="45"/>
  <c r="J33" i="45"/>
  <c r="F33" i="45"/>
  <c r="S32" i="45"/>
  <c r="F32" i="45"/>
  <c r="L32" i="45" s="1"/>
  <c r="S31" i="45"/>
  <c r="W31" i="45" s="1"/>
  <c r="F31" i="45"/>
  <c r="N31" i="45" s="1"/>
  <c r="S30" i="45"/>
  <c r="W30" i="45" s="1"/>
  <c r="F30" i="45"/>
  <c r="N30" i="45" s="1"/>
  <c r="S29" i="45"/>
  <c r="N29" i="45"/>
  <c r="F29" i="45"/>
  <c r="L29" i="45" s="1"/>
  <c r="S28" i="45"/>
  <c r="W28" i="45" s="1"/>
  <c r="F28" i="45"/>
  <c r="L28" i="45" s="1"/>
  <c r="S27" i="45"/>
  <c r="W27" i="45" s="1"/>
  <c r="N27" i="45"/>
  <c r="F27" i="45"/>
  <c r="J27" i="45" s="1"/>
  <c r="S26" i="45"/>
  <c r="W26" i="45" s="1"/>
  <c r="F26" i="45"/>
  <c r="N26" i="45" s="1"/>
  <c r="S25" i="45"/>
  <c r="N25" i="45"/>
  <c r="L25" i="45"/>
  <c r="J25" i="45"/>
  <c r="F25" i="45"/>
  <c r="S24" i="45"/>
  <c r="W24" i="45" s="1"/>
  <c r="F24" i="45"/>
  <c r="L24" i="45" s="1"/>
  <c r="S23" i="45"/>
  <c r="W23" i="45" s="1"/>
  <c r="F23" i="45"/>
  <c r="N23" i="45" s="1"/>
  <c r="S22" i="45"/>
  <c r="W22" i="45" s="1"/>
  <c r="F22" i="45"/>
  <c r="S21" i="45"/>
  <c r="W21" i="45" s="1"/>
  <c r="F21" i="45"/>
  <c r="J21" i="45" s="1"/>
  <c r="V20" i="45"/>
  <c r="S20" i="45"/>
  <c r="W20" i="45" s="1"/>
  <c r="L20" i="45"/>
  <c r="F20" i="45"/>
  <c r="J20" i="45" s="1"/>
  <c r="V19" i="45"/>
  <c r="S19" i="45"/>
  <c r="W19" i="45" s="1"/>
  <c r="L19" i="45"/>
  <c r="F19" i="45"/>
  <c r="J19" i="45" s="1"/>
  <c r="V18" i="45"/>
  <c r="S18" i="45"/>
  <c r="W18" i="45" s="1"/>
  <c r="L18" i="45"/>
  <c r="F18" i="45"/>
  <c r="J18" i="45" s="1"/>
  <c r="V17" i="45"/>
  <c r="S17" i="45"/>
  <c r="W17" i="45" s="1"/>
  <c r="L17" i="45"/>
  <c r="F17" i="45"/>
  <c r="J17" i="45" s="1"/>
  <c r="V16" i="45"/>
  <c r="S16" i="45"/>
  <c r="W16" i="45" s="1"/>
  <c r="L16" i="45"/>
  <c r="F16" i="45"/>
  <c r="J16" i="45" s="1"/>
  <c r="V15" i="45"/>
  <c r="S15" i="45"/>
  <c r="W15" i="45" s="1"/>
  <c r="L15" i="45"/>
  <c r="F15" i="45"/>
  <c r="J15" i="45" s="1"/>
  <c r="V14" i="45"/>
  <c r="S14" i="45"/>
  <c r="W14" i="45" s="1"/>
  <c r="L14" i="45"/>
  <c r="P14" i="45" s="1"/>
  <c r="J14" i="45"/>
  <c r="N14" i="45" s="1"/>
  <c r="R14" i="45" s="1"/>
  <c r="H14" i="45"/>
  <c r="F14" i="45"/>
  <c r="V13" i="45"/>
  <c r="S13" i="45"/>
  <c r="W13" i="45" s="1"/>
  <c r="X13" i="45" s="1"/>
  <c r="R13" i="45"/>
  <c r="L13" i="45"/>
  <c r="J13" i="45"/>
  <c r="H13" i="45"/>
  <c r="F13" i="45"/>
  <c r="P13" i="45" s="1"/>
  <c r="V12" i="45"/>
  <c r="S12" i="45"/>
  <c r="W12" i="45" s="1"/>
  <c r="J12" i="45"/>
  <c r="F12" i="45"/>
  <c r="L12" i="45" s="1"/>
  <c r="S11" i="45"/>
  <c r="T11" i="45" s="1"/>
  <c r="H11" i="45"/>
  <c r="L11" i="45" s="1"/>
  <c r="F11" i="45"/>
  <c r="S10" i="45"/>
  <c r="W10" i="45" s="1"/>
  <c r="F10" i="45"/>
  <c r="L10" i="45" s="1"/>
  <c r="R10" i="45" s="1"/>
  <c r="S9" i="45"/>
  <c r="W9" i="45" s="1"/>
  <c r="F9" i="45"/>
  <c r="V9" i="45" s="1"/>
  <c r="S8" i="45"/>
  <c r="W8" i="45" s="1"/>
  <c r="F8" i="45"/>
  <c r="V8" i="45" s="1"/>
  <c r="S7" i="45"/>
  <c r="W7" i="45" s="1"/>
  <c r="F7" i="45"/>
  <c r="V7" i="45" s="1"/>
  <c r="S6" i="45"/>
  <c r="W6" i="45" s="1"/>
  <c r="F6" i="45"/>
  <c r="V6" i="45" s="1"/>
  <c r="S5" i="45"/>
  <c r="W5" i="45" s="1"/>
  <c r="F5" i="45"/>
  <c r="V5" i="45" s="1"/>
  <c r="X41" i="45" l="1"/>
  <c r="P15" i="45"/>
  <c r="P16" i="45"/>
  <c r="P17" i="45"/>
  <c r="P18" i="45"/>
  <c r="P19" i="45"/>
  <c r="P20" i="45"/>
  <c r="V21" i="45"/>
  <c r="J23" i="45"/>
  <c r="T29" i="45"/>
  <c r="J31" i="45"/>
  <c r="H41" i="45"/>
  <c r="V41" i="45"/>
  <c r="T46" i="45"/>
  <c r="J48" i="45"/>
  <c r="H15" i="45"/>
  <c r="R15" i="45"/>
  <c r="H16" i="45"/>
  <c r="R16" i="45"/>
  <c r="H17" i="45"/>
  <c r="R17" i="45"/>
  <c r="H18" i="45"/>
  <c r="R18" i="45"/>
  <c r="H19" i="45"/>
  <c r="R19" i="45"/>
  <c r="H20" i="45"/>
  <c r="R20" i="45"/>
  <c r="H21" i="45"/>
  <c r="L21" i="45" s="1"/>
  <c r="J29" i="45"/>
  <c r="T32" i="45"/>
  <c r="J37" i="45"/>
  <c r="X40" i="45"/>
  <c r="L41" i="45"/>
  <c r="X42" i="45"/>
  <c r="J46" i="45"/>
  <c r="R48" i="45"/>
  <c r="T53" i="45"/>
  <c r="X14" i="45"/>
  <c r="X15" i="45"/>
  <c r="X16" i="45"/>
  <c r="X17" i="45"/>
  <c r="X18" i="45"/>
  <c r="X19" i="45"/>
  <c r="X20" i="45"/>
  <c r="T25" i="45"/>
  <c r="T33" i="45"/>
  <c r="J39" i="45"/>
  <c r="P39" i="45" s="1"/>
  <c r="L39" i="45"/>
  <c r="R39" i="45" s="1"/>
  <c r="H40" i="45"/>
  <c r="V40" i="45"/>
  <c r="P41" i="45"/>
  <c r="H42" i="45"/>
  <c r="V42" i="45"/>
  <c r="J50" i="45"/>
  <c r="J52" i="45"/>
  <c r="T35" i="45"/>
  <c r="H43" i="45"/>
  <c r="L43" i="45" s="1"/>
  <c r="H38" i="45"/>
  <c r="L38" i="45" s="1"/>
  <c r="V38" i="45"/>
  <c r="W52" i="45"/>
  <c r="X52" i="45" s="1"/>
  <c r="T36" i="45"/>
  <c r="W32" i="45"/>
  <c r="T44" i="45"/>
  <c r="T21" i="45"/>
  <c r="T28" i="45"/>
  <c r="T48" i="45"/>
  <c r="W11" i="45"/>
  <c r="X11" i="45" s="1"/>
  <c r="T15" i="45"/>
  <c r="T17" i="45"/>
  <c r="T18" i="45"/>
  <c r="T19" i="45"/>
  <c r="T20" i="45"/>
  <c r="X21" i="45"/>
  <c r="T10" i="45"/>
  <c r="T13" i="45"/>
  <c r="T14" i="45"/>
  <c r="T38" i="45"/>
  <c r="T54" i="45"/>
  <c r="T22" i="45"/>
  <c r="W46" i="45"/>
  <c r="X46" i="45" s="1"/>
  <c r="T31" i="45"/>
  <c r="T27" i="45"/>
  <c r="T24" i="45"/>
  <c r="T23" i="45"/>
  <c r="T16" i="45"/>
  <c r="N5" i="45"/>
  <c r="T5" i="45"/>
  <c r="N6" i="45"/>
  <c r="T6" i="45"/>
  <c r="N7" i="45"/>
  <c r="T7" i="45"/>
  <c r="N8" i="45"/>
  <c r="T9" i="45"/>
  <c r="X22" i="45"/>
  <c r="J5" i="45"/>
  <c r="R5" i="45"/>
  <c r="J6" i="45"/>
  <c r="R6" i="45"/>
  <c r="J7" i="45"/>
  <c r="R7" i="45"/>
  <c r="J8" i="45"/>
  <c r="R8" i="45"/>
  <c r="J9" i="45"/>
  <c r="R9" i="45"/>
  <c r="J10" i="45"/>
  <c r="P10" i="45" s="1"/>
  <c r="V10" i="45"/>
  <c r="X12" i="45"/>
  <c r="J22" i="45"/>
  <c r="V22" i="45"/>
  <c r="V24" i="45"/>
  <c r="P24" i="45"/>
  <c r="H24" i="45"/>
  <c r="R24" i="45"/>
  <c r="X24" i="45"/>
  <c r="W25" i="45"/>
  <c r="X25" i="45" s="1"/>
  <c r="L26" i="45"/>
  <c r="T26" i="45"/>
  <c r="V28" i="45"/>
  <c r="P28" i="45"/>
  <c r="H28" i="45"/>
  <c r="R28" i="45"/>
  <c r="X28" i="45"/>
  <c r="W29" i="45"/>
  <c r="X29" i="45" s="1"/>
  <c r="L30" i="45"/>
  <c r="T30" i="45"/>
  <c r="V32" i="45"/>
  <c r="P32" i="45"/>
  <c r="H32" i="45"/>
  <c r="R32" i="45"/>
  <c r="X32" i="45"/>
  <c r="W33" i="45"/>
  <c r="X33" i="45" s="1"/>
  <c r="L34" i="45"/>
  <c r="T34" i="45"/>
  <c r="V36" i="45"/>
  <c r="P36" i="45"/>
  <c r="H36" i="45"/>
  <c r="R36" i="45"/>
  <c r="X36" i="45"/>
  <c r="N45" i="45"/>
  <c r="X47" i="45"/>
  <c r="L47" i="45"/>
  <c r="V47" i="45"/>
  <c r="P47" i="45"/>
  <c r="H47" i="45"/>
  <c r="N49" i="45"/>
  <c r="X51" i="45"/>
  <c r="L51" i="45"/>
  <c r="V51" i="45"/>
  <c r="P51" i="45"/>
  <c r="H51" i="45"/>
  <c r="L5" i="45"/>
  <c r="X5" i="45"/>
  <c r="L6" i="45"/>
  <c r="X6" i="45"/>
  <c r="L7" i="45"/>
  <c r="X7" i="45"/>
  <c r="L8" i="45"/>
  <c r="X8" i="45"/>
  <c r="L9" i="45"/>
  <c r="X9" i="45"/>
  <c r="J11" i="45"/>
  <c r="V11" i="45"/>
  <c r="H12" i="45"/>
  <c r="T12" i="45"/>
  <c r="N13" i="45"/>
  <c r="N15" i="45"/>
  <c r="N16" i="45"/>
  <c r="N17" i="45"/>
  <c r="N18" i="45"/>
  <c r="N19" i="45"/>
  <c r="N20" i="45"/>
  <c r="L23" i="45"/>
  <c r="J24" i="45"/>
  <c r="V25" i="45"/>
  <c r="P25" i="45"/>
  <c r="H25" i="45"/>
  <c r="R25" i="45"/>
  <c r="L27" i="45"/>
  <c r="J28" i="45"/>
  <c r="V29" i="45"/>
  <c r="P29" i="45"/>
  <c r="H29" i="45"/>
  <c r="R29" i="45"/>
  <c r="L31" i="45"/>
  <c r="J32" i="45"/>
  <c r="V33" i="45"/>
  <c r="P33" i="45"/>
  <c r="H33" i="45"/>
  <c r="R33" i="45"/>
  <c r="L35" i="45"/>
  <c r="J36" i="45"/>
  <c r="T37" i="45"/>
  <c r="H37" i="45"/>
  <c r="V37" i="45"/>
  <c r="X43" i="45"/>
  <c r="L46" i="45"/>
  <c r="V46" i="45"/>
  <c r="P46" i="45"/>
  <c r="H46" i="45"/>
  <c r="J47" i="45"/>
  <c r="T47" i="45"/>
  <c r="X50" i="45"/>
  <c r="L50" i="45"/>
  <c r="V50" i="45"/>
  <c r="P50" i="45"/>
  <c r="H50" i="45"/>
  <c r="J51" i="45"/>
  <c r="T51" i="45"/>
  <c r="T8" i="45"/>
  <c r="N9" i="45"/>
  <c r="X10" i="45"/>
  <c r="V26" i="45"/>
  <c r="P26" i="45"/>
  <c r="H26" i="45"/>
  <c r="R26" i="45"/>
  <c r="X26" i="45"/>
  <c r="V30" i="45"/>
  <c r="P30" i="45"/>
  <c r="H30" i="45"/>
  <c r="R30" i="45"/>
  <c r="X30" i="45"/>
  <c r="V34" i="45"/>
  <c r="P34" i="45"/>
  <c r="H34" i="45"/>
  <c r="R34" i="45"/>
  <c r="X34" i="45"/>
  <c r="X45" i="45"/>
  <c r="L45" i="45"/>
  <c r="V45" i="45"/>
  <c r="P45" i="45"/>
  <c r="H45" i="45"/>
  <c r="X49" i="45"/>
  <c r="L49" i="45"/>
  <c r="V49" i="45"/>
  <c r="P49" i="45"/>
  <c r="H49" i="45"/>
  <c r="H5" i="45"/>
  <c r="P5" i="45"/>
  <c r="H6" i="45"/>
  <c r="P6" i="45"/>
  <c r="H7" i="45"/>
  <c r="P7" i="45"/>
  <c r="H8" i="45"/>
  <c r="P8" i="45"/>
  <c r="H9" i="45"/>
  <c r="P9" i="45"/>
  <c r="H10" i="45"/>
  <c r="N10" i="45" s="1"/>
  <c r="H22" i="45"/>
  <c r="L22" i="45" s="1"/>
  <c r="V23" i="45"/>
  <c r="P23" i="45"/>
  <c r="H23" i="45"/>
  <c r="R23" i="45"/>
  <c r="X23" i="45"/>
  <c r="N24" i="45"/>
  <c r="J26" i="45"/>
  <c r="V27" i="45"/>
  <c r="P27" i="45"/>
  <c r="H27" i="45"/>
  <c r="R27" i="45"/>
  <c r="X27" i="45"/>
  <c r="N28" i="45"/>
  <c r="J30" i="45"/>
  <c r="V31" i="45"/>
  <c r="P31" i="45"/>
  <c r="H31" i="45"/>
  <c r="R31" i="45"/>
  <c r="X31" i="45"/>
  <c r="N32" i="45"/>
  <c r="J34" i="45"/>
  <c r="V35" i="45"/>
  <c r="P35" i="45"/>
  <c r="H35" i="45"/>
  <c r="R35" i="45"/>
  <c r="X35" i="45"/>
  <c r="N36" i="45"/>
  <c r="X38" i="45"/>
  <c r="T39" i="45"/>
  <c r="H39" i="45"/>
  <c r="N39" i="45" s="1"/>
  <c r="X39" i="45"/>
  <c r="X44" i="45"/>
  <c r="L44" i="45"/>
  <c r="V44" i="45"/>
  <c r="P44" i="45"/>
  <c r="H44" i="45"/>
  <c r="J45" i="45"/>
  <c r="T45" i="45"/>
  <c r="R47" i="45"/>
  <c r="X48" i="45"/>
  <c r="L48" i="45"/>
  <c r="V48" i="45"/>
  <c r="P48" i="45"/>
  <c r="H48" i="45"/>
  <c r="J49" i="45"/>
  <c r="T49" i="45"/>
  <c r="R51" i="45"/>
  <c r="L52" i="45"/>
  <c r="V52" i="45"/>
  <c r="P52" i="45"/>
  <c r="H52" i="45"/>
  <c r="J40" i="45"/>
  <c r="R40" i="45"/>
  <c r="J41" i="45"/>
  <c r="R41" i="45"/>
  <c r="J42" i="45"/>
  <c r="R42" i="45"/>
  <c r="J43" i="45"/>
  <c r="V43" i="45"/>
  <c r="N40" i="45"/>
  <c r="N41" i="45"/>
  <c r="N42" i="45"/>
  <c r="V54" i="44"/>
  <c r="S54" i="44"/>
  <c r="W54" i="44" s="1"/>
  <c r="X54" i="44" s="1"/>
  <c r="J54" i="44"/>
  <c r="H54" i="44"/>
  <c r="L54" i="44" s="1"/>
  <c r="V53" i="44"/>
  <c r="S53" i="44"/>
  <c r="W53" i="44" s="1"/>
  <c r="X53" i="44" s="1"/>
  <c r="J53" i="44"/>
  <c r="H53" i="44"/>
  <c r="L53" i="44" s="1"/>
  <c r="S52" i="44"/>
  <c r="W52" i="44" s="1"/>
  <c r="F52" i="44"/>
  <c r="P52" i="44" s="1"/>
  <c r="S51" i="44"/>
  <c r="W51" i="44" s="1"/>
  <c r="F51" i="44"/>
  <c r="V51" i="44" s="1"/>
  <c r="S50" i="44"/>
  <c r="W50" i="44" s="1"/>
  <c r="F50" i="44"/>
  <c r="P50" i="44" s="1"/>
  <c r="S49" i="44"/>
  <c r="W49" i="44" s="1"/>
  <c r="P49" i="44"/>
  <c r="N49" i="44"/>
  <c r="F49" i="44"/>
  <c r="V49" i="44" s="1"/>
  <c r="S48" i="44"/>
  <c r="W48" i="44" s="1"/>
  <c r="F48" i="44"/>
  <c r="P48" i="44" s="1"/>
  <c r="S47" i="44"/>
  <c r="W47" i="44" s="1"/>
  <c r="F47" i="44"/>
  <c r="S46" i="44"/>
  <c r="W46" i="44" s="1"/>
  <c r="F46" i="44"/>
  <c r="P46" i="44" s="1"/>
  <c r="S45" i="44"/>
  <c r="W45" i="44" s="1"/>
  <c r="P45" i="44"/>
  <c r="N45" i="44"/>
  <c r="F45" i="44"/>
  <c r="V45" i="44" s="1"/>
  <c r="S44" i="44"/>
  <c r="W44" i="44" s="1"/>
  <c r="F44" i="44"/>
  <c r="P44" i="44" s="1"/>
  <c r="S43" i="44"/>
  <c r="W43" i="44" s="1"/>
  <c r="F43" i="44"/>
  <c r="J43" i="44" s="1"/>
  <c r="S42" i="44"/>
  <c r="W42" i="44" s="1"/>
  <c r="P42" i="44"/>
  <c r="F42" i="44"/>
  <c r="V42" i="44" s="1"/>
  <c r="V41" i="44"/>
  <c r="S41" i="44"/>
  <c r="W41" i="44" s="1"/>
  <c r="P41" i="44"/>
  <c r="J41" i="44"/>
  <c r="F41" i="44"/>
  <c r="H41" i="44" s="1"/>
  <c r="S40" i="44"/>
  <c r="W40" i="44" s="1"/>
  <c r="F40" i="44"/>
  <c r="J40" i="44" s="1"/>
  <c r="S39" i="44"/>
  <c r="T39" i="44" s="1"/>
  <c r="J39" i="44"/>
  <c r="H39" i="44"/>
  <c r="L39" i="44" s="1"/>
  <c r="F39" i="44"/>
  <c r="V39" i="44" s="1"/>
  <c r="S38" i="44"/>
  <c r="W38" i="44" s="1"/>
  <c r="F38" i="44"/>
  <c r="S37" i="44"/>
  <c r="W37" i="44" s="1"/>
  <c r="X37" i="44" s="1"/>
  <c r="F37" i="44"/>
  <c r="L37" i="44" s="1"/>
  <c r="V36" i="44"/>
  <c r="S36" i="44"/>
  <c r="W36" i="44" s="1"/>
  <c r="F36" i="44"/>
  <c r="N36" i="44" s="1"/>
  <c r="S35" i="44"/>
  <c r="W35" i="44" s="1"/>
  <c r="F35" i="44"/>
  <c r="S34" i="44"/>
  <c r="W34" i="44" s="1"/>
  <c r="L34" i="44"/>
  <c r="H34" i="44"/>
  <c r="F34" i="44"/>
  <c r="V34" i="44" s="1"/>
  <c r="S33" i="44"/>
  <c r="W33" i="44" s="1"/>
  <c r="N33" i="44"/>
  <c r="F33" i="44"/>
  <c r="L33" i="44" s="1"/>
  <c r="V32" i="44"/>
  <c r="S32" i="44"/>
  <c r="W32" i="44" s="1"/>
  <c r="F32" i="44"/>
  <c r="N32" i="44" s="1"/>
  <c r="S31" i="44"/>
  <c r="W31" i="44" s="1"/>
  <c r="F31" i="44"/>
  <c r="S30" i="44"/>
  <c r="W30" i="44" s="1"/>
  <c r="L30" i="44"/>
  <c r="H30" i="44"/>
  <c r="F30" i="44"/>
  <c r="V30" i="44" s="1"/>
  <c r="S29" i="44"/>
  <c r="W29" i="44" s="1"/>
  <c r="N29" i="44"/>
  <c r="F29" i="44"/>
  <c r="L29" i="44" s="1"/>
  <c r="V28" i="44"/>
  <c r="S28" i="44"/>
  <c r="W28" i="44" s="1"/>
  <c r="F28" i="44"/>
  <c r="N28" i="44" s="1"/>
  <c r="S27" i="44"/>
  <c r="W27" i="44" s="1"/>
  <c r="F27" i="44"/>
  <c r="S26" i="44"/>
  <c r="W26" i="44" s="1"/>
  <c r="L26" i="44"/>
  <c r="H26" i="44"/>
  <c r="F26" i="44"/>
  <c r="V26" i="44" s="1"/>
  <c r="S25" i="44"/>
  <c r="W25" i="44" s="1"/>
  <c r="N25" i="44"/>
  <c r="F25" i="44"/>
  <c r="L25" i="44" s="1"/>
  <c r="V24" i="44"/>
  <c r="S24" i="44"/>
  <c r="W24" i="44" s="1"/>
  <c r="F24" i="44"/>
  <c r="N24" i="44" s="1"/>
  <c r="S23" i="44"/>
  <c r="W23" i="44" s="1"/>
  <c r="X23" i="44" s="1"/>
  <c r="F23" i="44"/>
  <c r="R23" i="44" s="1"/>
  <c r="S22" i="44"/>
  <c r="T22" i="44" s="1"/>
  <c r="F22" i="44"/>
  <c r="J22" i="44" s="1"/>
  <c r="S21" i="44"/>
  <c r="W21" i="44" s="1"/>
  <c r="F21" i="44"/>
  <c r="V21" i="44" s="1"/>
  <c r="S20" i="44"/>
  <c r="W20" i="44" s="1"/>
  <c r="F20" i="44"/>
  <c r="R20" i="44" s="1"/>
  <c r="S19" i="44"/>
  <c r="W19" i="44" s="1"/>
  <c r="F19" i="44"/>
  <c r="R19" i="44" s="1"/>
  <c r="S18" i="44"/>
  <c r="W18" i="44" s="1"/>
  <c r="X18" i="44" s="1"/>
  <c r="F18" i="44"/>
  <c r="R18" i="44" s="1"/>
  <c r="S17" i="44"/>
  <c r="W17" i="44" s="1"/>
  <c r="X17" i="44" s="1"/>
  <c r="L17" i="44"/>
  <c r="F17" i="44"/>
  <c r="R17" i="44" s="1"/>
  <c r="S16" i="44"/>
  <c r="W16" i="44" s="1"/>
  <c r="F16" i="44"/>
  <c r="R16" i="44" s="1"/>
  <c r="S15" i="44"/>
  <c r="W15" i="44" s="1"/>
  <c r="F15" i="44"/>
  <c r="R15" i="44" s="1"/>
  <c r="S14" i="44"/>
  <c r="W14" i="44" s="1"/>
  <c r="X14" i="44" s="1"/>
  <c r="F14" i="44"/>
  <c r="J14" i="44" s="1"/>
  <c r="N14" i="44" s="1"/>
  <c r="R14" i="44" s="1"/>
  <c r="S13" i="44"/>
  <c r="W13" i="44" s="1"/>
  <c r="X13" i="44" s="1"/>
  <c r="L13" i="44"/>
  <c r="F13" i="44"/>
  <c r="R13" i="44" s="1"/>
  <c r="S12" i="44"/>
  <c r="W12" i="44" s="1"/>
  <c r="F12" i="44"/>
  <c r="L12" i="44" s="1"/>
  <c r="S11" i="44"/>
  <c r="W11" i="44" s="1"/>
  <c r="F11" i="44"/>
  <c r="J11" i="44" s="1"/>
  <c r="S10" i="44"/>
  <c r="J10" i="44"/>
  <c r="F10" i="44"/>
  <c r="V10" i="44" s="1"/>
  <c r="V9" i="44"/>
  <c r="S9" i="44"/>
  <c r="W9" i="44" s="1"/>
  <c r="X9" i="44" s="1"/>
  <c r="L9" i="44"/>
  <c r="J9" i="44"/>
  <c r="F9" i="44"/>
  <c r="R9" i="44" s="1"/>
  <c r="V8" i="44"/>
  <c r="S8" i="44"/>
  <c r="W8" i="44" s="1"/>
  <c r="X8" i="44" s="1"/>
  <c r="L8" i="44"/>
  <c r="J8" i="44"/>
  <c r="F8" i="44"/>
  <c r="R8" i="44" s="1"/>
  <c r="V7" i="44"/>
  <c r="S7" i="44"/>
  <c r="W7" i="44" s="1"/>
  <c r="X7" i="44" s="1"/>
  <c r="L7" i="44"/>
  <c r="J7" i="44"/>
  <c r="F7" i="44"/>
  <c r="R7" i="44" s="1"/>
  <c r="V6" i="44"/>
  <c r="S6" i="44"/>
  <c r="W6" i="44" s="1"/>
  <c r="X6" i="44" s="1"/>
  <c r="L6" i="44"/>
  <c r="J6" i="44"/>
  <c r="F6" i="44"/>
  <c r="R6" i="44" s="1"/>
  <c r="V5" i="44"/>
  <c r="S5" i="44"/>
  <c r="W5" i="44" s="1"/>
  <c r="X5" i="44" s="1"/>
  <c r="L5" i="44"/>
  <c r="J5" i="44"/>
  <c r="F5" i="44"/>
  <c r="R5" i="44" s="1"/>
  <c r="V11" i="44" l="1"/>
  <c r="V43" i="44"/>
  <c r="L20" i="44"/>
  <c r="H23" i="44"/>
  <c r="R42" i="44"/>
  <c r="H43" i="44"/>
  <c r="L43" i="44" s="1"/>
  <c r="H37" i="44"/>
  <c r="R41" i="44"/>
  <c r="H42" i="44"/>
  <c r="H44" i="44"/>
  <c r="H11" i="44"/>
  <c r="L11" i="44" s="1"/>
  <c r="L16" i="44"/>
  <c r="V44" i="44"/>
  <c r="V48" i="44"/>
  <c r="V52" i="44"/>
  <c r="P5" i="44"/>
  <c r="P6" i="44"/>
  <c r="P7" i="44"/>
  <c r="P8" i="44"/>
  <c r="P9" i="44"/>
  <c r="T10" i="44"/>
  <c r="L15" i="44"/>
  <c r="X16" i="44"/>
  <c r="L19" i="44"/>
  <c r="X20" i="44"/>
  <c r="H22" i="44"/>
  <c r="L22" i="44" s="1"/>
  <c r="V22" i="44"/>
  <c r="J23" i="44"/>
  <c r="H25" i="44"/>
  <c r="V25" i="44"/>
  <c r="H29" i="44"/>
  <c r="V29" i="44"/>
  <c r="H33" i="44"/>
  <c r="V33" i="44"/>
  <c r="H48" i="44"/>
  <c r="H52" i="44"/>
  <c r="H5" i="44"/>
  <c r="H6" i="44"/>
  <c r="H7" i="44"/>
  <c r="H8" i="44"/>
  <c r="H9" i="44"/>
  <c r="H10" i="44"/>
  <c r="L10" i="44" s="1"/>
  <c r="L14" i="44"/>
  <c r="P14" i="44" s="1"/>
  <c r="X15" i="44"/>
  <c r="L18" i="44"/>
  <c r="X19" i="44"/>
  <c r="W22" i="44"/>
  <c r="P23" i="44"/>
  <c r="J42" i="44"/>
  <c r="N44" i="44"/>
  <c r="H45" i="44"/>
  <c r="N48" i="44"/>
  <c r="H49" i="44"/>
  <c r="N52" i="44"/>
  <c r="T52" i="44"/>
  <c r="T41" i="44"/>
  <c r="T43" i="44"/>
  <c r="T45" i="44"/>
  <c r="T5" i="44"/>
  <c r="T7" i="44"/>
  <c r="W39" i="44"/>
  <c r="X39" i="44" s="1"/>
  <c r="T8" i="44"/>
  <c r="W10" i="44"/>
  <c r="X10" i="44" s="1"/>
  <c r="T33" i="44"/>
  <c r="T48" i="44"/>
  <c r="T44" i="44"/>
  <c r="T53" i="44"/>
  <c r="T11" i="44"/>
  <c r="T35" i="44"/>
  <c r="T54" i="44"/>
  <c r="X22" i="44"/>
  <c r="T6" i="44"/>
  <c r="T49" i="44"/>
  <c r="T42" i="44"/>
  <c r="T29" i="44"/>
  <c r="T25" i="44"/>
  <c r="T9" i="44"/>
  <c r="X11" i="44"/>
  <c r="X12" i="44"/>
  <c r="R27" i="44"/>
  <c r="J27" i="44"/>
  <c r="R31" i="44"/>
  <c r="J31" i="44"/>
  <c r="X31" i="44"/>
  <c r="P35" i="44"/>
  <c r="X35" i="44"/>
  <c r="P40" i="44"/>
  <c r="X47" i="44"/>
  <c r="L47" i="44"/>
  <c r="R47" i="44"/>
  <c r="J47" i="44"/>
  <c r="H12" i="44"/>
  <c r="T12" i="44"/>
  <c r="N13" i="44"/>
  <c r="T13" i="44"/>
  <c r="T15" i="44"/>
  <c r="N16" i="44"/>
  <c r="T16" i="44"/>
  <c r="N17" i="44"/>
  <c r="T17" i="44"/>
  <c r="N18" i="44"/>
  <c r="T18" i="44"/>
  <c r="N19" i="44"/>
  <c r="T19" i="44"/>
  <c r="N20" i="44"/>
  <c r="T20" i="44"/>
  <c r="R24" i="44"/>
  <c r="J24" i="44"/>
  <c r="P24" i="44"/>
  <c r="X24" i="44"/>
  <c r="T26" i="44"/>
  <c r="H27" i="44"/>
  <c r="R28" i="44"/>
  <c r="J28" i="44"/>
  <c r="P28" i="44"/>
  <c r="X28" i="44"/>
  <c r="T30" i="44"/>
  <c r="H31" i="44"/>
  <c r="R32" i="44"/>
  <c r="J32" i="44"/>
  <c r="P32" i="44"/>
  <c r="X32" i="44"/>
  <c r="T34" i="44"/>
  <c r="H35" i="44"/>
  <c r="R36" i="44"/>
  <c r="J36" i="44"/>
  <c r="P36" i="44"/>
  <c r="X36" i="44"/>
  <c r="T38" i="44"/>
  <c r="H38" i="44"/>
  <c r="L38" i="44" s="1"/>
  <c r="V38" i="44"/>
  <c r="H40" i="44"/>
  <c r="R40" i="44"/>
  <c r="X43" i="44"/>
  <c r="X46" i="44"/>
  <c r="L46" i="44"/>
  <c r="R46" i="44"/>
  <c r="J46" i="44"/>
  <c r="H47" i="44"/>
  <c r="T47" i="44"/>
  <c r="X50" i="44"/>
  <c r="L50" i="44"/>
  <c r="R50" i="44"/>
  <c r="J50" i="44"/>
  <c r="H51" i="44"/>
  <c r="T51" i="44"/>
  <c r="N5" i="44"/>
  <c r="N6" i="44"/>
  <c r="N7" i="44"/>
  <c r="N8" i="44"/>
  <c r="N9" i="44"/>
  <c r="J12" i="44"/>
  <c r="V12" i="44"/>
  <c r="H13" i="44"/>
  <c r="P13" i="44"/>
  <c r="V13" i="44"/>
  <c r="H14" i="44"/>
  <c r="V14" i="44"/>
  <c r="H15" i="44"/>
  <c r="P15" i="44"/>
  <c r="V15" i="44"/>
  <c r="H16" i="44"/>
  <c r="P16" i="44"/>
  <c r="V16" i="44"/>
  <c r="H17" i="44"/>
  <c r="P17" i="44"/>
  <c r="V17" i="44"/>
  <c r="H18" i="44"/>
  <c r="P18" i="44"/>
  <c r="V18" i="44"/>
  <c r="H19" i="44"/>
  <c r="P19" i="44"/>
  <c r="V19" i="44"/>
  <c r="H20" i="44"/>
  <c r="P20" i="44"/>
  <c r="V20" i="44"/>
  <c r="H21" i="44"/>
  <c r="L21" i="44" s="1"/>
  <c r="T21" i="44"/>
  <c r="L23" i="44"/>
  <c r="T23" i="44"/>
  <c r="H24" i="44"/>
  <c r="R25" i="44"/>
  <c r="J25" i="44"/>
  <c r="P25" i="44"/>
  <c r="X25" i="44"/>
  <c r="N26" i="44"/>
  <c r="L27" i="44"/>
  <c r="T27" i="44"/>
  <c r="H28" i="44"/>
  <c r="R29" i="44"/>
  <c r="J29" i="44"/>
  <c r="P29" i="44"/>
  <c r="X29" i="44"/>
  <c r="N30" i="44"/>
  <c r="L31" i="44"/>
  <c r="T31" i="44"/>
  <c r="H32" i="44"/>
  <c r="R33" i="44"/>
  <c r="J33" i="44"/>
  <c r="P33" i="44"/>
  <c r="X33" i="44"/>
  <c r="N34" i="44"/>
  <c r="L35" i="44"/>
  <c r="H36" i="44"/>
  <c r="V37" i="44"/>
  <c r="J37" i="44"/>
  <c r="T37" i="44"/>
  <c r="J38" i="44"/>
  <c r="X45" i="44"/>
  <c r="L45" i="44"/>
  <c r="R45" i="44"/>
  <c r="J45" i="44"/>
  <c r="H46" i="44"/>
  <c r="T46" i="44"/>
  <c r="N47" i="44"/>
  <c r="V47" i="44"/>
  <c r="X49" i="44"/>
  <c r="L49" i="44"/>
  <c r="R49" i="44"/>
  <c r="J49" i="44"/>
  <c r="H50" i="44"/>
  <c r="T50" i="44"/>
  <c r="N51" i="44"/>
  <c r="P27" i="44"/>
  <c r="X27" i="44"/>
  <c r="P31" i="44"/>
  <c r="R35" i="44"/>
  <c r="J35" i="44"/>
  <c r="T40" i="44"/>
  <c r="X40" i="44"/>
  <c r="L40" i="44"/>
  <c r="X51" i="44"/>
  <c r="L51" i="44"/>
  <c r="R51" i="44"/>
  <c r="J51" i="44"/>
  <c r="T14" i="44"/>
  <c r="N15" i="44"/>
  <c r="X21" i="44"/>
  <c r="J13" i="44"/>
  <c r="J15" i="44"/>
  <c r="J16" i="44"/>
  <c r="J17" i="44"/>
  <c r="J18" i="44"/>
  <c r="J19" i="44"/>
  <c r="J20" i="44"/>
  <c r="J21" i="44"/>
  <c r="N23" i="44"/>
  <c r="V23" i="44"/>
  <c r="L24" i="44"/>
  <c r="T24" i="44"/>
  <c r="R26" i="44"/>
  <c r="J26" i="44"/>
  <c r="P26" i="44"/>
  <c r="X26" i="44"/>
  <c r="N27" i="44"/>
  <c r="V27" i="44"/>
  <c r="L28" i="44"/>
  <c r="T28" i="44"/>
  <c r="R30" i="44"/>
  <c r="J30" i="44"/>
  <c r="P30" i="44"/>
  <c r="X30" i="44"/>
  <c r="N31" i="44"/>
  <c r="V31" i="44"/>
  <c r="L32" i="44"/>
  <c r="T32" i="44"/>
  <c r="R34" i="44"/>
  <c r="J34" i="44"/>
  <c r="P34" i="44"/>
  <c r="X34" i="44"/>
  <c r="N35" i="44"/>
  <c r="V35" i="44"/>
  <c r="L36" i="44"/>
  <c r="T36" i="44"/>
  <c r="X38" i="44"/>
  <c r="N40" i="44"/>
  <c r="V40" i="44"/>
  <c r="X44" i="44"/>
  <c r="L44" i="44"/>
  <c r="R44" i="44"/>
  <c r="J44" i="44"/>
  <c r="N46" i="44"/>
  <c r="V46" i="44"/>
  <c r="P47" i="44"/>
  <c r="X48" i="44"/>
  <c r="L48" i="44"/>
  <c r="R48" i="44"/>
  <c r="J48" i="44"/>
  <c r="N50" i="44"/>
  <c r="V50" i="44"/>
  <c r="P51" i="44"/>
  <c r="X52" i="44"/>
  <c r="L52" i="44"/>
  <c r="R52" i="44"/>
  <c r="J52" i="44"/>
  <c r="L41" i="44"/>
  <c r="X41" i="44"/>
  <c r="L42" i="44"/>
  <c r="X42" i="44"/>
  <c r="N41" i="44"/>
  <c r="N42" i="44"/>
  <c r="V54" i="43"/>
  <c r="S54" i="43"/>
  <c r="W54" i="43" s="1"/>
  <c r="X54" i="43" s="1"/>
  <c r="L54" i="43"/>
  <c r="J54" i="43"/>
  <c r="H54" i="43"/>
  <c r="V53" i="43"/>
  <c r="S53" i="43"/>
  <c r="W53" i="43" s="1"/>
  <c r="X53" i="43" s="1"/>
  <c r="J53" i="43"/>
  <c r="H53" i="43"/>
  <c r="L53" i="43" s="1"/>
  <c r="S52" i="43"/>
  <c r="W52" i="43" s="1"/>
  <c r="R52" i="43"/>
  <c r="F52" i="43"/>
  <c r="N52" i="43" s="1"/>
  <c r="S51" i="43"/>
  <c r="W51" i="43" s="1"/>
  <c r="N51" i="43"/>
  <c r="F51" i="43"/>
  <c r="S50" i="43"/>
  <c r="R50" i="43"/>
  <c r="N50" i="43"/>
  <c r="F50" i="43"/>
  <c r="J50" i="43" s="1"/>
  <c r="S49" i="43"/>
  <c r="W49" i="43" s="1"/>
  <c r="F49" i="43"/>
  <c r="R49" i="43" s="1"/>
  <c r="S48" i="43"/>
  <c r="W48" i="43" s="1"/>
  <c r="F48" i="43"/>
  <c r="N48" i="43" s="1"/>
  <c r="S47" i="43"/>
  <c r="W47" i="43" s="1"/>
  <c r="F47" i="43"/>
  <c r="N47" i="43" s="1"/>
  <c r="V46" i="43"/>
  <c r="S46" i="43"/>
  <c r="W46" i="43" s="1"/>
  <c r="L46" i="43"/>
  <c r="F46" i="43"/>
  <c r="J46" i="43" s="1"/>
  <c r="V45" i="43"/>
  <c r="S45" i="43"/>
  <c r="W45" i="43" s="1"/>
  <c r="L45" i="43"/>
  <c r="F45" i="43"/>
  <c r="J45" i="43" s="1"/>
  <c r="V44" i="43"/>
  <c r="S44" i="43"/>
  <c r="W44" i="43" s="1"/>
  <c r="L44" i="43"/>
  <c r="F44" i="43"/>
  <c r="J44" i="43" s="1"/>
  <c r="S43" i="43"/>
  <c r="W43" i="43" s="1"/>
  <c r="F43" i="43"/>
  <c r="S42" i="43"/>
  <c r="R42" i="43"/>
  <c r="N42" i="43"/>
  <c r="F42" i="43"/>
  <c r="J42" i="43" s="1"/>
  <c r="S41" i="43"/>
  <c r="W41" i="43" s="1"/>
  <c r="F41" i="43"/>
  <c r="R41" i="43" s="1"/>
  <c r="S40" i="43"/>
  <c r="W40" i="43" s="1"/>
  <c r="F40" i="43"/>
  <c r="N40" i="43" s="1"/>
  <c r="S39" i="43"/>
  <c r="W39" i="43" s="1"/>
  <c r="F39" i="43"/>
  <c r="H39" i="43" s="1"/>
  <c r="L39" i="43" s="1"/>
  <c r="S38" i="43"/>
  <c r="W38" i="43" s="1"/>
  <c r="F38" i="43"/>
  <c r="S37" i="43"/>
  <c r="T37" i="43" s="1"/>
  <c r="L37" i="43"/>
  <c r="F37" i="43"/>
  <c r="J37" i="43" s="1"/>
  <c r="V36" i="43"/>
  <c r="S36" i="43"/>
  <c r="W36" i="43" s="1"/>
  <c r="L36" i="43"/>
  <c r="F36" i="43"/>
  <c r="J36" i="43" s="1"/>
  <c r="V35" i="43"/>
  <c r="S35" i="43"/>
  <c r="W35" i="43" s="1"/>
  <c r="L35" i="43"/>
  <c r="F35" i="43"/>
  <c r="J35" i="43" s="1"/>
  <c r="V34" i="43"/>
  <c r="S34" i="43"/>
  <c r="W34" i="43" s="1"/>
  <c r="L34" i="43"/>
  <c r="F34" i="43"/>
  <c r="J34" i="43" s="1"/>
  <c r="V33" i="43"/>
  <c r="S33" i="43"/>
  <c r="W33" i="43" s="1"/>
  <c r="L33" i="43"/>
  <c r="F33" i="43"/>
  <c r="J33" i="43" s="1"/>
  <c r="V32" i="43"/>
  <c r="S32" i="43"/>
  <c r="W32" i="43" s="1"/>
  <c r="L32" i="43"/>
  <c r="F32" i="43"/>
  <c r="J32" i="43" s="1"/>
  <c r="V31" i="43"/>
  <c r="S31" i="43"/>
  <c r="W31" i="43" s="1"/>
  <c r="L31" i="43"/>
  <c r="F31" i="43"/>
  <c r="J31" i="43" s="1"/>
  <c r="V30" i="43"/>
  <c r="S30" i="43"/>
  <c r="W30" i="43" s="1"/>
  <c r="L30" i="43"/>
  <c r="F30" i="43"/>
  <c r="J30" i="43" s="1"/>
  <c r="V29" i="43"/>
  <c r="S29" i="43"/>
  <c r="W29" i="43" s="1"/>
  <c r="L29" i="43"/>
  <c r="F29" i="43"/>
  <c r="J29" i="43" s="1"/>
  <c r="V28" i="43"/>
  <c r="S28" i="43"/>
  <c r="W28" i="43" s="1"/>
  <c r="L28" i="43"/>
  <c r="F28" i="43"/>
  <c r="J28" i="43" s="1"/>
  <c r="V27" i="43"/>
  <c r="S27" i="43"/>
  <c r="W27" i="43" s="1"/>
  <c r="L27" i="43"/>
  <c r="F27" i="43"/>
  <c r="J27" i="43" s="1"/>
  <c r="V26" i="43"/>
  <c r="S26" i="43"/>
  <c r="W26" i="43" s="1"/>
  <c r="L26" i="43"/>
  <c r="F26" i="43"/>
  <c r="J26" i="43" s="1"/>
  <c r="V25" i="43"/>
  <c r="S25" i="43"/>
  <c r="W25" i="43" s="1"/>
  <c r="L25" i="43"/>
  <c r="F25" i="43"/>
  <c r="J25" i="43" s="1"/>
  <c r="V24" i="43"/>
  <c r="S24" i="43"/>
  <c r="W24" i="43" s="1"/>
  <c r="L24" i="43"/>
  <c r="F24" i="43"/>
  <c r="J24" i="43" s="1"/>
  <c r="V23" i="43"/>
  <c r="S23" i="43"/>
  <c r="W23" i="43" s="1"/>
  <c r="L23" i="43"/>
  <c r="F23" i="43"/>
  <c r="J23" i="43" s="1"/>
  <c r="S22" i="43"/>
  <c r="W22" i="43" s="1"/>
  <c r="X22" i="43" s="1"/>
  <c r="J22" i="43"/>
  <c r="F22" i="43"/>
  <c r="S21" i="43"/>
  <c r="W21" i="43" s="1"/>
  <c r="F21" i="43"/>
  <c r="V20" i="43"/>
  <c r="S20" i="43"/>
  <c r="W20" i="43" s="1"/>
  <c r="N20" i="43"/>
  <c r="L20" i="43"/>
  <c r="H20" i="43"/>
  <c r="F20" i="43"/>
  <c r="S19" i="43"/>
  <c r="W19" i="43" s="1"/>
  <c r="L19" i="43"/>
  <c r="F19" i="43"/>
  <c r="S18" i="43"/>
  <c r="W18" i="43" s="1"/>
  <c r="N18" i="43"/>
  <c r="H18" i="43"/>
  <c r="F18" i="43"/>
  <c r="V18" i="43" s="1"/>
  <c r="S17" i="43"/>
  <c r="W17" i="43" s="1"/>
  <c r="F17" i="43"/>
  <c r="V16" i="43"/>
  <c r="S16" i="43"/>
  <c r="W16" i="43" s="1"/>
  <c r="P16" i="43"/>
  <c r="L16" i="43"/>
  <c r="H16" i="43"/>
  <c r="F16" i="43"/>
  <c r="S15" i="43"/>
  <c r="W15" i="43" s="1"/>
  <c r="X15" i="43" s="1"/>
  <c r="F15" i="43"/>
  <c r="P15" i="43" s="1"/>
  <c r="S14" i="43"/>
  <c r="W14" i="43" s="1"/>
  <c r="L14" i="43"/>
  <c r="P14" i="43" s="1"/>
  <c r="H14" i="43"/>
  <c r="F14" i="43"/>
  <c r="V14" i="43" s="1"/>
  <c r="S13" i="43"/>
  <c r="W13" i="43" s="1"/>
  <c r="X13" i="43" s="1"/>
  <c r="P13" i="43"/>
  <c r="F13" i="43"/>
  <c r="T13" i="43" s="1"/>
  <c r="S12" i="43"/>
  <c r="W12" i="43" s="1"/>
  <c r="F12" i="43"/>
  <c r="S11" i="43"/>
  <c r="W11" i="43" s="1"/>
  <c r="F11" i="43"/>
  <c r="V11" i="43" s="1"/>
  <c r="S10" i="43"/>
  <c r="W10" i="43" s="1"/>
  <c r="F10" i="43"/>
  <c r="V10" i="43" s="1"/>
  <c r="S9" i="43"/>
  <c r="W9" i="43" s="1"/>
  <c r="F9" i="43"/>
  <c r="R9" i="43" s="1"/>
  <c r="S8" i="43"/>
  <c r="W8" i="43" s="1"/>
  <c r="F8" i="43"/>
  <c r="J8" i="43" s="1"/>
  <c r="S7" i="43"/>
  <c r="W7" i="43" s="1"/>
  <c r="F7" i="43"/>
  <c r="R7" i="43" s="1"/>
  <c r="S6" i="43"/>
  <c r="W6" i="43" s="1"/>
  <c r="F6" i="43"/>
  <c r="J6" i="43" s="1"/>
  <c r="S5" i="43"/>
  <c r="W5" i="43" s="1"/>
  <c r="F5" i="43"/>
  <c r="R5" i="43" s="1"/>
  <c r="T11" i="43" l="1"/>
  <c r="J5" i="43"/>
  <c r="J7" i="43"/>
  <c r="J9" i="43"/>
  <c r="H11" i="43"/>
  <c r="L11" i="43" s="1"/>
  <c r="V15" i="43"/>
  <c r="P23" i="43"/>
  <c r="P24" i="43"/>
  <c r="P27" i="43"/>
  <c r="P28" i="43"/>
  <c r="P30" i="43"/>
  <c r="P31" i="43"/>
  <c r="P34" i="43"/>
  <c r="P36" i="43"/>
  <c r="J40" i="43"/>
  <c r="P44" i="43"/>
  <c r="P45" i="43"/>
  <c r="P46" i="43"/>
  <c r="R6" i="43"/>
  <c r="R8" i="43"/>
  <c r="J11" i="43"/>
  <c r="H13" i="43"/>
  <c r="V13" i="43"/>
  <c r="X14" i="43"/>
  <c r="L15" i="43"/>
  <c r="H23" i="43"/>
  <c r="R23" i="43"/>
  <c r="H24" i="43"/>
  <c r="R24" i="43"/>
  <c r="H25" i="43"/>
  <c r="R25" i="43"/>
  <c r="H26" i="43"/>
  <c r="R26" i="43"/>
  <c r="H27" i="43"/>
  <c r="R27" i="43"/>
  <c r="H28" i="43"/>
  <c r="R28" i="43"/>
  <c r="H29" i="43"/>
  <c r="R29" i="43"/>
  <c r="H30" i="43"/>
  <c r="R30" i="43"/>
  <c r="H31" i="43"/>
  <c r="R31" i="43"/>
  <c r="H32" i="43"/>
  <c r="R32" i="43"/>
  <c r="H33" i="43"/>
  <c r="R33" i="43"/>
  <c r="H34" i="43"/>
  <c r="R34" i="43"/>
  <c r="H35" i="43"/>
  <c r="R35" i="43"/>
  <c r="H36" i="43"/>
  <c r="R36" i="43"/>
  <c r="H37" i="43"/>
  <c r="V37" i="43"/>
  <c r="R40" i="43"/>
  <c r="T42" i="43"/>
  <c r="H44" i="43"/>
  <c r="R44" i="43"/>
  <c r="H45" i="43"/>
  <c r="R45" i="43"/>
  <c r="H46" i="43"/>
  <c r="R46" i="43"/>
  <c r="R48" i="43"/>
  <c r="T50" i="43"/>
  <c r="J10" i="43"/>
  <c r="H15" i="43"/>
  <c r="P25" i="43"/>
  <c r="P26" i="43"/>
  <c r="P29" i="43"/>
  <c r="P32" i="43"/>
  <c r="P33" i="43"/>
  <c r="P35" i="43"/>
  <c r="J48" i="43"/>
  <c r="L13" i="43"/>
  <c r="X23" i="43"/>
  <c r="X24" i="43"/>
  <c r="X25" i="43"/>
  <c r="X26" i="43"/>
  <c r="X27" i="43"/>
  <c r="X28" i="43"/>
  <c r="X29" i="43"/>
  <c r="X30" i="43"/>
  <c r="X31" i="43"/>
  <c r="X32" i="43"/>
  <c r="X33" i="43"/>
  <c r="X34" i="43"/>
  <c r="X35" i="43"/>
  <c r="X36" i="43"/>
  <c r="X44" i="43"/>
  <c r="X45" i="43"/>
  <c r="X46" i="43"/>
  <c r="J52" i="43"/>
  <c r="T16" i="43"/>
  <c r="T48" i="43"/>
  <c r="W50" i="43"/>
  <c r="X50" i="43" s="1"/>
  <c r="T53" i="43"/>
  <c r="T40" i="43"/>
  <c r="T30" i="43"/>
  <c r="T10" i="43"/>
  <c r="X11" i="43"/>
  <c r="X21" i="43"/>
  <c r="T45" i="43"/>
  <c r="T15" i="43"/>
  <c r="X8" i="43"/>
  <c r="T28" i="43"/>
  <c r="W37" i="43"/>
  <c r="X37" i="43" s="1"/>
  <c r="T39" i="43"/>
  <c r="X9" i="43"/>
  <c r="T12" i="43"/>
  <c r="T14" i="43"/>
  <c r="T24" i="43"/>
  <c r="T54" i="43"/>
  <c r="W42" i="43"/>
  <c r="X42" i="43" s="1"/>
  <c r="T52" i="43"/>
  <c r="T46" i="43"/>
  <c r="T36" i="43"/>
  <c r="T35" i="43"/>
  <c r="T32" i="43"/>
  <c r="T26" i="43"/>
  <c r="T19" i="43"/>
  <c r="T18" i="43"/>
  <c r="X7" i="43"/>
  <c r="X6" i="43"/>
  <c r="X5" i="43"/>
  <c r="R17" i="43"/>
  <c r="J17" i="43"/>
  <c r="T21" i="43"/>
  <c r="N5" i="43"/>
  <c r="T5" i="43"/>
  <c r="N6" i="43"/>
  <c r="T6" i="43"/>
  <c r="N7" i="43"/>
  <c r="T7" i="43"/>
  <c r="N8" i="43"/>
  <c r="T8" i="43"/>
  <c r="N9" i="43"/>
  <c r="T9" i="43"/>
  <c r="X10" i="43"/>
  <c r="J12" i="43"/>
  <c r="V12" i="43"/>
  <c r="L17" i="43"/>
  <c r="T17" i="43"/>
  <c r="R19" i="43"/>
  <c r="J19" i="43"/>
  <c r="P19" i="43"/>
  <c r="X19" i="43"/>
  <c r="T23" i="43"/>
  <c r="T25" i="43"/>
  <c r="T27" i="43"/>
  <c r="T29" i="43"/>
  <c r="T31" i="43"/>
  <c r="T33" i="43"/>
  <c r="T38" i="43"/>
  <c r="H38" i="43"/>
  <c r="L38" i="43" s="1"/>
  <c r="X38" i="43"/>
  <c r="N41" i="43"/>
  <c r="T43" i="43"/>
  <c r="H43" i="43"/>
  <c r="L43" i="43" s="1"/>
  <c r="X43" i="43"/>
  <c r="X47" i="43"/>
  <c r="L47" i="43"/>
  <c r="V47" i="43"/>
  <c r="P47" i="43"/>
  <c r="H47" i="43"/>
  <c r="N49" i="43"/>
  <c r="X51" i="43"/>
  <c r="L51" i="43"/>
  <c r="V51" i="43"/>
  <c r="P51" i="43"/>
  <c r="H51" i="43"/>
  <c r="H5" i="43"/>
  <c r="P5" i="43"/>
  <c r="V5" i="43"/>
  <c r="H6" i="43"/>
  <c r="P6" i="43"/>
  <c r="V6" i="43"/>
  <c r="H7" i="43"/>
  <c r="P7" i="43"/>
  <c r="V7" i="43"/>
  <c r="H8" i="43"/>
  <c r="P8" i="43"/>
  <c r="V8" i="43"/>
  <c r="H9" i="43"/>
  <c r="P9" i="43"/>
  <c r="V9" i="43"/>
  <c r="H10" i="43"/>
  <c r="L10" i="43" s="1"/>
  <c r="L12" i="43"/>
  <c r="J13" i="43"/>
  <c r="R13" i="43"/>
  <c r="J14" i="43"/>
  <c r="N14" i="43" s="1"/>
  <c r="R14" i="43" s="1"/>
  <c r="J15" i="43"/>
  <c r="R15" i="43"/>
  <c r="J16" i="43"/>
  <c r="R16" i="43"/>
  <c r="X16" i="43"/>
  <c r="N17" i="43"/>
  <c r="V17" i="43"/>
  <c r="L18" i="43"/>
  <c r="H19" i="43"/>
  <c r="R20" i="43"/>
  <c r="J20" i="43"/>
  <c r="P20" i="43"/>
  <c r="X20" i="43"/>
  <c r="T22" i="43"/>
  <c r="H22" i="43"/>
  <c r="L22" i="43" s="1"/>
  <c r="V22" i="43"/>
  <c r="T34" i="43"/>
  <c r="J38" i="43"/>
  <c r="X39" i="43"/>
  <c r="L42" i="43"/>
  <c r="V42" i="43"/>
  <c r="P42" i="43"/>
  <c r="H42" i="43"/>
  <c r="J43" i="43"/>
  <c r="T44" i="43"/>
  <c r="J47" i="43"/>
  <c r="T47" i="43"/>
  <c r="L50" i="43"/>
  <c r="V50" i="43"/>
  <c r="P50" i="43"/>
  <c r="H50" i="43"/>
  <c r="J51" i="43"/>
  <c r="T51" i="43"/>
  <c r="X12" i="43"/>
  <c r="P17" i="43"/>
  <c r="X17" i="43"/>
  <c r="V21" i="43"/>
  <c r="J21" i="43"/>
  <c r="X41" i="43"/>
  <c r="L41" i="43"/>
  <c r="V41" i="43"/>
  <c r="P41" i="43"/>
  <c r="H41" i="43"/>
  <c r="X49" i="43"/>
  <c r="L49" i="43"/>
  <c r="V49" i="43"/>
  <c r="P49" i="43"/>
  <c r="H49" i="43"/>
  <c r="L5" i="43"/>
  <c r="L6" i="43"/>
  <c r="L7" i="43"/>
  <c r="L8" i="43"/>
  <c r="L9" i="43"/>
  <c r="H12" i="43"/>
  <c r="N13" i="43"/>
  <c r="N15" i="43"/>
  <c r="N16" i="43"/>
  <c r="H17" i="43"/>
  <c r="R18" i="43"/>
  <c r="J18" i="43"/>
  <c r="P18" i="43"/>
  <c r="X18" i="43"/>
  <c r="N19" i="43"/>
  <c r="V19" i="43"/>
  <c r="T20" i="43"/>
  <c r="H21" i="43"/>
  <c r="L21" i="43" s="1"/>
  <c r="V38" i="43"/>
  <c r="X40" i="43"/>
  <c r="L40" i="43"/>
  <c r="V40" i="43"/>
  <c r="P40" i="43"/>
  <c r="H40" i="43"/>
  <c r="J41" i="43"/>
  <c r="T41" i="43"/>
  <c r="V43" i="43"/>
  <c r="R47" i="43"/>
  <c r="X48" i="43"/>
  <c r="L48" i="43"/>
  <c r="V48" i="43"/>
  <c r="P48" i="43"/>
  <c r="H48" i="43"/>
  <c r="J49" i="43"/>
  <c r="T49" i="43"/>
  <c r="R51" i="43"/>
  <c r="X52" i="43"/>
  <c r="L52" i="43"/>
  <c r="V52" i="43"/>
  <c r="P52" i="43"/>
  <c r="H52" i="43"/>
  <c r="N23" i="43"/>
  <c r="N24" i="43"/>
  <c r="N25" i="43"/>
  <c r="N26" i="43"/>
  <c r="N27" i="43"/>
  <c r="N28" i="43"/>
  <c r="N29" i="43"/>
  <c r="N30" i="43"/>
  <c r="N31" i="43"/>
  <c r="N32" i="43"/>
  <c r="N33" i="43"/>
  <c r="N34" i="43"/>
  <c r="N35" i="43"/>
  <c r="N36" i="43"/>
  <c r="J39" i="43"/>
  <c r="V39" i="43"/>
  <c r="N44" i="43"/>
  <c r="N45" i="43"/>
  <c r="N46" i="43"/>
  <c r="X54" i="42"/>
  <c r="V54" i="42"/>
  <c r="S54" i="42"/>
  <c r="W54" i="42" s="1"/>
  <c r="J54" i="42"/>
  <c r="H54" i="42"/>
  <c r="L54" i="42" s="1"/>
  <c r="V53" i="42"/>
  <c r="S53" i="42"/>
  <c r="W53" i="42" s="1"/>
  <c r="X53" i="42" s="1"/>
  <c r="J53" i="42"/>
  <c r="H53" i="42"/>
  <c r="L53" i="42" s="1"/>
  <c r="S52" i="42"/>
  <c r="W52" i="42" s="1"/>
  <c r="F52" i="42"/>
  <c r="S51" i="42"/>
  <c r="F51" i="42"/>
  <c r="N51" i="42" s="1"/>
  <c r="S50" i="42"/>
  <c r="W50" i="42" s="1"/>
  <c r="N50" i="42"/>
  <c r="L50" i="42"/>
  <c r="F50" i="42"/>
  <c r="V50" i="42" s="1"/>
  <c r="V49" i="42"/>
  <c r="S49" i="42"/>
  <c r="W49" i="42" s="1"/>
  <c r="N49" i="42"/>
  <c r="F49" i="42"/>
  <c r="S48" i="42"/>
  <c r="W48" i="42" s="1"/>
  <c r="F48" i="42"/>
  <c r="V47" i="42"/>
  <c r="S47" i="42"/>
  <c r="N47" i="42"/>
  <c r="L47" i="42"/>
  <c r="H47" i="42"/>
  <c r="F47" i="42"/>
  <c r="S46" i="42"/>
  <c r="N46" i="42"/>
  <c r="F46" i="42"/>
  <c r="L46" i="42" s="1"/>
  <c r="V45" i="42"/>
  <c r="S45" i="42"/>
  <c r="W45" i="42" s="1"/>
  <c r="F45" i="42"/>
  <c r="N45" i="42" s="1"/>
  <c r="S44" i="42"/>
  <c r="W44" i="42" s="1"/>
  <c r="F44" i="42"/>
  <c r="S43" i="42"/>
  <c r="W43" i="42" s="1"/>
  <c r="F43" i="42"/>
  <c r="S42" i="42"/>
  <c r="W42" i="42" s="1"/>
  <c r="F42" i="42"/>
  <c r="N42" i="42" s="1"/>
  <c r="S41" i="42"/>
  <c r="W41" i="42" s="1"/>
  <c r="F41" i="42"/>
  <c r="N41" i="42" s="1"/>
  <c r="S40" i="42"/>
  <c r="W40" i="42" s="1"/>
  <c r="N40" i="42"/>
  <c r="J40" i="42"/>
  <c r="H40" i="42"/>
  <c r="F40" i="42"/>
  <c r="R40" i="42" s="1"/>
  <c r="S39" i="42"/>
  <c r="T39" i="42" s="1"/>
  <c r="J39" i="42"/>
  <c r="F39" i="42"/>
  <c r="H39" i="42" s="1"/>
  <c r="L39" i="42" s="1"/>
  <c r="S38" i="42"/>
  <c r="W38" i="42" s="1"/>
  <c r="F38" i="42"/>
  <c r="V38" i="42" s="1"/>
  <c r="S37" i="42"/>
  <c r="W37" i="42" s="1"/>
  <c r="F37" i="42"/>
  <c r="H37" i="42" s="1"/>
  <c r="S36" i="42"/>
  <c r="W36" i="42" s="1"/>
  <c r="F36" i="42"/>
  <c r="S35" i="42"/>
  <c r="N35" i="42"/>
  <c r="L35" i="42"/>
  <c r="F35" i="42"/>
  <c r="V35" i="42" s="1"/>
  <c r="S34" i="42"/>
  <c r="W34" i="42" s="1"/>
  <c r="F34" i="42"/>
  <c r="N34" i="42" s="1"/>
  <c r="V33" i="42"/>
  <c r="S33" i="42"/>
  <c r="W33" i="42" s="1"/>
  <c r="F33" i="42"/>
  <c r="H33" i="42" s="1"/>
  <c r="S32" i="42"/>
  <c r="W32" i="42" s="1"/>
  <c r="X32" i="42" s="1"/>
  <c r="F32" i="42"/>
  <c r="S31" i="42"/>
  <c r="N31" i="42"/>
  <c r="F31" i="42"/>
  <c r="L31" i="42" s="1"/>
  <c r="S30" i="42"/>
  <c r="W30" i="42" s="1"/>
  <c r="F30" i="42"/>
  <c r="N30" i="42" s="1"/>
  <c r="S29" i="42"/>
  <c r="W29" i="42" s="1"/>
  <c r="F29" i="42"/>
  <c r="V29" i="42" s="1"/>
  <c r="S28" i="42"/>
  <c r="W28" i="42" s="1"/>
  <c r="F28" i="42"/>
  <c r="S27" i="42"/>
  <c r="F27" i="42"/>
  <c r="N27" i="42" s="1"/>
  <c r="S26" i="42"/>
  <c r="W26" i="42" s="1"/>
  <c r="N26" i="42"/>
  <c r="L26" i="42"/>
  <c r="F26" i="42"/>
  <c r="V26" i="42" s="1"/>
  <c r="V25" i="42"/>
  <c r="S25" i="42"/>
  <c r="W25" i="42" s="1"/>
  <c r="N25" i="42"/>
  <c r="F25" i="42"/>
  <c r="H25" i="42" s="1"/>
  <c r="S24" i="42"/>
  <c r="W24" i="42" s="1"/>
  <c r="F24" i="42"/>
  <c r="S23" i="42"/>
  <c r="F23" i="42"/>
  <c r="R23" i="42" s="1"/>
  <c r="S22" i="42"/>
  <c r="W22" i="42" s="1"/>
  <c r="F22" i="42"/>
  <c r="V22" i="42" s="1"/>
  <c r="S21" i="42"/>
  <c r="W21" i="42" s="1"/>
  <c r="F21" i="42"/>
  <c r="S20" i="42"/>
  <c r="W20" i="42" s="1"/>
  <c r="F20" i="42"/>
  <c r="S19" i="42"/>
  <c r="F19" i="42"/>
  <c r="S18" i="42"/>
  <c r="W18" i="42" s="1"/>
  <c r="F18" i="42"/>
  <c r="S17" i="42"/>
  <c r="W17" i="42" s="1"/>
  <c r="F17" i="42"/>
  <c r="N17" i="42" s="1"/>
  <c r="S16" i="42"/>
  <c r="W16" i="42" s="1"/>
  <c r="F16" i="42"/>
  <c r="S15" i="42"/>
  <c r="W15" i="42" s="1"/>
  <c r="F15" i="42"/>
  <c r="S14" i="42"/>
  <c r="W14" i="42" s="1"/>
  <c r="F14" i="42"/>
  <c r="S13" i="42"/>
  <c r="W13" i="42" s="1"/>
  <c r="N13" i="42"/>
  <c r="F13" i="42"/>
  <c r="S12" i="42"/>
  <c r="T12" i="42" s="1"/>
  <c r="F12" i="42"/>
  <c r="L12" i="42" s="1"/>
  <c r="S11" i="42"/>
  <c r="W11" i="42" s="1"/>
  <c r="F11" i="42"/>
  <c r="V11" i="42" s="1"/>
  <c r="S10" i="42"/>
  <c r="W10" i="42" s="1"/>
  <c r="F10" i="42"/>
  <c r="S9" i="42"/>
  <c r="W9" i="42" s="1"/>
  <c r="F9" i="42"/>
  <c r="S8" i="42"/>
  <c r="W8" i="42" s="1"/>
  <c r="F8" i="42"/>
  <c r="N8" i="42" s="1"/>
  <c r="S7" i="42"/>
  <c r="W7" i="42" s="1"/>
  <c r="F7" i="42"/>
  <c r="S6" i="42"/>
  <c r="W6" i="42" s="1"/>
  <c r="X6" i="42" s="1"/>
  <c r="N6" i="42"/>
  <c r="F6" i="42"/>
  <c r="L6" i="42" s="1"/>
  <c r="S5" i="42"/>
  <c r="W5" i="42" s="1"/>
  <c r="F5" i="42"/>
  <c r="V30" i="42" l="1"/>
  <c r="R42" i="42"/>
  <c r="L8" i="42"/>
  <c r="J11" i="42"/>
  <c r="H12" i="42"/>
  <c r="V12" i="42"/>
  <c r="H27" i="42"/>
  <c r="V27" i="42"/>
  <c r="N29" i="42"/>
  <c r="L30" i="42"/>
  <c r="V34" i="42"/>
  <c r="X36" i="42"/>
  <c r="H42" i="42"/>
  <c r="X44" i="42"/>
  <c r="H51" i="42"/>
  <c r="V51" i="42"/>
  <c r="J12" i="42"/>
  <c r="W12" i="42"/>
  <c r="X12" i="42" s="1"/>
  <c r="T19" i="42"/>
  <c r="X21" i="42"/>
  <c r="J23" i="42"/>
  <c r="X24" i="42"/>
  <c r="L27" i="42"/>
  <c r="H31" i="42"/>
  <c r="V31" i="42"/>
  <c r="N33" i="42"/>
  <c r="L34" i="42"/>
  <c r="V39" i="42"/>
  <c r="J42" i="42"/>
  <c r="V46" i="42"/>
  <c r="X48" i="42"/>
  <c r="L51" i="42"/>
  <c r="X8" i="42"/>
  <c r="L23" i="42"/>
  <c r="X28" i="42"/>
  <c r="H35" i="42"/>
  <c r="X52" i="42"/>
  <c r="T34" i="42"/>
  <c r="T11" i="42"/>
  <c r="T40" i="42"/>
  <c r="W19" i="42"/>
  <c r="X19" i="42" s="1"/>
  <c r="W39" i="42"/>
  <c r="X39" i="42" s="1"/>
  <c r="T30" i="42"/>
  <c r="T53" i="42"/>
  <c r="T15" i="42"/>
  <c r="T16" i="42"/>
  <c r="T20" i="42"/>
  <c r="X43" i="42"/>
  <c r="T50" i="42"/>
  <c r="T46" i="42"/>
  <c r="T42" i="42"/>
  <c r="T41" i="42"/>
  <c r="T26" i="42"/>
  <c r="T17" i="42"/>
  <c r="X18" i="42"/>
  <c r="L18" i="42"/>
  <c r="R18" i="42"/>
  <c r="J18" i="42"/>
  <c r="P18" i="42"/>
  <c r="V18" i="42"/>
  <c r="H18" i="42"/>
  <c r="W35" i="42"/>
  <c r="X35" i="42" s="1"/>
  <c r="T35" i="42"/>
  <c r="W51" i="42"/>
  <c r="T51" i="42"/>
  <c r="R7" i="42"/>
  <c r="J7" i="42"/>
  <c r="P7" i="42"/>
  <c r="V7" i="42"/>
  <c r="H7" i="42"/>
  <c r="R9" i="42"/>
  <c r="J9" i="42"/>
  <c r="V9" i="42"/>
  <c r="P9" i="42"/>
  <c r="H9" i="42"/>
  <c r="X15" i="42"/>
  <c r="L15" i="42"/>
  <c r="J15" i="42"/>
  <c r="P15" i="42"/>
  <c r="R15" i="42"/>
  <c r="V15" i="42"/>
  <c r="H15" i="42"/>
  <c r="L19" i="42"/>
  <c r="R19" i="42"/>
  <c r="J19" i="42"/>
  <c r="V19" i="42"/>
  <c r="H19" i="42"/>
  <c r="P19" i="42"/>
  <c r="L7" i="42"/>
  <c r="X7" i="42"/>
  <c r="L9" i="42"/>
  <c r="X9" i="42"/>
  <c r="X13" i="42"/>
  <c r="L13" i="42"/>
  <c r="R13" i="42"/>
  <c r="J13" i="42"/>
  <c r="P13" i="42"/>
  <c r="V13" i="42"/>
  <c r="T13" i="42"/>
  <c r="N15" i="42"/>
  <c r="X16" i="42"/>
  <c r="L16" i="42"/>
  <c r="J16" i="42"/>
  <c r="V16" i="42"/>
  <c r="H16" i="42"/>
  <c r="R16" i="42"/>
  <c r="P16" i="42"/>
  <c r="N19" i="42"/>
  <c r="X20" i="42"/>
  <c r="L20" i="42"/>
  <c r="R20" i="42"/>
  <c r="V20" i="42"/>
  <c r="H20" i="42"/>
  <c r="J20" i="42"/>
  <c r="P20" i="42"/>
  <c r="R24" i="42"/>
  <c r="J24" i="42"/>
  <c r="V24" i="42"/>
  <c r="N24" i="42"/>
  <c r="H24" i="42"/>
  <c r="T24" i="42"/>
  <c r="L24" i="42"/>
  <c r="R28" i="42"/>
  <c r="J28" i="42"/>
  <c r="V28" i="42"/>
  <c r="N28" i="42"/>
  <c r="T28" i="42"/>
  <c r="L28" i="42"/>
  <c r="H28" i="42"/>
  <c r="R32" i="42"/>
  <c r="J32" i="42"/>
  <c r="V32" i="42"/>
  <c r="N32" i="42"/>
  <c r="H32" i="42"/>
  <c r="T32" i="42"/>
  <c r="L32" i="42"/>
  <c r="R36" i="42"/>
  <c r="J36" i="42"/>
  <c r="V36" i="42"/>
  <c r="N36" i="42"/>
  <c r="H36" i="42"/>
  <c r="T36" i="42"/>
  <c r="L36" i="42"/>
  <c r="R44" i="42"/>
  <c r="J44" i="42"/>
  <c r="V44" i="42"/>
  <c r="N44" i="42"/>
  <c r="T44" i="42"/>
  <c r="L44" i="42"/>
  <c r="H44" i="42"/>
  <c r="R48" i="42"/>
  <c r="J48" i="42"/>
  <c r="V48" i="42"/>
  <c r="N48" i="42"/>
  <c r="T48" i="42"/>
  <c r="L48" i="42"/>
  <c r="H48" i="42"/>
  <c r="R52" i="42"/>
  <c r="J52" i="42"/>
  <c r="V52" i="42"/>
  <c r="N52" i="42"/>
  <c r="T52" i="42"/>
  <c r="L52" i="42"/>
  <c r="H52" i="42"/>
  <c r="X14" i="42"/>
  <c r="L14" i="42"/>
  <c r="P14" i="42" s="1"/>
  <c r="V14" i="42"/>
  <c r="H14" i="42"/>
  <c r="J14" i="42"/>
  <c r="N14" i="42" s="1"/>
  <c r="R14" i="42" s="1"/>
  <c r="W27" i="42"/>
  <c r="X27" i="42" s="1"/>
  <c r="T27" i="42"/>
  <c r="W31" i="42"/>
  <c r="X31" i="42" s="1"/>
  <c r="T31" i="42"/>
  <c r="T38" i="42"/>
  <c r="H38" i="42"/>
  <c r="L38" i="42" s="1"/>
  <c r="J38" i="42"/>
  <c r="X38" i="42"/>
  <c r="W47" i="42"/>
  <c r="X47" i="42" s="1"/>
  <c r="T47" i="42"/>
  <c r="R5" i="42"/>
  <c r="J5" i="42"/>
  <c r="V5" i="42"/>
  <c r="P5" i="42"/>
  <c r="H5" i="42"/>
  <c r="T5" i="42"/>
  <c r="T7" i="42"/>
  <c r="T9" i="42"/>
  <c r="N18" i="42"/>
  <c r="W23" i="42"/>
  <c r="X23" i="42" s="1"/>
  <c r="T23" i="42"/>
  <c r="L5" i="42"/>
  <c r="X5" i="42"/>
  <c r="N5" i="42"/>
  <c r="R6" i="42"/>
  <c r="J6" i="42"/>
  <c r="V6" i="42"/>
  <c r="H6" i="42"/>
  <c r="P6" i="42"/>
  <c r="T6" i="42"/>
  <c r="N7" i="42"/>
  <c r="R8" i="42"/>
  <c r="J8" i="42"/>
  <c r="P8" i="42"/>
  <c r="H8" i="42"/>
  <c r="V8" i="42"/>
  <c r="T8" i="42"/>
  <c r="N9" i="42"/>
  <c r="V10" i="42"/>
  <c r="J10" i="42"/>
  <c r="T10" i="42"/>
  <c r="H10" i="42"/>
  <c r="L10" i="42" s="1"/>
  <c r="X10" i="42"/>
  <c r="H13" i="42"/>
  <c r="T14" i="42"/>
  <c r="N16" i="42"/>
  <c r="X17" i="42"/>
  <c r="L17" i="42"/>
  <c r="J17" i="42"/>
  <c r="P17" i="42"/>
  <c r="R17" i="42"/>
  <c r="V17" i="42"/>
  <c r="H17" i="42"/>
  <c r="T18" i="42"/>
  <c r="N20" i="42"/>
  <c r="V21" i="42"/>
  <c r="J21" i="42"/>
  <c r="T21" i="42"/>
  <c r="H21" i="42"/>
  <c r="L21" i="42" s="1"/>
  <c r="P24" i="42"/>
  <c r="P28" i="42"/>
  <c r="P32" i="42"/>
  <c r="P36" i="42"/>
  <c r="P44" i="42"/>
  <c r="P48" i="42"/>
  <c r="P52" i="42"/>
  <c r="P25" i="42"/>
  <c r="X25" i="42"/>
  <c r="R29" i="42"/>
  <c r="J29" i="42"/>
  <c r="X29" i="42"/>
  <c r="P33" i="42"/>
  <c r="X33" i="42"/>
  <c r="T37" i="42"/>
  <c r="X41" i="42"/>
  <c r="L41" i="42"/>
  <c r="P41" i="42"/>
  <c r="V41" i="42"/>
  <c r="R45" i="42"/>
  <c r="J45" i="42"/>
  <c r="P45" i="42"/>
  <c r="X45" i="42"/>
  <c r="R49" i="42"/>
  <c r="J49" i="42"/>
  <c r="P49" i="42"/>
  <c r="X49" i="42"/>
  <c r="V23" i="42"/>
  <c r="R26" i="42"/>
  <c r="J26" i="42"/>
  <c r="P26" i="42"/>
  <c r="X26" i="42"/>
  <c r="H29" i="42"/>
  <c r="R30" i="42"/>
  <c r="J30" i="42"/>
  <c r="P30" i="42"/>
  <c r="X30" i="42"/>
  <c r="R34" i="42"/>
  <c r="J34" i="42"/>
  <c r="P34" i="42"/>
  <c r="X34" i="42"/>
  <c r="H41" i="42"/>
  <c r="R41" i="42"/>
  <c r="H43" i="42"/>
  <c r="L43" i="42" s="1"/>
  <c r="V43" i="42"/>
  <c r="H45" i="42"/>
  <c r="R46" i="42"/>
  <c r="J46" i="42"/>
  <c r="P46" i="42"/>
  <c r="X46" i="42"/>
  <c r="H49" i="42"/>
  <c r="R50" i="42"/>
  <c r="J50" i="42"/>
  <c r="P50" i="42"/>
  <c r="X50" i="42"/>
  <c r="T54" i="42"/>
  <c r="X22" i="42"/>
  <c r="R25" i="42"/>
  <c r="J25" i="42"/>
  <c r="P29" i="42"/>
  <c r="R33" i="42"/>
  <c r="J33" i="42"/>
  <c r="V37" i="42"/>
  <c r="J37" i="42"/>
  <c r="T43" i="42"/>
  <c r="X11" i="42"/>
  <c r="H22" i="42"/>
  <c r="L22" i="42" s="1"/>
  <c r="T22" i="42"/>
  <c r="N23" i="42"/>
  <c r="H11" i="42"/>
  <c r="L11" i="42" s="1"/>
  <c r="J22" i="42"/>
  <c r="H23" i="42"/>
  <c r="P23" i="42"/>
  <c r="L25" i="42"/>
  <c r="T25" i="42"/>
  <c r="H26" i="42"/>
  <c r="R27" i="42"/>
  <c r="J27" i="42"/>
  <c r="P27" i="42"/>
  <c r="L29" i="42"/>
  <c r="T29" i="42"/>
  <c r="H30" i="42"/>
  <c r="R31" i="42"/>
  <c r="J31" i="42"/>
  <c r="P31" i="42"/>
  <c r="L33" i="42"/>
  <c r="T33" i="42"/>
  <c r="H34" i="42"/>
  <c r="R35" i="42"/>
  <c r="J35" i="42"/>
  <c r="P35" i="42"/>
  <c r="L37" i="42"/>
  <c r="X37" i="42"/>
  <c r="X40" i="42"/>
  <c r="L40" i="42"/>
  <c r="P40" i="42"/>
  <c r="V40" i="42"/>
  <c r="J41" i="42"/>
  <c r="X42" i="42"/>
  <c r="L42" i="42"/>
  <c r="P42" i="42"/>
  <c r="V42" i="42"/>
  <c r="J43" i="42"/>
  <c r="L45" i="42"/>
  <c r="T45" i="42"/>
  <c r="H46" i="42"/>
  <c r="R47" i="42"/>
  <c r="J47" i="42"/>
  <c r="P47" i="42"/>
  <c r="L49" i="42"/>
  <c r="T49" i="42"/>
  <c r="H50" i="42"/>
  <c r="R51" i="42"/>
  <c r="J51" i="42"/>
  <c r="P51" i="42"/>
  <c r="X51" i="42"/>
  <c r="V54" i="41" l="1"/>
  <c r="S54" i="41"/>
  <c r="W54" i="41" s="1"/>
  <c r="X54" i="41" s="1"/>
  <c r="J54" i="41"/>
  <c r="H54" i="41"/>
  <c r="L54" i="41" s="1"/>
  <c r="V53" i="41"/>
  <c r="S53" i="41"/>
  <c r="T53" i="41" s="1"/>
  <c r="J53" i="41"/>
  <c r="H53" i="41"/>
  <c r="L53" i="41" s="1"/>
  <c r="S52" i="41"/>
  <c r="W52" i="41" s="1"/>
  <c r="N52" i="41"/>
  <c r="J52" i="41"/>
  <c r="F52" i="41"/>
  <c r="H52" i="41" s="1"/>
  <c r="S51" i="41"/>
  <c r="W51" i="41" s="1"/>
  <c r="F51" i="41"/>
  <c r="S50" i="41"/>
  <c r="W50" i="41" s="1"/>
  <c r="N50" i="41"/>
  <c r="J50" i="41"/>
  <c r="F50" i="41"/>
  <c r="H50" i="41" s="1"/>
  <c r="S49" i="41"/>
  <c r="W49" i="41" s="1"/>
  <c r="F49" i="41"/>
  <c r="S48" i="41"/>
  <c r="N48" i="41"/>
  <c r="J48" i="41"/>
  <c r="F48" i="41"/>
  <c r="H48" i="41" s="1"/>
  <c r="S47" i="41"/>
  <c r="W47" i="41" s="1"/>
  <c r="F47" i="41"/>
  <c r="S46" i="41"/>
  <c r="N46" i="41"/>
  <c r="J46" i="41"/>
  <c r="F46" i="41"/>
  <c r="H46" i="41" s="1"/>
  <c r="S45" i="41"/>
  <c r="T45" i="41" s="1"/>
  <c r="F45" i="41"/>
  <c r="P45" i="41" s="1"/>
  <c r="S44" i="41"/>
  <c r="W44" i="41" s="1"/>
  <c r="N44" i="41"/>
  <c r="J44" i="41"/>
  <c r="F44" i="41"/>
  <c r="H44" i="41" s="1"/>
  <c r="S43" i="41"/>
  <c r="T43" i="41" s="1"/>
  <c r="F43" i="41"/>
  <c r="J43" i="41" s="1"/>
  <c r="V42" i="41"/>
  <c r="S42" i="41"/>
  <c r="W42" i="41" s="1"/>
  <c r="L42" i="41"/>
  <c r="F42" i="41"/>
  <c r="J42" i="41" s="1"/>
  <c r="V41" i="41"/>
  <c r="S41" i="41"/>
  <c r="W41" i="41" s="1"/>
  <c r="L41" i="41"/>
  <c r="F41" i="41"/>
  <c r="J41" i="41" s="1"/>
  <c r="V40" i="41"/>
  <c r="S40" i="41"/>
  <c r="W40" i="41" s="1"/>
  <c r="L40" i="41"/>
  <c r="F40" i="41"/>
  <c r="J40" i="41" s="1"/>
  <c r="V39" i="41"/>
  <c r="S39" i="41"/>
  <c r="W39" i="41" s="1"/>
  <c r="F39" i="41"/>
  <c r="S38" i="41"/>
  <c r="W38" i="41" s="1"/>
  <c r="X38" i="41" s="1"/>
  <c r="H38" i="41"/>
  <c r="L38" i="41" s="1"/>
  <c r="F38" i="41"/>
  <c r="S37" i="41"/>
  <c r="W37" i="41" s="1"/>
  <c r="F37" i="41"/>
  <c r="L37" i="41" s="1"/>
  <c r="S36" i="41"/>
  <c r="W36" i="41" s="1"/>
  <c r="F36" i="41"/>
  <c r="S35" i="41"/>
  <c r="W35" i="41" s="1"/>
  <c r="F35" i="41"/>
  <c r="S34" i="41"/>
  <c r="W34" i="41" s="1"/>
  <c r="F34" i="41"/>
  <c r="S33" i="41"/>
  <c r="W33" i="41" s="1"/>
  <c r="F33" i="41"/>
  <c r="S32" i="41"/>
  <c r="W32" i="41" s="1"/>
  <c r="F32" i="41"/>
  <c r="S31" i="41"/>
  <c r="W31" i="41" s="1"/>
  <c r="F31" i="41"/>
  <c r="S30" i="41"/>
  <c r="W30" i="41" s="1"/>
  <c r="F30" i="41"/>
  <c r="S29" i="41"/>
  <c r="W29" i="41" s="1"/>
  <c r="F29" i="41"/>
  <c r="S28" i="41"/>
  <c r="W28" i="41" s="1"/>
  <c r="F28" i="41"/>
  <c r="S27" i="41"/>
  <c r="W27" i="41" s="1"/>
  <c r="F27" i="41"/>
  <c r="R27" i="41" s="1"/>
  <c r="S26" i="41"/>
  <c r="W26" i="41" s="1"/>
  <c r="F26" i="41"/>
  <c r="S25" i="41"/>
  <c r="W25" i="41" s="1"/>
  <c r="F25" i="41"/>
  <c r="S24" i="41"/>
  <c r="W24" i="41" s="1"/>
  <c r="F24" i="41"/>
  <c r="S23" i="41"/>
  <c r="W23" i="41" s="1"/>
  <c r="F23" i="41"/>
  <c r="P23" i="41" s="1"/>
  <c r="S22" i="41"/>
  <c r="W22" i="41" s="1"/>
  <c r="J22" i="41"/>
  <c r="H22" i="41"/>
  <c r="L22" i="41" s="1"/>
  <c r="F22" i="41"/>
  <c r="V22" i="41" s="1"/>
  <c r="S21" i="41"/>
  <c r="W21" i="41" s="1"/>
  <c r="F21" i="41"/>
  <c r="S20" i="41"/>
  <c r="W20" i="41" s="1"/>
  <c r="F20" i="41"/>
  <c r="R20" i="41" s="1"/>
  <c r="S19" i="41"/>
  <c r="T19" i="41" s="1"/>
  <c r="N19" i="41"/>
  <c r="F19" i="41"/>
  <c r="L19" i="41" s="1"/>
  <c r="S18" i="41"/>
  <c r="W18" i="41" s="1"/>
  <c r="X18" i="41" s="1"/>
  <c r="F18" i="41"/>
  <c r="R18" i="41" s="1"/>
  <c r="S17" i="41"/>
  <c r="W17" i="41" s="1"/>
  <c r="X17" i="41" s="1"/>
  <c r="F17" i="41"/>
  <c r="R17" i="41" s="1"/>
  <c r="S16" i="41"/>
  <c r="W16" i="41" s="1"/>
  <c r="L16" i="41"/>
  <c r="F16" i="41"/>
  <c r="V16" i="41" s="1"/>
  <c r="V15" i="41"/>
  <c r="S15" i="41"/>
  <c r="W15" i="41" s="1"/>
  <c r="L15" i="41"/>
  <c r="F15" i="41"/>
  <c r="J15" i="41" s="1"/>
  <c r="V14" i="41"/>
  <c r="S14" i="41"/>
  <c r="W14" i="41" s="1"/>
  <c r="X14" i="41" s="1"/>
  <c r="L14" i="41"/>
  <c r="P14" i="41" s="1"/>
  <c r="J14" i="41"/>
  <c r="N14" i="41" s="1"/>
  <c r="R14" i="41" s="1"/>
  <c r="H14" i="41"/>
  <c r="F14" i="41"/>
  <c r="V13" i="41"/>
  <c r="S13" i="41"/>
  <c r="W13" i="41" s="1"/>
  <c r="X13" i="41" s="1"/>
  <c r="R13" i="41"/>
  <c r="L13" i="41"/>
  <c r="J13" i="41"/>
  <c r="H13" i="41"/>
  <c r="F13" i="41"/>
  <c r="P13" i="41" s="1"/>
  <c r="S12" i="41"/>
  <c r="W12" i="41" s="1"/>
  <c r="F12" i="41"/>
  <c r="S11" i="41"/>
  <c r="W11" i="41" s="1"/>
  <c r="X11" i="41" s="1"/>
  <c r="F11" i="41"/>
  <c r="S10" i="41"/>
  <c r="W10" i="41" s="1"/>
  <c r="X10" i="41" s="1"/>
  <c r="F10" i="41"/>
  <c r="J10" i="41" s="1"/>
  <c r="S9" i="41"/>
  <c r="W9" i="41" s="1"/>
  <c r="N9" i="41"/>
  <c r="F9" i="41"/>
  <c r="S8" i="41"/>
  <c r="F8" i="41"/>
  <c r="N8" i="41" s="1"/>
  <c r="S7" i="41"/>
  <c r="W7" i="41" s="1"/>
  <c r="F7" i="41"/>
  <c r="N7" i="41" s="1"/>
  <c r="S6" i="41"/>
  <c r="T6" i="41" s="1"/>
  <c r="J6" i="41"/>
  <c r="H6" i="41"/>
  <c r="F6" i="41"/>
  <c r="R6" i="41" s="1"/>
  <c r="S5" i="41"/>
  <c r="F5" i="41"/>
  <c r="N5" i="41" s="1"/>
  <c r="R8" i="41" l="1"/>
  <c r="H8" i="41"/>
  <c r="P15" i="41"/>
  <c r="P16" i="41"/>
  <c r="P42" i="41"/>
  <c r="V43" i="41"/>
  <c r="H45" i="41"/>
  <c r="V45" i="41"/>
  <c r="T5" i="41"/>
  <c r="N6" i="41"/>
  <c r="J8" i="41"/>
  <c r="H10" i="41"/>
  <c r="L10" i="41" s="1"/>
  <c r="H15" i="41"/>
  <c r="R15" i="41"/>
  <c r="H16" i="41"/>
  <c r="R16" i="41"/>
  <c r="N17" i="41"/>
  <c r="N18" i="41"/>
  <c r="J19" i="41"/>
  <c r="H40" i="41"/>
  <c r="R40" i="41"/>
  <c r="H41" i="41"/>
  <c r="R41" i="41"/>
  <c r="H42" i="41"/>
  <c r="R42" i="41"/>
  <c r="H43" i="41"/>
  <c r="L43" i="41" s="1"/>
  <c r="R44" i="41"/>
  <c r="N45" i="41"/>
  <c r="R46" i="41"/>
  <c r="R48" i="41"/>
  <c r="R50" i="41"/>
  <c r="R52" i="41"/>
  <c r="T8" i="41"/>
  <c r="V10" i="41"/>
  <c r="J17" i="41"/>
  <c r="P40" i="41"/>
  <c r="P41" i="41"/>
  <c r="X15" i="41"/>
  <c r="J16" i="41"/>
  <c r="X16" i="41"/>
  <c r="X40" i="41"/>
  <c r="X41" i="41"/>
  <c r="X42" i="41"/>
  <c r="T46" i="41"/>
  <c r="T48" i="41"/>
  <c r="W8" i="41"/>
  <c r="X8" i="41" s="1"/>
  <c r="T37" i="41"/>
  <c r="T44" i="41"/>
  <c r="T42" i="41"/>
  <c r="W48" i="41"/>
  <c r="X48" i="41" s="1"/>
  <c r="W6" i="41"/>
  <c r="W45" i="41"/>
  <c r="X45" i="41" s="1"/>
  <c r="T14" i="41"/>
  <c r="X22" i="41"/>
  <c r="T22" i="41"/>
  <c r="T40" i="41"/>
  <c r="W43" i="41"/>
  <c r="X43" i="41" s="1"/>
  <c r="W53" i="41"/>
  <c r="X53" i="41" s="1"/>
  <c r="T54" i="41"/>
  <c r="T7" i="41"/>
  <c r="T10" i="41"/>
  <c r="W46" i="41"/>
  <c r="X46" i="41" s="1"/>
  <c r="T52" i="41"/>
  <c r="W5" i="41"/>
  <c r="X5" i="41" s="1"/>
  <c r="T50" i="41"/>
  <c r="W19" i="41"/>
  <c r="X19" i="41" s="1"/>
  <c r="T9" i="41"/>
  <c r="T21" i="41"/>
  <c r="H21" i="41"/>
  <c r="L21" i="41" s="1"/>
  <c r="X21" i="41"/>
  <c r="X24" i="41"/>
  <c r="L24" i="41"/>
  <c r="R24" i="41"/>
  <c r="H24" i="41"/>
  <c r="X25" i="41"/>
  <c r="L25" i="41"/>
  <c r="T25" i="41"/>
  <c r="N25" i="41"/>
  <c r="R25" i="41"/>
  <c r="X26" i="41"/>
  <c r="L26" i="41"/>
  <c r="R26" i="41"/>
  <c r="H26" i="41"/>
  <c r="X27" i="41"/>
  <c r="L27" i="41"/>
  <c r="T27" i="41"/>
  <c r="N27" i="41"/>
  <c r="X28" i="41"/>
  <c r="L28" i="41"/>
  <c r="R28" i="41"/>
  <c r="H28" i="41"/>
  <c r="X29" i="41"/>
  <c r="L29" i="41"/>
  <c r="T29" i="41"/>
  <c r="N29" i="41"/>
  <c r="R29" i="41"/>
  <c r="X30" i="41"/>
  <c r="L30" i="41"/>
  <c r="R30" i="41"/>
  <c r="H30" i="41"/>
  <c r="X31" i="41"/>
  <c r="L31" i="41"/>
  <c r="T31" i="41"/>
  <c r="N31" i="41"/>
  <c r="R31" i="41"/>
  <c r="X32" i="41"/>
  <c r="L32" i="41"/>
  <c r="R32" i="41"/>
  <c r="H32" i="41"/>
  <c r="X33" i="41"/>
  <c r="L33" i="41"/>
  <c r="T33" i="41"/>
  <c r="N33" i="41"/>
  <c r="R33" i="41"/>
  <c r="X34" i="41"/>
  <c r="L34" i="41"/>
  <c r="R34" i="41"/>
  <c r="H34" i="41"/>
  <c r="X35" i="41"/>
  <c r="L35" i="41"/>
  <c r="T35" i="41"/>
  <c r="N35" i="41"/>
  <c r="R35" i="41"/>
  <c r="X36" i="41"/>
  <c r="L36" i="41"/>
  <c r="R36" i="41"/>
  <c r="H36" i="41"/>
  <c r="X47" i="41"/>
  <c r="L47" i="41"/>
  <c r="J47" i="41"/>
  <c r="R47" i="41"/>
  <c r="X51" i="41"/>
  <c r="L51" i="41"/>
  <c r="J51" i="41"/>
  <c r="R51" i="41"/>
  <c r="H51" i="41"/>
  <c r="T51" i="41"/>
  <c r="L5" i="41"/>
  <c r="P5" i="41"/>
  <c r="V5" i="41"/>
  <c r="X7" i="41"/>
  <c r="L7" i="41"/>
  <c r="P7" i="41"/>
  <c r="V7" i="41"/>
  <c r="X9" i="41"/>
  <c r="L9" i="41"/>
  <c r="P9" i="41"/>
  <c r="V9" i="41"/>
  <c r="T12" i="41"/>
  <c r="V12" i="41"/>
  <c r="H12" i="41"/>
  <c r="V20" i="41"/>
  <c r="P20" i="41"/>
  <c r="H20" i="41"/>
  <c r="N20" i="41"/>
  <c r="J21" i="41"/>
  <c r="H23" i="41"/>
  <c r="J24" i="41"/>
  <c r="T24" i="41"/>
  <c r="H25" i="41"/>
  <c r="J26" i="41"/>
  <c r="T26" i="41"/>
  <c r="H27" i="41"/>
  <c r="J28" i="41"/>
  <c r="T28" i="41"/>
  <c r="H29" i="41"/>
  <c r="J30" i="41"/>
  <c r="T30" i="41"/>
  <c r="H31" i="41"/>
  <c r="J32" i="41"/>
  <c r="T32" i="41"/>
  <c r="H33" i="41"/>
  <c r="J34" i="41"/>
  <c r="T34" i="41"/>
  <c r="H35" i="41"/>
  <c r="J36" i="41"/>
  <c r="T36" i="41"/>
  <c r="H37" i="41"/>
  <c r="V37" i="41"/>
  <c r="T39" i="41"/>
  <c r="H39" i="41"/>
  <c r="L39" i="41" s="1"/>
  <c r="J39" i="41"/>
  <c r="X39" i="41"/>
  <c r="H47" i="41"/>
  <c r="X49" i="41"/>
  <c r="L49" i="41"/>
  <c r="J49" i="41"/>
  <c r="R49" i="41"/>
  <c r="H49" i="41"/>
  <c r="T49" i="41"/>
  <c r="N51" i="41"/>
  <c r="V51" i="41"/>
  <c r="H5" i="41"/>
  <c r="R5" i="41"/>
  <c r="H7" i="41"/>
  <c r="R7" i="41"/>
  <c r="H9" i="41"/>
  <c r="R9" i="41"/>
  <c r="V11" i="41"/>
  <c r="J11" i="41"/>
  <c r="T11" i="41"/>
  <c r="J12" i="41"/>
  <c r="X12" i="41"/>
  <c r="T15" i="41"/>
  <c r="V18" i="41"/>
  <c r="P18" i="41"/>
  <c r="H18" i="41"/>
  <c r="J18" i="41"/>
  <c r="J20" i="41"/>
  <c r="T20" i="41"/>
  <c r="J23" i="41"/>
  <c r="V23" i="41"/>
  <c r="N24" i="41"/>
  <c r="V24" i="41"/>
  <c r="J25" i="41"/>
  <c r="V25" i="41"/>
  <c r="N26" i="41"/>
  <c r="V26" i="41"/>
  <c r="J27" i="41"/>
  <c r="V27" i="41"/>
  <c r="N28" i="41"/>
  <c r="V28" i="41"/>
  <c r="J29" i="41"/>
  <c r="V29" i="41"/>
  <c r="N30" i="41"/>
  <c r="V30" i="41"/>
  <c r="J31" i="41"/>
  <c r="V31" i="41"/>
  <c r="N32" i="41"/>
  <c r="V32" i="41"/>
  <c r="J33" i="41"/>
  <c r="V33" i="41"/>
  <c r="N34" i="41"/>
  <c r="V34" i="41"/>
  <c r="J35" i="41"/>
  <c r="V35" i="41"/>
  <c r="N36" i="41"/>
  <c r="V36" i="41"/>
  <c r="J37" i="41"/>
  <c r="X37" i="41"/>
  <c r="N47" i="41"/>
  <c r="T47" i="41"/>
  <c r="N49" i="41"/>
  <c r="V49" i="41"/>
  <c r="P51" i="41"/>
  <c r="J5" i="41"/>
  <c r="X6" i="41"/>
  <c r="L6" i="41"/>
  <c r="P6" i="41"/>
  <c r="V6" i="41"/>
  <c r="J7" i="41"/>
  <c r="L8" i="41"/>
  <c r="P8" i="41"/>
  <c r="V8" i="41"/>
  <c r="J9" i="41"/>
  <c r="H11" i="41"/>
  <c r="L11" i="41" s="1"/>
  <c r="L12" i="41"/>
  <c r="T13" i="41"/>
  <c r="T16" i="41"/>
  <c r="V17" i="41"/>
  <c r="P17" i="41"/>
  <c r="H17" i="41"/>
  <c r="T17" i="41"/>
  <c r="L17" i="41"/>
  <c r="L18" i="41"/>
  <c r="T18" i="41"/>
  <c r="L20" i="41"/>
  <c r="X20" i="41"/>
  <c r="V21" i="41"/>
  <c r="P24" i="41"/>
  <c r="P25" i="41"/>
  <c r="P26" i="41"/>
  <c r="P27" i="41"/>
  <c r="P28" i="41"/>
  <c r="P29" i="41"/>
  <c r="P30" i="41"/>
  <c r="P31" i="41"/>
  <c r="P32" i="41"/>
  <c r="P33" i="41"/>
  <c r="P34" i="41"/>
  <c r="P35" i="41"/>
  <c r="P36" i="41"/>
  <c r="L45" i="41"/>
  <c r="J45" i="41"/>
  <c r="R45" i="41"/>
  <c r="P47" i="41"/>
  <c r="V47" i="41"/>
  <c r="P49" i="41"/>
  <c r="X23" i="41"/>
  <c r="L23" i="41"/>
  <c r="T23" i="41"/>
  <c r="N23" i="41"/>
  <c r="R23" i="41"/>
  <c r="V19" i="41"/>
  <c r="P19" i="41"/>
  <c r="H19" i="41"/>
  <c r="R19" i="41"/>
  <c r="V38" i="41"/>
  <c r="J38" i="41"/>
  <c r="T38" i="41"/>
  <c r="T41" i="41"/>
  <c r="X44" i="41"/>
  <c r="L44" i="41"/>
  <c r="P44" i="41"/>
  <c r="V44" i="41"/>
  <c r="L46" i="41"/>
  <c r="P46" i="41"/>
  <c r="V46" i="41"/>
  <c r="L48" i="41"/>
  <c r="P48" i="41"/>
  <c r="V48" i="41"/>
  <c r="X50" i="41"/>
  <c r="L50" i="41"/>
  <c r="P50" i="41"/>
  <c r="V50" i="41"/>
  <c r="X52" i="41"/>
  <c r="L52" i="41"/>
  <c r="P52" i="41"/>
  <c r="V52" i="41"/>
  <c r="N13" i="41"/>
  <c r="N15" i="41"/>
  <c r="N16" i="41"/>
  <c r="N40" i="41"/>
  <c r="N41" i="41"/>
  <c r="N42" i="41"/>
  <c r="V54" i="40" l="1"/>
  <c r="S54" i="40"/>
  <c r="W54" i="40" s="1"/>
  <c r="X54" i="40" s="1"/>
  <c r="L54" i="40"/>
  <c r="J54" i="40"/>
  <c r="H54" i="40"/>
  <c r="W53" i="40"/>
  <c r="X53" i="40" s="1"/>
  <c r="V53" i="40"/>
  <c r="T53" i="40"/>
  <c r="S53" i="40"/>
  <c r="J53" i="40"/>
  <c r="H53" i="40"/>
  <c r="L53" i="40" s="1"/>
  <c r="S52" i="40"/>
  <c r="T52" i="40" s="1"/>
  <c r="F52" i="40"/>
  <c r="N52" i="40" s="1"/>
  <c r="S51" i="40"/>
  <c r="W51" i="40" s="1"/>
  <c r="F51" i="40"/>
  <c r="N51" i="40" s="1"/>
  <c r="S50" i="40"/>
  <c r="W50" i="40" s="1"/>
  <c r="R50" i="40"/>
  <c r="F50" i="40"/>
  <c r="N50" i="40" s="1"/>
  <c r="S49" i="40"/>
  <c r="W49" i="40" s="1"/>
  <c r="F49" i="40"/>
  <c r="R49" i="40" s="1"/>
  <c r="S48" i="40"/>
  <c r="W48" i="40" s="1"/>
  <c r="R48" i="40"/>
  <c r="J48" i="40"/>
  <c r="F48" i="40"/>
  <c r="N48" i="40" s="1"/>
  <c r="S47" i="40"/>
  <c r="W47" i="40" s="1"/>
  <c r="F47" i="40"/>
  <c r="N47" i="40" s="1"/>
  <c r="S46" i="40"/>
  <c r="J46" i="40"/>
  <c r="F46" i="40"/>
  <c r="R46" i="40" s="1"/>
  <c r="S45" i="40"/>
  <c r="W45" i="40" s="1"/>
  <c r="F45" i="40"/>
  <c r="R45" i="40" s="1"/>
  <c r="S44" i="40"/>
  <c r="T44" i="40" s="1"/>
  <c r="F44" i="40"/>
  <c r="N44" i="40" s="1"/>
  <c r="S43" i="40"/>
  <c r="W43" i="40" s="1"/>
  <c r="F43" i="40"/>
  <c r="H43" i="40" s="1"/>
  <c r="L43" i="40" s="1"/>
  <c r="S42" i="40"/>
  <c r="W42" i="40" s="1"/>
  <c r="L42" i="40"/>
  <c r="F42" i="40"/>
  <c r="S41" i="40"/>
  <c r="W41" i="40" s="1"/>
  <c r="N41" i="40"/>
  <c r="F41" i="40"/>
  <c r="H41" i="40" s="1"/>
  <c r="S40" i="40"/>
  <c r="W40" i="40" s="1"/>
  <c r="F40" i="40"/>
  <c r="V40" i="40" s="1"/>
  <c r="S39" i="40"/>
  <c r="W39" i="40" s="1"/>
  <c r="F39" i="40"/>
  <c r="V39" i="40" s="1"/>
  <c r="S38" i="40"/>
  <c r="W38" i="40" s="1"/>
  <c r="J38" i="40"/>
  <c r="F38" i="40"/>
  <c r="V38" i="40" s="1"/>
  <c r="S37" i="40"/>
  <c r="W37" i="40" s="1"/>
  <c r="X37" i="40" s="1"/>
  <c r="L37" i="40"/>
  <c r="F37" i="40"/>
  <c r="S36" i="40"/>
  <c r="W36" i="40" s="1"/>
  <c r="N36" i="40"/>
  <c r="J36" i="40"/>
  <c r="F36" i="40"/>
  <c r="S35" i="40"/>
  <c r="W35" i="40" s="1"/>
  <c r="F35" i="40"/>
  <c r="N35" i="40" s="1"/>
  <c r="S34" i="40"/>
  <c r="T34" i="40" s="1"/>
  <c r="F34" i="40"/>
  <c r="N34" i="40" s="1"/>
  <c r="S33" i="40"/>
  <c r="W33" i="40" s="1"/>
  <c r="F33" i="40"/>
  <c r="L33" i="40" s="1"/>
  <c r="S32" i="40"/>
  <c r="W32" i="40" s="1"/>
  <c r="F32" i="40"/>
  <c r="V32" i="40" s="1"/>
  <c r="S31" i="40"/>
  <c r="W31" i="40" s="1"/>
  <c r="F31" i="40"/>
  <c r="N31" i="40" s="1"/>
  <c r="S30" i="40"/>
  <c r="F30" i="40"/>
  <c r="N30" i="40" s="1"/>
  <c r="S29" i="40"/>
  <c r="F29" i="40"/>
  <c r="L29" i="40" s="1"/>
  <c r="S28" i="40"/>
  <c r="W28" i="40" s="1"/>
  <c r="N28" i="40"/>
  <c r="J28" i="40"/>
  <c r="F28" i="40"/>
  <c r="S27" i="40"/>
  <c r="W27" i="40" s="1"/>
  <c r="F27" i="40"/>
  <c r="S26" i="40"/>
  <c r="T26" i="40" s="1"/>
  <c r="F26" i="40"/>
  <c r="N26" i="40" s="1"/>
  <c r="S25" i="40"/>
  <c r="W25" i="40" s="1"/>
  <c r="F25" i="40"/>
  <c r="L25" i="40" s="1"/>
  <c r="S24" i="40"/>
  <c r="W24" i="40" s="1"/>
  <c r="F24" i="40"/>
  <c r="N24" i="40" s="1"/>
  <c r="S23" i="40"/>
  <c r="W23" i="40" s="1"/>
  <c r="F23" i="40"/>
  <c r="S22" i="40"/>
  <c r="T22" i="40" s="1"/>
  <c r="J22" i="40"/>
  <c r="F22" i="40"/>
  <c r="H22" i="40" s="1"/>
  <c r="L22" i="40" s="1"/>
  <c r="S21" i="40"/>
  <c r="W21" i="40" s="1"/>
  <c r="F21" i="40"/>
  <c r="J21" i="40" s="1"/>
  <c r="S20" i="40"/>
  <c r="W20" i="40" s="1"/>
  <c r="R20" i="40"/>
  <c r="F20" i="40"/>
  <c r="J20" i="40" s="1"/>
  <c r="S19" i="40"/>
  <c r="W19" i="40" s="1"/>
  <c r="R19" i="40"/>
  <c r="F19" i="40"/>
  <c r="J19" i="40" s="1"/>
  <c r="S18" i="40"/>
  <c r="W18" i="40" s="1"/>
  <c r="R18" i="40"/>
  <c r="F18" i="40"/>
  <c r="J18" i="40" s="1"/>
  <c r="S17" i="40"/>
  <c r="W17" i="40" s="1"/>
  <c r="R17" i="40"/>
  <c r="F17" i="40"/>
  <c r="J17" i="40" s="1"/>
  <c r="S16" i="40"/>
  <c r="W16" i="40" s="1"/>
  <c r="X16" i="40" s="1"/>
  <c r="R16" i="40"/>
  <c r="L16" i="40"/>
  <c r="J16" i="40"/>
  <c r="H16" i="40"/>
  <c r="F16" i="40"/>
  <c r="P16" i="40" s="1"/>
  <c r="V15" i="40"/>
  <c r="S15" i="40"/>
  <c r="W15" i="40" s="1"/>
  <c r="X15" i="40" s="1"/>
  <c r="R15" i="40"/>
  <c r="L15" i="40"/>
  <c r="J15" i="40"/>
  <c r="H15" i="40"/>
  <c r="F15" i="40"/>
  <c r="P15" i="40" s="1"/>
  <c r="S14" i="40"/>
  <c r="W14" i="40" s="1"/>
  <c r="L14" i="40"/>
  <c r="P14" i="40" s="1"/>
  <c r="F14" i="40"/>
  <c r="J14" i="40" s="1"/>
  <c r="N14" i="40" s="1"/>
  <c r="R14" i="40" s="1"/>
  <c r="V13" i="40"/>
  <c r="S13" i="40"/>
  <c r="W13" i="40" s="1"/>
  <c r="L13" i="40"/>
  <c r="F13" i="40"/>
  <c r="J13" i="40" s="1"/>
  <c r="V12" i="40"/>
  <c r="S12" i="40"/>
  <c r="W12" i="40" s="1"/>
  <c r="F12" i="40"/>
  <c r="L12" i="40" s="1"/>
  <c r="S11" i="40"/>
  <c r="W11" i="40" s="1"/>
  <c r="F11" i="40"/>
  <c r="H11" i="40" s="1"/>
  <c r="L11" i="40" s="1"/>
  <c r="S10" i="40"/>
  <c r="W10" i="40" s="1"/>
  <c r="F10" i="40"/>
  <c r="S9" i="40"/>
  <c r="W9" i="40" s="1"/>
  <c r="F9" i="40"/>
  <c r="V9" i="40" s="1"/>
  <c r="S8" i="40"/>
  <c r="W8" i="40" s="1"/>
  <c r="F8" i="40"/>
  <c r="V8" i="40" s="1"/>
  <c r="S7" i="40"/>
  <c r="W7" i="40" s="1"/>
  <c r="F7" i="40"/>
  <c r="V7" i="40" s="1"/>
  <c r="S6" i="40"/>
  <c r="W6" i="40" s="1"/>
  <c r="F6" i="40"/>
  <c r="V6" i="40" s="1"/>
  <c r="S5" i="40"/>
  <c r="W5" i="40" s="1"/>
  <c r="F5" i="40"/>
  <c r="V5" i="40" s="1"/>
  <c r="P13" i="40" l="1"/>
  <c r="X14" i="40"/>
  <c r="V21" i="40"/>
  <c r="J26" i="40"/>
  <c r="J34" i="40"/>
  <c r="H39" i="40"/>
  <c r="L39" i="40" s="1"/>
  <c r="N46" i="40"/>
  <c r="J12" i="40"/>
  <c r="H13" i="40"/>
  <c r="R13" i="40"/>
  <c r="H14" i="40"/>
  <c r="V14" i="40"/>
  <c r="V22" i="40"/>
  <c r="J24" i="40"/>
  <c r="L26" i="40"/>
  <c r="J32" i="40"/>
  <c r="L34" i="40"/>
  <c r="V41" i="40"/>
  <c r="J44" i="40"/>
  <c r="J50" i="40"/>
  <c r="J52" i="40"/>
  <c r="X13" i="40"/>
  <c r="N32" i="40"/>
  <c r="H38" i="40"/>
  <c r="L38" i="40" s="1"/>
  <c r="R44" i="40"/>
  <c r="T46" i="40"/>
  <c r="R52" i="40"/>
  <c r="T30" i="40"/>
  <c r="J30" i="40"/>
  <c r="L30" i="40"/>
  <c r="T29" i="40"/>
  <c r="W52" i="40"/>
  <c r="X52" i="40" s="1"/>
  <c r="W22" i="40"/>
  <c r="X22" i="40" s="1"/>
  <c r="T48" i="40"/>
  <c r="T10" i="40"/>
  <c r="T11" i="40"/>
  <c r="T21" i="40"/>
  <c r="T39" i="40"/>
  <c r="T14" i="40"/>
  <c r="T32" i="40"/>
  <c r="T33" i="40"/>
  <c r="T38" i="40"/>
  <c r="W44" i="40"/>
  <c r="X44" i="40" s="1"/>
  <c r="X19" i="40"/>
  <c r="T24" i="40"/>
  <c r="T25" i="40"/>
  <c r="T28" i="40"/>
  <c r="T42" i="40"/>
  <c r="T43" i="40"/>
  <c r="T50" i="40"/>
  <c r="T54" i="40"/>
  <c r="X11" i="40"/>
  <c r="X20" i="40"/>
  <c r="W46" i="40"/>
  <c r="X46" i="40" s="1"/>
  <c r="T41" i="40"/>
  <c r="T36" i="40"/>
  <c r="W29" i="40"/>
  <c r="X29" i="40" s="1"/>
  <c r="X18" i="40"/>
  <c r="X17" i="40"/>
  <c r="T16" i="40"/>
  <c r="T15" i="40"/>
  <c r="T13" i="40"/>
  <c r="N5" i="40"/>
  <c r="N6" i="40"/>
  <c r="T6" i="40"/>
  <c r="N7" i="40"/>
  <c r="T7" i="40"/>
  <c r="N8" i="40"/>
  <c r="T8" i="40"/>
  <c r="N9" i="40"/>
  <c r="V23" i="40"/>
  <c r="P23" i="40"/>
  <c r="H23" i="40"/>
  <c r="X23" i="40"/>
  <c r="V27" i="40"/>
  <c r="P27" i="40"/>
  <c r="H27" i="40"/>
  <c r="X27" i="40"/>
  <c r="J5" i="40"/>
  <c r="R5" i="40"/>
  <c r="J6" i="40"/>
  <c r="R6" i="40"/>
  <c r="J7" i="40"/>
  <c r="R7" i="40"/>
  <c r="J8" i="40"/>
  <c r="R8" i="40"/>
  <c r="J9" i="40"/>
  <c r="R9" i="40"/>
  <c r="J10" i="40"/>
  <c r="V10" i="40"/>
  <c r="X12" i="40"/>
  <c r="N17" i="40"/>
  <c r="T17" i="40"/>
  <c r="N18" i="40"/>
  <c r="T18" i="40"/>
  <c r="N19" i="40"/>
  <c r="T19" i="40"/>
  <c r="N20" i="40"/>
  <c r="T20" i="40"/>
  <c r="X21" i="40"/>
  <c r="L23" i="40"/>
  <c r="T23" i="40"/>
  <c r="V25" i="40"/>
  <c r="P25" i="40"/>
  <c r="H25" i="40"/>
  <c r="R25" i="40"/>
  <c r="X25" i="40"/>
  <c r="W26" i="40"/>
  <c r="X26" i="40" s="1"/>
  <c r="L27" i="40"/>
  <c r="T27" i="40"/>
  <c r="V29" i="40"/>
  <c r="P29" i="40"/>
  <c r="H29" i="40"/>
  <c r="R29" i="40"/>
  <c r="W30" i="40"/>
  <c r="X30" i="40" s="1"/>
  <c r="L31" i="40"/>
  <c r="T31" i="40"/>
  <c r="V33" i="40"/>
  <c r="P33" i="40"/>
  <c r="H33" i="40"/>
  <c r="R33" i="40"/>
  <c r="X33" i="40"/>
  <c r="W34" i="40"/>
  <c r="X34" i="40" s="1"/>
  <c r="L35" i="40"/>
  <c r="T35" i="40"/>
  <c r="T37" i="40"/>
  <c r="H37" i="40"/>
  <c r="V37" i="40"/>
  <c r="L40" i="40"/>
  <c r="T40" i="40"/>
  <c r="R42" i="40"/>
  <c r="J42" i="40"/>
  <c r="P42" i="40"/>
  <c r="X42" i="40"/>
  <c r="N45" i="40"/>
  <c r="X47" i="40"/>
  <c r="L47" i="40"/>
  <c r="V47" i="40"/>
  <c r="P47" i="40"/>
  <c r="H47" i="40"/>
  <c r="N49" i="40"/>
  <c r="X51" i="40"/>
  <c r="L51" i="40"/>
  <c r="V51" i="40"/>
  <c r="P51" i="40"/>
  <c r="H51" i="40"/>
  <c r="L5" i="40"/>
  <c r="X5" i="40"/>
  <c r="L6" i="40"/>
  <c r="X6" i="40"/>
  <c r="L7" i="40"/>
  <c r="X7" i="40"/>
  <c r="L8" i="40"/>
  <c r="X8" i="40"/>
  <c r="L9" i="40"/>
  <c r="X9" i="40"/>
  <c r="J11" i="40"/>
  <c r="V11" i="40"/>
  <c r="H12" i="40"/>
  <c r="T12" i="40"/>
  <c r="N13" i="40"/>
  <c r="N15" i="40"/>
  <c r="N16" i="40"/>
  <c r="H17" i="40"/>
  <c r="P17" i="40"/>
  <c r="V17" i="40"/>
  <c r="H18" i="40"/>
  <c r="P18" i="40"/>
  <c r="V18" i="40"/>
  <c r="H19" i="40"/>
  <c r="P19" i="40"/>
  <c r="V19" i="40"/>
  <c r="H20" i="40"/>
  <c r="P20" i="40"/>
  <c r="V20" i="40"/>
  <c r="H21" i="40"/>
  <c r="L21" i="40" s="1"/>
  <c r="N23" i="40"/>
  <c r="L24" i="40"/>
  <c r="J25" i="40"/>
  <c r="V26" i="40"/>
  <c r="P26" i="40"/>
  <c r="H26" i="40"/>
  <c r="R26" i="40"/>
  <c r="N27" i="40"/>
  <c r="L28" i="40"/>
  <c r="J29" i="40"/>
  <c r="V30" i="40"/>
  <c r="P30" i="40"/>
  <c r="H30" i="40"/>
  <c r="R30" i="40"/>
  <c r="L32" i="40"/>
  <c r="J33" i="40"/>
  <c r="V34" i="40"/>
  <c r="P34" i="40"/>
  <c r="H34" i="40"/>
  <c r="R34" i="40"/>
  <c r="L36" i="40"/>
  <c r="J37" i="40"/>
  <c r="J39" i="40"/>
  <c r="X39" i="40"/>
  <c r="N40" i="40"/>
  <c r="L41" i="40"/>
  <c r="H42" i="40"/>
  <c r="X43" i="40"/>
  <c r="L46" i="40"/>
  <c r="V46" i="40"/>
  <c r="P46" i="40"/>
  <c r="H46" i="40"/>
  <c r="J47" i="40"/>
  <c r="T47" i="40"/>
  <c r="X50" i="40"/>
  <c r="L50" i="40"/>
  <c r="V50" i="40"/>
  <c r="P50" i="40"/>
  <c r="H50" i="40"/>
  <c r="J51" i="40"/>
  <c r="T51" i="40"/>
  <c r="T5" i="40"/>
  <c r="T9" i="40"/>
  <c r="X10" i="40"/>
  <c r="R23" i="40"/>
  <c r="R27" i="40"/>
  <c r="V31" i="40"/>
  <c r="P31" i="40"/>
  <c r="H31" i="40"/>
  <c r="R31" i="40"/>
  <c r="X31" i="40"/>
  <c r="V35" i="40"/>
  <c r="P35" i="40"/>
  <c r="H35" i="40"/>
  <c r="R35" i="40"/>
  <c r="X35" i="40"/>
  <c r="R40" i="40"/>
  <c r="J40" i="40"/>
  <c r="P40" i="40"/>
  <c r="X40" i="40"/>
  <c r="X45" i="40"/>
  <c r="L45" i="40"/>
  <c r="V45" i="40"/>
  <c r="P45" i="40"/>
  <c r="H45" i="40"/>
  <c r="X49" i="40"/>
  <c r="L49" i="40"/>
  <c r="V49" i="40"/>
  <c r="P49" i="40"/>
  <c r="H49" i="40"/>
  <c r="H5" i="40"/>
  <c r="P5" i="40"/>
  <c r="H6" i="40"/>
  <c r="P6" i="40"/>
  <c r="H7" i="40"/>
  <c r="P7" i="40"/>
  <c r="H8" i="40"/>
  <c r="P8" i="40"/>
  <c r="H9" i="40"/>
  <c r="P9" i="40"/>
  <c r="H10" i="40"/>
  <c r="L10" i="40" s="1"/>
  <c r="L17" i="40"/>
  <c r="L18" i="40"/>
  <c r="L19" i="40"/>
  <c r="L20" i="40"/>
  <c r="J23" i="40"/>
  <c r="V24" i="40"/>
  <c r="P24" i="40"/>
  <c r="H24" i="40"/>
  <c r="R24" i="40"/>
  <c r="X24" i="40"/>
  <c r="N25" i="40"/>
  <c r="J27" i="40"/>
  <c r="V28" i="40"/>
  <c r="P28" i="40"/>
  <c r="H28" i="40"/>
  <c r="R28" i="40"/>
  <c r="X28" i="40"/>
  <c r="N29" i="40"/>
  <c r="J31" i="40"/>
  <c r="P32" i="40"/>
  <c r="H32" i="40"/>
  <c r="R32" i="40"/>
  <c r="X32" i="40"/>
  <c r="N33" i="40"/>
  <c r="J35" i="40"/>
  <c r="V36" i="40"/>
  <c r="P36" i="40"/>
  <c r="H36" i="40"/>
  <c r="R36" i="40"/>
  <c r="X36" i="40"/>
  <c r="X38" i="40"/>
  <c r="H40" i="40"/>
  <c r="R41" i="40"/>
  <c r="J41" i="40"/>
  <c r="P41" i="40"/>
  <c r="X41" i="40"/>
  <c r="N42" i="40"/>
  <c r="V42" i="40"/>
  <c r="L44" i="40"/>
  <c r="V44" i="40"/>
  <c r="P44" i="40"/>
  <c r="H44" i="40"/>
  <c r="J45" i="40"/>
  <c r="T45" i="40"/>
  <c r="R47" i="40"/>
  <c r="X48" i="40"/>
  <c r="L48" i="40"/>
  <c r="V48" i="40"/>
  <c r="P48" i="40"/>
  <c r="H48" i="40"/>
  <c r="J49" i="40"/>
  <c r="T49" i="40"/>
  <c r="R51" i="40"/>
  <c r="L52" i="40"/>
  <c r="V52" i="40"/>
  <c r="P52" i="40"/>
  <c r="H52" i="40"/>
  <c r="J43" i="40"/>
  <c r="V43" i="40"/>
  <c r="L51" i="39" l="1"/>
  <c r="L50" i="39"/>
  <c r="L49" i="39"/>
  <c r="L47" i="39"/>
  <c r="F51" i="39"/>
  <c r="R51" i="39" s="1"/>
  <c r="F50" i="39"/>
  <c r="N50" i="39" s="1"/>
  <c r="F49" i="39"/>
  <c r="R49" i="39" s="1"/>
  <c r="F48" i="39"/>
  <c r="R48" i="39" s="1"/>
  <c r="F47" i="39"/>
  <c r="R47" i="39" s="1"/>
  <c r="F46" i="39"/>
  <c r="F45" i="39"/>
  <c r="F52" i="39"/>
  <c r="R52" i="39" s="1"/>
  <c r="L52" i="39" l="1"/>
  <c r="N47" i="39"/>
  <c r="N48" i="39"/>
  <c r="N49" i="39"/>
  <c r="R50" i="39"/>
  <c r="N51" i="39"/>
  <c r="N52" i="39"/>
  <c r="L48" i="39"/>
  <c r="P47" i="39"/>
  <c r="P48" i="39"/>
  <c r="P49" i="39"/>
  <c r="P50" i="39"/>
  <c r="P51" i="39"/>
  <c r="P52" i="39"/>
  <c r="V54" i="39" l="1"/>
  <c r="S54" i="39"/>
  <c r="L54" i="39"/>
  <c r="J54" i="39"/>
  <c r="H54" i="39"/>
  <c r="V53" i="39"/>
  <c r="S53" i="39"/>
  <c r="L53" i="39"/>
  <c r="J53" i="39"/>
  <c r="H53" i="39"/>
  <c r="V52" i="39"/>
  <c r="S52" i="39"/>
  <c r="J52" i="39"/>
  <c r="H52" i="39"/>
  <c r="V51" i="39"/>
  <c r="S51" i="39"/>
  <c r="J51" i="39"/>
  <c r="H51" i="39"/>
  <c r="V50" i="39"/>
  <c r="S50" i="39"/>
  <c r="J50" i="39"/>
  <c r="H50" i="39"/>
  <c r="V49" i="39"/>
  <c r="S49" i="39"/>
  <c r="J49" i="39"/>
  <c r="H49" i="39"/>
  <c r="V48" i="39"/>
  <c r="S48" i="39"/>
  <c r="J48" i="39"/>
  <c r="H48" i="39"/>
  <c r="V47" i="39"/>
  <c r="S47" i="39"/>
  <c r="J47" i="39"/>
  <c r="H47" i="39"/>
  <c r="V46" i="39"/>
  <c r="S46" i="39"/>
  <c r="R46" i="39"/>
  <c r="P46" i="39"/>
  <c r="N46" i="39"/>
  <c r="L46" i="39"/>
  <c r="J46" i="39"/>
  <c r="H46" i="39"/>
  <c r="V45" i="39"/>
  <c r="S45" i="39"/>
  <c r="T45" i="39" s="1"/>
  <c r="R45" i="39"/>
  <c r="P45" i="39"/>
  <c r="N45" i="39"/>
  <c r="L45" i="39"/>
  <c r="J45" i="39"/>
  <c r="H45" i="39"/>
  <c r="S44" i="39"/>
  <c r="W44" i="39" s="1"/>
  <c r="X44" i="39" s="1"/>
  <c r="F44" i="39"/>
  <c r="P44" i="39" s="1"/>
  <c r="S43" i="39"/>
  <c r="W43" i="39" s="1"/>
  <c r="F43" i="39"/>
  <c r="V43" i="39" s="1"/>
  <c r="S42" i="39"/>
  <c r="W42" i="39" s="1"/>
  <c r="R42" i="39"/>
  <c r="J42" i="39"/>
  <c r="F42" i="39"/>
  <c r="N42" i="39" s="1"/>
  <c r="S41" i="39"/>
  <c r="W41" i="39" s="1"/>
  <c r="F41" i="39"/>
  <c r="J41" i="39" s="1"/>
  <c r="S40" i="39"/>
  <c r="R40" i="39"/>
  <c r="F40" i="39"/>
  <c r="N40" i="39" s="1"/>
  <c r="S39" i="39"/>
  <c r="F39" i="39"/>
  <c r="J39" i="39" s="1"/>
  <c r="S38" i="39"/>
  <c r="W38" i="39" s="1"/>
  <c r="F38" i="39"/>
  <c r="S37" i="39"/>
  <c r="W37" i="39" s="1"/>
  <c r="H37" i="39"/>
  <c r="F37" i="39"/>
  <c r="L37" i="39" s="1"/>
  <c r="S36" i="39"/>
  <c r="W36" i="39" s="1"/>
  <c r="P36" i="39"/>
  <c r="F36" i="39"/>
  <c r="J36" i="39" s="1"/>
  <c r="V35" i="39"/>
  <c r="S35" i="39"/>
  <c r="W35" i="39" s="1"/>
  <c r="H35" i="39"/>
  <c r="F35" i="39"/>
  <c r="P35" i="39" s="1"/>
  <c r="S34" i="39"/>
  <c r="W34" i="39" s="1"/>
  <c r="P34" i="39"/>
  <c r="F34" i="39"/>
  <c r="J34" i="39" s="1"/>
  <c r="V33" i="39"/>
  <c r="S33" i="39"/>
  <c r="W33" i="39" s="1"/>
  <c r="L33" i="39"/>
  <c r="H33" i="39"/>
  <c r="F33" i="39"/>
  <c r="P33" i="39" s="1"/>
  <c r="S32" i="39"/>
  <c r="W32" i="39" s="1"/>
  <c r="P32" i="39"/>
  <c r="F32" i="39"/>
  <c r="L32" i="39" s="1"/>
  <c r="V31" i="39"/>
  <c r="S31" i="39"/>
  <c r="W31" i="39" s="1"/>
  <c r="L31" i="39"/>
  <c r="H31" i="39"/>
  <c r="F31" i="39"/>
  <c r="P31" i="39" s="1"/>
  <c r="S30" i="39"/>
  <c r="W30" i="39" s="1"/>
  <c r="P30" i="39"/>
  <c r="F30" i="39"/>
  <c r="T30" i="39" s="1"/>
  <c r="V29" i="39"/>
  <c r="S29" i="39"/>
  <c r="W29" i="39" s="1"/>
  <c r="L29" i="39"/>
  <c r="H29" i="39"/>
  <c r="F29" i="39"/>
  <c r="P29" i="39" s="1"/>
  <c r="S28" i="39"/>
  <c r="W28" i="39" s="1"/>
  <c r="P28" i="39"/>
  <c r="F28" i="39"/>
  <c r="L28" i="39" s="1"/>
  <c r="V27" i="39"/>
  <c r="S27" i="39"/>
  <c r="W27" i="39" s="1"/>
  <c r="L27" i="39"/>
  <c r="H27" i="39"/>
  <c r="F27" i="39"/>
  <c r="T27" i="39" s="1"/>
  <c r="S26" i="39"/>
  <c r="W26" i="39" s="1"/>
  <c r="P26" i="39"/>
  <c r="F26" i="39"/>
  <c r="L26" i="39" s="1"/>
  <c r="V25" i="39"/>
  <c r="S25" i="39"/>
  <c r="W25" i="39" s="1"/>
  <c r="H25" i="39"/>
  <c r="F25" i="39"/>
  <c r="P25" i="39" s="1"/>
  <c r="S24" i="39"/>
  <c r="W24" i="39" s="1"/>
  <c r="F24" i="39"/>
  <c r="V23" i="39"/>
  <c r="S23" i="39"/>
  <c r="W23" i="39" s="1"/>
  <c r="H23" i="39"/>
  <c r="F23" i="39"/>
  <c r="N23" i="39" s="1"/>
  <c r="S22" i="39"/>
  <c r="W22" i="39" s="1"/>
  <c r="F22" i="39"/>
  <c r="V22" i="39" s="1"/>
  <c r="S21" i="39"/>
  <c r="F21" i="39"/>
  <c r="V21" i="39" s="1"/>
  <c r="S20" i="39"/>
  <c r="W20" i="39" s="1"/>
  <c r="F20" i="39"/>
  <c r="V20" i="39" s="1"/>
  <c r="S19" i="39"/>
  <c r="W19" i="39" s="1"/>
  <c r="F19" i="39"/>
  <c r="V19" i="39" s="1"/>
  <c r="S18" i="39"/>
  <c r="W18" i="39" s="1"/>
  <c r="F18" i="39"/>
  <c r="V18" i="39" s="1"/>
  <c r="S17" i="39"/>
  <c r="W17" i="39" s="1"/>
  <c r="F17" i="39"/>
  <c r="V17" i="39" s="1"/>
  <c r="S16" i="39"/>
  <c r="W16" i="39" s="1"/>
  <c r="F16" i="39"/>
  <c r="L16" i="39" s="1"/>
  <c r="S15" i="39"/>
  <c r="W15" i="39" s="1"/>
  <c r="F15" i="39"/>
  <c r="S14" i="39"/>
  <c r="W14" i="39" s="1"/>
  <c r="F14" i="39"/>
  <c r="J14" i="39" s="1"/>
  <c r="N14" i="39" s="1"/>
  <c r="R14" i="39" s="1"/>
  <c r="S13" i="39"/>
  <c r="W13" i="39" s="1"/>
  <c r="F13" i="39"/>
  <c r="V13" i="39" s="1"/>
  <c r="S12" i="39"/>
  <c r="W12" i="39" s="1"/>
  <c r="F12" i="39"/>
  <c r="L12" i="39" s="1"/>
  <c r="S11" i="39"/>
  <c r="W11" i="39" s="1"/>
  <c r="F11" i="39"/>
  <c r="H11" i="39" s="1"/>
  <c r="L11" i="39" s="1"/>
  <c r="S10" i="39"/>
  <c r="W10" i="39" s="1"/>
  <c r="F10" i="39"/>
  <c r="S9" i="39"/>
  <c r="W9" i="39" s="1"/>
  <c r="F9" i="39"/>
  <c r="V9" i="39" s="1"/>
  <c r="S8" i="39"/>
  <c r="W8" i="39" s="1"/>
  <c r="F8" i="39"/>
  <c r="V8" i="39" s="1"/>
  <c r="S7" i="39"/>
  <c r="W7" i="39" s="1"/>
  <c r="F7" i="39"/>
  <c r="V7" i="39" s="1"/>
  <c r="S6" i="39"/>
  <c r="W6" i="39" s="1"/>
  <c r="F6" i="39"/>
  <c r="V6" i="39" s="1"/>
  <c r="S5" i="39"/>
  <c r="W5" i="39" s="1"/>
  <c r="F5" i="39"/>
  <c r="V5" i="39" s="1"/>
  <c r="J12" i="39" l="1"/>
  <c r="H13" i="39"/>
  <c r="R13" i="39"/>
  <c r="H17" i="39"/>
  <c r="R17" i="39"/>
  <c r="H18" i="39"/>
  <c r="R18" i="39"/>
  <c r="H19" i="39"/>
  <c r="R19" i="39"/>
  <c r="H20" i="39"/>
  <c r="R20" i="39"/>
  <c r="H21" i="39"/>
  <c r="L21" i="39" s="1"/>
  <c r="L23" i="39"/>
  <c r="L25" i="39"/>
  <c r="X26" i="39"/>
  <c r="X28" i="39"/>
  <c r="X30" i="39"/>
  <c r="X32" i="39"/>
  <c r="X34" i="39"/>
  <c r="L35" i="39"/>
  <c r="X36" i="39"/>
  <c r="H39" i="39"/>
  <c r="L39" i="39" s="1"/>
  <c r="T40" i="39"/>
  <c r="H44" i="39"/>
  <c r="V44" i="39"/>
  <c r="P13" i="39"/>
  <c r="P17" i="39"/>
  <c r="P18" i="39"/>
  <c r="P19" i="39"/>
  <c r="P20" i="39"/>
  <c r="V39" i="39"/>
  <c r="J13" i="39"/>
  <c r="J16" i="39"/>
  <c r="J17" i="39"/>
  <c r="X17" i="39"/>
  <c r="J18" i="39"/>
  <c r="X18" i="39"/>
  <c r="J19" i="39"/>
  <c r="X19" i="39"/>
  <c r="J20" i="39"/>
  <c r="X20" i="39"/>
  <c r="J21" i="39"/>
  <c r="H26" i="39"/>
  <c r="V26" i="39"/>
  <c r="P27" i="39"/>
  <c r="H28" i="39"/>
  <c r="V28" i="39"/>
  <c r="H30" i="39"/>
  <c r="V30" i="39"/>
  <c r="H32" i="39"/>
  <c r="V32" i="39"/>
  <c r="H34" i="39"/>
  <c r="V34" i="39"/>
  <c r="H36" i="39"/>
  <c r="V36" i="39"/>
  <c r="J40" i="39"/>
  <c r="L44" i="39"/>
  <c r="V12" i="39"/>
  <c r="L13" i="39"/>
  <c r="L17" i="39"/>
  <c r="L18" i="39"/>
  <c r="L19" i="39"/>
  <c r="L20" i="39"/>
  <c r="T21" i="39"/>
  <c r="X25" i="39"/>
  <c r="X27" i="39"/>
  <c r="X29" i="39"/>
  <c r="L30" i="39"/>
  <c r="X31" i="39"/>
  <c r="X33" i="39"/>
  <c r="L34" i="39"/>
  <c r="X35" i="39"/>
  <c r="L36" i="39"/>
  <c r="T39" i="39"/>
  <c r="N41" i="39"/>
  <c r="T44" i="39"/>
  <c r="W40" i="39"/>
  <c r="T26" i="39"/>
  <c r="W45" i="39"/>
  <c r="X45" i="39" s="1"/>
  <c r="T34" i="39"/>
  <c r="T36" i="39"/>
  <c r="T33" i="39"/>
  <c r="T15" i="39"/>
  <c r="T32" i="39"/>
  <c r="T11" i="39"/>
  <c r="T10" i="39"/>
  <c r="W21" i="39"/>
  <c r="X21" i="39" s="1"/>
  <c r="X37" i="39"/>
  <c r="T37" i="39"/>
  <c r="X11" i="39"/>
  <c r="T12" i="39"/>
  <c r="T42" i="39"/>
  <c r="W39" i="39"/>
  <c r="X39" i="39" s="1"/>
  <c r="T35" i="39"/>
  <c r="T31" i="39"/>
  <c r="T28" i="39"/>
  <c r="T19" i="39"/>
  <c r="T17" i="39"/>
  <c r="N5" i="39"/>
  <c r="T5" i="39"/>
  <c r="N6" i="39"/>
  <c r="N9" i="39"/>
  <c r="X10" i="39"/>
  <c r="P15" i="39"/>
  <c r="T24" i="39"/>
  <c r="R24" i="39"/>
  <c r="J24" i="39"/>
  <c r="P24" i="39"/>
  <c r="T25" i="39"/>
  <c r="T29" i="39"/>
  <c r="J5" i="39"/>
  <c r="R5" i="39"/>
  <c r="J6" i="39"/>
  <c r="R6" i="39"/>
  <c r="J7" i="39"/>
  <c r="R7" i="39"/>
  <c r="J8" i="39"/>
  <c r="R8" i="39"/>
  <c r="J9" i="39"/>
  <c r="R9" i="39"/>
  <c r="J10" i="39"/>
  <c r="V10" i="39"/>
  <c r="X12" i="39"/>
  <c r="X14" i="39"/>
  <c r="L14" i="39"/>
  <c r="P14" i="39" s="1"/>
  <c r="V14" i="39"/>
  <c r="J15" i="39"/>
  <c r="P16" i="39"/>
  <c r="T18" i="39"/>
  <c r="T20" i="39"/>
  <c r="J22" i="39"/>
  <c r="X22" i="39"/>
  <c r="L24" i="39"/>
  <c r="V24" i="39"/>
  <c r="T38" i="39"/>
  <c r="H38" i="39"/>
  <c r="L38" i="39" s="1"/>
  <c r="X38" i="39"/>
  <c r="V41" i="39"/>
  <c r="P41" i="39"/>
  <c r="H41" i="39"/>
  <c r="X41" i="39"/>
  <c r="L41" i="39"/>
  <c r="W47" i="39"/>
  <c r="X47" i="39" s="1"/>
  <c r="T47" i="39"/>
  <c r="W49" i="39"/>
  <c r="X49" i="39" s="1"/>
  <c r="T49" i="39"/>
  <c r="W51" i="39"/>
  <c r="X51" i="39" s="1"/>
  <c r="T51" i="39"/>
  <c r="W53" i="39"/>
  <c r="X53" i="39" s="1"/>
  <c r="T53" i="39"/>
  <c r="L5" i="39"/>
  <c r="X5" i="39"/>
  <c r="L6" i="39"/>
  <c r="X6" i="39"/>
  <c r="L7" i="39"/>
  <c r="X7" i="39"/>
  <c r="L8" i="39"/>
  <c r="X8" i="39"/>
  <c r="L9" i="39"/>
  <c r="X9" i="39"/>
  <c r="J11" i="39"/>
  <c r="V11" i="39"/>
  <c r="H12" i="39"/>
  <c r="X13" i="39"/>
  <c r="N13" i="39"/>
  <c r="T13" i="39"/>
  <c r="H14" i="39"/>
  <c r="N15" i="39"/>
  <c r="H16" i="39"/>
  <c r="R16" i="39"/>
  <c r="X16" i="39"/>
  <c r="R23" i="39"/>
  <c r="J23" i="39"/>
  <c r="P23" i="39"/>
  <c r="X23" i="39"/>
  <c r="N24" i="39"/>
  <c r="X24" i="39"/>
  <c r="J38" i="39"/>
  <c r="V40" i="39"/>
  <c r="P40" i="39"/>
  <c r="H40" i="39"/>
  <c r="X40" i="39"/>
  <c r="L40" i="39"/>
  <c r="T41" i="39"/>
  <c r="T6" i="39"/>
  <c r="N7" i="39"/>
  <c r="T7" i="39"/>
  <c r="N8" i="39"/>
  <c r="T8" i="39"/>
  <c r="T9" i="39"/>
  <c r="X15" i="39"/>
  <c r="L15" i="39"/>
  <c r="V15" i="39"/>
  <c r="T22" i="39"/>
  <c r="T43" i="39"/>
  <c r="H43" i="39"/>
  <c r="L43" i="39" s="1"/>
  <c r="X43" i="39"/>
  <c r="W46" i="39"/>
  <c r="X46" i="39" s="1"/>
  <c r="T46" i="39"/>
  <c r="W48" i="39"/>
  <c r="X48" i="39" s="1"/>
  <c r="T48" i="39"/>
  <c r="W50" i="39"/>
  <c r="X50" i="39" s="1"/>
  <c r="T50" i="39"/>
  <c r="W52" i="39"/>
  <c r="X52" i="39" s="1"/>
  <c r="T52" i="39"/>
  <c r="W54" i="39"/>
  <c r="X54" i="39" s="1"/>
  <c r="T54" i="39"/>
  <c r="H5" i="39"/>
  <c r="P5" i="39"/>
  <c r="H6" i="39"/>
  <c r="P6" i="39"/>
  <c r="H7" i="39"/>
  <c r="P7" i="39"/>
  <c r="H8" i="39"/>
  <c r="P8" i="39"/>
  <c r="H9" i="39"/>
  <c r="P9" i="39"/>
  <c r="H10" i="39"/>
  <c r="L10" i="39" s="1"/>
  <c r="T14" i="39"/>
  <c r="H15" i="39"/>
  <c r="R15" i="39"/>
  <c r="N16" i="39"/>
  <c r="T16" i="39"/>
  <c r="H22" i="39"/>
  <c r="L22" i="39" s="1"/>
  <c r="T23" i="39"/>
  <c r="H24" i="39"/>
  <c r="V38" i="39"/>
  <c r="R41" i="39"/>
  <c r="V42" i="39"/>
  <c r="P42" i="39"/>
  <c r="H42" i="39"/>
  <c r="X42" i="39"/>
  <c r="L42" i="39"/>
  <c r="J43" i="39"/>
  <c r="N17" i="39"/>
  <c r="N18" i="39"/>
  <c r="N19" i="39"/>
  <c r="N20" i="39"/>
  <c r="J25" i="39"/>
  <c r="R25" i="39"/>
  <c r="J26" i="39"/>
  <c r="R26" i="39"/>
  <c r="J27" i="39"/>
  <c r="R27" i="39"/>
  <c r="J28" i="39"/>
  <c r="R28" i="39"/>
  <c r="J29" i="39"/>
  <c r="R29" i="39"/>
  <c r="J30" i="39"/>
  <c r="R30" i="39"/>
  <c r="J31" i="39"/>
  <c r="R31" i="39"/>
  <c r="J32" i="39"/>
  <c r="R32" i="39"/>
  <c r="J33" i="39"/>
  <c r="R33" i="39"/>
  <c r="R34" i="39"/>
  <c r="J35" i="39"/>
  <c r="R35" i="39"/>
  <c r="R36" i="39"/>
  <c r="J37" i="39"/>
  <c r="V37" i="39"/>
  <c r="J44" i="39"/>
  <c r="R44" i="39"/>
  <c r="N25" i="39"/>
  <c r="N26" i="39"/>
  <c r="N27" i="39"/>
  <c r="N28" i="39"/>
  <c r="N29" i="39"/>
  <c r="N30" i="39"/>
  <c r="N31" i="39"/>
  <c r="N32" i="39"/>
  <c r="N33" i="39"/>
  <c r="N34" i="39"/>
  <c r="N35" i="39"/>
  <c r="N36" i="39"/>
  <c r="N44" i="39"/>
  <c r="R46" i="38" l="1"/>
  <c r="P46" i="38"/>
  <c r="N46" i="38"/>
  <c r="L46" i="38"/>
  <c r="N45" i="38"/>
  <c r="P45" i="38"/>
  <c r="R45" i="38"/>
  <c r="L45" i="38"/>
  <c r="V54" i="38" l="1"/>
  <c r="S54" i="38"/>
  <c r="T54" i="38" s="1"/>
  <c r="L54" i="38"/>
  <c r="J54" i="38"/>
  <c r="H54" i="38"/>
  <c r="V53" i="38"/>
  <c r="S53" i="38"/>
  <c r="T53" i="38" s="1"/>
  <c r="J53" i="38"/>
  <c r="H53" i="38"/>
  <c r="L53" i="38" s="1"/>
  <c r="W52" i="38"/>
  <c r="X52" i="38" s="1"/>
  <c r="V52" i="38"/>
  <c r="S52" i="38"/>
  <c r="T52" i="38" s="1"/>
  <c r="L52" i="38"/>
  <c r="J52" i="38"/>
  <c r="H52" i="38"/>
  <c r="V51" i="38"/>
  <c r="S51" i="38"/>
  <c r="T51" i="38" s="1"/>
  <c r="L51" i="38"/>
  <c r="J51" i="38"/>
  <c r="H51" i="38"/>
  <c r="V50" i="38"/>
  <c r="S50" i="38"/>
  <c r="T50" i="38" s="1"/>
  <c r="J50" i="38"/>
  <c r="H50" i="38"/>
  <c r="L50" i="38" s="1"/>
  <c r="V49" i="38"/>
  <c r="S49" i="38"/>
  <c r="T49" i="38" s="1"/>
  <c r="J49" i="38"/>
  <c r="H49" i="38"/>
  <c r="L49" i="38" s="1"/>
  <c r="W48" i="38"/>
  <c r="X48" i="38" s="1"/>
  <c r="V48" i="38"/>
  <c r="S48" i="38"/>
  <c r="T48" i="38" s="1"/>
  <c r="L48" i="38"/>
  <c r="J48" i="38"/>
  <c r="H48" i="38"/>
  <c r="V47" i="38"/>
  <c r="S47" i="38"/>
  <c r="T47" i="38" s="1"/>
  <c r="J47" i="38"/>
  <c r="H47" i="38"/>
  <c r="L47" i="38" s="1"/>
  <c r="V46" i="38"/>
  <c r="S46" i="38"/>
  <c r="T46" i="38" s="1"/>
  <c r="J46" i="38"/>
  <c r="H46" i="38"/>
  <c r="V45" i="38"/>
  <c r="S45" i="38"/>
  <c r="T45" i="38" s="1"/>
  <c r="J45" i="38"/>
  <c r="H45" i="38"/>
  <c r="S44" i="38"/>
  <c r="W44" i="38" s="1"/>
  <c r="R44" i="38"/>
  <c r="L44" i="38"/>
  <c r="F44" i="38"/>
  <c r="V44" i="38" s="1"/>
  <c r="S43" i="38"/>
  <c r="W43" i="38" s="1"/>
  <c r="F43" i="38"/>
  <c r="S42" i="38"/>
  <c r="W42" i="38" s="1"/>
  <c r="F42" i="38"/>
  <c r="S41" i="38"/>
  <c r="W41" i="38" s="1"/>
  <c r="P41" i="38"/>
  <c r="F41" i="38"/>
  <c r="R41" i="38" s="1"/>
  <c r="S40" i="38"/>
  <c r="W40" i="38" s="1"/>
  <c r="F40" i="38"/>
  <c r="R40" i="38" s="1"/>
  <c r="S39" i="38"/>
  <c r="W39" i="38" s="1"/>
  <c r="J39" i="38"/>
  <c r="H39" i="38"/>
  <c r="L39" i="38" s="1"/>
  <c r="F39" i="38"/>
  <c r="V39" i="38" s="1"/>
  <c r="V38" i="38"/>
  <c r="S38" i="38"/>
  <c r="W38" i="38" s="1"/>
  <c r="J38" i="38"/>
  <c r="F38" i="38"/>
  <c r="S37" i="38"/>
  <c r="W37" i="38" s="1"/>
  <c r="F37" i="38"/>
  <c r="S36" i="38"/>
  <c r="W36" i="38" s="1"/>
  <c r="F36" i="38"/>
  <c r="S35" i="38"/>
  <c r="W35" i="38" s="1"/>
  <c r="X35" i="38" s="1"/>
  <c r="N35" i="38"/>
  <c r="L35" i="38"/>
  <c r="F35" i="38"/>
  <c r="S34" i="38"/>
  <c r="W34" i="38" s="1"/>
  <c r="F34" i="38"/>
  <c r="S33" i="38"/>
  <c r="W33" i="38" s="1"/>
  <c r="X33" i="38" s="1"/>
  <c r="F33" i="38"/>
  <c r="N33" i="38" s="1"/>
  <c r="S32" i="38"/>
  <c r="L32" i="38"/>
  <c r="J32" i="38"/>
  <c r="H32" i="38"/>
  <c r="F32" i="38"/>
  <c r="V31" i="38"/>
  <c r="S31" i="38"/>
  <c r="W31" i="38" s="1"/>
  <c r="X31" i="38" s="1"/>
  <c r="R31" i="38"/>
  <c r="L31" i="38"/>
  <c r="J31" i="38"/>
  <c r="H31" i="38"/>
  <c r="F31" i="38"/>
  <c r="P31" i="38" s="1"/>
  <c r="V30" i="38"/>
  <c r="S30" i="38"/>
  <c r="W30" i="38" s="1"/>
  <c r="X30" i="38" s="1"/>
  <c r="R30" i="38"/>
  <c r="L30" i="38"/>
  <c r="J30" i="38"/>
  <c r="H30" i="38"/>
  <c r="F30" i="38"/>
  <c r="P30" i="38" s="1"/>
  <c r="V29" i="38"/>
  <c r="S29" i="38"/>
  <c r="W29" i="38" s="1"/>
  <c r="X29" i="38" s="1"/>
  <c r="R29" i="38"/>
  <c r="L29" i="38"/>
  <c r="J29" i="38"/>
  <c r="H29" i="38"/>
  <c r="F29" i="38"/>
  <c r="P29" i="38" s="1"/>
  <c r="S28" i="38"/>
  <c r="W28" i="38" s="1"/>
  <c r="F28" i="38"/>
  <c r="L28" i="38" s="1"/>
  <c r="S27" i="38"/>
  <c r="W27" i="38" s="1"/>
  <c r="F27" i="38"/>
  <c r="V27" i="38" s="1"/>
  <c r="S26" i="38"/>
  <c r="W26" i="38" s="1"/>
  <c r="F26" i="38"/>
  <c r="V26" i="38" s="1"/>
  <c r="S25" i="38"/>
  <c r="W25" i="38" s="1"/>
  <c r="F25" i="38"/>
  <c r="V25" i="38" s="1"/>
  <c r="S24" i="38"/>
  <c r="W24" i="38" s="1"/>
  <c r="F24" i="38"/>
  <c r="V24" i="38" s="1"/>
  <c r="S23" i="38"/>
  <c r="W23" i="38" s="1"/>
  <c r="F23" i="38"/>
  <c r="V23" i="38" s="1"/>
  <c r="S22" i="38"/>
  <c r="W22" i="38" s="1"/>
  <c r="F22" i="38"/>
  <c r="V22" i="38" s="1"/>
  <c r="S21" i="38"/>
  <c r="W21" i="38" s="1"/>
  <c r="F21" i="38"/>
  <c r="S20" i="38"/>
  <c r="W20" i="38" s="1"/>
  <c r="N20" i="38"/>
  <c r="F20" i="38"/>
  <c r="L20" i="38" s="1"/>
  <c r="S19" i="38"/>
  <c r="W19" i="38" s="1"/>
  <c r="F19" i="38"/>
  <c r="S18" i="38"/>
  <c r="W18" i="38" s="1"/>
  <c r="F18" i="38"/>
  <c r="N18" i="38" s="1"/>
  <c r="S17" i="38"/>
  <c r="W17" i="38" s="1"/>
  <c r="F17" i="38"/>
  <c r="S16" i="38"/>
  <c r="W16" i="38" s="1"/>
  <c r="R16" i="38"/>
  <c r="F16" i="38"/>
  <c r="P16" i="38" s="1"/>
  <c r="S15" i="38"/>
  <c r="W15" i="38" s="1"/>
  <c r="X15" i="38" s="1"/>
  <c r="F15" i="38"/>
  <c r="V15" i="38" s="1"/>
  <c r="S14" i="38"/>
  <c r="W14" i="38" s="1"/>
  <c r="F14" i="38"/>
  <c r="V14" i="38" s="1"/>
  <c r="S13" i="38"/>
  <c r="W13" i="38" s="1"/>
  <c r="F13" i="38"/>
  <c r="S12" i="38"/>
  <c r="W12" i="38" s="1"/>
  <c r="H12" i="38"/>
  <c r="L12" i="38" s="1"/>
  <c r="F12" i="38"/>
  <c r="S11" i="38"/>
  <c r="W11" i="38" s="1"/>
  <c r="J11" i="38"/>
  <c r="F11" i="38"/>
  <c r="H11" i="38" s="1"/>
  <c r="L11" i="38" s="1"/>
  <c r="S10" i="38"/>
  <c r="W10" i="38" s="1"/>
  <c r="J10" i="38"/>
  <c r="F10" i="38"/>
  <c r="S9" i="38"/>
  <c r="W9" i="38" s="1"/>
  <c r="F9" i="38"/>
  <c r="N9" i="38" s="1"/>
  <c r="S8" i="38"/>
  <c r="W8" i="38" s="1"/>
  <c r="J8" i="38"/>
  <c r="H8" i="38"/>
  <c r="F8" i="38"/>
  <c r="R8" i="38" s="1"/>
  <c r="S7" i="38"/>
  <c r="W7" i="38" s="1"/>
  <c r="F7" i="38"/>
  <c r="P7" i="38" s="1"/>
  <c r="S6" i="38"/>
  <c r="W6" i="38" s="1"/>
  <c r="P6" i="38"/>
  <c r="F6" i="38"/>
  <c r="V6" i="38" s="1"/>
  <c r="V5" i="38"/>
  <c r="S5" i="38"/>
  <c r="W5" i="38" s="1"/>
  <c r="P5" i="38"/>
  <c r="J5" i="38"/>
  <c r="F5" i="38"/>
  <c r="H5" i="38" s="1"/>
  <c r="P23" i="38" l="1"/>
  <c r="P24" i="38"/>
  <c r="P25" i="38"/>
  <c r="P26" i="38"/>
  <c r="P27" i="38"/>
  <c r="R6" i="38"/>
  <c r="H7" i="38"/>
  <c r="J14" i="38"/>
  <c r="N14" i="38" s="1"/>
  <c r="R14" i="38" s="1"/>
  <c r="J15" i="38"/>
  <c r="X16" i="38"/>
  <c r="L18" i="38"/>
  <c r="X20" i="38"/>
  <c r="J22" i="38"/>
  <c r="H23" i="38"/>
  <c r="R23" i="38"/>
  <c r="H24" i="38"/>
  <c r="R24" i="38"/>
  <c r="H25" i="38"/>
  <c r="R25" i="38"/>
  <c r="H26" i="38"/>
  <c r="R26" i="38"/>
  <c r="H27" i="38"/>
  <c r="R27" i="38"/>
  <c r="H28" i="38"/>
  <c r="X28" i="38"/>
  <c r="P40" i="38"/>
  <c r="R7" i="38"/>
  <c r="R5" i="38"/>
  <c r="H6" i="38"/>
  <c r="J7" i="38"/>
  <c r="V7" i="38"/>
  <c r="V11" i="38"/>
  <c r="N13" i="38"/>
  <c r="P13" i="38"/>
  <c r="R13" i="38"/>
  <c r="J13" i="38"/>
  <c r="L13" i="38"/>
  <c r="L14" i="38"/>
  <c r="P14" i="38" s="1"/>
  <c r="L15" i="38"/>
  <c r="J16" i="38"/>
  <c r="J23" i="38"/>
  <c r="X23" i="38"/>
  <c r="J24" i="38"/>
  <c r="X24" i="38"/>
  <c r="J25" i="38"/>
  <c r="X25" i="38"/>
  <c r="J26" i="38"/>
  <c r="X26" i="38"/>
  <c r="J27" i="38"/>
  <c r="X27" i="38"/>
  <c r="J28" i="38"/>
  <c r="V28" i="38"/>
  <c r="L33" i="38"/>
  <c r="R42" i="38"/>
  <c r="P42" i="38"/>
  <c r="N42" i="38"/>
  <c r="L42" i="38"/>
  <c r="X44" i="38"/>
  <c r="R28" i="38"/>
  <c r="J6" i="38"/>
  <c r="X8" i="38"/>
  <c r="X14" i="38"/>
  <c r="R15" i="38"/>
  <c r="L16" i="38"/>
  <c r="X18" i="38"/>
  <c r="L23" i="38"/>
  <c r="L24" i="38"/>
  <c r="L25" i="38"/>
  <c r="L26" i="38"/>
  <c r="L27" i="38"/>
  <c r="P28" i="38"/>
  <c r="N32" i="38"/>
  <c r="R32" i="38"/>
  <c r="P32" i="38"/>
  <c r="J44" i="38"/>
  <c r="V32" i="38"/>
  <c r="T39" i="38"/>
  <c r="T5" i="38"/>
  <c r="T6" i="38"/>
  <c r="T7" i="38"/>
  <c r="T11" i="38"/>
  <c r="T27" i="38"/>
  <c r="T8" i="38"/>
  <c r="X11" i="38"/>
  <c r="T38" i="38"/>
  <c r="T12" i="38"/>
  <c r="T22" i="38"/>
  <c r="X39" i="38"/>
  <c r="W51" i="38"/>
  <c r="X51" i="38" s="1"/>
  <c r="W47" i="38"/>
  <c r="X47" i="38" s="1"/>
  <c r="T42" i="38"/>
  <c r="T31" i="38"/>
  <c r="T30" i="38"/>
  <c r="T29" i="38"/>
  <c r="T28" i="38"/>
  <c r="T26" i="38"/>
  <c r="T25" i="38"/>
  <c r="T24" i="38"/>
  <c r="T23" i="38"/>
  <c r="X19" i="38"/>
  <c r="V13" i="38"/>
  <c r="T13" i="38"/>
  <c r="H13" i="38"/>
  <c r="X13" i="38"/>
  <c r="V9" i="38"/>
  <c r="P9" i="38"/>
  <c r="H9" i="38"/>
  <c r="X9" i="38"/>
  <c r="R17" i="38"/>
  <c r="J17" i="38"/>
  <c r="V17" i="38"/>
  <c r="P17" i="38"/>
  <c r="H17" i="38"/>
  <c r="T19" i="38"/>
  <c r="V21" i="38"/>
  <c r="J21" i="38"/>
  <c r="T21" i="38"/>
  <c r="H21" i="38"/>
  <c r="L21" i="38" s="1"/>
  <c r="W32" i="38"/>
  <c r="X32" i="38" s="1"/>
  <c r="T32" i="38"/>
  <c r="R34" i="38"/>
  <c r="J34" i="38"/>
  <c r="V34" i="38"/>
  <c r="P34" i="38"/>
  <c r="H34" i="38"/>
  <c r="T34" i="38"/>
  <c r="R36" i="38"/>
  <c r="J36" i="38"/>
  <c r="V36" i="38"/>
  <c r="P36" i="38"/>
  <c r="H36" i="38"/>
  <c r="T36" i="38"/>
  <c r="X40" i="38"/>
  <c r="L40" i="38"/>
  <c r="J40" i="38"/>
  <c r="X41" i="38"/>
  <c r="L41" i="38"/>
  <c r="J41" i="38"/>
  <c r="V42" i="38"/>
  <c r="J42" i="38"/>
  <c r="X42" i="38"/>
  <c r="L5" i="38"/>
  <c r="X5" i="38"/>
  <c r="L6" i="38"/>
  <c r="X6" i="38"/>
  <c r="L7" i="38"/>
  <c r="X7" i="38"/>
  <c r="L8" i="38"/>
  <c r="J9" i="38"/>
  <c r="T10" i="38"/>
  <c r="H10" i="38"/>
  <c r="L10" i="38" s="1"/>
  <c r="X10" i="38"/>
  <c r="V10" i="38"/>
  <c r="L17" i="38"/>
  <c r="X17" i="38"/>
  <c r="L19" i="38"/>
  <c r="L34" i="38"/>
  <c r="X34" i="38"/>
  <c r="L36" i="38"/>
  <c r="X36" i="38"/>
  <c r="H40" i="38"/>
  <c r="T40" i="38"/>
  <c r="H41" i="38"/>
  <c r="T41" i="38"/>
  <c r="H42" i="38"/>
  <c r="V43" i="38"/>
  <c r="J43" i="38"/>
  <c r="T43" i="38"/>
  <c r="H43" i="38"/>
  <c r="L43" i="38" s="1"/>
  <c r="X43" i="38"/>
  <c r="W46" i="38"/>
  <c r="X46" i="38" s="1"/>
  <c r="W50" i="38"/>
  <c r="X50" i="38" s="1"/>
  <c r="W54" i="38"/>
  <c r="X54" i="38" s="1"/>
  <c r="R9" i="38"/>
  <c r="T17" i="38"/>
  <c r="R19" i="38"/>
  <c r="J19" i="38"/>
  <c r="V19" i="38"/>
  <c r="P19" i="38"/>
  <c r="H19" i="38"/>
  <c r="X21" i="38"/>
  <c r="N5" i="38"/>
  <c r="N6" i="38"/>
  <c r="N7" i="38"/>
  <c r="V8" i="38"/>
  <c r="P8" i="38"/>
  <c r="N8" i="38"/>
  <c r="L9" i="38"/>
  <c r="T9" i="38"/>
  <c r="V12" i="38"/>
  <c r="J12" i="38"/>
  <c r="X12" i="38"/>
  <c r="N17" i="38"/>
  <c r="R18" i="38"/>
  <c r="J18" i="38"/>
  <c r="V18" i="38"/>
  <c r="P18" i="38"/>
  <c r="H18" i="38"/>
  <c r="T18" i="38"/>
  <c r="N19" i="38"/>
  <c r="R20" i="38"/>
  <c r="J20" i="38"/>
  <c r="V20" i="38"/>
  <c r="P20" i="38"/>
  <c r="H20" i="38"/>
  <c r="T20" i="38"/>
  <c r="R33" i="38"/>
  <c r="J33" i="38"/>
  <c r="V33" i="38"/>
  <c r="P33" i="38"/>
  <c r="H33" i="38"/>
  <c r="T33" i="38"/>
  <c r="N34" i="38"/>
  <c r="R35" i="38"/>
  <c r="J35" i="38"/>
  <c r="V35" i="38"/>
  <c r="P35" i="38"/>
  <c r="H35" i="38"/>
  <c r="T35" i="38"/>
  <c r="N36" i="38"/>
  <c r="V37" i="38"/>
  <c r="J37" i="38"/>
  <c r="T37" i="38"/>
  <c r="H37" i="38"/>
  <c r="L37" i="38" s="1"/>
  <c r="X37" i="38"/>
  <c r="N40" i="38"/>
  <c r="V40" i="38"/>
  <c r="N41" i="38"/>
  <c r="V41" i="38"/>
  <c r="W45" i="38"/>
  <c r="X45" i="38" s="1"/>
  <c r="W49" i="38"/>
  <c r="X49" i="38" s="1"/>
  <c r="W53" i="38"/>
  <c r="X53" i="38" s="1"/>
  <c r="T14" i="38"/>
  <c r="N15" i="38"/>
  <c r="T15" i="38"/>
  <c r="N16" i="38"/>
  <c r="T16" i="38"/>
  <c r="X22" i="38"/>
  <c r="X38" i="38"/>
  <c r="N44" i="38"/>
  <c r="T44" i="38"/>
  <c r="H14" i="38"/>
  <c r="H15" i="38"/>
  <c r="P15" i="38"/>
  <c r="H16" i="38"/>
  <c r="H22" i="38"/>
  <c r="L22" i="38" s="1"/>
  <c r="N23" i="38"/>
  <c r="N24" i="38"/>
  <c r="N25" i="38"/>
  <c r="N26" i="38"/>
  <c r="N27" i="38"/>
  <c r="N28" i="38"/>
  <c r="N29" i="38"/>
  <c r="N30" i="38"/>
  <c r="N31" i="38"/>
  <c r="H38" i="38"/>
  <c r="L38" i="38" s="1"/>
  <c r="H44" i="38"/>
  <c r="P44" i="38"/>
  <c r="V54" i="37" l="1"/>
  <c r="S54" i="37"/>
  <c r="W54" i="37" s="1"/>
  <c r="X54" i="37" s="1"/>
  <c r="L54" i="37"/>
  <c r="J54" i="37"/>
  <c r="H54" i="37"/>
  <c r="V53" i="37"/>
  <c r="S53" i="37"/>
  <c r="W53" i="37" s="1"/>
  <c r="X53" i="37" s="1"/>
  <c r="L53" i="37"/>
  <c r="J53" i="37"/>
  <c r="H53" i="37"/>
  <c r="V52" i="37"/>
  <c r="S52" i="37"/>
  <c r="W52" i="37" s="1"/>
  <c r="X52" i="37" s="1"/>
  <c r="J52" i="37"/>
  <c r="H52" i="37"/>
  <c r="L52" i="37" s="1"/>
  <c r="V51" i="37"/>
  <c r="S51" i="37"/>
  <c r="W51" i="37" s="1"/>
  <c r="X51" i="37" s="1"/>
  <c r="J51" i="37"/>
  <c r="H51" i="37"/>
  <c r="L51" i="37" s="1"/>
  <c r="V50" i="37"/>
  <c r="S50" i="37"/>
  <c r="W50" i="37" s="1"/>
  <c r="X50" i="37" s="1"/>
  <c r="L50" i="37"/>
  <c r="J50" i="37"/>
  <c r="H50" i="37"/>
  <c r="V49" i="37"/>
  <c r="S49" i="37"/>
  <c r="L49" i="37"/>
  <c r="J49" i="37"/>
  <c r="H49" i="37"/>
  <c r="V48" i="37"/>
  <c r="S48" i="37"/>
  <c r="J48" i="37"/>
  <c r="H48" i="37"/>
  <c r="L48" i="37" s="1"/>
  <c r="V47" i="37"/>
  <c r="S47" i="37"/>
  <c r="J47" i="37"/>
  <c r="H47" i="37"/>
  <c r="L47" i="37" s="1"/>
  <c r="V46" i="37"/>
  <c r="S46" i="37"/>
  <c r="L46" i="37"/>
  <c r="J46" i="37"/>
  <c r="H46" i="37"/>
  <c r="V45" i="37"/>
  <c r="S45" i="37"/>
  <c r="L45" i="37"/>
  <c r="J45" i="37"/>
  <c r="H45" i="37"/>
  <c r="S44" i="37"/>
  <c r="W44" i="37" s="1"/>
  <c r="X44" i="37" s="1"/>
  <c r="F44" i="37"/>
  <c r="V43" i="37"/>
  <c r="S43" i="37"/>
  <c r="W43" i="37" s="1"/>
  <c r="F43" i="37"/>
  <c r="S42" i="37"/>
  <c r="T42" i="37" s="1"/>
  <c r="H42" i="37"/>
  <c r="L42" i="37" s="1"/>
  <c r="F42" i="37"/>
  <c r="S41" i="37"/>
  <c r="W41" i="37" s="1"/>
  <c r="X41" i="37" s="1"/>
  <c r="H41" i="37"/>
  <c r="F41" i="37"/>
  <c r="V41" i="37" s="1"/>
  <c r="S40" i="37"/>
  <c r="W40" i="37" s="1"/>
  <c r="F40" i="37"/>
  <c r="V40" i="37" s="1"/>
  <c r="S39" i="37"/>
  <c r="J39" i="37"/>
  <c r="F39" i="37"/>
  <c r="V39" i="37" s="1"/>
  <c r="V38" i="37"/>
  <c r="S38" i="37"/>
  <c r="W38" i="37" s="1"/>
  <c r="F38" i="37"/>
  <c r="J38" i="37" s="1"/>
  <c r="S37" i="37"/>
  <c r="W37" i="37" s="1"/>
  <c r="F37" i="37"/>
  <c r="H37" i="37" s="1"/>
  <c r="L37" i="37" s="1"/>
  <c r="S36" i="37"/>
  <c r="W36" i="37" s="1"/>
  <c r="F36" i="37"/>
  <c r="S35" i="37"/>
  <c r="W35" i="37" s="1"/>
  <c r="H35" i="37"/>
  <c r="F35" i="37"/>
  <c r="S34" i="37"/>
  <c r="W34" i="37" s="1"/>
  <c r="X34" i="37" s="1"/>
  <c r="H34" i="37"/>
  <c r="F34" i="37"/>
  <c r="V34" i="37" s="1"/>
  <c r="S33" i="37"/>
  <c r="W33" i="37" s="1"/>
  <c r="X33" i="37" s="1"/>
  <c r="H33" i="37"/>
  <c r="F33" i="37"/>
  <c r="V33" i="37" s="1"/>
  <c r="S32" i="37"/>
  <c r="W32" i="37" s="1"/>
  <c r="F32" i="37"/>
  <c r="S31" i="37"/>
  <c r="T31" i="37" s="1"/>
  <c r="F31" i="37"/>
  <c r="V30" i="37"/>
  <c r="S30" i="37"/>
  <c r="W30" i="37" s="1"/>
  <c r="X30" i="37" s="1"/>
  <c r="F30" i="37"/>
  <c r="V29" i="37"/>
  <c r="S29" i="37"/>
  <c r="W29" i="37" s="1"/>
  <c r="F29" i="37"/>
  <c r="S28" i="37"/>
  <c r="T28" i="37" s="1"/>
  <c r="J28" i="37"/>
  <c r="F28" i="37"/>
  <c r="S27" i="37"/>
  <c r="W27" i="37" s="1"/>
  <c r="X27" i="37" s="1"/>
  <c r="F27" i="37"/>
  <c r="S26" i="37"/>
  <c r="W26" i="37" s="1"/>
  <c r="F26" i="37"/>
  <c r="H26" i="37" s="1"/>
  <c r="S25" i="37"/>
  <c r="W25" i="37" s="1"/>
  <c r="X25" i="37" s="1"/>
  <c r="J25" i="37"/>
  <c r="H25" i="37"/>
  <c r="F25" i="37"/>
  <c r="S24" i="37"/>
  <c r="W24" i="37" s="1"/>
  <c r="X24" i="37" s="1"/>
  <c r="J24" i="37"/>
  <c r="F24" i="37"/>
  <c r="S23" i="37"/>
  <c r="W23" i="37" s="1"/>
  <c r="X23" i="37" s="1"/>
  <c r="F23" i="37"/>
  <c r="V22" i="37"/>
  <c r="S22" i="37"/>
  <c r="W22" i="37" s="1"/>
  <c r="F22" i="37"/>
  <c r="J22" i="37" s="1"/>
  <c r="S21" i="37"/>
  <c r="W21" i="37" s="1"/>
  <c r="H21" i="37"/>
  <c r="L21" i="37" s="1"/>
  <c r="F21" i="37"/>
  <c r="V20" i="37"/>
  <c r="S20" i="37"/>
  <c r="W20" i="37" s="1"/>
  <c r="J20" i="37"/>
  <c r="F20" i="37"/>
  <c r="S19" i="37"/>
  <c r="T19" i="37" s="1"/>
  <c r="J19" i="37"/>
  <c r="F19" i="37"/>
  <c r="V18" i="37"/>
  <c r="S18" i="37"/>
  <c r="W18" i="37" s="1"/>
  <c r="F18" i="37"/>
  <c r="S17" i="37"/>
  <c r="F17" i="37"/>
  <c r="S16" i="37"/>
  <c r="W16" i="37" s="1"/>
  <c r="F16" i="37"/>
  <c r="S15" i="37"/>
  <c r="W15" i="37" s="1"/>
  <c r="F15" i="37"/>
  <c r="S14" i="37"/>
  <c r="W14" i="37" s="1"/>
  <c r="F14" i="37"/>
  <c r="S13" i="37"/>
  <c r="W13" i="37" s="1"/>
  <c r="F13" i="37"/>
  <c r="H13" i="37" s="1"/>
  <c r="L13" i="37" s="1"/>
  <c r="S12" i="37"/>
  <c r="F12" i="37"/>
  <c r="J12" i="37" s="1"/>
  <c r="S11" i="37"/>
  <c r="W11" i="37" s="1"/>
  <c r="X11" i="37" s="1"/>
  <c r="F11" i="37"/>
  <c r="S10" i="37"/>
  <c r="W10" i="37" s="1"/>
  <c r="F10" i="37"/>
  <c r="H10" i="37" s="1"/>
  <c r="L10" i="37" s="1"/>
  <c r="S9" i="37"/>
  <c r="W9" i="37" s="1"/>
  <c r="X9" i="37" s="1"/>
  <c r="J9" i="37"/>
  <c r="H9" i="37"/>
  <c r="F9" i="37"/>
  <c r="S8" i="37"/>
  <c r="W8" i="37" s="1"/>
  <c r="F8" i="37"/>
  <c r="S7" i="37"/>
  <c r="W7" i="37" s="1"/>
  <c r="F7" i="37"/>
  <c r="S6" i="37"/>
  <c r="W6" i="37" s="1"/>
  <c r="F6" i="37"/>
  <c r="J6" i="37" s="1"/>
  <c r="S5" i="37"/>
  <c r="W5" i="37" s="1"/>
  <c r="J5" i="37"/>
  <c r="H5" i="37"/>
  <c r="F5" i="37"/>
  <c r="R17" i="37" l="1"/>
  <c r="L17" i="37"/>
  <c r="P17" i="37"/>
  <c r="N17" i="37"/>
  <c r="J8" i="37"/>
  <c r="R8" i="37"/>
  <c r="P8" i="37"/>
  <c r="N8" i="37"/>
  <c r="L8" i="37"/>
  <c r="T12" i="37"/>
  <c r="H14" i="37"/>
  <c r="L14" i="37"/>
  <c r="P14" i="37" s="1"/>
  <c r="H16" i="37"/>
  <c r="R16" i="37"/>
  <c r="P16" i="37"/>
  <c r="N16" i="37"/>
  <c r="L16" i="37"/>
  <c r="H17" i="37"/>
  <c r="N23" i="37"/>
  <c r="L23" i="37"/>
  <c r="R23" i="37"/>
  <c r="P23" i="37"/>
  <c r="V23" i="37"/>
  <c r="R27" i="37"/>
  <c r="L27" i="37"/>
  <c r="N27" i="37"/>
  <c r="P27" i="37"/>
  <c r="V27" i="37"/>
  <c r="H32" i="37"/>
  <c r="L32" i="37"/>
  <c r="N32" i="37"/>
  <c r="P32" i="37"/>
  <c r="L44" i="37"/>
  <c r="P44" i="37"/>
  <c r="N44" i="37"/>
  <c r="R44" i="37"/>
  <c r="V44" i="37"/>
  <c r="R26" i="37"/>
  <c r="L26" i="37"/>
  <c r="P26" i="37"/>
  <c r="N26" i="37"/>
  <c r="X10" i="37"/>
  <c r="H12" i="37"/>
  <c r="L12" i="37" s="1"/>
  <c r="V12" i="37"/>
  <c r="J16" i="37"/>
  <c r="T17" i="37"/>
  <c r="R19" i="37"/>
  <c r="P19" i="37"/>
  <c r="N19" i="37"/>
  <c r="L19" i="37"/>
  <c r="V19" i="37"/>
  <c r="H23" i="37"/>
  <c r="R24" i="37"/>
  <c r="P24" i="37"/>
  <c r="L24" i="37"/>
  <c r="N24" i="37"/>
  <c r="V24" i="37"/>
  <c r="J26" i="37"/>
  <c r="H27" i="37"/>
  <c r="N28" i="37"/>
  <c r="R28" i="37"/>
  <c r="P28" i="37"/>
  <c r="V28" i="37"/>
  <c r="R30" i="37"/>
  <c r="N30" i="37"/>
  <c r="L30" i="37"/>
  <c r="P30" i="37"/>
  <c r="R31" i="37"/>
  <c r="L31" i="37"/>
  <c r="P31" i="37"/>
  <c r="N31" i="37"/>
  <c r="H36" i="37"/>
  <c r="V36" i="37"/>
  <c r="P36" i="37"/>
  <c r="N36" i="37"/>
  <c r="L36" i="37"/>
  <c r="R36" i="37"/>
  <c r="T39" i="37"/>
  <c r="H44" i="37"/>
  <c r="V6" i="37"/>
  <c r="R6" i="37"/>
  <c r="L6" i="37"/>
  <c r="P6" i="37"/>
  <c r="N6" i="37"/>
  <c r="V26" i="37"/>
  <c r="R40" i="37"/>
  <c r="P40" i="37"/>
  <c r="N40" i="37"/>
  <c r="L40" i="37"/>
  <c r="X6" i="37"/>
  <c r="P5" i="37"/>
  <c r="R5" i="37"/>
  <c r="N5" i="37"/>
  <c r="L5" i="37"/>
  <c r="V5" i="37"/>
  <c r="R7" i="37"/>
  <c r="P7" i="37"/>
  <c r="L7" i="37"/>
  <c r="N7" i="37"/>
  <c r="P9" i="37"/>
  <c r="R9" i="37"/>
  <c r="N9" i="37"/>
  <c r="L9" i="37"/>
  <c r="V9" i="37"/>
  <c r="R15" i="37"/>
  <c r="P15" i="37"/>
  <c r="L15" i="37"/>
  <c r="N15" i="37"/>
  <c r="R18" i="37"/>
  <c r="L18" i="37"/>
  <c r="P18" i="37"/>
  <c r="N18" i="37"/>
  <c r="H19" i="37"/>
  <c r="R20" i="37"/>
  <c r="P20" i="37"/>
  <c r="L20" i="37"/>
  <c r="N20" i="37"/>
  <c r="J23" i="37"/>
  <c r="H24" i="37"/>
  <c r="R25" i="37"/>
  <c r="P25" i="37"/>
  <c r="N25" i="37"/>
  <c r="L25" i="37"/>
  <c r="V25" i="37"/>
  <c r="X26" i="37"/>
  <c r="J27" i="37"/>
  <c r="H28" i="37"/>
  <c r="P29" i="37"/>
  <c r="R29" i="37"/>
  <c r="N29" i="37"/>
  <c r="L29" i="37"/>
  <c r="H30" i="37"/>
  <c r="H31" i="37"/>
  <c r="R33" i="37"/>
  <c r="P33" i="37"/>
  <c r="N33" i="37"/>
  <c r="L33" i="37"/>
  <c r="N34" i="37"/>
  <c r="L34" i="37"/>
  <c r="P34" i="37"/>
  <c r="R34" i="37"/>
  <c r="R35" i="37"/>
  <c r="L35" i="37"/>
  <c r="P35" i="37"/>
  <c r="N35" i="37"/>
  <c r="H39" i="37"/>
  <c r="L39" i="37" s="1"/>
  <c r="R41" i="37"/>
  <c r="P41" i="37"/>
  <c r="L41" i="37"/>
  <c r="N41" i="37"/>
  <c r="J44" i="37"/>
  <c r="T37" i="37"/>
  <c r="W19" i="37"/>
  <c r="X19" i="37" s="1"/>
  <c r="W31" i="37"/>
  <c r="X31" i="37" s="1"/>
  <c r="W28" i="37"/>
  <c r="X28" i="37" s="1"/>
  <c r="W42" i="37"/>
  <c r="X42" i="37" s="1"/>
  <c r="W39" i="37"/>
  <c r="W12" i="37"/>
  <c r="X12" i="37" s="1"/>
  <c r="T9" i="37"/>
  <c r="T21" i="37"/>
  <c r="X21" i="37"/>
  <c r="W17" i="37"/>
  <c r="X17" i="37" s="1"/>
  <c r="T32" i="37"/>
  <c r="T36" i="37"/>
  <c r="T35" i="37"/>
  <c r="X35" i="37"/>
  <c r="T16" i="37"/>
  <c r="T15" i="37"/>
  <c r="T5" i="37"/>
  <c r="T14" i="37"/>
  <c r="W45" i="37"/>
  <c r="X45" i="37" s="1"/>
  <c r="T45" i="37"/>
  <c r="W47" i="37"/>
  <c r="X47" i="37" s="1"/>
  <c r="T47" i="37"/>
  <c r="W49" i="37"/>
  <c r="X49" i="37" s="1"/>
  <c r="T49" i="37"/>
  <c r="V7" i="37"/>
  <c r="J7" i="37"/>
  <c r="T24" i="37"/>
  <c r="T29" i="37"/>
  <c r="H29" i="37"/>
  <c r="X38" i="37"/>
  <c r="X5" i="37"/>
  <c r="T6" i="37"/>
  <c r="H7" i="37"/>
  <c r="T11" i="37"/>
  <c r="H11" i="37"/>
  <c r="L11" i="37" s="1"/>
  <c r="V13" i="37"/>
  <c r="X15" i="37"/>
  <c r="V15" i="37"/>
  <c r="H15" i="37"/>
  <c r="T18" i="37"/>
  <c r="H18" i="37"/>
  <c r="J29" i="37"/>
  <c r="J32" i="37"/>
  <c r="X36" i="37"/>
  <c r="X39" i="37"/>
  <c r="T40" i="37"/>
  <c r="H40" i="37"/>
  <c r="X40" i="37"/>
  <c r="T43" i="37"/>
  <c r="H43" i="37"/>
  <c r="L43" i="37" s="1"/>
  <c r="X43" i="37"/>
  <c r="H6" i="37"/>
  <c r="X7" i="37"/>
  <c r="V10" i="37"/>
  <c r="J10" i="37"/>
  <c r="T10" i="37"/>
  <c r="J11" i="37"/>
  <c r="J13" i="37"/>
  <c r="X13" i="37"/>
  <c r="J15" i="37"/>
  <c r="X16" i="37"/>
  <c r="J18" i="37"/>
  <c r="T20" i="37"/>
  <c r="H20" i="37"/>
  <c r="X20" i="37"/>
  <c r="T23" i="37"/>
  <c r="T25" i="37"/>
  <c r="T27" i="37"/>
  <c r="T34" i="37"/>
  <c r="J36" i="37"/>
  <c r="X37" i="37"/>
  <c r="J40" i="37"/>
  <c r="T41" i="37"/>
  <c r="J43" i="37"/>
  <c r="T44" i="37"/>
  <c r="T8" i="37"/>
  <c r="H8" i="37"/>
  <c r="V8" i="37"/>
  <c r="X14" i="37"/>
  <c r="V14" i="37"/>
  <c r="J14" i="37"/>
  <c r="N14" i="37" s="1"/>
  <c r="R14" i="37" s="1"/>
  <c r="T7" i="37"/>
  <c r="T13" i="37"/>
  <c r="T26" i="37"/>
  <c r="X29" i="37"/>
  <c r="X32" i="37"/>
  <c r="T38" i="37"/>
  <c r="H38" i="37"/>
  <c r="L38" i="37" s="1"/>
  <c r="X8" i="37"/>
  <c r="V11" i="37"/>
  <c r="X18" i="37"/>
  <c r="T22" i="37"/>
  <c r="H22" i="37"/>
  <c r="L22" i="37" s="1"/>
  <c r="X22" i="37"/>
  <c r="T30" i="37"/>
  <c r="T33" i="37"/>
  <c r="W46" i="37"/>
  <c r="X46" i="37" s="1"/>
  <c r="T46" i="37"/>
  <c r="W48" i="37"/>
  <c r="X48" i="37" s="1"/>
  <c r="T48" i="37"/>
  <c r="J17" i="37"/>
  <c r="V17" i="37"/>
  <c r="J21" i="37"/>
  <c r="V21" i="37"/>
  <c r="J30" i="37"/>
  <c r="J31" i="37"/>
  <c r="V31" i="37"/>
  <c r="J33" i="37"/>
  <c r="J34" i="37"/>
  <c r="J35" i="37"/>
  <c r="V35" i="37"/>
  <c r="J37" i="37"/>
  <c r="V37" i="37"/>
  <c r="J41" i="37"/>
  <c r="J42" i="37"/>
  <c r="V42" i="37"/>
  <c r="T50" i="37"/>
  <c r="T51" i="37"/>
  <c r="T52" i="37"/>
  <c r="T53" i="37"/>
  <c r="T54" i="37"/>
  <c r="V54" i="36"/>
  <c r="S54" i="36"/>
  <c r="T54" i="36" s="1"/>
  <c r="J54" i="36"/>
  <c r="H54" i="36"/>
  <c r="L54" i="36" s="1"/>
  <c r="V53" i="36"/>
  <c r="S53" i="36"/>
  <c r="T53" i="36" s="1"/>
  <c r="J53" i="36"/>
  <c r="H53" i="36"/>
  <c r="L53" i="36" s="1"/>
  <c r="V52" i="36"/>
  <c r="S52" i="36"/>
  <c r="T52" i="36" s="1"/>
  <c r="J52" i="36"/>
  <c r="H52" i="36"/>
  <c r="L52" i="36" s="1"/>
  <c r="V51" i="36"/>
  <c r="S51" i="36"/>
  <c r="T51" i="36" s="1"/>
  <c r="L51" i="36"/>
  <c r="J51" i="36"/>
  <c r="H51" i="36"/>
  <c r="V50" i="36"/>
  <c r="S50" i="36"/>
  <c r="T50" i="36" s="1"/>
  <c r="J50" i="36"/>
  <c r="H50" i="36"/>
  <c r="L50" i="36" s="1"/>
  <c r="V49" i="36"/>
  <c r="S49" i="36"/>
  <c r="T49" i="36" s="1"/>
  <c r="J49" i="36"/>
  <c r="H49" i="36"/>
  <c r="L49" i="36" s="1"/>
  <c r="V48" i="36"/>
  <c r="S48" i="36"/>
  <c r="T48" i="36" s="1"/>
  <c r="J48" i="36"/>
  <c r="H48" i="36"/>
  <c r="L48" i="36" s="1"/>
  <c r="V47" i="36"/>
  <c r="S47" i="36"/>
  <c r="T47" i="36" s="1"/>
  <c r="L47" i="36"/>
  <c r="J47" i="36"/>
  <c r="H47" i="36"/>
  <c r="V46" i="36"/>
  <c r="S46" i="36"/>
  <c r="T46" i="36" s="1"/>
  <c r="J46" i="36"/>
  <c r="H46" i="36"/>
  <c r="L46" i="36" s="1"/>
  <c r="V45" i="36"/>
  <c r="S45" i="36"/>
  <c r="T45" i="36" s="1"/>
  <c r="J45" i="36"/>
  <c r="H45" i="36"/>
  <c r="L45" i="36" s="1"/>
  <c r="S44" i="36"/>
  <c r="W44" i="36" s="1"/>
  <c r="X44" i="36" s="1"/>
  <c r="H44" i="36"/>
  <c r="F44" i="36"/>
  <c r="V44" i="36" s="1"/>
  <c r="S43" i="36"/>
  <c r="W43" i="36" s="1"/>
  <c r="J43" i="36"/>
  <c r="F43" i="36"/>
  <c r="V43" i="36" s="1"/>
  <c r="S42" i="36"/>
  <c r="W42" i="36" s="1"/>
  <c r="F42" i="36"/>
  <c r="S41" i="36"/>
  <c r="W41" i="36" s="1"/>
  <c r="F41" i="36"/>
  <c r="S40" i="36"/>
  <c r="W40" i="36" s="1"/>
  <c r="F40" i="36"/>
  <c r="H40" i="36" s="1"/>
  <c r="L40" i="36" s="1"/>
  <c r="S39" i="36"/>
  <c r="W39" i="36" s="1"/>
  <c r="H39" i="36"/>
  <c r="L39" i="36" s="1"/>
  <c r="F39" i="36"/>
  <c r="V39" i="36" s="1"/>
  <c r="V38" i="36"/>
  <c r="S38" i="36"/>
  <c r="W38" i="36" s="1"/>
  <c r="J38" i="36"/>
  <c r="F38" i="36"/>
  <c r="S37" i="36"/>
  <c r="W37" i="36" s="1"/>
  <c r="F37" i="36"/>
  <c r="S36" i="36"/>
  <c r="W36" i="36" s="1"/>
  <c r="X36" i="36" s="1"/>
  <c r="F36" i="36"/>
  <c r="J36" i="36" s="1"/>
  <c r="S35" i="36"/>
  <c r="W35" i="36" s="1"/>
  <c r="F35" i="36"/>
  <c r="S34" i="36"/>
  <c r="W34" i="36" s="1"/>
  <c r="H34" i="36"/>
  <c r="F34" i="36"/>
  <c r="S33" i="36"/>
  <c r="W33" i="36" s="1"/>
  <c r="F33" i="36"/>
  <c r="S32" i="36"/>
  <c r="W32" i="36" s="1"/>
  <c r="F32" i="36"/>
  <c r="S31" i="36"/>
  <c r="W31" i="36" s="1"/>
  <c r="F31" i="36"/>
  <c r="S30" i="36"/>
  <c r="F30" i="36"/>
  <c r="H30" i="36" s="1"/>
  <c r="S29" i="36"/>
  <c r="T29" i="36" s="1"/>
  <c r="H29" i="36"/>
  <c r="L29" i="36" s="1"/>
  <c r="F29" i="36"/>
  <c r="V29" i="36" s="1"/>
  <c r="V28" i="36"/>
  <c r="S28" i="36"/>
  <c r="W28" i="36" s="1"/>
  <c r="J28" i="36"/>
  <c r="F28" i="36"/>
  <c r="S27" i="36"/>
  <c r="W27" i="36" s="1"/>
  <c r="F27" i="36"/>
  <c r="J27" i="36" s="1"/>
  <c r="S26" i="36"/>
  <c r="W26" i="36" s="1"/>
  <c r="J26" i="36"/>
  <c r="F26" i="36"/>
  <c r="S25" i="36"/>
  <c r="W25" i="36" s="1"/>
  <c r="X25" i="36" s="1"/>
  <c r="F25" i="36"/>
  <c r="J25" i="36" s="1"/>
  <c r="S24" i="36"/>
  <c r="W24" i="36" s="1"/>
  <c r="X24" i="36" s="1"/>
  <c r="J24" i="36"/>
  <c r="F24" i="36"/>
  <c r="S23" i="36"/>
  <c r="W23" i="36" s="1"/>
  <c r="F23" i="36"/>
  <c r="J23" i="36" s="1"/>
  <c r="S22" i="36"/>
  <c r="W22" i="36" s="1"/>
  <c r="F22" i="36"/>
  <c r="S21" i="36"/>
  <c r="W21" i="36" s="1"/>
  <c r="H21" i="36"/>
  <c r="L21" i="36" s="1"/>
  <c r="F21" i="36"/>
  <c r="S20" i="36"/>
  <c r="W20" i="36" s="1"/>
  <c r="J20" i="36"/>
  <c r="F20" i="36"/>
  <c r="H20" i="36" s="1"/>
  <c r="L20" i="36" s="1"/>
  <c r="S19" i="36"/>
  <c r="W19" i="36" s="1"/>
  <c r="F19" i="36"/>
  <c r="J19" i="36" s="1"/>
  <c r="S18" i="36"/>
  <c r="W18" i="36" s="1"/>
  <c r="F18" i="36"/>
  <c r="S17" i="36"/>
  <c r="W17" i="36" s="1"/>
  <c r="F17" i="36"/>
  <c r="H17" i="36" s="1"/>
  <c r="L17" i="36" s="1"/>
  <c r="S16" i="36"/>
  <c r="W16" i="36" s="1"/>
  <c r="F16" i="36"/>
  <c r="H16" i="36" s="1"/>
  <c r="S15" i="36"/>
  <c r="W15" i="36" s="1"/>
  <c r="X15" i="36" s="1"/>
  <c r="F15" i="36"/>
  <c r="J15" i="36" s="1"/>
  <c r="S14" i="36"/>
  <c r="F14" i="36"/>
  <c r="J14" i="36" s="1"/>
  <c r="S13" i="36"/>
  <c r="W13" i="36" s="1"/>
  <c r="F13" i="36"/>
  <c r="S12" i="36"/>
  <c r="W12" i="36" s="1"/>
  <c r="F12" i="36"/>
  <c r="H12" i="36" s="1"/>
  <c r="L12" i="36" s="1"/>
  <c r="S11" i="36"/>
  <c r="W11" i="36" s="1"/>
  <c r="H11" i="36"/>
  <c r="L11" i="36" s="1"/>
  <c r="F11" i="36"/>
  <c r="V11" i="36" s="1"/>
  <c r="S10" i="36"/>
  <c r="W10" i="36" s="1"/>
  <c r="F10" i="36"/>
  <c r="J10" i="36" s="1"/>
  <c r="V9" i="36"/>
  <c r="S9" i="36"/>
  <c r="W9" i="36" s="1"/>
  <c r="F9" i="36"/>
  <c r="H9" i="36" s="1"/>
  <c r="L9" i="36" s="1"/>
  <c r="S8" i="36"/>
  <c r="W8" i="36" s="1"/>
  <c r="F8" i="36"/>
  <c r="V8" i="36" s="1"/>
  <c r="S7" i="36"/>
  <c r="W7" i="36" s="1"/>
  <c r="H7" i="36"/>
  <c r="L7" i="36" s="1"/>
  <c r="F7" i="36"/>
  <c r="V7" i="36" s="1"/>
  <c r="S6" i="36"/>
  <c r="W6" i="36" s="1"/>
  <c r="F6" i="36"/>
  <c r="S5" i="36"/>
  <c r="W5" i="36" s="1"/>
  <c r="F5" i="36"/>
  <c r="V14" i="36" l="1"/>
  <c r="J7" i="36"/>
  <c r="H8" i="36"/>
  <c r="L8" i="36" s="1"/>
  <c r="J11" i="36"/>
  <c r="H14" i="36"/>
  <c r="L14" i="36" s="1"/>
  <c r="V15" i="36"/>
  <c r="V19" i="36"/>
  <c r="J29" i="36"/>
  <c r="J39" i="36"/>
  <c r="J44" i="36"/>
  <c r="J8" i="36"/>
  <c r="H10" i="36"/>
  <c r="L10" i="36" s="1"/>
  <c r="V10" i="36"/>
  <c r="X11" i="36"/>
  <c r="H15" i="36"/>
  <c r="V20" i="36"/>
  <c r="X23" i="36"/>
  <c r="X27" i="36"/>
  <c r="T30" i="36"/>
  <c r="X8" i="36"/>
  <c r="X9" i="36"/>
  <c r="T14" i="36"/>
  <c r="X26" i="36"/>
  <c r="T7" i="36"/>
  <c r="W14" i="36"/>
  <c r="X14" i="36" s="1"/>
  <c r="W29" i="36"/>
  <c r="X29" i="36" s="1"/>
  <c r="T39" i="36"/>
  <c r="W49" i="36"/>
  <c r="X49" i="36" s="1"/>
  <c r="W47" i="36"/>
  <c r="X47" i="36" s="1"/>
  <c r="W30" i="36"/>
  <c r="X30" i="36" s="1"/>
  <c r="W45" i="36"/>
  <c r="X45" i="36" s="1"/>
  <c r="W53" i="36"/>
  <c r="X53" i="36" s="1"/>
  <c r="T24" i="36"/>
  <c r="X28" i="36"/>
  <c r="W51" i="36"/>
  <c r="X51" i="36" s="1"/>
  <c r="X39" i="36"/>
  <c r="T27" i="36"/>
  <c r="X41" i="36"/>
  <c r="X43" i="36"/>
  <c r="X7" i="36"/>
  <c r="X38" i="36"/>
  <c r="W46" i="36"/>
  <c r="X46" i="36" s="1"/>
  <c r="W48" i="36"/>
  <c r="X48" i="36" s="1"/>
  <c r="W50" i="36"/>
  <c r="X50" i="36" s="1"/>
  <c r="W52" i="36"/>
  <c r="X52" i="36" s="1"/>
  <c r="W54" i="36"/>
  <c r="X54" i="36" s="1"/>
  <c r="T44" i="36"/>
  <c r="T36" i="36"/>
  <c r="T23" i="36"/>
  <c r="X20" i="36"/>
  <c r="T20" i="36"/>
  <c r="X19" i="36"/>
  <c r="T17" i="36"/>
  <c r="T15" i="36"/>
  <c r="X13" i="36"/>
  <c r="T11" i="36"/>
  <c r="T10" i="36"/>
  <c r="T8" i="36"/>
  <c r="T6" i="36"/>
  <c r="H6" i="36"/>
  <c r="L6" i="36" s="1"/>
  <c r="V13" i="36"/>
  <c r="H18" i="36"/>
  <c r="L18" i="36" s="1"/>
  <c r="V18" i="36"/>
  <c r="J18" i="36"/>
  <c r="T18" i="36"/>
  <c r="V31" i="36"/>
  <c r="J31" i="36"/>
  <c r="J33" i="36"/>
  <c r="X33" i="36"/>
  <c r="V33" i="36"/>
  <c r="V5" i="36"/>
  <c r="J5" i="36"/>
  <c r="T5" i="36"/>
  <c r="T12" i="36"/>
  <c r="T16" i="36"/>
  <c r="T21" i="36"/>
  <c r="H31" i="36"/>
  <c r="L31" i="36" s="1"/>
  <c r="T41" i="36"/>
  <c r="H5" i="36"/>
  <c r="L5" i="36" s="1"/>
  <c r="X6" i="36"/>
  <c r="T9" i="36"/>
  <c r="J9" i="36"/>
  <c r="N9" i="36" s="1"/>
  <c r="X10" i="36"/>
  <c r="X16" i="36"/>
  <c r="J16" i="36"/>
  <c r="V21" i="36"/>
  <c r="J21" i="36"/>
  <c r="X21" i="36"/>
  <c r="T25" i="36"/>
  <c r="J30" i="36"/>
  <c r="V30" i="36"/>
  <c r="V34" i="36"/>
  <c r="J34" i="36"/>
  <c r="X34" i="36"/>
  <c r="V40" i="36"/>
  <c r="J40" i="36"/>
  <c r="X40" i="36"/>
  <c r="V6" i="36"/>
  <c r="T13" i="36"/>
  <c r="H13" i="36"/>
  <c r="L13" i="36" s="1"/>
  <c r="X18" i="36"/>
  <c r="X31" i="36"/>
  <c r="T37" i="36"/>
  <c r="H37" i="36"/>
  <c r="L37" i="36" s="1"/>
  <c r="V37" i="36"/>
  <c r="J37" i="36"/>
  <c r="X37" i="36"/>
  <c r="J6" i="36"/>
  <c r="V12" i="36"/>
  <c r="J12" i="36"/>
  <c r="J13" i="36"/>
  <c r="H32" i="36"/>
  <c r="X32" i="36"/>
  <c r="J32" i="36"/>
  <c r="H33" i="36"/>
  <c r="T34" i="36"/>
  <c r="T40" i="36"/>
  <c r="X5" i="36"/>
  <c r="X12" i="36"/>
  <c r="J17" i="36"/>
  <c r="V17" i="36"/>
  <c r="X17" i="36"/>
  <c r="T22" i="36"/>
  <c r="H22" i="36"/>
  <c r="L22" i="36" s="1"/>
  <c r="V22" i="36"/>
  <c r="J22" i="36"/>
  <c r="X22" i="36"/>
  <c r="T26" i="36"/>
  <c r="T31" i="36"/>
  <c r="T32" i="36"/>
  <c r="T33" i="36"/>
  <c r="T35" i="36"/>
  <c r="H35" i="36"/>
  <c r="L35" i="36" s="1"/>
  <c r="V35" i="36"/>
  <c r="J35" i="36"/>
  <c r="X35" i="36"/>
  <c r="V41" i="36"/>
  <c r="H41" i="36"/>
  <c r="J41" i="36"/>
  <c r="T42" i="36"/>
  <c r="H42" i="36"/>
  <c r="L42" i="36" s="1"/>
  <c r="V42" i="36"/>
  <c r="J42" i="36"/>
  <c r="X42" i="36"/>
  <c r="H19" i="36"/>
  <c r="L19" i="36" s="1"/>
  <c r="T19" i="36"/>
  <c r="H23" i="36"/>
  <c r="V23" i="36"/>
  <c r="H24" i="36"/>
  <c r="V24" i="36"/>
  <c r="H25" i="36"/>
  <c r="V25" i="36"/>
  <c r="H26" i="36"/>
  <c r="V26" i="36"/>
  <c r="H27" i="36"/>
  <c r="V27" i="36"/>
  <c r="H28" i="36"/>
  <c r="L28" i="36" s="1"/>
  <c r="T28" i="36"/>
  <c r="H36" i="36"/>
  <c r="H38" i="36"/>
  <c r="L38" i="36" s="1"/>
  <c r="T38" i="36"/>
  <c r="H43" i="36"/>
  <c r="L43" i="36" s="1"/>
  <c r="T43" i="36"/>
  <c r="V54" i="35"/>
  <c r="S54" i="35"/>
  <c r="T54" i="35" s="1"/>
  <c r="J54" i="35"/>
  <c r="H54" i="35"/>
  <c r="L54" i="35" s="1"/>
  <c r="V53" i="35"/>
  <c r="S53" i="35"/>
  <c r="T53" i="35" s="1"/>
  <c r="L53" i="35"/>
  <c r="J53" i="35"/>
  <c r="H53" i="35"/>
  <c r="V52" i="35"/>
  <c r="S52" i="35"/>
  <c r="T52" i="35" s="1"/>
  <c r="J52" i="35"/>
  <c r="H52" i="35"/>
  <c r="L52" i="35" s="1"/>
  <c r="V51" i="35"/>
  <c r="S51" i="35"/>
  <c r="T51" i="35" s="1"/>
  <c r="J51" i="35"/>
  <c r="H51" i="35"/>
  <c r="L51" i="35" s="1"/>
  <c r="V50" i="35"/>
  <c r="S50" i="35"/>
  <c r="T50" i="35" s="1"/>
  <c r="L50" i="35"/>
  <c r="J50" i="35"/>
  <c r="H50" i="35"/>
  <c r="V49" i="35"/>
  <c r="S49" i="35"/>
  <c r="T49" i="35" s="1"/>
  <c r="J49" i="35"/>
  <c r="H49" i="35"/>
  <c r="L49" i="35" s="1"/>
  <c r="V48" i="35"/>
  <c r="S48" i="35"/>
  <c r="T48" i="35" s="1"/>
  <c r="J48" i="35"/>
  <c r="H48" i="35"/>
  <c r="L48" i="35" s="1"/>
  <c r="V47" i="35"/>
  <c r="S47" i="35"/>
  <c r="T47" i="35" s="1"/>
  <c r="J47" i="35"/>
  <c r="H47" i="35"/>
  <c r="L47" i="35" s="1"/>
  <c r="V46" i="35"/>
  <c r="S46" i="35"/>
  <c r="T46" i="35" s="1"/>
  <c r="J46" i="35"/>
  <c r="H46" i="35"/>
  <c r="L46" i="35" s="1"/>
  <c r="V45" i="35"/>
  <c r="S45" i="35"/>
  <c r="T45" i="35" s="1"/>
  <c r="L45" i="35"/>
  <c r="J45" i="35"/>
  <c r="H45" i="35"/>
  <c r="S44" i="35"/>
  <c r="W44" i="35" s="1"/>
  <c r="X44" i="35" s="1"/>
  <c r="F44" i="35"/>
  <c r="V44" i="35" s="1"/>
  <c r="S43" i="35"/>
  <c r="W43" i="35" s="1"/>
  <c r="F43" i="35"/>
  <c r="V43" i="35" s="1"/>
  <c r="S42" i="35"/>
  <c r="W42" i="35" s="1"/>
  <c r="F42" i="35"/>
  <c r="S41" i="35"/>
  <c r="W41" i="35" s="1"/>
  <c r="F41" i="35"/>
  <c r="S40" i="35"/>
  <c r="W40" i="35" s="1"/>
  <c r="F40" i="35"/>
  <c r="H40" i="35" s="1"/>
  <c r="L40" i="35" s="1"/>
  <c r="S39" i="35"/>
  <c r="T39" i="35" s="1"/>
  <c r="F39" i="35"/>
  <c r="J39" i="35" s="1"/>
  <c r="V38" i="35"/>
  <c r="S38" i="35"/>
  <c r="W38" i="35" s="1"/>
  <c r="F38" i="35"/>
  <c r="J38" i="35" s="1"/>
  <c r="S37" i="35"/>
  <c r="W37" i="35" s="1"/>
  <c r="F37" i="35"/>
  <c r="S36" i="35"/>
  <c r="W36" i="35" s="1"/>
  <c r="F36" i="35"/>
  <c r="J36" i="35" s="1"/>
  <c r="S35" i="35"/>
  <c r="W35" i="35" s="1"/>
  <c r="F35" i="35"/>
  <c r="S34" i="35"/>
  <c r="W34" i="35" s="1"/>
  <c r="F34" i="35"/>
  <c r="S33" i="35"/>
  <c r="W33" i="35" s="1"/>
  <c r="F33" i="35"/>
  <c r="H33" i="35" s="1"/>
  <c r="S32" i="35"/>
  <c r="W32" i="35" s="1"/>
  <c r="F32" i="35"/>
  <c r="S31" i="35"/>
  <c r="W31" i="35" s="1"/>
  <c r="F31" i="35"/>
  <c r="H31" i="35" s="1"/>
  <c r="L31" i="35" s="1"/>
  <c r="S30" i="35"/>
  <c r="W30" i="35" s="1"/>
  <c r="F30" i="35"/>
  <c r="S29" i="35"/>
  <c r="W29" i="35" s="1"/>
  <c r="J29" i="35"/>
  <c r="H29" i="35"/>
  <c r="L29" i="35" s="1"/>
  <c r="F29" i="35"/>
  <c r="V29" i="35" s="1"/>
  <c r="V28" i="35"/>
  <c r="S28" i="35"/>
  <c r="W28" i="35" s="1"/>
  <c r="J28" i="35"/>
  <c r="F28" i="35"/>
  <c r="S27" i="35"/>
  <c r="W27" i="35" s="1"/>
  <c r="X27" i="35" s="1"/>
  <c r="J27" i="35"/>
  <c r="F27" i="35"/>
  <c r="S26" i="35"/>
  <c r="W26" i="35" s="1"/>
  <c r="J26" i="35"/>
  <c r="F26" i="35"/>
  <c r="S25" i="35"/>
  <c r="W25" i="35" s="1"/>
  <c r="F25" i="35"/>
  <c r="J25" i="35" s="1"/>
  <c r="S24" i="35"/>
  <c r="W24" i="35" s="1"/>
  <c r="X24" i="35" s="1"/>
  <c r="F24" i="35"/>
  <c r="J24" i="35" s="1"/>
  <c r="S23" i="35"/>
  <c r="W23" i="35" s="1"/>
  <c r="X23" i="35" s="1"/>
  <c r="J23" i="35"/>
  <c r="F23" i="35"/>
  <c r="S22" i="35"/>
  <c r="W22" i="35" s="1"/>
  <c r="F22" i="35"/>
  <c r="S21" i="35"/>
  <c r="W21" i="35" s="1"/>
  <c r="F21" i="35"/>
  <c r="S20" i="35"/>
  <c r="T20" i="35" s="1"/>
  <c r="J20" i="35"/>
  <c r="F20" i="35"/>
  <c r="H20" i="35" s="1"/>
  <c r="L20" i="35" s="1"/>
  <c r="V19" i="35"/>
  <c r="S19" i="35"/>
  <c r="W19" i="35" s="1"/>
  <c r="F19" i="35"/>
  <c r="J19" i="35" s="1"/>
  <c r="S18" i="35"/>
  <c r="W18" i="35" s="1"/>
  <c r="F18" i="35"/>
  <c r="S17" i="35"/>
  <c r="W17" i="35" s="1"/>
  <c r="F17" i="35"/>
  <c r="S16" i="35"/>
  <c r="W16" i="35" s="1"/>
  <c r="F16" i="35"/>
  <c r="S15" i="35"/>
  <c r="W15" i="35" s="1"/>
  <c r="F15" i="35"/>
  <c r="S14" i="35"/>
  <c r="F14" i="35"/>
  <c r="J14" i="35" s="1"/>
  <c r="S13" i="35"/>
  <c r="W13" i="35" s="1"/>
  <c r="F13" i="35"/>
  <c r="V13" i="35" s="1"/>
  <c r="S12" i="35"/>
  <c r="W12" i="35" s="1"/>
  <c r="F12" i="35"/>
  <c r="S11" i="35"/>
  <c r="W11" i="35" s="1"/>
  <c r="H11" i="35"/>
  <c r="L11" i="35" s="1"/>
  <c r="F11" i="35"/>
  <c r="S10" i="35"/>
  <c r="T10" i="35" s="1"/>
  <c r="J10" i="35"/>
  <c r="H10" i="35"/>
  <c r="L10" i="35" s="1"/>
  <c r="F10" i="35"/>
  <c r="V10" i="35" s="1"/>
  <c r="V9" i="35"/>
  <c r="S9" i="35"/>
  <c r="W9" i="35" s="1"/>
  <c r="X9" i="35" s="1"/>
  <c r="H9" i="35"/>
  <c r="L9" i="35" s="1"/>
  <c r="F9" i="35"/>
  <c r="S8" i="35"/>
  <c r="W8" i="35" s="1"/>
  <c r="F8" i="35"/>
  <c r="H8" i="35" s="1"/>
  <c r="L8" i="35" s="1"/>
  <c r="S7" i="35"/>
  <c r="H7" i="35"/>
  <c r="L7" i="35" s="1"/>
  <c r="F7" i="35"/>
  <c r="V7" i="35" s="1"/>
  <c r="S6" i="35"/>
  <c r="W6" i="35" s="1"/>
  <c r="F6" i="35"/>
  <c r="S5" i="35"/>
  <c r="W5" i="35" s="1"/>
  <c r="X5" i="35" s="1"/>
  <c r="F5" i="35"/>
  <c r="V14" i="35" l="1"/>
  <c r="J7" i="35"/>
  <c r="J13" i="35"/>
  <c r="H14" i="35"/>
  <c r="L14" i="35" s="1"/>
  <c r="V20" i="35"/>
  <c r="X26" i="35"/>
  <c r="V39" i="35"/>
  <c r="X41" i="35"/>
  <c r="J43" i="35"/>
  <c r="H44" i="35"/>
  <c r="T7" i="35"/>
  <c r="X25" i="35"/>
  <c r="X36" i="35"/>
  <c r="H39" i="35"/>
  <c r="L39" i="35" s="1"/>
  <c r="J44" i="35"/>
  <c r="W52" i="35"/>
  <c r="X52" i="35" s="1"/>
  <c r="T14" i="35"/>
  <c r="W50" i="35"/>
  <c r="X50" i="35" s="1"/>
  <c r="W39" i="35"/>
  <c r="X39" i="35" s="1"/>
  <c r="W14" i="35"/>
  <c r="X14" i="35" s="1"/>
  <c r="W10" i="35"/>
  <c r="W7" i="35"/>
  <c r="X7" i="35" s="1"/>
  <c r="X19" i="35"/>
  <c r="T25" i="35"/>
  <c r="X34" i="35"/>
  <c r="W48" i="35"/>
  <c r="X48" i="35" s="1"/>
  <c r="W20" i="35"/>
  <c r="X20" i="35" s="1"/>
  <c r="T24" i="35"/>
  <c r="X38" i="35"/>
  <c r="W54" i="35"/>
  <c r="X54" i="35" s="1"/>
  <c r="X13" i="35"/>
  <c r="X28" i="35"/>
  <c r="T33" i="35"/>
  <c r="W47" i="35"/>
  <c r="X47" i="35" s="1"/>
  <c r="W49" i="35"/>
  <c r="X49" i="35" s="1"/>
  <c r="W51" i="35"/>
  <c r="X51" i="35" s="1"/>
  <c r="W53" i="35"/>
  <c r="X53" i="35" s="1"/>
  <c r="T21" i="35"/>
  <c r="W45" i="35"/>
  <c r="X45" i="35" s="1"/>
  <c r="W46" i="35"/>
  <c r="X46" i="35" s="1"/>
  <c r="T44" i="35"/>
  <c r="T41" i="35"/>
  <c r="T40" i="35"/>
  <c r="T34" i="35"/>
  <c r="T30" i="35"/>
  <c r="X29" i="35"/>
  <c r="T29" i="35"/>
  <c r="X6" i="35"/>
  <c r="T8" i="35"/>
  <c r="T12" i="35"/>
  <c r="V12" i="35"/>
  <c r="J12" i="35"/>
  <c r="H12" i="35"/>
  <c r="L12" i="35" s="1"/>
  <c r="H32" i="35"/>
  <c r="X32" i="35"/>
  <c r="J32" i="35"/>
  <c r="V6" i="35"/>
  <c r="V8" i="35"/>
  <c r="T15" i="35"/>
  <c r="V21" i="35"/>
  <c r="J21" i="35"/>
  <c r="X21" i="35"/>
  <c r="J30" i="35"/>
  <c r="X30" i="35"/>
  <c r="V30" i="35"/>
  <c r="V5" i="35"/>
  <c r="J5" i="35"/>
  <c r="T5" i="35"/>
  <c r="J8" i="35"/>
  <c r="X8" i="35"/>
  <c r="T11" i="35"/>
  <c r="V15" i="35"/>
  <c r="J15" i="35"/>
  <c r="V17" i="35"/>
  <c r="J17" i="35"/>
  <c r="H21" i="35"/>
  <c r="L21" i="35" s="1"/>
  <c r="T22" i="35"/>
  <c r="H22" i="35"/>
  <c r="L22" i="35" s="1"/>
  <c r="V22" i="35"/>
  <c r="J22" i="35"/>
  <c r="X22" i="35"/>
  <c r="H30" i="35"/>
  <c r="T32" i="35"/>
  <c r="T35" i="35"/>
  <c r="H35" i="35"/>
  <c r="L35" i="35" s="1"/>
  <c r="V35" i="35"/>
  <c r="J35" i="35"/>
  <c r="H5" i="35"/>
  <c r="L5" i="35" s="1"/>
  <c r="T9" i="35"/>
  <c r="J9" i="35"/>
  <c r="N9" i="35" s="1"/>
  <c r="X10" i="35"/>
  <c r="J11" i="35"/>
  <c r="V11" i="35"/>
  <c r="X11" i="35"/>
  <c r="H15" i="35"/>
  <c r="L15" i="35" s="1"/>
  <c r="X16" i="35"/>
  <c r="J16" i="35"/>
  <c r="H16" i="35"/>
  <c r="H17" i="35"/>
  <c r="L17" i="35" s="1"/>
  <c r="T18" i="35"/>
  <c r="H18" i="35"/>
  <c r="L18" i="35" s="1"/>
  <c r="V18" i="35"/>
  <c r="J18" i="35"/>
  <c r="X18" i="35"/>
  <c r="T23" i="35"/>
  <c r="T27" i="35"/>
  <c r="V31" i="35"/>
  <c r="J31" i="35"/>
  <c r="X31" i="35"/>
  <c r="J33" i="35"/>
  <c r="X33" i="35"/>
  <c r="V33" i="35"/>
  <c r="T36" i="35"/>
  <c r="T37" i="35"/>
  <c r="H37" i="35"/>
  <c r="L37" i="35" s="1"/>
  <c r="V37" i="35"/>
  <c r="J37" i="35"/>
  <c r="X37" i="35"/>
  <c r="X43" i="35"/>
  <c r="X12" i="35"/>
  <c r="T6" i="35"/>
  <c r="H6" i="35"/>
  <c r="L6" i="35" s="1"/>
  <c r="T16" i="35"/>
  <c r="T17" i="35"/>
  <c r="V34" i="35"/>
  <c r="J34" i="35"/>
  <c r="V40" i="35"/>
  <c r="J40" i="35"/>
  <c r="X40" i="35"/>
  <c r="J6" i="35"/>
  <c r="X15" i="35"/>
  <c r="X17" i="35"/>
  <c r="T26" i="35"/>
  <c r="T31" i="35"/>
  <c r="H34" i="35"/>
  <c r="L34" i="35" s="1"/>
  <c r="X35" i="35"/>
  <c r="V41" i="35"/>
  <c r="H41" i="35"/>
  <c r="J41" i="35"/>
  <c r="T42" i="35"/>
  <c r="H42" i="35"/>
  <c r="L42" i="35" s="1"/>
  <c r="V42" i="35"/>
  <c r="J42" i="35"/>
  <c r="X42" i="35"/>
  <c r="H13" i="35"/>
  <c r="L13" i="35" s="1"/>
  <c r="T13" i="35"/>
  <c r="H19" i="35"/>
  <c r="L19" i="35" s="1"/>
  <c r="T19" i="35"/>
  <c r="H23" i="35"/>
  <c r="V23" i="35"/>
  <c r="H24" i="35"/>
  <c r="V24" i="35"/>
  <c r="H25" i="35"/>
  <c r="V25" i="35"/>
  <c r="H26" i="35"/>
  <c r="V26" i="35"/>
  <c r="H27" i="35"/>
  <c r="V27" i="35"/>
  <c r="H28" i="35"/>
  <c r="L28" i="35" s="1"/>
  <c r="T28" i="35"/>
  <c r="H36" i="35"/>
  <c r="H38" i="35"/>
  <c r="L38" i="35" s="1"/>
  <c r="T38" i="35"/>
  <c r="H43" i="35"/>
  <c r="L43" i="35" s="1"/>
  <c r="T43" i="35"/>
  <c r="V54" i="34"/>
  <c r="S54" i="34"/>
  <c r="W54" i="34" s="1"/>
  <c r="X54" i="34" s="1"/>
  <c r="J54" i="34"/>
  <c r="H54" i="34"/>
  <c r="L54" i="34" s="1"/>
  <c r="V53" i="34"/>
  <c r="S53" i="34"/>
  <c r="W53" i="34" s="1"/>
  <c r="X53" i="34" s="1"/>
  <c r="J53" i="34"/>
  <c r="H53" i="34"/>
  <c r="L53" i="34" s="1"/>
  <c r="V52" i="34"/>
  <c r="S52" i="34"/>
  <c r="W52" i="34" s="1"/>
  <c r="X52" i="34" s="1"/>
  <c r="J52" i="34"/>
  <c r="H52" i="34"/>
  <c r="L52" i="34" s="1"/>
  <c r="V51" i="34"/>
  <c r="S51" i="34"/>
  <c r="W51" i="34" s="1"/>
  <c r="X51" i="34" s="1"/>
  <c r="J51" i="34"/>
  <c r="H51" i="34"/>
  <c r="L51" i="34" s="1"/>
  <c r="V50" i="34"/>
  <c r="S50" i="34"/>
  <c r="W50" i="34" s="1"/>
  <c r="X50" i="34" s="1"/>
  <c r="J50" i="34"/>
  <c r="H50" i="34"/>
  <c r="L50" i="34" s="1"/>
  <c r="V49" i="34"/>
  <c r="S49" i="34"/>
  <c r="W49" i="34" s="1"/>
  <c r="X49" i="34" s="1"/>
  <c r="J49" i="34"/>
  <c r="H49" i="34"/>
  <c r="L49" i="34" s="1"/>
  <c r="V48" i="34"/>
  <c r="S48" i="34"/>
  <c r="W48" i="34" s="1"/>
  <c r="X48" i="34" s="1"/>
  <c r="J48" i="34"/>
  <c r="H48" i="34"/>
  <c r="L48" i="34" s="1"/>
  <c r="V47" i="34"/>
  <c r="S47" i="34"/>
  <c r="W47" i="34" s="1"/>
  <c r="X47" i="34" s="1"/>
  <c r="J47" i="34"/>
  <c r="H47" i="34"/>
  <c r="L47" i="34" s="1"/>
  <c r="V46" i="34"/>
  <c r="S46" i="34"/>
  <c r="W46" i="34" s="1"/>
  <c r="X46" i="34" s="1"/>
  <c r="J46" i="34"/>
  <c r="H46" i="34"/>
  <c r="L46" i="34" s="1"/>
  <c r="V45" i="34"/>
  <c r="S45" i="34"/>
  <c r="W45" i="34" s="1"/>
  <c r="X45" i="34" s="1"/>
  <c r="J45" i="34"/>
  <c r="H45" i="34"/>
  <c r="L45" i="34" s="1"/>
  <c r="S44" i="34"/>
  <c r="W44" i="34" s="1"/>
  <c r="H44" i="34"/>
  <c r="F44" i="34"/>
  <c r="S43" i="34"/>
  <c r="W43" i="34" s="1"/>
  <c r="J43" i="34"/>
  <c r="F43" i="34"/>
  <c r="H43" i="34" s="1"/>
  <c r="L43" i="34" s="1"/>
  <c r="S42" i="34"/>
  <c r="W42" i="34" s="1"/>
  <c r="F42" i="34"/>
  <c r="J42" i="34" s="1"/>
  <c r="S41" i="34"/>
  <c r="W41" i="34" s="1"/>
  <c r="H41" i="34"/>
  <c r="F41" i="34"/>
  <c r="V41" i="34" s="1"/>
  <c r="S40" i="34"/>
  <c r="W40" i="34" s="1"/>
  <c r="F40" i="34"/>
  <c r="S39" i="34"/>
  <c r="W39" i="34" s="1"/>
  <c r="F39" i="34"/>
  <c r="J39" i="34" s="1"/>
  <c r="V38" i="34"/>
  <c r="S38" i="34"/>
  <c r="W38" i="34" s="1"/>
  <c r="J38" i="34"/>
  <c r="H38" i="34"/>
  <c r="L38" i="34" s="1"/>
  <c r="F38" i="34"/>
  <c r="S37" i="34"/>
  <c r="W37" i="34" s="1"/>
  <c r="F37" i="34"/>
  <c r="S36" i="34"/>
  <c r="W36" i="34" s="1"/>
  <c r="F36" i="34"/>
  <c r="J36" i="34" s="1"/>
  <c r="S35" i="34"/>
  <c r="W35" i="34" s="1"/>
  <c r="F35" i="34"/>
  <c r="S34" i="34"/>
  <c r="W34" i="34" s="1"/>
  <c r="F34" i="34"/>
  <c r="S33" i="34"/>
  <c r="W33" i="34" s="1"/>
  <c r="F33" i="34"/>
  <c r="H33" i="34" s="1"/>
  <c r="S32" i="34"/>
  <c r="W32" i="34" s="1"/>
  <c r="F32" i="34"/>
  <c r="S31" i="34"/>
  <c r="W31" i="34" s="1"/>
  <c r="F31" i="34"/>
  <c r="H31" i="34" s="1"/>
  <c r="L31" i="34" s="1"/>
  <c r="S30" i="34"/>
  <c r="W30" i="34" s="1"/>
  <c r="F30" i="34"/>
  <c r="S29" i="34"/>
  <c r="W29" i="34" s="1"/>
  <c r="J29" i="34"/>
  <c r="H29" i="34"/>
  <c r="L29" i="34" s="1"/>
  <c r="F29" i="34"/>
  <c r="V29" i="34" s="1"/>
  <c r="S28" i="34"/>
  <c r="W28" i="34" s="1"/>
  <c r="F28" i="34"/>
  <c r="V28" i="34" s="1"/>
  <c r="S27" i="34"/>
  <c r="W27" i="34" s="1"/>
  <c r="X27" i="34" s="1"/>
  <c r="F27" i="34"/>
  <c r="J27" i="34" s="1"/>
  <c r="S26" i="34"/>
  <c r="W26" i="34" s="1"/>
  <c r="X26" i="34" s="1"/>
  <c r="J26" i="34"/>
  <c r="F26" i="34"/>
  <c r="S25" i="34"/>
  <c r="W25" i="34" s="1"/>
  <c r="F25" i="34"/>
  <c r="S24" i="34"/>
  <c r="W24" i="34" s="1"/>
  <c r="F24" i="34"/>
  <c r="J24" i="34" s="1"/>
  <c r="S23" i="34"/>
  <c r="W23" i="34" s="1"/>
  <c r="F23" i="34"/>
  <c r="J23" i="34" s="1"/>
  <c r="S22" i="34"/>
  <c r="W22" i="34" s="1"/>
  <c r="H22" i="34"/>
  <c r="L22" i="34" s="1"/>
  <c r="F22" i="34"/>
  <c r="V22" i="34" s="1"/>
  <c r="S21" i="34"/>
  <c r="W21" i="34" s="1"/>
  <c r="J21" i="34"/>
  <c r="H21" i="34"/>
  <c r="L21" i="34" s="1"/>
  <c r="F21" i="34"/>
  <c r="V21" i="34" s="1"/>
  <c r="S20" i="34"/>
  <c r="W20" i="34" s="1"/>
  <c r="F20" i="34"/>
  <c r="S19" i="34"/>
  <c r="W19" i="34" s="1"/>
  <c r="F19" i="34"/>
  <c r="H19" i="34" s="1"/>
  <c r="L19" i="34" s="1"/>
  <c r="S18" i="34"/>
  <c r="W18" i="34" s="1"/>
  <c r="X18" i="34" s="1"/>
  <c r="J18" i="34"/>
  <c r="F18" i="34"/>
  <c r="V18" i="34" s="1"/>
  <c r="S17" i="34"/>
  <c r="T17" i="34" s="1"/>
  <c r="F17" i="34"/>
  <c r="J17" i="34" s="1"/>
  <c r="S16" i="34"/>
  <c r="W16" i="34" s="1"/>
  <c r="F16" i="34"/>
  <c r="J16" i="34" s="1"/>
  <c r="S15" i="34"/>
  <c r="H15" i="34"/>
  <c r="L15" i="34" s="1"/>
  <c r="F15" i="34"/>
  <c r="V15" i="34" s="1"/>
  <c r="S14" i="34"/>
  <c r="W14" i="34" s="1"/>
  <c r="F14" i="34"/>
  <c r="S13" i="34"/>
  <c r="W13" i="34" s="1"/>
  <c r="H13" i="34"/>
  <c r="L13" i="34" s="1"/>
  <c r="F13" i="34"/>
  <c r="S12" i="34"/>
  <c r="W12" i="34" s="1"/>
  <c r="J12" i="34"/>
  <c r="F12" i="34"/>
  <c r="V12" i="34" s="1"/>
  <c r="S11" i="34"/>
  <c r="W11" i="34" s="1"/>
  <c r="J11" i="34"/>
  <c r="F11" i="34"/>
  <c r="V11" i="34" s="1"/>
  <c r="S10" i="34"/>
  <c r="W10" i="34" s="1"/>
  <c r="X10" i="34" s="1"/>
  <c r="J10" i="34"/>
  <c r="F10" i="34"/>
  <c r="S9" i="34"/>
  <c r="W9" i="34" s="1"/>
  <c r="N9" i="34"/>
  <c r="J9" i="34"/>
  <c r="F9" i="34"/>
  <c r="V9" i="34" s="1"/>
  <c r="S8" i="34"/>
  <c r="F8" i="34"/>
  <c r="V8" i="34" s="1"/>
  <c r="S7" i="34"/>
  <c r="W7" i="34" s="1"/>
  <c r="F7" i="34"/>
  <c r="S6" i="34"/>
  <c r="W6" i="34" s="1"/>
  <c r="F6" i="34"/>
  <c r="V6" i="34" s="1"/>
  <c r="S5" i="34"/>
  <c r="W5" i="34" s="1"/>
  <c r="H5" i="34"/>
  <c r="L5" i="34" s="1"/>
  <c r="F5" i="34"/>
  <c r="V5" i="34" s="1"/>
  <c r="V42" i="34" l="1"/>
  <c r="J5" i="34"/>
  <c r="H8" i="34"/>
  <c r="L8" i="34" s="1"/>
  <c r="X9" i="34"/>
  <c r="X12" i="34"/>
  <c r="J15" i="34"/>
  <c r="H16" i="34"/>
  <c r="H17" i="34"/>
  <c r="L17" i="34" s="1"/>
  <c r="V17" i="34"/>
  <c r="J22" i="34"/>
  <c r="X25" i="34"/>
  <c r="H28" i="34"/>
  <c r="L28" i="34" s="1"/>
  <c r="H36" i="34"/>
  <c r="H39" i="34"/>
  <c r="L39" i="34" s="1"/>
  <c r="J41" i="34"/>
  <c r="H42" i="34"/>
  <c r="L42" i="34" s="1"/>
  <c r="V43" i="34"/>
  <c r="V39" i="34"/>
  <c r="J8" i="34"/>
  <c r="H9" i="34"/>
  <c r="L9" i="34" s="1"/>
  <c r="H11" i="34"/>
  <c r="L11" i="34" s="1"/>
  <c r="T15" i="34"/>
  <c r="X22" i="34"/>
  <c r="J28" i="34"/>
  <c r="X41" i="34"/>
  <c r="T8" i="34"/>
  <c r="X16" i="34"/>
  <c r="X36" i="34"/>
  <c r="W8" i="34"/>
  <c r="T22" i="34"/>
  <c r="T38" i="34"/>
  <c r="T16" i="34"/>
  <c r="T43" i="34"/>
  <c r="T48" i="34"/>
  <c r="T51" i="34"/>
  <c r="T21" i="34"/>
  <c r="T52" i="34"/>
  <c r="X11" i="34"/>
  <c r="T11" i="34"/>
  <c r="T9" i="34"/>
  <c r="W17" i="34"/>
  <c r="X17" i="34" s="1"/>
  <c r="T36" i="34"/>
  <c r="X38" i="34"/>
  <c r="X39" i="34"/>
  <c r="T39" i="34"/>
  <c r="T41" i="34"/>
  <c r="T50" i="34"/>
  <c r="T54" i="34"/>
  <c r="X29" i="34"/>
  <c r="T29" i="34"/>
  <c r="T49" i="34"/>
  <c r="T53" i="34"/>
  <c r="W15" i="34"/>
  <c r="X15" i="34" s="1"/>
  <c r="T47" i="34"/>
  <c r="T46" i="34"/>
  <c r="T45" i="34"/>
  <c r="T44" i="34"/>
  <c r="T42" i="34"/>
  <c r="T33" i="34"/>
  <c r="T32" i="34"/>
  <c r="T31" i="34"/>
  <c r="T30" i="34"/>
  <c r="X28" i="34"/>
  <c r="T28" i="34"/>
  <c r="T26" i="34"/>
  <c r="X14" i="34"/>
  <c r="X13" i="34"/>
  <c r="X5" i="34"/>
  <c r="T5" i="34"/>
  <c r="X19" i="34"/>
  <c r="T7" i="34"/>
  <c r="H7" i="34"/>
  <c r="L7" i="34" s="1"/>
  <c r="V14" i="34"/>
  <c r="T20" i="34"/>
  <c r="H20" i="34"/>
  <c r="L20" i="34" s="1"/>
  <c r="V30" i="34"/>
  <c r="J6" i="34"/>
  <c r="X7" i="34"/>
  <c r="T12" i="34"/>
  <c r="T18" i="34"/>
  <c r="X20" i="34"/>
  <c r="V23" i="34"/>
  <c r="V25" i="34"/>
  <c r="J25" i="34"/>
  <c r="T25" i="34"/>
  <c r="X32" i="34"/>
  <c r="J32" i="34"/>
  <c r="H32" i="34"/>
  <c r="V34" i="34"/>
  <c r="J34" i="34"/>
  <c r="X34" i="34"/>
  <c r="X6" i="34"/>
  <c r="X8" i="34"/>
  <c r="T10" i="34"/>
  <c r="H10" i="34"/>
  <c r="L10" i="34" s="1"/>
  <c r="V10" i="34"/>
  <c r="H12" i="34"/>
  <c r="L12" i="34" s="1"/>
  <c r="H18" i="34"/>
  <c r="L18" i="34" s="1"/>
  <c r="X21" i="34"/>
  <c r="H23" i="34"/>
  <c r="X23" i="34"/>
  <c r="T24" i="34"/>
  <c r="H25" i="34"/>
  <c r="T27" i="34"/>
  <c r="H27" i="34"/>
  <c r="V27" i="34"/>
  <c r="H34" i="34"/>
  <c r="L34" i="34" s="1"/>
  <c r="V35" i="34"/>
  <c r="J35" i="34"/>
  <c r="T35" i="34"/>
  <c r="H35" i="34"/>
  <c r="L35" i="34" s="1"/>
  <c r="X35" i="34"/>
  <c r="X44" i="34"/>
  <c r="J44" i="34"/>
  <c r="V44" i="34"/>
  <c r="V7" i="34"/>
  <c r="T14" i="34"/>
  <c r="H14" i="34"/>
  <c r="L14" i="34" s="1"/>
  <c r="V20" i="34"/>
  <c r="V24" i="34"/>
  <c r="X30" i="34"/>
  <c r="J30" i="34"/>
  <c r="V40" i="34"/>
  <c r="J40" i="34"/>
  <c r="T40" i="34"/>
  <c r="H40" i="34"/>
  <c r="L40" i="34" s="1"/>
  <c r="H6" i="34"/>
  <c r="L6" i="34" s="1"/>
  <c r="T6" i="34"/>
  <c r="J7" i="34"/>
  <c r="V13" i="34"/>
  <c r="J13" i="34"/>
  <c r="T13" i="34"/>
  <c r="J14" i="34"/>
  <c r="V19" i="34"/>
  <c r="J19" i="34"/>
  <c r="T19" i="34"/>
  <c r="J20" i="34"/>
  <c r="T23" i="34"/>
  <c r="H24" i="34"/>
  <c r="X24" i="34"/>
  <c r="V26" i="34"/>
  <c r="H26" i="34"/>
  <c r="H30" i="34"/>
  <c r="V31" i="34"/>
  <c r="J31" i="34"/>
  <c r="X31" i="34"/>
  <c r="X33" i="34"/>
  <c r="J33" i="34"/>
  <c r="V33" i="34"/>
  <c r="T34" i="34"/>
  <c r="V37" i="34"/>
  <c r="J37" i="34"/>
  <c r="T37" i="34"/>
  <c r="H37" i="34"/>
  <c r="L37" i="34" s="1"/>
  <c r="X37" i="34"/>
  <c r="X40" i="34"/>
  <c r="X42" i="34"/>
  <c r="X43" i="34"/>
  <c r="J54" i="33" l="1"/>
  <c r="J53" i="33"/>
  <c r="J52" i="33"/>
  <c r="J51" i="33"/>
  <c r="J50" i="33"/>
  <c r="J49" i="33"/>
  <c r="J48" i="33"/>
  <c r="J47" i="33"/>
  <c r="J46" i="33"/>
  <c r="J45" i="33"/>
  <c r="F44" i="33" l="1"/>
  <c r="J44" i="33" s="1"/>
  <c r="F43" i="33"/>
  <c r="J43" i="33" s="1"/>
  <c r="F42" i="33"/>
  <c r="J42" i="33" s="1"/>
  <c r="F41" i="33"/>
  <c r="J41" i="33" s="1"/>
  <c r="F40" i="33"/>
  <c r="J40" i="33" s="1"/>
  <c r="F39" i="33"/>
  <c r="J39" i="33" s="1"/>
  <c r="F38" i="33"/>
  <c r="J38" i="33" s="1"/>
  <c r="F37" i="33"/>
  <c r="J37" i="33" s="1"/>
  <c r="F36" i="33"/>
  <c r="J36" i="33" s="1"/>
  <c r="F35" i="33"/>
  <c r="J35" i="33" s="1"/>
  <c r="F34" i="33"/>
  <c r="J34" i="33" s="1"/>
  <c r="F33" i="33"/>
  <c r="J33" i="33" s="1"/>
  <c r="F32" i="33"/>
  <c r="J32" i="33" s="1"/>
  <c r="F31" i="33"/>
  <c r="J31" i="33" s="1"/>
  <c r="F30" i="33"/>
  <c r="J30" i="33" s="1"/>
  <c r="F29" i="33"/>
  <c r="J29" i="33" s="1"/>
  <c r="F28" i="33"/>
  <c r="J28" i="33" s="1"/>
  <c r="F27" i="33"/>
  <c r="J27" i="33" s="1"/>
  <c r="F26" i="33"/>
  <c r="J26" i="33" s="1"/>
  <c r="F25" i="33"/>
  <c r="J25" i="33" s="1"/>
  <c r="F24" i="33"/>
  <c r="J24" i="33" s="1"/>
  <c r="F23" i="33"/>
  <c r="J23" i="33" s="1"/>
  <c r="F22" i="33"/>
  <c r="J22" i="33" s="1"/>
  <c r="F21" i="33"/>
  <c r="J21" i="33" s="1"/>
  <c r="F20" i="33"/>
  <c r="J20" i="33" s="1"/>
  <c r="F19" i="33"/>
  <c r="J19" i="33" s="1"/>
  <c r="F18" i="33"/>
  <c r="J18" i="33" s="1"/>
  <c r="F17" i="33"/>
  <c r="J17" i="33" s="1"/>
  <c r="F16" i="33"/>
  <c r="J16" i="33" s="1"/>
  <c r="F15" i="33"/>
  <c r="J15" i="33" s="1"/>
  <c r="F14" i="33"/>
  <c r="J14" i="33" s="1"/>
  <c r="F13" i="33"/>
  <c r="J13" i="33" s="1"/>
  <c r="F12" i="33"/>
  <c r="J12" i="33" s="1"/>
  <c r="F11" i="33"/>
  <c r="J11" i="33" s="1"/>
  <c r="F10" i="33"/>
  <c r="J10" i="33" s="1"/>
  <c r="F9" i="33"/>
  <c r="J9" i="33" s="1"/>
  <c r="N9" i="33" s="1"/>
  <c r="F8" i="33"/>
  <c r="J8" i="33" s="1"/>
  <c r="F7" i="33"/>
  <c r="J7" i="33" s="1"/>
  <c r="F6" i="33"/>
  <c r="J6" i="33" s="1"/>
  <c r="F5" i="33"/>
  <c r="J5" i="33" s="1"/>
  <c r="W5" i="32" l="1"/>
  <c r="S54" i="33" l="1"/>
  <c r="W54" i="33" s="1"/>
  <c r="V54" i="33"/>
  <c r="S53" i="33"/>
  <c r="W53" i="33" s="1"/>
  <c r="S52" i="33"/>
  <c r="W52" i="33" s="1"/>
  <c r="S51" i="33"/>
  <c r="W51" i="33" s="1"/>
  <c r="H51" i="33"/>
  <c r="L51" i="33" s="1"/>
  <c r="S49" i="33"/>
  <c r="W49" i="33" s="1"/>
  <c r="S48" i="33"/>
  <c r="W48" i="33" s="1"/>
  <c r="S47" i="33"/>
  <c r="W47" i="33" s="1"/>
  <c r="V47" i="33"/>
  <c r="S45" i="33"/>
  <c r="W45" i="33" s="1"/>
  <c r="H45" i="33"/>
  <c r="L45" i="33" s="1"/>
  <c r="V45" i="33"/>
  <c r="S44" i="33"/>
  <c r="T44" i="33" s="1"/>
  <c r="S43" i="33"/>
  <c r="W43" i="33" s="1"/>
  <c r="V42" i="33"/>
  <c r="V41" i="33"/>
  <c r="S41" i="33"/>
  <c r="W41" i="33" s="1"/>
  <c r="X41" i="33" s="1"/>
  <c r="H41" i="33"/>
  <c r="S39" i="33"/>
  <c r="W39" i="33" s="1"/>
  <c r="V38" i="33"/>
  <c r="V37" i="33"/>
  <c r="S37" i="33"/>
  <c r="W37" i="33" s="1"/>
  <c r="X37" i="33" s="1"/>
  <c r="H37" i="33"/>
  <c r="L37" i="33" s="1"/>
  <c r="S36" i="33"/>
  <c r="T36" i="33" s="1"/>
  <c r="S35" i="33"/>
  <c r="W35" i="33" s="1"/>
  <c r="V34" i="33"/>
  <c r="V33" i="33"/>
  <c r="S33" i="33"/>
  <c r="W33" i="33" s="1"/>
  <c r="X33" i="33" s="1"/>
  <c r="H33" i="33"/>
  <c r="S32" i="33"/>
  <c r="T32" i="33" s="1"/>
  <c r="S31" i="33"/>
  <c r="W31" i="33" s="1"/>
  <c r="V30" i="33"/>
  <c r="V29" i="33"/>
  <c r="S29" i="33"/>
  <c r="W29" i="33" s="1"/>
  <c r="X29" i="33" s="1"/>
  <c r="H29" i="33"/>
  <c r="L29" i="33" s="1"/>
  <c r="S28" i="33"/>
  <c r="T28" i="33" s="1"/>
  <c r="S27" i="33"/>
  <c r="W27" i="33" s="1"/>
  <c r="V26" i="33"/>
  <c r="S25" i="33"/>
  <c r="W25" i="33" s="1"/>
  <c r="H25" i="33"/>
  <c r="L25" i="33" s="1"/>
  <c r="V25" i="33"/>
  <c r="S24" i="33"/>
  <c r="W24" i="33" s="1"/>
  <c r="S23" i="33"/>
  <c r="W23" i="33" s="1"/>
  <c r="H23" i="33"/>
  <c r="V22" i="33"/>
  <c r="H22" i="33"/>
  <c r="L22" i="33" s="1"/>
  <c r="S22" i="33"/>
  <c r="T22" i="33" s="1"/>
  <c r="S21" i="33"/>
  <c r="W21" i="33" s="1"/>
  <c r="S20" i="33"/>
  <c r="S19" i="33"/>
  <c r="V18" i="33"/>
  <c r="S18" i="33"/>
  <c r="T18" i="33" s="1"/>
  <c r="S17" i="33"/>
  <c r="W17" i="33" s="1"/>
  <c r="S16" i="33"/>
  <c r="W16" i="33" s="1"/>
  <c r="S15" i="33"/>
  <c r="W15" i="33" s="1"/>
  <c r="V14" i="33"/>
  <c r="H14" i="33"/>
  <c r="L14" i="33" s="1"/>
  <c r="S14" i="33"/>
  <c r="W14" i="33" s="1"/>
  <c r="S13" i="33"/>
  <c r="W13" i="33" s="1"/>
  <c r="X13" i="33" s="1"/>
  <c r="H13" i="33"/>
  <c r="L13" i="33" s="1"/>
  <c r="S12" i="33"/>
  <c r="S11" i="33"/>
  <c r="V10" i="33"/>
  <c r="S10" i="33"/>
  <c r="W10" i="33" s="1"/>
  <c r="S9" i="33"/>
  <c r="W9" i="33" s="1"/>
  <c r="X9" i="33" s="1"/>
  <c r="H9" i="33"/>
  <c r="L9" i="33" s="1"/>
  <c r="S8" i="33"/>
  <c r="W8" i="33" s="1"/>
  <c r="S7" i="33"/>
  <c r="W7" i="33" s="1"/>
  <c r="H7" i="33"/>
  <c r="L7" i="33" s="1"/>
  <c r="V6" i="33"/>
  <c r="H6" i="33"/>
  <c r="L6" i="33" s="1"/>
  <c r="S6" i="33"/>
  <c r="T6" i="33" s="1"/>
  <c r="S5" i="33"/>
  <c r="W5" i="33" s="1"/>
  <c r="X51" i="33" l="1"/>
  <c r="X45" i="33"/>
  <c r="V50" i="33"/>
  <c r="X52" i="33"/>
  <c r="V46" i="33"/>
  <c r="H54" i="33"/>
  <c r="L54" i="33" s="1"/>
  <c r="X8" i="33"/>
  <c r="T23" i="33"/>
  <c r="T51" i="33"/>
  <c r="W32" i="33"/>
  <c r="X32" i="33" s="1"/>
  <c r="T7" i="33"/>
  <c r="T10" i="33"/>
  <c r="T14" i="33"/>
  <c r="T16" i="33"/>
  <c r="W28" i="33"/>
  <c r="X28" i="33" s="1"/>
  <c r="W44" i="33"/>
  <c r="X44" i="33" s="1"/>
  <c r="W36" i="33"/>
  <c r="X36" i="33" s="1"/>
  <c r="X24" i="33"/>
  <c r="W19" i="33"/>
  <c r="X19" i="33" s="1"/>
  <c r="T19" i="33"/>
  <c r="W20" i="33"/>
  <c r="X20" i="33" s="1"/>
  <c r="T20" i="33"/>
  <c r="W11" i="33"/>
  <c r="X11" i="33" s="1"/>
  <c r="T11" i="33"/>
  <c r="T12" i="33"/>
  <c r="W12" i="33"/>
  <c r="X12" i="33" s="1"/>
  <c r="W18" i="33"/>
  <c r="X18" i="33" s="1"/>
  <c r="T27" i="33"/>
  <c r="T35" i="33"/>
  <c r="H42" i="33"/>
  <c r="L42" i="33" s="1"/>
  <c r="S42" i="33"/>
  <c r="T43" i="33"/>
  <c r="H46" i="33"/>
  <c r="L46" i="33" s="1"/>
  <c r="S46" i="33"/>
  <c r="T49" i="33"/>
  <c r="X49" i="33"/>
  <c r="T5" i="33"/>
  <c r="V5" i="33"/>
  <c r="W6" i="33"/>
  <c r="X6" i="33" s="1"/>
  <c r="X10" i="33"/>
  <c r="H11" i="33"/>
  <c r="L11" i="33" s="1"/>
  <c r="V12" i="33"/>
  <c r="H12" i="33"/>
  <c r="L12" i="33" s="1"/>
  <c r="X15" i="33"/>
  <c r="H18" i="33"/>
  <c r="L18" i="33" s="1"/>
  <c r="V19" i="33"/>
  <c r="T21" i="33"/>
  <c r="V21" i="33"/>
  <c r="W22" i="33"/>
  <c r="X22" i="33" s="1"/>
  <c r="T52" i="33"/>
  <c r="X54" i="33"/>
  <c r="V8" i="33"/>
  <c r="H8" i="33"/>
  <c r="L8" i="33" s="1"/>
  <c r="V15" i="33"/>
  <c r="T17" i="33"/>
  <c r="V17" i="33"/>
  <c r="V24" i="33"/>
  <c r="H24" i="33"/>
  <c r="H26" i="33"/>
  <c r="S26" i="33"/>
  <c r="H30" i="33"/>
  <c r="S30" i="33"/>
  <c r="T31" i="33"/>
  <c r="H34" i="33"/>
  <c r="L34" i="33" s="1"/>
  <c r="S34" i="33"/>
  <c r="H38" i="33"/>
  <c r="L38" i="33" s="1"/>
  <c r="S38" i="33"/>
  <c r="T39" i="33"/>
  <c r="X47" i="33"/>
  <c r="T47" i="33"/>
  <c r="V7" i="33"/>
  <c r="T9" i="33"/>
  <c r="V9" i="33"/>
  <c r="X14" i="33"/>
  <c r="H15" i="33"/>
  <c r="L15" i="33" s="1"/>
  <c r="H16" i="33"/>
  <c r="H17" i="33"/>
  <c r="L17" i="33" s="1"/>
  <c r="X17" i="33"/>
  <c r="V23" i="33"/>
  <c r="T25" i="33"/>
  <c r="X25" i="33"/>
  <c r="H27" i="33"/>
  <c r="L27" i="33" s="1"/>
  <c r="V27" i="33"/>
  <c r="H31" i="33"/>
  <c r="L31" i="33" s="1"/>
  <c r="V31" i="33"/>
  <c r="H35" i="33"/>
  <c r="L35" i="33" s="1"/>
  <c r="V35" i="33"/>
  <c r="H39" i="33"/>
  <c r="L39" i="33" s="1"/>
  <c r="V39" i="33"/>
  <c r="H43" i="33"/>
  <c r="L43" i="33" s="1"/>
  <c r="V43" i="33"/>
  <c r="H47" i="33"/>
  <c r="L47" i="33" s="1"/>
  <c r="V48" i="33"/>
  <c r="H48" i="33"/>
  <c r="L48" i="33" s="1"/>
  <c r="T48" i="33"/>
  <c r="X48" i="33"/>
  <c r="H49" i="33"/>
  <c r="L49" i="33" s="1"/>
  <c r="V49" i="33"/>
  <c r="S50" i="33"/>
  <c r="H50" i="33"/>
  <c r="L50" i="33" s="1"/>
  <c r="H5" i="33"/>
  <c r="L5" i="33" s="1"/>
  <c r="X5" i="33"/>
  <c r="X7" i="33"/>
  <c r="T8" i="33"/>
  <c r="H10" i="33"/>
  <c r="L10" i="33" s="1"/>
  <c r="V11" i="33"/>
  <c r="T13" i="33"/>
  <c r="V13" i="33"/>
  <c r="T15" i="33"/>
  <c r="X16" i="33"/>
  <c r="H19" i="33"/>
  <c r="L19" i="33" s="1"/>
  <c r="V20" i="33"/>
  <c r="H20" i="33"/>
  <c r="L20" i="33" s="1"/>
  <c r="H21" i="33"/>
  <c r="L21" i="33" s="1"/>
  <c r="X21" i="33"/>
  <c r="X23" i="33"/>
  <c r="T24" i="33"/>
  <c r="X27" i="33"/>
  <c r="T29" i="33"/>
  <c r="X31" i="33"/>
  <c r="T33" i="33"/>
  <c r="X35" i="33"/>
  <c r="T37" i="33"/>
  <c r="X39" i="33"/>
  <c r="T41" i="33"/>
  <c r="X43" i="33"/>
  <c r="T45" i="33"/>
  <c r="X53" i="33"/>
  <c r="H28" i="33"/>
  <c r="L28" i="33" s="1"/>
  <c r="V28" i="33"/>
  <c r="H32" i="33"/>
  <c r="H36" i="33"/>
  <c r="V40" i="33"/>
  <c r="H44" i="33"/>
  <c r="V44" i="33"/>
  <c r="V52" i="33"/>
  <c r="H52" i="33"/>
  <c r="L52" i="33" s="1"/>
  <c r="H53" i="33"/>
  <c r="L53" i="33" s="1"/>
  <c r="T54" i="33"/>
  <c r="V51" i="33"/>
  <c r="T53" i="33"/>
  <c r="V53" i="33"/>
  <c r="W34" i="33" l="1"/>
  <c r="X34" i="33" s="1"/>
  <c r="T34" i="33"/>
  <c r="T50" i="33"/>
  <c r="W50" i="33"/>
  <c r="X50" i="33" s="1"/>
  <c r="W38" i="33"/>
  <c r="X38" i="33" s="1"/>
  <c r="T38" i="33"/>
  <c r="W42" i="33"/>
  <c r="X42" i="33" s="1"/>
  <c r="T42" i="33"/>
  <c r="W26" i="33"/>
  <c r="X26" i="33" s="1"/>
  <c r="T26" i="33"/>
  <c r="W46" i="33"/>
  <c r="X46" i="33" s="1"/>
  <c r="T46" i="33"/>
  <c r="W30" i="33"/>
  <c r="X30" i="33" s="1"/>
  <c r="T30" i="33"/>
  <c r="F78" i="32"/>
  <c r="F77" i="32"/>
  <c r="R76" i="32"/>
  <c r="F76" i="32"/>
  <c r="P75" i="32"/>
  <c r="F75" i="32"/>
  <c r="V75" i="32" s="1"/>
  <c r="V74" i="32"/>
  <c r="R74" i="32"/>
  <c r="P74" i="32"/>
  <c r="N74" i="32"/>
  <c r="L74" i="32"/>
  <c r="J74" i="32"/>
  <c r="V73" i="32"/>
  <c r="R73" i="32"/>
  <c r="P73" i="32"/>
  <c r="N73" i="32"/>
  <c r="L73" i="32"/>
  <c r="J73" i="32"/>
  <c r="J72" i="32"/>
  <c r="F72" i="32"/>
  <c r="L72" i="32" s="1"/>
  <c r="F71" i="32"/>
  <c r="F70" i="32"/>
  <c r="P70" i="32" s="1"/>
  <c r="V69" i="32"/>
  <c r="J69" i="32"/>
  <c r="F69" i="32"/>
  <c r="R69" i="32" s="1"/>
  <c r="L68" i="32"/>
  <c r="F68" i="32"/>
  <c r="J68" i="32" s="1"/>
  <c r="F67" i="32"/>
  <c r="F66" i="32"/>
  <c r="V66" i="32" s="1"/>
  <c r="P65" i="32"/>
  <c r="F65" i="32"/>
  <c r="N65" i="32" s="1"/>
  <c r="F64" i="32"/>
  <c r="F63" i="32"/>
  <c r="V62" i="32"/>
  <c r="F62" i="32"/>
  <c r="P62" i="32" s="1"/>
  <c r="P61" i="32"/>
  <c r="F61" i="32"/>
  <c r="N61" i="32" s="1"/>
  <c r="F60" i="32"/>
  <c r="F59" i="32"/>
  <c r="F58" i="32"/>
  <c r="V58" i="32" s="1"/>
  <c r="R57" i="32"/>
  <c r="F57" i="32"/>
  <c r="P57" i="32" s="1"/>
  <c r="J56" i="32"/>
  <c r="F56" i="32"/>
  <c r="L56" i="32" s="1"/>
  <c r="F55" i="32"/>
  <c r="N55" i="32" s="1"/>
  <c r="N54" i="32"/>
  <c r="F54" i="32"/>
  <c r="V54" i="32" s="1"/>
  <c r="P53" i="32"/>
  <c r="F53" i="32"/>
  <c r="N53" i="32" s="1"/>
  <c r="F52" i="32"/>
  <c r="F51" i="32"/>
  <c r="N50" i="32"/>
  <c r="F50" i="32"/>
  <c r="V50" i="32" s="1"/>
  <c r="R49" i="32"/>
  <c r="F49" i="32"/>
  <c r="P49" i="32" s="1"/>
  <c r="J48" i="32"/>
  <c r="F48" i="32"/>
  <c r="R48" i="32" s="1"/>
  <c r="F47" i="32"/>
  <c r="F46" i="32"/>
  <c r="P45" i="32"/>
  <c r="F45" i="32"/>
  <c r="V45" i="32" s="1"/>
  <c r="F44" i="32"/>
  <c r="L44" i="32" s="1"/>
  <c r="F43" i="32"/>
  <c r="F42" i="32"/>
  <c r="P41" i="32"/>
  <c r="F41" i="32"/>
  <c r="V41" i="32" s="1"/>
  <c r="L40" i="32"/>
  <c r="F40" i="32"/>
  <c r="J40" i="32" s="1"/>
  <c r="L39" i="32"/>
  <c r="F39" i="32"/>
  <c r="N39" i="32" s="1"/>
  <c r="R38" i="32"/>
  <c r="F38" i="32"/>
  <c r="P38" i="32" s="1"/>
  <c r="F37" i="32"/>
  <c r="R37" i="32" s="1"/>
  <c r="F36" i="32"/>
  <c r="J36" i="32" s="1"/>
  <c r="F35" i="32"/>
  <c r="N35" i="32" s="1"/>
  <c r="V34" i="32"/>
  <c r="J34" i="32"/>
  <c r="F34" i="32"/>
  <c r="R34" i="32" s="1"/>
  <c r="J33" i="32"/>
  <c r="F33" i="32"/>
  <c r="R33" i="32" s="1"/>
  <c r="L32" i="32"/>
  <c r="F32" i="32"/>
  <c r="J32" i="32" s="1"/>
  <c r="F31" i="32"/>
  <c r="N31" i="32" s="1"/>
  <c r="N30" i="32"/>
  <c r="F30" i="32"/>
  <c r="V30" i="32" s="1"/>
  <c r="V29" i="32"/>
  <c r="J29" i="32"/>
  <c r="F29" i="32"/>
  <c r="L29" i="32" s="1"/>
  <c r="J28" i="32"/>
  <c r="F28" i="32"/>
  <c r="L28" i="32" s="1"/>
  <c r="F27" i="32"/>
  <c r="N27" i="32" s="1"/>
  <c r="P26" i="32"/>
  <c r="F26" i="32"/>
  <c r="V26" i="32" s="1"/>
  <c r="F25" i="32"/>
  <c r="R25" i="32" s="1"/>
  <c r="F24" i="32"/>
  <c r="L24" i="32" s="1"/>
  <c r="N23" i="32"/>
  <c r="F23" i="32"/>
  <c r="L23" i="32" s="1"/>
  <c r="R22" i="32"/>
  <c r="F22" i="32"/>
  <c r="P22" i="32" s="1"/>
  <c r="F21" i="32"/>
  <c r="R21" i="32" s="1"/>
  <c r="F20" i="32"/>
  <c r="F19" i="32"/>
  <c r="N19" i="32" s="1"/>
  <c r="V18" i="32"/>
  <c r="J18" i="32"/>
  <c r="F18" i="32"/>
  <c r="R18" i="32" s="1"/>
  <c r="F17" i="32"/>
  <c r="L17" i="32" s="1"/>
  <c r="F16" i="32"/>
  <c r="F15" i="32"/>
  <c r="N15" i="32" s="1"/>
  <c r="R14" i="32"/>
  <c r="F14" i="32"/>
  <c r="P14" i="32" s="1"/>
  <c r="F13" i="32"/>
  <c r="L12" i="32"/>
  <c r="F12" i="32"/>
  <c r="J12" i="32" s="1"/>
  <c r="L11" i="32"/>
  <c r="F11" i="32"/>
  <c r="N11" i="32" s="1"/>
  <c r="F10" i="32"/>
  <c r="N10" i="32" s="1"/>
  <c r="F9" i="32"/>
  <c r="P9" i="32" s="1"/>
  <c r="F8" i="32"/>
  <c r="L7" i="32"/>
  <c r="F7" i="32"/>
  <c r="F6" i="32"/>
  <c r="N6" i="32" s="1"/>
  <c r="F5" i="32"/>
  <c r="J5" i="32" s="1"/>
  <c r="R6" i="32" l="1"/>
  <c r="J9" i="32"/>
  <c r="R10" i="32"/>
  <c r="P13" i="32"/>
  <c r="V13" i="32"/>
  <c r="J13" i="32"/>
  <c r="N71" i="32"/>
  <c r="L71" i="32"/>
  <c r="P6" i="32"/>
  <c r="P10" i="32"/>
  <c r="P25" i="32"/>
  <c r="V25" i="32"/>
  <c r="J25" i="32"/>
  <c r="L52" i="32"/>
  <c r="J52" i="32"/>
  <c r="R60" i="32"/>
  <c r="L60" i="32"/>
  <c r="J6" i="32"/>
  <c r="V6" i="32"/>
  <c r="R9" i="32"/>
  <c r="J10" i="32"/>
  <c r="V10" i="32"/>
  <c r="R13" i="32"/>
  <c r="N42" i="32"/>
  <c r="V42" i="32"/>
  <c r="J42" i="32"/>
  <c r="R42" i="32"/>
  <c r="L46" i="32"/>
  <c r="L78" i="32"/>
  <c r="J78" i="32"/>
  <c r="L21" i="32"/>
  <c r="P21" i="32"/>
  <c r="V21" i="32"/>
  <c r="J21" i="32"/>
  <c r="L16" i="32"/>
  <c r="J16" i="32"/>
  <c r="P42" i="32"/>
  <c r="R47" i="32"/>
  <c r="N47" i="32"/>
  <c r="N59" i="32"/>
  <c r="L59" i="32"/>
  <c r="P76" i="32"/>
  <c r="N76" i="32"/>
  <c r="V76" i="32"/>
  <c r="J76" i="32"/>
  <c r="J14" i="32"/>
  <c r="V14" i="32"/>
  <c r="J17" i="32"/>
  <c r="V17" i="32"/>
  <c r="N18" i="32"/>
  <c r="J22" i="32"/>
  <c r="V22" i="32"/>
  <c r="R26" i="32"/>
  <c r="L27" i="32"/>
  <c r="P29" i="32"/>
  <c r="P30" i="32"/>
  <c r="L33" i="32"/>
  <c r="V33" i="32"/>
  <c r="N34" i="32"/>
  <c r="J37" i="32"/>
  <c r="V37" i="32"/>
  <c r="J38" i="32"/>
  <c r="V38" i="32"/>
  <c r="R41" i="32"/>
  <c r="R45" i="32"/>
  <c r="J49" i="32"/>
  <c r="V49" i="32"/>
  <c r="P50" i="32"/>
  <c r="R53" i="32"/>
  <c r="P54" i="32"/>
  <c r="L55" i="32"/>
  <c r="J57" i="32"/>
  <c r="V57" i="32"/>
  <c r="N58" i="32"/>
  <c r="R61" i="32"/>
  <c r="R65" i="32"/>
  <c r="N66" i="32"/>
  <c r="N69" i="32"/>
  <c r="R75" i="32"/>
  <c r="N14" i="32"/>
  <c r="P17" i="32"/>
  <c r="P18" i="32"/>
  <c r="N22" i="32"/>
  <c r="J26" i="32"/>
  <c r="R29" i="32"/>
  <c r="R30" i="32"/>
  <c r="P33" i="32"/>
  <c r="P34" i="32"/>
  <c r="L35" i="32"/>
  <c r="L36" i="32"/>
  <c r="P37" i="32"/>
  <c r="N38" i="32"/>
  <c r="J44" i="32"/>
  <c r="N49" i="32"/>
  <c r="J53" i="32"/>
  <c r="V53" i="32"/>
  <c r="N57" i="32"/>
  <c r="P58" i="32"/>
  <c r="J61" i="32"/>
  <c r="V61" i="32"/>
  <c r="N62" i="32"/>
  <c r="J65" i="32"/>
  <c r="V65" i="32"/>
  <c r="P66" i="32"/>
  <c r="P69" i="32"/>
  <c r="N70" i="32"/>
  <c r="R17" i="32"/>
  <c r="N26" i="32"/>
  <c r="J30" i="32"/>
  <c r="J41" i="32"/>
  <c r="J45" i="32"/>
  <c r="J75" i="32"/>
  <c r="V8" i="32"/>
  <c r="P8" i="32"/>
  <c r="V20" i="32"/>
  <c r="P20" i="32"/>
  <c r="N20" i="32"/>
  <c r="V43" i="32"/>
  <c r="P43" i="32"/>
  <c r="R43" i="32"/>
  <c r="J43" i="32"/>
  <c r="R51" i="32"/>
  <c r="J51" i="32"/>
  <c r="V51" i="32"/>
  <c r="P51" i="32"/>
  <c r="L51" i="32"/>
  <c r="N51" i="32"/>
  <c r="R63" i="32"/>
  <c r="J63" i="32"/>
  <c r="V63" i="32"/>
  <c r="P63" i="32"/>
  <c r="L63" i="32"/>
  <c r="V64" i="32"/>
  <c r="P64" i="32"/>
  <c r="N64" i="32"/>
  <c r="J64" i="32"/>
  <c r="L64" i="32"/>
  <c r="N5" i="32"/>
  <c r="L5" i="32"/>
  <c r="V5" i="32"/>
  <c r="R8" i="32"/>
  <c r="V24" i="32"/>
  <c r="P24" i="32"/>
  <c r="N24" i="32"/>
  <c r="R77" i="32"/>
  <c r="J77" i="32"/>
  <c r="V77" i="32"/>
  <c r="P77" i="32"/>
  <c r="L77" i="32"/>
  <c r="N77" i="32"/>
  <c r="P5" i="32"/>
  <c r="N7" i="32"/>
  <c r="V7" i="32"/>
  <c r="N12" i="32"/>
  <c r="V12" i="32"/>
  <c r="P12" i="32"/>
  <c r="R12" i="32"/>
  <c r="L15" i="32"/>
  <c r="V23" i="32"/>
  <c r="R23" i="32"/>
  <c r="J23" i="32"/>
  <c r="P23" i="32"/>
  <c r="N28" i="32"/>
  <c r="V28" i="32"/>
  <c r="P28" i="32"/>
  <c r="R28" i="32"/>
  <c r="L31" i="32"/>
  <c r="R5" i="32"/>
  <c r="X5" i="32"/>
  <c r="P7" i="32"/>
  <c r="L8" i="32"/>
  <c r="V11" i="32"/>
  <c r="R11" i="32"/>
  <c r="J11" i="32"/>
  <c r="P11" i="32"/>
  <c r="V16" i="32"/>
  <c r="P16" i="32"/>
  <c r="N16" i="32"/>
  <c r="R16" i="32"/>
  <c r="L19" i="32"/>
  <c r="L20" i="32"/>
  <c r="J24" i="32"/>
  <c r="V27" i="32"/>
  <c r="R27" i="32"/>
  <c r="J27" i="32"/>
  <c r="P27" i="32"/>
  <c r="N32" i="32"/>
  <c r="V32" i="32"/>
  <c r="P32" i="32"/>
  <c r="R32" i="32"/>
  <c r="V39" i="32"/>
  <c r="P39" i="32"/>
  <c r="R39" i="32"/>
  <c r="J39" i="32"/>
  <c r="N43" i="32"/>
  <c r="N44" i="32"/>
  <c r="V44" i="32"/>
  <c r="P44" i="32"/>
  <c r="R44" i="32"/>
  <c r="V60" i="32"/>
  <c r="P60" i="32"/>
  <c r="N60" i="32"/>
  <c r="J60" i="32"/>
  <c r="N8" i="32"/>
  <c r="P15" i="32"/>
  <c r="R15" i="32"/>
  <c r="J15" i="32"/>
  <c r="V15" i="32"/>
  <c r="R20" i="32"/>
  <c r="R31" i="32"/>
  <c r="J31" i="32"/>
  <c r="V31" i="32"/>
  <c r="P31" i="32"/>
  <c r="R19" i="32"/>
  <c r="J19" i="32"/>
  <c r="V19" i="32"/>
  <c r="P19" i="32"/>
  <c r="R24" i="32"/>
  <c r="N36" i="32"/>
  <c r="V36" i="32"/>
  <c r="P36" i="32"/>
  <c r="R36" i="32"/>
  <c r="R7" i="32"/>
  <c r="J7" i="32"/>
  <c r="J8" i="32"/>
  <c r="N9" i="32"/>
  <c r="L9" i="32"/>
  <c r="V9" i="32"/>
  <c r="J20" i="32"/>
  <c r="V35" i="32"/>
  <c r="P35" i="32"/>
  <c r="R35" i="32"/>
  <c r="J35" i="32"/>
  <c r="N40" i="32"/>
  <c r="V40" i="32"/>
  <c r="P40" i="32"/>
  <c r="R40" i="32"/>
  <c r="L43" i="32"/>
  <c r="V47" i="32"/>
  <c r="P47" i="32"/>
  <c r="J47" i="32"/>
  <c r="L47" i="32"/>
  <c r="N63" i="32"/>
  <c r="R64" i="32"/>
  <c r="R67" i="32"/>
  <c r="J67" i="32"/>
  <c r="V67" i="32"/>
  <c r="P67" i="32"/>
  <c r="L67" i="32"/>
  <c r="N67" i="32"/>
  <c r="L13" i="32"/>
  <c r="L6" i="32"/>
  <c r="L10" i="32"/>
  <c r="N13" i="32"/>
  <c r="L14" i="32"/>
  <c r="N17" i="32"/>
  <c r="L18" i="32"/>
  <c r="N21" i="32"/>
  <c r="L22" i="32"/>
  <c r="N25" i="32"/>
  <c r="L26" i="32"/>
  <c r="N29" i="32"/>
  <c r="L30" i="32"/>
  <c r="N33" i="32"/>
  <c r="L34" i="32"/>
  <c r="N37" i="32"/>
  <c r="L38" i="32"/>
  <c r="N41" i="32"/>
  <c r="L42" i="32"/>
  <c r="N45" i="32"/>
  <c r="P46" i="32"/>
  <c r="P48" i="32"/>
  <c r="V52" i="32"/>
  <c r="P52" i="32"/>
  <c r="N52" i="32"/>
  <c r="R52" i="32"/>
  <c r="R55" i="32"/>
  <c r="J55" i="32"/>
  <c r="V55" i="32"/>
  <c r="P55" i="32"/>
  <c r="V68" i="32"/>
  <c r="P68" i="32"/>
  <c r="N68" i="32"/>
  <c r="R68" i="32"/>
  <c r="R71" i="32"/>
  <c r="J71" i="32"/>
  <c r="V71" i="32"/>
  <c r="P71" i="32"/>
  <c r="V78" i="32"/>
  <c r="P78" i="32"/>
  <c r="N78" i="32"/>
  <c r="R78" i="32"/>
  <c r="L25" i="32"/>
  <c r="L37" i="32"/>
  <c r="L41" i="32"/>
  <c r="L45" i="32"/>
  <c r="R46" i="32"/>
  <c r="J46" i="32"/>
  <c r="N46" i="32"/>
  <c r="V46" i="32"/>
  <c r="V48" i="32"/>
  <c r="N48" i="32"/>
  <c r="L48" i="32"/>
  <c r="V56" i="32"/>
  <c r="P56" i="32"/>
  <c r="N56" i="32"/>
  <c r="R56" i="32"/>
  <c r="R59" i="32"/>
  <c r="J59" i="32"/>
  <c r="V59" i="32"/>
  <c r="P59" i="32"/>
  <c r="V72" i="32"/>
  <c r="P72" i="32"/>
  <c r="N72" i="32"/>
  <c r="R72" i="32"/>
  <c r="L49" i="32"/>
  <c r="J50" i="32"/>
  <c r="R50" i="32"/>
  <c r="L53" i="32"/>
  <c r="J54" i="32"/>
  <c r="R54" i="32"/>
  <c r="L57" i="32"/>
  <c r="J58" i="32"/>
  <c r="R58" i="32"/>
  <c r="L61" i="32"/>
  <c r="J62" i="32"/>
  <c r="R62" i="32"/>
  <c r="L65" i="32"/>
  <c r="J66" i="32"/>
  <c r="R66" i="32"/>
  <c r="L69" i="32"/>
  <c r="J70" i="32"/>
  <c r="R70" i="32"/>
  <c r="V70" i="32" s="1"/>
  <c r="L75" i="32"/>
  <c r="L50" i="32"/>
  <c r="L54" i="32"/>
  <c r="L58" i="32"/>
  <c r="L62" i="32"/>
  <c r="L66" i="32"/>
  <c r="L70" i="32"/>
  <c r="N75" i="32"/>
  <c r="L76" i="32"/>
  <c r="F78" i="31" l="1"/>
  <c r="F77" i="31"/>
  <c r="V77" i="31" s="1"/>
  <c r="F76" i="31"/>
  <c r="V76" i="31" s="1"/>
  <c r="F75" i="31"/>
  <c r="J75" i="31" s="1"/>
  <c r="V74" i="31"/>
  <c r="R74" i="31"/>
  <c r="P74" i="31"/>
  <c r="N74" i="31"/>
  <c r="L74" i="31"/>
  <c r="J74" i="31"/>
  <c r="V73" i="31"/>
  <c r="R73" i="31"/>
  <c r="P73" i="31"/>
  <c r="N73" i="31"/>
  <c r="L73" i="31"/>
  <c r="J73" i="31"/>
  <c r="F72" i="31"/>
  <c r="P72" i="31" s="1"/>
  <c r="F71" i="31"/>
  <c r="R71" i="31" s="1"/>
  <c r="F70" i="31"/>
  <c r="P70" i="31" s="1"/>
  <c r="J69" i="31"/>
  <c r="F69" i="31"/>
  <c r="R68" i="31"/>
  <c r="F68" i="31"/>
  <c r="J68" i="31" s="1"/>
  <c r="F67" i="31"/>
  <c r="F66" i="31"/>
  <c r="P66" i="31" s="1"/>
  <c r="F65" i="31"/>
  <c r="V65" i="31" s="1"/>
  <c r="F64" i="31"/>
  <c r="F63" i="31"/>
  <c r="N63" i="31" s="1"/>
  <c r="F62" i="31"/>
  <c r="N62" i="31" s="1"/>
  <c r="F61" i="31"/>
  <c r="V61" i="31" s="1"/>
  <c r="F60" i="31"/>
  <c r="R60" i="31" s="1"/>
  <c r="F59" i="31"/>
  <c r="J59" i="31" s="1"/>
  <c r="F58" i="31"/>
  <c r="F57" i="31"/>
  <c r="N57" i="31" s="1"/>
  <c r="F56" i="31"/>
  <c r="N56" i="31" s="1"/>
  <c r="F55" i="31"/>
  <c r="P55" i="31" s="1"/>
  <c r="F54" i="31"/>
  <c r="L54" i="31" s="1"/>
  <c r="F53" i="31"/>
  <c r="P53" i="31" s="1"/>
  <c r="F52" i="31"/>
  <c r="R52" i="31" s="1"/>
  <c r="F51" i="31"/>
  <c r="F50" i="31"/>
  <c r="N50" i="31" s="1"/>
  <c r="F49" i="31"/>
  <c r="N49" i="31" s="1"/>
  <c r="F48" i="31"/>
  <c r="P48" i="31" s="1"/>
  <c r="F47" i="31"/>
  <c r="N47" i="31" s="1"/>
  <c r="F46" i="31"/>
  <c r="P46" i="31" s="1"/>
  <c r="L45" i="31"/>
  <c r="F45" i="31"/>
  <c r="V45" i="31" s="1"/>
  <c r="F44" i="31"/>
  <c r="P44" i="31" s="1"/>
  <c r="F43" i="31"/>
  <c r="N43" i="31" s="1"/>
  <c r="N42" i="31"/>
  <c r="F42" i="31"/>
  <c r="V42" i="31" s="1"/>
  <c r="F41" i="31"/>
  <c r="L41" i="31" s="1"/>
  <c r="R40" i="31"/>
  <c r="F40" i="31"/>
  <c r="J40" i="31" s="1"/>
  <c r="L39" i="31"/>
  <c r="F39" i="31"/>
  <c r="J39" i="31" s="1"/>
  <c r="N38" i="31"/>
  <c r="F38" i="31"/>
  <c r="P38" i="31" s="1"/>
  <c r="F37" i="31"/>
  <c r="R37" i="31" s="1"/>
  <c r="P36" i="31"/>
  <c r="F36" i="31"/>
  <c r="J36" i="31" s="1"/>
  <c r="L35" i="31"/>
  <c r="F35" i="31"/>
  <c r="N35" i="31" s="1"/>
  <c r="F34" i="31"/>
  <c r="P34" i="31" s="1"/>
  <c r="V33" i="31"/>
  <c r="P33" i="31"/>
  <c r="N33" i="31"/>
  <c r="J33" i="31"/>
  <c r="F33" i="31"/>
  <c r="R33" i="31" s="1"/>
  <c r="V32" i="31"/>
  <c r="R32" i="31"/>
  <c r="L32" i="31"/>
  <c r="F32" i="31"/>
  <c r="P32" i="31" s="1"/>
  <c r="V31" i="31"/>
  <c r="R31" i="31"/>
  <c r="L31" i="31"/>
  <c r="F31" i="31"/>
  <c r="P31" i="31" s="1"/>
  <c r="R30" i="31"/>
  <c r="L30" i="31"/>
  <c r="F30" i="31"/>
  <c r="P30" i="31" s="1"/>
  <c r="F29" i="31"/>
  <c r="R29" i="31" s="1"/>
  <c r="V28" i="31"/>
  <c r="J28" i="31"/>
  <c r="F28" i="31"/>
  <c r="R28" i="31" s="1"/>
  <c r="F27" i="31"/>
  <c r="L27" i="31" s="1"/>
  <c r="F26" i="31"/>
  <c r="N26" i="31" s="1"/>
  <c r="F25" i="31"/>
  <c r="V25" i="31" s="1"/>
  <c r="F24" i="31"/>
  <c r="R24" i="31" s="1"/>
  <c r="P23" i="31"/>
  <c r="J23" i="31"/>
  <c r="F23" i="31"/>
  <c r="V23" i="31" s="1"/>
  <c r="V22" i="31"/>
  <c r="J22" i="31"/>
  <c r="F22" i="31"/>
  <c r="R22" i="31" s="1"/>
  <c r="L21" i="31"/>
  <c r="F21" i="31"/>
  <c r="J21" i="31" s="1"/>
  <c r="F20" i="31"/>
  <c r="N20" i="31" s="1"/>
  <c r="N19" i="31"/>
  <c r="F19" i="31"/>
  <c r="V19" i="31" s="1"/>
  <c r="F18" i="31"/>
  <c r="R18" i="31" s="1"/>
  <c r="P17" i="31"/>
  <c r="F17" i="31"/>
  <c r="L17" i="31" s="1"/>
  <c r="F16" i="31"/>
  <c r="V16" i="31" s="1"/>
  <c r="F15" i="31"/>
  <c r="V15" i="31" s="1"/>
  <c r="F14" i="31"/>
  <c r="V14" i="31" s="1"/>
  <c r="F13" i="31"/>
  <c r="V13" i="31" s="1"/>
  <c r="F12" i="31"/>
  <c r="R12" i="31" s="1"/>
  <c r="J11" i="31"/>
  <c r="F11" i="31"/>
  <c r="P11" i="31" s="1"/>
  <c r="F10" i="31"/>
  <c r="L10" i="31" s="1"/>
  <c r="F9" i="31"/>
  <c r="F8" i="31"/>
  <c r="R8" i="31" s="1"/>
  <c r="F7" i="31"/>
  <c r="F6" i="31"/>
  <c r="F5" i="31"/>
  <c r="R9" i="31" l="1"/>
  <c r="J9" i="31"/>
  <c r="L9" i="31"/>
  <c r="V10" i="31"/>
  <c r="R11" i="31"/>
  <c r="V11" i="31"/>
  <c r="L11" i="31"/>
  <c r="J12" i="31"/>
  <c r="L13" i="31"/>
  <c r="P14" i="31"/>
  <c r="P15" i="31"/>
  <c r="P16" i="31"/>
  <c r="R17" i="31"/>
  <c r="J18" i="31"/>
  <c r="V18" i="31"/>
  <c r="P19" i="31"/>
  <c r="L20" i="31"/>
  <c r="N22" i="31"/>
  <c r="R23" i="31"/>
  <c r="N25" i="31"/>
  <c r="L28" i="31"/>
  <c r="J30" i="31"/>
  <c r="J31" i="31"/>
  <c r="J32" i="31"/>
  <c r="J37" i="31"/>
  <c r="V37" i="31"/>
  <c r="V41" i="31"/>
  <c r="P42" i="31"/>
  <c r="J43" i="31"/>
  <c r="N44" i="31"/>
  <c r="P45" i="31"/>
  <c r="R46" i="31"/>
  <c r="P47" i="31"/>
  <c r="J48" i="31"/>
  <c r="J52" i="31"/>
  <c r="V52" i="31"/>
  <c r="R54" i="31"/>
  <c r="P56" i="31"/>
  <c r="N61" i="31"/>
  <c r="J63" i="31"/>
  <c r="P65" i="31"/>
  <c r="R66" i="31"/>
  <c r="J67" i="31"/>
  <c r="N69" i="31"/>
  <c r="L75" i="31"/>
  <c r="V75" i="31"/>
  <c r="N76" i="31"/>
  <c r="N78" i="31"/>
  <c r="L12" i="31"/>
  <c r="V12" i="31"/>
  <c r="P13" i="31"/>
  <c r="R14" i="31"/>
  <c r="R15" i="31"/>
  <c r="R16" i="31"/>
  <c r="J17" i="31"/>
  <c r="V17" i="31"/>
  <c r="P18" i="31"/>
  <c r="P22" i="31"/>
  <c r="J24" i="31"/>
  <c r="V24" i="31"/>
  <c r="P25" i="31"/>
  <c r="L26" i="31"/>
  <c r="P28" i="31"/>
  <c r="V30" i="31"/>
  <c r="N37" i="31"/>
  <c r="R42" i="31"/>
  <c r="R45" i="31"/>
  <c r="J46" i="31"/>
  <c r="R47" i="31"/>
  <c r="N52" i="31"/>
  <c r="R56" i="31"/>
  <c r="L59" i="31"/>
  <c r="J60" i="31"/>
  <c r="P61" i="31"/>
  <c r="R65" i="31"/>
  <c r="J66" i="31"/>
  <c r="V66" i="31"/>
  <c r="N67" i="31"/>
  <c r="R69" i="31"/>
  <c r="L70" i="31"/>
  <c r="J71" i="31"/>
  <c r="J72" i="31"/>
  <c r="P75" i="31"/>
  <c r="P76" i="31"/>
  <c r="P12" i="31"/>
  <c r="R13" i="31"/>
  <c r="J14" i="31"/>
  <c r="J15" i="31"/>
  <c r="J16" i="31"/>
  <c r="P24" i="31"/>
  <c r="R36" i="31"/>
  <c r="P37" i="31"/>
  <c r="J41" i="31"/>
  <c r="J42" i="31"/>
  <c r="J45" i="31"/>
  <c r="L46" i="31"/>
  <c r="V46" i="31"/>
  <c r="J47" i="31"/>
  <c r="V47" i="31"/>
  <c r="J50" i="31"/>
  <c r="P52" i="31"/>
  <c r="L53" i="31"/>
  <c r="J54" i="31"/>
  <c r="J55" i="31"/>
  <c r="J56" i="31"/>
  <c r="V56" i="31"/>
  <c r="R59" i="31"/>
  <c r="P60" i="31"/>
  <c r="R61" i="31"/>
  <c r="J65" i="31"/>
  <c r="N66" i="31"/>
  <c r="R67" i="31"/>
  <c r="N68" i="31"/>
  <c r="L71" i="31"/>
  <c r="R75" i="31"/>
  <c r="R76" i="31"/>
  <c r="J13" i="31"/>
  <c r="L14" i="31"/>
  <c r="L15" i="31"/>
  <c r="L16" i="31"/>
  <c r="J61" i="31"/>
  <c r="L65" i="31"/>
  <c r="J76" i="31"/>
  <c r="P29" i="31"/>
  <c r="J29" i="31"/>
  <c r="L29" i="31"/>
  <c r="V29" i="31"/>
  <c r="N6" i="31"/>
  <c r="N51" i="31"/>
  <c r="P51" i="31"/>
  <c r="J51" i="31"/>
  <c r="V51" i="31"/>
  <c r="R58" i="31"/>
  <c r="J58" i="31"/>
  <c r="V58" i="31"/>
  <c r="N58" i="31"/>
  <c r="P58" i="31"/>
  <c r="N64" i="31"/>
  <c r="P64" i="31"/>
  <c r="J64" i="31"/>
  <c r="V64" i="31"/>
  <c r="L58" i="31"/>
  <c r="J5" i="31"/>
  <c r="R5" i="31"/>
  <c r="J6" i="31"/>
  <c r="R6" i="31"/>
  <c r="J7" i="31"/>
  <c r="R7" i="31"/>
  <c r="P8" i="31"/>
  <c r="V8" i="31"/>
  <c r="P9" i="31"/>
  <c r="V9" i="31"/>
  <c r="R10" i="31"/>
  <c r="V21" i="31"/>
  <c r="P21" i="31"/>
  <c r="N21" i="31"/>
  <c r="R21" i="31"/>
  <c r="R26" i="31"/>
  <c r="J26" i="31"/>
  <c r="V26" i="31"/>
  <c r="P26" i="31"/>
  <c r="V35" i="31"/>
  <c r="P35" i="31"/>
  <c r="J35" i="31"/>
  <c r="R35" i="31"/>
  <c r="R38" i="31"/>
  <c r="J38" i="31"/>
  <c r="L38" i="31"/>
  <c r="V38" i="31"/>
  <c r="V40" i="31"/>
  <c r="P40" i="31"/>
  <c r="N40" i="31"/>
  <c r="L40" i="31"/>
  <c r="R49" i="31"/>
  <c r="J49" i="31"/>
  <c r="P49" i="31"/>
  <c r="L49" i="31"/>
  <c r="V49" i="31"/>
  <c r="L51" i="31"/>
  <c r="R62" i="31"/>
  <c r="J62" i="31"/>
  <c r="P62" i="31"/>
  <c r="L62" i="31"/>
  <c r="V62" i="31"/>
  <c r="L64" i="31"/>
  <c r="L77" i="31"/>
  <c r="N77" i="31"/>
  <c r="R77" i="31"/>
  <c r="P77" i="31"/>
  <c r="N5" i="31"/>
  <c r="N7" i="31"/>
  <c r="L8" i="31"/>
  <c r="P5" i="31"/>
  <c r="V5" i="31"/>
  <c r="P6" i="31"/>
  <c r="V6" i="31"/>
  <c r="P7" i="31"/>
  <c r="V7" i="31"/>
  <c r="N8" i="31"/>
  <c r="N9" i="31"/>
  <c r="N10" i="31"/>
  <c r="P10" i="31"/>
  <c r="V27" i="31"/>
  <c r="P27" i="31"/>
  <c r="N27" i="31"/>
  <c r="R27" i="31"/>
  <c r="L5" i="31"/>
  <c r="L6" i="31"/>
  <c r="L7" i="31"/>
  <c r="J8" i="31"/>
  <c r="J10" i="31"/>
  <c r="R20" i="31"/>
  <c r="J20" i="31"/>
  <c r="V20" i="31"/>
  <c r="P20" i="31"/>
  <c r="J27" i="31"/>
  <c r="N41" i="31"/>
  <c r="R41" i="31"/>
  <c r="P41" i="31"/>
  <c r="R44" i="31"/>
  <c r="J44" i="31"/>
  <c r="V44" i="31"/>
  <c r="L44" i="31"/>
  <c r="R51" i="31"/>
  <c r="R64" i="31"/>
  <c r="J77" i="31"/>
  <c r="L18" i="31"/>
  <c r="J19" i="31"/>
  <c r="R19" i="31"/>
  <c r="L22" i="31"/>
  <c r="L23" i="31"/>
  <c r="L24" i="31"/>
  <c r="J25" i="31"/>
  <c r="R25" i="31"/>
  <c r="N28" i="31"/>
  <c r="N29" i="31"/>
  <c r="N30" i="31"/>
  <c r="N31" i="31"/>
  <c r="N32" i="31"/>
  <c r="L33" i="31"/>
  <c r="L34" i="31"/>
  <c r="V39" i="31"/>
  <c r="P39" i="31"/>
  <c r="N39" i="31"/>
  <c r="L43" i="31"/>
  <c r="P43" i="31"/>
  <c r="V43" i="31"/>
  <c r="R57" i="31"/>
  <c r="J57" i="31"/>
  <c r="L57" i="31"/>
  <c r="P57" i="31"/>
  <c r="R78" i="31"/>
  <c r="J78" i="31"/>
  <c r="P78" i="31"/>
  <c r="L78" i="31"/>
  <c r="N11" i="31"/>
  <c r="N12" i="31"/>
  <c r="N13" i="31"/>
  <c r="N14" i="31"/>
  <c r="N15" i="31"/>
  <c r="N16" i="31"/>
  <c r="N17" i="31"/>
  <c r="N18" i="31"/>
  <c r="L19" i="31"/>
  <c r="N23" i="31"/>
  <c r="N24" i="31"/>
  <c r="L25" i="31"/>
  <c r="R34" i="31"/>
  <c r="J34" i="31"/>
  <c r="N34" i="31"/>
  <c r="V34" i="31"/>
  <c r="N36" i="31"/>
  <c r="L36" i="31"/>
  <c r="V36" i="31"/>
  <c r="R39" i="31"/>
  <c r="R43" i="31"/>
  <c r="L48" i="31"/>
  <c r="N48" i="31"/>
  <c r="R48" i="31"/>
  <c r="V48" i="31"/>
  <c r="V50" i="31"/>
  <c r="P50" i="31"/>
  <c r="L50" i="31"/>
  <c r="R50" i="31"/>
  <c r="V57" i="31"/>
  <c r="V63" i="31"/>
  <c r="P63" i="31"/>
  <c r="L63" i="31"/>
  <c r="R63" i="31"/>
  <c r="V78" i="31"/>
  <c r="L37" i="31"/>
  <c r="L42" i="31"/>
  <c r="V54" i="31"/>
  <c r="P54" i="31"/>
  <c r="N54" i="31"/>
  <c r="R55" i="31"/>
  <c r="N60" i="31"/>
  <c r="L60" i="31"/>
  <c r="V60" i="31"/>
  <c r="L67" i="31"/>
  <c r="P67" i="31"/>
  <c r="V67" i="31"/>
  <c r="L69" i="31"/>
  <c r="P69" i="31"/>
  <c r="V69" i="31"/>
  <c r="V71" i="31"/>
  <c r="P71" i="31"/>
  <c r="N71" i="31"/>
  <c r="R72" i="31"/>
  <c r="R53" i="31"/>
  <c r="J53" i="31"/>
  <c r="N53" i="31"/>
  <c r="V53" i="31"/>
  <c r="N55" i="31"/>
  <c r="L55" i="31"/>
  <c r="V55" i="31"/>
  <c r="V59" i="31"/>
  <c r="P59" i="31"/>
  <c r="N59" i="31"/>
  <c r="L68" i="31"/>
  <c r="P68" i="31"/>
  <c r="V68" i="31"/>
  <c r="R70" i="31"/>
  <c r="V70" i="31" s="1"/>
  <c r="J70" i="31"/>
  <c r="N70" i="31"/>
  <c r="N72" i="31"/>
  <c r="L72" i="31"/>
  <c r="V72" i="31"/>
  <c r="N45" i="31"/>
  <c r="N46" i="31"/>
  <c r="L47" i="31"/>
  <c r="L52" i="31"/>
  <c r="L56" i="31"/>
  <c r="L61" i="31"/>
  <c r="N65" i="31"/>
  <c r="L66" i="31"/>
  <c r="N75" i="31"/>
  <c r="L76" i="31"/>
  <c r="S9" i="30"/>
  <c r="W9" i="30" s="1"/>
  <c r="G9" i="31" s="1"/>
  <c r="S9" i="31" s="1"/>
  <c r="W9" i="31" s="1"/>
  <c r="S16" i="30"/>
  <c r="W16" i="30" s="1"/>
  <c r="G16" i="31" s="1"/>
  <c r="S16" i="31" s="1"/>
  <c r="W16" i="31" s="1"/>
  <c r="S24" i="30"/>
  <c r="W24" i="30" s="1"/>
  <c r="S29" i="30"/>
  <c r="S32" i="30"/>
  <c r="W32" i="30" s="1"/>
  <c r="G32" i="31" s="1"/>
  <c r="S68" i="30"/>
  <c r="W68" i="30" s="1"/>
  <c r="G68" i="31" s="1"/>
  <c r="S68" i="31" s="1"/>
  <c r="W68" i="31" s="1"/>
  <c r="G68" i="32" s="1"/>
  <c r="S69" i="30"/>
  <c r="S77" i="30"/>
  <c r="W77" i="30" s="1"/>
  <c r="G77" i="31" s="1"/>
  <c r="S77" i="31" s="1"/>
  <c r="W77" i="31" s="1"/>
  <c r="G77" i="32" s="1"/>
  <c r="V78" i="30"/>
  <c r="J78" i="30"/>
  <c r="F78" i="30"/>
  <c r="R78" i="30" s="1"/>
  <c r="F77" i="30"/>
  <c r="J77" i="30" s="1"/>
  <c r="F76" i="30"/>
  <c r="N75" i="30"/>
  <c r="S75" i="30"/>
  <c r="F75" i="30"/>
  <c r="P75" i="30" s="1"/>
  <c r="V74" i="30"/>
  <c r="R74" i="30"/>
  <c r="P74" i="30"/>
  <c r="N74" i="30"/>
  <c r="L74" i="30"/>
  <c r="J74" i="30"/>
  <c r="V73" i="30"/>
  <c r="R73" i="30"/>
  <c r="P73" i="30"/>
  <c r="N73" i="30"/>
  <c r="L73" i="30"/>
  <c r="J73" i="30"/>
  <c r="V72" i="30"/>
  <c r="J72" i="30"/>
  <c r="F72" i="30"/>
  <c r="R72" i="30" s="1"/>
  <c r="L71" i="30"/>
  <c r="J71" i="30"/>
  <c r="F71" i="30"/>
  <c r="F70" i="30"/>
  <c r="N70" i="30" s="1"/>
  <c r="N69" i="30"/>
  <c r="F69" i="30"/>
  <c r="P69" i="30" s="1"/>
  <c r="F68" i="30"/>
  <c r="J68" i="30" s="1"/>
  <c r="S67" i="30"/>
  <c r="W67" i="30" s="1"/>
  <c r="F67" i="30"/>
  <c r="L67" i="30" s="1"/>
  <c r="F66" i="30"/>
  <c r="N66" i="30" s="1"/>
  <c r="N65" i="30"/>
  <c r="S65" i="30"/>
  <c r="W65" i="30" s="1"/>
  <c r="G65" i="31" s="1"/>
  <c r="F65" i="30"/>
  <c r="P65" i="30" s="1"/>
  <c r="V64" i="30"/>
  <c r="J64" i="30"/>
  <c r="F64" i="30"/>
  <c r="P64" i="30" s="1"/>
  <c r="F63" i="30"/>
  <c r="F62" i="30"/>
  <c r="F61" i="30"/>
  <c r="V61" i="30" s="1"/>
  <c r="R60" i="30"/>
  <c r="J60" i="30"/>
  <c r="F60" i="30"/>
  <c r="P60" i="30" s="1"/>
  <c r="F59" i="30"/>
  <c r="J59" i="30" s="1"/>
  <c r="S58" i="30"/>
  <c r="F58" i="30"/>
  <c r="F57" i="30"/>
  <c r="V57" i="30" s="1"/>
  <c r="F56" i="30"/>
  <c r="R55" i="30"/>
  <c r="F55" i="30"/>
  <c r="J55" i="30" s="1"/>
  <c r="L54" i="30"/>
  <c r="F54" i="30"/>
  <c r="V54" i="30" s="1"/>
  <c r="V53" i="30"/>
  <c r="P53" i="30"/>
  <c r="N53" i="30"/>
  <c r="J53" i="30"/>
  <c r="F53" i="30"/>
  <c r="R53" i="30" s="1"/>
  <c r="L52" i="30"/>
  <c r="F52" i="30"/>
  <c r="J52" i="30" s="1"/>
  <c r="L51" i="30"/>
  <c r="F51" i="30"/>
  <c r="R51" i="30" s="1"/>
  <c r="F50" i="30"/>
  <c r="V50" i="30" s="1"/>
  <c r="F49" i="30"/>
  <c r="P49" i="30" s="1"/>
  <c r="S48" i="30"/>
  <c r="W48" i="30" s="1"/>
  <c r="G48" i="31" s="1"/>
  <c r="S48" i="31" s="1"/>
  <c r="W48" i="31" s="1"/>
  <c r="G48" i="32" s="1"/>
  <c r="F48" i="30"/>
  <c r="V48" i="30" s="1"/>
  <c r="L47" i="30"/>
  <c r="F47" i="30"/>
  <c r="J47" i="30" s="1"/>
  <c r="S46" i="30"/>
  <c r="W46" i="30" s="1"/>
  <c r="G46" i="31" s="1"/>
  <c r="S46" i="31" s="1"/>
  <c r="W46" i="31" s="1"/>
  <c r="L46" i="30"/>
  <c r="F46" i="30"/>
  <c r="S45" i="30"/>
  <c r="L45" i="30"/>
  <c r="J45" i="30"/>
  <c r="F45" i="30"/>
  <c r="F44" i="30"/>
  <c r="V44" i="30" s="1"/>
  <c r="P43" i="30"/>
  <c r="S43" i="30"/>
  <c r="W43" i="30" s="1"/>
  <c r="G43" i="31" s="1"/>
  <c r="S43" i="31" s="1"/>
  <c r="T43" i="31" s="1"/>
  <c r="F43" i="30"/>
  <c r="V43" i="30" s="1"/>
  <c r="P42" i="30"/>
  <c r="J42" i="30"/>
  <c r="F42" i="30"/>
  <c r="L41" i="30"/>
  <c r="F41" i="30"/>
  <c r="L40" i="30"/>
  <c r="F40" i="30"/>
  <c r="P40" i="30" s="1"/>
  <c r="F39" i="30"/>
  <c r="P39" i="30" s="1"/>
  <c r="F38" i="30"/>
  <c r="P38" i="30" s="1"/>
  <c r="F37" i="30"/>
  <c r="N37" i="30" s="1"/>
  <c r="L36" i="30"/>
  <c r="F36" i="30"/>
  <c r="P35" i="30"/>
  <c r="N35" i="30"/>
  <c r="F35" i="30"/>
  <c r="V35" i="30" s="1"/>
  <c r="L34" i="30"/>
  <c r="F34" i="30"/>
  <c r="L33" i="30"/>
  <c r="J33" i="30"/>
  <c r="F33" i="30"/>
  <c r="R33" i="30" s="1"/>
  <c r="F32" i="30"/>
  <c r="L32" i="30" s="1"/>
  <c r="N31" i="30"/>
  <c r="J31" i="30"/>
  <c r="S31" i="30"/>
  <c r="T31" i="30" s="1"/>
  <c r="F31" i="30"/>
  <c r="V31" i="30" s="1"/>
  <c r="S30" i="30"/>
  <c r="W30" i="30" s="1"/>
  <c r="G30" i="31" s="1"/>
  <c r="F30" i="30"/>
  <c r="F29" i="30"/>
  <c r="L29" i="30" s="1"/>
  <c r="S28" i="30"/>
  <c r="W28" i="30" s="1"/>
  <c r="F28" i="30"/>
  <c r="L28" i="30" s="1"/>
  <c r="L27" i="30"/>
  <c r="F27" i="30"/>
  <c r="N27" i="30" s="1"/>
  <c r="V26" i="30"/>
  <c r="J26" i="30"/>
  <c r="F26" i="30"/>
  <c r="R26" i="30" s="1"/>
  <c r="F25" i="30"/>
  <c r="V25" i="30" s="1"/>
  <c r="L24" i="30"/>
  <c r="F24" i="30"/>
  <c r="L23" i="30"/>
  <c r="S23" i="30"/>
  <c r="F23" i="30"/>
  <c r="N23" i="30" s="1"/>
  <c r="R22" i="30"/>
  <c r="P22" i="30"/>
  <c r="F22" i="30"/>
  <c r="N22" i="30" s="1"/>
  <c r="F21" i="30"/>
  <c r="R21" i="30" s="1"/>
  <c r="F20" i="30"/>
  <c r="N19" i="30"/>
  <c r="F19" i="30"/>
  <c r="S18" i="30"/>
  <c r="W18" i="30" s="1"/>
  <c r="G18" i="31" s="1"/>
  <c r="F18" i="30"/>
  <c r="P18" i="30" s="1"/>
  <c r="S17" i="30"/>
  <c r="W17" i="30" s="1"/>
  <c r="G17" i="31" s="1"/>
  <c r="H17" i="31" s="1"/>
  <c r="P17" i="30"/>
  <c r="H17" i="30"/>
  <c r="F17" i="30"/>
  <c r="V17" i="30" s="1"/>
  <c r="J16" i="30"/>
  <c r="F16" i="30"/>
  <c r="S15" i="30"/>
  <c r="W15" i="30" s="1"/>
  <c r="G15" i="31" s="1"/>
  <c r="S15" i="31" s="1"/>
  <c r="W15" i="31" s="1"/>
  <c r="F15" i="30"/>
  <c r="S14" i="30"/>
  <c r="W14" i="30" s="1"/>
  <c r="G14" i="31" s="1"/>
  <c r="S14" i="31" s="1"/>
  <c r="W14" i="31" s="1"/>
  <c r="F14" i="30"/>
  <c r="V14" i="30" s="1"/>
  <c r="S13" i="30"/>
  <c r="W13" i="30" s="1"/>
  <c r="G13" i="31" s="1"/>
  <c r="H13" i="31" s="1"/>
  <c r="P13" i="30"/>
  <c r="H13" i="30"/>
  <c r="F13" i="30"/>
  <c r="R13" i="30" s="1"/>
  <c r="S12" i="30"/>
  <c r="W12" i="30" s="1"/>
  <c r="F12" i="30"/>
  <c r="J12" i="30" s="1"/>
  <c r="L11" i="30"/>
  <c r="S11" i="30"/>
  <c r="F11" i="30"/>
  <c r="N11" i="30" s="1"/>
  <c r="R10" i="30"/>
  <c r="H10" i="30"/>
  <c r="S10" i="30"/>
  <c r="W10" i="30" s="1"/>
  <c r="G10" i="31" s="1"/>
  <c r="S10" i="31" s="1"/>
  <c r="W10" i="31" s="1"/>
  <c r="G10" i="32" s="1"/>
  <c r="F10" i="30"/>
  <c r="N10" i="30" s="1"/>
  <c r="R9" i="30"/>
  <c r="P9" i="30"/>
  <c r="J9" i="30"/>
  <c r="F9" i="30"/>
  <c r="L9" i="30" s="1"/>
  <c r="F8" i="30"/>
  <c r="R8" i="30" s="1"/>
  <c r="S7" i="30"/>
  <c r="F7" i="30"/>
  <c r="N7" i="30" s="1"/>
  <c r="S6" i="30"/>
  <c r="W6" i="30" s="1"/>
  <c r="G6" i="31" s="1"/>
  <c r="S6" i="31" s="1"/>
  <c r="W6" i="31" s="1"/>
  <c r="G6" i="32" s="1"/>
  <c r="F6" i="30"/>
  <c r="V6" i="30" s="1"/>
  <c r="S5" i="30"/>
  <c r="W5" i="30" s="1"/>
  <c r="G5" i="31" s="1"/>
  <c r="S5" i="31" s="1"/>
  <c r="W5" i="31" s="1"/>
  <c r="G5" i="32" s="1"/>
  <c r="F5" i="30"/>
  <c r="V5" i="30" s="1"/>
  <c r="P5" i="30" l="1"/>
  <c r="N6" i="30"/>
  <c r="S10" i="32"/>
  <c r="H10" i="32"/>
  <c r="P10" i="30"/>
  <c r="L12" i="30"/>
  <c r="J13" i="30"/>
  <c r="V13" i="30"/>
  <c r="N14" i="30"/>
  <c r="R17" i="30"/>
  <c r="S18" i="31"/>
  <c r="H18" i="31"/>
  <c r="R18" i="30"/>
  <c r="J21" i="30"/>
  <c r="V21" i="30"/>
  <c r="J22" i="30"/>
  <c r="V22" i="30"/>
  <c r="J25" i="30"/>
  <c r="N26" i="30"/>
  <c r="J28" i="30"/>
  <c r="J29" i="30"/>
  <c r="P31" i="30"/>
  <c r="R35" i="30"/>
  <c r="J38" i="30"/>
  <c r="R39" i="30"/>
  <c r="R42" i="30"/>
  <c r="H43" i="30"/>
  <c r="R43" i="30"/>
  <c r="R49" i="30"/>
  <c r="L50" i="30"/>
  <c r="V52" i="30"/>
  <c r="N57" i="30"/>
  <c r="N61" i="30"/>
  <c r="R64" i="30"/>
  <c r="H65" i="31"/>
  <c r="S65" i="31"/>
  <c r="R65" i="30"/>
  <c r="L66" i="30"/>
  <c r="R67" i="30"/>
  <c r="P68" i="30"/>
  <c r="H69" i="30"/>
  <c r="R69" i="30"/>
  <c r="L70" i="30"/>
  <c r="P72" i="30"/>
  <c r="R75" i="30"/>
  <c r="P78" i="30"/>
  <c r="H65" i="30"/>
  <c r="H48" i="30"/>
  <c r="H32" i="31"/>
  <c r="S32" i="31"/>
  <c r="T48" i="31"/>
  <c r="T9" i="31"/>
  <c r="H6" i="31"/>
  <c r="X77" i="31"/>
  <c r="H9" i="31"/>
  <c r="T6" i="31"/>
  <c r="T15" i="31"/>
  <c r="T68" i="31"/>
  <c r="W43" i="31"/>
  <c r="S6" i="32"/>
  <c r="H6" i="32"/>
  <c r="P6" i="30"/>
  <c r="L8" i="30"/>
  <c r="X12" i="30"/>
  <c r="G12" i="31"/>
  <c r="P14" i="30"/>
  <c r="X15" i="31"/>
  <c r="G15" i="32"/>
  <c r="J18" i="30"/>
  <c r="V18" i="30"/>
  <c r="P21" i="30"/>
  <c r="P25" i="30"/>
  <c r="P26" i="30"/>
  <c r="R31" i="30"/>
  <c r="J35" i="30"/>
  <c r="R38" i="30"/>
  <c r="J39" i="30"/>
  <c r="V39" i="30"/>
  <c r="J43" i="30"/>
  <c r="T43" i="30"/>
  <c r="L48" i="30"/>
  <c r="J49" i="30"/>
  <c r="V49" i="30"/>
  <c r="N50" i="30"/>
  <c r="J51" i="30"/>
  <c r="N54" i="30"/>
  <c r="P57" i="30"/>
  <c r="V60" i="30"/>
  <c r="P61" i="30"/>
  <c r="J65" i="30"/>
  <c r="V65" i="30"/>
  <c r="X67" i="30"/>
  <c r="G67" i="31"/>
  <c r="R68" i="30"/>
  <c r="J69" i="30"/>
  <c r="V69" i="30"/>
  <c r="J75" i="30"/>
  <c r="V75" i="30"/>
  <c r="X24" i="30"/>
  <c r="G24" i="31"/>
  <c r="X68" i="31"/>
  <c r="H48" i="31"/>
  <c r="H43" i="31"/>
  <c r="T46" i="31"/>
  <c r="H10" i="31"/>
  <c r="T16" i="31"/>
  <c r="S13" i="31"/>
  <c r="W13" i="31" s="1"/>
  <c r="T14" i="31"/>
  <c r="H16" i="31"/>
  <c r="H14" i="31"/>
  <c r="S5" i="32"/>
  <c r="T5" i="32" s="1"/>
  <c r="H5" i="32"/>
  <c r="H6" i="30"/>
  <c r="R6" i="30"/>
  <c r="L7" i="30"/>
  <c r="V9" i="30"/>
  <c r="J10" i="30"/>
  <c r="V10" i="30"/>
  <c r="X14" i="31"/>
  <c r="G14" i="32"/>
  <c r="R14" i="30"/>
  <c r="J17" i="30"/>
  <c r="N18" i="30"/>
  <c r="R25" i="30"/>
  <c r="X28" i="30"/>
  <c r="G28" i="31"/>
  <c r="N39" i="30"/>
  <c r="N43" i="30"/>
  <c r="S48" i="32"/>
  <c r="H48" i="32"/>
  <c r="N49" i="30"/>
  <c r="R57" i="30"/>
  <c r="R61" i="30"/>
  <c r="V68" i="30"/>
  <c r="S77" i="32"/>
  <c r="H77" i="32"/>
  <c r="S68" i="32"/>
  <c r="H68" i="32"/>
  <c r="X16" i="31"/>
  <c r="G16" i="32"/>
  <c r="X48" i="31"/>
  <c r="T77" i="31"/>
  <c r="T5" i="31"/>
  <c r="X5" i="31"/>
  <c r="X10" i="31"/>
  <c r="X6" i="31"/>
  <c r="H68" i="31"/>
  <c r="R5" i="30"/>
  <c r="H5" i="30"/>
  <c r="J5" i="30"/>
  <c r="J6" i="30"/>
  <c r="J14" i="30"/>
  <c r="H30" i="31"/>
  <c r="S30" i="31"/>
  <c r="X46" i="31"/>
  <c r="G46" i="32"/>
  <c r="J57" i="30"/>
  <c r="J61" i="30"/>
  <c r="X9" i="31"/>
  <c r="G9" i="32"/>
  <c r="T10" i="31"/>
  <c r="H5" i="31"/>
  <c r="H77" i="31"/>
  <c r="S17" i="31"/>
  <c r="W17" i="31" s="1"/>
  <c r="H15" i="31"/>
  <c r="H46" i="31"/>
  <c r="T13" i="31"/>
  <c r="T17" i="31"/>
  <c r="X6" i="30"/>
  <c r="T10" i="30"/>
  <c r="W69" i="30"/>
  <c r="T69" i="30"/>
  <c r="W29" i="30"/>
  <c r="T29" i="30"/>
  <c r="X16" i="30"/>
  <c r="X15" i="30"/>
  <c r="X48" i="30"/>
  <c r="T65" i="30"/>
  <c r="X68" i="30"/>
  <c r="T6" i="30"/>
  <c r="H9" i="30"/>
  <c r="X13" i="30"/>
  <c r="T17" i="30"/>
  <c r="X18" i="30"/>
  <c r="X65" i="30"/>
  <c r="H68" i="30"/>
  <c r="X5" i="30"/>
  <c r="W7" i="30"/>
  <c r="T7" i="30"/>
  <c r="W11" i="30"/>
  <c r="T11" i="30"/>
  <c r="W23" i="30"/>
  <c r="T23" i="30"/>
  <c r="N20" i="30"/>
  <c r="V20" i="30"/>
  <c r="P20" i="30"/>
  <c r="T30" i="30"/>
  <c r="N30" i="30"/>
  <c r="X30" i="30"/>
  <c r="R30" i="30"/>
  <c r="H30" i="30"/>
  <c r="J30" i="30"/>
  <c r="T32" i="30"/>
  <c r="S40" i="30"/>
  <c r="H40" i="30"/>
  <c r="N56" i="30"/>
  <c r="R56" i="30"/>
  <c r="P56" i="30"/>
  <c r="J56" i="30"/>
  <c r="V56" i="30"/>
  <c r="L56" i="30"/>
  <c r="W58" i="30"/>
  <c r="T58" i="30"/>
  <c r="N63" i="30"/>
  <c r="V63" i="30"/>
  <c r="P63" i="30"/>
  <c r="L63" i="30"/>
  <c r="J63" i="30"/>
  <c r="R63" i="30"/>
  <c r="H14" i="30"/>
  <c r="T15" i="30"/>
  <c r="R19" i="30"/>
  <c r="J19" i="30"/>
  <c r="V19" i="30"/>
  <c r="P19" i="30"/>
  <c r="T24" i="30"/>
  <c r="N24" i="30"/>
  <c r="V24" i="30"/>
  <c r="P24" i="30"/>
  <c r="H24" i="30"/>
  <c r="V30" i="30"/>
  <c r="H31" i="30"/>
  <c r="N34" i="30"/>
  <c r="P34" i="30"/>
  <c r="R34" i="30"/>
  <c r="R44" i="30"/>
  <c r="J44" i="30"/>
  <c r="P44" i="30"/>
  <c r="L44" i="30"/>
  <c r="W45" i="30"/>
  <c r="T45" i="30"/>
  <c r="V62" i="30"/>
  <c r="P62" i="30"/>
  <c r="R62" i="30"/>
  <c r="J62" i="30"/>
  <c r="L62" i="30"/>
  <c r="N62" i="30"/>
  <c r="R7" i="30"/>
  <c r="J7" i="30"/>
  <c r="V7" i="30"/>
  <c r="P7" i="30"/>
  <c r="H7" i="30"/>
  <c r="X10" i="30"/>
  <c r="V12" i="30"/>
  <c r="P12" i="30"/>
  <c r="H12" i="30"/>
  <c r="T12" i="30"/>
  <c r="N12" i="30"/>
  <c r="R12" i="30"/>
  <c r="T14" i="30"/>
  <c r="L15" i="30"/>
  <c r="L16" i="30"/>
  <c r="H18" i="30"/>
  <c r="J20" i="30"/>
  <c r="V23" i="30"/>
  <c r="P23" i="30"/>
  <c r="H23" i="30"/>
  <c r="R23" i="30"/>
  <c r="J23" i="30"/>
  <c r="T28" i="30"/>
  <c r="N28" i="30"/>
  <c r="V28" i="30"/>
  <c r="P28" i="30"/>
  <c r="H28" i="30"/>
  <c r="R28" i="30"/>
  <c r="L30" i="30"/>
  <c r="V34" i="30"/>
  <c r="T46" i="30"/>
  <c r="N46" i="30"/>
  <c r="R46" i="30"/>
  <c r="H46" i="30"/>
  <c r="X46" i="30"/>
  <c r="J46" i="30"/>
  <c r="P46" i="30"/>
  <c r="V46" i="30"/>
  <c r="V15" i="30"/>
  <c r="R15" i="30"/>
  <c r="J15" i="30"/>
  <c r="P15" i="30"/>
  <c r="H15" i="30"/>
  <c r="R20" i="30"/>
  <c r="R32" i="30"/>
  <c r="J32" i="30"/>
  <c r="X32" i="30"/>
  <c r="P32" i="30"/>
  <c r="H32" i="30"/>
  <c r="V37" i="30"/>
  <c r="P37" i="30"/>
  <c r="J37" i="30"/>
  <c r="R37" i="30"/>
  <c r="L37" i="30"/>
  <c r="V8" i="30"/>
  <c r="P8" i="30"/>
  <c r="N8" i="30"/>
  <c r="R24" i="30"/>
  <c r="V32" i="30"/>
  <c r="J8" i="30"/>
  <c r="R11" i="30"/>
  <c r="J11" i="30"/>
  <c r="V11" i="30"/>
  <c r="P11" i="30"/>
  <c r="H11" i="30"/>
  <c r="X14" i="30"/>
  <c r="N15" i="30"/>
  <c r="N16" i="30"/>
  <c r="V16" i="30"/>
  <c r="P16" i="30"/>
  <c r="H16" i="30"/>
  <c r="T16" i="30"/>
  <c r="R16" i="30"/>
  <c r="T18" i="30"/>
  <c r="L19" i="30"/>
  <c r="L20" i="30"/>
  <c r="J24" i="30"/>
  <c r="V27" i="30"/>
  <c r="P27" i="30"/>
  <c r="R27" i="30"/>
  <c r="J27" i="30"/>
  <c r="P30" i="30"/>
  <c r="W31" i="30"/>
  <c r="N32" i="30"/>
  <c r="J34" i="30"/>
  <c r="N44" i="30"/>
  <c r="V41" i="30"/>
  <c r="P41" i="30"/>
  <c r="X9" i="30"/>
  <c r="L17" i="30"/>
  <c r="X17" i="30"/>
  <c r="N5" i="30"/>
  <c r="T5" i="30"/>
  <c r="L6" i="30"/>
  <c r="N9" i="30"/>
  <c r="T9" i="30"/>
  <c r="L10" i="30"/>
  <c r="N13" i="30"/>
  <c r="T13" i="30"/>
  <c r="L14" i="30"/>
  <c r="N17" i="30"/>
  <c r="L18" i="30"/>
  <c r="N21" i="30"/>
  <c r="L22" i="30"/>
  <c r="N25" i="30"/>
  <c r="L26" i="30"/>
  <c r="R29" i="30"/>
  <c r="V33" i="30"/>
  <c r="P33" i="30"/>
  <c r="N33" i="30"/>
  <c r="P36" i="30"/>
  <c r="R40" i="30"/>
  <c r="J40" i="30"/>
  <c r="N40" i="30"/>
  <c r="V40" i="30"/>
  <c r="J41" i="30"/>
  <c r="N42" i="30"/>
  <c r="L42" i="30"/>
  <c r="V42" i="30"/>
  <c r="R45" i="30"/>
  <c r="R48" i="30"/>
  <c r="R54" i="30"/>
  <c r="J54" i="30"/>
  <c r="P54" i="30"/>
  <c r="V58" i="30"/>
  <c r="P58" i="30"/>
  <c r="H58" i="30"/>
  <c r="R58" i="30"/>
  <c r="J58" i="30"/>
  <c r="N58" i="30"/>
  <c r="L58" i="30"/>
  <c r="T67" i="30"/>
  <c r="N67" i="30"/>
  <c r="V67" i="30"/>
  <c r="P67" i="30"/>
  <c r="H67" i="30"/>
  <c r="J67" i="30"/>
  <c r="H75" i="30"/>
  <c r="N41" i="30"/>
  <c r="V76" i="30"/>
  <c r="P76" i="30"/>
  <c r="R76" i="30"/>
  <c r="J76" i="30"/>
  <c r="N76" i="30"/>
  <c r="L76" i="30"/>
  <c r="X77" i="30"/>
  <c r="L5" i="30"/>
  <c r="L13" i="30"/>
  <c r="L21" i="30"/>
  <c r="L25" i="30"/>
  <c r="V29" i="30"/>
  <c r="P29" i="30"/>
  <c r="H29" i="30"/>
  <c r="N29" i="30"/>
  <c r="R36" i="30"/>
  <c r="J36" i="30"/>
  <c r="N36" i="30"/>
  <c r="V36" i="30"/>
  <c r="N38" i="30"/>
  <c r="L38" i="30"/>
  <c r="V38" i="30"/>
  <c r="R41" i="30"/>
  <c r="X43" i="30"/>
  <c r="V45" i="30"/>
  <c r="P45" i="30"/>
  <c r="H45" i="30"/>
  <c r="N45" i="30"/>
  <c r="V47" i="30"/>
  <c r="P47" i="30"/>
  <c r="R47" i="30"/>
  <c r="N47" i="30"/>
  <c r="T48" i="30"/>
  <c r="N48" i="30"/>
  <c r="J48" i="30"/>
  <c r="P48" i="30"/>
  <c r="R50" i="30"/>
  <c r="J50" i="30"/>
  <c r="P50" i="30"/>
  <c r="N52" i="30"/>
  <c r="R52" i="30"/>
  <c r="P52" i="30"/>
  <c r="W75" i="30"/>
  <c r="T75" i="30"/>
  <c r="L31" i="30"/>
  <c r="L35" i="30"/>
  <c r="L39" i="30"/>
  <c r="L43" i="30"/>
  <c r="V51" i="30"/>
  <c r="P51" i="30"/>
  <c r="N51" i="30"/>
  <c r="L55" i="30"/>
  <c r="L59" i="30"/>
  <c r="V66" i="30"/>
  <c r="P66" i="30"/>
  <c r="R66" i="30"/>
  <c r="J66" i="30"/>
  <c r="N71" i="30"/>
  <c r="V71" i="30"/>
  <c r="P71" i="30"/>
  <c r="R71" i="30"/>
  <c r="L77" i="30"/>
  <c r="V55" i="30"/>
  <c r="P55" i="30"/>
  <c r="N55" i="30"/>
  <c r="N59" i="30"/>
  <c r="V59" i="30"/>
  <c r="P59" i="30"/>
  <c r="R59" i="30"/>
  <c r="P70" i="30"/>
  <c r="R70" i="30"/>
  <c r="V70" i="30" s="1"/>
  <c r="J70" i="30"/>
  <c r="T77" i="30"/>
  <c r="N77" i="30"/>
  <c r="V77" i="30"/>
  <c r="P77" i="30"/>
  <c r="H77" i="30"/>
  <c r="R77" i="30"/>
  <c r="L49" i="30"/>
  <c r="L53" i="30"/>
  <c r="L57" i="30"/>
  <c r="N60" i="30"/>
  <c r="L61" i="30"/>
  <c r="N64" i="30"/>
  <c r="L65" i="30"/>
  <c r="N68" i="30"/>
  <c r="T68" i="30"/>
  <c r="L69" i="30"/>
  <c r="N72" i="30"/>
  <c r="L75" i="30"/>
  <c r="N78" i="30"/>
  <c r="L60" i="30"/>
  <c r="L64" i="30"/>
  <c r="L68" i="30"/>
  <c r="L72" i="30"/>
  <c r="L78" i="30"/>
  <c r="V78" i="29"/>
  <c r="P78" i="29"/>
  <c r="J78" i="29"/>
  <c r="F78" i="29"/>
  <c r="R78" i="29" s="1"/>
  <c r="F77" i="29"/>
  <c r="L77" i="29" s="1"/>
  <c r="F76" i="29"/>
  <c r="N76" i="29" s="1"/>
  <c r="F75" i="29"/>
  <c r="N75" i="29" s="1"/>
  <c r="V74" i="29"/>
  <c r="R74" i="29"/>
  <c r="P74" i="29"/>
  <c r="N74" i="29"/>
  <c r="L74" i="29"/>
  <c r="J74" i="29"/>
  <c r="V73" i="29"/>
  <c r="R73" i="29"/>
  <c r="P73" i="29"/>
  <c r="N73" i="29"/>
  <c r="L73" i="29"/>
  <c r="J73" i="29"/>
  <c r="V72" i="29"/>
  <c r="J72" i="29"/>
  <c r="F72" i="29"/>
  <c r="R71" i="29"/>
  <c r="F71" i="29"/>
  <c r="L71" i="29" s="1"/>
  <c r="N70" i="29"/>
  <c r="F70" i="29"/>
  <c r="L70" i="29" s="1"/>
  <c r="F69" i="29"/>
  <c r="L68" i="29"/>
  <c r="F68" i="29"/>
  <c r="N68" i="29" s="1"/>
  <c r="F67" i="29"/>
  <c r="F66" i="29"/>
  <c r="P66" i="29" s="1"/>
  <c r="R65" i="29"/>
  <c r="J65" i="29"/>
  <c r="F65" i="29"/>
  <c r="V65" i="29" s="1"/>
  <c r="J64" i="29"/>
  <c r="F64" i="29"/>
  <c r="L64" i="29" s="1"/>
  <c r="F63" i="29"/>
  <c r="N63" i="29" s="1"/>
  <c r="P62" i="29"/>
  <c r="F62" i="29"/>
  <c r="N62" i="29" s="1"/>
  <c r="P61" i="29"/>
  <c r="F61" i="29"/>
  <c r="J61" i="29" s="1"/>
  <c r="R60" i="29"/>
  <c r="F60" i="29"/>
  <c r="L60" i="29" s="1"/>
  <c r="N59" i="29"/>
  <c r="F59" i="29"/>
  <c r="L59" i="29" s="1"/>
  <c r="F58" i="29"/>
  <c r="N57" i="29"/>
  <c r="F57" i="29"/>
  <c r="V57" i="29" s="1"/>
  <c r="R56" i="29"/>
  <c r="J56" i="29"/>
  <c r="F56" i="29"/>
  <c r="P56" i="29" s="1"/>
  <c r="F55" i="29"/>
  <c r="L55" i="29" s="1"/>
  <c r="N54" i="29"/>
  <c r="F54" i="29"/>
  <c r="L54" i="29" s="1"/>
  <c r="V53" i="29"/>
  <c r="J53" i="29"/>
  <c r="F53" i="29"/>
  <c r="R53" i="29" s="1"/>
  <c r="P52" i="29"/>
  <c r="F52" i="29"/>
  <c r="J52" i="29" s="1"/>
  <c r="F51" i="29"/>
  <c r="F50" i="29"/>
  <c r="N50" i="29" s="1"/>
  <c r="N49" i="29"/>
  <c r="F49" i="29"/>
  <c r="V49" i="29" s="1"/>
  <c r="F48" i="29"/>
  <c r="R48" i="29" s="1"/>
  <c r="J47" i="29"/>
  <c r="F47" i="29"/>
  <c r="V47" i="29" s="1"/>
  <c r="L46" i="29"/>
  <c r="F46" i="29"/>
  <c r="V46" i="29" s="1"/>
  <c r="L45" i="29"/>
  <c r="F45" i="29"/>
  <c r="J45" i="29" s="1"/>
  <c r="L44" i="29"/>
  <c r="F44" i="29"/>
  <c r="J44" i="29" s="1"/>
  <c r="F43" i="29"/>
  <c r="N42" i="29"/>
  <c r="F42" i="29"/>
  <c r="V41" i="29"/>
  <c r="P41" i="29"/>
  <c r="J41" i="29"/>
  <c r="F41" i="29"/>
  <c r="R41" i="29" s="1"/>
  <c r="F40" i="29"/>
  <c r="R40" i="29" s="1"/>
  <c r="F39" i="29"/>
  <c r="L39" i="29" s="1"/>
  <c r="F38" i="29"/>
  <c r="R37" i="29"/>
  <c r="N37" i="29"/>
  <c r="F37" i="29"/>
  <c r="V37" i="29" s="1"/>
  <c r="V36" i="29"/>
  <c r="J36" i="29"/>
  <c r="F36" i="29"/>
  <c r="R35" i="29"/>
  <c r="J35" i="29"/>
  <c r="F35" i="29"/>
  <c r="L35" i="29" s="1"/>
  <c r="N34" i="29"/>
  <c r="F34" i="29"/>
  <c r="L34" i="29" s="1"/>
  <c r="V33" i="29"/>
  <c r="J33" i="29"/>
  <c r="F33" i="29"/>
  <c r="R33" i="29" s="1"/>
  <c r="F32" i="29"/>
  <c r="J32" i="29" s="1"/>
  <c r="F31" i="29"/>
  <c r="R31" i="29" s="1"/>
  <c r="F30" i="29"/>
  <c r="N30" i="29" s="1"/>
  <c r="N29" i="29"/>
  <c r="L29" i="29"/>
  <c r="F29" i="29"/>
  <c r="P28" i="29"/>
  <c r="F28" i="29"/>
  <c r="N28" i="29" s="1"/>
  <c r="V27" i="29"/>
  <c r="J27" i="29"/>
  <c r="F27" i="29"/>
  <c r="F26" i="29"/>
  <c r="F25" i="29"/>
  <c r="N25" i="29" s="1"/>
  <c r="V24" i="29"/>
  <c r="P24" i="29"/>
  <c r="N24" i="29"/>
  <c r="J24" i="29"/>
  <c r="F24" i="29"/>
  <c r="R24" i="29" s="1"/>
  <c r="F23" i="29"/>
  <c r="R23" i="29" s="1"/>
  <c r="F22" i="29"/>
  <c r="R22" i="29" s="1"/>
  <c r="N21" i="29"/>
  <c r="F21" i="29"/>
  <c r="P20" i="29"/>
  <c r="F20" i="29"/>
  <c r="N20" i="29" s="1"/>
  <c r="V19" i="29"/>
  <c r="J19" i="29"/>
  <c r="F19" i="29"/>
  <c r="R18" i="29"/>
  <c r="F18" i="29"/>
  <c r="V18" i="29" s="1"/>
  <c r="J17" i="29"/>
  <c r="F17" i="29"/>
  <c r="R17" i="29" s="1"/>
  <c r="F16" i="29"/>
  <c r="L16" i="29" s="1"/>
  <c r="F15" i="29"/>
  <c r="P15" i="29" s="1"/>
  <c r="F14" i="29"/>
  <c r="P14" i="29" s="1"/>
  <c r="F13" i="29"/>
  <c r="V13" i="29" s="1"/>
  <c r="F12" i="29"/>
  <c r="N12" i="29" s="1"/>
  <c r="F11" i="29"/>
  <c r="P11" i="29" s="1"/>
  <c r="F10" i="29"/>
  <c r="P10" i="29" s="1"/>
  <c r="L9" i="29"/>
  <c r="F9" i="29"/>
  <c r="V9" i="29" s="1"/>
  <c r="F8" i="29"/>
  <c r="V8" i="29" s="1"/>
  <c r="P7" i="29"/>
  <c r="N7" i="29"/>
  <c r="F7" i="29"/>
  <c r="P6" i="29"/>
  <c r="L6" i="29"/>
  <c r="F6" i="29"/>
  <c r="F5" i="29"/>
  <c r="N5" i="29" s="1"/>
  <c r="V11" i="29" l="1"/>
  <c r="J16" i="29"/>
  <c r="P19" i="29"/>
  <c r="R20" i="29"/>
  <c r="P27" i="29"/>
  <c r="R28" i="29"/>
  <c r="N33" i="29"/>
  <c r="P36" i="29"/>
  <c r="P37" i="29"/>
  <c r="P40" i="29"/>
  <c r="N41" i="29"/>
  <c r="R45" i="29"/>
  <c r="R46" i="29"/>
  <c r="L47" i="29"/>
  <c r="J48" i="29"/>
  <c r="V48" i="29"/>
  <c r="P49" i="29"/>
  <c r="L50" i="29"/>
  <c r="R52" i="29"/>
  <c r="N53" i="29"/>
  <c r="V56" i="29"/>
  <c r="P57" i="29"/>
  <c r="R61" i="29"/>
  <c r="R62" i="29"/>
  <c r="L63" i="29"/>
  <c r="P65" i="29"/>
  <c r="R66" i="29"/>
  <c r="P72" i="29"/>
  <c r="P75" i="29"/>
  <c r="J77" i="29"/>
  <c r="X11" i="30"/>
  <c r="G11" i="31"/>
  <c r="W30" i="31"/>
  <c r="T30" i="31"/>
  <c r="S28" i="31"/>
  <c r="H28" i="31"/>
  <c r="X43" i="31"/>
  <c r="G43" i="32"/>
  <c r="W18" i="31"/>
  <c r="T18" i="31"/>
  <c r="W10" i="32"/>
  <c r="X10" i="32" s="1"/>
  <c r="T10" i="32"/>
  <c r="L5" i="29"/>
  <c r="N9" i="29"/>
  <c r="N11" i="29"/>
  <c r="L13" i="29"/>
  <c r="N15" i="29"/>
  <c r="J18" i="29"/>
  <c r="R19" i="29"/>
  <c r="J20" i="29"/>
  <c r="V20" i="29"/>
  <c r="J23" i="29"/>
  <c r="V23" i="29"/>
  <c r="L25" i="29"/>
  <c r="R27" i="29"/>
  <c r="J28" i="29"/>
  <c r="V28" i="29"/>
  <c r="P33" i="29"/>
  <c r="R36" i="29"/>
  <c r="L48" i="29"/>
  <c r="R49" i="29"/>
  <c r="V52" i="29"/>
  <c r="P53" i="29"/>
  <c r="J55" i="29"/>
  <c r="R57" i="29"/>
  <c r="V61" i="29"/>
  <c r="J62" i="29"/>
  <c r="V62" i="29"/>
  <c r="J66" i="29"/>
  <c r="V66" i="29"/>
  <c r="R72" i="29"/>
  <c r="R75" i="29"/>
  <c r="L76" i="29"/>
  <c r="X75" i="30"/>
  <c r="G75" i="31"/>
  <c r="X45" i="30"/>
  <c r="G45" i="31"/>
  <c r="X29" i="30"/>
  <c r="G29" i="31"/>
  <c r="X69" i="30"/>
  <c r="G69" i="31"/>
  <c r="W68" i="32"/>
  <c r="X68" i="32" s="1"/>
  <c r="T68" i="32"/>
  <c r="W48" i="32"/>
  <c r="X48" i="32" s="1"/>
  <c r="T48" i="32"/>
  <c r="S67" i="31"/>
  <c r="H67" i="31"/>
  <c r="W32" i="31"/>
  <c r="T32" i="31"/>
  <c r="V5" i="29"/>
  <c r="N13" i="29"/>
  <c r="L18" i="29"/>
  <c r="P23" i="29"/>
  <c r="J37" i="29"/>
  <c r="J46" i="29"/>
  <c r="P48" i="29"/>
  <c r="J49" i="29"/>
  <c r="J57" i="29"/>
  <c r="N66" i="29"/>
  <c r="J75" i="29"/>
  <c r="V75" i="29"/>
  <c r="X23" i="30"/>
  <c r="G23" i="31"/>
  <c r="X7" i="30"/>
  <c r="G7" i="31"/>
  <c r="X17" i="31"/>
  <c r="G17" i="32"/>
  <c r="S9" i="32"/>
  <c r="H9" i="32"/>
  <c r="S46" i="32"/>
  <c r="H46" i="32"/>
  <c r="S16" i="32"/>
  <c r="H16" i="32"/>
  <c r="S14" i="32"/>
  <c r="H14" i="32"/>
  <c r="S24" i="31"/>
  <c r="H24" i="31"/>
  <c r="S12" i="31"/>
  <c r="H12" i="31"/>
  <c r="X31" i="30"/>
  <c r="G31" i="31"/>
  <c r="X58" i="30"/>
  <c r="G58" i="31"/>
  <c r="W77" i="32"/>
  <c r="X77" i="32" s="1"/>
  <c r="T77" i="32"/>
  <c r="X13" i="31"/>
  <c r="G13" i="32"/>
  <c r="S15" i="32"/>
  <c r="H15" i="32"/>
  <c r="W6" i="32"/>
  <c r="X6" i="32" s="1"/>
  <c r="T6" i="32"/>
  <c r="W65" i="31"/>
  <c r="T65" i="31"/>
  <c r="W40" i="30"/>
  <c r="T40" i="30"/>
  <c r="V32" i="29"/>
  <c r="L32" i="29"/>
  <c r="P32" i="29"/>
  <c r="R32" i="29"/>
  <c r="V40" i="29"/>
  <c r="J40" i="29"/>
  <c r="J39" i="29"/>
  <c r="V26" i="29"/>
  <c r="P26" i="29"/>
  <c r="N26" i="29"/>
  <c r="J26" i="29"/>
  <c r="R7" i="29"/>
  <c r="J7" i="29"/>
  <c r="L7" i="29"/>
  <c r="L8" i="29"/>
  <c r="L10" i="29"/>
  <c r="R12" i="29"/>
  <c r="J12" i="29"/>
  <c r="P12" i="29"/>
  <c r="R21" i="29"/>
  <c r="J21" i="29"/>
  <c r="V21" i="29"/>
  <c r="P21" i="29"/>
  <c r="L21" i="29"/>
  <c r="V22" i="29"/>
  <c r="P22" i="29"/>
  <c r="N22" i="29"/>
  <c r="L22" i="29"/>
  <c r="J22" i="29"/>
  <c r="N31" i="29"/>
  <c r="V31" i="29"/>
  <c r="P31" i="29"/>
  <c r="L31" i="29"/>
  <c r="J31" i="29"/>
  <c r="V42" i="29"/>
  <c r="P42" i="29"/>
  <c r="R42" i="29"/>
  <c r="J42" i="29"/>
  <c r="L42" i="29"/>
  <c r="V43" i="29"/>
  <c r="P43" i="29"/>
  <c r="R43" i="29"/>
  <c r="J43" i="29"/>
  <c r="N43" i="29"/>
  <c r="N51" i="29"/>
  <c r="V51" i="29"/>
  <c r="P51" i="29"/>
  <c r="J51" i="29"/>
  <c r="R51" i="29"/>
  <c r="L51" i="29"/>
  <c r="V67" i="29"/>
  <c r="P67" i="29"/>
  <c r="R67" i="29"/>
  <c r="J67" i="29"/>
  <c r="L67" i="29"/>
  <c r="N67" i="29"/>
  <c r="R6" i="29"/>
  <c r="J6" i="29"/>
  <c r="V6" i="29"/>
  <c r="N6" i="29"/>
  <c r="V7" i="29"/>
  <c r="N8" i="29"/>
  <c r="R11" i="29"/>
  <c r="J11" i="29"/>
  <c r="L11" i="29"/>
  <c r="L12" i="29"/>
  <c r="V12" i="29"/>
  <c r="R14" i="29"/>
  <c r="J14" i="29"/>
  <c r="V14" i="29"/>
  <c r="N14" i="29"/>
  <c r="L14" i="29"/>
  <c r="L26" i="29"/>
  <c r="L43" i="29"/>
  <c r="R8" i="29"/>
  <c r="J8" i="29"/>
  <c r="P8" i="29"/>
  <c r="R10" i="29"/>
  <c r="J10" i="29"/>
  <c r="V10" i="29"/>
  <c r="N10" i="29"/>
  <c r="R15" i="29"/>
  <c r="J15" i="29"/>
  <c r="L15" i="29"/>
  <c r="V15" i="29"/>
  <c r="V17" i="29"/>
  <c r="P17" i="29"/>
  <c r="N17" i="29"/>
  <c r="L17" i="29"/>
  <c r="R26" i="29"/>
  <c r="V38" i="29"/>
  <c r="P38" i="29"/>
  <c r="R38" i="29"/>
  <c r="J38" i="29"/>
  <c r="N38" i="29"/>
  <c r="L38" i="29"/>
  <c r="V69" i="29"/>
  <c r="P69" i="29"/>
  <c r="R69" i="29"/>
  <c r="J69" i="29"/>
  <c r="L69" i="29"/>
  <c r="N69" i="29"/>
  <c r="N71" i="29"/>
  <c r="V71" i="29"/>
  <c r="P71" i="29"/>
  <c r="J71" i="29"/>
  <c r="V16" i="29"/>
  <c r="P16" i="29"/>
  <c r="N16" i="29"/>
  <c r="R25" i="29"/>
  <c r="J25" i="29"/>
  <c r="V25" i="29"/>
  <c r="P25" i="29"/>
  <c r="V30" i="29"/>
  <c r="R30" i="29"/>
  <c r="J30" i="29"/>
  <c r="P30" i="29"/>
  <c r="N35" i="29"/>
  <c r="V35" i="29"/>
  <c r="P35" i="29"/>
  <c r="N44" i="29"/>
  <c r="V44" i="29"/>
  <c r="P44" i="29"/>
  <c r="R44" i="29"/>
  <c r="V58" i="29"/>
  <c r="P58" i="29"/>
  <c r="R58" i="29"/>
  <c r="J58" i="29"/>
  <c r="L58" i="29"/>
  <c r="N58" i="29"/>
  <c r="R5" i="29"/>
  <c r="J5" i="29"/>
  <c r="P5" i="29"/>
  <c r="R9" i="29"/>
  <c r="J9" i="29"/>
  <c r="P9" i="29"/>
  <c r="R13" i="29"/>
  <c r="J13" i="29"/>
  <c r="P13" i="29"/>
  <c r="R16" i="29"/>
  <c r="V29" i="29"/>
  <c r="R29" i="29"/>
  <c r="J29" i="29"/>
  <c r="P29" i="29"/>
  <c r="L30" i="29"/>
  <c r="V34" i="29"/>
  <c r="P34" i="29"/>
  <c r="R34" i="29"/>
  <c r="J34" i="29"/>
  <c r="N39" i="29"/>
  <c r="V39" i="29"/>
  <c r="P39" i="29"/>
  <c r="R39" i="29"/>
  <c r="N47" i="29"/>
  <c r="P47" i="29"/>
  <c r="R47" i="29"/>
  <c r="N60" i="29"/>
  <c r="V60" i="29"/>
  <c r="P60" i="29"/>
  <c r="J60" i="29"/>
  <c r="N18" i="29"/>
  <c r="L19" i="29"/>
  <c r="L23" i="29"/>
  <c r="L27" i="29"/>
  <c r="P18" i="29"/>
  <c r="N19" i="29"/>
  <c r="L20" i="29"/>
  <c r="N23" i="29"/>
  <c r="L24" i="29"/>
  <c r="N27" i="29"/>
  <c r="L28" i="29"/>
  <c r="N32" i="29"/>
  <c r="L33" i="29"/>
  <c r="N36" i="29"/>
  <c r="L37" i="29"/>
  <c r="N40" i="29"/>
  <c r="L41" i="29"/>
  <c r="P45" i="29"/>
  <c r="V45" i="29"/>
  <c r="P46" i="29"/>
  <c r="V54" i="29"/>
  <c r="P54" i="29"/>
  <c r="R54" i="29"/>
  <c r="J54" i="29"/>
  <c r="V59" i="29"/>
  <c r="P59" i="29"/>
  <c r="R59" i="29"/>
  <c r="J59" i="29"/>
  <c r="V63" i="29"/>
  <c r="P63" i="29"/>
  <c r="R63" i="29"/>
  <c r="J63" i="29"/>
  <c r="V68" i="29"/>
  <c r="P68" i="29"/>
  <c r="R68" i="29"/>
  <c r="J68" i="29"/>
  <c r="P70" i="29"/>
  <c r="R70" i="29"/>
  <c r="V70" i="29" s="1"/>
  <c r="J70" i="29"/>
  <c r="V76" i="29"/>
  <c r="P76" i="29"/>
  <c r="R76" i="29"/>
  <c r="J76" i="29"/>
  <c r="L36" i="29"/>
  <c r="L40" i="29"/>
  <c r="N45" i="29"/>
  <c r="N46" i="29"/>
  <c r="V50" i="29"/>
  <c r="P50" i="29"/>
  <c r="R50" i="29"/>
  <c r="J50" i="29"/>
  <c r="N55" i="29"/>
  <c r="V55" i="29"/>
  <c r="P55" i="29"/>
  <c r="R55" i="29"/>
  <c r="N64" i="29"/>
  <c r="V64" i="29"/>
  <c r="P64" i="29"/>
  <c r="R64" i="29"/>
  <c r="N77" i="29"/>
  <c r="V77" i="29"/>
  <c r="P77" i="29"/>
  <c r="R77" i="29"/>
  <c r="N48" i="29"/>
  <c r="L49" i="29"/>
  <c r="N52" i="29"/>
  <c r="L53" i="29"/>
  <c r="N56" i="29"/>
  <c r="L57" i="29"/>
  <c r="N61" i="29"/>
  <c r="L62" i="29"/>
  <c r="N65" i="29"/>
  <c r="L66" i="29"/>
  <c r="N72" i="29"/>
  <c r="L75" i="29"/>
  <c r="N78" i="29"/>
  <c r="L52" i="29"/>
  <c r="L56" i="29"/>
  <c r="L61" i="29"/>
  <c r="L65" i="29"/>
  <c r="L72" i="29"/>
  <c r="L78" i="29"/>
  <c r="S8" i="28"/>
  <c r="W8" i="28" s="1"/>
  <c r="G8" i="29" s="1"/>
  <c r="S8" i="29" s="1"/>
  <c r="W8" i="29" s="1"/>
  <c r="G8" i="30" s="1"/>
  <c r="S15" i="28"/>
  <c r="W15" i="28" s="1"/>
  <c r="G15" i="29" s="1"/>
  <c r="S15" i="29" s="1"/>
  <c r="W15" i="29" s="1"/>
  <c r="X15" i="29" s="1"/>
  <c r="S48" i="28"/>
  <c r="W48" i="28" s="1"/>
  <c r="G48" i="29" s="1"/>
  <c r="S48" i="29" s="1"/>
  <c r="W48" i="29" s="1"/>
  <c r="X48" i="29" s="1"/>
  <c r="S59" i="28"/>
  <c r="W59" i="28" s="1"/>
  <c r="S68" i="28"/>
  <c r="W68" i="28" s="1"/>
  <c r="G68" i="29" s="1"/>
  <c r="S68" i="29" s="1"/>
  <c r="W68" i="29" s="1"/>
  <c r="X68" i="29" s="1"/>
  <c r="S70" i="28"/>
  <c r="W70" i="28" s="1"/>
  <c r="G70" i="29" s="1"/>
  <c r="S70" i="29" s="1"/>
  <c r="W70" i="29" s="1"/>
  <c r="P78" i="28"/>
  <c r="N78" i="28"/>
  <c r="F78" i="28"/>
  <c r="F77" i="28"/>
  <c r="P77" i="28" s="1"/>
  <c r="F76" i="28"/>
  <c r="R76" i="28" s="1"/>
  <c r="N75" i="28"/>
  <c r="L75" i="28"/>
  <c r="F75" i="28"/>
  <c r="V74" i="28"/>
  <c r="R74" i="28"/>
  <c r="P74" i="28"/>
  <c r="N74" i="28"/>
  <c r="L74" i="28"/>
  <c r="J74" i="28"/>
  <c r="V73" i="28"/>
  <c r="R73" i="28"/>
  <c r="P73" i="28"/>
  <c r="N73" i="28"/>
  <c r="L73" i="28"/>
  <c r="J73" i="28"/>
  <c r="V72" i="28"/>
  <c r="F72" i="28"/>
  <c r="P72" i="28" s="1"/>
  <c r="V71" i="28"/>
  <c r="N71" i="28"/>
  <c r="J71" i="28"/>
  <c r="F71" i="28"/>
  <c r="R71" i="28" s="1"/>
  <c r="F70" i="28"/>
  <c r="S69" i="28"/>
  <c r="W69" i="28" s="1"/>
  <c r="G69" i="29" s="1"/>
  <c r="S69" i="29" s="1"/>
  <c r="W69" i="29" s="1"/>
  <c r="X69" i="29" s="1"/>
  <c r="F69" i="28"/>
  <c r="P68" i="28"/>
  <c r="N68" i="28"/>
  <c r="F68" i="28"/>
  <c r="H68" i="28" s="1"/>
  <c r="F67" i="28"/>
  <c r="R67" i="28" s="1"/>
  <c r="F66" i="28"/>
  <c r="N65" i="28"/>
  <c r="F65" i="28"/>
  <c r="L65" i="28" s="1"/>
  <c r="P64" i="28"/>
  <c r="F64" i="28"/>
  <c r="N64" i="28" s="1"/>
  <c r="V63" i="28"/>
  <c r="F63" i="28"/>
  <c r="P63" i="28" s="1"/>
  <c r="V62" i="28"/>
  <c r="J62" i="28"/>
  <c r="F62" i="28"/>
  <c r="R62" i="28" s="1"/>
  <c r="F61" i="28"/>
  <c r="L61" i="28" s="1"/>
  <c r="F60" i="28"/>
  <c r="F59" i="28"/>
  <c r="N59" i="28" s="1"/>
  <c r="V58" i="28"/>
  <c r="F58" i="28"/>
  <c r="P58" i="28" s="1"/>
  <c r="V57" i="28"/>
  <c r="J57" i="28"/>
  <c r="F57" i="28"/>
  <c r="R57" i="28" s="1"/>
  <c r="F56" i="28"/>
  <c r="L56" i="28" s="1"/>
  <c r="F55" i="28"/>
  <c r="L55" i="28" s="1"/>
  <c r="F54" i="28"/>
  <c r="P54" i="28" s="1"/>
  <c r="F53" i="28"/>
  <c r="R53" i="28" s="1"/>
  <c r="L52" i="28"/>
  <c r="J52" i="28"/>
  <c r="F52" i="28"/>
  <c r="F51" i="28"/>
  <c r="P50" i="28"/>
  <c r="F50" i="28"/>
  <c r="N50" i="28" s="1"/>
  <c r="P49" i="28"/>
  <c r="F49" i="28"/>
  <c r="V49" i="28" s="1"/>
  <c r="R48" i="28"/>
  <c r="L48" i="28"/>
  <c r="F48" i="28"/>
  <c r="N47" i="28"/>
  <c r="F47" i="28"/>
  <c r="L47" i="28" s="1"/>
  <c r="S46" i="28"/>
  <c r="W46" i="28" s="1"/>
  <c r="G46" i="29" s="1"/>
  <c r="S46" i="29" s="1"/>
  <c r="W46" i="29" s="1"/>
  <c r="X46" i="29" s="1"/>
  <c r="F46" i="28"/>
  <c r="S45" i="28"/>
  <c r="W45" i="28" s="1"/>
  <c r="G45" i="29" s="1"/>
  <c r="S45" i="29" s="1"/>
  <c r="W45" i="29" s="1"/>
  <c r="X45" i="29" s="1"/>
  <c r="N45" i="28"/>
  <c r="F45" i="28"/>
  <c r="V44" i="28"/>
  <c r="J44" i="28"/>
  <c r="F44" i="28"/>
  <c r="P44" i="28" s="1"/>
  <c r="S43" i="28"/>
  <c r="W43" i="28" s="1"/>
  <c r="G43" i="29" s="1"/>
  <c r="S43" i="29" s="1"/>
  <c r="W43" i="29" s="1"/>
  <c r="X43" i="29" s="1"/>
  <c r="P43" i="28"/>
  <c r="H43" i="28"/>
  <c r="F43" i="28"/>
  <c r="V43" i="28" s="1"/>
  <c r="J42" i="28"/>
  <c r="F42" i="28"/>
  <c r="L42" i="28" s="1"/>
  <c r="F41" i="28"/>
  <c r="V40" i="28"/>
  <c r="P40" i="28"/>
  <c r="J40" i="28"/>
  <c r="F40" i="28"/>
  <c r="N40" i="28" s="1"/>
  <c r="P39" i="28"/>
  <c r="F39" i="28"/>
  <c r="V39" i="28" s="1"/>
  <c r="L38" i="28"/>
  <c r="F38" i="28"/>
  <c r="J38" i="28" s="1"/>
  <c r="L37" i="28"/>
  <c r="F37" i="28"/>
  <c r="N37" i="28" s="1"/>
  <c r="F36" i="28"/>
  <c r="N36" i="28" s="1"/>
  <c r="V35" i="28"/>
  <c r="P35" i="28"/>
  <c r="J35" i="28"/>
  <c r="F35" i="28"/>
  <c r="R35" i="28" s="1"/>
  <c r="F34" i="28"/>
  <c r="F33" i="28"/>
  <c r="L33" i="28" s="1"/>
  <c r="F32" i="28"/>
  <c r="V32" i="28" s="1"/>
  <c r="F31" i="28"/>
  <c r="P31" i="28" s="1"/>
  <c r="L30" i="28"/>
  <c r="J30" i="28"/>
  <c r="S30" i="28"/>
  <c r="F30" i="28"/>
  <c r="R30" i="28" s="1"/>
  <c r="L29" i="28"/>
  <c r="F29" i="28"/>
  <c r="F28" i="28"/>
  <c r="N28" i="28" s="1"/>
  <c r="F27" i="28"/>
  <c r="R26" i="28"/>
  <c r="N26" i="28"/>
  <c r="F26" i="28"/>
  <c r="V26" i="28" s="1"/>
  <c r="F25" i="28"/>
  <c r="V25" i="28" s="1"/>
  <c r="R24" i="28"/>
  <c r="J24" i="28"/>
  <c r="F24" i="28"/>
  <c r="V24" i="28" s="1"/>
  <c r="F23" i="28"/>
  <c r="R23" i="28" s="1"/>
  <c r="V22" i="28"/>
  <c r="R22" i="28"/>
  <c r="N22" i="28"/>
  <c r="J22" i="28"/>
  <c r="F22" i="28"/>
  <c r="P22" i="28" s="1"/>
  <c r="V21" i="28"/>
  <c r="J21" i="28"/>
  <c r="F21" i="28"/>
  <c r="R21" i="28" s="1"/>
  <c r="R20" i="28"/>
  <c r="F20" i="28"/>
  <c r="V20" i="28" s="1"/>
  <c r="F19" i="28"/>
  <c r="R19" i="28" s="1"/>
  <c r="V18" i="28"/>
  <c r="R18" i="28"/>
  <c r="N18" i="28"/>
  <c r="J18" i="28"/>
  <c r="S18" i="28"/>
  <c r="F18" i="28"/>
  <c r="P18" i="28" s="1"/>
  <c r="V17" i="28"/>
  <c r="H17" i="28"/>
  <c r="S17" i="28"/>
  <c r="W17" i="28" s="1"/>
  <c r="G17" i="29" s="1"/>
  <c r="S17" i="29" s="1"/>
  <c r="W17" i="29" s="1"/>
  <c r="X17" i="29" s="1"/>
  <c r="F17" i="28"/>
  <c r="J17" i="28" s="1"/>
  <c r="J16" i="28"/>
  <c r="F16" i="28"/>
  <c r="V16" i="28" s="1"/>
  <c r="F15" i="28"/>
  <c r="R15" i="28" s="1"/>
  <c r="P14" i="28"/>
  <c r="N14" i="28"/>
  <c r="S14" i="28"/>
  <c r="F14" i="28"/>
  <c r="V14" i="28" s="1"/>
  <c r="V13" i="28"/>
  <c r="H13" i="28"/>
  <c r="S13" i="28"/>
  <c r="W13" i="28" s="1"/>
  <c r="G13" i="29" s="1"/>
  <c r="H13" i="29" s="1"/>
  <c r="F13" i="28"/>
  <c r="J13" i="28" s="1"/>
  <c r="S12" i="28"/>
  <c r="W12" i="28" s="1"/>
  <c r="G12" i="29" s="1"/>
  <c r="S12" i="29" s="1"/>
  <c r="W12" i="29" s="1"/>
  <c r="X12" i="29" s="1"/>
  <c r="R12" i="28"/>
  <c r="F12" i="28"/>
  <c r="V12" i="28" s="1"/>
  <c r="S11" i="28"/>
  <c r="W11" i="28" s="1"/>
  <c r="G11" i="29" s="1"/>
  <c r="F11" i="28"/>
  <c r="R11" i="28" s="1"/>
  <c r="P10" i="28"/>
  <c r="S10" i="28"/>
  <c r="F10" i="28"/>
  <c r="N10" i="28" s="1"/>
  <c r="S9" i="28"/>
  <c r="W9" i="28" s="1"/>
  <c r="G9" i="29" s="1"/>
  <c r="F9" i="28"/>
  <c r="P9" i="28" s="1"/>
  <c r="R8" i="28"/>
  <c r="J8" i="28"/>
  <c r="F8" i="28"/>
  <c r="V8" i="28" s="1"/>
  <c r="S7" i="28"/>
  <c r="W7" i="28" s="1"/>
  <c r="G7" i="29" s="1"/>
  <c r="S7" i="29" s="1"/>
  <c r="W7" i="29" s="1"/>
  <c r="X7" i="29" s="1"/>
  <c r="F7" i="28"/>
  <c r="R7" i="28" s="1"/>
  <c r="N6" i="28"/>
  <c r="S6" i="28"/>
  <c r="F6" i="28"/>
  <c r="V6" i="28" s="1"/>
  <c r="R5" i="28"/>
  <c r="H5" i="28"/>
  <c r="S5" i="28"/>
  <c r="F5" i="28"/>
  <c r="N5" i="28" s="1"/>
  <c r="R28" i="28" l="1"/>
  <c r="R36" i="28"/>
  <c r="H9" i="28"/>
  <c r="V9" i="28"/>
  <c r="P13" i="28"/>
  <c r="P17" i="28"/>
  <c r="P5" i="28"/>
  <c r="J9" i="28"/>
  <c r="V10" i="28"/>
  <c r="J12" i="28"/>
  <c r="R13" i="28"/>
  <c r="R17" i="28"/>
  <c r="J20" i="28"/>
  <c r="P25" i="28"/>
  <c r="P26" i="28"/>
  <c r="P28" i="28"/>
  <c r="J31" i="28"/>
  <c r="N32" i="28"/>
  <c r="P36" i="28"/>
  <c r="J39" i="28"/>
  <c r="R40" i="28"/>
  <c r="R43" i="28"/>
  <c r="R44" i="28"/>
  <c r="J49" i="28"/>
  <c r="V50" i="28"/>
  <c r="J53" i="28"/>
  <c r="V53" i="28"/>
  <c r="V54" i="28"/>
  <c r="N55" i="28"/>
  <c r="N57" i="28"/>
  <c r="N62" i="28"/>
  <c r="V64" i="28"/>
  <c r="J67" i="28"/>
  <c r="V67" i="28"/>
  <c r="R77" i="28"/>
  <c r="S8" i="30"/>
  <c r="H8" i="30"/>
  <c r="T68" i="29"/>
  <c r="H46" i="29"/>
  <c r="T17" i="29"/>
  <c r="H8" i="29"/>
  <c r="T8" i="29"/>
  <c r="T48" i="29"/>
  <c r="T45" i="29"/>
  <c r="W12" i="31"/>
  <c r="T12" i="31"/>
  <c r="W14" i="32"/>
  <c r="X14" i="32" s="1"/>
  <c r="T14" i="32"/>
  <c r="W46" i="32"/>
  <c r="X46" i="32" s="1"/>
  <c r="T46" i="32"/>
  <c r="W67" i="31"/>
  <c r="T67" i="31"/>
  <c r="X30" i="31"/>
  <c r="G30" i="32"/>
  <c r="P57" i="28"/>
  <c r="N58" i="28"/>
  <c r="L59" i="28"/>
  <c r="J61" i="28"/>
  <c r="P62" i="28"/>
  <c r="N63" i="28"/>
  <c r="N67" i="28"/>
  <c r="V68" i="28"/>
  <c r="P71" i="28"/>
  <c r="N72" i="28"/>
  <c r="V77" i="28"/>
  <c r="X59" i="28"/>
  <c r="G59" i="29"/>
  <c r="T46" i="29"/>
  <c r="H69" i="29"/>
  <c r="H17" i="29"/>
  <c r="H15" i="29"/>
  <c r="H7" i="29"/>
  <c r="T43" i="29"/>
  <c r="T69" i="29"/>
  <c r="H31" i="31"/>
  <c r="S31" i="31"/>
  <c r="S7" i="31"/>
  <c r="H7" i="31"/>
  <c r="S69" i="31"/>
  <c r="H69" i="31"/>
  <c r="S45" i="31"/>
  <c r="H45" i="31"/>
  <c r="S11" i="31"/>
  <c r="H11" i="31"/>
  <c r="R25" i="28"/>
  <c r="N53" i="28"/>
  <c r="J5" i="28"/>
  <c r="V5" i="28"/>
  <c r="P6" i="28"/>
  <c r="H9" i="29"/>
  <c r="S9" i="29"/>
  <c r="R9" i="28"/>
  <c r="S11" i="29"/>
  <c r="H11" i="29"/>
  <c r="R16" i="28"/>
  <c r="P21" i="28"/>
  <c r="J26" i="28"/>
  <c r="J28" i="28"/>
  <c r="V28" i="28"/>
  <c r="R32" i="28"/>
  <c r="J36" i="28"/>
  <c r="V36" i="28"/>
  <c r="R39" i="28"/>
  <c r="J43" i="28"/>
  <c r="N44" i="28"/>
  <c r="R49" i="28"/>
  <c r="P53" i="28"/>
  <c r="N54" i="28"/>
  <c r="J56" i="28"/>
  <c r="P67" i="28"/>
  <c r="J77" i="28"/>
  <c r="V78" i="28"/>
  <c r="H70" i="29"/>
  <c r="X8" i="29"/>
  <c r="H43" i="29"/>
  <c r="H12" i="29"/>
  <c r="S13" i="29"/>
  <c r="W13" i="29" s="1"/>
  <c r="X13" i="29" s="1"/>
  <c r="X40" i="30"/>
  <c r="G40" i="31"/>
  <c r="X65" i="31"/>
  <c r="G65" i="32"/>
  <c r="W15" i="32"/>
  <c r="X15" i="32" s="1"/>
  <c r="T15" i="32"/>
  <c r="W24" i="31"/>
  <c r="T24" i="31"/>
  <c r="W16" i="32"/>
  <c r="X16" i="32" s="1"/>
  <c r="T16" i="32"/>
  <c r="W9" i="32"/>
  <c r="X9" i="32" s="1"/>
  <c r="T9" i="32"/>
  <c r="X32" i="31"/>
  <c r="G32" i="32"/>
  <c r="G18" i="32"/>
  <c r="X18" i="31"/>
  <c r="W28" i="31"/>
  <c r="T28" i="31"/>
  <c r="P32" i="28"/>
  <c r="J25" i="28"/>
  <c r="J32" i="28"/>
  <c r="X70" i="29"/>
  <c r="G70" i="30"/>
  <c r="T70" i="29"/>
  <c r="H68" i="29"/>
  <c r="H45" i="29"/>
  <c r="T15" i="29"/>
  <c r="T12" i="29"/>
  <c r="T7" i="29"/>
  <c r="H48" i="29"/>
  <c r="S13" i="32"/>
  <c r="H13" i="32"/>
  <c r="S58" i="31"/>
  <c r="H58" i="31"/>
  <c r="S17" i="32"/>
  <c r="H17" i="32"/>
  <c r="S23" i="31"/>
  <c r="H23" i="31"/>
  <c r="S29" i="31"/>
  <c r="H29" i="31"/>
  <c r="S75" i="31"/>
  <c r="H75" i="31"/>
  <c r="S43" i="32"/>
  <c r="H43" i="32"/>
  <c r="T13" i="29"/>
  <c r="T13" i="28"/>
  <c r="T17" i="28"/>
  <c r="T43" i="28"/>
  <c r="X68" i="28"/>
  <c r="W18" i="28"/>
  <c r="T18" i="28"/>
  <c r="T5" i="28"/>
  <c r="W5" i="28"/>
  <c r="W6" i="28"/>
  <c r="T6" i="28"/>
  <c r="W30" i="28"/>
  <c r="T30" i="28"/>
  <c r="T14" i="28"/>
  <c r="W14" i="28"/>
  <c r="T9" i="28"/>
  <c r="T10" i="28"/>
  <c r="W10" i="28"/>
  <c r="X7" i="28"/>
  <c r="L11" i="28"/>
  <c r="X11" i="28"/>
  <c r="L15" i="28"/>
  <c r="V34" i="28"/>
  <c r="P34" i="28"/>
  <c r="R41" i="28"/>
  <c r="J41" i="28"/>
  <c r="V41" i="28"/>
  <c r="P41" i="28"/>
  <c r="V46" i="28"/>
  <c r="P46" i="28"/>
  <c r="H46" i="28"/>
  <c r="T46" i="28"/>
  <c r="N46" i="28"/>
  <c r="R46" i="28"/>
  <c r="R60" i="28"/>
  <c r="J60" i="28"/>
  <c r="V60" i="28"/>
  <c r="P60" i="28"/>
  <c r="N60" i="28"/>
  <c r="L60" i="28"/>
  <c r="V66" i="28"/>
  <c r="P66" i="28"/>
  <c r="N66" i="28"/>
  <c r="J66" i="28"/>
  <c r="N7" i="28"/>
  <c r="L8" i="28"/>
  <c r="N11" i="28"/>
  <c r="T11" i="28"/>
  <c r="N15" i="28"/>
  <c r="L16" i="28"/>
  <c r="H18" i="28"/>
  <c r="N23" i="28"/>
  <c r="L24" i="28"/>
  <c r="P27" i="28"/>
  <c r="R29" i="28"/>
  <c r="J29" i="28"/>
  <c r="V29" i="28"/>
  <c r="R34" i="28"/>
  <c r="R45" i="28"/>
  <c r="J45" i="28"/>
  <c r="V45" i="28"/>
  <c r="P45" i="28"/>
  <c r="H45" i="28"/>
  <c r="R69" i="28"/>
  <c r="J69" i="28"/>
  <c r="V69" i="28"/>
  <c r="P69" i="28"/>
  <c r="H69" i="28"/>
  <c r="X69" i="28"/>
  <c r="L69" i="28"/>
  <c r="T69" i="28"/>
  <c r="P70" i="28"/>
  <c r="H70" i="28"/>
  <c r="T70" i="28"/>
  <c r="N70" i="28"/>
  <c r="X70" i="28"/>
  <c r="L70" i="28"/>
  <c r="J70" i="28"/>
  <c r="V76" i="28"/>
  <c r="P76" i="28"/>
  <c r="N76" i="28"/>
  <c r="J76" i="28"/>
  <c r="L5" i="28"/>
  <c r="J6" i="28"/>
  <c r="R6" i="28"/>
  <c r="H7" i="28"/>
  <c r="P7" i="28"/>
  <c r="V7" i="28"/>
  <c r="N8" i="28"/>
  <c r="T8" i="28"/>
  <c r="L9" i="28"/>
  <c r="X9" i="28"/>
  <c r="J10" i="28"/>
  <c r="R10" i="28"/>
  <c r="H11" i="28"/>
  <c r="P11" i="28"/>
  <c r="V11" i="28"/>
  <c r="N12" i="28"/>
  <c r="T12" i="28"/>
  <c r="L13" i="28"/>
  <c r="X13" i="28"/>
  <c r="J14" i="28"/>
  <c r="R14" i="28"/>
  <c r="H15" i="28"/>
  <c r="P15" i="28"/>
  <c r="V15" i="28"/>
  <c r="N16" i="28"/>
  <c r="L17" i="28"/>
  <c r="X17" i="28"/>
  <c r="P19" i="28"/>
  <c r="V19" i="28"/>
  <c r="N20" i="28"/>
  <c r="L21" i="28"/>
  <c r="P23" i="28"/>
  <c r="V23" i="28"/>
  <c r="N24" i="28"/>
  <c r="L25" i="28"/>
  <c r="R27" i="28"/>
  <c r="P29" i="28"/>
  <c r="R33" i="28"/>
  <c r="J33" i="28"/>
  <c r="N33" i="28"/>
  <c r="V33" i="28"/>
  <c r="J34" i="28"/>
  <c r="V38" i="28"/>
  <c r="P38" i="28"/>
  <c r="N38" i="28"/>
  <c r="R38" i="28"/>
  <c r="L41" i="28"/>
  <c r="T45" i="28"/>
  <c r="J46" i="28"/>
  <c r="V48" i="28"/>
  <c r="P48" i="28"/>
  <c r="H48" i="28"/>
  <c r="T48" i="28"/>
  <c r="N48" i="28"/>
  <c r="J48" i="28"/>
  <c r="L66" i="28"/>
  <c r="L7" i="28"/>
  <c r="X15" i="28"/>
  <c r="L19" i="28"/>
  <c r="L23" i="28"/>
  <c r="N27" i="28"/>
  <c r="L27" i="28"/>
  <c r="V27" i="28"/>
  <c r="N34" i="28"/>
  <c r="H6" i="28"/>
  <c r="T7" i="28"/>
  <c r="X8" i="28"/>
  <c r="H10" i="28"/>
  <c r="L12" i="28"/>
  <c r="X12" i="28"/>
  <c r="H14" i="28"/>
  <c r="T15" i="28"/>
  <c r="N19" i="28"/>
  <c r="L20" i="28"/>
  <c r="N29" i="28"/>
  <c r="N31" i="28"/>
  <c r="L31" i="28"/>
  <c r="V31" i="28"/>
  <c r="R51" i="28"/>
  <c r="J51" i="28"/>
  <c r="V51" i="28"/>
  <c r="P51" i="28"/>
  <c r="N51" i="28"/>
  <c r="L51" i="28"/>
  <c r="L6" i="28"/>
  <c r="J7" i="28"/>
  <c r="H8" i="28"/>
  <c r="P8" i="28"/>
  <c r="N9" i="28"/>
  <c r="L10" i="28"/>
  <c r="J11" i="28"/>
  <c r="H12" i="28"/>
  <c r="P12" i="28"/>
  <c r="N13" i="28"/>
  <c r="L14" i="28"/>
  <c r="J15" i="28"/>
  <c r="P16" i="28"/>
  <c r="N17" i="28"/>
  <c r="L18" i="28"/>
  <c r="J19" i="28"/>
  <c r="P20" i="28"/>
  <c r="N21" i="28"/>
  <c r="L22" i="28"/>
  <c r="J23" i="28"/>
  <c r="P24" i="28"/>
  <c r="N25" i="28"/>
  <c r="L26" i="28"/>
  <c r="J27" i="28"/>
  <c r="V30" i="28"/>
  <c r="P30" i="28"/>
  <c r="H30" i="28"/>
  <c r="N30" i="28"/>
  <c r="R31" i="28"/>
  <c r="P33" i="28"/>
  <c r="L34" i="28"/>
  <c r="R37" i="28"/>
  <c r="J37" i="28"/>
  <c r="V37" i="28"/>
  <c r="P37" i="28"/>
  <c r="N41" i="28"/>
  <c r="V42" i="28"/>
  <c r="P42" i="28"/>
  <c r="N42" i="28"/>
  <c r="R42" i="28"/>
  <c r="L45" i="28"/>
  <c r="X45" i="28"/>
  <c r="L46" i="28"/>
  <c r="X46" i="28"/>
  <c r="X48" i="28"/>
  <c r="R66" i="28"/>
  <c r="N69" i="28"/>
  <c r="R70" i="28"/>
  <c r="V70" i="28" s="1"/>
  <c r="L76" i="28"/>
  <c r="L35" i="28"/>
  <c r="L39" i="28"/>
  <c r="L43" i="28"/>
  <c r="X43" i="28"/>
  <c r="R47" i="28"/>
  <c r="J47" i="28"/>
  <c r="V47" i="28"/>
  <c r="P47" i="28"/>
  <c r="V56" i="28"/>
  <c r="P56" i="28"/>
  <c r="N56" i="28"/>
  <c r="R56" i="28"/>
  <c r="R59" i="28"/>
  <c r="J59" i="28"/>
  <c r="V59" i="28"/>
  <c r="P59" i="28"/>
  <c r="H59" i="28"/>
  <c r="R65" i="28"/>
  <c r="J65" i="28"/>
  <c r="V65" i="28"/>
  <c r="P65" i="28"/>
  <c r="R75" i="28"/>
  <c r="J75" i="28"/>
  <c r="V75" i="28"/>
  <c r="P75" i="28"/>
  <c r="L28" i="28"/>
  <c r="L32" i="28"/>
  <c r="N35" i="28"/>
  <c r="L36" i="28"/>
  <c r="N39" i="28"/>
  <c r="L40" i="28"/>
  <c r="N43" i="28"/>
  <c r="L44" i="28"/>
  <c r="V52" i="28"/>
  <c r="P52" i="28"/>
  <c r="N52" i="28"/>
  <c r="R52" i="28"/>
  <c r="R55" i="28"/>
  <c r="J55" i="28"/>
  <c r="V55" i="28"/>
  <c r="P55" i="28"/>
  <c r="T59" i="28"/>
  <c r="V61" i="28"/>
  <c r="P61" i="28"/>
  <c r="N61" i="28"/>
  <c r="R61" i="28"/>
  <c r="L64" i="28"/>
  <c r="R64" i="28"/>
  <c r="J64" i="28"/>
  <c r="T68" i="28"/>
  <c r="L49" i="28"/>
  <c r="J50" i="28"/>
  <c r="R50" i="28"/>
  <c r="L53" i="28"/>
  <c r="J54" i="28"/>
  <c r="R54" i="28"/>
  <c r="L57" i="28"/>
  <c r="J58" i="28"/>
  <c r="R58" i="28"/>
  <c r="L62" i="28"/>
  <c r="J63" i="28"/>
  <c r="R63" i="28"/>
  <c r="L67" i="28"/>
  <c r="J68" i="28"/>
  <c r="R68" i="28"/>
  <c r="L71" i="28"/>
  <c r="J72" i="28"/>
  <c r="R72" i="28"/>
  <c r="L77" i="28"/>
  <c r="J78" i="28"/>
  <c r="R78" i="28"/>
  <c r="N49" i="28"/>
  <c r="L50" i="28"/>
  <c r="L54" i="28"/>
  <c r="L58" i="28"/>
  <c r="L63" i="28"/>
  <c r="L68" i="28"/>
  <c r="L72" i="28"/>
  <c r="N77" i="28"/>
  <c r="L78" i="28"/>
  <c r="X10" i="28" l="1"/>
  <c r="G10" i="29"/>
  <c r="S65" i="32"/>
  <c r="H65" i="32"/>
  <c r="W11" i="29"/>
  <c r="X11" i="29" s="1"/>
  <c r="T11" i="29"/>
  <c r="W45" i="31"/>
  <c r="T45" i="31"/>
  <c r="W7" i="31"/>
  <c r="T7" i="31"/>
  <c r="G67" i="32"/>
  <c r="X67" i="31"/>
  <c r="W75" i="31"/>
  <c r="T75" i="31"/>
  <c r="W23" i="31"/>
  <c r="T23" i="31"/>
  <c r="W58" i="31"/>
  <c r="T58" i="31"/>
  <c r="S18" i="32"/>
  <c r="H18" i="32"/>
  <c r="G24" i="32"/>
  <c r="X24" i="31"/>
  <c r="W31" i="31"/>
  <c r="T31" i="31"/>
  <c r="S30" i="32"/>
  <c r="H30" i="32"/>
  <c r="X30" i="28"/>
  <c r="G30" i="29"/>
  <c r="X6" i="28"/>
  <c r="G6" i="29"/>
  <c r="X18" i="28"/>
  <c r="G18" i="29"/>
  <c r="S32" i="32"/>
  <c r="H32" i="32"/>
  <c r="S40" i="31"/>
  <c r="H40" i="31"/>
  <c r="W9" i="29"/>
  <c r="X9" i="29" s="1"/>
  <c r="T9" i="29"/>
  <c r="W11" i="31"/>
  <c r="T11" i="31"/>
  <c r="W69" i="31"/>
  <c r="T69" i="31"/>
  <c r="S59" i="29"/>
  <c r="H59" i="29"/>
  <c r="X12" i="31"/>
  <c r="G12" i="32"/>
  <c r="X14" i="28"/>
  <c r="G14" i="29"/>
  <c r="X5" i="28"/>
  <c r="G5" i="29"/>
  <c r="W43" i="32"/>
  <c r="X43" i="32" s="1"/>
  <c r="T43" i="32"/>
  <c r="W29" i="31"/>
  <c r="T29" i="31"/>
  <c r="W17" i="32"/>
  <c r="X17" i="32" s="1"/>
  <c r="T17" i="32"/>
  <c r="W13" i="32"/>
  <c r="X13" i="32" s="1"/>
  <c r="T13" i="32"/>
  <c r="S70" i="30"/>
  <c r="H70" i="30"/>
  <c r="X28" i="31"/>
  <c r="G28" i="32"/>
  <c r="W8" i="30"/>
  <c r="T8" i="30"/>
  <c r="G69" i="32" l="1"/>
  <c r="X69" i="31"/>
  <c r="X75" i="31"/>
  <c r="G75" i="32"/>
  <c r="S14" i="29"/>
  <c r="H14" i="29"/>
  <c r="S18" i="29"/>
  <c r="H18" i="29"/>
  <c r="S30" i="29"/>
  <c r="H30" i="29"/>
  <c r="G29" i="32"/>
  <c r="X29" i="31"/>
  <c r="W30" i="32"/>
  <c r="X30" i="32" s="1"/>
  <c r="T30" i="32"/>
  <c r="G58" i="32"/>
  <c r="X58" i="31"/>
  <c r="G7" i="32"/>
  <c r="X7" i="31"/>
  <c r="X8" i="30"/>
  <c r="G8" i="31"/>
  <c r="W59" i="29"/>
  <c r="T59" i="29"/>
  <c r="W40" i="31"/>
  <c r="T40" i="31"/>
  <c r="X31" i="31"/>
  <c r="G31" i="32"/>
  <c r="W18" i="32"/>
  <c r="X18" i="32" s="1"/>
  <c r="T18" i="32"/>
  <c r="G23" i="32"/>
  <c r="X23" i="31"/>
  <c r="S67" i="32"/>
  <c r="H67" i="32"/>
  <c r="X45" i="31"/>
  <c r="G45" i="32"/>
  <c r="T65" i="32"/>
  <c r="W65" i="32"/>
  <c r="X65" i="32" s="1"/>
  <c r="W32" i="32"/>
  <c r="X32" i="32" s="1"/>
  <c r="T32" i="32"/>
  <c r="S24" i="32"/>
  <c r="H24" i="32"/>
  <c r="W70" i="30"/>
  <c r="T70" i="30"/>
  <c r="X11" i="31"/>
  <c r="G11" i="32"/>
  <c r="S28" i="32"/>
  <c r="H28" i="32"/>
  <c r="H5" i="29"/>
  <c r="S5" i="29"/>
  <c r="S12" i="32"/>
  <c r="H12" i="32"/>
  <c r="S6" i="29"/>
  <c r="H6" i="29"/>
  <c r="S10" i="29"/>
  <c r="H10" i="29"/>
  <c r="S75" i="32" l="1"/>
  <c r="H75" i="32"/>
  <c r="W6" i="29"/>
  <c r="X6" i="29" s="1"/>
  <c r="T6" i="29"/>
  <c r="G40" i="32"/>
  <c r="X40" i="31"/>
  <c r="S58" i="32"/>
  <c r="H58" i="32"/>
  <c r="S29" i="32"/>
  <c r="H29" i="32"/>
  <c r="W18" i="29"/>
  <c r="X18" i="29" s="1"/>
  <c r="T18" i="29"/>
  <c r="W5" i="29"/>
  <c r="X5" i="29" s="1"/>
  <c r="T5" i="29"/>
  <c r="S8" i="31"/>
  <c r="H8" i="31"/>
  <c r="W24" i="32"/>
  <c r="X24" i="32" s="1"/>
  <c r="T24" i="32"/>
  <c r="W67" i="32"/>
  <c r="X67" i="32" s="1"/>
  <c r="T67" i="32"/>
  <c r="S45" i="32"/>
  <c r="H45" i="32"/>
  <c r="S31" i="32"/>
  <c r="H31" i="32"/>
  <c r="S11" i="32"/>
  <c r="H11" i="32"/>
  <c r="W10" i="29"/>
  <c r="X10" i="29" s="1"/>
  <c r="T10" i="29"/>
  <c r="W12" i="32"/>
  <c r="X12" i="32" s="1"/>
  <c r="T12" i="32"/>
  <c r="W28" i="32"/>
  <c r="X28" i="32" s="1"/>
  <c r="T28" i="32"/>
  <c r="X70" i="30"/>
  <c r="G70" i="31"/>
  <c r="S23" i="32"/>
  <c r="H23" i="32"/>
  <c r="X59" i="29"/>
  <c r="G59" i="30"/>
  <c r="H7" i="32"/>
  <c r="S7" i="32"/>
  <c r="W30" i="29"/>
  <c r="X30" i="29" s="1"/>
  <c r="T30" i="29"/>
  <c r="W14" i="29"/>
  <c r="X14" i="29" s="1"/>
  <c r="T14" i="29"/>
  <c r="S69" i="32"/>
  <c r="H69" i="32"/>
  <c r="F78" i="27"/>
  <c r="L78" i="27" s="1"/>
  <c r="J77" i="27"/>
  <c r="F77" i="27"/>
  <c r="R77" i="27" s="1"/>
  <c r="J76" i="27"/>
  <c r="F76" i="27"/>
  <c r="R76" i="27" s="1"/>
  <c r="F75" i="27"/>
  <c r="P75" i="27" s="1"/>
  <c r="V74" i="27"/>
  <c r="R74" i="27"/>
  <c r="P74" i="27"/>
  <c r="N74" i="27"/>
  <c r="L74" i="27"/>
  <c r="J74" i="27"/>
  <c r="V73" i="27"/>
  <c r="R73" i="27"/>
  <c r="P73" i="27"/>
  <c r="N73" i="27"/>
  <c r="L73" i="27"/>
  <c r="J73" i="27"/>
  <c r="F72" i="27"/>
  <c r="F71" i="27"/>
  <c r="F70" i="27"/>
  <c r="F69" i="27"/>
  <c r="V69" i="27" s="1"/>
  <c r="V68" i="27"/>
  <c r="L68" i="27"/>
  <c r="J68" i="27"/>
  <c r="F68" i="27"/>
  <c r="R68" i="27" s="1"/>
  <c r="V67" i="27"/>
  <c r="L67" i="27"/>
  <c r="J67" i="27"/>
  <c r="F67" i="27"/>
  <c r="R67" i="27" s="1"/>
  <c r="V66" i="27"/>
  <c r="L66" i="27"/>
  <c r="J66" i="27"/>
  <c r="F66" i="27"/>
  <c r="R66" i="27" s="1"/>
  <c r="V65" i="27"/>
  <c r="J65" i="27"/>
  <c r="F65" i="27"/>
  <c r="R65" i="27" s="1"/>
  <c r="H64" i="27"/>
  <c r="S64" i="27"/>
  <c r="W64" i="27" s="1"/>
  <c r="G64" i="28" s="1"/>
  <c r="F64" i="27"/>
  <c r="V64" i="27" s="1"/>
  <c r="R63" i="27"/>
  <c r="F63" i="27"/>
  <c r="P63" i="27" s="1"/>
  <c r="F62" i="27"/>
  <c r="V61" i="27"/>
  <c r="R61" i="27"/>
  <c r="J61" i="27"/>
  <c r="F61" i="27"/>
  <c r="P61" i="27" s="1"/>
  <c r="S60" i="27"/>
  <c r="W60" i="27" s="1"/>
  <c r="J60" i="27"/>
  <c r="F60" i="27"/>
  <c r="H60" i="27" s="1"/>
  <c r="R59" i="27"/>
  <c r="F59" i="27"/>
  <c r="J59" i="27" s="1"/>
  <c r="J58" i="27"/>
  <c r="F58" i="27"/>
  <c r="R58" i="27" s="1"/>
  <c r="L57" i="27"/>
  <c r="F57" i="27"/>
  <c r="J57" i="27" s="1"/>
  <c r="F56" i="27"/>
  <c r="R56" i="27" s="1"/>
  <c r="L55" i="27"/>
  <c r="F55" i="27"/>
  <c r="F54" i="27"/>
  <c r="R54" i="27" s="1"/>
  <c r="N53" i="27"/>
  <c r="J53" i="27"/>
  <c r="F53" i="27"/>
  <c r="R53" i="27" s="1"/>
  <c r="V52" i="27"/>
  <c r="J52" i="27"/>
  <c r="F52" i="27"/>
  <c r="R52" i="27" s="1"/>
  <c r="R51" i="27"/>
  <c r="F51" i="27"/>
  <c r="P51" i="27" s="1"/>
  <c r="R50" i="27"/>
  <c r="F50" i="27"/>
  <c r="P50" i="27" s="1"/>
  <c r="F49" i="27"/>
  <c r="J49" i="27" s="1"/>
  <c r="R48" i="27"/>
  <c r="L48" i="27"/>
  <c r="F48" i="27"/>
  <c r="J48" i="27" s="1"/>
  <c r="F47" i="27"/>
  <c r="N47" i="27" s="1"/>
  <c r="N46" i="27"/>
  <c r="J46" i="27"/>
  <c r="F46" i="27"/>
  <c r="V45" i="27"/>
  <c r="J45" i="27"/>
  <c r="F45" i="27"/>
  <c r="R45" i="27" s="1"/>
  <c r="F44" i="27"/>
  <c r="R44" i="27" s="1"/>
  <c r="N43" i="27"/>
  <c r="J43" i="27"/>
  <c r="F43" i="27"/>
  <c r="R43" i="27" s="1"/>
  <c r="F42" i="27"/>
  <c r="L42" i="27" s="1"/>
  <c r="F41" i="27"/>
  <c r="J41" i="27" s="1"/>
  <c r="J40" i="27"/>
  <c r="F40" i="27"/>
  <c r="L40" i="27" s="1"/>
  <c r="F39" i="27"/>
  <c r="V38" i="27"/>
  <c r="R38" i="27"/>
  <c r="J38" i="27"/>
  <c r="F38" i="27"/>
  <c r="P38" i="27" s="1"/>
  <c r="R37" i="27"/>
  <c r="P37" i="27"/>
  <c r="F37" i="27"/>
  <c r="J37" i="27" s="1"/>
  <c r="L36" i="27"/>
  <c r="F36" i="27"/>
  <c r="J36" i="27" s="1"/>
  <c r="L35" i="27"/>
  <c r="F35" i="27"/>
  <c r="P35" i="27" s="1"/>
  <c r="F34" i="27"/>
  <c r="N34" i="27" s="1"/>
  <c r="F33" i="27"/>
  <c r="P33" i="27" s="1"/>
  <c r="N32" i="27"/>
  <c r="F32" i="27"/>
  <c r="L31" i="27"/>
  <c r="F31" i="27"/>
  <c r="F30" i="27"/>
  <c r="P30" i="27" s="1"/>
  <c r="F29" i="27"/>
  <c r="N29" i="27" s="1"/>
  <c r="J28" i="27"/>
  <c r="F28" i="27"/>
  <c r="R28" i="27" s="1"/>
  <c r="F27" i="27"/>
  <c r="J27" i="27" s="1"/>
  <c r="F26" i="27"/>
  <c r="P26" i="27" s="1"/>
  <c r="N25" i="27"/>
  <c r="F25" i="27"/>
  <c r="P25" i="27" s="1"/>
  <c r="R24" i="27"/>
  <c r="J24" i="27"/>
  <c r="F24" i="27"/>
  <c r="P24" i="27" s="1"/>
  <c r="R23" i="27"/>
  <c r="F23" i="27"/>
  <c r="V23" i="27" s="1"/>
  <c r="F22" i="27"/>
  <c r="P22" i="27" s="1"/>
  <c r="F21" i="27"/>
  <c r="R21" i="27" s="1"/>
  <c r="R20" i="27"/>
  <c r="F20" i="27"/>
  <c r="J20" i="27" s="1"/>
  <c r="L19" i="27"/>
  <c r="F19" i="27"/>
  <c r="F18" i="27"/>
  <c r="P18" i="27" s="1"/>
  <c r="V17" i="27"/>
  <c r="P17" i="27"/>
  <c r="L17" i="27"/>
  <c r="F17" i="27"/>
  <c r="J17" i="27" s="1"/>
  <c r="V16" i="27"/>
  <c r="L16" i="27"/>
  <c r="J16" i="27"/>
  <c r="F16" i="27"/>
  <c r="R16" i="27" s="1"/>
  <c r="R15" i="27"/>
  <c r="J15" i="27"/>
  <c r="F15" i="27"/>
  <c r="P15" i="27" s="1"/>
  <c r="R14" i="27"/>
  <c r="J14" i="27"/>
  <c r="F14" i="27"/>
  <c r="P14" i="27" s="1"/>
  <c r="J13" i="27"/>
  <c r="F13" i="27"/>
  <c r="R13" i="27" s="1"/>
  <c r="F12" i="27"/>
  <c r="P12" i="27" s="1"/>
  <c r="F11" i="27"/>
  <c r="V11" i="27" s="1"/>
  <c r="F10" i="27"/>
  <c r="V10" i="27" s="1"/>
  <c r="V9" i="27"/>
  <c r="P9" i="27"/>
  <c r="L9" i="27"/>
  <c r="F9" i="27"/>
  <c r="J9" i="27" s="1"/>
  <c r="V8" i="27"/>
  <c r="J8" i="27"/>
  <c r="F8" i="27"/>
  <c r="R8" i="27" s="1"/>
  <c r="R7" i="27"/>
  <c r="L7" i="27"/>
  <c r="F7" i="27"/>
  <c r="J7" i="27" s="1"/>
  <c r="F6" i="27"/>
  <c r="R6" i="27" s="1"/>
  <c r="J5" i="27"/>
  <c r="F5" i="27"/>
  <c r="V5" i="27" s="1"/>
  <c r="R22" i="27" l="1"/>
  <c r="P34" i="27"/>
  <c r="R42" i="27"/>
  <c r="X60" i="27"/>
  <c r="G60" i="28"/>
  <c r="R75" i="27"/>
  <c r="L5" i="27"/>
  <c r="J6" i="27"/>
  <c r="P8" i="27"/>
  <c r="R9" i="27"/>
  <c r="R10" i="27"/>
  <c r="R11" i="27"/>
  <c r="J12" i="27"/>
  <c r="L13" i="27"/>
  <c r="V13" i="27"/>
  <c r="L14" i="27"/>
  <c r="V14" i="27"/>
  <c r="L15" i="27"/>
  <c r="V15" i="27"/>
  <c r="P16" i="27"/>
  <c r="R17" i="27"/>
  <c r="J18" i="27"/>
  <c r="V18" i="27"/>
  <c r="J21" i="27"/>
  <c r="J23" i="27"/>
  <c r="L26" i="27"/>
  <c r="L27" i="27"/>
  <c r="P28" i="27"/>
  <c r="R29" i="27"/>
  <c r="V30" i="27"/>
  <c r="J33" i="27"/>
  <c r="R34" i="27"/>
  <c r="N38" i="27"/>
  <c r="J44" i="27"/>
  <c r="N45" i="27"/>
  <c r="R46" i="27"/>
  <c r="J50" i="27"/>
  <c r="J51" i="27"/>
  <c r="N52" i="27"/>
  <c r="V54" i="27"/>
  <c r="N57" i="27"/>
  <c r="P58" i="27"/>
  <c r="L60" i="27"/>
  <c r="V60" i="27"/>
  <c r="N61" i="27"/>
  <c r="J63" i="27"/>
  <c r="V63" i="27"/>
  <c r="P64" i="27"/>
  <c r="L65" i="27"/>
  <c r="P66" i="27"/>
  <c r="P67" i="27"/>
  <c r="P68" i="27"/>
  <c r="J69" i="27"/>
  <c r="N77" i="27"/>
  <c r="W23" i="32"/>
  <c r="X23" i="32" s="1"/>
  <c r="T23" i="32"/>
  <c r="W31" i="32"/>
  <c r="X31" i="32" s="1"/>
  <c r="T31" i="32"/>
  <c r="W8" i="31"/>
  <c r="T8" i="31"/>
  <c r="W58" i="32"/>
  <c r="X58" i="32" s="1"/>
  <c r="T58" i="32"/>
  <c r="P10" i="27"/>
  <c r="P11" i="27"/>
  <c r="R12" i="27"/>
  <c r="R69" i="27"/>
  <c r="W7" i="32"/>
  <c r="X7" i="32" s="1"/>
  <c r="T7" i="32"/>
  <c r="R5" i="27"/>
  <c r="L6" i="27"/>
  <c r="J10" i="27"/>
  <c r="J11" i="27"/>
  <c r="L12" i="27"/>
  <c r="V12" i="27"/>
  <c r="P13" i="27"/>
  <c r="N18" i="27"/>
  <c r="L21" i="27"/>
  <c r="J22" i="27"/>
  <c r="V22" i="27"/>
  <c r="L23" i="27"/>
  <c r="J29" i="27"/>
  <c r="V29" i="27"/>
  <c r="R33" i="27"/>
  <c r="J34" i="27"/>
  <c r="V34" i="27"/>
  <c r="J42" i="27"/>
  <c r="V44" i="27"/>
  <c r="P45" i="27"/>
  <c r="L49" i="27"/>
  <c r="L50" i="27"/>
  <c r="V50" i="27"/>
  <c r="L51" i="27"/>
  <c r="V51" i="27"/>
  <c r="P52" i="27"/>
  <c r="P54" i="27"/>
  <c r="L59" i="27"/>
  <c r="V59" i="27"/>
  <c r="P60" i="27"/>
  <c r="N63" i="27"/>
  <c r="P65" i="27"/>
  <c r="N69" i="27"/>
  <c r="J75" i="27"/>
  <c r="V75" i="27"/>
  <c r="S59" i="30"/>
  <c r="H59" i="30"/>
  <c r="S70" i="31"/>
  <c r="H70" i="31"/>
  <c r="R18" i="27"/>
  <c r="P29" i="27"/>
  <c r="L10" i="27"/>
  <c r="L11" i="27"/>
  <c r="P23" i="27"/>
  <c r="P59" i="27"/>
  <c r="R60" i="27"/>
  <c r="S64" i="28"/>
  <c r="H64" i="28"/>
  <c r="P69" i="27"/>
  <c r="V76" i="27"/>
  <c r="L76" i="27"/>
  <c r="V77" i="27"/>
  <c r="L77" i="27"/>
  <c r="T69" i="32"/>
  <c r="W69" i="32"/>
  <c r="X69" i="32" s="1"/>
  <c r="W11" i="32"/>
  <c r="X11" i="32" s="1"/>
  <c r="T11" i="32"/>
  <c r="W45" i="32"/>
  <c r="X45" i="32" s="1"/>
  <c r="T45" i="32"/>
  <c r="W29" i="32"/>
  <c r="X29" i="32" s="1"/>
  <c r="T29" i="32"/>
  <c r="S40" i="32"/>
  <c r="H40" i="32"/>
  <c r="W75" i="32"/>
  <c r="X75" i="32" s="1"/>
  <c r="T75" i="32"/>
  <c r="R25" i="27"/>
  <c r="J25" i="27"/>
  <c r="V25" i="27"/>
  <c r="T60" i="27"/>
  <c r="V32" i="27"/>
  <c r="P32" i="27"/>
  <c r="J32" i="27"/>
  <c r="R32" i="27"/>
  <c r="L32" i="27"/>
  <c r="L30" i="27"/>
  <c r="J30" i="27"/>
  <c r="R30" i="27"/>
  <c r="N30" i="27"/>
  <c r="V19" i="27"/>
  <c r="P19" i="27"/>
  <c r="N19" i="27"/>
  <c r="R19" i="27"/>
  <c r="J19" i="27"/>
  <c r="R62" i="27"/>
  <c r="J62" i="27"/>
  <c r="N62" i="27"/>
  <c r="V62" i="27"/>
  <c r="L62" i="27"/>
  <c r="L20" i="27"/>
  <c r="P41" i="27"/>
  <c r="N5" i="27"/>
  <c r="N7" i="27"/>
  <c r="L8" i="27"/>
  <c r="P5" i="27"/>
  <c r="P6" i="27"/>
  <c r="V6" i="27"/>
  <c r="P7" i="27"/>
  <c r="V7" i="27"/>
  <c r="N8" i="27"/>
  <c r="N9" i="27"/>
  <c r="N10" i="27"/>
  <c r="N11" i="27"/>
  <c r="N12" i="27"/>
  <c r="N13" i="27"/>
  <c r="N14" i="27"/>
  <c r="N15" i="27"/>
  <c r="N16" i="27"/>
  <c r="N17" i="27"/>
  <c r="L18" i="27"/>
  <c r="P20" i="27"/>
  <c r="V20" i="27"/>
  <c r="P21" i="27"/>
  <c r="V21" i="27"/>
  <c r="N22" i="27"/>
  <c r="N23" i="27"/>
  <c r="R26" i="27"/>
  <c r="J26" i="27"/>
  <c r="N26" i="27"/>
  <c r="V26" i="27"/>
  <c r="N28" i="27"/>
  <c r="L28" i="27"/>
  <c r="V28" i="27"/>
  <c r="P31" i="27"/>
  <c r="R35" i="27"/>
  <c r="J35" i="27"/>
  <c r="N35" i="27"/>
  <c r="V35" i="27"/>
  <c r="N37" i="27"/>
  <c r="L37" i="27"/>
  <c r="V37" i="27"/>
  <c r="L39" i="27"/>
  <c r="R40" i="27"/>
  <c r="V43" i="27"/>
  <c r="P43" i="27"/>
  <c r="L43" i="27"/>
  <c r="L54" i="27"/>
  <c r="J54" i="27"/>
  <c r="N54" i="27"/>
  <c r="R39" i="27"/>
  <c r="J39" i="27"/>
  <c r="N39" i="27"/>
  <c r="V39" i="27"/>
  <c r="N41" i="27"/>
  <c r="L41" i="27"/>
  <c r="V41" i="27"/>
  <c r="R47" i="27"/>
  <c r="J47" i="27"/>
  <c r="P47" i="27"/>
  <c r="V56" i="27"/>
  <c r="P56" i="27"/>
  <c r="J56" i="27"/>
  <c r="L56" i="27"/>
  <c r="V27" i="27"/>
  <c r="P27" i="27"/>
  <c r="N27" i="27"/>
  <c r="V36" i="27"/>
  <c r="P36" i="27"/>
  <c r="N36" i="27"/>
  <c r="P39" i="27"/>
  <c r="V47" i="27"/>
  <c r="N49" i="27"/>
  <c r="P49" i="27"/>
  <c r="R49" i="27"/>
  <c r="N6" i="27"/>
  <c r="N20" i="27"/>
  <c r="N21" i="27"/>
  <c r="L22" i="27"/>
  <c r="N24" i="27"/>
  <c r="L24" i="27"/>
  <c r="V24" i="27"/>
  <c r="R27" i="27"/>
  <c r="R31" i="27"/>
  <c r="J31" i="27"/>
  <c r="N31" i="27"/>
  <c r="V31" i="27"/>
  <c r="N33" i="27"/>
  <c r="L33" i="27"/>
  <c r="V33" i="27"/>
  <c r="R36" i="27"/>
  <c r="V40" i="27"/>
  <c r="P40" i="27"/>
  <c r="N40" i="27"/>
  <c r="R41" i="27"/>
  <c r="N44" i="27"/>
  <c r="P44" i="27"/>
  <c r="L44" i="27"/>
  <c r="L47" i="27"/>
  <c r="V49" i="27"/>
  <c r="N56" i="27"/>
  <c r="P62" i="27"/>
  <c r="L25" i="27"/>
  <c r="L29" i="27"/>
  <c r="L34" i="27"/>
  <c r="L38" i="27"/>
  <c r="V42" i="27"/>
  <c r="P42" i="27"/>
  <c r="N42" i="27"/>
  <c r="L46" i="27"/>
  <c r="P46" i="27"/>
  <c r="V46" i="27"/>
  <c r="V48" i="27"/>
  <c r="P48" i="27"/>
  <c r="N48" i="27"/>
  <c r="P55" i="27"/>
  <c r="N58" i="27"/>
  <c r="L58" i="27"/>
  <c r="V58" i="27"/>
  <c r="T64" i="27"/>
  <c r="L53" i="27"/>
  <c r="P53" i="27"/>
  <c r="V53" i="27"/>
  <c r="R55" i="27"/>
  <c r="J55" i="27"/>
  <c r="N55" i="27"/>
  <c r="V55" i="27"/>
  <c r="V57" i="27"/>
  <c r="P57" i="27"/>
  <c r="R57" i="27"/>
  <c r="L63" i="27"/>
  <c r="J64" i="27"/>
  <c r="R64" i="27"/>
  <c r="P70" i="27"/>
  <c r="P71" i="27"/>
  <c r="V71" i="27"/>
  <c r="P72" i="27"/>
  <c r="V72" i="27"/>
  <c r="N78" i="27"/>
  <c r="L64" i="27"/>
  <c r="X64" i="27"/>
  <c r="J70" i="27"/>
  <c r="R70" i="27"/>
  <c r="V70" i="27" s="1"/>
  <c r="J71" i="27"/>
  <c r="R71" i="27"/>
  <c r="J72" i="27"/>
  <c r="R72" i="27"/>
  <c r="P78" i="27"/>
  <c r="V78" i="27"/>
  <c r="L45" i="27"/>
  <c r="N50" i="27"/>
  <c r="N51" i="27"/>
  <c r="L52" i="27"/>
  <c r="N59" i="27"/>
  <c r="N60" i="27"/>
  <c r="L61" i="27"/>
  <c r="N64" i="27"/>
  <c r="N65" i="27"/>
  <c r="N66" i="27"/>
  <c r="N67" i="27"/>
  <c r="N68" i="27"/>
  <c r="L69" i="27"/>
  <c r="L70" i="27"/>
  <c r="L71" i="27"/>
  <c r="L72" i="27"/>
  <c r="L75" i="27"/>
  <c r="N76" i="27"/>
  <c r="P77" i="27"/>
  <c r="R78" i="27"/>
  <c r="N70" i="27"/>
  <c r="N71" i="27"/>
  <c r="N72" i="27"/>
  <c r="N75" i="27"/>
  <c r="P76" i="27"/>
  <c r="J78" i="27"/>
  <c r="W59" i="30" l="1"/>
  <c r="T59" i="30"/>
  <c r="G8" i="32"/>
  <c r="X8" i="31"/>
  <c r="W64" i="28"/>
  <c r="T64" i="28"/>
  <c r="W40" i="32"/>
  <c r="X40" i="32" s="1"/>
  <c r="G40" i="33"/>
  <c r="T40" i="32"/>
  <c r="W70" i="31"/>
  <c r="T70" i="31"/>
  <c r="S60" i="28"/>
  <c r="H60" i="28"/>
  <c r="F78" i="26"/>
  <c r="S77" i="26"/>
  <c r="W77" i="26" s="1"/>
  <c r="G77" i="27" s="1"/>
  <c r="F77" i="26"/>
  <c r="R77" i="26" s="1"/>
  <c r="S76" i="26"/>
  <c r="W76" i="26" s="1"/>
  <c r="G76" i="27" s="1"/>
  <c r="N76" i="26"/>
  <c r="J76" i="26"/>
  <c r="F76" i="26"/>
  <c r="R76" i="26" s="1"/>
  <c r="S75" i="26"/>
  <c r="W75" i="26" s="1"/>
  <c r="G75" i="27" s="1"/>
  <c r="F75" i="26"/>
  <c r="V74" i="26"/>
  <c r="R74" i="26"/>
  <c r="P74" i="26"/>
  <c r="N74" i="26"/>
  <c r="L74" i="26"/>
  <c r="J74" i="26"/>
  <c r="V73" i="26"/>
  <c r="R73" i="26"/>
  <c r="P73" i="26"/>
  <c r="N73" i="26"/>
  <c r="L73" i="26"/>
  <c r="J73" i="26"/>
  <c r="S72" i="26"/>
  <c r="W72" i="26" s="1"/>
  <c r="G72" i="27" s="1"/>
  <c r="F72" i="26"/>
  <c r="P72" i="26" s="1"/>
  <c r="P71" i="26"/>
  <c r="S71" i="26"/>
  <c r="T71" i="26" s="1"/>
  <c r="F71" i="26"/>
  <c r="V71" i="26" s="1"/>
  <c r="S70" i="26"/>
  <c r="W70" i="26" s="1"/>
  <c r="J70" i="26"/>
  <c r="F70" i="26"/>
  <c r="L70" i="26" s="1"/>
  <c r="F69" i="26"/>
  <c r="N69" i="26" s="1"/>
  <c r="N68" i="26"/>
  <c r="F68" i="26"/>
  <c r="V68" i="26" s="1"/>
  <c r="P67" i="26"/>
  <c r="S67" i="26"/>
  <c r="W67" i="26" s="1"/>
  <c r="G67" i="27" s="1"/>
  <c r="F67" i="26"/>
  <c r="V67" i="26" s="1"/>
  <c r="S66" i="26"/>
  <c r="W66" i="26" s="1"/>
  <c r="F66" i="26"/>
  <c r="H66" i="26" s="1"/>
  <c r="S65" i="26"/>
  <c r="W65" i="26" s="1"/>
  <c r="G65" i="27" s="1"/>
  <c r="F65" i="26"/>
  <c r="L64" i="26"/>
  <c r="F64" i="26"/>
  <c r="P64" i="26" s="1"/>
  <c r="V63" i="26"/>
  <c r="R63" i="26"/>
  <c r="J63" i="26"/>
  <c r="F63" i="26"/>
  <c r="N63" i="26" s="1"/>
  <c r="F62" i="26"/>
  <c r="P62" i="26" s="1"/>
  <c r="F61" i="26"/>
  <c r="S60" i="26"/>
  <c r="W60" i="26" s="1"/>
  <c r="L60" i="26"/>
  <c r="H60" i="26"/>
  <c r="F60" i="26"/>
  <c r="F59" i="26"/>
  <c r="V59" i="26" s="1"/>
  <c r="F58" i="26"/>
  <c r="S57" i="26"/>
  <c r="F57" i="26"/>
  <c r="L57" i="26" s="1"/>
  <c r="F56" i="26"/>
  <c r="N56" i="26" s="1"/>
  <c r="F55" i="26"/>
  <c r="P55" i="26" s="1"/>
  <c r="S54" i="26"/>
  <c r="W54" i="26" s="1"/>
  <c r="G54" i="27" s="1"/>
  <c r="F54" i="26"/>
  <c r="P54" i="26" s="1"/>
  <c r="S53" i="26"/>
  <c r="W53" i="26" s="1"/>
  <c r="G53" i="27" s="1"/>
  <c r="F53" i="26"/>
  <c r="J53" i="26" s="1"/>
  <c r="N52" i="26"/>
  <c r="F52" i="26"/>
  <c r="P52" i="26" s="1"/>
  <c r="V51" i="26"/>
  <c r="J51" i="26"/>
  <c r="H51" i="26"/>
  <c r="S51" i="26"/>
  <c r="W51" i="26" s="1"/>
  <c r="G51" i="27" s="1"/>
  <c r="F51" i="26"/>
  <c r="N51" i="26" s="1"/>
  <c r="S50" i="26"/>
  <c r="W50" i="26" s="1"/>
  <c r="H50" i="26"/>
  <c r="F50" i="26"/>
  <c r="J50" i="26" s="1"/>
  <c r="F49" i="26"/>
  <c r="N49" i="26" s="1"/>
  <c r="F48" i="26"/>
  <c r="P48" i="26" s="1"/>
  <c r="N47" i="26"/>
  <c r="F47" i="26"/>
  <c r="P47" i="26" s="1"/>
  <c r="S46" i="26"/>
  <c r="W46" i="26" s="1"/>
  <c r="G46" i="27" s="1"/>
  <c r="F46" i="26"/>
  <c r="L46" i="26" s="1"/>
  <c r="L45" i="26"/>
  <c r="F45" i="26"/>
  <c r="N45" i="26" s="1"/>
  <c r="R44" i="26"/>
  <c r="F44" i="26"/>
  <c r="V44" i="26" s="1"/>
  <c r="S43" i="26"/>
  <c r="W43" i="26" s="1"/>
  <c r="G43" i="27" s="1"/>
  <c r="H43" i="26"/>
  <c r="F43" i="26"/>
  <c r="V43" i="26" s="1"/>
  <c r="S42" i="26"/>
  <c r="W42" i="26" s="1"/>
  <c r="G42" i="27" s="1"/>
  <c r="F42" i="26"/>
  <c r="R42" i="26" s="1"/>
  <c r="F41" i="26"/>
  <c r="N41" i="26" s="1"/>
  <c r="R40" i="26"/>
  <c r="N40" i="26"/>
  <c r="F40" i="26"/>
  <c r="P40" i="26" s="1"/>
  <c r="V39" i="26"/>
  <c r="R39" i="26"/>
  <c r="J39" i="26"/>
  <c r="F39" i="26"/>
  <c r="P39" i="26" s="1"/>
  <c r="F38" i="26"/>
  <c r="J38" i="26" s="1"/>
  <c r="F37" i="26"/>
  <c r="F36" i="26"/>
  <c r="R36" i="26" s="1"/>
  <c r="R35" i="26"/>
  <c r="F35" i="26"/>
  <c r="J35" i="26" s="1"/>
  <c r="F34" i="26"/>
  <c r="F33" i="26"/>
  <c r="L33" i="26" s="1"/>
  <c r="P32" i="26"/>
  <c r="F32" i="26"/>
  <c r="R32" i="26" s="1"/>
  <c r="R31" i="26"/>
  <c r="F31" i="26"/>
  <c r="S30" i="26"/>
  <c r="W30" i="26" s="1"/>
  <c r="G30" i="27" s="1"/>
  <c r="F30" i="26"/>
  <c r="F29" i="26"/>
  <c r="R28" i="26"/>
  <c r="N28" i="26"/>
  <c r="F28" i="26"/>
  <c r="V28" i="26" s="1"/>
  <c r="R27" i="26"/>
  <c r="F27" i="26"/>
  <c r="L27" i="26" s="1"/>
  <c r="F26" i="26"/>
  <c r="J26" i="26" s="1"/>
  <c r="F25" i="26"/>
  <c r="V24" i="26"/>
  <c r="J24" i="26"/>
  <c r="F24" i="26"/>
  <c r="N24" i="26" s="1"/>
  <c r="S23" i="26"/>
  <c r="W23" i="26" s="1"/>
  <c r="G23" i="27" s="1"/>
  <c r="L23" i="26"/>
  <c r="F23" i="26"/>
  <c r="J23" i="26" s="1"/>
  <c r="R22" i="26"/>
  <c r="F22" i="26"/>
  <c r="J22" i="26" s="1"/>
  <c r="S21" i="26"/>
  <c r="W21" i="26" s="1"/>
  <c r="G21" i="27" s="1"/>
  <c r="F21" i="26"/>
  <c r="N21" i="26" s="1"/>
  <c r="V20" i="26"/>
  <c r="R20" i="26"/>
  <c r="J20" i="26"/>
  <c r="F20" i="26"/>
  <c r="P20" i="26" s="1"/>
  <c r="P19" i="26"/>
  <c r="F19" i="26"/>
  <c r="V19" i="26" s="1"/>
  <c r="L18" i="26"/>
  <c r="F18" i="26"/>
  <c r="R18" i="26" s="1"/>
  <c r="S17" i="26"/>
  <c r="W17" i="26" s="1"/>
  <c r="G17" i="27" s="1"/>
  <c r="F17" i="26"/>
  <c r="P16" i="26"/>
  <c r="S16" i="26"/>
  <c r="W16" i="26" s="1"/>
  <c r="G16" i="27" s="1"/>
  <c r="F16" i="26"/>
  <c r="R16" i="26" s="1"/>
  <c r="S15" i="26"/>
  <c r="W15" i="26" s="1"/>
  <c r="P15" i="26"/>
  <c r="F15" i="26"/>
  <c r="J15" i="26" s="1"/>
  <c r="S14" i="26"/>
  <c r="W14" i="26" s="1"/>
  <c r="G14" i="27" s="1"/>
  <c r="F14" i="26"/>
  <c r="L14" i="26" s="1"/>
  <c r="S13" i="26"/>
  <c r="W13" i="26" s="1"/>
  <c r="F13" i="26"/>
  <c r="H13" i="26" s="1"/>
  <c r="S12" i="26"/>
  <c r="W12" i="26" s="1"/>
  <c r="G12" i="27" s="1"/>
  <c r="F12" i="26"/>
  <c r="P12" i="26" s="1"/>
  <c r="S11" i="26"/>
  <c r="W11" i="26" s="1"/>
  <c r="P11" i="26"/>
  <c r="J11" i="26"/>
  <c r="H11" i="26"/>
  <c r="F11" i="26"/>
  <c r="R11" i="26" s="1"/>
  <c r="R10" i="26"/>
  <c r="N10" i="26"/>
  <c r="S10" i="26"/>
  <c r="W10" i="26" s="1"/>
  <c r="F10" i="26"/>
  <c r="L10" i="26" s="1"/>
  <c r="S9" i="26"/>
  <c r="W9" i="26" s="1"/>
  <c r="P9" i="26"/>
  <c r="F9" i="26"/>
  <c r="L9" i="26" s="1"/>
  <c r="V8" i="26"/>
  <c r="R8" i="26"/>
  <c r="N8" i="26"/>
  <c r="J8" i="26"/>
  <c r="F8" i="26"/>
  <c r="P8" i="26" s="1"/>
  <c r="S7" i="26"/>
  <c r="W7" i="26" s="1"/>
  <c r="G7" i="27" s="1"/>
  <c r="L7" i="26"/>
  <c r="J7" i="26"/>
  <c r="F7" i="26"/>
  <c r="S6" i="26"/>
  <c r="W6" i="26" s="1"/>
  <c r="R6" i="26"/>
  <c r="J6" i="26"/>
  <c r="F6" i="26"/>
  <c r="S5" i="26"/>
  <c r="W5" i="26" s="1"/>
  <c r="G5" i="27" s="1"/>
  <c r="F5" i="26"/>
  <c r="H17" i="27" l="1"/>
  <c r="S17" i="27"/>
  <c r="P36" i="26"/>
  <c r="X50" i="26"/>
  <c r="G50" i="27"/>
  <c r="R57" i="26"/>
  <c r="R59" i="26"/>
  <c r="X6" i="26"/>
  <c r="G6" i="27"/>
  <c r="H9" i="26"/>
  <c r="H12" i="26"/>
  <c r="R12" i="26"/>
  <c r="P13" i="26"/>
  <c r="X15" i="26"/>
  <c r="G15" i="27"/>
  <c r="J16" i="26"/>
  <c r="V16" i="26"/>
  <c r="N20" i="26"/>
  <c r="P24" i="26"/>
  <c r="J27" i="26"/>
  <c r="V27" i="26"/>
  <c r="S30" i="27"/>
  <c r="H30" i="27"/>
  <c r="J31" i="26"/>
  <c r="V31" i="26"/>
  <c r="J32" i="26"/>
  <c r="V32" i="26"/>
  <c r="N33" i="26"/>
  <c r="L35" i="26"/>
  <c r="V35" i="26"/>
  <c r="J36" i="26"/>
  <c r="V36" i="26"/>
  <c r="S42" i="27"/>
  <c r="H42" i="27"/>
  <c r="P43" i="26"/>
  <c r="N44" i="26"/>
  <c r="R47" i="26"/>
  <c r="L48" i="26"/>
  <c r="L49" i="26"/>
  <c r="P50" i="26"/>
  <c r="S51" i="27"/>
  <c r="H51" i="27"/>
  <c r="P51" i="26"/>
  <c r="L53" i="26"/>
  <c r="S54" i="27"/>
  <c r="H54" i="27"/>
  <c r="R55" i="26"/>
  <c r="L56" i="26"/>
  <c r="J57" i="26"/>
  <c r="N59" i="26"/>
  <c r="P63" i="26"/>
  <c r="J66" i="26"/>
  <c r="N67" i="26"/>
  <c r="N71" i="26"/>
  <c r="V72" i="26"/>
  <c r="V78" i="26"/>
  <c r="R78" i="26"/>
  <c r="W60" i="28"/>
  <c r="T60" i="28"/>
  <c r="S40" i="33"/>
  <c r="H40" i="33"/>
  <c r="L40" i="33" s="1"/>
  <c r="H16" i="27"/>
  <c r="S16" i="27"/>
  <c r="S21" i="27"/>
  <c r="H21" i="27"/>
  <c r="S46" i="27"/>
  <c r="H46" i="27"/>
  <c r="N55" i="26"/>
  <c r="R62" i="26"/>
  <c r="S5" i="27"/>
  <c r="H5" i="27"/>
  <c r="X10" i="26"/>
  <c r="G10" i="27"/>
  <c r="X11" i="26"/>
  <c r="G11" i="27"/>
  <c r="J12" i="26"/>
  <c r="V12" i="26"/>
  <c r="X13" i="26"/>
  <c r="G13" i="27"/>
  <c r="H15" i="26"/>
  <c r="N16" i="26"/>
  <c r="J18" i="26"/>
  <c r="R24" i="26"/>
  <c r="P27" i="26"/>
  <c r="P28" i="26"/>
  <c r="P31" i="26"/>
  <c r="N32" i="26"/>
  <c r="P35" i="26"/>
  <c r="N36" i="26"/>
  <c r="J40" i="26"/>
  <c r="V40" i="26"/>
  <c r="R43" i="26"/>
  <c r="P44" i="26"/>
  <c r="J47" i="26"/>
  <c r="V47" i="26"/>
  <c r="R50" i="26"/>
  <c r="R51" i="26"/>
  <c r="S53" i="27"/>
  <c r="H53" i="27"/>
  <c r="V54" i="26"/>
  <c r="J55" i="26"/>
  <c r="V55" i="26"/>
  <c r="V56" i="26"/>
  <c r="P59" i="26"/>
  <c r="J62" i="26"/>
  <c r="H65" i="27"/>
  <c r="S65" i="27"/>
  <c r="P66" i="26"/>
  <c r="S67" i="27"/>
  <c r="H67" i="27"/>
  <c r="S72" i="27"/>
  <c r="H72" i="27"/>
  <c r="S77" i="27"/>
  <c r="H77" i="27"/>
  <c r="P78" i="26"/>
  <c r="S8" i="32"/>
  <c r="H8" i="32"/>
  <c r="H67" i="26"/>
  <c r="R67" i="26"/>
  <c r="P68" i="26"/>
  <c r="L69" i="26"/>
  <c r="H71" i="26"/>
  <c r="R71" i="26"/>
  <c r="N72" i="26"/>
  <c r="S75" i="27"/>
  <c r="H75" i="27"/>
  <c r="H76" i="27"/>
  <c r="S76" i="27"/>
  <c r="N77" i="26"/>
  <c r="X70" i="31"/>
  <c r="G70" i="32"/>
  <c r="N12" i="26"/>
  <c r="S43" i="27"/>
  <c r="H43" i="27"/>
  <c r="R66" i="26"/>
  <c r="S7" i="27"/>
  <c r="H7" i="27"/>
  <c r="X9" i="26"/>
  <c r="G9" i="27"/>
  <c r="H12" i="27"/>
  <c r="S12" i="27"/>
  <c r="H14" i="27"/>
  <c r="S14" i="27"/>
  <c r="R15" i="26"/>
  <c r="H16" i="26"/>
  <c r="H23" i="27"/>
  <c r="S23" i="27"/>
  <c r="J28" i="26"/>
  <c r="J43" i="26"/>
  <c r="J44" i="26"/>
  <c r="L54" i="26"/>
  <c r="J59" i="26"/>
  <c r="X66" i="26"/>
  <c r="G66" i="27"/>
  <c r="J67" i="26"/>
  <c r="X70" i="26"/>
  <c r="G70" i="27"/>
  <c r="J71" i="26"/>
  <c r="V76" i="26"/>
  <c r="P77" i="26"/>
  <c r="X64" i="28"/>
  <c r="G64" i="29"/>
  <c r="G59" i="31"/>
  <c r="X59" i="30"/>
  <c r="T67" i="26"/>
  <c r="T6" i="26"/>
  <c r="T12" i="26"/>
  <c r="W71" i="26"/>
  <c r="X12" i="26"/>
  <c r="T16" i="26"/>
  <c r="T76" i="26"/>
  <c r="X60" i="26"/>
  <c r="T60" i="26"/>
  <c r="X53" i="26"/>
  <c r="T51" i="26"/>
  <c r="X43" i="26"/>
  <c r="T13" i="26"/>
  <c r="R5" i="26"/>
  <c r="J5" i="26"/>
  <c r="X5" i="26"/>
  <c r="P5" i="26"/>
  <c r="N5" i="26"/>
  <c r="R17" i="26"/>
  <c r="J17" i="26"/>
  <c r="T17" i="26"/>
  <c r="L17" i="26"/>
  <c r="H17" i="26"/>
  <c r="V25" i="26"/>
  <c r="R25" i="26"/>
  <c r="J25" i="26"/>
  <c r="P25" i="26"/>
  <c r="N25" i="26"/>
  <c r="L25" i="26"/>
  <c r="N34" i="26"/>
  <c r="V34" i="26"/>
  <c r="P34" i="26"/>
  <c r="J34" i="26"/>
  <c r="R75" i="26"/>
  <c r="J75" i="26"/>
  <c r="V75" i="26"/>
  <c r="P75" i="26"/>
  <c r="H75" i="26"/>
  <c r="X75" i="26"/>
  <c r="L75" i="26"/>
  <c r="N75" i="26"/>
  <c r="T75" i="26"/>
  <c r="T14" i="26"/>
  <c r="R21" i="26"/>
  <c r="J21" i="26"/>
  <c r="H21" i="26"/>
  <c r="X21" i="26"/>
  <c r="P21" i="26"/>
  <c r="V29" i="26"/>
  <c r="R29" i="26"/>
  <c r="J29" i="26"/>
  <c r="P29" i="26"/>
  <c r="L29" i="26"/>
  <c r="V37" i="26"/>
  <c r="P37" i="26"/>
  <c r="R37" i="26"/>
  <c r="J37" i="26"/>
  <c r="N37" i="26"/>
  <c r="L37" i="26"/>
  <c r="V65" i="26"/>
  <c r="P65" i="26"/>
  <c r="H65" i="26"/>
  <c r="X65" i="26"/>
  <c r="R65" i="26"/>
  <c r="J65" i="26"/>
  <c r="N65" i="26"/>
  <c r="L65" i="26"/>
  <c r="T5" i="26"/>
  <c r="T7" i="26"/>
  <c r="N7" i="26"/>
  <c r="X7" i="26"/>
  <c r="R7" i="26"/>
  <c r="H7" i="26"/>
  <c r="P7" i="26"/>
  <c r="T9" i="26"/>
  <c r="N17" i="26"/>
  <c r="T21" i="26"/>
  <c r="T23" i="26"/>
  <c r="N23" i="26"/>
  <c r="X23" i="26"/>
  <c r="R23" i="26"/>
  <c r="H23" i="26"/>
  <c r="P23" i="26"/>
  <c r="L34" i="26"/>
  <c r="T42" i="26"/>
  <c r="N42" i="26"/>
  <c r="V42" i="26"/>
  <c r="P42" i="26"/>
  <c r="H42" i="26"/>
  <c r="X42" i="26"/>
  <c r="L42" i="26"/>
  <c r="J42" i="26"/>
  <c r="T57" i="26"/>
  <c r="W57" i="26"/>
  <c r="N58" i="26"/>
  <c r="P58" i="26"/>
  <c r="R58" i="26"/>
  <c r="L58" i="26"/>
  <c r="J58" i="26"/>
  <c r="V58" i="26"/>
  <c r="V61" i="26"/>
  <c r="P61" i="26"/>
  <c r="J61" i="26"/>
  <c r="L61" i="26"/>
  <c r="R61" i="26"/>
  <c r="N61" i="26"/>
  <c r="H78" i="26"/>
  <c r="S78" i="26"/>
  <c r="W78" i="26" s="1"/>
  <c r="V14" i="26"/>
  <c r="P14" i="26"/>
  <c r="H14" i="26"/>
  <c r="J14" i="26"/>
  <c r="X14" i="26"/>
  <c r="R14" i="26"/>
  <c r="V17" i="26"/>
  <c r="X17" i="26"/>
  <c r="N19" i="26"/>
  <c r="J19" i="26"/>
  <c r="R19" i="26"/>
  <c r="T30" i="26"/>
  <c r="V30" i="26"/>
  <c r="P30" i="26"/>
  <c r="H30" i="26"/>
  <c r="N30" i="26"/>
  <c r="X30" i="26"/>
  <c r="L30" i="26"/>
  <c r="J30" i="26"/>
  <c r="H5" i="26"/>
  <c r="L5" i="26"/>
  <c r="V5" i="26"/>
  <c r="V7" i="26"/>
  <c r="V10" i="26"/>
  <c r="P10" i="26"/>
  <c r="H10" i="26"/>
  <c r="T10" i="26"/>
  <c r="J10" i="26"/>
  <c r="N14" i="26"/>
  <c r="P17" i="26"/>
  <c r="L19" i="26"/>
  <c r="L21" i="26"/>
  <c r="V21" i="26"/>
  <c r="V23" i="26"/>
  <c r="N29" i="26"/>
  <c r="R30" i="26"/>
  <c r="R34" i="26"/>
  <c r="T65" i="26"/>
  <c r="V41" i="26"/>
  <c r="P41" i="26"/>
  <c r="R41" i="26"/>
  <c r="J41" i="26"/>
  <c r="T46" i="26"/>
  <c r="V46" i="26"/>
  <c r="N46" i="26"/>
  <c r="P46" i="26"/>
  <c r="H46" i="26"/>
  <c r="R46" i="26"/>
  <c r="S68" i="26"/>
  <c r="H68" i="26"/>
  <c r="T72" i="26"/>
  <c r="L6" i="26"/>
  <c r="R9" i="26"/>
  <c r="J9" i="26"/>
  <c r="N9" i="26"/>
  <c r="V9" i="26"/>
  <c r="T11" i="26"/>
  <c r="N11" i="26"/>
  <c r="L11" i="26"/>
  <c r="V11" i="26"/>
  <c r="L13" i="26"/>
  <c r="X16" i="26"/>
  <c r="V18" i="26"/>
  <c r="P18" i="26"/>
  <c r="N18" i="26"/>
  <c r="L22" i="26"/>
  <c r="L26" i="26"/>
  <c r="V33" i="26"/>
  <c r="P33" i="26"/>
  <c r="R33" i="26"/>
  <c r="J33" i="26"/>
  <c r="L38" i="26"/>
  <c r="V45" i="26"/>
  <c r="P45" i="26"/>
  <c r="R45" i="26"/>
  <c r="J45" i="26"/>
  <c r="T53" i="26"/>
  <c r="H72" i="26"/>
  <c r="V6" i="26"/>
  <c r="P6" i="26"/>
  <c r="H6" i="26"/>
  <c r="N6" i="26"/>
  <c r="R13" i="26"/>
  <c r="J13" i="26"/>
  <c r="N13" i="26"/>
  <c r="V13" i="26"/>
  <c r="T15" i="26"/>
  <c r="N15" i="26"/>
  <c r="L15" i="26"/>
  <c r="V15" i="26"/>
  <c r="V22" i="26"/>
  <c r="P22" i="26"/>
  <c r="N22" i="26"/>
  <c r="V26" i="26"/>
  <c r="P26" i="26"/>
  <c r="N26" i="26"/>
  <c r="R26" i="26"/>
  <c r="N38" i="26"/>
  <c r="V38" i="26"/>
  <c r="P38" i="26"/>
  <c r="R38" i="26"/>
  <c r="L41" i="26"/>
  <c r="J46" i="26"/>
  <c r="X46" i="26"/>
  <c r="V49" i="26"/>
  <c r="P49" i="26"/>
  <c r="R49" i="26"/>
  <c r="J49" i="26"/>
  <c r="R52" i="26"/>
  <c r="J52" i="26"/>
  <c r="L52" i="26"/>
  <c r="V52" i="26"/>
  <c r="T54" i="26"/>
  <c r="N54" i="26"/>
  <c r="X54" i="26"/>
  <c r="R54" i="26"/>
  <c r="H54" i="26"/>
  <c r="J54" i="26"/>
  <c r="R56" i="26"/>
  <c r="J56" i="26"/>
  <c r="P56" i="26"/>
  <c r="S59" i="26"/>
  <c r="H59" i="26"/>
  <c r="L31" i="26"/>
  <c r="L8" i="26"/>
  <c r="L12" i="26"/>
  <c r="L16" i="26"/>
  <c r="L20" i="26"/>
  <c r="L24" i="26"/>
  <c r="N27" i="26"/>
  <c r="L28" i="26"/>
  <c r="N31" i="26"/>
  <c r="L32" i="26"/>
  <c r="N35" i="26"/>
  <c r="L36" i="26"/>
  <c r="N39" i="26"/>
  <c r="L40" i="26"/>
  <c r="N43" i="26"/>
  <c r="T43" i="26"/>
  <c r="L44" i="26"/>
  <c r="R48" i="26"/>
  <c r="J48" i="26"/>
  <c r="N48" i="26"/>
  <c r="V48" i="26"/>
  <c r="T50" i="26"/>
  <c r="N50" i="26"/>
  <c r="L50" i="26"/>
  <c r="V50" i="26"/>
  <c r="R53" i="26"/>
  <c r="V57" i="26"/>
  <c r="P57" i="26"/>
  <c r="H57" i="26"/>
  <c r="N57" i="26"/>
  <c r="P60" i="26"/>
  <c r="R64" i="26"/>
  <c r="J64" i="26"/>
  <c r="N64" i="26"/>
  <c r="V64" i="26"/>
  <c r="T66" i="26"/>
  <c r="N66" i="26"/>
  <c r="L66" i="26"/>
  <c r="V66" i="26"/>
  <c r="R69" i="26"/>
  <c r="V69" i="26" s="1"/>
  <c r="J69" i="26"/>
  <c r="P69" i="26"/>
  <c r="X72" i="26"/>
  <c r="X76" i="26"/>
  <c r="H76" i="26"/>
  <c r="P76" i="26"/>
  <c r="L39" i="26"/>
  <c r="L43" i="26"/>
  <c r="X51" i="26"/>
  <c r="V53" i="26"/>
  <c r="P53" i="26"/>
  <c r="H53" i="26"/>
  <c r="N53" i="26"/>
  <c r="R60" i="26"/>
  <c r="J60" i="26"/>
  <c r="N60" i="26"/>
  <c r="V60" i="26"/>
  <c r="N62" i="26"/>
  <c r="L62" i="26"/>
  <c r="V62" i="26"/>
  <c r="X67" i="26"/>
  <c r="P70" i="26"/>
  <c r="H70" i="26"/>
  <c r="T70" i="26"/>
  <c r="N70" i="26"/>
  <c r="R70" i="26"/>
  <c r="V70" i="26" s="1"/>
  <c r="T77" i="26"/>
  <c r="J77" i="26"/>
  <c r="X77" i="26"/>
  <c r="H77" i="26"/>
  <c r="V77" i="26"/>
  <c r="L47" i="26"/>
  <c r="L51" i="26"/>
  <c r="L55" i="26"/>
  <c r="L59" i="26"/>
  <c r="L63" i="26"/>
  <c r="L67" i="26"/>
  <c r="J68" i="26"/>
  <c r="R68" i="26"/>
  <c r="L71" i="26"/>
  <c r="J72" i="26"/>
  <c r="R72" i="26"/>
  <c r="J78" i="26"/>
  <c r="L68" i="26"/>
  <c r="L72" i="26"/>
  <c r="N78" i="26"/>
  <c r="S64" i="29" l="1"/>
  <c r="H64" i="29"/>
  <c r="W7" i="27"/>
  <c r="X7" i="27" s="1"/>
  <c r="T7" i="27"/>
  <c r="W8" i="32"/>
  <c r="X8" i="32" s="1"/>
  <c r="T8" i="32"/>
  <c r="S10" i="27"/>
  <c r="H10" i="27"/>
  <c r="H15" i="27"/>
  <c r="S15" i="27"/>
  <c r="S66" i="27"/>
  <c r="H66" i="27"/>
  <c r="W76" i="27"/>
  <c r="T76" i="27"/>
  <c r="X78" i="26"/>
  <c r="G78" i="27"/>
  <c r="X57" i="26"/>
  <c r="G57" i="27"/>
  <c r="X71" i="26"/>
  <c r="G71" i="27"/>
  <c r="S70" i="27"/>
  <c r="H70" i="27"/>
  <c r="W23" i="27"/>
  <c r="T23" i="27"/>
  <c r="W14" i="27"/>
  <c r="X14" i="27" s="1"/>
  <c r="T14" i="27"/>
  <c r="H9" i="27"/>
  <c r="S9" i="27"/>
  <c r="S70" i="32"/>
  <c r="H70" i="32"/>
  <c r="W72" i="27"/>
  <c r="T72" i="27"/>
  <c r="W65" i="27"/>
  <c r="T65" i="27"/>
  <c r="W21" i="27"/>
  <c r="T21" i="27"/>
  <c r="T40" i="33"/>
  <c r="W40" i="33"/>
  <c r="X40" i="33" s="1"/>
  <c r="W30" i="27"/>
  <c r="X30" i="27" s="1"/>
  <c r="T30" i="27"/>
  <c r="W17" i="27"/>
  <c r="X17" i="27" s="1"/>
  <c r="T17" i="27"/>
  <c r="W53" i="27"/>
  <c r="T53" i="27"/>
  <c r="H13" i="27"/>
  <c r="S13" i="27"/>
  <c r="S11" i="27"/>
  <c r="H11" i="27"/>
  <c r="W16" i="27"/>
  <c r="T16" i="27"/>
  <c r="W54" i="27"/>
  <c r="T54" i="27"/>
  <c r="W51" i="27"/>
  <c r="T51" i="27"/>
  <c r="W42" i="27"/>
  <c r="T42" i="27"/>
  <c r="S6" i="27"/>
  <c r="H6" i="27"/>
  <c r="H50" i="27"/>
  <c r="S50" i="27"/>
  <c r="S59" i="31"/>
  <c r="H59" i="31"/>
  <c r="W12" i="27"/>
  <c r="X12" i="27" s="1"/>
  <c r="T12" i="27"/>
  <c r="W43" i="27"/>
  <c r="X43" i="27" s="1"/>
  <c r="T43" i="27"/>
  <c r="W75" i="27"/>
  <c r="T75" i="27"/>
  <c r="W77" i="27"/>
  <c r="T77" i="27"/>
  <c r="W67" i="27"/>
  <c r="T67" i="27"/>
  <c r="W5" i="27"/>
  <c r="X5" i="27" s="1"/>
  <c r="T5" i="27"/>
  <c r="W46" i="27"/>
  <c r="X46" i="27" s="1"/>
  <c r="T46" i="27"/>
  <c r="G60" i="29"/>
  <c r="X60" i="28"/>
  <c r="T78" i="26"/>
  <c r="T59" i="26"/>
  <c r="W59" i="26"/>
  <c r="W68" i="26"/>
  <c r="T68" i="26"/>
  <c r="N74" i="25"/>
  <c r="N73" i="25"/>
  <c r="X68" i="26" l="1"/>
  <c r="G68" i="27"/>
  <c r="W50" i="27"/>
  <c r="T50" i="27"/>
  <c r="W9" i="27"/>
  <c r="X9" i="27" s="1"/>
  <c r="T9" i="27"/>
  <c r="S71" i="27"/>
  <c r="H71" i="27"/>
  <c r="S78" i="27"/>
  <c r="H78" i="27"/>
  <c r="X67" i="27"/>
  <c r="G67" i="28"/>
  <c r="G75" i="28"/>
  <c r="X75" i="27"/>
  <c r="X42" i="27"/>
  <c r="G42" i="28"/>
  <c r="G54" i="28"/>
  <c r="X54" i="27"/>
  <c r="W11" i="27"/>
  <c r="X11" i="27" s="1"/>
  <c r="T11" i="27"/>
  <c r="G53" i="28"/>
  <c r="X53" i="27"/>
  <c r="X21" i="27"/>
  <c r="G21" i="28"/>
  <c r="G72" i="28"/>
  <c r="X72" i="27"/>
  <c r="X23" i="27"/>
  <c r="G23" i="28"/>
  <c r="W66" i="27"/>
  <c r="T66" i="27"/>
  <c r="W10" i="27"/>
  <c r="X10" i="27" s="1"/>
  <c r="T10" i="27"/>
  <c r="W13" i="27"/>
  <c r="X13" i="27" s="1"/>
  <c r="T13" i="27"/>
  <c r="S57" i="27"/>
  <c r="H57" i="27"/>
  <c r="W15" i="27"/>
  <c r="X15" i="27" s="1"/>
  <c r="T15" i="27"/>
  <c r="X59" i="26"/>
  <c r="G59" i="27"/>
  <c r="S60" i="29"/>
  <c r="H60" i="29"/>
  <c r="X77" i="27"/>
  <c r="G77" i="28"/>
  <c r="W59" i="31"/>
  <c r="T59" i="31"/>
  <c r="W6" i="27"/>
  <c r="X6" i="27" s="1"/>
  <c r="T6" i="27"/>
  <c r="X51" i="27"/>
  <c r="G51" i="28"/>
  <c r="X16" i="27"/>
  <c r="G16" i="28"/>
  <c r="X65" i="27"/>
  <c r="G65" i="28"/>
  <c r="W70" i="32"/>
  <c r="X70" i="32" s="1"/>
  <c r="T70" i="32"/>
  <c r="W70" i="27"/>
  <c r="X70" i="27" s="1"/>
  <c r="T70" i="27"/>
  <c r="X76" i="27"/>
  <c r="G76" i="28"/>
  <c r="W64" i="29"/>
  <c r="T64" i="29"/>
  <c r="S51" i="28" l="1"/>
  <c r="H51" i="28"/>
  <c r="S76" i="28"/>
  <c r="H76" i="28"/>
  <c r="S16" i="28"/>
  <c r="H16" i="28"/>
  <c r="S77" i="28"/>
  <c r="H77" i="28"/>
  <c r="S59" i="27"/>
  <c r="H59" i="27"/>
  <c r="S23" i="28"/>
  <c r="H23" i="28"/>
  <c r="S21" i="28"/>
  <c r="H21" i="28"/>
  <c r="S42" i="28"/>
  <c r="H42" i="28"/>
  <c r="S67" i="28"/>
  <c r="H67" i="28"/>
  <c r="W57" i="27"/>
  <c r="T57" i="27"/>
  <c r="W71" i="27"/>
  <c r="T71" i="27"/>
  <c r="X50" i="27"/>
  <c r="G50" i="28"/>
  <c r="S65" i="28"/>
  <c r="H65" i="28"/>
  <c r="S68" i="27"/>
  <c r="H68" i="27"/>
  <c r="X64" i="29"/>
  <c r="G64" i="30"/>
  <c r="X59" i="31"/>
  <c r="G59" i="32"/>
  <c r="W60" i="29"/>
  <c r="T60" i="29"/>
  <c r="X66" i="27"/>
  <c r="G66" i="28"/>
  <c r="S72" i="28"/>
  <c r="H72" i="28"/>
  <c r="S53" i="28"/>
  <c r="H53" i="28"/>
  <c r="S54" i="28"/>
  <c r="H54" i="28"/>
  <c r="S75" i="28"/>
  <c r="H75" i="28"/>
  <c r="W78" i="27"/>
  <c r="T78" i="27"/>
  <c r="P78" i="25"/>
  <c r="F78" i="25"/>
  <c r="N78" i="25" s="1"/>
  <c r="F77" i="25"/>
  <c r="N77" i="25" s="1"/>
  <c r="F76" i="25"/>
  <c r="N76" i="25" s="1"/>
  <c r="P75" i="25"/>
  <c r="F75" i="25"/>
  <c r="V75" i="25" s="1"/>
  <c r="V74" i="25"/>
  <c r="R74" i="25"/>
  <c r="P74" i="25"/>
  <c r="L74" i="25"/>
  <c r="J74" i="25"/>
  <c r="V73" i="25"/>
  <c r="R73" i="25"/>
  <c r="P73" i="25"/>
  <c r="L73" i="25"/>
  <c r="J73" i="25"/>
  <c r="F72" i="25"/>
  <c r="V72" i="25" s="1"/>
  <c r="F71" i="25"/>
  <c r="V71" i="25" s="1"/>
  <c r="F70" i="25"/>
  <c r="L70" i="25" s="1"/>
  <c r="J69" i="25"/>
  <c r="F69" i="25"/>
  <c r="R69" i="25" s="1"/>
  <c r="V69" i="25" s="1"/>
  <c r="F68" i="25"/>
  <c r="L68" i="25" s="1"/>
  <c r="F67" i="25"/>
  <c r="V67" i="25" s="1"/>
  <c r="F66" i="25"/>
  <c r="P66" i="25" s="1"/>
  <c r="V65" i="25"/>
  <c r="N65" i="25"/>
  <c r="J65" i="25"/>
  <c r="F65" i="25"/>
  <c r="R65" i="25" s="1"/>
  <c r="L64" i="25"/>
  <c r="F64" i="25"/>
  <c r="J63" i="25"/>
  <c r="F63" i="25"/>
  <c r="V63" i="25" s="1"/>
  <c r="F62" i="25"/>
  <c r="P62" i="25" s="1"/>
  <c r="V61" i="25"/>
  <c r="N61" i="25"/>
  <c r="J61" i="25"/>
  <c r="F61" i="25"/>
  <c r="R61" i="25" s="1"/>
  <c r="L60" i="25"/>
  <c r="F60" i="25"/>
  <c r="J59" i="25"/>
  <c r="F59" i="25"/>
  <c r="V59" i="25" s="1"/>
  <c r="F58" i="25"/>
  <c r="P58" i="25" s="1"/>
  <c r="P57" i="25"/>
  <c r="N57" i="25"/>
  <c r="F57" i="25"/>
  <c r="V57" i="25" s="1"/>
  <c r="L56" i="25"/>
  <c r="F56" i="25"/>
  <c r="N55" i="25"/>
  <c r="F55" i="25"/>
  <c r="V55" i="25" s="1"/>
  <c r="F54" i="25"/>
  <c r="P54" i="25" s="1"/>
  <c r="P53" i="25"/>
  <c r="F53" i="25"/>
  <c r="N53" i="25" s="1"/>
  <c r="F52" i="25"/>
  <c r="L52" i="25" s="1"/>
  <c r="L51" i="25"/>
  <c r="F51" i="25"/>
  <c r="R51" i="25" s="1"/>
  <c r="F50" i="25"/>
  <c r="P50" i="25" s="1"/>
  <c r="N49" i="25"/>
  <c r="F49" i="25"/>
  <c r="V49" i="25" s="1"/>
  <c r="F48" i="25"/>
  <c r="F47" i="25"/>
  <c r="F46" i="25"/>
  <c r="N46" i="25" s="1"/>
  <c r="F45" i="25"/>
  <c r="P45" i="25" s="1"/>
  <c r="F44" i="25"/>
  <c r="V44" i="25" s="1"/>
  <c r="J43" i="25"/>
  <c r="F43" i="25"/>
  <c r="V43" i="25" s="1"/>
  <c r="F42" i="25"/>
  <c r="V41" i="25"/>
  <c r="J41" i="25"/>
  <c r="F41" i="25"/>
  <c r="R41" i="25" s="1"/>
  <c r="L40" i="25"/>
  <c r="F40" i="25"/>
  <c r="V40" i="25" s="1"/>
  <c r="N39" i="25"/>
  <c r="J39" i="25"/>
  <c r="F39" i="25"/>
  <c r="V39" i="25" s="1"/>
  <c r="F38" i="25"/>
  <c r="N37" i="25"/>
  <c r="F37" i="25"/>
  <c r="V37" i="25" s="1"/>
  <c r="L36" i="25"/>
  <c r="F36" i="25"/>
  <c r="V36" i="25" s="1"/>
  <c r="R35" i="25"/>
  <c r="F35" i="25"/>
  <c r="V35" i="25" s="1"/>
  <c r="F34" i="25"/>
  <c r="P34" i="25" s="1"/>
  <c r="P33" i="25"/>
  <c r="F33" i="25"/>
  <c r="N33" i="25" s="1"/>
  <c r="F32" i="25"/>
  <c r="L32" i="25" s="1"/>
  <c r="F31" i="25"/>
  <c r="V31" i="25" s="1"/>
  <c r="F30" i="25"/>
  <c r="P30" i="25" s="1"/>
  <c r="F29" i="25"/>
  <c r="P29" i="25" s="1"/>
  <c r="F28" i="25"/>
  <c r="V28" i="25" s="1"/>
  <c r="J27" i="25"/>
  <c r="F27" i="25"/>
  <c r="V27" i="25" s="1"/>
  <c r="F26" i="25"/>
  <c r="P26" i="25" s="1"/>
  <c r="R25" i="25"/>
  <c r="F25" i="25"/>
  <c r="J25" i="25" s="1"/>
  <c r="R24" i="25"/>
  <c r="F24" i="25"/>
  <c r="P24" i="25" s="1"/>
  <c r="F23" i="25"/>
  <c r="F22" i="25"/>
  <c r="J22" i="25" s="1"/>
  <c r="F21" i="25"/>
  <c r="V20" i="25"/>
  <c r="J20" i="25"/>
  <c r="F20" i="25"/>
  <c r="R20" i="25" s="1"/>
  <c r="R19" i="25"/>
  <c r="F19" i="25"/>
  <c r="P19" i="25" s="1"/>
  <c r="R18" i="25"/>
  <c r="F18" i="25"/>
  <c r="L18" i="25" s="1"/>
  <c r="P17" i="25"/>
  <c r="F17" i="25"/>
  <c r="L17" i="25" s="1"/>
  <c r="F16" i="25"/>
  <c r="J16" i="25" s="1"/>
  <c r="L15" i="25"/>
  <c r="F15" i="25"/>
  <c r="V15" i="25" s="1"/>
  <c r="F14" i="25"/>
  <c r="F13" i="25"/>
  <c r="J13" i="25" s="1"/>
  <c r="F12" i="25"/>
  <c r="R11" i="25"/>
  <c r="F11" i="25"/>
  <c r="P11" i="25" s="1"/>
  <c r="P10" i="25"/>
  <c r="F10" i="25"/>
  <c r="J10" i="25" s="1"/>
  <c r="R9" i="25"/>
  <c r="F9" i="25"/>
  <c r="L9" i="25" s="1"/>
  <c r="L8" i="25"/>
  <c r="F8" i="25"/>
  <c r="P8" i="25" s="1"/>
  <c r="F7" i="25"/>
  <c r="N7" i="25" s="1"/>
  <c r="F6" i="25"/>
  <c r="J6" i="25" s="1"/>
  <c r="F5" i="25"/>
  <c r="R29" i="25" l="1"/>
  <c r="V32" i="25"/>
  <c r="S59" i="32"/>
  <c r="H59" i="32"/>
  <c r="R10" i="25"/>
  <c r="J11" i="25"/>
  <c r="V11" i="25"/>
  <c r="P15" i="25"/>
  <c r="V16" i="25"/>
  <c r="N20" i="25"/>
  <c r="J24" i="25"/>
  <c r="V24" i="25"/>
  <c r="N27" i="25"/>
  <c r="L28" i="25"/>
  <c r="J29" i="25"/>
  <c r="V29" i="25"/>
  <c r="J31" i="25"/>
  <c r="R33" i="25"/>
  <c r="P37" i="25"/>
  <c r="R39" i="25"/>
  <c r="N41" i="25"/>
  <c r="N43" i="25"/>
  <c r="L44" i="25"/>
  <c r="J45" i="25"/>
  <c r="V45" i="25"/>
  <c r="V48" i="25"/>
  <c r="P49" i="25"/>
  <c r="L50" i="25"/>
  <c r="R53" i="25"/>
  <c r="R55" i="25"/>
  <c r="R57" i="25"/>
  <c r="N59" i="25"/>
  <c r="P61" i="25"/>
  <c r="N63" i="25"/>
  <c r="P65" i="25"/>
  <c r="J67" i="25"/>
  <c r="N69" i="25"/>
  <c r="J71" i="25"/>
  <c r="W75" i="28"/>
  <c r="T75" i="28"/>
  <c r="T53" i="28"/>
  <c r="W53" i="28"/>
  <c r="W68" i="27"/>
  <c r="X68" i="27" s="1"/>
  <c r="T68" i="27"/>
  <c r="G57" i="28"/>
  <c r="X57" i="27"/>
  <c r="W42" i="28"/>
  <c r="T42" i="28"/>
  <c r="W23" i="28"/>
  <c r="T23" i="28"/>
  <c r="W77" i="28"/>
  <c r="T77" i="28"/>
  <c r="W76" i="28"/>
  <c r="T76" i="28"/>
  <c r="R45" i="25"/>
  <c r="R6" i="25"/>
  <c r="N11" i="25"/>
  <c r="R15" i="25"/>
  <c r="N16" i="25"/>
  <c r="J19" i="25"/>
  <c r="P20" i="25"/>
  <c r="N24" i="25"/>
  <c r="R27" i="25"/>
  <c r="N29" i="25"/>
  <c r="N31" i="25"/>
  <c r="J33" i="25"/>
  <c r="V33" i="25"/>
  <c r="J35" i="25"/>
  <c r="R37" i="25"/>
  <c r="P41" i="25"/>
  <c r="R43" i="25"/>
  <c r="N45" i="25"/>
  <c r="R49" i="25"/>
  <c r="J53" i="25"/>
  <c r="V53" i="25"/>
  <c r="J57" i="25"/>
  <c r="R59" i="25"/>
  <c r="R63" i="25"/>
  <c r="N67" i="25"/>
  <c r="P69" i="25"/>
  <c r="N71" i="25"/>
  <c r="R75" i="25"/>
  <c r="N75" i="25"/>
  <c r="S64" i="30"/>
  <c r="H64" i="30"/>
  <c r="R16" i="25"/>
  <c r="P72" i="25"/>
  <c r="N72" i="25"/>
  <c r="S66" i="28"/>
  <c r="H66" i="28"/>
  <c r="S50" i="28"/>
  <c r="H50" i="28"/>
  <c r="J15" i="25"/>
  <c r="P16" i="25"/>
  <c r="R31" i="25"/>
  <c r="N35" i="25"/>
  <c r="J37" i="25"/>
  <c r="J49" i="25"/>
  <c r="J55" i="25"/>
  <c r="R67" i="25"/>
  <c r="R71" i="25"/>
  <c r="L75" i="25"/>
  <c r="J76" i="25"/>
  <c r="G78" i="28"/>
  <c r="X78" i="27"/>
  <c r="W54" i="28"/>
  <c r="T54" i="28"/>
  <c r="W72" i="28"/>
  <c r="T72" i="28"/>
  <c r="X60" i="29"/>
  <c r="G60" i="30"/>
  <c r="W65" i="28"/>
  <c r="T65" i="28"/>
  <c r="G71" i="28"/>
  <c r="X71" i="27"/>
  <c r="W67" i="28"/>
  <c r="T67" i="28"/>
  <c r="W21" i="28"/>
  <c r="T21" i="28"/>
  <c r="W59" i="27"/>
  <c r="X59" i="27" s="1"/>
  <c r="T59" i="27"/>
  <c r="W16" i="28"/>
  <c r="T16" i="28"/>
  <c r="T51" i="28"/>
  <c r="W51" i="28"/>
  <c r="R7" i="25"/>
  <c r="P7" i="25"/>
  <c r="J7" i="25"/>
  <c r="V7" i="25"/>
  <c r="R12" i="25"/>
  <c r="J12" i="25"/>
  <c r="N14" i="25"/>
  <c r="V14" i="25"/>
  <c r="R21" i="25"/>
  <c r="J21" i="25"/>
  <c r="V21" i="25"/>
  <c r="N23" i="25"/>
  <c r="L23" i="25"/>
  <c r="V23" i="25"/>
  <c r="R42" i="25"/>
  <c r="J42" i="25"/>
  <c r="N42" i="25"/>
  <c r="R5" i="25"/>
  <c r="V9" i="25"/>
  <c r="P9" i="25"/>
  <c r="N9" i="25"/>
  <c r="P12" i="25"/>
  <c r="L13" i="25"/>
  <c r="P14" i="25"/>
  <c r="V18" i="25"/>
  <c r="P18" i="25"/>
  <c r="N18" i="25"/>
  <c r="P21" i="25"/>
  <c r="L22" i="25"/>
  <c r="P23" i="25"/>
  <c r="L25" i="25"/>
  <c r="V25" i="25"/>
  <c r="P25" i="25"/>
  <c r="L48" i="25"/>
  <c r="R72" i="25"/>
  <c r="J72" i="25"/>
  <c r="L72" i="25"/>
  <c r="V5" i="25"/>
  <c r="P5" i="25"/>
  <c r="N5" i="25"/>
  <c r="N12" i="25"/>
  <c r="V12" i="25"/>
  <c r="L14" i="25"/>
  <c r="N21" i="25"/>
  <c r="R26" i="25"/>
  <c r="J26" i="25"/>
  <c r="N26" i="25"/>
  <c r="R30" i="25"/>
  <c r="J30" i="25"/>
  <c r="N30" i="25"/>
  <c r="R34" i="25"/>
  <c r="J34" i="25"/>
  <c r="N34" i="25"/>
  <c r="R38" i="25"/>
  <c r="J38" i="25"/>
  <c r="N38" i="25"/>
  <c r="P38" i="25"/>
  <c r="P42" i="25"/>
  <c r="V47" i="25"/>
  <c r="P47" i="25"/>
  <c r="L47" i="25"/>
  <c r="R47" i="25"/>
  <c r="J5" i="25"/>
  <c r="N6" i="25"/>
  <c r="L6" i="25"/>
  <c r="V6" i="25"/>
  <c r="V13" i="25"/>
  <c r="P13" i="25"/>
  <c r="N13" i="25"/>
  <c r="R14" i="25"/>
  <c r="V22" i="25"/>
  <c r="P22" i="25"/>
  <c r="N22" i="25"/>
  <c r="R23" i="25"/>
  <c r="V26" i="25"/>
  <c r="V30" i="25"/>
  <c r="V34" i="25"/>
  <c r="V38" i="25"/>
  <c r="V42" i="25"/>
  <c r="R46" i="25"/>
  <c r="J46" i="25"/>
  <c r="P46" i="25"/>
  <c r="L46" i="25"/>
  <c r="J47" i="25"/>
  <c r="N48" i="25"/>
  <c r="P48" i="25"/>
  <c r="J48" i="25"/>
  <c r="R48" i="25"/>
  <c r="R54" i="25"/>
  <c r="J54" i="25"/>
  <c r="N54" i="25"/>
  <c r="L54" i="25"/>
  <c r="R58" i="25"/>
  <c r="J58" i="25"/>
  <c r="N58" i="25"/>
  <c r="L58" i="25"/>
  <c r="R62" i="25"/>
  <c r="J62" i="25"/>
  <c r="N62" i="25"/>
  <c r="L62" i="25"/>
  <c r="R66" i="25"/>
  <c r="J66" i="25"/>
  <c r="N66" i="25"/>
  <c r="L66" i="25"/>
  <c r="L5" i="25"/>
  <c r="P6" i="25"/>
  <c r="R8" i="25"/>
  <c r="J8" i="25"/>
  <c r="N8" i="25"/>
  <c r="V8" i="25"/>
  <c r="J9" i="25"/>
  <c r="N10" i="25"/>
  <c r="L10" i="25"/>
  <c r="V10" i="25"/>
  <c r="L12" i="25"/>
  <c r="R13" i="25"/>
  <c r="J14" i="25"/>
  <c r="R17" i="25"/>
  <c r="J17" i="25"/>
  <c r="N17" i="25"/>
  <c r="V17" i="25"/>
  <c r="J18" i="25"/>
  <c r="N19" i="25"/>
  <c r="L19" i="25"/>
  <c r="V19" i="25"/>
  <c r="L21" i="25"/>
  <c r="R22" i="25"/>
  <c r="J23" i="25"/>
  <c r="N25" i="25"/>
  <c r="L26" i="25"/>
  <c r="N28" i="25"/>
  <c r="R28" i="25"/>
  <c r="J28" i="25"/>
  <c r="P28" i="25"/>
  <c r="L30" i="25"/>
  <c r="N32" i="25"/>
  <c r="R32" i="25"/>
  <c r="J32" i="25"/>
  <c r="P32" i="25"/>
  <c r="L34" i="25"/>
  <c r="N36" i="25"/>
  <c r="R36" i="25"/>
  <c r="J36" i="25"/>
  <c r="P36" i="25"/>
  <c r="L38" i="25"/>
  <c r="N40" i="25"/>
  <c r="R40" i="25"/>
  <c r="J40" i="25"/>
  <c r="P40" i="25"/>
  <c r="L42" i="25"/>
  <c r="N44" i="25"/>
  <c r="R44" i="25"/>
  <c r="J44" i="25"/>
  <c r="P44" i="25"/>
  <c r="V46" i="25"/>
  <c r="N47" i="25"/>
  <c r="V54" i="25"/>
  <c r="V58" i="25"/>
  <c r="V62" i="25"/>
  <c r="V66" i="25"/>
  <c r="V77" i="25"/>
  <c r="J77" i="25"/>
  <c r="P77" i="25"/>
  <c r="L27" i="25"/>
  <c r="L31" i="25"/>
  <c r="L35" i="25"/>
  <c r="L39" i="25"/>
  <c r="L43" i="25"/>
  <c r="V51" i="25"/>
  <c r="P51" i="25"/>
  <c r="N51" i="25"/>
  <c r="N52" i="25"/>
  <c r="R52" i="25"/>
  <c r="J52" i="25"/>
  <c r="P52" i="25"/>
  <c r="N56" i="25"/>
  <c r="R56" i="25"/>
  <c r="J56" i="25"/>
  <c r="P56" i="25"/>
  <c r="N60" i="25"/>
  <c r="R60" i="25"/>
  <c r="J60" i="25"/>
  <c r="P60" i="25"/>
  <c r="N64" i="25"/>
  <c r="R64" i="25"/>
  <c r="J64" i="25"/>
  <c r="P64" i="25"/>
  <c r="N68" i="25"/>
  <c r="R68" i="25"/>
  <c r="J68" i="25"/>
  <c r="P68" i="25"/>
  <c r="R70" i="25"/>
  <c r="V70" i="25" s="1"/>
  <c r="J70" i="25"/>
  <c r="N70" i="25"/>
  <c r="P70" i="25"/>
  <c r="J78" i="25"/>
  <c r="V78" i="25"/>
  <c r="L7" i="25"/>
  <c r="L11" i="25"/>
  <c r="N15" i="25"/>
  <c r="L16" i="25"/>
  <c r="L20" i="25"/>
  <c r="L24" i="25"/>
  <c r="P27" i="25"/>
  <c r="L29" i="25"/>
  <c r="P31" i="25"/>
  <c r="L33" i="25"/>
  <c r="P35" i="25"/>
  <c r="L37" i="25"/>
  <c r="P39" i="25"/>
  <c r="L41" i="25"/>
  <c r="P43" i="25"/>
  <c r="L45" i="25"/>
  <c r="R50" i="25"/>
  <c r="J50" i="25"/>
  <c r="N50" i="25"/>
  <c r="V50" i="25"/>
  <c r="J51" i="25"/>
  <c r="V52" i="25"/>
  <c r="V56" i="25"/>
  <c r="V60" i="25"/>
  <c r="V64" i="25"/>
  <c r="V68" i="25"/>
  <c r="L55" i="25"/>
  <c r="L59" i="25"/>
  <c r="L63" i="25"/>
  <c r="L67" i="25"/>
  <c r="L71" i="25"/>
  <c r="V76" i="25"/>
  <c r="L49" i="25"/>
  <c r="L53" i="25"/>
  <c r="P55" i="25"/>
  <c r="L57" i="25"/>
  <c r="P59" i="25"/>
  <c r="L61" i="25"/>
  <c r="P63" i="25"/>
  <c r="L65" i="25"/>
  <c r="P67" i="25"/>
  <c r="L69" i="25"/>
  <c r="P71" i="25"/>
  <c r="J75" i="25"/>
  <c r="P76" i="25"/>
  <c r="P74" i="24"/>
  <c r="P73" i="24"/>
  <c r="X67" i="28" l="1"/>
  <c r="G67" i="29"/>
  <c r="X65" i="28"/>
  <c r="G65" i="29"/>
  <c r="G72" i="29"/>
  <c r="X72" i="28"/>
  <c r="S78" i="28"/>
  <c r="H78" i="28"/>
  <c r="X53" i="28"/>
  <c r="G53" i="29"/>
  <c r="W59" i="32"/>
  <c r="X59" i="32" s="1"/>
  <c r="T59" i="32"/>
  <c r="S60" i="30"/>
  <c r="H60" i="30"/>
  <c r="W66" i="28"/>
  <c r="T66" i="28"/>
  <c r="G76" i="29"/>
  <c r="X76" i="28"/>
  <c r="G23" i="29"/>
  <c r="X23" i="28"/>
  <c r="S57" i="28"/>
  <c r="H57" i="28"/>
  <c r="G16" i="29"/>
  <c r="X16" i="28"/>
  <c r="G21" i="29"/>
  <c r="X21" i="28"/>
  <c r="H71" i="28"/>
  <c r="S71" i="28"/>
  <c r="X54" i="28"/>
  <c r="G54" i="29"/>
  <c r="W64" i="30"/>
  <c r="T64" i="30"/>
  <c r="X51" i="28"/>
  <c r="G51" i="29"/>
  <c r="W50" i="28"/>
  <c r="T50" i="28"/>
  <c r="G77" i="29"/>
  <c r="X77" i="28"/>
  <c r="X42" i="28"/>
  <c r="G42" i="29"/>
  <c r="X75" i="28"/>
  <c r="G75" i="29"/>
  <c r="S42" i="29" l="1"/>
  <c r="H42" i="29"/>
  <c r="T71" i="28"/>
  <c r="W71" i="28"/>
  <c r="S65" i="29"/>
  <c r="H65" i="29"/>
  <c r="W78" i="28"/>
  <c r="T78" i="28"/>
  <c r="G64" i="31"/>
  <c r="X64" i="30"/>
  <c r="S16" i="29"/>
  <c r="H16" i="29"/>
  <c r="S23" i="29"/>
  <c r="H23" i="29"/>
  <c r="S75" i="29"/>
  <c r="H75" i="29"/>
  <c r="S51" i="29"/>
  <c r="H51" i="29"/>
  <c r="S54" i="29"/>
  <c r="H54" i="29"/>
  <c r="H53" i="29"/>
  <c r="S53" i="29"/>
  <c r="S67" i="29"/>
  <c r="H67" i="29"/>
  <c r="G50" i="29"/>
  <c r="X50" i="28"/>
  <c r="G66" i="29"/>
  <c r="X66" i="28"/>
  <c r="S77" i="29"/>
  <c r="H77" i="29"/>
  <c r="S21" i="29"/>
  <c r="H21" i="29"/>
  <c r="T57" i="28"/>
  <c r="W57" i="28"/>
  <c r="S76" i="29"/>
  <c r="H76" i="29"/>
  <c r="W60" i="30"/>
  <c r="T60" i="30"/>
  <c r="S72" i="29"/>
  <c r="H72" i="29"/>
  <c r="W78" i="24"/>
  <c r="F78" i="24"/>
  <c r="V77" i="24"/>
  <c r="W77" i="24"/>
  <c r="F77" i="24"/>
  <c r="W76" i="24"/>
  <c r="G76" i="25" s="1"/>
  <c r="T76" i="24"/>
  <c r="V75" i="24"/>
  <c r="V74" i="24"/>
  <c r="V73" i="24"/>
  <c r="F75" i="24"/>
  <c r="F76" i="24"/>
  <c r="P78" i="24" l="1"/>
  <c r="J78" i="24"/>
  <c r="W72" i="29"/>
  <c r="T72" i="29"/>
  <c r="W76" i="29"/>
  <c r="T76" i="29"/>
  <c r="W21" i="29"/>
  <c r="T21" i="29"/>
  <c r="S66" i="29"/>
  <c r="H66" i="29"/>
  <c r="W67" i="29"/>
  <c r="X67" i="29" s="1"/>
  <c r="T67" i="29"/>
  <c r="W54" i="29"/>
  <c r="T54" i="29"/>
  <c r="W75" i="29"/>
  <c r="X75" i="29" s="1"/>
  <c r="T75" i="29"/>
  <c r="W16" i="29"/>
  <c r="X16" i="29" s="1"/>
  <c r="T16" i="29"/>
  <c r="G78" i="29"/>
  <c r="X78" i="28"/>
  <c r="P76" i="24"/>
  <c r="J76" i="24"/>
  <c r="P77" i="24"/>
  <c r="J77" i="24"/>
  <c r="X78" i="24"/>
  <c r="G78" i="25"/>
  <c r="X57" i="28"/>
  <c r="G57" i="29"/>
  <c r="W53" i="29"/>
  <c r="T53" i="29"/>
  <c r="X71" i="28"/>
  <c r="G71" i="29"/>
  <c r="S76" i="25"/>
  <c r="H76" i="25"/>
  <c r="X76" i="24"/>
  <c r="P75" i="24"/>
  <c r="J75" i="24"/>
  <c r="V76" i="24"/>
  <c r="X77" i="24"/>
  <c r="G77" i="25"/>
  <c r="V78" i="24"/>
  <c r="G60" i="31"/>
  <c r="X60" i="30"/>
  <c r="W77" i="29"/>
  <c r="X77" i="29" s="1"/>
  <c r="T77" i="29"/>
  <c r="S50" i="29"/>
  <c r="H50" i="29"/>
  <c r="W51" i="29"/>
  <c r="T51" i="29"/>
  <c r="W23" i="29"/>
  <c r="X23" i="29" s="1"/>
  <c r="T23" i="29"/>
  <c r="S64" i="31"/>
  <c r="H64" i="31"/>
  <c r="W65" i="29"/>
  <c r="X65" i="29" s="1"/>
  <c r="T65" i="29"/>
  <c r="W42" i="29"/>
  <c r="T42" i="29"/>
  <c r="R75" i="24"/>
  <c r="N75" i="24"/>
  <c r="L75" i="24"/>
  <c r="R74" i="24"/>
  <c r="N74" i="24"/>
  <c r="L74" i="24"/>
  <c r="J74" i="24"/>
  <c r="R73" i="24"/>
  <c r="N73" i="24"/>
  <c r="L73" i="24"/>
  <c r="J73" i="24"/>
  <c r="P72" i="24"/>
  <c r="F72" i="24"/>
  <c r="V71" i="24"/>
  <c r="N71" i="24"/>
  <c r="J71" i="24"/>
  <c r="F71" i="24"/>
  <c r="R71" i="24" s="1"/>
  <c r="R70" i="24"/>
  <c r="V70" i="24" s="1"/>
  <c r="F70" i="24"/>
  <c r="J70" i="24" s="1"/>
  <c r="F69" i="24"/>
  <c r="N69" i="24" s="1"/>
  <c r="F68" i="24"/>
  <c r="V68" i="24" s="1"/>
  <c r="R67" i="24"/>
  <c r="F67" i="24"/>
  <c r="P67" i="24" s="1"/>
  <c r="F66" i="24"/>
  <c r="L66" i="24" s="1"/>
  <c r="F65" i="24"/>
  <c r="L65" i="24" s="1"/>
  <c r="N64" i="24"/>
  <c r="F64" i="24"/>
  <c r="V64" i="24" s="1"/>
  <c r="F63" i="24"/>
  <c r="N63" i="24" s="1"/>
  <c r="F62" i="24"/>
  <c r="R62" i="24" s="1"/>
  <c r="N61" i="24"/>
  <c r="F61" i="24"/>
  <c r="N60" i="24"/>
  <c r="F60" i="24"/>
  <c r="V59" i="24"/>
  <c r="J59" i="24"/>
  <c r="F59" i="24"/>
  <c r="R59" i="24" s="1"/>
  <c r="L58" i="24"/>
  <c r="F58" i="24"/>
  <c r="J58" i="24" s="1"/>
  <c r="F57" i="24"/>
  <c r="L57" i="24" s="1"/>
  <c r="F56" i="24"/>
  <c r="V56" i="24" s="1"/>
  <c r="N55" i="24"/>
  <c r="F55" i="24"/>
  <c r="V55" i="24" s="1"/>
  <c r="F54" i="24"/>
  <c r="R54" i="24" s="1"/>
  <c r="N53" i="24"/>
  <c r="F53" i="24"/>
  <c r="L53" i="24" s="1"/>
  <c r="F52" i="24"/>
  <c r="N52" i="24" s="1"/>
  <c r="N51" i="24"/>
  <c r="F51" i="24"/>
  <c r="V51" i="24" s="1"/>
  <c r="V50" i="24"/>
  <c r="L50" i="24"/>
  <c r="F50" i="24"/>
  <c r="J50" i="24" s="1"/>
  <c r="L49" i="24"/>
  <c r="F49" i="24"/>
  <c r="J49" i="24" s="1"/>
  <c r="F48" i="24"/>
  <c r="L48" i="24" s="1"/>
  <c r="F47" i="24"/>
  <c r="V47" i="24" s="1"/>
  <c r="F46" i="24"/>
  <c r="V46" i="24" s="1"/>
  <c r="F45" i="24"/>
  <c r="R45" i="24" s="1"/>
  <c r="F44" i="24"/>
  <c r="F43" i="24"/>
  <c r="N43" i="24" s="1"/>
  <c r="F42" i="24"/>
  <c r="J41" i="24"/>
  <c r="F41" i="24"/>
  <c r="R41" i="24" s="1"/>
  <c r="L40" i="24"/>
  <c r="F40" i="24"/>
  <c r="V40" i="24" s="1"/>
  <c r="F39" i="24"/>
  <c r="P39" i="24" s="1"/>
  <c r="F38" i="24"/>
  <c r="N37" i="24"/>
  <c r="J37" i="24"/>
  <c r="F37" i="24"/>
  <c r="R37" i="24" s="1"/>
  <c r="L36" i="24"/>
  <c r="F36" i="24"/>
  <c r="F35" i="24"/>
  <c r="V35" i="24" s="1"/>
  <c r="F34" i="24"/>
  <c r="V34" i="24" s="1"/>
  <c r="J33" i="24"/>
  <c r="F33" i="24"/>
  <c r="R33" i="24" s="1"/>
  <c r="F32" i="24"/>
  <c r="V32" i="24" s="1"/>
  <c r="P31" i="24"/>
  <c r="N31" i="24"/>
  <c r="F31" i="24"/>
  <c r="V31" i="24" s="1"/>
  <c r="V30" i="24"/>
  <c r="L30" i="24"/>
  <c r="J30" i="24"/>
  <c r="F30" i="24"/>
  <c r="R30" i="24" s="1"/>
  <c r="F29" i="24"/>
  <c r="L29" i="24" s="1"/>
  <c r="F28" i="24"/>
  <c r="R28" i="24" s="1"/>
  <c r="F27" i="24"/>
  <c r="V27" i="24" s="1"/>
  <c r="V26" i="24"/>
  <c r="N26" i="24"/>
  <c r="J26" i="24"/>
  <c r="F26" i="24"/>
  <c r="R26" i="24" s="1"/>
  <c r="S25" i="24"/>
  <c r="W25" i="24" s="1"/>
  <c r="L25" i="24"/>
  <c r="F25" i="24"/>
  <c r="H25" i="24" s="1"/>
  <c r="F24" i="24"/>
  <c r="N24" i="24" s="1"/>
  <c r="F23" i="24"/>
  <c r="V23" i="24" s="1"/>
  <c r="F22" i="24"/>
  <c r="P22" i="24" s="1"/>
  <c r="F21" i="24"/>
  <c r="R21" i="24" s="1"/>
  <c r="V20" i="24"/>
  <c r="N20" i="24"/>
  <c r="J20" i="24"/>
  <c r="F20" i="24"/>
  <c r="R20" i="24" s="1"/>
  <c r="L19" i="24"/>
  <c r="F19" i="24"/>
  <c r="J18" i="24"/>
  <c r="F18" i="24"/>
  <c r="R18" i="24" s="1"/>
  <c r="F17" i="24"/>
  <c r="R16" i="24"/>
  <c r="F16" i="24"/>
  <c r="N16" i="24" s="1"/>
  <c r="S15" i="24"/>
  <c r="W15" i="24" s="1"/>
  <c r="G15" i="25" s="1"/>
  <c r="N15" i="24"/>
  <c r="F15" i="24"/>
  <c r="P14" i="24"/>
  <c r="N14" i="24"/>
  <c r="F14" i="24"/>
  <c r="V14" i="24" s="1"/>
  <c r="L13" i="24"/>
  <c r="F13" i="24"/>
  <c r="V13" i="24" s="1"/>
  <c r="N12" i="24"/>
  <c r="J12" i="24"/>
  <c r="F12" i="24"/>
  <c r="R12" i="24" s="1"/>
  <c r="F11" i="24"/>
  <c r="V11" i="24" s="1"/>
  <c r="P10" i="24"/>
  <c r="N10" i="24"/>
  <c r="F10" i="24"/>
  <c r="V10" i="24" s="1"/>
  <c r="L9" i="24"/>
  <c r="F9" i="24"/>
  <c r="V9" i="24" s="1"/>
  <c r="J8" i="24"/>
  <c r="F8" i="24"/>
  <c r="R8" i="24" s="1"/>
  <c r="F7" i="24"/>
  <c r="V7" i="24" s="1"/>
  <c r="P6" i="24"/>
  <c r="N6" i="24"/>
  <c r="F6" i="24"/>
  <c r="V6" i="24" s="1"/>
  <c r="L5" i="24"/>
  <c r="F5" i="24"/>
  <c r="V5" i="24" s="1"/>
  <c r="R75" i="23"/>
  <c r="N75" i="23"/>
  <c r="L75" i="23"/>
  <c r="J75" i="23"/>
  <c r="R74" i="23"/>
  <c r="N74" i="23"/>
  <c r="L74" i="23"/>
  <c r="J74" i="23"/>
  <c r="R73" i="23"/>
  <c r="N73" i="23"/>
  <c r="L73" i="23"/>
  <c r="J73" i="23"/>
  <c r="W72" i="23"/>
  <c r="S72" i="23"/>
  <c r="R72" i="23"/>
  <c r="F72" i="23"/>
  <c r="T72" i="23" s="1"/>
  <c r="P71" i="23"/>
  <c r="F71" i="23"/>
  <c r="V71" i="23" s="1"/>
  <c r="L70" i="23"/>
  <c r="F70" i="23"/>
  <c r="N69" i="23"/>
  <c r="L69" i="23"/>
  <c r="F69" i="23"/>
  <c r="F68" i="23"/>
  <c r="P68" i="23" s="1"/>
  <c r="F67" i="23"/>
  <c r="V67" i="23" s="1"/>
  <c r="L66" i="23"/>
  <c r="J66" i="23"/>
  <c r="F66" i="23"/>
  <c r="F65" i="23"/>
  <c r="N65" i="23" s="1"/>
  <c r="N64" i="23"/>
  <c r="F64" i="23"/>
  <c r="P64" i="23" s="1"/>
  <c r="R63" i="23"/>
  <c r="P63" i="23"/>
  <c r="F63" i="23"/>
  <c r="N63" i="23" s="1"/>
  <c r="J62" i="23"/>
  <c r="F62" i="23"/>
  <c r="F61" i="23"/>
  <c r="F60" i="23"/>
  <c r="V60" i="23" s="1"/>
  <c r="F59" i="23"/>
  <c r="V59" i="23" s="1"/>
  <c r="F58" i="23"/>
  <c r="R58" i="23" s="1"/>
  <c r="F57" i="23"/>
  <c r="N57" i="23" s="1"/>
  <c r="V56" i="23"/>
  <c r="F56" i="23"/>
  <c r="P56" i="23" s="1"/>
  <c r="V55" i="23"/>
  <c r="R55" i="23"/>
  <c r="J55" i="23"/>
  <c r="F55" i="23"/>
  <c r="F54" i="23"/>
  <c r="N53" i="23"/>
  <c r="L53" i="23"/>
  <c r="F53" i="23"/>
  <c r="V52" i="23"/>
  <c r="S52" i="23"/>
  <c r="W52" i="23" s="1"/>
  <c r="H52" i="23"/>
  <c r="F52" i="23"/>
  <c r="P52" i="23" s="1"/>
  <c r="N51" i="23"/>
  <c r="F51" i="23"/>
  <c r="V51" i="23" s="1"/>
  <c r="V50" i="23"/>
  <c r="S50" i="23"/>
  <c r="W50" i="23" s="1"/>
  <c r="J50" i="23"/>
  <c r="H50" i="23"/>
  <c r="F50" i="23"/>
  <c r="P50" i="23" s="1"/>
  <c r="R49" i="23"/>
  <c r="P49" i="23"/>
  <c r="F49" i="23"/>
  <c r="N49" i="23" s="1"/>
  <c r="J48" i="23"/>
  <c r="F48" i="23"/>
  <c r="F47" i="23"/>
  <c r="N46" i="23"/>
  <c r="F46" i="23"/>
  <c r="V45" i="23"/>
  <c r="R45" i="23"/>
  <c r="J45" i="23"/>
  <c r="F45" i="23"/>
  <c r="P45" i="23" s="1"/>
  <c r="F44" i="23"/>
  <c r="L44" i="23" s="1"/>
  <c r="F43" i="23"/>
  <c r="R43" i="23" s="1"/>
  <c r="F42" i="23"/>
  <c r="P42" i="23" s="1"/>
  <c r="F41" i="23"/>
  <c r="P41" i="23" s="1"/>
  <c r="P40" i="23"/>
  <c r="F40" i="23"/>
  <c r="N40" i="23" s="1"/>
  <c r="F39" i="23"/>
  <c r="J39" i="23" s="1"/>
  <c r="F38" i="23"/>
  <c r="V37" i="23"/>
  <c r="F37" i="23"/>
  <c r="N37" i="23" s="1"/>
  <c r="V36" i="23"/>
  <c r="R36" i="23"/>
  <c r="J36" i="23"/>
  <c r="F36" i="23"/>
  <c r="F35" i="23"/>
  <c r="J35" i="23" s="1"/>
  <c r="N34" i="23"/>
  <c r="F34" i="23"/>
  <c r="F33" i="23"/>
  <c r="N33" i="23" s="1"/>
  <c r="P32" i="23"/>
  <c r="F32" i="23"/>
  <c r="V32" i="23" s="1"/>
  <c r="L31" i="23"/>
  <c r="F31" i="23"/>
  <c r="S30" i="23"/>
  <c r="W30" i="23" s="1"/>
  <c r="F30" i="23"/>
  <c r="X30" i="23" s="1"/>
  <c r="F29" i="23"/>
  <c r="V28" i="23"/>
  <c r="F28" i="23"/>
  <c r="N28" i="23" s="1"/>
  <c r="R27" i="23"/>
  <c r="P27" i="23"/>
  <c r="F27" i="23"/>
  <c r="N27" i="23" s="1"/>
  <c r="F26" i="23"/>
  <c r="F25" i="23"/>
  <c r="N25" i="23" s="1"/>
  <c r="N24" i="23"/>
  <c r="F24" i="23"/>
  <c r="V24" i="23" s="1"/>
  <c r="W23" i="23"/>
  <c r="V23" i="23"/>
  <c r="S23" i="23"/>
  <c r="P23" i="23"/>
  <c r="J23" i="23"/>
  <c r="H23" i="23"/>
  <c r="F23" i="23"/>
  <c r="T23" i="23" s="1"/>
  <c r="F22" i="23"/>
  <c r="N22" i="23" s="1"/>
  <c r="L21" i="23"/>
  <c r="F21" i="23"/>
  <c r="L20" i="23"/>
  <c r="F20" i="23"/>
  <c r="N20" i="23" s="1"/>
  <c r="P19" i="23"/>
  <c r="N19" i="23"/>
  <c r="F19" i="23"/>
  <c r="V19" i="23" s="1"/>
  <c r="V18" i="23"/>
  <c r="R18" i="23"/>
  <c r="J18" i="23"/>
  <c r="F18" i="23"/>
  <c r="P18" i="23" s="1"/>
  <c r="F17" i="23"/>
  <c r="R17" i="23" s="1"/>
  <c r="S16" i="23"/>
  <c r="T16" i="23" s="1"/>
  <c r="L16" i="23"/>
  <c r="F16" i="23"/>
  <c r="N16" i="23" s="1"/>
  <c r="W15" i="23"/>
  <c r="T15" i="23"/>
  <c r="S15" i="23"/>
  <c r="L15" i="23"/>
  <c r="J15" i="23"/>
  <c r="F15" i="23"/>
  <c r="N15" i="23" s="1"/>
  <c r="F14" i="23"/>
  <c r="J14" i="23" s="1"/>
  <c r="F13" i="23"/>
  <c r="P13" i="23" s="1"/>
  <c r="R12" i="23"/>
  <c r="F12" i="23"/>
  <c r="P12" i="23" s="1"/>
  <c r="F11" i="23"/>
  <c r="P11" i="23" s="1"/>
  <c r="F10" i="23"/>
  <c r="R10" i="23" s="1"/>
  <c r="L9" i="23"/>
  <c r="F9" i="23"/>
  <c r="R8" i="23"/>
  <c r="F8" i="23"/>
  <c r="P8" i="23" s="1"/>
  <c r="F7" i="23"/>
  <c r="L6" i="23"/>
  <c r="J6" i="23"/>
  <c r="F6" i="23"/>
  <c r="R6" i="23" s="1"/>
  <c r="F5" i="23"/>
  <c r="P60" i="23" l="1"/>
  <c r="N67" i="23"/>
  <c r="R24" i="24"/>
  <c r="V29" i="24"/>
  <c r="R35" i="24"/>
  <c r="R39" i="24"/>
  <c r="N46" i="24"/>
  <c r="P52" i="24"/>
  <c r="P63" i="24"/>
  <c r="S71" i="29"/>
  <c r="H71" i="29"/>
  <c r="S57" i="29"/>
  <c r="H57" i="29"/>
  <c r="V68" i="23"/>
  <c r="J8" i="23"/>
  <c r="V8" i="23"/>
  <c r="J10" i="23"/>
  <c r="J11" i="23"/>
  <c r="J12" i="23"/>
  <c r="V12" i="23"/>
  <c r="L13" i="23"/>
  <c r="N18" i="23"/>
  <c r="P22" i="23"/>
  <c r="R23" i="23"/>
  <c r="P24" i="23"/>
  <c r="J27" i="23"/>
  <c r="V27" i="23"/>
  <c r="L30" i="23"/>
  <c r="R32" i="23"/>
  <c r="V33" i="23"/>
  <c r="N36" i="23"/>
  <c r="R40" i="23"/>
  <c r="N41" i="23"/>
  <c r="J43" i="23"/>
  <c r="N45" i="23"/>
  <c r="P46" i="23"/>
  <c r="J49" i="23"/>
  <c r="V49" i="23"/>
  <c r="P51" i="23"/>
  <c r="N52" i="23"/>
  <c r="N55" i="23"/>
  <c r="N56" i="23"/>
  <c r="P59" i="23"/>
  <c r="J63" i="23"/>
  <c r="V63" i="23"/>
  <c r="L65" i="23"/>
  <c r="P67" i="23"/>
  <c r="R71" i="23"/>
  <c r="H72" i="23"/>
  <c r="R6" i="24"/>
  <c r="N8" i="24"/>
  <c r="R10" i="24"/>
  <c r="R14" i="24"/>
  <c r="S15" i="25"/>
  <c r="H15" i="25"/>
  <c r="N18" i="24"/>
  <c r="P20" i="24"/>
  <c r="L22" i="24"/>
  <c r="P23" i="24"/>
  <c r="V25" i="24"/>
  <c r="P26" i="24"/>
  <c r="J28" i="24"/>
  <c r="P30" i="24"/>
  <c r="R31" i="24"/>
  <c r="N33" i="24"/>
  <c r="L34" i="24"/>
  <c r="J35" i="24"/>
  <c r="V36" i="24"/>
  <c r="J39" i="24"/>
  <c r="V39" i="24"/>
  <c r="N41" i="24"/>
  <c r="P46" i="24"/>
  <c r="N47" i="24"/>
  <c r="P50" i="24"/>
  <c r="P51" i="24"/>
  <c r="V52" i="24"/>
  <c r="P55" i="24"/>
  <c r="N56" i="24"/>
  <c r="N59" i="24"/>
  <c r="P60" i="24"/>
  <c r="R63" i="24"/>
  <c r="P64" i="24"/>
  <c r="J67" i="24"/>
  <c r="V67" i="24"/>
  <c r="N68" i="24"/>
  <c r="R72" i="24"/>
  <c r="W50" i="29"/>
  <c r="T50" i="29"/>
  <c r="S60" i="31"/>
  <c r="H60" i="31"/>
  <c r="S78" i="29"/>
  <c r="H78" i="29"/>
  <c r="G21" i="30"/>
  <c r="X21" i="29"/>
  <c r="G72" i="30"/>
  <c r="X72" i="29"/>
  <c r="P33" i="23"/>
  <c r="X25" i="24"/>
  <c r="G25" i="26"/>
  <c r="G25" i="25"/>
  <c r="N8" i="23"/>
  <c r="N12" i="23"/>
  <c r="J16" i="23"/>
  <c r="R22" i="23"/>
  <c r="N30" i="23"/>
  <c r="J32" i="23"/>
  <c r="P36" i="23"/>
  <c r="P37" i="23"/>
  <c r="J40" i="23"/>
  <c r="V40" i="23"/>
  <c r="N42" i="23"/>
  <c r="L43" i="23"/>
  <c r="V46" i="23"/>
  <c r="T50" i="23"/>
  <c r="R50" i="23"/>
  <c r="P55" i="23"/>
  <c r="R59" i="23"/>
  <c r="V64" i="23"/>
  <c r="R67" i="23"/>
  <c r="N68" i="23"/>
  <c r="J71" i="23"/>
  <c r="J72" i="23"/>
  <c r="V72" i="23"/>
  <c r="J6" i="24"/>
  <c r="J10" i="24"/>
  <c r="J14" i="24"/>
  <c r="P21" i="24"/>
  <c r="J24" i="24"/>
  <c r="N28" i="24"/>
  <c r="J31" i="24"/>
  <c r="N35" i="24"/>
  <c r="N39" i="24"/>
  <c r="J45" i="24"/>
  <c r="R46" i="24"/>
  <c r="P47" i="24"/>
  <c r="R50" i="24"/>
  <c r="R51" i="24"/>
  <c r="J54" i="24"/>
  <c r="R55" i="24"/>
  <c r="P56" i="24"/>
  <c r="P59" i="24"/>
  <c r="V60" i="24"/>
  <c r="J62" i="24"/>
  <c r="J63" i="24"/>
  <c r="V63" i="24"/>
  <c r="N67" i="24"/>
  <c r="P68" i="24"/>
  <c r="P71" i="24"/>
  <c r="S78" i="25"/>
  <c r="H78" i="25"/>
  <c r="N59" i="23"/>
  <c r="J22" i="23"/>
  <c r="V22" i="23"/>
  <c r="P28" i="23"/>
  <c r="N32" i="23"/>
  <c r="V41" i="23"/>
  <c r="T52" i="23"/>
  <c r="J59" i="23"/>
  <c r="N60" i="23"/>
  <c r="J67" i="23"/>
  <c r="N71" i="23"/>
  <c r="P72" i="23"/>
  <c r="P35" i="24"/>
  <c r="J46" i="24"/>
  <c r="J51" i="24"/>
  <c r="J55" i="24"/>
  <c r="J72" i="24"/>
  <c r="V72" i="24"/>
  <c r="G42" i="30"/>
  <c r="X42" i="29"/>
  <c r="W64" i="31"/>
  <c r="T64" i="31"/>
  <c r="X51" i="29"/>
  <c r="G51" i="30"/>
  <c r="S77" i="25"/>
  <c r="H77" i="25"/>
  <c r="W76" i="25"/>
  <c r="X76" i="25" s="1"/>
  <c r="T76" i="25"/>
  <c r="X53" i="29"/>
  <c r="G53" i="30"/>
  <c r="X54" i="29"/>
  <c r="G54" i="30"/>
  <c r="W66" i="29"/>
  <c r="T66" i="29"/>
  <c r="X76" i="29"/>
  <c r="G76" i="30"/>
  <c r="N17" i="24"/>
  <c r="R17" i="24"/>
  <c r="J17" i="24"/>
  <c r="P17" i="24"/>
  <c r="N7" i="24"/>
  <c r="R7" i="24"/>
  <c r="J7" i="24"/>
  <c r="P7" i="24"/>
  <c r="N11" i="24"/>
  <c r="R11" i="24"/>
  <c r="J11" i="24"/>
  <c r="P11" i="24"/>
  <c r="V15" i="24"/>
  <c r="P15" i="24"/>
  <c r="H15" i="24"/>
  <c r="X15" i="24"/>
  <c r="L15" i="24"/>
  <c r="J16" i="24"/>
  <c r="V17" i="24"/>
  <c r="R19" i="24"/>
  <c r="J19" i="24"/>
  <c r="V19" i="24"/>
  <c r="P19" i="24"/>
  <c r="N19" i="24"/>
  <c r="J15" i="24"/>
  <c r="T15" i="24"/>
  <c r="L17" i="24"/>
  <c r="R5" i="24"/>
  <c r="J5" i="24"/>
  <c r="N5" i="24"/>
  <c r="P5" i="24"/>
  <c r="L7" i="24"/>
  <c r="R9" i="24"/>
  <c r="J9" i="24"/>
  <c r="N9" i="24"/>
  <c r="P9" i="24"/>
  <c r="L11" i="24"/>
  <c r="R13" i="24"/>
  <c r="J13" i="24"/>
  <c r="N13" i="24"/>
  <c r="P13" i="24"/>
  <c r="R15" i="24"/>
  <c r="V16" i="24"/>
  <c r="P16" i="24"/>
  <c r="L16" i="24"/>
  <c r="R38" i="24"/>
  <c r="J38" i="24"/>
  <c r="N38" i="24"/>
  <c r="P38" i="24"/>
  <c r="L42" i="24"/>
  <c r="J42" i="24"/>
  <c r="P42" i="24"/>
  <c r="R42" i="24"/>
  <c r="R44" i="24"/>
  <c r="V44" i="24"/>
  <c r="P44" i="24"/>
  <c r="L44" i="24"/>
  <c r="L6" i="24"/>
  <c r="P8" i="24"/>
  <c r="V8" i="24"/>
  <c r="L10" i="24"/>
  <c r="P12" i="24"/>
  <c r="V12" i="24"/>
  <c r="L14" i="24"/>
  <c r="P18" i="24"/>
  <c r="V18" i="24"/>
  <c r="L20" i="24"/>
  <c r="J21" i="24"/>
  <c r="R22" i="24"/>
  <c r="J22" i="24"/>
  <c r="N22" i="24"/>
  <c r="V22" i="24"/>
  <c r="L23" i="24"/>
  <c r="R25" i="24"/>
  <c r="J25" i="24"/>
  <c r="T25" i="24"/>
  <c r="N25" i="24"/>
  <c r="P25" i="24"/>
  <c r="L27" i="24"/>
  <c r="R29" i="24"/>
  <c r="J29" i="24"/>
  <c r="N29" i="24"/>
  <c r="P29" i="24"/>
  <c r="L32" i="24"/>
  <c r="R34" i="24"/>
  <c r="J34" i="24"/>
  <c r="N34" i="24"/>
  <c r="P34" i="24"/>
  <c r="N36" i="24"/>
  <c r="R36" i="24"/>
  <c r="J36" i="24"/>
  <c r="P36" i="24"/>
  <c r="N40" i="24"/>
  <c r="R40" i="24"/>
  <c r="J40" i="24"/>
  <c r="P40" i="24"/>
  <c r="V42" i="24"/>
  <c r="V45" i="24"/>
  <c r="P45" i="24"/>
  <c r="N45" i="24"/>
  <c r="L45" i="24"/>
  <c r="V54" i="24"/>
  <c r="P54" i="24"/>
  <c r="N54" i="24"/>
  <c r="L54" i="24"/>
  <c r="L21" i="24"/>
  <c r="N27" i="24"/>
  <c r="R27" i="24"/>
  <c r="J27" i="24"/>
  <c r="P27" i="24"/>
  <c r="N32" i="24"/>
  <c r="R32" i="24"/>
  <c r="J32" i="24"/>
  <c r="P32" i="24"/>
  <c r="V38" i="24"/>
  <c r="R43" i="24"/>
  <c r="J43" i="24"/>
  <c r="P43" i="24"/>
  <c r="L43" i="24"/>
  <c r="J44" i="24"/>
  <c r="R48" i="24"/>
  <c r="J48" i="24"/>
  <c r="V48" i="24"/>
  <c r="P48" i="24"/>
  <c r="N48" i="24"/>
  <c r="R57" i="24"/>
  <c r="J57" i="24"/>
  <c r="V57" i="24"/>
  <c r="P57" i="24"/>
  <c r="N57" i="24"/>
  <c r="V62" i="24"/>
  <c r="P62" i="24"/>
  <c r="N62" i="24"/>
  <c r="L62" i="24"/>
  <c r="L8" i="24"/>
  <c r="L12" i="24"/>
  <c r="L18" i="24"/>
  <c r="N21" i="24"/>
  <c r="V21" i="24"/>
  <c r="N23" i="24"/>
  <c r="R23" i="24"/>
  <c r="J23" i="24"/>
  <c r="L38" i="24"/>
  <c r="N42" i="24"/>
  <c r="V43" i="24"/>
  <c r="N44" i="24"/>
  <c r="R65" i="24"/>
  <c r="J65" i="24"/>
  <c r="V65" i="24"/>
  <c r="P65" i="24"/>
  <c r="N65" i="24"/>
  <c r="P70" i="24"/>
  <c r="N70" i="24"/>
  <c r="L70" i="24"/>
  <c r="P24" i="24"/>
  <c r="V24" i="24"/>
  <c r="L26" i="24"/>
  <c r="P28" i="24"/>
  <c r="V28" i="24"/>
  <c r="N30" i="24"/>
  <c r="L31" i="24"/>
  <c r="P33" i="24"/>
  <c r="V33" i="24"/>
  <c r="L35" i="24"/>
  <c r="P37" i="24"/>
  <c r="V37" i="24"/>
  <c r="L39" i="24"/>
  <c r="P41" i="24"/>
  <c r="V41" i="24"/>
  <c r="R53" i="24"/>
  <c r="J53" i="24"/>
  <c r="V53" i="24"/>
  <c r="P53" i="24"/>
  <c r="L61" i="24"/>
  <c r="V66" i="24"/>
  <c r="P66" i="24"/>
  <c r="N66" i="24"/>
  <c r="R66" i="24"/>
  <c r="R69" i="24"/>
  <c r="V69" i="24" s="1"/>
  <c r="J69" i="24"/>
  <c r="P69" i="24"/>
  <c r="L24" i="24"/>
  <c r="L28" i="24"/>
  <c r="L33" i="24"/>
  <c r="L37" i="24"/>
  <c r="L41" i="24"/>
  <c r="V49" i="24"/>
  <c r="P49" i="24"/>
  <c r="N49" i="24"/>
  <c r="R49" i="24"/>
  <c r="V58" i="24"/>
  <c r="P58" i="24"/>
  <c r="N58" i="24"/>
  <c r="R58" i="24"/>
  <c r="R61" i="24"/>
  <c r="J61" i="24"/>
  <c r="V61" i="24"/>
  <c r="P61" i="24"/>
  <c r="J66" i="24"/>
  <c r="L69" i="24"/>
  <c r="L46" i="24"/>
  <c r="J47" i="24"/>
  <c r="R47" i="24"/>
  <c r="N50" i="24"/>
  <c r="L51" i="24"/>
  <c r="J52" i="24"/>
  <c r="R52" i="24"/>
  <c r="L55" i="24"/>
  <c r="J56" i="24"/>
  <c r="R56" i="24"/>
  <c r="L59" i="24"/>
  <c r="J60" i="24"/>
  <c r="R60" i="24"/>
  <c r="L63" i="24"/>
  <c r="J64" i="24"/>
  <c r="R64" i="24"/>
  <c r="L67" i="24"/>
  <c r="J68" i="24"/>
  <c r="R68" i="24"/>
  <c r="L71" i="24"/>
  <c r="L72" i="24"/>
  <c r="L47" i="24"/>
  <c r="L52" i="24"/>
  <c r="L56" i="24"/>
  <c r="L60" i="24"/>
  <c r="L64" i="24"/>
  <c r="L68" i="24"/>
  <c r="N72" i="24"/>
  <c r="N5" i="23"/>
  <c r="V5" i="23"/>
  <c r="N7" i="23"/>
  <c r="L7" i="23"/>
  <c r="V7" i="23"/>
  <c r="N14" i="23"/>
  <c r="V26" i="23"/>
  <c r="P26" i="23"/>
  <c r="N26" i="23"/>
  <c r="R35" i="23"/>
  <c r="R38" i="23"/>
  <c r="J38" i="23"/>
  <c r="V38" i="23"/>
  <c r="P38" i="23"/>
  <c r="R9" i="23"/>
  <c r="J9" i="23"/>
  <c r="V9" i="23"/>
  <c r="V31" i="23"/>
  <c r="P31" i="23"/>
  <c r="N31" i="23"/>
  <c r="R31" i="23"/>
  <c r="R34" i="23"/>
  <c r="J34" i="23"/>
  <c r="V34" i="23"/>
  <c r="P34" i="23"/>
  <c r="V44" i="23"/>
  <c r="R61" i="23"/>
  <c r="J61" i="23"/>
  <c r="V61" i="23"/>
  <c r="P61" i="23"/>
  <c r="N61" i="23"/>
  <c r="L61" i="23"/>
  <c r="V6" i="23"/>
  <c r="P6" i="23"/>
  <c r="N6" i="23"/>
  <c r="R7" i="23"/>
  <c r="P9" i="23"/>
  <c r="L10" i="23"/>
  <c r="R13" i="23"/>
  <c r="J13" i="23"/>
  <c r="N13" i="23"/>
  <c r="V13" i="23"/>
  <c r="V15" i="23"/>
  <c r="P15" i="23"/>
  <c r="H15" i="23"/>
  <c r="R15" i="23"/>
  <c r="X15" i="23"/>
  <c r="W16" i="23"/>
  <c r="R20" i="23"/>
  <c r="J20" i="23"/>
  <c r="V20" i="23"/>
  <c r="P20" i="23"/>
  <c r="J26" i="23"/>
  <c r="L29" i="23"/>
  <c r="L38" i="23"/>
  <c r="L39" i="23"/>
  <c r="R47" i="23"/>
  <c r="J47" i="23"/>
  <c r="V47" i="23"/>
  <c r="P47" i="23"/>
  <c r="N47" i="23"/>
  <c r="L47" i="23"/>
  <c r="L54" i="23"/>
  <c r="R57" i="23"/>
  <c r="J57" i="23"/>
  <c r="V57" i="23"/>
  <c r="P57" i="23"/>
  <c r="L57" i="23"/>
  <c r="V58" i="23"/>
  <c r="P58" i="23"/>
  <c r="N58" i="23"/>
  <c r="L58" i="23"/>
  <c r="J58" i="23"/>
  <c r="R5" i="23"/>
  <c r="J5" i="23"/>
  <c r="V14" i="23"/>
  <c r="P14" i="23"/>
  <c r="V17" i="23"/>
  <c r="N17" i="23"/>
  <c r="L17" i="23"/>
  <c r="R26" i="23"/>
  <c r="R29" i="23"/>
  <c r="J29" i="23"/>
  <c r="V29" i="23"/>
  <c r="P29" i="23"/>
  <c r="V35" i="23"/>
  <c r="P35" i="23"/>
  <c r="N35" i="23"/>
  <c r="N44" i="23"/>
  <c r="J44" i="23"/>
  <c r="R44" i="23"/>
  <c r="V54" i="23"/>
  <c r="P54" i="23"/>
  <c r="N54" i="23"/>
  <c r="J54" i="23"/>
  <c r="P5" i="23"/>
  <c r="P7" i="23"/>
  <c r="N9" i="23"/>
  <c r="N11" i="23"/>
  <c r="L11" i="23"/>
  <c r="V11" i="23"/>
  <c r="R14" i="23"/>
  <c r="P17" i="23"/>
  <c r="V21" i="23"/>
  <c r="P21" i="23"/>
  <c r="N21" i="23"/>
  <c r="R21" i="23"/>
  <c r="R25" i="23"/>
  <c r="J25" i="23"/>
  <c r="V25" i="23"/>
  <c r="P25" i="23"/>
  <c r="L5" i="23"/>
  <c r="J7" i="23"/>
  <c r="V10" i="23"/>
  <c r="P10" i="23"/>
  <c r="N10" i="23"/>
  <c r="R11" i="23"/>
  <c r="L14" i="23"/>
  <c r="V16" i="23"/>
  <c r="P16" i="23"/>
  <c r="H16" i="23"/>
  <c r="R16" i="23"/>
  <c r="X16" i="23"/>
  <c r="J17" i="23"/>
  <c r="J21" i="23"/>
  <c r="L25" i="23"/>
  <c r="L26" i="23"/>
  <c r="N29" i="23"/>
  <c r="R30" i="23"/>
  <c r="J30" i="23"/>
  <c r="V30" i="23"/>
  <c r="P30" i="23"/>
  <c r="H30" i="23"/>
  <c r="T30" i="23"/>
  <c r="J31" i="23"/>
  <c r="L34" i="23"/>
  <c r="L35" i="23"/>
  <c r="N38" i="23"/>
  <c r="V39" i="23"/>
  <c r="P39" i="23"/>
  <c r="N39" i="23"/>
  <c r="R39" i="23"/>
  <c r="R42" i="23"/>
  <c r="J42" i="23"/>
  <c r="L42" i="23"/>
  <c r="V42" i="23"/>
  <c r="P44" i="23"/>
  <c r="R54" i="23"/>
  <c r="P70" i="23"/>
  <c r="N70" i="23"/>
  <c r="R70" i="23"/>
  <c r="V70" i="23" s="1"/>
  <c r="L8" i="23"/>
  <c r="L12" i="23"/>
  <c r="L18" i="23"/>
  <c r="J19" i="23"/>
  <c r="R19" i="23"/>
  <c r="L22" i="23"/>
  <c r="L23" i="23"/>
  <c r="X23" i="23"/>
  <c r="J24" i="23"/>
  <c r="R24" i="23"/>
  <c r="L27" i="23"/>
  <c r="J28" i="23"/>
  <c r="R28" i="23"/>
  <c r="L32" i="23"/>
  <c r="J33" i="23"/>
  <c r="R33" i="23"/>
  <c r="L36" i="23"/>
  <c r="J37" i="23"/>
  <c r="R37" i="23"/>
  <c r="L40" i="23"/>
  <c r="J41" i="23"/>
  <c r="R41" i="23"/>
  <c r="V43" i="23"/>
  <c r="P43" i="23"/>
  <c r="N43" i="23"/>
  <c r="L48" i="23"/>
  <c r="R53" i="23"/>
  <c r="J53" i="23"/>
  <c r="V53" i="23"/>
  <c r="P53" i="23"/>
  <c r="L62" i="23"/>
  <c r="V66" i="23"/>
  <c r="P66" i="23"/>
  <c r="N66" i="23"/>
  <c r="R66" i="23"/>
  <c r="R69" i="23"/>
  <c r="V69" i="23" s="1"/>
  <c r="J69" i="23"/>
  <c r="P69" i="23"/>
  <c r="L19" i="23"/>
  <c r="N23" i="23"/>
  <c r="L24" i="23"/>
  <c r="L28" i="23"/>
  <c r="L33" i="23"/>
  <c r="L37" i="23"/>
  <c r="L41" i="23"/>
  <c r="V48" i="23"/>
  <c r="P48" i="23"/>
  <c r="N48" i="23"/>
  <c r="R48" i="23"/>
  <c r="X52" i="23"/>
  <c r="L52" i="23"/>
  <c r="R52" i="23"/>
  <c r="J52" i="23"/>
  <c r="V62" i="23"/>
  <c r="P62" i="23"/>
  <c r="N62" i="23"/>
  <c r="R62" i="23"/>
  <c r="R65" i="23"/>
  <c r="J65" i="23"/>
  <c r="V65" i="23"/>
  <c r="P65" i="23"/>
  <c r="J70" i="23"/>
  <c r="L45" i="23"/>
  <c r="J46" i="23"/>
  <c r="R46" i="23"/>
  <c r="L49" i="23"/>
  <c r="L50" i="23"/>
  <c r="X50" i="23"/>
  <c r="J51" i="23"/>
  <c r="R51" i="23"/>
  <c r="L55" i="23"/>
  <c r="J56" i="23"/>
  <c r="R56" i="23"/>
  <c r="L59" i="23"/>
  <c r="J60" i="23"/>
  <c r="R60" i="23"/>
  <c r="L63" i="23"/>
  <c r="J64" i="23"/>
  <c r="R64" i="23"/>
  <c r="L67" i="23"/>
  <c r="J68" i="23"/>
  <c r="R68" i="23"/>
  <c r="L71" i="23"/>
  <c r="L72" i="23"/>
  <c r="X72" i="23"/>
  <c r="L46" i="23"/>
  <c r="N50" i="23"/>
  <c r="L51" i="23"/>
  <c r="L56" i="23"/>
  <c r="L60" i="23"/>
  <c r="L64" i="23"/>
  <c r="L68" i="23"/>
  <c r="N72" i="23"/>
  <c r="R75" i="22"/>
  <c r="R74" i="22"/>
  <c r="R73" i="22"/>
  <c r="S76" i="30" l="1"/>
  <c r="H76" i="30"/>
  <c r="S51" i="30"/>
  <c r="H51" i="30"/>
  <c r="W78" i="25"/>
  <c r="X78" i="25" s="1"/>
  <c r="T78" i="25"/>
  <c r="S53" i="30"/>
  <c r="H53" i="30"/>
  <c r="S25" i="26"/>
  <c r="H25" i="26"/>
  <c r="W71" i="29"/>
  <c r="T71" i="29"/>
  <c r="W57" i="29"/>
  <c r="T57" i="29"/>
  <c r="X66" i="29"/>
  <c r="G66" i="30"/>
  <c r="T77" i="25"/>
  <c r="W77" i="25"/>
  <c r="X77" i="25" s="1"/>
  <c r="G64" i="32"/>
  <c r="X64" i="31"/>
  <c r="S72" i="30"/>
  <c r="H72" i="30"/>
  <c r="W78" i="29"/>
  <c r="T78" i="29"/>
  <c r="X50" i="29"/>
  <c r="G50" i="30"/>
  <c r="W15" i="25"/>
  <c r="X15" i="25" s="1"/>
  <c r="T15" i="25"/>
  <c r="S54" i="30"/>
  <c r="H54" i="30"/>
  <c r="S42" i="30"/>
  <c r="H42" i="30"/>
  <c r="S25" i="25"/>
  <c r="H25" i="25"/>
  <c r="S21" i="30"/>
  <c r="H21" i="30"/>
  <c r="W60" i="31"/>
  <c r="T60" i="31"/>
  <c r="N75" i="22"/>
  <c r="N74" i="22"/>
  <c r="N73" i="22"/>
  <c r="S66" i="30" l="1"/>
  <c r="H66" i="30"/>
  <c r="W21" i="30"/>
  <c r="T21" i="30"/>
  <c r="W42" i="30"/>
  <c r="T42" i="30"/>
  <c r="G78" i="30"/>
  <c r="X78" i="29"/>
  <c r="S64" i="32"/>
  <c r="H64" i="32"/>
  <c r="G71" i="30"/>
  <c r="X71" i="29"/>
  <c r="T53" i="30"/>
  <c r="W53" i="30"/>
  <c r="W51" i="30"/>
  <c r="T51" i="30"/>
  <c r="S50" i="30"/>
  <c r="H50" i="30"/>
  <c r="X60" i="31"/>
  <c r="G60" i="32"/>
  <c r="W25" i="25"/>
  <c r="X25" i="25" s="1"/>
  <c r="T25" i="25"/>
  <c r="W54" i="30"/>
  <c r="T54" i="30"/>
  <c r="W72" i="30"/>
  <c r="T72" i="30"/>
  <c r="X57" i="29"/>
  <c r="G57" i="30"/>
  <c r="W25" i="26"/>
  <c r="T25" i="26"/>
  <c r="W76" i="30"/>
  <c r="T76" i="30"/>
  <c r="L75" i="22"/>
  <c r="L74" i="22"/>
  <c r="L73" i="22"/>
  <c r="G54" i="31" l="1"/>
  <c r="X54" i="30"/>
  <c r="S71" i="30"/>
  <c r="H71" i="30"/>
  <c r="S57" i="30"/>
  <c r="H57" i="30"/>
  <c r="S60" i="32"/>
  <c r="H60" i="32"/>
  <c r="G76" i="31"/>
  <c r="X76" i="30"/>
  <c r="X51" i="30"/>
  <c r="G51" i="31"/>
  <c r="G21" i="31"/>
  <c r="X21" i="30"/>
  <c r="X53" i="30"/>
  <c r="G53" i="31"/>
  <c r="S78" i="30"/>
  <c r="H78" i="30"/>
  <c r="G25" i="27"/>
  <c r="X25" i="26"/>
  <c r="G72" i="31"/>
  <c r="X72" i="30"/>
  <c r="W50" i="30"/>
  <c r="T50" i="30"/>
  <c r="W64" i="32"/>
  <c r="X64" i="32" s="1"/>
  <c r="T64" i="32"/>
  <c r="X42" i="30"/>
  <c r="G42" i="31"/>
  <c r="T66" i="30"/>
  <c r="W66" i="30"/>
  <c r="J75" i="22"/>
  <c r="J74" i="22"/>
  <c r="J73" i="22"/>
  <c r="S42" i="31" l="1"/>
  <c r="H42" i="31"/>
  <c r="S53" i="31"/>
  <c r="H53" i="31"/>
  <c r="X50" i="30"/>
  <c r="G50" i="31"/>
  <c r="S25" i="27"/>
  <c r="H25" i="27"/>
  <c r="W60" i="32"/>
  <c r="X60" i="32" s="1"/>
  <c r="T60" i="32"/>
  <c r="W71" i="30"/>
  <c r="T71" i="30"/>
  <c r="X66" i="30"/>
  <c r="G66" i="31"/>
  <c r="S51" i="31"/>
  <c r="H51" i="31"/>
  <c r="S72" i="31"/>
  <c r="H72" i="31"/>
  <c r="W78" i="30"/>
  <c r="T78" i="30"/>
  <c r="S21" i="31"/>
  <c r="H21" i="31"/>
  <c r="S76" i="31"/>
  <c r="H76" i="31"/>
  <c r="T57" i="30"/>
  <c r="W57" i="30"/>
  <c r="S54" i="31"/>
  <c r="H54" i="31"/>
  <c r="W54" i="31" l="1"/>
  <c r="T54" i="31"/>
  <c r="W51" i="31"/>
  <c r="T51" i="31"/>
  <c r="W25" i="27"/>
  <c r="T25" i="27"/>
  <c r="W53" i="31"/>
  <c r="T53" i="31"/>
  <c r="W76" i="31"/>
  <c r="T76" i="31"/>
  <c r="G78" i="31"/>
  <c r="X78" i="30"/>
  <c r="X71" i="30"/>
  <c r="G71" i="31"/>
  <c r="X57" i="30"/>
  <c r="G57" i="31"/>
  <c r="S66" i="31"/>
  <c r="H66" i="31"/>
  <c r="S50" i="31"/>
  <c r="H50" i="31"/>
  <c r="W21" i="31"/>
  <c r="T21" i="31"/>
  <c r="W72" i="31"/>
  <c r="T72" i="31"/>
  <c r="T42" i="31"/>
  <c r="W42" i="31"/>
  <c r="S15" i="22"/>
  <c r="S72" i="22"/>
  <c r="W72" i="22" s="1"/>
  <c r="G72" i="24" s="1"/>
  <c r="F72" i="22"/>
  <c r="F71" i="22"/>
  <c r="F70" i="22"/>
  <c r="F69" i="22"/>
  <c r="F68" i="22"/>
  <c r="F67" i="22"/>
  <c r="V66" i="22"/>
  <c r="F66" i="22"/>
  <c r="F65" i="22"/>
  <c r="F64" i="22"/>
  <c r="V63" i="22"/>
  <c r="F63" i="22"/>
  <c r="V62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V50" i="22"/>
  <c r="S50" i="22"/>
  <c r="T50" i="22" s="1"/>
  <c r="F50" i="22"/>
  <c r="H50" i="22" s="1"/>
  <c r="F49" i="22"/>
  <c r="F48" i="22"/>
  <c r="F47" i="22"/>
  <c r="V46" i="22"/>
  <c r="F46" i="22"/>
  <c r="F45" i="22"/>
  <c r="F44" i="22"/>
  <c r="F43" i="22"/>
  <c r="F42" i="22"/>
  <c r="F41" i="22"/>
  <c r="F40" i="22"/>
  <c r="F39" i="22"/>
  <c r="V39" i="22" s="1"/>
  <c r="F38" i="22"/>
  <c r="F37" i="22"/>
  <c r="F36" i="22"/>
  <c r="F35" i="22"/>
  <c r="F34" i="22"/>
  <c r="F33" i="22"/>
  <c r="F32" i="22"/>
  <c r="F31" i="22"/>
  <c r="S30" i="22"/>
  <c r="W30" i="22" s="1"/>
  <c r="G30" i="24" s="1"/>
  <c r="F30" i="22"/>
  <c r="F29" i="22"/>
  <c r="F28" i="22"/>
  <c r="F27" i="22"/>
  <c r="F26" i="22"/>
  <c r="F25" i="22"/>
  <c r="V24" i="22"/>
  <c r="F24" i="22"/>
  <c r="V23" i="22"/>
  <c r="F23" i="22"/>
  <c r="H23" i="22" s="1"/>
  <c r="F22" i="22"/>
  <c r="F21" i="22"/>
  <c r="V20" i="22"/>
  <c r="F20" i="22"/>
  <c r="V19" i="22"/>
  <c r="F19" i="22"/>
  <c r="F18" i="22"/>
  <c r="F17" i="22"/>
  <c r="F16" i="22"/>
  <c r="F15" i="22"/>
  <c r="F14" i="22"/>
  <c r="F13" i="22"/>
  <c r="F12" i="22"/>
  <c r="F11" i="22"/>
  <c r="V11" i="22" s="1"/>
  <c r="F10" i="22"/>
  <c r="F9" i="22"/>
  <c r="F8" i="22"/>
  <c r="F7" i="22"/>
  <c r="F6" i="22"/>
  <c r="F5" i="22"/>
  <c r="V5" i="22" s="1"/>
  <c r="J23" i="21"/>
  <c r="F23" i="21"/>
  <c r="V23" i="21" s="1"/>
  <c r="S75" i="21"/>
  <c r="W75" i="21" s="1"/>
  <c r="G75" i="23" s="1"/>
  <c r="S75" i="23" s="1"/>
  <c r="W75" i="23" s="1"/>
  <c r="V7" i="22" l="1"/>
  <c r="R7" i="22"/>
  <c r="P7" i="22"/>
  <c r="N7" i="22"/>
  <c r="L7" i="22"/>
  <c r="J7" i="22"/>
  <c r="R9" i="22"/>
  <c r="P9" i="22"/>
  <c r="N9" i="22"/>
  <c r="L9" i="22"/>
  <c r="J9" i="22"/>
  <c r="R10" i="22"/>
  <c r="P10" i="22"/>
  <c r="N10" i="22"/>
  <c r="L10" i="22"/>
  <c r="J10" i="22"/>
  <c r="R13" i="22"/>
  <c r="P13" i="22"/>
  <c r="N13" i="22"/>
  <c r="L13" i="22"/>
  <c r="J13" i="22"/>
  <c r="R15" i="22"/>
  <c r="P15" i="22"/>
  <c r="N15" i="22"/>
  <c r="L15" i="22"/>
  <c r="J15" i="22"/>
  <c r="R27" i="22"/>
  <c r="P27" i="22"/>
  <c r="N27" i="22"/>
  <c r="L27" i="22"/>
  <c r="J27" i="22"/>
  <c r="R29" i="22"/>
  <c r="P29" i="22"/>
  <c r="N29" i="22"/>
  <c r="L29" i="22"/>
  <c r="J29" i="22"/>
  <c r="R31" i="22"/>
  <c r="P31" i="22"/>
  <c r="N31" i="22"/>
  <c r="L31" i="22"/>
  <c r="J31" i="22"/>
  <c r="R32" i="22"/>
  <c r="P32" i="22"/>
  <c r="N32" i="22"/>
  <c r="L32" i="22"/>
  <c r="J32" i="22"/>
  <c r="R34" i="22"/>
  <c r="P34" i="22"/>
  <c r="N34" i="22"/>
  <c r="L34" i="22"/>
  <c r="J34" i="22"/>
  <c r="R36" i="22"/>
  <c r="P36" i="22"/>
  <c r="N36" i="22"/>
  <c r="L36" i="22"/>
  <c r="J36" i="22"/>
  <c r="R38" i="22"/>
  <c r="P38" i="22"/>
  <c r="N38" i="22"/>
  <c r="L38" i="22"/>
  <c r="J38" i="22"/>
  <c r="P41" i="22"/>
  <c r="R41" i="22"/>
  <c r="N41" i="22"/>
  <c r="L41" i="22"/>
  <c r="J41" i="22"/>
  <c r="R43" i="22"/>
  <c r="P43" i="22"/>
  <c r="N43" i="22"/>
  <c r="L43" i="22"/>
  <c r="J43" i="22"/>
  <c r="P49" i="22"/>
  <c r="R49" i="22"/>
  <c r="N49" i="22"/>
  <c r="L49" i="22"/>
  <c r="J49" i="22"/>
  <c r="R52" i="22"/>
  <c r="P52" i="22"/>
  <c r="N52" i="22"/>
  <c r="L52" i="22"/>
  <c r="J52" i="22"/>
  <c r="R54" i="22"/>
  <c r="P54" i="22"/>
  <c r="N54" i="22"/>
  <c r="L54" i="22"/>
  <c r="J54" i="22"/>
  <c r="R55" i="22"/>
  <c r="P55" i="22"/>
  <c r="N55" i="22"/>
  <c r="L55" i="22"/>
  <c r="J55" i="22"/>
  <c r="R56" i="22"/>
  <c r="P56" i="22"/>
  <c r="N56" i="22"/>
  <c r="L56" i="22"/>
  <c r="J56" i="22"/>
  <c r="R58" i="22"/>
  <c r="P58" i="22"/>
  <c r="N58" i="22"/>
  <c r="L58" i="22"/>
  <c r="J58" i="22"/>
  <c r="R59" i="22"/>
  <c r="P59" i="22"/>
  <c r="N59" i="22"/>
  <c r="L59" i="22"/>
  <c r="J59" i="22"/>
  <c r="P61" i="22"/>
  <c r="R61" i="22"/>
  <c r="N61" i="22"/>
  <c r="L61" i="22"/>
  <c r="J61" i="22"/>
  <c r="R72" i="22"/>
  <c r="P72" i="22"/>
  <c r="N72" i="22"/>
  <c r="L72" i="22"/>
  <c r="J72" i="22"/>
  <c r="G75" i="22"/>
  <c r="S75" i="22" s="1"/>
  <c r="W75" i="22" s="1"/>
  <c r="G75" i="24" s="1"/>
  <c r="S75" i="24" s="1"/>
  <c r="T15" i="22"/>
  <c r="H57" i="31"/>
  <c r="S57" i="31"/>
  <c r="R23" i="21"/>
  <c r="R8" i="22"/>
  <c r="P8" i="22"/>
  <c r="N8" i="22"/>
  <c r="L8" i="22"/>
  <c r="J8" i="22"/>
  <c r="V15" i="22"/>
  <c r="R18" i="22"/>
  <c r="P18" i="22"/>
  <c r="N18" i="22"/>
  <c r="L18" i="22"/>
  <c r="J18" i="22"/>
  <c r="R20" i="22"/>
  <c r="P20" i="22"/>
  <c r="N20" i="22"/>
  <c r="L20" i="22"/>
  <c r="J20" i="22"/>
  <c r="R22" i="22"/>
  <c r="P22" i="22"/>
  <c r="N22" i="22"/>
  <c r="L22" i="22"/>
  <c r="J22" i="22"/>
  <c r="R24" i="22"/>
  <c r="P24" i="22"/>
  <c r="N24" i="22"/>
  <c r="L24" i="22"/>
  <c r="J24" i="22"/>
  <c r="R26" i="22"/>
  <c r="P26" i="22"/>
  <c r="N26" i="22"/>
  <c r="L26" i="22"/>
  <c r="J26" i="22"/>
  <c r="V27" i="22"/>
  <c r="V32" i="22"/>
  <c r="V36" i="22"/>
  <c r="V43" i="22"/>
  <c r="R46" i="22"/>
  <c r="P46" i="22"/>
  <c r="N46" i="22"/>
  <c r="L46" i="22"/>
  <c r="J46" i="22"/>
  <c r="R47" i="22"/>
  <c r="P47" i="22"/>
  <c r="N47" i="22"/>
  <c r="L47" i="22"/>
  <c r="J47" i="22"/>
  <c r="R64" i="22"/>
  <c r="P64" i="22"/>
  <c r="N64" i="22"/>
  <c r="L64" i="22"/>
  <c r="J64" i="22"/>
  <c r="R66" i="22"/>
  <c r="P66" i="22"/>
  <c r="N66" i="22"/>
  <c r="L66" i="22"/>
  <c r="J66" i="22"/>
  <c r="R67" i="22"/>
  <c r="P67" i="22"/>
  <c r="N67" i="22"/>
  <c r="L67" i="22"/>
  <c r="J67" i="22"/>
  <c r="V67" i="22"/>
  <c r="R70" i="22"/>
  <c r="V70" i="22" s="1"/>
  <c r="P70" i="22"/>
  <c r="N70" i="22"/>
  <c r="L70" i="22"/>
  <c r="J70" i="22"/>
  <c r="R71" i="22"/>
  <c r="P71" i="22"/>
  <c r="N71" i="22"/>
  <c r="L71" i="22"/>
  <c r="J71" i="22"/>
  <c r="G72" i="32"/>
  <c r="X72" i="31"/>
  <c r="W50" i="31"/>
  <c r="T50" i="31"/>
  <c r="S78" i="31"/>
  <c r="H78" i="31"/>
  <c r="X53" i="31"/>
  <c r="G53" i="32"/>
  <c r="G51" i="32"/>
  <c r="X51" i="31"/>
  <c r="R5" i="22"/>
  <c r="P5" i="22"/>
  <c r="N5" i="22"/>
  <c r="L5" i="22"/>
  <c r="J5" i="22"/>
  <c r="R6" i="22"/>
  <c r="P6" i="22"/>
  <c r="N6" i="22"/>
  <c r="L6" i="22"/>
  <c r="J6" i="22"/>
  <c r="R11" i="22"/>
  <c r="P11" i="22"/>
  <c r="N11" i="22"/>
  <c r="L11" i="22"/>
  <c r="J11" i="22"/>
  <c r="V12" i="22"/>
  <c r="R12" i="22"/>
  <c r="P12" i="22"/>
  <c r="N12" i="22"/>
  <c r="L12" i="22"/>
  <c r="J12" i="22"/>
  <c r="R14" i="22"/>
  <c r="P14" i="22"/>
  <c r="N14" i="22"/>
  <c r="L14" i="22"/>
  <c r="J14" i="22"/>
  <c r="R16" i="22"/>
  <c r="P16" i="22"/>
  <c r="N16" i="22"/>
  <c r="L16" i="22"/>
  <c r="J16" i="22"/>
  <c r="R28" i="22"/>
  <c r="P28" i="22"/>
  <c r="N28" i="22"/>
  <c r="L28" i="22"/>
  <c r="J28" i="22"/>
  <c r="R30" i="22"/>
  <c r="P30" i="22"/>
  <c r="N30" i="22"/>
  <c r="L30" i="22"/>
  <c r="J30" i="22"/>
  <c r="P33" i="22"/>
  <c r="R33" i="22"/>
  <c r="N33" i="22"/>
  <c r="L33" i="22"/>
  <c r="J33" i="22"/>
  <c r="R35" i="22"/>
  <c r="P35" i="22"/>
  <c r="N35" i="22"/>
  <c r="L35" i="22"/>
  <c r="J35" i="22"/>
  <c r="R37" i="22"/>
  <c r="P37" i="22"/>
  <c r="N37" i="22"/>
  <c r="L37" i="22"/>
  <c r="J37" i="22"/>
  <c r="R39" i="22"/>
  <c r="P39" i="22"/>
  <c r="N39" i="22"/>
  <c r="L39" i="22"/>
  <c r="J39" i="22"/>
  <c r="R40" i="22"/>
  <c r="P40" i="22"/>
  <c r="N40" i="22"/>
  <c r="L40" i="22"/>
  <c r="J40" i="22"/>
  <c r="R42" i="22"/>
  <c r="P42" i="22"/>
  <c r="N42" i="22"/>
  <c r="L42" i="22"/>
  <c r="J42" i="22"/>
  <c r="R44" i="22"/>
  <c r="P44" i="22"/>
  <c r="N44" i="22"/>
  <c r="L44" i="22"/>
  <c r="J44" i="22"/>
  <c r="V47" i="22"/>
  <c r="R51" i="22"/>
  <c r="P51" i="22"/>
  <c r="N51" i="22"/>
  <c r="L51" i="22"/>
  <c r="J51" i="22"/>
  <c r="R53" i="22"/>
  <c r="P53" i="22"/>
  <c r="N53" i="22"/>
  <c r="L53" i="22"/>
  <c r="J53" i="22"/>
  <c r="R57" i="22"/>
  <c r="P57" i="22"/>
  <c r="N57" i="22"/>
  <c r="L57" i="22"/>
  <c r="J57" i="22"/>
  <c r="V59" i="22"/>
  <c r="R62" i="22"/>
  <c r="P62" i="22"/>
  <c r="N62" i="22"/>
  <c r="L62" i="22"/>
  <c r="J62" i="22"/>
  <c r="R63" i="22"/>
  <c r="P63" i="22"/>
  <c r="N63" i="22"/>
  <c r="L63" i="22"/>
  <c r="J63" i="22"/>
  <c r="R68" i="22"/>
  <c r="P68" i="22"/>
  <c r="N68" i="22"/>
  <c r="L68" i="22"/>
  <c r="J68" i="22"/>
  <c r="V68" i="22"/>
  <c r="X42" i="31"/>
  <c r="G42" i="32"/>
  <c r="S71" i="31"/>
  <c r="H71" i="31"/>
  <c r="V8" i="22"/>
  <c r="V9" i="22"/>
  <c r="R17" i="22"/>
  <c r="P17" i="22"/>
  <c r="N17" i="22"/>
  <c r="L17" i="22"/>
  <c r="J17" i="22"/>
  <c r="R19" i="22"/>
  <c r="P19" i="22"/>
  <c r="N19" i="22"/>
  <c r="L19" i="22"/>
  <c r="J19" i="22"/>
  <c r="R21" i="22"/>
  <c r="P21" i="22"/>
  <c r="N21" i="22"/>
  <c r="L21" i="22"/>
  <c r="J21" i="22"/>
  <c r="R23" i="22"/>
  <c r="P23" i="22"/>
  <c r="N23" i="22"/>
  <c r="L23" i="22"/>
  <c r="J23" i="22"/>
  <c r="P25" i="22"/>
  <c r="R25" i="22"/>
  <c r="N25" i="22"/>
  <c r="L25" i="22"/>
  <c r="J25" i="22"/>
  <c r="V28" i="22"/>
  <c r="S30" i="24"/>
  <c r="H30" i="24"/>
  <c r="V31" i="22"/>
  <c r="V35" i="22"/>
  <c r="V40" i="22"/>
  <c r="R45" i="22"/>
  <c r="P45" i="22"/>
  <c r="N45" i="22"/>
  <c r="L45" i="22"/>
  <c r="J45" i="22"/>
  <c r="R48" i="22"/>
  <c r="P48" i="22"/>
  <c r="N48" i="22"/>
  <c r="L48" i="22"/>
  <c r="J48" i="22"/>
  <c r="R50" i="22"/>
  <c r="P50" i="22"/>
  <c r="N50" i="22"/>
  <c r="L50" i="22"/>
  <c r="J50" i="22"/>
  <c r="V51" i="22"/>
  <c r="V54" i="22"/>
  <c r="V55" i="22"/>
  <c r="V58" i="22"/>
  <c r="R60" i="22"/>
  <c r="P60" i="22"/>
  <c r="N60" i="22"/>
  <c r="L60" i="22"/>
  <c r="J60" i="22"/>
  <c r="R65" i="22"/>
  <c r="P65" i="22"/>
  <c r="N65" i="22"/>
  <c r="L65" i="22"/>
  <c r="J65" i="22"/>
  <c r="P69" i="22"/>
  <c r="R69" i="22"/>
  <c r="N69" i="22"/>
  <c r="L69" i="22"/>
  <c r="J69" i="22"/>
  <c r="V71" i="22"/>
  <c r="S72" i="24"/>
  <c r="H72" i="24"/>
  <c r="X21" i="31"/>
  <c r="G21" i="32"/>
  <c r="W66" i="31"/>
  <c r="T66" i="31"/>
  <c r="G76" i="32"/>
  <c r="X76" i="31"/>
  <c r="G25" i="28"/>
  <c r="X25" i="27"/>
  <c r="X54" i="31"/>
  <c r="G54" i="32"/>
  <c r="S23" i="22"/>
  <c r="T23" i="22" s="1"/>
  <c r="T30" i="22"/>
  <c r="V10" i="22"/>
  <c r="V17" i="22"/>
  <c r="V21" i="22"/>
  <c r="V29" i="22"/>
  <c r="V60" i="22"/>
  <c r="V14" i="22"/>
  <c r="V72" i="22"/>
  <c r="H72" i="22"/>
  <c r="X72" i="22"/>
  <c r="T72" i="22"/>
  <c r="H15" i="22"/>
  <c r="V16" i="22"/>
  <c r="V18" i="22"/>
  <c r="V26" i="22"/>
  <c r="V37" i="22"/>
  <c r="W15" i="22"/>
  <c r="X15" i="22" s="1"/>
  <c r="V33" i="22"/>
  <c r="V57" i="22"/>
  <c r="V6" i="22"/>
  <c r="V13" i="22"/>
  <c r="V22" i="22"/>
  <c r="V25" i="22"/>
  <c r="V41" i="22"/>
  <c r="V45" i="22"/>
  <c r="H30" i="22"/>
  <c r="V30" i="22"/>
  <c r="V34" i="22"/>
  <c r="V38" i="22"/>
  <c r="V42" i="22"/>
  <c r="V48" i="22"/>
  <c r="V61" i="22"/>
  <c r="V64" i="22"/>
  <c r="X30" i="22"/>
  <c r="V44" i="22"/>
  <c r="V53" i="22"/>
  <c r="V56" i="22"/>
  <c r="V69" i="22"/>
  <c r="V49" i="22"/>
  <c r="W50" i="22"/>
  <c r="V52" i="22"/>
  <c r="V65" i="22"/>
  <c r="N23" i="21"/>
  <c r="L23" i="21"/>
  <c r="P23" i="21"/>
  <c r="H54" i="32" l="1"/>
  <c r="S54" i="32"/>
  <c r="S21" i="32"/>
  <c r="H21" i="32"/>
  <c r="S42" i="32"/>
  <c r="H42" i="32"/>
  <c r="S53" i="32"/>
  <c r="H53" i="32"/>
  <c r="W57" i="31"/>
  <c r="T57" i="31"/>
  <c r="S76" i="32"/>
  <c r="H76" i="32"/>
  <c r="W30" i="24"/>
  <c r="T30" i="24"/>
  <c r="G50" i="32"/>
  <c r="X50" i="31"/>
  <c r="X50" i="22"/>
  <c r="G50" i="24"/>
  <c r="S25" i="28"/>
  <c r="H25" i="28"/>
  <c r="X66" i="31"/>
  <c r="G66" i="32"/>
  <c r="W72" i="24"/>
  <c r="T72" i="24"/>
  <c r="W71" i="31"/>
  <c r="T71" i="31"/>
  <c r="S51" i="32"/>
  <c r="H51" i="32"/>
  <c r="W78" i="31"/>
  <c r="T78" i="31"/>
  <c r="S72" i="32"/>
  <c r="H72" i="32"/>
  <c r="W75" i="24"/>
  <c r="T75" i="24"/>
  <c r="W23" i="22"/>
  <c r="S74" i="21"/>
  <c r="W74" i="21" s="1"/>
  <c r="S73" i="21"/>
  <c r="W73" i="21" s="1"/>
  <c r="W72" i="32" l="1"/>
  <c r="X72" i="32" s="1"/>
  <c r="T72" i="32"/>
  <c r="W25" i="28"/>
  <c r="T25" i="28"/>
  <c r="S50" i="32"/>
  <c r="H50" i="32"/>
  <c r="W76" i="32"/>
  <c r="X76" i="32" s="1"/>
  <c r="T76" i="32"/>
  <c r="T53" i="32"/>
  <c r="W53" i="32"/>
  <c r="X53" i="32" s="1"/>
  <c r="W21" i="32"/>
  <c r="X21" i="32" s="1"/>
  <c r="T21" i="32"/>
  <c r="G73" i="23"/>
  <c r="S73" i="23" s="1"/>
  <c r="W73" i="23" s="1"/>
  <c r="G73" i="22"/>
  <c r="S73" i="22" s="1"/>
  <c r="W73" i="22" s="1"/>
  <c r="G73" i="24" s="1"/>
  <c r="S73" i="24" s="1"/>
  <c r="W51" i="32"/>
  <c r="X51" i="32" s="1"/>
  <c r="T51" i="32"/>
  <c r="G72" i="25"/>
  <c r="X72" i="24"/>
  <c r="S50" i="24"/>
  <c r="H50" i="24"/>
  <c r="W54" i="32"/>
  <c r="X54" i="32" s="1"/>
  <c r="T54" i="32"/>
  <c r="X23" i="22"/>
  <c r="G23" i="24"/>
  <c r="G74" i="23"/>
  <c r="S74" i="23" s="1"/>
  <c r="W74" i="23" s="1"/>
  <c r="G74" i="22"/>
  <c r="S74" i="22" s="1"/>
  <c r="W74" i="22" s="1"/>
  <c r="G74" i="24" s="1"/>
  <c r="S74" i="24" s="1"/>
  <c r="S66" i="32"/>
  <c r="H66" i="32"/>
  <c r="G75" i="25"/>
  <c r="X75" i="24"/>
  <c r="G78" i="32"/>
  <c r="X78" i="31"/>
  <c r="X71" i="31"/>
  <c r="G71" i="32"/>
  <c r="X30" i="24"/>
  <c r="G30" i="25"/>
  <c r="G57" i="32"/>
  <c r="X57" i="31"/>
  <c r="W42" i="32"/>
  <c r="X42" i="32" s="1"/>
  <c r="T42" i="32"/>
  <c r="W74" i="24" l="1"/>
  <c r="T74" i="24"/>
  <c r="S30" i="25"/>
  <c r="H30" i="25"/>
  <c r="S23" i="24"/>
  <c r="H23" i="24"/>
  <c r="S78" i="32"/>
  <c r="H78" i="32"/>
  <c r="W66" i="32"/>
  <c r="X66" i="32" s="1"/>
  <c r="T66" i="32"/>
  <c r="W50" i="24"/>
  <c r="T50" i="24"/>
  <c r="G25" i="29"/>
  <c r="X25" i="28"/>
  <c r="W73" i="24"/>
  <c r="T73" i="24"/>
  <c r="S71" i="32"/>
  <c r="H71" i="32"/>
  <c r="S57" i="32"/>
  <c r="H57" i="32"/>
  <c r="S75" i="25"/>
  <c r="H75" i="25"/>
  <c r="S72" i="25"/>
  <c r="H72" i="25"/>
  <c r="W50" i="32"/>
  <c r="X50" i="32" s="1"/>
  <c r="T50" i="32"/>
  <c r="W72" i="25" l="1"/>
  <c r="X72" i="25" s="1"/>
  <c r="T72" i="25"/>
  <c r="W78" i="32"/>
  <c r="X78" i="32" s="1"/>
  <c r="T78" i="32"/>
  <c r="W30" i="25"/>
  <c r="X30" i="25" s="1"/>
  <c r="T30" i="25"/>
  <c r="G73" i="26"/>
  <c r="G73" i="25"/>
  <c r="X73" i="24"/>
  <c r="T57" i="32"/>
  <c r="W57" i="32"/>
  <c r="X57" i="32" s="1"/>
  <c r="X50" i="24"/>
  <c r="G50" i="25"/>
  <c r="W75" i="25"/>
  <c r="X75" i="25" s="1"/>
  <c r="T75" i="25"/>
  <c r="W71" i="32"/>
  <c r="X71" i="32" s="1"/>
  <c r="T71" i="32"/>
  <c r="S25" i="29"/>
  <c r="H25" i="29"/>
  <c r="W23" i="24"/>
  <c r="T23" i="24"/>
  <c r="G74" i="26"/>
  <c r="G74" i="25"/>
  <c r="X74" i="24"/>
  <c r="R73" i="17"/>
  <c r="V73" i="17" s="1"/>
  <c r="R72" i="17"/>
  <c r="V72" i="17" s="1"/>
  <c r="G23" i="25" l="1"/>
  <c r="X23" i="24"/>
  <c r="S73" i="25"/>
  <c r="H73" i="25"/>
  <c r="S73" i="26"/>
  <c r="H73" i="26"/>
  <c r="S74" i="25"/>
  <c r="H74" i="25"/>
  <c r="S74" i="26"/>
  <c r="H74" i="26"/>
  <c r="W25" i="29"/>
  <c r="T25" i="29"/>
  <c r="S50" i="25"/>
  <c r="H50" i="25"/>
  <c r="E73" i="17"/>
  <c r="E72" i="17"/>
  <c r="Q72" i="17" s="1"/>
  <c r="W74" i="25" l="1"/>
  <c r="X74" i="25" s="1"/>
  <c r="T74" i="25"/>
  <c r="W73" i="25"/>
  <c r="X73" i="25" s="1"/>
  <c r="T73" i="25"/>
  <c r="X25" i="29"/>
  <c r="G25" i="30"/>
  <c r="W50" i="25"/>
  <c r="X50" i="25" s="1"/>
  <c r="T50" i="25"/>
  <c r="W74" i="26"/>
  <c r="T74" i="26"/>
  <c r="W73" i="26"/>
  <c r="T73" i="26"/>
  <c r="S23" i="25"/>
  <c r="H23" i="25"/>
  <c r="U72" i="17"/>
  <c r="S72" i="17"/>
  <c r="I72" i="17"/>
  <c r="U73" i="17"/>
  <c r="S73" i="17"/>
  <c r="I73" i="17"/>
  <c r="G72" i="17"/>
  <c r="W73" i="17"/>
  <c r="G73" i="17"/>
  <c r="W72" i="17"/>
  <c r="F72" i="21"/>
  <c r="N72" i="21" s="1"/>
  <c r="F71" i="21"/>
  <c r="P71" i="21" s="1"/>
  <c r="F70" i="21"/>
  <c r="F69" i="21"/>
  <c r="F68" i="21"/>
  <c r="F67" i="21"/>
  <c r="P67" i="21" s="1"/>
  <c r="F66" i="21"/>
  <c r="V66" i="21" s="1"/>
  <c r="F65" i="21"/>
  <c r="J65" i="21" s="1"/>
  <c r="F64" i="21"/>
  <c r="F63" i="21"/>
  <c r="N63" i="21" s="1"/>
  <c r="F62" i="21"/>
  <c r="R62" i="21" s="1"/>
  <c r="F61" i="21"/>
  <c r="F60" i="21"/>
  <c r="N60" i="21" s="1"/>
  <c r="F59" i="21"/>
  <c r="P59" i="21" s="1"/>
  <c r="F58" i="21"/>
  <c r="N58" i="21" s="1"/>
  <c r="F57" i="21"/>
  <c r="R57" i="21" s="1"/>
  <c r="F56" i="21"/>
  <c r="R56" i="21" s="1"/>
  <c r="F55" i="21"/>
  <c r="P55" i="21" s="1"/>
  <c r="F54" i="21"/>
  <c r="R54" i="21" s="1"/>
  <c r="F53" i="21"/>
  <c r="J53" i="21" s="1"/>
  <c r="F52" i="21"/>
  <c r="R52" i="21" s="1"/>
  <c r="F51" i="21"/>
  <c r="N51" i="21" s="1"/>
  <c r="F50" i="21"/>
  <c r="V50" i="21" s="1"/>
  <c r="F49" i="21"/>
  <c r="P49" i="21" s="1"/>
  <c r="F48" i="21"/>
  <c r="L48" i="21" s="1"/>
  <c r="F47" i="21"/>
  <c r="N47" i="21" s="1"/>
  <c r="F46" i="21"/>
  <c r="P46" i="21" s="1"/>
  <c r="F45" i="21"/>
  <c r="J45" i="21" s="1"/>
  <c r="F44" i="21"/>
  <c r="N44" i="21" s="1"/>
  <c r="F43" i="21"/>
  <c r="F42" i="21"/>
  <c r="N42" i="21" s="1"/>
  <c r="F41" i="21"/>
  <c r="V41" i="21" s="1"/>
  <c r="F40" i="21"/>
  <c r="N40" i="21" s="1"/>
  <c r="F39" i="21"/>
  <c r="L39" i="21" s="1"/>
  <c r="F38" i="21"/>
  <c r="N38" i="21" s="1"/>
  <c r="F37" i="21"/>
  <c r="V37" i="21" s="1"/>
  <c r="F36" i="21"/>
  <c r="N36" i="21" s="1"/>
  <c r="F35" i="21"/>
  <c r="J35" i="21" s="1"/>
  <c r="F34" i="21"/>
  <c r="F33" i="21"/>
  <c r="N33" i="21" s="1"/>
  <c r="F32" i="21"/>
  <c r="V32" i="21" s="1"/>
  <c r="F31" i="21"/>
  <c r="J31" i="21" s="1"/>
  <c r="F30" i="21"/>
  <c r="N30" i="21" s="1"/>
  <c r="F29" i="21"/>
  <c r="P29" i="21" s="1"/>
  <c r="F28" i="21"/>
  <c r="N28" i="21" s="1"/>
  <c r="F27" i="21"/>
  <c r="L27" i="21" s="1"/>
  <c r="L26" i="21"/>
  <c r="F26" i="21"/>
  <c r="N26" i="21" s="1"/>
  <c r="F25" i="21"/>
  <c r="V25" i="21" s="1"/>
  <c r="F24" i="21"/>
  <c r="N24" i="21" s="1"/>
  <c r="F22" i="21"/>
  <c r="R22" i="21" s="1"/>
  <c r="F21" i="21"/>
  <c r="F20" i="21"/>
  <c r="N20" i="21" s="1"/>
  <c r="F19" i="21"/>
  <c r="J19" i="21" s="1"/>
  <c r="F18" i="21"/>
  <c r="L18" i="21" s="1"/>
  <c r="F17" i="21"/>
  <c r="P17" i="21" s="1"/>
  <c r="F16" i="21"/>
  <c r="V16" i="21" s="1"/>
  <c r="F15" i="21"/>
  <c r="F14" i="21"/>
  <c r="J14" i="21" s="1"/>
  <c r="F13" i="21"/>
  <c r="L13" i="21" s="1"/>
  <c r="F12" i="21"/>
  <c r="N12" i="21" s="1"/>
  <c r="F11" i="21"/>
  <c r="P11" i="21" s="1"/>
  <c r="F10" i="21"/>
  <c r="J10" i="21" s="1"/>
  <c r="F9" i="21"/>
  <c r="L9" i="21" s="1"/>
  <c r="F8" i="21"/>
  <c r="P8" i="21" s="1"/>
  <c r="F7" i="21"/>
  <c r="F6" i="21"/>
  <c r="R6" i="21" s="1"/>
  <c r="F5" i="21"/>
  <c r="Q72" i="20"/>
  <c r="E72" i="20"/>
  <c r="U72" i="20" s="1"/>
  <c r="E71" i="20"/>
  <c r="E70" i="20"/>
  <c r="K70" i="20" s="1"/>
  <c r="O69" i="20"/>
  <c r="E69" i="20"/>
  <c r="Q69" i="20" s="1"/>
  <c r="U69" i="20" s="1"/>
  <c r="Q68" i="20"/>
  <c r="U68" i="20" s="1"/>
  <c r="E68" i="20"/>
  <c r="O68" i="20" s="1"/>
  <c r="I67" i="20"/>
  <c r="E67" i="20"/>
  <c r="Q67" i="20" s="1"/>
  <c r="U67" i="20" s="1"/>
  <c r="E66" i="20"/>
  <c r="Q66" i="20" s="1"/>
  <c r="E65" i="20"/>
  <c r="M65" i="20" s="1"/>
  <c r="U64" i="20"/>
  <c r="E64" i="20"/>
  <c r="Q64" i="20" s="1"/>
  <c r="U63" i="20"/>
  <c r="Q63" i="20"/>
  <c r="I63" i="20"/>
  <c r="E63" i="20"/>
  <c r="Q62" i="20"/>
  <c r="E62" i="20"/>
  <c r="E61" i="20"/>
  <c r="M60" i="20"/>
  <c r="E60" i="20"/>
  <c r="Q60" i="20" s="1"/>
  <c r="O59" i="20"/>
  <c r="E59" i="20"/>
  <c r="K58" i="20"/>
  <c r="I58" i="20"/>
  <c r="E58" i="20"/>
  <c r="E57" i="20"/>
  <c r="E56" i="20"/>
  <c r="Q56" i="20" s="1"/>
  <c r="Q55" i="20"/>
  <c r="E55" i="20"/>
  <c r="O55" i="20" s="1"/>
  <c r="E54" i="20"/>
  <c r="K53" i="20"/>
  <c r="E53" i="20"/>
  <c r="M53" i="20" s="1"/>
  <c r="E52" i="20"/>
  <c r="I51" i="20"/>
  <c r="E51" i="20"/>
  <c r="U51" i="20" s="1"/>
  <c r="E50" i="20"/>
  <c r="K50" i="20" s="1"/>
  <c r="E49" i="20"/>
  <c r="M48" i="20"/>
  <c r="E48" i="20"/>
  <c r="Q48" i="20" s="1"/>
  <c r="Q47" i="20"/>
  <c r="E47" i="20"/>
  <c r="O47" i="20" s="1"/>
  <c r="Q46" i="20"/>
  <c r="E46" i="20"/>
  <c r="K46" i="20" s="1"/>
  <c r="E45" i="20"/>
  <c r="U44" i="20"/>
  <c r="E44" i="20"/>
  <c r="Q44" i="20" s="1"/>
  <c r="Q43" i="20"/>
  <c r="E43" i="20"/>
  <c r="O43" i="20" s="1"/>
  <c r="E42" i="20"/>
  <c r="K42" i="20" s="1"/>
  <c r="E41" i="20"/>
  <c r="Q41" i="20" s="1"/>
  <c r="K40" i="20"/>
  <c r="E40" i="20"/>
  <c r="M40" i="20" s="1"/>
  <c r="O39" i="20"/>
  <c r="E39" i="20"/>
  <c r="U38" i="20"/>
  <c r="M38" i="20"/>
  <c r="E38" i="20"/>
  <c r="E37" i="20"/>
  <c r="E36" i="20"/>
  <c r="E35" i="20"/>
  <c r="M34" i="20"/>
  <c r="E34" i="20"/>
  <c r="U34" i="20" s="1"/>
  <c r="U33" i="20"/>
  <c r="E33" i="20"/>
  <c r="I33" i="20" s="1"/>
  <c r="E32" i="20"/>
  <c r="M32" i="20" s="1"/>
  <c r="E31" i="20"/>
  <c r="K31" i="20" s="1"/>
  <c r="E30" i="20"/>
  <c r="O30" i="20" s="1"/>
  <c r="E29" i="20"/>
  <c r="Q28" i="20"/>
  <c r="E28" i="20"/>
  <c r="E27" i="20"/>
  <c r="I26" i="20"/>
  <c r="E26" i="20"/>
  <c r="Q26" i="20" s="1"/>
  <c r="E25" i="20"/>
  <c r="E24" i="20"/>
  <c r="E23" i="20"/>
  <c r="O22" i="20"/>
  <c r="E22" i="20"/>
  <c r="U22" i="20" s="1"/>
  <c r="E21" i="20"/>
  <c r="I21" i="20" s="1"/>
  <c r="E20" i="20"/>
  <c r="Q20" i="20" s="1"/>
  <c r="K19" i="20"/>
  <c r="E19" i="20"/>
  <c r="Q18" i="20"/>
  <c r="E18" i="20"/>
  <c r="O18" i="20" s="1"/>
  <c r="E17" i="20"/>
  <c r="K16" i="20"/>
  <c r="I16" i="20"/>
  <c r="E16" i="20"/>
  <c r="Q16" i="20" s="1"/>
  <c r="E15" i="20"/>
  <c r="Q14" i="20"/>
  <c r="O14" i="20"/>
  <c r="E14" i="20"/>
  <c r="U14" i="20" s="1"/>
  <c r="E13" i="20"/>
  <c r="I13" i="20" s="1"/>
  <c r="K12" i="20"/>
  <c r="E12" i="20"/>
  <c r="O11" i="20"/>
  <c r="E11" i="20"/>
  <c r="Q10" i="20"/>
  <c r="I10" i="20"/>
  <c r="E10" i="20"/>
  <c r="O10" i="20" s="1"/>
  <c r="Q9" i="20"/>
  <c r="E9" i="20"/>
  <c r="O9" i="20" s="1"/>
  <c r="O8" i="20"/>
  <c r="E8" i="20"/>
  <c r="U8" i="20" s="1"/>
  <c r="Q7" i="20"/>
  <c r="I7" i="20"/>
  <c r="E7" i="20"/>
  <c r="U7" i="20" s="1"/>
  <c r="E6" i="20"/>
  <c r="Q6" i="20" s="1"/>
  <c r="O5" i="20"/>
  <c r="M5" i="20"/>
  <c r="E5" i="20"/>
  <c r="U5" i="20" s="1"/>
  <c r="U72" i="19"/>
  <c r="E72" i="19"/>
  <c r="I72" i="19" s="1"/>
  <c r="E71" i="19"/>
  <c r="E70" i="19"/>
  <c r="E69" i="19"/>
  <c r="E68" i="19"/>
  <c r="I67" i="19"/>
  <c r="E67" i="19"/>
  <c r="U67" i="19" s="1"/>
  <c r="E66" i="19"/>
  <c r="K66" i="19" s="1"/>
  <c r="K65" i="19"/>
  <c r="E65" i="19"/>
  <c r="M65" i="19" s="1"/>
  <c r="O64" i="19"/>
  <c r="E64" i="19"/>
  <c r="Q64" i="19" s="1"/>
  <c r="Q63" i="19"/>
  <c r="E63" i="19"/>
  <c r="O63" i="19" s="1"/>
  <c r="I62" i="19"/>
  <c r="E62" i="19"/>
  <c r="E61" i="19"/>
  <c r="U60" i="19"/>
  <c r="M60" i="19"/>
  <c r="E60" i="19"/>
  <c r="Q60" i="19" s="1"/>
  <c r="E59" i="19"/>
  <c r="E58" i="19"/>
  <c r="E57" i="19"/>
  <c r="R56" i="19"/>
  <c r="V56" i="19" s="1"/>
  <c r="E56" i="19"/>
  <c r="Q56" i="19" s="1"/>
  <c r="E55" i="19"/>
  <c r="O55" i="19" s="1"/>
  <c r="E54" i="19"/>
  <c r="I54" i="19" s="1"/>
  <c r="E53" i="19"/>
  <c r="M52" i="19"/>
  <c r="E52" i="19"/>
  <c r="Q52" i="19" s="1"/>
  <c r="U51" i="19"/>
  <c r="I51" i="19"/>
  <c r="E51" i="19"/>
  <c r="Q51" i="19" s="1"/>
  <c r="Q50" i="19"/>
  <c r="E50" i="19"/>
  <c r="K50" i="19" s="1"/>
  <c r="K49" i="19"/>
  <c r="E49" i="19"/>
  <c r="M49" i="19" s="1"/>
  <c r="O48" i="19"/>
  <c r="E48" i="19"/>
  <c r="I47" i="19"/>
  <c r="E47" i="19"/>
  <c r="U47" i="19" s="1"/>
  <c r="E46" i="19"/>
  <c r="I46" i="19" s="1"/>
  <c r="E45" i="19"/>
  <c r="M44" i="19"/>
  <c r="E44" i="19"/>
  <c r="Q44" i="19" s="1"/>
  <c r="U43" i="19"/>
  <c r="Q43" i="19"/>
  <c r="E43" i="19"/>
  <c r="O43" i="19" s="1"/>
  <c r="E42" i="19"/>
  <c r="Q42" i="19" s="1"/>
  <c r="E41" i="19"/>
  <c r="O41" i="19" s="1"/>
  <c r="E40" i="19"/>
  <c r="O40" i="19" s="1"/>
  <c r="I39" i="19"/>
  <c r="E39" i="19"/>
  <c r="O39" i="19" s="1"/>
  <c r="E38" i="19"/>
  <c r="E37" i="19"/>
  <c r="O36" i="19"/>
  <c r="M36" i="19"/>
  <c r="E36" i="19"/>
  <c r="U36" i="19" s="1"/>
  <c r="K35" i="19"/>
  <c r="E35" i="19"/>
  <c r="I35" i="19" s="1"/>
  <c r="K34" i="19"/>
  <c r="I34" i="19"/>
  <c r="E34" i="19"/>
  <c r="Q34" i="19" s="1"/>
  <c r="M33" i="19"/>
  <c r="E33" i="19"/>
  <c r="E32" i="19"/>
  <c r="E31" i="19"/>
  <c r="E30" i="19"/>
  <c r="K30" i="19" s="1"/>
  <c r="M29" i="19"/>
  <c r="E29" i="19"/>
  <c r="U28" i="19"/>
  <c r="Q28" i="19"/>
  <c r="I28" i="19"/>
  <c r="E28" i="19"/>
  <c r="O28" i="19" s="1"/>
  <c r="E27" i="19"/>
  <c r="E26" i="19"/>
  <c r="E25" i="19"/>
  <c r="O24" i="19"/>
  <c r="M24" i="19"/>
  <c r="E24" i="19"/>
  <c r="U24" i="19" s="1"/>
  <c r="E23" i="19"/>
  <c r="E22" i="19"/>
  <c r="M22" i="19" s="1"/>
  <c r="U21" i="19"/>
  <c r="M21" i="19"/>
  <c r="I21" i="19"/>
  <c r="E21" i="19"/>
  <c r="Q21" i="19" s="1"/>
  <c r="E20" i="19"/>
  <c r="E19" i="19"/>
  <c r="E18" i="19"/>
  <c r="U17" i="19"/>
  <c r="Q17" i="19"/>
  <c r="I17" i="19"/>
  <c r="E17" i="19"/>
  <c r="O17" i="19" s="1"/>
  <c r="E16" i="19"/>
  <c r="E15" i="19"/>
  <c r="K15" i="19" s="1"/>
  <c r="O14" i="19"/>
  <c r="E14" i="19"/>
  <c r="K14" i="19" s="1"/>
  <c r="U13" i="19"/>
  <c r="M13" i="19"/>
  <c r="I13" i="19"/>
  <c r="E13" i="19"/>
  <c r="Q13" i="19" s="1"/>
  <c r="Q12" i="19"/>
  <c r="E12" i="19"/>
  <c r="O12" i="19" s="1"/>
  <c r="E11" i="19"/>
  <c r="K10" i="19"/>
  <c r="E10" i="19"/>
  <c r="E9" i="19"/>
  <c r="E8" i="19"/>
  <c r="I8" i="19" s="1"/>
  <c r="E7" i="19"/>
  <c r="O6" i="19"/>
  <c r="E6" i="19"/>
  <c r="U6" i="19" s="1"/>
  <c r="E5" i="19"/>
  <c r="Q5" i="19" s="1"/>
  <c r="E71" i="17"/>
  <c r="I71" i="17" s="1"/>
  <c r="E70" i="17"/>
  <c r="E69" i="17"/>
  <c r="E68" i="17"/>
  <c r="Q68" i="17" s="1"/>
  <c r="U68" i="17" s="1"/>
  <c r="E67" i="17"/>
  <c r="O67" i="17" s="1"/>
  <c r="I66" i="17"/>
  <c r="E66" i="17"/>
  <c r="Q66" i="17" s="1"/>
  <c r="U66" i="17" s="1"/>
  <c r="E65" i="17"/>
  <c r="K65" i="17" s="1"/>
  <c r="E64" i="17"/>
  <c r="M64" i="17" s="1"/>
  <c r="U63" i="17"/>
  <c r="E63" i="17"/>
  <c r="Q63" i="17" s="1"/>
  <c r="E62" i="17"/>
  <c r="E61" i="17"/>
  <c r="Q61" i="17" s="1"/>
  <c r="E60" i="17"/>
  <c r="M60" i="17" s="1"/>
  <c r="E59" i="17"/>
  <c r="Q59" i="17" s="1"/>
  <c r="E58" i="17"/>
  <c r="I58" i="17" s="1"/>
  <c r="E57" i="17"/>
  <c r="I57" i="17" s="1"/>
  <c r="E56" i="17"/>
  <c r="M56" i="17" s="1"/>
  <c r="U55" i="17"/>
  <c r="E55" i="17"/>
  <c r="E54" i="17"/>
  <c r="Q54" i="17" s="1"/>
  <c r="E53" i="17"/>
  <c r="M53" i="17" s="1"/>
  <c r="E52" i="17"/>
  <c r="Q52" i="17" s="1"/>
  <c r="Q51" i="17"/>
  <c r="E51" i="17"/>
  <c r="O51" i="17" s="1"/>
  <c r="K50" i="17"/>
  <c r="E50" i="17"/>
  <c r="I50" i="17" s="1"/>
  <c r="R49" i="17"/>
  <c r="V49" i="17" s="1"/>
  <c r="F49" i="19" s="1"/>
  <c r="R49" i="19" s="1"/>
  <c r="E49" i="17"/>
  <c r="E48" i="17"/>
  <c r="Q48" i="17" s="1"/>
  <c r="U47" i="17"/>
  <c r="I47" i="17"/>
  <c r="E47" i="17"/>
  <c r="E46" i="17"/>
  <c r="E45" i="17"/>
  <c r="K45" i="17" s="1"/>
  <c r="M44" i="17"/>
  <c r="E44" i="17"/>
  <c r="Q44" i="17" s="1"/>
  <c r="E43" i="17"/>
  <c r="I43" i="17" s="1"/>
  <c r="E42" i="17"/>
  <c r="E41" i="17"/>
  <c r="M41" i="17" s="1"/>
  <c r="E40" i="17"/>
  <c r="K40" i="17" s="1"/>
  <c r="M39" i="17"/>
  <c r="E39" i="17"/>
  <c r="U39" i="17" s="1"/>
  <c r="E38" i="17"/>
  <c r="O38" i="17" s="1"/>
  <c r="E37" i="17"/>
  <c r="Q37" i="17" s="1"/>
  <c r="E36" i="17"/>
  <c r="K36" i="17" s="1"/>
  <c r="O35" i="17"/>
  <c r="E35" i="17"/>
  <c r="E34" i="17"/>
  <c r="K34" i="17" s="1"/>
  <c r="K33" i="17"/>
  <c r="I33" i="17"/>
  <c r="E33" i="17"/>
  <c r="Q33" i="17" s="1"/>
  <c r="U32" i="17"/>
  <c r="K32" i="17"/>
  <c r="E32" i="17"/>
  <c r="M32" i="17" s="1"/>
  <c r="U31" i="17"/>
  <c r="Q31" i="17"/>
  <c r="I31" i="17"/>
  <c r="E31" i="17"/>
  <c r="M31" i="17" s="1"/>
  <c r="Q30" i="17"/>
  <c r="E30" i="17"/>
  <c r="U30" i="17" s="1"/>
  <c r="E29" i="17"/>
  <c r="K29" i="17" s="1"/>
  <c r="E28" i="17"/>
  <c r="U28" i="17" s="1"/>
  <c r="E27" i="17"/>
  <c r="U27" i="17" s="1"/>
  <c r="E26" i="17"/>
  <c r="E25" i="17"/>
  <c r="M25" i="17" s="1"/>
  <c r="E24" i="17"/>
  <c r="E23" i="17"/>
  <c r="O23" i="17" s="1"/>
  <c r="E22" i="17"/>
  <c r="U22" i="17" s="1"/>
  <c r="M21" i="17"/>
  <c r="E21" i="17"/>
  <c r="E20" i="17"/>
  <c r="K19" i="17"/>
  <c r="E19" i="17"/>
  <c r="O18" i="17"/>
  <c r="E18" i="17"/>
  <c r="O17" i="17"/>
  <c r="E17" i="17"/>
  <c r="M17" i="17" s="1"/>
  <c r="O16" i="17"/>
  <c r="I16" i="17"/>
  <c r="E16" i="17"/>
  <c r="Q16" i="17" s="1"/>
  <c r="E15" i="17"/>
  <c r="E14" i="17"/>
  <c r="O14" i="17" s="1"/>
  <c r="E13" i="17"/>
  <c r="U13" i="17" s="1"/>
  <c r="E12" i="17"/>
  <c r="O12" i="17" s="1"/>
  <c r="Q11" i="17"/>
  <c r="E11" i="17"/>
  <c r="I11" i="17" s="1"/>
  <c r="E10" i="17"/>
  <c r="K10" i="17" s="1"/>
  <c r="E9" i="17"/>
  <c r="M9" i="17" s="1"/>
  <c r="E8" i="17"/>
  <c r="E7" i="17"/>
  <c r="U7" i="17" s="1"/>
  <c r="E6" i="17"/>
  <c r="U6" i="17" s="1"/>
  <c r="E5" i="17"/>
  <c r="M5" i="17" s="1"/>
  <c r="E72" i="16"/>
  <c r="U72" i="16" s="1"/>
  <c r="E71" i="16"/>
  <c r="U71" i="16" s="1"/>
  <c r="E70" i="16"/>
  <c r="U70" i="16" s="1"/>
  <c r="E69" i="16"/>
  <c r="O70" i="16" s="1"/>
  <c r="E68" i="16"/>
  <c r="U68" i="16" s="1"/>
  <c r="O68" i="16"/>
  <c r="E67" i="16"/>
  <c r="U67" i="16" s="1"/>
  <c r="E66" i="16"/>
  <c r="U66" i="16" s="1"/>
  <c r="E65" i="16"/>
  <c r="K65" i="16" s="1"/>
  <c r="E64" i="16"/>
  <c r="O65" i="16" s="1"/>
  <c r="I63" i="16"/>
  <c r="E63" i="16"/>
  <c r="U63" i="16" s="1"/>
  <c r="E62" i="16"/>
  <c r="U62" i="16" s="1"/>
  <c r="E61" i="16"/>
  <c r="U61" i="16" s="1"/>
  <c r="E60" i="16"/>
  <c r="M60" i="16" s="1"/>
  <c r="E59" i="16"/>
  <c r="U59" i="16" s="1"/>
  <c r="E58" i="16"/>
  <c r="U58" i="16" s="1"/>
  <c r="E57" i="16"/>
  <c r="U57" i="16" s="1"/>
  <c r="E56" i="16"/>
  <c r="M56" i="16" s="1"/>
  <c r="E55" i="16"/>
  <c r="U55" i="16" s="1"/>
  <c r="E54" i="16"/>
  <c r="U54" i="16" s="1"/>
  <c r="E53" i="16"/>
  <c r="U53" i="16" s="1"/>
  <c r="E52" i="16"/>
  <c r="M52" i="16" s="1"/>
  <c r="Q51" i="16"/>
  <c r="E51" i="16"/>
  <c r="U51" i="16" s="1"/>
  <c r="I50" i="16"/>
  <c r="E50" i="16"/>
  <c r="U50" i="16" s="1"/>
  <c r="E49" i="16"/>
  <c r="U49" i="16" s="1"/>
  <c r="M48" i="16"/>
  <c r="E48" i="16"/>
  <c r="O49" i="16" s="1"/>
  <c r="E47" i="16"/>
  <c r="U47" i="16" s="1"/>
  <c r="E46" i="16"/>
  <c r="U46" i="16" s="1"/>
  <c r="E45" i="16"/>
  <c r="U45" i="16" s="1"/>
  <c r="E44" i="16"/>
  <c r="E43" i="16"/>
  <c r="U43" i="16" s="1"/>
  <c r="E42" i="16"/>
  <c r="U42" i="16" s="1"/>
  <c r="E41" i="16"/>
  <c r="U41" i="16" s="1"/>
  <c r="E40" i="16"/>
  <c r="U40" i="16" s="1"/>
  <c r="K39" i="16"/>
  <c r="E39" i="16"/>
  <c r="U39" i="16" s="1"/>
  <c r="M38" i="16"/>
  <c r="E38" i="16"/>
  <c r="U38" i="16" s="1"/>
  <c r="E37" i="16"/>
  <c r="U37" i="16" s="1"/>
  <c r="E36" i="16"/>
  <c r="U36" i="16" s="1"/>
  <c r="E35" i="16"/>
  <c r="U35" i="16" s="1"/>
  <c r="E34" i="16"/>
  <c r="U34" i="16" s="1"/>
  <c r="E33" i="16"/>
  <c r="U33" i="16" s="1"/>
  <c r="E32" i="16"/>
  <c r="U32" i="16" s="1"/>
  <c r="E31" i="16"/>
  <c r="U31" i="16" s="1"/>
  <c r="K30" i="16"/>
  <c r="E30" i="16"/>
  <c r="U30" i="16" s="1"/>
  <c r="E29" i="16"/>
  <c r="U29" i="16" s="1"/>
  <c r="I28" i="16"/>
  <c r="E28" i="16"/>
  <c r="E27" i="16"/>
  <c r="U27" i="16" s="1"/>
  <c r="K26" i="16"/>
  <c r="E26" i="16"/>
  <c r="U26" i="16" s="1"/>
  <c r="E25" i="16"/>
  <c r="U25" i="16" s="1"/>
  <c r="E24" i="16"/>
  <c r="U24" i="16" s="1"/>
  <c r="E23" i="16"/>
  <c r="U23" i="16" s="1"/>
  <c r="E22" i="16"/>
  <c r="U22" i="16" s="1"/>
  <c r="E21" i="16"/>
  <c r="U21" i="16" s="1"/>
  <c r="E20" i="16"/>
  <c r="U20" i="16" s="1"/>
  <c r="E19" i="16"/>
  <c r="U19" i="16" s="1"/>
  <c r="E18" i="16"/>
  <c r="U18" i="16" s="1"/>
  <c r="E17" i="16"/>
  <c r="U17" i="16" s="1"/>
  <c r="E16" i="16"/>
  <c r="O15" i="16"/>
  <c r="E15" i="16"/>
  <c r="U15" i="16" s="1"/>
  <c r="M14" i="16"/>
  <c r="I14" i="16"/>
  <c r="E14" i="16"/>
  <c r="U14" i="16" s="1"/>
  <c r="Q13" i="16"/>
  <c r="I13" i="16"/>
  <c r="E13" i="16"/>
  <c r="U13" i="16" s="1"/>
  <c r="E12" i="16"/>
  <c r="U12" i="16" s="1"/>
  <c r="K11" i="16"/>
  <c r="E11" i="16"/>
  <c r="U11" i="16" s="1"/>
  <c r="E10" i="16"/>
  <c r="U10" i="16" s="1"/>
  <c r="E9" i="16"/>
  <c r="U9" i="16" s="1"/>
  <c r="E8" i="16"/>
  <c r="U8" i="16" s="1"/>
  <c r="R7" i="16"/>
  <c r="V7" i="16" s="1"/>
  <c r="F7" i="17" s="1"/>
  <c r="R7" i="17" s="1"/>
  <c r="V7" i="17" s="1"/>
  <c r="F7" i="19" s="1"/>
  <c r="R7" i="19" s="1"/>
  <c r="E7" i="16"/>
  <c r="M6" i="16"/>
  <c r="E6" i="16"/>
  <c r="U6" i="16" s="1"/>
  <c r="E5" i="16"/>
  <c r="I5" i="16" l="1"/>
  <c r="U5" i="16"/>
  <c r="Q6" i="16"/>
  <c r="Q14" i="16"/>
  <c r="I20" i="16"/>
  <c r="K23" i="16"/>
  <c r="O29" i="16"/>
  <c r="K38" i="16"/>
  <c r="I39" i="16"/>
  <c r="I42" i="16"/>
  <c r="M45" i="16"/>
  <c r="I51" i="16"/>
  <c r="O53" i="16"/>
  <c r="Q54" i="16"/>
  <c r="Q55" i="16"/>
  <c r="O57" i="16"/>
  <c r="I66" i="16"/>
  <c r="I67" i="16"/>
  <c r="O69" i="16"/>
  <c r="O5" i="17"/>
  <c r="M6" i="17"/>
  <c r="Q21" i="17"/>
  <c r="I21" i="17"/>
  <c r="Q26" i="17"/>
  <c r="O26" i="17"/>
  <c r="I26" i="17"/>
  <c r="U35" i="17"/>
  <c r="M35" i="17"/>
  <c r="I35" i="17"/>
  <c r="Q47" i="17"/>
  <c r="Q55" i="17"/>
  <c r="I55" i="17"/>
  <c r="O25" i="19"/>
  <c r="K25" i="19"/>
  <c r="U31" i="19"/>
  <c r="K31" i="19"/>
  <c r="Q48" i="19"/>
  <c r="M48" i="19"/>
  <c r="U48" i="19"/>
  <c r="Q58" i="19"/>
  <c r="K58" i="19"/>
  <c r="K28" i="20"/>
  <c r="I28" i="20"/>
  <c r="O35" i="20"/>
  <c r="K35" i="20"/>
  <c r="I38" i="20"/>
  <c r="Q38" i="20"/>
  <c r="O38" i="20"/>
  <c r="M61" i="20"/>
  <c r="K61" i="20"/>
  <c r="K71" i="20"/>
  <c r="I71" i="20"/>
  <c r="K8" i="16"/>
  <c r="M22" i="16"/>
  <c r="Q5" i="17"/>
  <c r="O24" i="17"/>
  <c r="M9" i="19"/>
  <c r="U9" i="19"/>
  <c r="I9" i="19"/>
  <c r="Q9" i="19"/>
  <c r="O16" i="19"/>
  <c r="I16" i="19"/>
  <c r="K19" i="19"/>
  <c r="I19" i="19"/>
  <c r="M26" i="19"/>
  <c r="K26" i="19"/>
  <c r="M32" i="19"/>
  <c r="U32" i="19"/>
  <c r="I32" i="19"/>
  <c r="Q32" i="19"/>
  <c r="I59" i="19"/>
  <c r="U59" i="19"/>
  <c r="Q59" i="19"/>
  <c r="U68" i="19"/>
  <c r="Q68" i="19"/>
  <c r="O68" i="19"/>
  <c r="Q36" i="20"/>
  <c r="M36" i="20"/>
  <c r="Q52" i="20"/>
  <c r="M52" i="20"/>
  <c r="U52" i="20"/>
  <c r="M41" i="16"/>
  <c r="K53" i="16"/>
  <c r="O64" i="16"/>
  <c r="I20" i="17"/>
  <c r="Q20" i="17"/>
  <c r="K24" i="17"/>
  <c r="I29" i="17"/>
  <c r="O62" i="17"/>
  <c r="I62" i="17"/>
  <c r="U62" i="17"/>
  <c r="K7" i="19"/>
  <c r="I7" i="19"/>
  <c r="O9" i="19"/>
  <c r="Q16" i="19"/>
  <c r="O27" i="19"/>
  <c r="I27" i="19"/>
  <c r="O32" i="19"/>
  <c r="K37" i="19"/>
  <c r="S56" i="21"/>
  <c r="W56" i="21" s="1"/>
  <c r="G56" i="21"/>
  <c r="O59" i="19"/>
  <c r="Q69" i="19"/>
  <c r="U69" i="19" s="1"/>
  <c r="M69" i="19"/>
  <c r="U31" i="20"/>
  <c r="I37" i="20"/>
  <c r="Q37" i="20"/>
  <c r="O52" i="20"/>
  <c r="I27" i="16"/>
  <c r="I29" i="16"/>
  <c r="I33" i="16"/>
  <c r="K40" i="16"/>
  <c r="K45" i="16"/>
  <c r="O61" i="16"/>
  <c r="I12" i="17"/>
  <c r="M13" i="17"/>
  <c r="Q17" i="17"/>
  <c r="Q62" i="17"/>
  <c r="Q7" i="19"/>
  <c r="Q27" i="19"/>
  <c r="M38" i="19"/>
  <c r="Q38" i="19"/>
  <c r="M40" i="19"/>
  <c r="U40" i="19"/>
  <c r="I40" i="19"/>
  <c r="Q40" i="19"/>
  <c r="I55" i="19"/>
  <c r="U55" i="19"/>
  <c r="Q55" i="19"/>
  <c r="M57" i="19"/>
  <c r="K57" i="19"/>
  <c r="O69" i="19"/>
  <c r="M30" i="20"/>
  <c r="U30" i="20"/>
  <c r="I30" i="20"/>
  <c r="Q30" i="20"/>
  <c r="O37" i="20"/>
  <c r="I41" i="20"/>
  <c r="O41" i="20"/>
  <c r="I59" i="20"/>
  <c r="U59" i="20"/>
  <c r="Q59" i="20"/>
  <c r="Q6" i="19"/>
  <c r="O47" i="19"/>
  <c r="O52" i="19"/>
  <c r="M56" i="19"/>
  <c r="I63" i="19"/>
  <c r="U63" i="19"/>
  <c r="U64" i="19"/>
  <c r="M67" i="19"/>
  <c r="Q8" i="20"/>
  <c r="I9" i="20"/>
  <c r="M10" i="20"/>
  <c r="U10" i="20"/>
  <c r="I14" i="20"/>
  <c r="I18" i="20"/>
  <c r="U18" i="20"/>
  <c r="I20" i="20"/>
  <c r="Q22" i="20"/>
  <c r="M26" i="20"/>
  <c r="U26" i="20"/>
  <c r="O34" i="20"/>
  <c r="I42" i="20"/>
  <c r="U43" i="20"/>
  <c r="U47" i="20"/>
  <c r="O48" i="20"/>
  <c r="I50" i="20"/>
  <c r="O51" i="20"/>
  <c r="U55" i="20"/>
  <c r="M56" i="20"/>
  <c r="M67" i="20"/>
  <c r="I72" i="20"/>
  <c r="X73" i="26"/>
  <c r="G73" i="27"/>
  <c r="U51" i="17"/>
  <c r="M52" i="17"/>
  <c r="M59" i="17"/>
  <c r="M68" i="17"/>
  <c r="I5" i="19"/>
  <c r="O13" i="19"/>
  <c r="M17" i="19"/>
  <c r="O21" i="19"/>
  <c r="Q24" i="19"/>
  <c r="M28" i="19"/>
  <c r="Q36" i="19"/>
  <c r="Q39" i="19"/>
  <c r="K41" i="19"/>
  <c r="I43" i="19"/>
  <c r="O44" i="19"/>
  <c r="Q47" i="19"/>
  <c r="O51" i="19"/>
  <c r="U52" i="19"/>
  <c r="O56" i="19"/>
  <c r="M63" i="19"/>
  <c r="I66" i="19"/>
  <c r="O67" i="19"/>
  <c r="O72" i="19"/>
  <c r="I8" i="20"/>
  <c r="O13" i="20"/>
  <c r="M14" i="20"/>
  <c r="M18" i="20"/>
  <c r="I22" i="20"/>
  <c r="O26" i="20"/>
  <c r="Q34" i="20"/>
  <c r="I43" i="20"/>
  <c r="M44" i="20"/>
  <c r="I47" i="20"/>
  <c r="U48" i="20"/>
  <c r="Q51" i="20"/>
  <c r="I55" i="20"/>
  <c r="O56" i="20"/>
  <c r="O60" i="20"/>
  <c r="M63" i="20"/>
  <c r="M64" i="20"/>
  <c r="O67" i="20"/>
  <c r="M72" i="20"/>
  <c r="S25" i="30"/>
  <c r="H25" i="30"/>
  <c r="O31" i="17"/>
  <c r="U48" i="17"/>
  <c r="U59" i="17"/>
  <c r="O63" i="17"/>
  <c r="K64" i="17"/>
  <c r="I6" i="19"/>
  <c r="I12" i="19"/>
  <c r="I24" i="19"/>
  <c r="I36" i="19"/>
  <c r="U44" i="19"/>
  <c r="U56" i="19"/>
  <c r="O60" i="19"/>
  <c r="M64" i="19"/>
  <c r="Q67" i="19"/>
  <c r="Q72" i="19"/>
  <c r="M8" i="20"/>
  <c r="Q13" i="20"/>
  <c r="M22" i="20"/>
  <c r="I34" i="20"/>
  <c r="O44" i="20"/>
  <c r="U56" i="20"/>
  <c r="U60" i="20"/>
  <c r="O63" i="20"/>
  <c r="O64" i="20"/>
  <c r="M69" i="20"/>
  <c r="O72" i="20"/>
  <c r="P68" i="21"/>
  <c r="N68" i="21"/>
  <c r="W23" i="25"/>
  <c r="X23" i="25" s="1"/>
  <c r="T23" i="25"/>
  <c r="X74" i="26"/>
  <c r="G74" i="27"/>
  <c r="N8" i="21"/>
  <c r="P13" i="21"/>
  <c r="R10" i="21"/>
  <c r="R46" i="21"/>
  <c r="P19" i="21"/>
  <c r="P20" i="21"/>
  <c r="N25" i="21"/>
  <c r="P37" i="21"/>
  <c r="J39" i="21"/>
  <c r="J40" i="21"/>
  <c r="P41" i="21"/>
  <c r="J52" i="21"/>
  <c r="P36" i="21"/>
  <c r="P40" i="21"/>
  <c r="P24" i="21"/>
  <c r="V62" i="21"/>
  <c r="J15" i="21"/>
  <c r="V20" i="21"/>
  <c r="R24" i="21"/>
  <c r="L44" i="21"/>
  <c r="J54" i="21"/>
  <c r="L57" i="21"/>
  <c r="R58" i="21"/>
  <c r="R8" i="21"/>
  <c r="J11" i="21"/>
  <c r="L22" i="21"/>
  <c r="V24" i="21"/>
  <c r="P25" i="21"/>
  <c r="V28" i="21"/>
  <c r="N29" i="21"/>
  <c r="V40" i="21"/>
  <c r="P43" i="21"/>
  <c r="P45" i="21"/>
  <c r="R48" i="21"/>
  <c r="P54" i="21"/>
  <c r="L55" i="21"/>
  <c r="V58" i="21"/>
  <c r="N59" i="21"/>
  <c r="J62" i="21"/>
  <c r="P28" i="21"/>
  <c r="P58" i="21"/>
  <c r="J22" i="21"/>
  <c r="R28" i="21"/>
  <c r="V36" i="21"/>
  <c r="J48" i="21"/>
  <c r="P72" i="21"/>
  <c r="J20" i="21"/>
  <c r="J24" i="21"/>
  <c r="J28" i="21"/>
  <c r="V29" i="21"/>
  <c r="J36" i="21"/>
  <c r="R45" i="21"/>
  <c r="P47" i="21"/>
  <c r="V54" i="21"/>
  <c r="J58" i="21"/>
  <c r="V59" i="21"/>
  <c r="P62" i="21"/>
  <c r="R71" i="21"/>
  <c r="P12" i="21"/>
  <c r="N16" i="21"/>
  <c r="N32" i="21"/>
  <c r="P33" i="21"/>
  <c r="V42" i="21"/>
  <c r="N50" i="21"/>
  <c r="V51" i="21"/>
  <c r="P63" i="21"/>
  <c r="N66" i="21"/>
  <c r="J6" i="21"/>
  <c r="J8" i="21"/>
  <c r="V8" i="21"/>
  <c r="R12" i="21"/>
  <c r="P15" i="21"/>
  <c r="P16" i="21"/>
  <c r="R19" i="21"/>
  <c r="R20" i="21"/>
  <c r="P32" i="21"/>
  <c r="V33" i="21"/>
  <c r="R36" i="21"/>
  <c r="N37" i="21"/>
  <c r="R40" i="21"/>
  <c r="N41" i="21"/>
  <c r="J46" i="21"/>
  <c r="L49" i="21"/>
  <c r="P50" i="21"/>
  <c r="L51" i="21"/>
  <c r="N54" i="21"/>
  <c r="V63" i="21"/>
  <c r="P66" i="21"/>
  <c r="N67" i="21"/>
  <c r="L68" i="21"/>
  <c r="J71" i="21"/>
  <c r="V71" i="21"/>
  <c r="V72" i="21"/>
  <c r="L6" i="21"/>
  <c r="J12" i="21"/>
  <c r="V12" i="21"/>
  <c r="R15" i="21"/>
  <c r="R16" i="21"/>
  <c r="R32" i="21"/>
  <c r="L38" i="21"/>
  <c r="L42" i="21"/>
  <c r="N46" i="21"/>
  <c r="V46" i="21"/>
  <c r="R50" i="21"/>
  <c r="R66" i="21"/>
  <c r="N71" i="21"/>
  <c r="J16" i="21"/>
  <c r="J32" i="21"/>
  <c r="V49" i="21"/>
  <c r="J50" i="21"/>
  <c r="N62" i="21"/>
  <c r="J66" i="21"/>
  <c r="U23" i="19"/>
  <c r="I23" i="19"/>
  <c r="S56" i="19"/>
  <c r="O58" i="17"/>
  <c r="I23" i="17"/>
  <c r="O39" i="17"/>
  <c r="I5" i="17"/>
  <c r="U5" i="17"/>
  <c r="O6" i="17"/>
  <c r="I9" i="17"/>
  <c r="U9" i="17"/>
  <c r="Q13" i="17"/>
  <c r="K14" i="17"/>
  <c r="I17" i="17"/>
  <c r="U17" i="17"/>
  <c r="Q22" i="17"/>
  <c r="M23" i="17"/>
  <c r="Q27" i="17"/>
  <c r="Q35" i="17"/>
  <c r="I38" i="17"/>
  <c r="Q39" i="17"/>
  <c r="I42" i="17"/>
  <c r="U43" i="17"/>
  <c r="O44" i="17"/>
  <c r="M45" i="17"/>
  <c r="O47" i="17"/>
  <c r="M48" i="17"/>
  <c r="W49" i="17"/>
  <c r="I51" i="17"/>
  <c r="O52" i="17"/>
  <c r="O55" i="17"/>
  <c r="K57" i="17"/>
  <c r="U58" i="17"/>
  <c r="I65" i="17"/>
  <c r="O66" i="17"/>
  <c r="O68" i="17"/>
  <c r="U71" i="17"/>
  <c r="O9" i="17"/>
  <c r="Q23" i="17"/>
  <c r="M27" i="17"/>
  <c r="O40" i="17"/>
  <c r="O43" i="17"/>
  <c r="Q67" i="17"/>
  <c r="U67" i="17" s="1"/>
  <c r="O71" i="17"/>
  <c r="Q9" i="17"/>
  <c r="O13" i="17"/>
  <c r="U23" i="17"/>
  <c r="O27" i="17"/>
  <c r="Q43" i="17"/>
  <c r="Q58" i="17"/>
  <c r="M66" i="17"/>
  <c r="Q71" i="17"/>
  <c r="I13" i="17"/>
  <c r="O20" i="17"/>
  <c r="I27" i="17"/>
  <c r="Q38" i="17"/>
  <c r="I39" i="17"/>
  <c r="U44" i="17"/>
  <c r="O48" i="17"/>
  <c r="U52" i="17"/>
  <c r="K56" i="17"/>
  <c r="O59" i="17"/>
  <c r="M63" i="17"/>
  <c r="M18" i="16"/>
  <c r="O25" i="16"/>
  <c r="Q32" i="16"/>
  <c r="Q37" i="16"/>
  <c r="Q44" i="16"/>
  <c r="U44" i="16"/>
  <c r="O44" i="16"/>
  <c r="O48" i="16"/>
  <c r="M59" i="16"/>
  <c r="O5" i="16"/>
  <c r="O6" i="16"/>
  <c r="Q8" i="16"/>
  <c r="Q10" i="16"/>
  <c r="I16" i="16"/>
  <c r="U16" i="16"/>
  <c r="I17" i="16"/>
  <c r="O18" i="16"/>
  <c r="Q23" i="16"/>
  <c r="Q25" i="16"/>
  <c r="M27" i="16"/>
  <c r="Q29" i="16"/>
  <c r="O30" i="16"/>
  <c r="M33" i="16"/>
  <c r="I35" i="16"/>
  <c r="K36" i="16"/>
  <c r="I37" i="16"/>
  <c r="Q39" i="16"/>
  <c r="O41" i="16"/>
  <c r="I43" i="16"/>
  <c r="K46" i="16"/>
  <c r="Q47" i="16"/>
  <c r="O52" i="16"/>
  <c r="M53" i="16"/>
  <c r="I55" i="16"/>
  <c r="Q56" i="16"/>
  <c r="U56" i="16"/>
  <c r="O60" i="16"/>
  <c r="I62" i="16"/>
  <c r="Q63" i="16"/>
  <c r="M65" i="16"/>
  <c r="U65" i="16"/>
  <c r="K66" i="16"/>
  <c r="Q67" i="16"/>
  <c r="Q68" i="16"/>
  <c r="I72" i="16"/>
  <c r="O10" i="16"/>
  <c r="Q5" i="16"/>
  <c r="I10" i="16"/>
  <c r="O17" i="16"/>
  <c r="Q18" i="16"/>
  <c r="I25" i="16"/>
  <c r="Q28" i="16"/>
  <c r="U28" i="16"/>
  <c r="I32" i="16"/>
  <c r="O33" i="16"/>
  <c r="M34" i="16"/>
  <c r="K35" i="16"/>
  <c r="O36" i="16"/>
  <c r="M37" i="16"/>
  <c r="Q41" i="16"/>
  <c r="O43" i="16"/>
  <c r="Q46" i="16"/>
  <c r="Q48" i="16"/>
  <c r="U48" i="16"/>
  <c r="M55" i="16"/>
  <c r="Q59" i="16"/>
  <c r="Q64" i="16"/>
  <c r="U64" i="16"/>
  <c r="Q69" i="16"/>
  <c r="U69" i="16"/>
  <c r="O73" i="16"/>
  <c r="I6" i="16"/>
  <c r="Q7" i="16"/>
  <c r="U7" i="16"/>
  <c r="I8" i="16"/>
  <c r="I9" i="16"/>
  <c r="M10" i="16"/>
  <c r="O14" i="16"/>
  <c r="K15" i="16"/>
  <c r="K16" i="16"/>
  <c r="Q17" i="16"/>
  <c r="I18" i="16"/>
  <c r="K20" i="16"/>
  <c r="I23" i="16"/>
  <c r="K24" i="16"/>
  <c r="M25" i="16"/>
  <c r="M29" i="16"/>
  <c r="O32" i="16"/>
  <c r="Q33" i="16"/>
  <c r="O34" i="16"/>
  <c r="O37" i="16"/>
  <c r="I40" i="16"/>
  <c r="I41" i="16"/>
  <c r="Q43" i="16"/>
  <c r="M44" i="16"/>
  <c r="I47" i="16"/>
  <c r="Q52" i="16"/>
  <c r="U52" i="16"/>
  <c r="K54" i="16"/>
  <c r="O56" i="16"/>
  <c r="I59" i="16"/>
  <c r="Q60" i="16"/>
  <c r="U60" i="16"/>
  <c r="M63" i="16"/>
  <c r="M64" i="16"/>
  <c r="M67" i="16"/>
  <c r="M69" i="16"/>
  <c r="Q72" i="16"/>
  <c r="R5" i="21"/>
  <c r="J5" i="21"/>
  <c r="N5" i="21"/>
  <c r="V5" i="21"/>
  <c r="N7" i="21"/>
  <c r="L7" i="21"/>
  <c r="V7" i="21"/>
  <c r="N14" i="21"/>
  <c r="N21" i="21"/>
  <c r="R31" i="21"/>
  <c r="V61" i="21"/>
  <c r="P61" i="21"/>
  <c r="N61" i="21"/>
  <c r="L61" i="21"/>
  <c r="J61" i="21"/>
  <c r="P5" i="21"/>
  <c r="R9" i="21"/>
  <c r="J9" i="21"/>
  <c r="V9" i="21"/>
  <c r="V18" i="21"/>
  <c r="P18" i="21"/>
  <c r="V27" i="21"/>
  <c r="P27" i="21"/>
  <c r="N27" i="21"/>
  <c r="R27" i="21"/>
  <c r="R30" i="21"/>
  <c r="J30" i="21"/>
  <c r="V30" i="21"/>
  <c r="P30" i="21"/>
  <c r="V53" i="21"/>
  <c r="V56" i="21"/>
  <c r="P56" i="21"/>
  <c r="H56" i="21"/>
  <c r="L56" i="21"/>
  <c r="J56" i="21"/>
  <c r="X56" i="21"/>
  <c r="R69" i="21"/>
  <c r="V69" i="21" s="1"/>
  <c r="J69" i="21"/>
  <c r="P69" i="21"/>
  <c r="L69" i="21"/>
  <c r="P70" i="21"/>
  <c r="L70" i="21"/>
  <c r="J70" i="21"/>
  <c r="N70" i="21" s="1"/>
  <c r="V6" i="21"/>
  <c r="P6" i="21"/>
  <c r="N6" i="21"/>
  <c r="R7" i="21"/>
  <c r="P9" i="21"/>
  <c r="L10" i="21"/>
  <c r="R13" i="21"/>
  <c r="J13" i="21"/>
  <c r="N13" i="21"/>
  <c r="V13" i="21"/>
  <c r="N15" i="21"/>
  <c r="L15" i="21"/>
  <c r="V15" i="21"/>
  <c r="L17" i="21"/>
  <c r="R18" i="21"/>
  <c r="V22" i="21"/>
  <c r="P22" i="21"/>
  <c r="N22" i="21"/>
  <c r="R26" i="21"/>
  <c r="J26" i="21"/>
  <c r="V26" i="21"/>
  <c r="P26" i="21"/>
  <c r="L34" i="21"/>
  <c r="L35" i="21"/>
  <c r="V39" i="21"/>
  <c r="P39" i="21"/>
  <c r="N39" i="21"/>
  <c r="R39" i="21"/>
  <c r="R42" i="21"/>
  <c r="J42" i="21"/>
  <c r="P42" i="21"/>
  <c r="V44" i="21"/>
  <c r="P44" i="21"/>
  <c r="J44" i="21"/>
  <c r="R44" i="21"/>
  <c r="R47" i="21"/>
  <c r="J47" i="21"/>
  <c r="L47" i="21"/>
  <c r="V47" i="21"/>
  <c r="V57" i="21"/>
  <c r="P57" i="21"/>
  <c r="N57" i="21"/>
  <c r="J57" i="21"/>
  <c r="R61" i="21"/>
  <c r="V14" i="21"/>
  <c r="P14" i="21"/>
  <c r="R21" i="21"/>
  <c r="J21" i="21"/>
  <c r="V21" i="21"/>
  <c r="V31" i="21"/>
  <c r="P31" i="21"/>
  <c r="N31" i="21"/>
  <c r="R34" i="21"/>
  <c r="J34" i="21"/>
  <c r="V34" i="21"/>
  <c r="P34" i="21"/>
  <c r="N53" i="21"/>
  <c r="R53" i="21"/>
  <c r="P53" i="21"/>
  <c r="R60" i="21"/>
  <c r="J60" i="21"/>
  <c r="V60" i="21"/>
  <c r="P60" i="21"/>
  <c r="L60" i="21"/>
  <c r="P7" i="21"/>
  <c r="N9" i="21"/>
  <c r="N11" i="21"/>
  <c r="L11" i="21"/>
  <c r="V11" i="21"/>
  <c r="R14" i="21"/>
  <c r="N18" i="21"/>
  <c r="P21" i="21"/>
  <c r="L5" i="21"/>
  <c r="J7" i="21"/>
  <c r="V10" i="21"/>
  <c r="P10" i="21"/>
  <c r="N10" i="21"/>
  <c r="R11" i="21"/>
  <c r="L14" i="21"/>
  <c r="R17" i="21"/>
  <c r="J17" i="21"/>
  <c r="N17" i="21"/>
  <c r="V17" i="21"/>
  <c r="J18" i="21"/>
  <c r="N19" i="21"/>
  <c r="L19" i="21"/>
  <c r="V19" i="21"/>
  <c r="L21" i="21"/>
  <c r="J27" i="21"/>
  <c r="L30" i="21"/>
  <c r="L31" i="21"/>
  <c r="N34" i="21"/>
  <c r="V35" i="21"/>
  <c r="P35" i="21"/>
  <c r="N35" i="21"/>
  <c r="R35" i="21"/>
  <c r="R38" i="21"/>
  <c r="J38" i="21"/>
  <c r="V38" i="21"/>
  <c r="P38" i="21"/>
  <c r="N49" i="21"/>
  <c r="J49" i="21"/>
  <c r="R49" i="21"/>
  <c r="R51" i="21"/>
  <c r="J51" i="21"/>
  <c r="P51" i="21"/>
  <c r="L53" i="21"/>
  <c r="N56" i="21"/>
  <c r="R64" i="21"/>
  <c r="J64" i="21"/>
  <c r="V64" i="21"/>
  <c r="P64" i="21"/>
  <c r="N64" i="21"/>
  <c r="L64" i="21"/>
  <c r="N69" i="21"/>
  <c r="R70" i="21"/>
  <c r="V70" i="21" s="1"/>
  <c r="L8" i="21"/>
  <c r="L12" i="21"/>
  <c r="L16" i="21"/>
  <c r="L20" i="21"/>
  <c r="L24" i="21"/>
  <c r="J25" i="21"/>
  <c r="R25" i="21"/>
  <c r="L28" i="21"/>
  <c r="J29" i="21"/>
  <c r="R29" i="21"/>
  <c r="L32" i="21"/>
  <c r="J33" i="21"/>
  <c r="R33" i="21"/>
  <c r="L36" i="21"/>
  <c r="J37" i="21"/>
  <c r="R37" i="21"/>
  <c r="L40" i="21"/>
  <c r="J41" i="21"/>
  <c r="R41" i="21"/>
  <c r="L43" i="21"/>
  <c r="V48" i="21"/>
  <c r="P48" i="21"/>
  <c r="N48" i="21"/>
  <c r="L52" i="21"/>
  <c r="R55" i="21"/>
  <c r="J55" i="21"/>
  <c r="N55" i="21"/>
  <c r="V55" i="21"/>
  <c r="L65" i="21"/>
  <c r="L25" i="21"/>
  <c r="L29" i="21"/>
  <c r="L33" i="21"/>
  <c r="L37" i="21"/>
  <c r="L41" i="21"/>
  <c r="R43" i="21"/>
  <c r="J43" i="21"/>
  <c r="N43" i="21"/>
  <c r="V43" i="21"/>
  <c r="N45" i="21"/>
  <c r="L45" i="21"/>
  <c r="V45" i="21"/>
  <c r="V52" i="21"/>
  <c r="P52" i="21"/>
  <c r="N52" i="21"/>
  <c r="V65" i="21"/>
  <c r="P65" i="21"/>
  <c r="N65" i="21"/>
  <c r="R65" i="21"/>
  <c r="J68" i="21"/>
  <c r="R68" i="21"/>
  <c r="V68" i="21" s="1"/>
  <c r="L46" i="21"/>
  <c r="L50" i="21"/>
  <c r="L54" i="21"/>
  <c r="L58" i="21"/>
  <c r="J59" i="21"/>
  <c r="R59" i="21"/>
  <c r="L62" i="21"/>
  <c r="J63" i="21"/>
  <c r="R63" i="21"/>
  <c r="L66" i="21"/>
  <c r="J67" i="21"/>
  <c r="R67" i="21"/>
  <c r="V67" i="21" s="1"/>
  <c r="L71" i="21"/>
  <c r="J72" i="21"/>
  <c r="R72" i="21"/>
  <c r="L59" i="21"/>
  <c r="L63" i="21"/>
  <c r="L67" i="21"/>
  <c r="L72" i="21"/>
  <c r="Q15" i="20"/>
  <c r="I15" i="20"/>
  <c r="M15" i="20"/>
  <c r="Q23" i="20"/>
  <c r="I23" i="20"/>
  <c r="K23" i="20"/>
  <c r="O23" i="20"/>
  <c r="M25" i="20"/>
  <c r="I25" i="20"/>
  <c r="Q27" i="20"/>
  <c r="I27" i="20"/>
  <c r="M29" i="20"/>
  <c r="Q29" i="20"/>
  <c r="M6" i="20"/>
  <c r="U12" i="20"/>
  <c r="O12" i="20"/>
  <c r="O15" i="20"/>
  <c r="O17" i="20"/>
  <c r="Q19" i="20"/>
  <c r="I19" i="20"/>
  <c r="K21" i="20"/>
  <c r="Q31" i="20"/>
  <c r="I31" i="20"/>
  <c r="O31" i="20"/>
  <c r="M31" i="20"/>
  <c r="U32" i="20"/>
  <c r="O32" i="20"/>
  <c r="K32" i="20"/>
  <c r="Q32" i="20"/>
  <c r="M33" i="20"/>
  <c r="O33" i="20"/>
  <c r="K33" i="20"/>
  <c r="U45" i="20"/>
  <c r="O45" i="20"/>
  <c r="Q45" i="20"/>
  <c r="I45" i="20"/>
  <c r="M45" i="20"/>
  <c r="K45" i="20"/>
  <c r="I5" i="20"/>
  <c r="Q5" i="20"/>
  <c r="O6" i="20"/>
  <c r="U6" i="20"/>
  <c r="M7" i="20"/>
  <c r="K8" i="20"/>
  <c r="M9" i="20"/>
  <c r="K9" i="20"/>
  <c r="U9" i="20"/>
  <c r="K11" i="20"/>
  <c r="Q12" i="20"/>
  <c r="U16" i="20"/>
  <c r="O16" i="20"/>
  <c r="M16" i="20"/>
  <c r="Q17" i="20"/>
  <c r="O19" i="20"/>
  <c r="K20" i="20"/>
  <c r="O21" i="20"/>
  <c r="U23" i="20"/>
  <c r="I24" i="20"/>
  <c r="K27" i="20"/>
  <c r="U27" i="20"/>
  <c r="I29" i="20"/>
  <c r="U29" i="20"/>
  <c r="Q33" i="20"/>
  <c r="U36" i="20"/>
  <c r="O36" i="20"/>
  <c r="K36" i="20"/>
  <c r="I36" i="20"/>
  <c r="M54" i="20"/>
  <c r="U54" i="20"/>
  <c r="O54" i="20"/>
  <c r="I54" i="20"/>
  <c r="Q54" i="20"/>
  <c r="K54" i="20"/>
  <c r="K6" i="20"/>
  <c r="U15" i="20"/>
  <c r="M17" i="20"/>
  <c r="K17" i="20"/>
  <c r="U17" i="20"/>
  <c r="U24" i="20"/>
  <c r="O24" i="20"/>
  <c r="Q24" i="20"/>
  <c r="M24" i="20"/>
  <c r="O25" i="20"/>
  <c r="O27" i="20"/>
  <c r="O29" i="20"/>
  <c r="K7" i="20"/>
  <c r="M12" i="20"/>
  <c r="M19" i="20"/>
  <c r="U19" i="20"/>
  <c r="U21" i="20"/>
  <c r="M21" i="20"/>
  <c r="Q25" i="20"/>
  <c r="K5" i="20"/>
  <c r="I6" i="20"/>
  <c r="O7" i="20"/>
  <c r="Q11" i="20"/>
  <c r="I11" i="20"/>
  <c r="M11" i="20"/>
  <c r="U11" i="20"/>
  <c r="I12" i="20"/>
  <c r="M13" i="20"/>
  <c r="K13" i="20"/>
  <c r="U13" i="20"/>
  <c r="K15" i="20"/>
  <c r="I17" i="20"/>
  <c r="U20" i="20"/>
  <c r="O20" i="20"/>
  <c r="M20" i="20"/>
  <c r="Q21" i="20"/>
  <c r="M23" i="20"/>
  <c r="K24" i="20"/>
  <c r="K25" i="20"/>
  <c r="U25" i="20"/>
  <c r="M27" i="20"/>
  <c r="K29" i="20"/>
  <c r="I32" i="20"/>
  <c r="U40" i="20"/>
  <c r="O40" i="20"/>
  <c r="I40" i="20"/>
  <c r="Q40" i="20"/>
  <c r="M62" i="20"/>
  <c r="U62" i="20"/>
  <c r="O62" i="20"/>
  <c r="I62" i="20"/>
  <c r="K62" i="20"/>
  <c r="K10" i="20"/>
  <c r="K14" i="20"/>
  <c r="K18" i="20"/>
  <c r="U28" i="20"/>
  <c r="O28" i="20"/>
  <c r="M28" i="20"/>
  <c r="Q35" i="20"/>
  <c r="I35" i="20"/>
  <c r="M35" i="20"/>
  <c r="U35" i="20"/>
  <c r="M37" i="20"/>
  <c r="K37" i="20"/>
  <c r="U37" i="20"/>
  <c r="K39" i="20"/>
  <c r="M46" i="20"/>
  <c r="U46" i="20"/>
  <c r="O46" i="20"/>
  <c r="I46" i="20"/>
  <c r="U49" i="20"/>
  <c r="O49" i="20"/>
  <c r="Q49" i="20"/>
  <c r="I49" i="20"/>
  <c r="K49" i="20"/>
  <c r="M49" i="20"/>
  <c r="U65" i="20"/>
  <c r="O65" i="20"/>
  <c r="Q65" i="20"/>
  <c r="I65" i="20"/>
  <c r="K65" i="20"/>
  <c r="M66" i="20"/>
  <c r="U66" i="20"/>
  <c r="O66" i="20"/>
  <c r="I66" i="20"/>
  <c r="K66" i="20"/>
  <c r="Q39" i="20"/>
  <c r="I39" i="20"/>
  <c r="M39" i="20"/>
  <c r="U39" i="20"/>
  <c r="M41" i="20"/>
  <c r="K41" i="20"/>
  <c r="U41" i="20"/>
  <c r="U57" i="20"/>
  <c r="O57" i="20"/>
  <c r="Q57" i="20"/>
  <c r="I57" i="20"/>
  <c r="K57" i="20"/>
  <c r="M57" i="20"/>
  <c r="K22" i="20"/>
  <c r="K26" i="20"/>
  <c r="K30" i="20"/>
  <c r="K34" i="20"/>
  <c r="K38" i="20"/>
  <c r="M42" i="20"/>
  <c r="U42" i="20"/>
  <c r="O42" i="20"/>
  <c r="Q42" i="20"/>
  <c r="M50" i="20"/>
  <c r="U50" i="20"/>
  <c r="O50" i="20"/>
  <c r="Q50" i="20"/>
  <c r="M58" i="20"/>
  <c r="U58" i="20"/>
  <c r="O58" i="20"/>
  <c r="Q58" i="20"/>
  <c r="O70" i="20"/>
  <c r="Q70" i="20"/>
  <c r="U70" i="20" s="1"/>
  <c r="I70" i="20"/>
  <c r="M70" i="20" s="1"/>
  <c r="U53" i="20"/>
  <c r="O53" i="20"/>
  <c r="Q53" i="20"/>
  <c r="I53" i="20"/>
  <c r="U61" i="20"/>
  <c r="O61" i="20"/>
  <c r="Q61" i="20"/>
  <c r="I61" i="20"/>
  <c r="M71" i="20"/>
  <c r="U71" i="20"/>
  <c r="O71" i="20"/>
  <c r="Q71" i="20"/>
  <c r="M43" i="20"/>
  <c r="K44" i="20"/>
  <c r="M47" i="20"/>
  <c r="K48" i="20"/>
  <c r="M51" i="20"/>
  <c r="K52" i="20"/>
  <c r="M55" i="20"/>
  <c r="K56" i="20"/>
  <c r="M59" i="20"/>
  <c r="K60" i="20"/>
  <c r="K64" i="20"/>
  <c r="K68" i="20"/>
  <c r="K69" i="20"/>
  <c r="K43" i="20"/>
  <c r="I44" i="20"/>
  <c r="K47" i="20"/>
  <c r="I48" i="20"/>
  <c r="K51" i="20"/>
  <c r="I52" i="20"/>
  <c r="K55" i="20"/>
  <c r="I56" i="20"/>
  <c r="K59" i="20"/>
  <c r="I60" i="20"/>
  <c r="K63" i="20"/>
  <c r="I64" i="20"/>
  <c r="K67" i="20"/>
  <c r="I68" i="20"/>
  <c r="I69" i="20"/>
  <c r="K72" i="20"/>
  <c r="S7" i="19"/>
  <c r="V7" i="19"/>
  <c r="G7" i="21" s="1"/>
  <c r="U11" i="19"/>
  <c r="O11" i="19"/>
  <c r="Q18" i="19"/>
  <c r="I18" i="19"/>
  <c r="U18" i="19"/>
  <c r="M20" i="19"/>
  <c r="K20" i="19"/>
  <c r="U20" i="19"/>
  <c r="U61" i="19"/>
  <c r="O61" i="19"/>
  <c r="Q61" i="19"/>
  <c r="I61" i="19"/>
  <c r="M61" i="19"/>
  <c r="K61" i="19"/>
  <c r="K5" i="19"/>
  <c r="U15" i="19"/>
  <c r="O15" i="19"/>
  <c r="O20" i="19"/>
  <c r="U22" i="19"/>
  <c r="O22" i="19"/>
  <c r="K22" i="19"/>
  <c r="Q22" i="19"/>
  <c r="K23" i="19"/>
  <c r="Q29" i="19"/>
  <c r="I29" i="19"/>
  <c r="K29" i="19"/>
  <c r="U30" i="19"/>
  <c r="O30" i="19"/>
  <c r="Q30" i="19"/>
  <c r="M31" i="19"/>
  <c r="I31" i="19"/>
  <c r="Q33" i="19"/>
  <c r="I33" i="19"/>
  <c r="M42" i="19"/>
  <c r="U42" i="19"/>
  <c r="O42" i="19"/>
  <c r="I42" i="19"/>
  <c r="M71" i="19"/>
  <c r="U71" i="19"/>
  <c r="O71" i="19"/>
  <c r="K71" i="19"/>
  <c r="I71" i="19"/>
  <c r="Q71" i="19"/>
  <c r="O5" i="19"/>
  <c r="U5" i="19"/>
  <c r="M6" i="19"/>
  <c r="U7" i="19"/>
  <c r="O7" i="19"/>
  <c r="G7" i="19"/>
  <c r="M7" i="19"/>
  <c r="Q8" i="19"/>
  <c r="O10" i="19"/>
  <c r="K11" i="19"/>
  <c r="Q14" i="19"/>
  <c r="I14" i="19"/>
  <c r="M14" i="19"/>
  <c r="U14" i="19"/>
  <c r="I15" i="19"/>
  <c r="M16" i="19"/>
  <c r="K16" i="19"/>
  <c r="U16" i="19"/>
  <c r="K18" i="19"/>
  <c r="Q19" i="19"/>
  <c r="I20" i="19"/>
  <c r="I22" i="19"/>
  <c r="U26" i="19"/>
  <c r="O26" i="19"/>
  <c r="I26" i="19"/>
  <c r="Q26" i="19"/>
  <c r="U29" i="19"/>
  <c r="I30" i="19"/>
  <c r="K33" i="19"/>
  <c r="U33" i="19"/>
  <c r="K42" i="19"/>
  <c r="M11" i="19"/>
  <c r="M18" i="19"/>
  <c r="M8" i="19"/>
  <c r="K8" i="19"/>
  <c r="U8" i="19"/>
  <c r="Q11" i="19"/>
  <c r="M15" i="19"/>
  <c r="O18" i="19"/>
  <c r="M23" i="19"/>
  <c r="O23" i="19"/>
  <c r="O29" i="19"/>
  <c r="M30" i="19"/>
  <c r="O31" i="19"/>
  <c r="O33" i="19"/>
  <c r="M35" i="19"/>
  <c r="O35" i="19"/>
  <c r="Q35" i="19"/>
  <c r="U38" i="19"/>
  <c r="O38" i="19"/>
  <c r="I38" i="19"/>
  <c r="K38" i="19"/>
  <c r="M5" i="19"/>
  <c r="K6" i="19"/>
  <c r="O8" i="19"/>
  <c r="Q10" i="19"/>
  <c r="I10" i="19"/>
  <c r="M10" i="19"/>
  <c r="U10" i="19"/>
  <c r="I11" i="19"/>
  <c r="M12" i="19"/>
  <c r="K12" i="19"/>
  <c r="U12" i="19"/>
  <c r="Q15" i="19"/>
  <c r="U19" i="19"/>
  <c r="O19" i="19"/>
  <c r="M19" i="19"/>
  <c r="Q20" i="19"/>
  <c r="Q23" i="19"/>
  <c r="Q31" i="19"/>
  <c r="U35" i="19"/>
  <c r="G56" i="19"/>
  <c r="O70" i="19"/>
  <c r="Q70" i="19"/>
  <c r="U70" i="19" s="1"/>
  <c r="I70" i="19"/>
  <c r="M70" i="19" s="1"/>
  <c r="K70" i="19"/>
  <c r="K9" i="19"/>
  <c r="K13" i="19"/>
  <c r="K17" i="19"/>
  <c r="K21" i="19"/>
  <c r="Q25" i="19"/>
  <c r="I25" i="19"/>
  <c r="M25" i="19"/>
  <c r="U25" i="19"/>
  <c r="M27" i="19"/>
  <c r="K27" i="19"/>
  <c r="U27" i="19"/>
  <c r="U34" i="19"/>
  <c r="O34" i="19"/>
  <c r="M34" i="19"/>
  <c r="O37" i="19"/>
  <c r="Q41" i="19"/>
  <c r="I41" i="19"/>
  <c r="M41" i="19"/>
  <c r="U41" i="19"/>
  <c r="U53" i="19"/>
  <c r="O53" i="19"/>
  <c r="Q53" i="19"/>
  <c r="I53" i="19"/>
  <c r="M53" i="19"/>
  <c r="K53" i="19"/>
  <c r="M58" i="19"/>
  <c r="U58" i="19"/>
  <c r="O58" i="19"/>
  <c r="I58" i="19"/>
  <c r="Q37" i="19"/>
  <c r="I37" i="19"/>
  <c r="M37" i="19"/>
  <c r="U37" i="19"/>
  <c r="M39" i="19"/>
  <c r="K39" i="19"/>
  <c r="U39" i="19"/>
  <c r="U45" i="19"/>
  <c r="O45" i="19"/>
  <c r="Q45" i="19"/>
  <c r="I45" i="19"/>
  <c r="M45" i="19"/>
  <c r="K45" i="19"/>
  <c r="V49" i="19"/>
  <c r="G49" i="21" s="1"/>
  <c r="S49" i="19"/>
  <c r="M50" i="19"/>
  <c r="U50" i="19"/>
  <c r="O50" i="19"/>
  <c r="I50" i="19"/>
  <c r="K24" i="19"/>
  <c r="K28" i="19"/>
  <c r="K32" i="19"/>
  <c r="K36" i="19"/>
  <c r="K40" i="19"/>
  <c r="K46" i="19"/>
  <c r="U49" i="19"/>
  <c r="O49" i="19"/>
  <c r="G49" i="19"/>
  <c r="Q49" i="19"/>
  <c r="I49" i="19"/>
  <c r="K54" i="19"/>
  <c r="U57" i="19"/>
  <c r="O57" i="19"/>
  <c r="Q57" i="19"/>
  <c r="I57" i="19"/>
  <c r="K62" i="19"/>
  <c r="M66" i="19"/>
  <c r="U66" i="19"/>
  <c r="O66" i="19"/>
  <c r="Q66" i="19"/>
  <c r="M46" i="19"/>
  <c r="U46" i="19"/>
  <c r="O46" i="19"/>
  <c r="Q46" i="19"/>
  <c r="M54" i="19"/>
  <c r="U54" i="19"/>
  <c r="O54" i="19"/>
  <c r="Q54" i="19"/>
  <c r="M62" i="19"/>
  <c r="U62" i="19"/>
  <c r="O62" i="19"/>
  <c r="Q62" i="19"/>
  <c r="U65" i="19"/>
  <c r="O65" i="19"/>
  <c r="Q65" i="19"/>
  <c r="I65" i="19"/>
  <c r="M43" i="19"/>
  <c r="K44" i="19"/>
  <c r="M47" i="19"/>
  <c r="K48" i="19"/>
  <c r="M51" i="19"/>
  <c r="K52" i="19"/>
  <c r="M55" i="19"/>
  <c r="K56" i="19"/>
  <c r="W56" i="19"/>
  <c r="M59" i="19"/>
  <c r="K60" i="19"/>
  <c r="K64" i="19"/>
  <c r="K68" i="19"/>
  <c r="K69" i="19"/>
  <c r="M72" i="19"/>
  <c r="K43" i="19"/>
  <c r="I44" i="19"/>
  <c r="K47" i="19"/>
  <c r="I48" i="19"/>
  <c r="K51" i="19"/>
  <c r="I52" i="19"/>
  <c r="K55" i="19"/>
  <c r="I56" i="19"/>
  <c r="K59" i="19"/>
  <c r="I60" i="19"/>
  <c r="K63" i="19"/>
  <c r="I64" i="19"/>
  <c r="K67" i="19"/>
  <c r="I68" i="19"/>
  <c r="I69" i="19"/>
  <c r="K72" i="19"/>
  <c r="U15" i="17"/>
  <c r="O15" i="17"/>
  <c r="M7" i="17"/>
  <c r="O8" i="17"/>
  <c r="M10" i="17"/>
  <c r="U19" i="17"/>
  <c r="O19" i="17"/>
  <c r="M19" i="17"/>
  <c r="U25" i="17"/>
  <c r="O25" i="17"/>
  <c r="I25" i="17"/>
  <c r="Q25" i="17"/>
  <c r="M34" i="17"/>
  <c r="O34" i="17"/>
  <c r="Q34" i="17"/>
  <c r="U37" i="17"/>
  <c r="O37" i="17"/>
  <c r="I37" i="17"/>
  <c r="K37" i="17"/>
  <c r="U41" i="17"/>
  <c r="O41" i="17"/>
  <c r="Q41" i="17"/>
  <c r="I41" i="17"/>
  <c r="U49" i="17"/>
  <c r="O49" i="17"/>
  <c r="G49" i="17"/>
  <c r="Q49" i="17"/>
  <c r="I49" i="17"/>
  <c r="M49" i="17"/>
  <c r="K49" i="17"/>
  <c r="K5" i="17"/>
  <c r="I6" i="17"/>
  <c r="Q6" i="17"/>
  <c r="G7" i="17"/>
  <c r="O7" i="17"/>
  <c r="Q8" i="17"/>
  <c r="O10" i="17"/>
  <c r="K11" i="17"/>
  <c r="Q14" i="17"/>
  <c r="I14" i="17"/>
  <c r="M14" i="17"/>
  <c r="U14" i="17"/>
  <c r="I15" i="17"/>
  <c r="M16" i="17"/>
  <c r="K16" i="17"/>
  <c r="U16" i="17"/>
  <c r="K18" i="17"/>
  <c r="Q19" i="17"/>
  <c r="I22" i="17"/>
  <c r="M28" i="17"/>
  <c r="K30" i="17"/>
  <c r="U34" i="17"/>
  <c r="M70" i="17"/>
  <c r="U70" i="17"/>
  <c r="O70" i="17"/>
  <c r="K70" i="17"/>
  <c r="I70" i="17"/>
  <c r="Q70" i="17"/>
  <c r="K7" i="17"/>
  <c r="M8" i="17"/>
  <c r="K8" i="17"/>
  <c r="U8" i="17"/>
  <c r="M15" i="17"/>
  <c r="M46" i="17"/>
  <c r="U46" i="17"/>
  <c r="O46" i="17"/>
  <c r="I46" i="17"/>
  <c r="K46" i="17"/>
  <c r="Q46" i="17"/>
  <c r="S7" i="17"/>
  <c r="Q10" i="17"/>
  <c r="I10" i="17"/>
  <c r="U10" i="17"/>
  <c r="M12" i="17"/>
  <c r="K12" i="17"/>
  <c r="U12" i="17"/>
  <c r="Q15" i="17"/>
  <c r="K6" i="17"/>
  <c r="I7" i="17"/>
  <c r="Q7" i="17"/>
  <c r="W7" i="17"/>
  <c r="I8" i="17"/>
  <c r="U11" i="17"/>
  <c r="O11" i="17"/>
  <c r="M11" i="17"/>
  <c r="Q12" i="17"/>
  <c r="K15" i="17"/>
  <c r="Q18" i="17"/>
  <c r="I18" i="17"/>
  <c r="M18" i="17"/>
  <c r="U18" i="17"/>
  <c r="I19" i="17"/>
  <c r="M20" i="17"/>
  <c r="K20" i="17"/>
  <c r="U20" i="17"/>
  <c r="M22" i="17"/>
  <c r="O22" i="17"/>
  <c r="K22" i="17"/>
  <c r="K25" i="17"/>
  <c r="Q28" i="17"/>
  <c r="I28" i="17"/>
  <c r="K28" i="17"/>
  <c r="O28" i="17"/>
  <c r="U29" i="17"/>
  <c r="O29" i="17"/>
  <c r="Q29" i="17"/>
  <c r="M29" i="17"/>
  <c r="M30" i="17"/>
  <c r="I30" i="17"/>
  <c r="O30" i="17"/>
  <c r="Q32" i="17"/>
  <c r="I32" i="17"/>
  <c r="O32" i="17"/>
  <c r="I34" i="17"/>
  <c r="M37" i="17"/>
  <c r="K41" i="17"/>
  <c r="S49" i="17"/>
  <c r="O69" i="17"/>
  <c r="Q69" i="17"/>
  <c r="U69" i="17" s="1"/>
  <c r="I69" i="17"/>
  <c r="M69" i="17" s="1"/>
  <c r="K69" i="17"/>
  <c r="K9" i="17"/>
  <c r="K13" i="17"/>
  <c r="K17" i="17"/>
  <c r="U21" i="17"/>
  <c r="O21" i="17"/>
  <c r="K21" i="17"/>
  <c r="Q24" i="17"/>
  <c r="I24" i="17"/>
  <c r="M24" i="17"/>
  <c r="U24" i="17"/>
  <c r="M26" i="17"/>
  <c r="K26" i="17"/>
  <c r="U26" i="17"/>
  <c r="U33" i="17"/>
  <c r="O33" i="17"/>
  <c r="M33" i="17"/>
  <c r="O36" i="17"/>
  <c r="Q40" i="17"/>
  <c r="I40" i="17"/>
  <c r="M40" i="17"/>
  <c r="U40" i="17"/>
  <c r="M42" i="17"/>
  <c r="U42" i="17"/>
  <c r="O42" i="17"/>
  <c r="Q42" i="17"/>
  <c r="K42" i="17"/>
  <c r="U53" i="17"/>
  <c r="O53" i="17"/>
  <c r="Q53" i="17"/>
  <c r="I53" i="17"/>
  <c r="K53" i="17"/>
  <c r="M54" i="17"/>
  <c r="U54" i="17"/>
  <c r="O54" i="17"/>
  <c r="K54" i="17"/>
  <c r="I54" i="17"/>
  <c r="Q36" i="17"/>
  <c r="I36" i="17"/>
  <c r="M36" i="17"/>
  <c r="U36" i="17"/>
  <c r="M38" i="17"/>
  <c r="K38" i="17"/>
  <c r="U38" i="17"/>
  <c r="U45" i="17"/>
  <c r="O45" i="17"/>
  <c r="Q45" i="17"/>
  <c r="I45" i="17"/>
  <c r="U60" i="17"/>
  <c r="O60" i="17"/>
  <c r="Q60" i="17"/>
  <c r="I60" i="17"/>
  <c r="K60" i="17"/>
  <c r="M61" i="17"/>
  <c r="U61" i="17"/>
  <c r="O61" i="17"/>
  <c r="K61" i="17"/>
  <c r="I61" i="17"/>
  <c r="K23" i="17"/>
  <c r="K27" i="17"/>
  <c r="K31" i="17"/>
  <c r="K35" i="17"/>
  <c r="K39" i="17"/>
  <c r="M50" i="17"/>
  <c r="U50" i="17"/>
  <c r="O50" i="17"/>
  <c r="Q50" i="17"/>
  <c r="M57" i="17"/>
  <c r="U57" i="17"/>
  <c r="O57" i="17"/>
  <c r="Q57" i="17"/>
  <c r="M65" i="17"/>
  <c r="U65" i="17"/>
  <c r="O65" i="17"/>
  <c r="Q65" i="17"/>
  <c r="U56" i="17"/>
  <c r="O56" i="17"/>
  <c r="Q56" i="17"/>
  <c r="I56" i="17"/>
  <c r="U64" i="17"/>
  <c r="O64" i="17"/>
  <c r="Q64" i="17"/>
  <c r="I64" i="17"/>
  <c r="M43" i="17"/>
  <c r="K44" i="17"/>
  <c r="M47" i="17"/>
  <c r="K48" i="17"/>
  <c r="M51" i="17"/>
  <c r="K52" i="17"/>
  <c r="M55" i="17"/>
  <c r="M58" i="17"/>
  <c r="K59" i="17"/>
  <c r="M62" i="17"/>
  <c r="K63" i="17"/>
  <c r="K67" i="17"/>
  <c r="K68" i="17"/>
  <c r="M71" i="17"/>
  <c r="K43" i="17"/>
  <c r="I44" i="17"/>
  <c r="K47" i="17"/>
  <c r="I48" i="17"/>
  <c r="K51" i="17"/>
  <c r="I52" i="17"/>
  <c r="K55" i="17"/>
  <c r="K58" i="17"/>
  <c r="I59" i="17"/>
  <c r="K62" i="17"/>
  <c r="I63" i="17"/>
  <c r="K66" i="17"/>
  <c r="I67" i="17"/>
  <c r="I68" i="17"/>
  <c r="K71" i="17"/>
  <c r="K7" i="16"/>
  <c r="S7" i="16"/>
  <c r="M12" i="16"/>
  <c r="Q19" i="16"/>
  <c r="I19" i="16"/>
  <c r="K21" i="16"/>
  <c r="O31" i="16"/>
  <c r="I31" i="16"/>
  <c r="O62" i="16"/>
  <c r="Q61" i="16"/>
  <c r="I61" i="16"/>
  <c r="M61" i="16"/>
  <c r="K61" i="16"/>
  <c r="M7" i="16"/>
  <c r="M16" i="16"/>
  <c r="O19" i="16"/>
  <c r="Q22" i="16"/>
  <c r="I22" i="16"/>
  <c r="M24" i="16"/>
  <c r="Q24" i="16"/>
  <c r="M71" i="16"/>
  <c r="O72" i="16"/>
  <c r="K71" i="16"/>
  <c r="I71" i="16"/>
  <c r="Q71" i="16"/>
  <c r="G7" i="16"/>
  <c r="M11" i="16"/>
  <c r="I12" i="16"/>
  <c r="M13" i="16"/>
  <c r="K13" i="16"/>
  <c r="Q16" i="16"/>
  <c r="O20" i="16"/>
  <c r="M20" i="16"/>
  <c r="Q21" i="16"/>
  <c r="M5" i="16"/>
  <c r="K6" i="16"/>
  <c r="I7" i="16"/>
  <c r="O8" i="16"/>
  <c r="M8" i="16"/>
  <c r="Q9" i="16"/>
  <c r="O11" i="16"/>
  <c r="K12" i="16"/>
  <c r="O13" i="16"/>
  <c r="Q15" i="16"/>
  <c r="I15" i="16"/>
  <c r="M15" i="16"/>
  <c r="M17" i="16"/>
  <c r="K17" i="16"/>
  <c r="K19" i="16"/>
  <c r="Q20" i="16"/>
  <c r="I21" i="16"/>
  <c r="K22" i="16"/>
  <c r="I24" i="16"/>
  <c r="M31" i="16"/>
  <c r="M40" i="16"/>
  <c r="O40" i="16"/>
  <c r="Q40" i="16"/>
  <c r="O58" i="16"/>
  <c r="Q57" i="16"/>
  <c r="I57" i="16"/>
  <c r="K57" i="16"/>
  <c r="M57" i="16"/>
  <c r="O12" i="16"/>
  <c r="M19" i="16"/>
  <c r="M21" i="16"/>
  <c r="Q31" i="16"/>
  <c r="M9" i="16"/>
  <c r="K9" i="16"/>
  <c r="Q12" i="16"/>
  <c r="O16" i="16"/>
  <c r="O21" i="16"/>
  <c r="O22" i="16"/>
  <c r="O24" i="16"/>
  <c r="K5" i="16"/>
  <c r="O7" i="16"/>
  <c r="O9" i="16"/>
  <c r="Q11" i="16"/>
  <c r="I11" i="16"/>
  <c r="Q26" i="16"/>
  <c r="I26" i="16"/>
  <c r="O26" i="16"/>
  <c r="M26" i="16"/>
  <c r="O27" i="16"/>
  <c r="K27" i="16"/>
  <c r="Q27" i="16"/>
  <c r="M28" i="16"/>
  <c r="O28" i="16"/>
  <c r="K28" i="16"/>
  <c r="K31" i="16"/>
  <c r="Q34" i="16"/>
  <c r="I34" i="16"/>
  <c r="K34" i="16"/>
  <c r="M36" i="16"/>
  <c r="Q36" i="16"/>
  <c r="I36" i="16"/>
  <c r="Q38" i="16"/>
  <c r="I38" i="16"/>
  <c r="O38" i="16"/>
  <c r="M58" i="16"/>
  <c r="O59" i="16"/>
  <c r="K58" i="16"/>
  <c r="I58" i="16"/>
  <c r="Q58" i="16"/>
  <c r="O71" i="16"/>
  <c r="Q70" i="16"/>
  <c r="I70" i="16"/>
  <c r="M70" i="16" s="1"/>
  <c r="K70" i="16"/>
  <c r="K10" i="16"/>
  <c r="K14" i="16"/>
  <c r="K18" i="16"/>
  <c r="O23" i="16"/>
  <c r="M23" i="16"/>
  <c r="Q30" i="16"/>
  <c r="I30" i="16"/>
  <c r="M30" i="16"/>
  <c r="M32" i="16"/>
  <c r="K32" i="16"/>
  <c r="Q35" i="16"/>
  <c r="O39" i="16"/>
  <c r="M39" i="16"/>
  <c r="O50" i="16"/>
  <c r="Q49" i="16"/>
  <c r="I49" i="16"/>
  <c r="M49" i="16"/>
  <c r="K49" i="16"/>
  <c r="M54" i="16"/>
  <c r="O55" i="16"/>
  <c r="I54" i="16"/>
  <c r="O35" i="16"/>
  <c r="M35" i="16"/>
  <c r="M46" i="16"/>
  <c r="O47" i="16"/>
  <c r="I46" i="16"/>
  <c r="K25" i="16"/>
  <c r="K29" i="16"/>
  <c r="K33" i="16"/>
  <c r="K37" i="16"/>
  <c r="K41" i="16"/>
  <c r="K42" i="16"/>
  <c r="O45" i="16"/>
  <c r="Q45" i="16"/>
  <c r="I45" i="16"/>
  <c r="K50" i="16"/>
  <c r="O54" i="16"/>
  <c r="Q53" i="16"/>
  <c r="I53" i="16"/>
  <c r="K62" i="16"/>
  <c r="M66" i="16"/>
  <c r="O67" i="16"/>
  <c r="Q66" i="16"/>
  <c r="M42" i="16"/>
  <c r="O42" i="16"/>
  <c r="Q42" i="16"/>
  <c r="M50" i="16"/>
  <c r="O51" i="16"/>
  <c r="Q50" i="16"/>
  <c r="M62" i="16"/>
  <c r="O63" i="16"/>
  <c r="Q62" i="16"/>
  <c r="O66" i="16"/>
  <c r="Q65" i="16"/>
  <c r="I65" i="16"/>
  <c r="M43" i="16"/>
  <c r="K44" i="16"/>
  <c r="M47" i="16"/>
  <c r="K48" i="16"/>
  <c r="M51" i="16"/>
  <c r="K52" i="16"/>
  <c r="K56" i="16"/>
  <c r="K60" i="16"/>
  <c r="K64" i="16"/>
  <c r="K68" i="16"/>
  <c r="K69" i="16"/>
  <c r="M72" i="16"/>
  <c r="K43" i="16"/>
  <c r="I44" i="16"/>
  <c r="K47" i="16"/>
  <c r="I48" i="16"/>
  <c r="K51" i="16"/>
  <c r="I52" i="16"/>
  <c r="K55" i="16"/>
  <c r="I56" i="16"/>
  <c r="K59" i="16"/>
  <c r="I60" i="16"/>
  <c r="K63" i="16"/>
  <c r="I64" i="16"/>
  <c r="K67" i="16"/>
  <c r="I68" i="16"/>
  <c r="I69" i="16"/>
  <c r="K72" i="16"/>
  <c r="Q72" i="13"/>
  <c r="E72" i="13"/>
  <c r="U72" i="13" s="1"/>
  <c r="E71" i="13"/>
  <c r="U71" i="13" s="1"/>
  <c r="K71" i="13" l="1"/>
  <c r="Q71" i="13"/>
  <c r="K72" i="13"/>
  <c r="I71" i="13"/>
  <c r="I72" i="13"/>
  <c r="G56" i="23"/>
  <c r="G56" i="22"/>
  <c r="W25" i="30"/>
  <c r="T25" i="30"/>
  <c r="S74" i="27"/>
  <c r="H74" i="27"/>
  <c r="T56" i="21"/>
  <c r="S73" i="27"/>
  <c r="H73" i="27"/>
  <c r="W49" i="19"/>
  <c r="W7" i="19"/>
  <c r="M71" i="13"/>
  <c r="M72" i="13"/>
  <c r="O71" i="13"/>
  <c r="O72" i="13"/>
  <c r="S56" i="22" l="1"/>
  <c r="H56" i="22"/>
  <c r="T74" i="27"/>
  <c r="W74" i="27"/>
  <c r="S56" i="23"/>
  <c r="H56" i="23"/>
  <c r="G25" i="31"/>
  <c r="X25" i="30"/>
  <c r="W73" i="27"/>
  <c r="T73" i="27"/>
  <c r="S16" i="22"/>
  <c r="H16" i="22"/>
  <c r="S7" i="21"/>
  <c r="H7" i="21"/>
  <c r="S49" i="21"/>
  <c r="H49" i="21"/>
  <c r="R72" i="12"/>
  <c r="V72" i="12" s="1"/>
  <c r="F72" i="13" s="1"/>
  <c r="R71" i="12"/>
  <c r="V71" i="12" s="1"/>
  <c r="F71" i="13" s="1"/>
  <c r="E72" i="12"/>
  <c r="E71" i="12"/>
  <c r="R72" i="13" l="1"/>
  <c r="G72" i="13"/>
  <c r="S25" i="31"/>
  <c r="H25" i="31"/>
  <c r="R71" i="13"/>
  <c r="G71" i="13"/>
  <c r="X74" i="27"/>
  <c r="G74" i="28"/>
  <c r="X73" i="27"/>
  <c r="G73" i="28"/>
  <c r="W56" i="23"/>
  <c r="X56" i="23" s="1"/>
  <c r="T56" i="23"/>
  <c r="W56" i="22"/>
  <c r="T56" i="22"/>
  <c r="W16" i="22"/>
  <c r="T16" i="22"/>
  <c r="W49" i="21"/>
  <c r="T49" i="21"/>
  <c r="W7" i="21"/>
  <c r="T7" i="21"/>
  <c r="S72" i="12"/>
  <c r="W71" i="12"/>
  <c r="K71" i="12"/>
  <c r="S71" i="12"/>
  <c r="M72" i="12"/>
  <c r="U72" i="12"/>
  <c r="M71" i="12"/>
  <c r="U71" i="12"/>
  <c r="G72" i="12"/>
  <c r="O72" i="12"/>
  <c r="G71" i="12"/>
  <c r="O71" i="12"/>
  <c r="I72" i="12"/>
  <c r="Q72" i="12"/>
  <c r="W72" i="12"/>
  <c r="I71" i="12"/>
  <c r="Q71" i="12"/>
  <c r="K72" i="12"/>
  <c r="X16" i="22" l="1"/>
  <c r="G16" i="24"/>
  <c r="W25" i="31"/>
  <c r="T25" i="31"/>
  <c r="S74" i="28"/>
  <c r="H74" i="28"/>
  <c r="H73" i="28"/>
  <c r="S73" i="28"/>
  <c r="X7" i="21"/>
  <c r="G7" i="23"/>
  <c r="G7" i="22"/>
  <c r="X49" i="21"/>
  <c r="G49" i="23"/>
  <c r="G49" i="22"/>
  <c r="G56" i="24"/>
  <c r="X56" i="22"/>
  <c r="V71" i="13"/>
  <c r="S71" i="13"/>
  <c r="V72" i="13"/>
  <c r="S72" i="13"/>
  <c r="S7" i="22" l="1"/>
  <c r="H7" i="22"/>
  <c r="G25" i="32"/>
  <c r="X25" i="31"/>
  <c r="S56" i="24"/>
  <c r="H56" i="24"/>
  <c r="S49" i="22"/>
  <c r="H49" i="22"/>
  <c r="S7" i="23"/>
  <c r="H7" i="23"/>
  <c r="S16" i="24"/>
  <c r="H16" i="24"/>
  <c r="W73" i="28"/>
  <c r="T73" i="28"/>
  <c r="W72" i="13"/>
  <c r="F72" i="20"/>
  <c r="F72" i="16"/>
  <c r="W71" i="13"/>
  <c r="F71" i="20"/>
  <c r="F71" i="16"/>
  <c r="S49" i="23"/>
  <c r="H49" i="23"/>
  <c r="T74" i="28"/>
  <c r="W74" i="28"/>
  <c r="X74" i="28" l="1"/>
  <c r="G74" i="29"/>
  <c r="W49" i="22"/>
  <c r="T49" i="22"/>
  <c r="S25" i="32"/>
  <c r="H25" i="32"/>
  <c r="R72" i="20"/>
  <c r="G72" i="20"/>
  <c r="R71" i="20"/>
  <c r="G71" i="20"/>
  <c r="W16" i="24"/>
  <c r="T16" i="24"/>
  <c r="R71" i="16"/>
  <c r="G71" i="16"/>
  <c r="T49" i="23"/>
  <c r="W49" i="23"/>
  <c r="X49" i="23" s="1"/>
  <c r="G72" i="16"/>
  <c r="R72" i="16"/>
  <c r="X73" i="28"/>
  <c r="G73" i="29"/>
  <c r="W7" i="23"/>
  <c r="X7" i="23" s="1"/>
  <c r="T7" i="23"/>
  <c r="W56" i="24"/>
  <c r="T56" i="24"/>
  <c r="W7" i="22"/>
  <c r="T7" i="22"/>
  <c r="V72" i="11"/>
  <c r="O72" i="11"/>
  <c r="G72" i="11"/>
  <c r="E72" i="11"/>
  <c r="V71" i="11"/>
  <c r="E71" i="11"/>
  <c r="S71" i="11" l="1"/>
  <c r="M71" i="11"/>
  <c r="X56" i="24"/>
  <c r="G56" i="26"/>
  <c r="G56" i="25"/>
  <c r="G16" i="25"/>
  <c r="X16" i="24"/>
  <c r="V72" i="20"/>
  <c r="W72" i="20" s="1"/>
  <c r="S72" i="20"/>
  <c r="X49" i="22"/>
  <c r="G49" i="24"/>
  <c r="U72" i="11"/>
  <c r="M72" i="11"/>
  <c r="V72" i="16"/>
  <c r="S72" i="16"/>
  <c r="H74" i="29"/>
  <c r="S74" i="29"/>
  <c r="H73" i="29"/>
  <c r="S73" i="29"/>
  <c r="G7" i="24"/>
  <c r="X7" i="22"/>
  <c r="V71" i="16"/>
  <c r="S71" i="16"/>
  <c r="V71" i="20"/>
  <c r="W71" i="20" s="1"/>
  <c r="S71" i="20"/>
  <c r="W25" i="32"/>
  <c r="X25" i="32" s="1"/>
  <c r="T25" i="32"/>
  <c r="U71" i="11"/>
  <c r="G71" i="11"/>
  <c r="O71" i="11"/>
  <c r="I72" i="11"/>
  <c r="Q72" i="11"/>
  <c r="W72" i="11"/>
  <c r="I71" i="11"/>
  <c r="Q71" i="11"/>
  <c r="W71" i="11"/>
  <c r="K72" i="11"/>
  <c r="S72" i="11"/>
  <c r="K71" i="11"/>
  <c r="T67" i="1"/>
  <c r="R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H7" i="24" l="1"/>
  <c r="S7" i="24"/>
  <c r="S56" i="26"/>
  <c r="H56" i="26"/>
  <c r="T73" i="29"/>
  <c r="W73" i="29"/>
  <c r="S49" i="24"/>
  <c r="H49" i="24"/>
  <c r="AB67" i="1"/>
  <c r="F70" i="17"/>
  <c r="W71" i="16"/>
  <c r="W72" i="16"/>
  <c r="F71" i="17"/>
  <c r="S16" i="25"/>
  <c r="H16" i="25"/>
  <c r="T74" i="29"/>
  <c r="W74" i="29"/>
  <c r="S56" i="25"/>
  <c r="H56" i="25"/>
  <c r="X70" i="7"/>
  <c r="X69" i="7"/>
  <c r="X68" i="7"/>
  <c r="X67" i="7"/>
  <c r="X66" i="7"/>
  <c r="X65" i="7"/>
  <c r="X64" i="7"/>
  <c r="X63" i="7"/>
  <c r="X62" i="7"/>
  <c r="X61" i="7"/>
  <c r="X60" i="7"/>
  <c r="X59" i="7"/>
  <c r="X58" i="7"/>
  <c r="X57" i="7"/>
  <c r="X56" i="7"/>
  <c r="X55" i="7"/>
  <c r="X54" i="7"/>
  <c r="X53" i="7"/>
  <c r="X52" i="7"/>
  <c r="X51" i="7"/>
  <c r="X50" i="7"/>
  <c r="X49" i="7"/>
  <c r="X48" i="7"/>
  <c r="X47" i="7"/>
  <c r="X46" i="7"/>
  <c r="X45" i="7"/>
  <c r="X44" i="7"/>
  <c r="X43" i="7"/>
  <c r="X42" i="7"/>
  <c r="X41" i="7"/>
  <c r="X40" i="7"/>
  <c r="X39" i="7"/>
  <c r="X38" i="7"/>
  <c r="X37" i="7"/>
  <c r="X36" i="7"/>
  <c r="X35" i="7"/>
  <c r="X34" i="7"/>
  <c r="X33" i="7"/>
  <c r="X32" i="7"/>
  <c r="X31" i="7"/>
  <c r="X30" i="7"/>
  <c r="X29" i="7"/>
  <c r="X28" i="7"/>
  <c r="X27" i="7"/>
  <c r="X26" i="7"/>
  <c r="X25" i="7"/>
  <c r="X24" i="7"/>
  <c r="X23" i="7"/>
  <c r="X22" i="7"/>
  <c r="X21" i="7"/>
  <c r="X20" i="7"/>
  <c r="X19" i="7"/>
  <c r="X18" i="7"/>
  <c r="X17" i="7"/>
  <c r="X16" i="7"/>
  <c r="X15" i="7"/>
  <c r="X14" i="7"/>
  <c r="X13" i="7"/>
  <c r="X12" i="7"/>
  <c r="X11" i="7"/>
  <c r="X10" i="7"/>
  <c r="X9" i="7"/>
  <c r="X8" i="7"/>
  <c r="X7" i="7"/>
  <c r="X6" i="7"/>
  <c r="X5" i="7"/>
  <c r="H71" i="7"/>
  <c r="P71" i="7"/>
  <c r="N71" i="7"/>
  <c r="L71" i="7"/>
  <c r="X71" i="7" s="1"/>
  <c r="J71" i="7"/>
  <c r="P71" i="6"/>
  <c r="N71" i="6"/>
  <c r="L71" i="6"/>
  <c r="J71" i="6"/>
  <c r="H71" i="6"/>
  <c r="X70" i="6"/>
  <c r="X69" i="6"/>
  <c r="X68" i="6"/>
  <c r="X67" i="6"/>
  <c r="X66" i="6"/>
  <c r="X65" i="6"/>
  <c r="X64" i="6"/>
  <c r="X63" i="6"/>
  <c r="X62" i="6"/>
  <c r="X61" i="6"/>
  <c r="X60" i="6"/>
  <c r="X59" i="6"/>
  <c r="X58" i="6"/>
  <c r="X57" i="6"/>
  <c r="X56" i="6"/>
  <c r="X55" i="6"/>
  <c r="X54" i="6"/>
  <c r="X53" i="6"/>
  <c r="X52" i="6"/>
  <c r="X51" i="6"/>
  <c r="X50" i="6"/>
  <c r="X49" i="6"/>
  <c r="X48" i="6"/>
  <c r="X47" i="6"/>
  <c r="X46" i="6"/>
  <c r="X45" i="6"/>
  <c r="X44" i="6"/>
  <c r="X43" i="6"/>
  <c r="X42" i="6"/>
  <c r="X41" i="6"/>
  <c r="X40" i="6"/>
  <c r="X39" i="6"/>
  <c r="X38" i="6"/>
  <c r="X37" i="6"/>
  <c r="X36" i="6"/>
  <c r="X35" i="6"/>
  <c r="X34" i="6"/>
  <c r="X33" i="6"/>
  <c r="X32" i="6"/>
  <c r="X31" i="6"/>
  <c r="X30" i="6"/>
  <c r="X29" i="6"/>
  <c r="X28" i="6"/>
  <c r="X27" i="6"/>
  <c r="X26" i="6"/>
  <c r="X25" i="6"/>
  <c r="X24" i="6"/>
  <c r="X23" i="6"/>
  <c r="X22" i="6"/>
  <c r="X21" i="6"/>
  <c r="X20" i="6"/>
  <c r="X19" i="6"/>
  <c r="X18" i="6"/>
  <c r="X17" i="6"/>
  <c r="X16" i="6"/>
  <c r="X15" i="6"/>
  <c r="X14" i="6"/>
  <c r="X13" i="6"/>
  <c r="X12" i="6"/>
  <c r="X11" i="6"/>
  <c r="X10" i="6"/>
  <c r="X9" i="6"/>
  <c r="X8" i="6"/>
  <c r="X7" i="6"/>
  <c r="X6" i="6"/>
  <c r="X5" i="6"/>
  <c r="X71" i="6" s="1"/>
  <c r="X70" i="5"/>
  <c r="X69" i="5"/>
  <c r="X68" i="5"/>
  <c r="X67" i="5"/>
  <c r="X66" i="5"/>
  <c r="X65" i="5"/>
  <c r="X64" i="5"/>
  <c r="X63" i="5"/>
  <c r="X62" i="5"/>
  <c r="X61" i="5"/>
  <c r="X60" i="5"/>
  <c r="X59" i="5"/>
  <c r="X58" i="5"/>
  <c r="X57" i="5"/>
  <c r="X56" i="5"/>
  <c r="X55" i="5"/>
  <c r="X54" i="5"/>
  <c r="X53" i="5"/>
  <c r="X52" i="5"/>
  <c r="X51" i="5"/>
  <c r="X50" i="5"/>
  <c r="X49" i="5"/>
  <c r="X48" i="5"/>
  <c r="X47" i="5"/>
  <c r="X46" i="5"/>
  <c r="X45" i="5"/>
  <c r="X44" i="5"/>
  <c r="X43" i="5"/>
  <c r="X42" i="5"/>
  <c r="X41" i="5"/>
  <c r="X40" i="5"/>
  <c r="X39" i="5"/>
  <c r="X38" i="5"/>
  <c r="X37" i="5"/>
  <c r="X36" i="5"/>
  <c r="X35" i="5"/>
  <c r="X34" i="5"/>
  <c r="X33" i="5"/>
  <c r="X32" i="5"/>
  <c r="X31" i="5"/>
  <c r="X30" i="5"/>
  <c r="X29" i="5"/>
  <c r="X28" i="5"/>
  <c r="X27" i="5"/>
  <c r="X26" i="5"/>
  <c r="X25" i="5"/>
  <c r="X24" i="5"/>
  <c r="X23" i="5"/>
  <c r="X22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X8" i="5"/>
  <c r="X7" i="5"/>
  <c r="X6" i="5"/>
  <c r="X5" i="5"/>
  <c r="X71" i="5" s="1"/>
  <c r="P71" i="5"/>
  <c r="N71" i="5"/>
  <c r="L71" i="5"/>
  <c r="J71" i="5"/>
  <c r="H71" i="5"/>
  <c r="X70" i="4"/>
  <c r="X69" i="4"/>
  <c r="X68" i="4"/>
  <c r="X67" i="4"/>
  <c r="X66" i="4"/>
  <c r="X65" i="4"/>
  <c r="X64" i="4"/>
  <c r="X63" i="4"/>
  <c r="X62" i="4"/>
  <c r="X61" i="4"/>
  <c r="X60" i="4"/>
  <c r="X59" i="4"/>
  <c r="X58" i="4"/>
  <c r="X57" i="4"/>
  <c r="X56" i="4"/>
  <c r="X55" i="4"/>
  <c r="X54" i="4"/>
  <c r="X53" i="4"/>
  <c r="X52" i="4"/>
  <c r="X51" i="4"/>
  <c r="X50" i="4"/>
  <c r="X49" i="4"/>
  <c r="X48" i="4"/>
  <c r="X47" i="4"/>
  <c r="X46" i="4"/>
  <c r="X45" i="4"/>
  <c r="X44" i="4"/>
  <c r="X43" i="4"/>
  <c r="X42" i="4"/>
  <c r="X41" i="4"/>
  <c r="X40" i="4"/>
  <c r="X39" i="4"/>
  <c r="X38" i="4"/>
  <c r="X37" i="4"/>
  <c r="X36" i="4"/>
  <c r="X35" i="4"/>
  <c r="X34" i="4"/>
  <c r="X33" i="4"/>
  <c r="X32" i="4"/>
  <c r="X31" i="4"/>
  <c r="X30" i="4"/>
  <c r="X29" i="4"/>
  <c r="X28" i="4"/>
  <c r="X27" i="4"/>
  <c r="X26" i="4"/>
  <c r="X25" i="4"/>
  <c r="X24" i="4"/>
  <c r="X23" i="4"/>
  <c r="X22" i="4"/>
  <c r="X21" i="4"/>
  <c r="X20" i="4"/>
  <c r="X19" i="4"/>
  <c r="X18" i="4"/>
  <c r="X17" i="4"/>
  <c r="X16" i="4"/>
  <c r="X15" i="4"/>
  <c r="X14" i="4"/>
  <c r="X13" i="4"/>
  <c r="X12" i="4"/>
  <c r="X11" i="4"/>
  <c r="X10" i="4"/>
  <c r="X9" i="4"/>
  <c r="X8" i="4"/>
  <c r="X7" i="4"/>
  <c r="X6" i="4"/>
  <c r="X5" i="4"/>
  <c r="X71" i="4" s="1"/>
  <c r="P71" i="4"/>
  <c r="N71" i="4"/>
  <c r="L71" i="4"/>
  <c r="J71" i="4"/>
  <c r="H71" i="4"/>
  <c r="W49" i="24" l="1"/>
  <c r="T49" i="24"/>
  <c r="W56" i="26"/>
  <c r="T56" i="26"/>
  <c r="W56" i="25"/>
  <c r="X56" i="25" s="1"/>
  <c r="T56" i="25"/>
  <c r="W16" i="25"/>
  <c r="X16" i="25" s="1"/>
  <c r="T16" i="25"/>
  <c r="R70" i="17"/>
  <c r="G70" i="17"/>
  <c r="X73" i="29"/>
  <c r="G73" i="30"/>
  <c r="W7" i="24"/>
  <c r="T7" i="24"/>
  <c r="X74" i="29"/>
  <c r="G74" i="30"/>
  <c r="R71" i="17"/>
  <c r="G71" i="17"/>
  <c r="G7" i="25" l="1"/>
  <c r="X7" i="24"/>
  <c r="H74" i="30"/>
  <c r="S74" i="30"/>
  <c r="S73" i="30"/>
  <c r="H73" i="30"/>
  <c r="G56" i="27"/>
  <c r="X56" i="26"/>
  <c r="V71" i="17"/>
  <c r="S71" i="17"/>
  <c r="V70" i="17"/>
  <c r="S70" i="17"/>
  <c r="X49" i="24"/>
  <c r="G49" i="26"/>
  <c r="G49" i="25"/>
  <c r="Q72" i="8"/>
  <c r="Q71" i="8"/>
  <c r="I72" i="8"/>
  <c r="M72" i="8" s="1"/>
  <c r="I71" i="8"/>
  <c r="M71" i="8" s="1"/>
  <c r="V72" i="8"/>
  <c r="W72" i="8" s="1"/>
  <c r="U72" i="8"/>
  <c r="E72" i="8"/>
  <c r="S72" i="8" s="1"/>
  <c r="V71" i="8"/>
  <c r="W71" i="8" s="1"/>
  <c r="E71" i="8"/>
  <c r="S71" i="8" s="1"/>
  <c r="S49" i="25" l="1"/>
  <c r="H49" i="25"/>
  <c r="S56" i="27"/>
  <c r="H56" i="27"/>
  <c r="S49" i="26"/>
  <c r="H49" i="26"/>
  <c r="U71" i="8"/>
  <c r="G72" i="8"/>
  <c r="K72" i="8"/>
  <c r="O72" i="8"/>
  <c r="T74" i="30"/>
  <c r="W74" i="30"/>
  <c r="F71" i="19"/>
  <c r="W70" i="17"/>
  <c r="G71" i="8"/>
  <c r="K71" i="8"/>
  <c r="O71" i="8"/>
  <c r="F72" i="19"/>
  <c r="W71" i="17"/>
  <c r="T73" i="30"/>
  <c r="W73" i="30"/>
  <c r="S7" i="25"/>
  <c r="H7" i="25"/>
  <c r="E70" i="13"/>
  <c r="O70" i="13" s="1"/>
  <c r="E69" i="13"/>
  <c r="O69" i="13" s="1"/>
  <c r="O68" i="13"/>
  <c r="E68" i="13"/>
  <c r="E67" i="13"/>
  <c r="O67" i="13" s="1"/>
  <c r="K66" i="13"/>
  <c r="E66" i="13"/>
  <c r="U66" i="13" s="1"/>
  <c r="U65" i="13"/>
  <c r="O65" i="13"/>
  <c r="I65" i="13"/>
  <c r="E65" i="13"/>
  <c r="M65" i="13" s="1"/>
  <c r="E64" i="13"/>
  <c r="O64" i="13" s="1"/>
  <c r="M63" i="13"/>
  <c r="E63" i="13"/>
  <c r="U63" i="13" s="1"/>
  <c r="E62" i="13"/>
  <c r="K62" i="13" s="1"/>
  <c r="M61" i="13"/>
  <c r="E61" i="13"/>
  <c r="U61" i="13" s="1"/>
  <c r="O60" i="13"/>
  <c r="E60" i="13"/>
  <c r="I59" i="13"/>
  <c r="E59" i="13"/>
  <c r="U59" i="13" s="1"/>
  <c r="E58" i="13"/>
  <c r="K58" i="13" s="1"/>
  <c r="U57" i="13"/>
  <c r="O57" i="13"/>
  <c r="M57" i="13"/>
  <c r="I57" i="13"/>
  <c r="E57" i="13"/>
  <c r="Q57" i="13" s="1"/>
  <c r="E56" i="13"/>
  <c r="O56" i="13" s="1"/>
  <c r="M55" i="13"/>
  <c r="I55" i="13"/>
  <c r="E55" i="13"/>
  <c r="U55" i="13" s="1"/>
  <c r="K54" i="13"/>
  <c r="E54" i="13"/>
  <c r="E53" i="13"/>
  <c r="O53" i="13" s="1"/>
  <c r="O52" i="13"/>
  <c r="E52" i="13"/>
  <c r="E51" i="13"/>
  <c r="U51" i="13" s="1"/>
  <c r="E50" i="13"/>
  <c r="U50" i="13" s="1"/>
  <c r="U49" i="13"/>
  <c r="O49" i="13"/>
  <c r="I49" i="13"/>
  <c r="E49" i="13"/>
  <c r="M49" i="13" s="1"/>
  <c r="E48" i="13"/>
  <c r="O48" i="13" s="1"/>
  <c r="M47" i="13"/>
  <c r="E47" i="13"/>
  <c r="U47" i="13" s="1"/>
  <c r="E46" i="13"/>
  <c r="K46" i="13" s="1"/>
  <c r="M45" i="13"/>
  <c r="E45" i="13"/>
  <c r="U45" i="13" s="1"/>
  <c r="O44" i="13"/>
  <c r="E44" i="13"/>
  <c r="I43" i="13"/>
  <c r="E43" i="13"/>
  <c r="U43" i="13" s="1"/>
  <c r="O42" i="13"/>
  <c r="E42" i="13"/>
  <c r="U41" i="13"/>
  <c r="O41" i="13"/>
  <c r="M41" i="13"/>
  <c r="I41" i="13"/>
  <c r="E41" i="13"/>
  <c r="Q41" i="13" s="1"/>
  <c r="E40" i="13"/>
  <c r="U40" i="13" s="1"/>
  <c r="M39" i="13"/>
  <c r="E39" i="13"/>
  <c r="U39" i="13" s="1"/>
  <c r="O38" i="13"/>
  <c r="E38" i="13"/>
  <c r="I37" i="13"/>
  <c r="E37" i="13"/>
  <c r="Q37" i="13" s="1"/>
  <c r="K36" i="13"/>
  <c r="E36" i="13"/>
  <c r="O36" i="13" s="1"/>
  <c r="U35" i="13"/>
  <c r="O35" i="13"/>
  <c r="I35" i="13"/>
  <c r="E35" i="13"/>
  <c r="M35" i="13" s="1"/>
  <c r="E34" i="13"/>
  <c r="O34" i="13" s="1"/>
  <c r="I33" i="13"/>
  <c r="E33" i="13"/>
  <c r="Q33" i="13" s="1"/>
  <c r="K32" i="13"/>
  <c r="E32" i="13"/>
  <c r="U31" i="13"/>
  <c r="O31" i="13"/>
  <c r="M31" i="13"/>
  <c r="I31" i="13"/>
  <c r="E31" i="13"/>
  <c r="Q31" i="13" s="1"/>
  <c r="E30" i="13"/>
  <c r="O30" i="13" s="1"/>
  <c r="I29" i="13"/>
  <c r="E29" i="13"/>
  <c r="Q29" i="13" s="1"/>
  <c r="O28" i="13"/>
  <c r="E28" i="13"/>
  <c r="K28" i="13" s="1"/>
  <c r="E27" i="13"/>
  <c r="E26" i="13"/>
  <c r="K26" i="13" s="1"/>
  <c r="Q25" i="13"/>
  <c r="I25" i="13"/>
  <c r="E25" i="13"/>
  <c r="K25" i="13" s="1"/>
  <c r="E24" i="13"/>
  <c r="O23" i="13"/>
  <c r="I23" i="13"/>
  <c r="E23" i="13"/>
  <c r="U23" i="13" s="1"/>
  <c r="O22" i="13"/>
  <c r="E22" i="13"/>
  <c r="I22" i="13" s="1"/>
  <c r="K21" i="13"/>
  <c r="E21" i="13"/>
  <c r="E20" i="13"/>
  <c r="O20" i="13" s="1"/>
  <c r="E19" i="13"/>
  <c r="I18" i="13"/>
  <c r="E18" i="13"/>
  <c r="M17" i="13"/>
  <c r="E17" i="13"/>
  <c r="O16" i="13"/>
  <c r="E16" i="13"/>
  <c r="K16" i="13" s="1"/>
  <c r="U15" i="13"/>
  <c r="O15" i="13"/>
  <c r="I15" i="13"/>
  <c r="E15" i="13"/>
  <c r="Q15" i="13" s="1"/>
  <c r="U14" i="13"/>
  <c r="E14" i="13"/>
  <c r="M14" i="13" s="1"/>
  <c r="M13" i="13"/>
  <c r="E13" i="13"/>
  <c r="I13" i="13" s="1"/>
  <c r="O12" i="13"/>
  <c r="E12" i="13"/>
  <c r="E11" i="13"/>
  <c r="M11" i="13" s="1"/>
  <c r="E10" i="13"/>
  <c r="E9" i="13"/>
  <c r="O8" i="13"/>
  <c r="E8" i="13"/>
  <c r="M8" i="13" s="1"/>
  <c r="U7" i="13"/>
  <c r="O7" i="13"/>
  <c r="I7" i="13"/>
  <c r="E7" i="13"/>
  <c r="Q7" i="13" s="1"/>
  <c r="E6" i="13"/>
  <c r="E5" i="13"/>
  <c r="M5" i="13" s="1"/>
  <c r="E70" i="12"/>
  <c r="M69" i="12"/>
  <c r="E69" i="12"/>
  <c r="O68" i="12"/>
  <c r="I68" i="12"/>
  <c r="E68" i="12"/>
  <c r="Q68" i="12" s="1"/>
  <c r="U68" i="12" s="1"/>
  <c r="I67" i="12"/>
  <c r="E67" i="12"/>
  <c r="K67" i="12" s="1"/>
  <c r="E66" i="12"/>
  <c r="K66" i="12" s="1"/>
  <c r="O65" i="12"/>
  <c r="E65" i="12"/>
  <c r="M65" i="12" s="1"/>
  <c r="Q64" i="12"/>
  <c r="G64" i="12"/>
  <c r="R64" i="12"/>
  <c r="E64" i="12"/>
  <c r="O64" i="12" s="1"/>
  <c r="E63" i="12"/>
  <c r="Q63" i="12" s="1"/>
  <c r="E62" i="12"/>
  <c r="M62" i="12" s="1"/>
  <c r="U61" i="12"/>
  <c r="M61" i="12"/>
  <c r="E61" i="12"/>
  <c r="O61" i="12" s="1"/>
  <c r="U60" i="12"/>
  <c r="O60" i="12"/>
  <c r="I60" i="12"/>
  <c r="E60" i="12"/>
  <c r="M60" i="12" s="1"/>
  <c r="E59" i="12"/>
  <c r="E58" i="12"/>
  <c r="K58" i="12" s="1"/>
  <c r="O57" i="12"/>
  <c r="E57" i="12"/>
  <c r="M57" i="12" s="1"/>
  <c r="U56" i="12"/>
  <c r="O56" i="12"/>
  <c r="I56" i="12"/>
  <c r="E56" i="12"/>
  <c r="Q55" i="12"/>
  <c r="E55" i="12"/>
  <c r="M54" i="12"/>
  <c r="E54" i="12"/>
  <c r="O53" i="12"/>
  <c r="E53" i="12"/>
  <c r="E52" i="12"/>
  <c r="E51" i="12"/>
  <c r="K50" i="12"/>
  <c r="E50" i="12"/>
  <c r="U49" i="12"/>
  <c r="M49" i="12"/>
  <c r="E49" i="12"/>
  <c r="O49" i="12" s="1"/>
  <c r="U48" i="12"/>
  <c r="O48" i="12"/>
  <c r="I48" i="12"/>
  <c r="E48" i="12"/>
  <c r="Q48" i="12" s="1"/>
  <c r="I47" i="12"/>
  <c r="E47" i="12"/>
  <c r="Q47" i="12" s="1"/>
  <c r="M46" i="12"/>
  <c r="E46" i="12"/>
  <c r="O45" i="12"/>
  <c r="E45" i="12"/>
  <c r="E44" i="12"/>
  <c r="M44" i="12" s="1"/>
  <c r="E43" i="12"/>
  <c r="K43" i="12" s="1"/>
  <c r="E42" i="12"/>
  <c r="E41" i="12"/>
  <c r="M40" i="12"/>
  <c r="E40" i="12"/>
  <c r="U40" i="12" s="1"/>
  <c r="E39" i="12"/>
  <c r="M38" i="12"/>
  <c r="I38" i="12"/>
  <c r="E38" i="12"/>
  <c r="Q38" i="12" s="1"/>
  <c r="E37" i="12"/>
  <c r="K37" i="12" s="1"/>
  <c r="U36" i="12"/>
  <c r="O36" i="12"/>
  <c r="M36" i="12"/>
  <c r="I36" i="12"/>
  <c r="E36" i="12"/>
  <c r="Q36" i="12" s="1"/>
  <c r="E35" i="12"/>
  <c r="E34" i="12"/>
  <c r="E33" i="12"/>
  <c r="U33" i="12" s="1"/>
  <c r="U32" i="12"/>
  <c r="O32" i="12"/>
  <c r="M32" i="12"/>
  <c r="I32" i="12"/>
  <c r="E32" i="12"/>
  <c r="Q32" i="12" s="1"/>
  <c r="E31" i="12"/>
  <c r="Q30" i="12"/>
  <c r="E30" i="12"/>
  <c r="E29" i="12"/>
  <c r="U29" i="12" s="1"/>
  <c r="U28" i="12"/>
  <c r="O28" i="12"/>
  <c r="M28" i="12"/>
  <c r="I28" i="12"/>
  <c r="E28" i="12"/>
  <c r="Q28" i="12" s="1"/>
  <c r="E27" i="12"/>
  <c r="Q26" i="12"/>
  <c r="E26" i="12"/>
  <c r="E25" i="12"/>
  <c r="U25" i="12" s="1"/>
  <c r="U24" i="12"/>
  <c r="O24" i="12"/>
  <c r="M24" i="12"/>
  <c r="I24" i="12"/>
  <c r="E24" i="12"/>
  <c r="Q24" i="12" s="1"/>
  <c r="U23" i="12"/>
  <c r="E23" i="12"/>
  <c r="M22" i="12"/>
  <c r="I22" i="12"/>
  <c r="E22" i="12"/>
  <c r="Q22" i="12" s="1"/>
  <c r="K21" i="12"/>
  <c r="E21" i="12"/>
  <c r="U21" i="12" s="1"/>
  <c r="O20" i="12"/>
  <c r="E20" i="12"/>
  <c r="M20" i="12" s="1"/>
  <c r="U19" i="12"/>
  <c r="E19" i="12"/>
  <c r="Q18" i="12"/>
  <c r="E18" i="12"/>
  <c r="E17" i="12"/>
  <c r="U16" i="12"/>
  <c r="E16" i="12"/>
  <c r="E15" i="12"/>
  <c r="I15" i="12" s="1"/>
  <c r="Q14" i="12"/>
  <c r="E14" i="12"/>
  <c r="I14" i="12" s="1"/>
  <c r="E13" i="12"/>
  <c r="I13" i="12" s="1"/>
  <c r="E12" i="12"/>
  <c r="O11" i="12"/>
  <c r="E11" i="12"/>
  <c r="O10" i="12"/>
  <c r="E10" i="12"/>
  <c r="I10" i="12" s="1"/>
  <c r="E9" i="12"/>
  <c r="Q8" i="12"/>
  <c r="M8" i="12"/>
  <c r="E8" i="12"/>
  <c r="I8" i="12" s="1"/>
  <c r="O7" i="12"/>
  <c r="E7" i="12"/>
  <c r="U6" i="12"/>
  <c r="Q6" i="12"/>
  <c r="M6" i="12"/>
  <c r="I6" i="12"/>
  <c r="E6" i="12"/>
  <c r="O6" i="12" s="1"/>
  <c r="E5" i="12"/>
  <c r="Q5" i="12" s="1"/>
  <c r="E70" i="11"/>
  <c r="Q69" i="11"/>
  <c r="U69" i="11" s="1"/>
  <c r="O69" i="11"/>
  <c r="I69" i="11"/>
  <c r="E69" i="11"/>
  <c r="M69" i="11" s="1"/>
  <c r="O68" i="11"/>
  <c r="E68" i="11"/>
  <c r="M67" i="11"/>
  <c r="I67" i="11"/>
  <c r="E67" i="11"/>
  <c r="O67" i="11" s="1"/>
  <c r="E66" i="11"/>
  <c r="K66" i="11" s="1"/>
  <c r="U65" i="11"/>
  <c r="O65" i="11"/>
  <c r="M65" i="11"/>
  <c r="I65" i="11"/>
  <c r="E65" i="11"/>
  <c r="Q65" i="11" s="1"/>
  <c r="O64" i="11"/>
  <c r="E64" i="11"/>
  <c r="M63" i="11"/>
  <c r="E63" i="11"/>
  <c r="U63" i="11" s="1"/>
  <c r="E62" i="11"/>
  <c r="O61" i="11"/>
  <c r="M61" i="11"/>
  <c r="E61" i="11"/>
  <c r="U61" i="11" s="1"/>
  <c r="E60" i="11"/>
  <c r="O60" i="11" s="1"/>
  <c r="E59" i="11"/>
  <c r="Q59" i="11" s="1"/>
  <c r="K58" i="11"/>
  <c r="E58" i="11"/>
  <c r="U58" i="11" s="1"/>
  <c r="O57" i="11"/>
  <c r="E57" i="11"/>
  <c r="M57" i="11" s="1"/>
  <c r="U56" i="11"/>
  <c r="E56" i="11"/>
  <c r="M55" i="11"/>
  <c r="I55" i="11"/>
  <c r="E55" i="11"/>
  <c r="U55" i="11" s="1"/>
  <c r="K54" i="11"/>
  <c r="E54" i="11"/>
  <c r="Q53" i="11"/>
  <c r="E53" i="11"/>
  <c r="O52" i="11"/>
  <c r="E52" i="11"/>
  <c r="U52" i="11" s="1"/>
  <c r="M51" i="11"/>
  <c r="I51" i="11"/>
  <c r="E51" i="11"/>
  <c r="U51" i="11" s="1"/>
  <c r="E50" i="11"/>
  <c r="K50" i="11" s="1"/>
  <c r="U49" i="11"/>
  <c r="O49" i="11"/>
  <c r="M49" i="11"/>
  <c r="I49" i="11"/>
  <c r="E49" i="11"/>
  <c r="Q49" i="11" s="1"/>
  <c r="O48" i="11"/>
  <c r="E48" i="11"/>
  <c r="M47" i="11"/>
  <c r="E47" i="11"/>
  <c r="U47" i="11" s="1"/>
  <c r="U46" i="11"/>
  <c r="E46" i="11"/>
  <c r="K46" i="11" s="1"/>
  <c r="O45" i="11"/>
  <c r="M45" i="11"/>
  <c r="E45" i="11"/>
  <c r="U45" i="11" s="1"/>
  <c r="E44" i="11"/>
  <c r="U44" i="11" s="1"/>
  <c r="Q43" i="11"/>
  <c r="E43" i="11"/>
  <c r="K42" i="11"/>
  <c r="E42" i="11"/>
  <c r="U42" i="11" s="1"/>
  <c r="O41" i="11"/>
  <c r="E41" i="11"/>
  <c r="E40" i="11"/>
  <c r="Q40" i="11" s="1"/>
  <c r="M39" i="11"/>
  <c r="I39" i="11"/>
  <c r="E39" i="11"/>
  <c r="Q39" i="11" s="1"/>
  <c r="E38" i="11"/>
  <c r="U37" i="11"/>
  <c r="O37" i="11"/>
  <c r="M37" i="11"/>
  <c r="I37" i="11"/>
  <c r="E37" i="11"/>
  <c r="Q37" i="11" s="1"/>
  <c r="E36" i="11"/>
  <c r="O36" i="11" s="1"/>
  <c r="Q35" i="11"/>
  <c r="E35" i="11"/>
  <c r="K34" i="11"/>
  <c r="E34" i="11"/>
  <c r="U34" i="11" s="1"/>
  <c r="E33" i="11"/>
  <c r="Q33" i="11" s="1"/>
  <c r="E32" i="11"/>
  <c r="O32" i="11" s="1"/>
  <c r="M31" i="11"/>
  <c r="I31" i="11"/>
  <c r="E31" i="11"/>
  <c r="Q31" i="11" s="1"/>
  <c r="E30" i="11"/>
  <c r="U30" i="11" s="1"/>
  <c r="U29" i="11"/>
  <c r="O29" i="11"/>
  <c r="M29" i="11"/>
  <c r="I29" i="11"/>
  <c r="E29" i="11"/>
  <c r="Q29" i="11" s="1"/>
  <c r="E28" i="11"/>
  <c r="M27" i="11"/>
  <c r="I27" i="11"/>
  <c r="E27" i="11"/>
  <c r="Q27" i="11" s="1"/>
  <c r="E26" i="11"/>
  <c r="Q25" i="11"/>
  <c r="E25" i="11"/>
  <c r="M25" i="11" s="1"/>
  <c r="E24" i="11"/>
  <c r="I24" i="11" s="1"/>
  <c r="K23" i="11"/>
  <c r="I23" i="11"/>
  <c r="E23" i="11"/>
  <c r="Q23" i="11" s="1"/>
  <c r="O22" i="11"/>
  <c r="K22" i="11"/>
  <c r="E22" i="11"/>
  <c r="I21" i="11"/>
  <c r="E21" i="11"/>
  <c r="M21" i="11" s="1"/>
  <c r="E20" i="11"/>
  <c r="M19" i="11"/>
  <c r="E19" i="11"/>
  <c r="I19" i="11" s="1"/>
  <c r="E18" i="11"/>
  <c r="E17" i="11"/>
  <c r="M17" i="11" s="1"/>
  <c r="E16" i="11"/>
  <c r="Q16" i="11" s="1"/>
  <c r="E15" i="11"/>
  <c r="Q15" i="11" s="1"/>
  <c r="E14" i="11"/>
  <c r="Q14" i="11" s="1"/>
  <c r="K13" i="11"/>
  <c r="E13" i="11"/>
  <c r="I13" i="11" s="1"/>
  <c r="E12" i="11"/>
  <c r="U11" i="11"/>
  <c r="I11" i="11"/>
  <c r="E11" i="11"/>
  <c r="M11" i="11" s="1"/>
  <c r="K10" i="11"/>
  <c r="E10" i="11"/>
  <c r="U10" i="11" s="1"/>
  <c r="M9" i="11"/>
  <c r="I9" i="11"/>
  <c r="E9" i="11"/>
  <c r="Q9" i="11" s="1"/>
  <c r="E8" i="11"/>
  <c r="O7" i="11"/>
  <c r="M7" i="11"/>
  <c r="E7" i="11"/>
  <c r="Q7" i="11" s="1"/>
  <c r="E6" i="11"/>
  <c r="E5" i="11"/>
  <c r="I5" i="11" s="1"/>
  <c r="E70" i="8"/>
  <c r="E69" i="8"/>
  <c r="E68" i="8"/>
  <c r="M67" i="8"/>
  <c r="E67" i="8"/>
  <c r="O66" i="8"/>
  <c r="E66" i="8"/>
  <c r="U66" i="8" s="1"/>
  <c r="U65" i="8"/>
  <c r="E65" i="8"/>
  <c r="O65" i="8" s="1"/>
  <c r="U64" i="8"/>
  <c r="E64" i="8"/>
  <c r="E63" i="8"/>
  <c r="Q63" i="8" s="1"/>
  <c r="E62" i="8"/>
  <c r="I62" i="8" s="1"/>
  <c r="M61" i="8"/>
  <c r="E61" i="8"/>
  <c r="M60" i="8"/>
  <c r="E60" i="8"/>
  <c r="O60" i="8" s="1"/>
  <c r="U59" i="8"/>
  <c r="Q59" i="8"/>
  <c r="I59" i="8"/>
  <c r="E59" i="8"/>
  <c r="M59" i="8" s="1"/>
  <c r="K58" i="8"/>
  <c r="E58" i="8"/>
  <c r="I58" i="8" s="1"/>
  <c r="E57" i="8"/>
  <c r="K57" i="8" s="1"/>
  <c r="M56" i="8"/>
  <c r="E56" i="8"/>
  <c r="Q55" i="8"/>
  <c r="E55" i="8"/>
  <c r="U55" i="8" s="1"/>
  <c r="I54" i="8"/>
  <c r="E54" i="8"/>
  <c r="O54" i="8" s="1"/>
  <c r="I53" i="8"/>
  <c r="E53" i="8"/>
  <c r="K53" i="8" s="1"/>
  <c r="E52" i="8"/>
  <c r="O52" i="8" s="1"/>
  <c r="O51" i="8"/>
  <c r="M51" i="8"/>
  <c r="E51" i="8"/>
  <c r="Q51" i="8" s="1"/>
  <c r="E50" i="8"/>
  <c r="K50" i="8" s="1"/>
  <c r="E49" i="8"/>
  <c r="I49" i="8" s="1"/>
  <c r="E48" i="8"/>
  <c r="M48" i="8" s="1"/>
  <c r="Q47" i="8"/>
  <c r="E47" i="8"/>
  <c r="U47" i="8" s="1"/>
  <c r="O46" i="8"/>
  <c r="I46" i="8"/>
  <c r="E46" i="8"/>
  <c r="Q46" i="8" s="1"/>
  <c r="Q45" i="8"/>
  <c r="K45" i="8"/>
  <c r="E45" i="8"/>
  <c r="I45" i="8" s="1"/>
  <c r="K44" i="8"/>
  <c r="E44" i="8"/>
  <c r="O44" i="8" s="1"/>
  <c r="O43" i="8"/>
  <c r="M43" i="8"/>
  <c r="I43" i="8"/>
  <c r="E43" i="8"/>
  <c r="Q43" i="8" s="1"/>
  <c r="U42" i="8"/>
  <c r="E42" i="8"/>
  <c r="E41" i="8"/>
  <c r="M41" i="8" s="1"/>
  <c r="E40" i="8"/>
  <c r="U40" i="8" s="1"/>
  <c r="M39" i="8"/>
  <c r="I39" i="8"/>
  <c r="E39" i="8"/>
  <c r="O39" i="8" s="1"/>
  <c r="E38" i="8"/>
  <c r="E37" i="8"/>
  <c r="I37" i="8" s="1"/>
  <c r="E36" i="8"/>
  <c r="U36" i="8" s="1"/>
  <c r="M35" i="8"/>
  <c r="E35" i="8"/>
  <c r="O35" i="8" s="1"/>
  <c r="E34" i="8"/>
  <c r="E33" i="8"/>
  <c r="I33" i="8" s="1"/>
  <c r="E32" i="8"/>
  <c r="U32" i="8" s="1"/>
  <c r="M31" i="8"/>
  <c r="E31" i="8"/>
  <c r="O31" i="8" s="1"/>
  <c r="O30" i="8"/>
  <c r="E30" i="8"/>
  <c r="I29" i="8"/>
  <c r="E29" i="8"/>
  <c r="M29" i="8" s="1"/>
  <c r="E28" i="8"/>
  <c r="U28" i="8" s="1"/>
  <c r="M27" i="8"/>
  <c r="E27" i="8"/>
  <c r="O27" i="8" s="1"/>
  <c r="E26" i="8"/>
  <c r="E25" i="8"/>
  <c r="I25" i="8" s="1"/>
  <c r="E24" i="8"/>
  <c r="U24" i="8" s="1"/>
  <c r="U23" i="8"/>
  <c r="I23" i="8"/>
  <c r="E23" i="8"/>
  <c r="M23" i="8" s="1"/>
  <c r="E22" i="8"/>
  <c r="Q21" i="8"/>
  <c r="E21" i="8"/>
  <c r="M21" i="8" s="1"/>
  <c r="K20" i="8"/>
  <c r="E20" i="8"/>
  <c r="U20" i="8" s="1"/>
  <c r="E19" i="8"/>
  <c r="U19" i="8" s="1"/>
  <c r="E18" i="8"/>
  <c r="E17" i="8"/>
  <c r="E16" i="8"/>
  <c r="Q15" i="8"/>
  <c r="E15" i="8"/>
  <c r="U15" i="8" s="1"/>
  <c r="I14" i="8"/>
  <c r="E14" i="8"/>
  <c r="O14" i="8" s="1"/>
  <c r="E13" i="8"/>
  <c r="K13" i="8" s="1"/>
  <c r="E12" i="8"/>
  <c r="I12" i="8" s="1"/>
  <c r="E11" i="8"/>
  <c r="O11" i="8" s="1"/>
  <c r="M10" i="8"/>
  <c r="E10" i="8"/>
  <c r="O10" i="8" s="1"/>
  <c r="Q9" i="8"/>
  <c r="E9" i="8"/>
  <c r="I8" i="8"/>
  <c r="E8" i="8"/>
  <c r="M8" i="8" s="1"/>
  <c r="E7" i="8"/>
  <c r="M6" i="8"/>
  <c r="E6" i="8"/>
  <c r="O6" i="8" s="1"/>
  <c r="E5" i="8"/>
  <c r="Q5" i="8" s="1"/>
  <c r="O5" i="8" l="1"/>
  <c r="Q6" i="8"/>
  <c r="Q8" i="8"/>
  <c r="Q10" i="8"/>
  <c r="K11" i="8"/>
  <c r="K12" i="8"/>
  <c r="Q13" i="8"/>
  <c r="M15" i="8"/>
  <c r="M19" i="8"/>
  <c r="I21" i="8"/>
  <c r="O23" i="8"/>
  <c r="K24" i="8"/>
  <c r="M25" i="8"/>
  <c r="Q27" i="8"/>
  <c r="Q29" i="8"/>
  <c r="Q31" i="8"/>
  <c r="M33" i="8"/>
  <c r="Q35" i="8"/>
  <c r="M37" i="8"/>
  <c r="Q39" i="8"/>
  <c r="U43" i="8"/>
  <c r="M47" i="8"/>
  <c r="I51" i="8"/>
  <c r="U51" i="8"/>
  <c r="Q53" i="8"/>
  <c r="M55" i="8"/>
  <c r="O59" i="8"/>
  <c r="U60" i="8"/>
  <c r="I63" i="8"/>
  <c r="U63" i="8"/>
  <c r="M64" i="8"/>
  <c r="M5" i="11"/>
  <c r="K6" i="11"/>
  <c r="I7" i="11"/>
  <c r="U7" i="11"/>
  <c r="O11" i="11"/>
  <c r="M14" i="11"/>
  <c r="I17" i="11"/>
  <c r="U17" i="11"/>
  <c r="Q21" i="11"/>
  <c r="O24" i="11"/>
  <c r="M35" i="11"/>
  <c r="I35" i="11"/>
  <c r="O53" i="11"/>
  <c r="M53" i="11"/>
  <c r="U53" i="11"/>
  <c r="I53" i="11"/>
  <c r="O56" i="11"/>
  <c r="M18" i="12"/>
  <c r="I18" i="12"/>
  <c r="M26" i="12"/>
  <c r="I26" i="12"/>
  <c r="M42" i="12"/>
  <c r="I42" i="12"/>
  <c r="M53" i="12"/>
  <c r="U53" i="12"/>
  <c r="I6" i="8"/>
  <c r="U6" i="8"/>
  <c r="I10" i="8"/>
  <c r="U10" i="8"/>
  <c r="Q12" i="8"/>
  <c r="O15" i="8"/>
  <c r="O19" i="8"/>
  <c r="Q23" i="8"/>
  <c r="Q25" i="8"/>
  <c r="I27" i="8"/>
  <c r="U27" i="8"/>
  <c r="I31" i="8"/>
  <c r="U31" i="8"/>
  <c r="Q33" i="8"/>
  <c r="I35" i="8"/>
  <c r="U35" i="8"/>
  <c r="Q37" i="8"/>
  <c r="U39" i="8"/>
  <c r="O47" i="8"/>
  <c r="O55" i="8"/>
  <c r="M63" i="8"/>
  <c r="O64" i="8"/>
  <c r="Q5" i="11"/>
  <c r="Q11" i="11"/>
  <c r="U13" i="11"/>
  <c r="K16" i="11"/>
  <c r="I16" i="11"/>
  <c r="M18" i="11"/>
  <c r="U21" i="11"/>
  <c r="U25" i="11"/>
  <c r="I25" i="11"/>
  <c r="O25" i="11"/>
  <c r="K38" i="11"/>
  <c r="M41" i="11"/>
  <c r="U41" i="11"/>
  <c r="I41" i="11"/>
  <c r="I16" i="12"/>
  <c r="Q16" i="12"/>
  <c r="O16" i="12"/>
  <c r="M16" i="12"/>
  <c r="M30" i="12"/>
  <c r="I30" i="12"/>
  <c r="M45" i="12"/>
  <c r="U45" i="12"/>
  <c r="K51" i="12"/>
  <c r="I51" i="12"/>
  <c r="I12" i="13"/>
  <c r="M12" i="13"/>
  <c r="U12" i="13"/>
  <c r="M24" i="13"/>
  <c r="U24" i="13"/>
  <c r="U5" i="8"/>
  <c r="Q19" i="8"/>
  <c r="O63" i="8"/>
  <c r="U6" i="11"/>
  <c r="K14" i="11"/>
  <c r="I14" i="11"/>
  <c r="K15" i="11"/>
  <c r="I15" i="11"/>
  <c r="K17" i="11"/>
  <c r="Q17" i="11"/>
  <c r="O17" i="11"/>
  <c r="K30" i="11"/>
  <c r="M33" i="11"/>
  <c r="U33" i="11"/>
  <c r="I33" i="11"/>
  <c r="O44" i="11"/>
  <c r="K62" i="11"/>
  <c r="M34" i="12"/>
  <c r="I34" i="12"/>
  <c r="U52" i="12"/>
  <c r="I52" i="12"/>
  <c r="Q52" i="12"/>
  <c r="O52" i="12"/>
  <c r="I59" i="12"/>
  <c r="K59" i="12"/>
  <c r="K10" i="13"/>
  <c r="I10" i="13"/>
  <c r="U19" i="13"/>
  <c r="I19" i="13"/>
  <c r="Q19" i="13"/>
  <c r="O19" i="13"/>
  <c r="O27" i="13"/>
  <c r="M27" i="13"/>
  <c r="U27" i="13"/>
  <c r="I27" i="13"/>
  <c r="I15" i="8"/>
  <c r="I19" i="8"/>
  <c r="K28" i="8"/>
  <c r="K32" i="8"/>
  <c r="K36" i="8"/>
  <c r="K40" i="8"/>
  <c r="I47" i="8"/>
  <c r="K52" i="8"/>
  <c r="I55" i="8"/>
  <c r="K12" i="11"/>
  <c r="I12" i="11"/>
  <c r="O13" i="11"/>
  <c r="O16" i="11"/>
  <c r="U18" i="11"/>
  <c r="U20" i="11"/>
  <c r="K20" i="11"/>
  <c r="O21" i="11"/>
  <c r="O33" i="11"/>
  <c r="U38" i="11"/>
  <c r="Q41" i="11"/>
  <c r="U43" i="11"/>
  <c r="M43" i="11"/>
  <c r="I43" i="11"/>
  <c r="U59" i="11"/>
  <c r="M59" i="11"/>
  <c r="I59" i="11"/>
  <c r="U62" i="11"/>
  <c r="I12" i="12"/>
  <c r="Q34" i="12"/>
  <c r="U41" i="12"/>
  <c r="M41" i="12"/>
  <c r="U44" i="12"/>
  <c r="I44" i="12"/>
  <c r="Q44" i="12"/>
  <c r="O44" i="12"/>
  <c r="M52" i="12"/>
  <c r="U11" i="13"/>
  <c r="I11" i="13"/>
  <c r="Q11" i="13"/>
  <c r="O11" i="13"/>
  <c r="M19" i="13"/>
  <c r="Q27" i="13"/>
  <c r="U46" i="13"/>
  <c r="Q51" i="13"/>
  <c r="Q53" i="13"/>
  <c r="U62" i="13"/>
  <c r="Q67" i="13"/>
  <c r="U67" i="13" s="1"/>
  <c r="Q69" i="13"/>
  <c r="U69" i="13" s="1"/>
  <c r="X74" i="30"/>
  <c r="G74" i="31"/>
  <c r="Q47" i="11"/>
  <c r="U50" i="11"/>
  <c r="Q57" i="11"/>
  <c r="U60" i="11"/>
  <c r="Q63" i="11"/>
  <c r="U66" i="11"/>
  <c r="Q10" i="12"/>
  <c r="U17" i="12"/>
  <c r="I17" i="12"/>
  <c r="Q20" i="12"/>
  <c r="U37" i="12"/>
  <c r="O40" i="12"/>
  <c r="M48" i="12"/>
  <c r="M56" i="12"/>
  <c r="U57" i="12"/>
  <c r="Q60" i="12"/>
  <c r="I64" i="12"/>
  <c r="U64" i="12"/>
  <c r="U65" i="12"/>
  <c r="M68" i="12"/>
  <c r="O69" i="12"/>
  <c r="M7" i="13"/>
  <c r="U8" i="13"/>
  <c r="O13" i="13"/>
  <c r="M15" i="13"/>
  <c r="O18" i="13"/>
  <c r="Q22" i="13"/>
  <c r="Q23" i="13"/>
  <c r="M29" i="13"/>
  <c r="M33" i="13"/>
  <c r="Q35" i="13"/>
  <c r="M37" i="13"/>
  <c r="O39" i="13"/>
  <c r="M43" i="13"/>
  <c r="O45" i="13"/>
  <c r="Q47" i="13"/>
  <c r="Q49" i="13"/>
  <c r="K50" i="13"/>
  <c r="I53" i="13"/>
  <c r="U53" i="13"/>
  <c r="U58" i="13"/>
  <c r="M59" i="13"/>
  <c r="O61" i="13"/>
  <c r="Q63" i="13"/>
  <c r="Q65" i="13"/>
  <c r="I69" i="13"/>
  <c r="W56" i="27"/>
  <c r="T56" i="27"/>
  <c r="Q45" i="11"/>
  <c r="U48" i="11"/>
  <c r="Q51" i="11"/>
  <c r="U54" i="11"/>
  <c r="I57" i="11"/>
  <c r="U57" i="11"/>
  <c r="Q61" i="11"/>
  <c r="U64" i="11"/>
  <c r="Q67" i="11"/>
  <c r="U67" i="11" s="1"/>
  <c r="U7" i="12"/>
  <c r="U10" i="12"/>
  <c r="O15" i="12"/>
  <c r="K17" i="12"/>
  <c r="I20" i="12"/>
  <c r="U20" i="12"/>
  <c r="K25" i="12"/>
  <c r="K29" i="12"/>
  <c r="K33" i="12"/>
  <c r="Q40" i="12"/>
  <c r="M64" i="12"/>
  <c r="U13" i="13"/>
  <c r="Q18" i="13"/>
  <c r="Q39" i="13"/>
  <c r="K40" i="13"/>
  <c r="Q43" i="13"/>
  <c r="Q45" i="13"/>
  <c r="I51" i="13"/>
  <c r="M53" i="13"/>
  <c r="U54" i="13"/>
  <c r="Q59" i="13"/>
  <c r="Q61" i="13"/>
  <c r="I67" i="13"/>
  <c r="M69" i="13"/>
  <c r="W7" i="25"/>
  <c r="X7" i="25" s="1"/>
  <c r="T7" i="25"/>
  <c r="R72" i="19"/>
  <c r="G72" i="19"/>
  <c r="I45" i="11"/>
  <c r="I47" i="11"/>
  <c r="Q55" i="11"/>
  <c r="I61" i="11"/>
  <c r="I63" i="11"/>
  <c r="O70" i="11"/>
  <c r="M70" i="11"/>
  <c r="Q9" i="12"/>
  <c r="I9" i="12"/>
  <c r="M10" i="12"/>
  <c r="Q11" i="12"/>
  <c r="I11" i="12"/>
  <c r="U11" i="12"/>
  <c r="K14" i="12"/>
  <c r="I40" i="12"/>
  <c r="Q56" i="12"/>
  <c r="S64" i="12"/>
  <c r="K14" i="13"/>
  <c r="I14" i="13"/>
  <c r="M23" i="13"/>
  <c r="I39" i="13"/>
  <c r="K42" i="13"/>
  <c r="I45" i="13"/>
  <c r="I47" i="13"/>
  <c r="M51" i="13"/>
  <c r="Q55" i="13"/>
  <c r="I61" i="13"/>
  <c r="I63" i="13"/>
  <c r="M67" i="13"/>
  <c r="X73" i="30"/>
  <c r="G73" i="31"/>
  <c r="R71" i="19"/>
  <c r="G71" i="19"/>
  <c r="W49" i="26"/>
  <c r="T49" i="26"/>
  <c r="T49" i="25"/>
  <c r="W49" i="25"/>
  <c r="X49" i="25" s="1"/>
  <c r="V64" i="12"/>
  <c r="U6" i="13"/>
  <c r="O6" i="13"/>
  <c r="M6" i="13"/>
  <c r="Q6" i="13"/>
  <c r="Q9" i="13"/>
  <c r="I9" i="13"/>
  <c r="U9" i="13"/>
  <c r="O9" i="13"/>
  <c r="I6" i="13"/>
  <c r="K9" i="13"/>
  <c r="U17" i="13"/>
  <c r="O17" i="13"/>
  <c r="K17" i="13"/>
  <c r="I17" i="13"/>
  <c r="K5" i="13"/>
  <c r="K6" i="13"/>
  <c r="M9" i="13"/>
  <c r="U10" i="13"/>
  <c r="O10" i="13"/>
  <c r="M10" i="13"/>
  <c r="Q10" i="13"/>
  <c r="K13" i="13"/>
  <c r="Q13" i="13"/>
  <c r="U21" i="13"/>
  <c r="O21" i="13"/>
  <c r="I21" i="13"/>
  <c r="M21" i="13"/>
  <c r="Q21" i="13"/>
  <c r="M26" i="13"/>
  <c r="I26" i="13"/>
  <c r="Q26" i="13"/>
  <c r="O26" i="13"/>
  <c r="U26" i="13"/>
  <c r="Q38" i="13"/>
  <c r="I38" i="13"/>
  <c r="M38" i="13"/>
  <c r="K38" i="13"/>
  <c r="U38" i="13"/>
  <c r="Q34" i="13"/>
  <c r="I34" i="13"/>
  <c r="M34" i="13"/>
  <c r="K34" i="13"/>
  <c r="U34" i="13"/>
  <c r="Q5" i="13"/>
  <c r="I5" i="13"/>
  <c r="U5" i="13"/>
  <c r="O5" i="13"/>
  <c r="Q14" i="13"/>
  <c r="O14" i="13"/>
  <c r="Q17" i="13"/>
  <c r="Q24" i="13"/>
  <c r="I24" i="13"/>
  <c r="K24" i="13"/>
  <c r="O24" i="13"/>
  <c r="Q30" i="13"/>
  <c r="I30" i="13"/>
  <c r="M30" i="13"/>
  <c r="K30" i="13"/>
  <c r="U30" i="13"/>
  <c r="M28" i="13"/>
  <c r="Q28" i="13"/>
  <c r="I28" i="13"/>
  <c r="M32" i="13"/>
  <c r="Q32" i="13"/>
  <c r="I32" i="13"/>
  <c r="O32" i="13"/>
  <c r="Q40" i="13"/>
  <c r="M44" i="13"/>
  <c r="Q44" i="13"/>
  <c r="I44" i="13"/>
  <c r="K44" i="13"/>
  <c r="M48" i="13"/>
  <c r="Q48" i="13"/>
  <c r="I48" i="13"/>
  <c r="K48" i="13"/>
  <c r="M52" i="13"/>
  <c r="Q52" i="13"/>
  <c r="I52" i="13"/>
  <c r="K52" i="13"/>
  <c r="M56" i="13"/>
  <c r="Q56" i="13"/>
  <c r="I56" i="13"/>
  <c r="K56" i="13"/>
  <c r="M60" i="13"/>
  <c r="Q60" i="13"/>
  <c r="I60" i="13"/>
  <c r="K60" i="13"/>
  <c r="M64" i="13"/>
  <c r="Q64" i="13"/>
  <c r="I64" i="13"/>
  <c r="K64" i="13"/>
  <c r="Q68" i="13"/>
  <c r="U68" i="13" s="1"/>
  <c r="I68" i="13"/>
  <c r="K68" i="13"/>
  <c r="K7" i="13"/>
  <c r="I8" i="13"/>
  <c r="Q8" i="13"/>
  <c r="K11" i="13"/>
  <c r="Q12" i="13"/>
  <c r="Q16" i="13"/>
  <c r="I16" i="13"/>
  <c r="M16" i="13"/>
  <c r="U16" i="13"/>
  <c r="M18" i="13"/>
  <c r="K18" i="13"/>
  <c r="U18" i="13"/>
  <c r="K20" i="13"/>
  <c r="U25" i="13"/>
  <c r="O25" i="13"/>
  <c r="M25" i="13"/>
  <c r="U44" i="13"/>
  <c r="U48" i="13"/>
  <c r="U52" i="13"/>
  <c r="U56" i="13"/>
  <c r="U60" i="13"/>
  <c r="U64" i="13"/>
  <c r="Q70" i="13"/>
  <c r="U70" i="13" s="1"/>
  <c r="I70" i="13"/>
  <c r="M70" i="13" s="1"/>
  <c r="K70" i="13"/>
  <c r="M36" i="13"/>
  <c r="Q36" i="13"/>
  <c r="I36" i="13"/>
  <c r="M40" i="13"/>
  <c r="O40" i="13"/>
  <c r="I40" i="13"/>
  <c r="K8" i="13"/>
  <c r="K12" i="13"/>
  <c r="Q20" i="13"/>
  <c r="I20" i="13"/>
  <c r="M20" i="13"/>
  <c r="U20" i="13"/>
  <c r="M22" i="13"/>
  <c r="K22" i="13"/>
  <c r="U22" i="13"/>
  <c r="U28" i="13"/>
  <c r="U32" i="13"/>
  <c r="U36" i="13"/>
  <c r="K15" i="13"/>
  <c r="K19" i="13"/>
  <c r="K23" i="13"/>
  <c r="K27" i="13"/>
  <c r="O29" i="13"/>
  <c r="U29" i="13"/>
  <c r="K31" i="13"/>
  <c r="O33" i="13"/>
  <c r="U33" i="13"/>
  <c r="K35" i="13"/>
  <c r="O37" i="13"/>
  <c r="U37" i="13"/>
  <c r="K39" i="13"/>
  <c r="Q46" i="13"/>
  <c r="I46" i="13"/>
  <c r="M46" i="13"/>
  <c r="O46" i="13"/>
  <c r="Q50" i="13"/>
  <c r="I50" i="13"/>
  <c r="M50" i="13"/>
  <c r="O50" i="13"/>
  <c r="Q54" i="13"/>
  <c r="I54" i="13"/>
  <c r="M54" i="13"/>
  <c r="O54" i="13"/>
  <c r="Q58" i="13"/>
  <c r="I58" i="13"/>
  <c r="M58" i="13"/>
  <c r="O58" i="13"/>
  <c r="Q62" i="13"/>
  <c r="I62" i="13"/>
  <c r="M62" i="13"/>
  <c r="O62" i="13"/>
  <c r="Q66" i="13"/>
  <c r="I66" i="13"/>
  <c r="M66" i="13"/>
  <c r="O66" i="13"/>
  <c r="K29" i="13"/>
  <c r="K33" i="13"/>
  <c r="K37" i="13"/>
  <c r="Q42" i="13"/>
  <c r="I42" i="13"/>
  <c r="M42" i="13"/>
  <c r="U42" i="13"/>
  <c r="K43" i="13"/>
  <c r="K47" i="13"/>
  <c r="K51" i="13"/>
  <c r="K55" i="13"/>
  <c r="K59" i="13"/>
  <c r="K63" i="13"/>
  <c r="K67" i="13"/>
  <c r="K41" i="13"/>
  <c r="O43" i="13"/>
  <c r="K45" i="13"/>
  <c r="O47" i="13"/>
  <c r="K49" i="13"/>
  <c r="O51" i="13"/>
  <c r="K53" i="13"/>
  <c r="O55" i="13"/>
  <c r="K57" i="13"/>
  <c r="O59" i="13"/>
  <c r="K61" i="13"/>
  <c r="O63" i="13"/>
  <c r="K65" i="13"/>
  <c r="K69" i="13"/>
  <c r="K5" i="12"/>
  <c r="K9" i="12"/>
  <c r="Q13" i="12"/>
  <c r="O13" i="12"/>
  <c r="U27" i="12"/>
  <c r="U31" i="12"/>
  <c r="U35" i="12"/>
  <c r="U39" i="12"/>
  <c r="Q50" i="12"/>
  <c r="I50" i="12"/>
  <c r="U50" i="12"/>
  <c r="O50" i="12"/>
  <c r="M50" i="12"/>
  <c r="I63" i="12"/>
  <c r="M5" i="12"/>
  <c r="K6" i="12"/>
  <c r="I7" i="12"/>
  <c r="Q7" i="12"/>
  <c r="O8" i="12"/>
  <c r="U8" i="12"/>
  <c r="M9" i="12"/>
  <c r="K10" i="12"/>
  <c r="K12" i="12"/>
  <c r="U14" i="12"/>
  <c r="O14" i="12"/>
  <c r="M14" i="12"/>
  <c r="Q15" i="12"/>
  <c r="K19" i="12"/>
  <c r="K23" i="12"/>
  <c r="K27" i="12"/>
  <c r="K31" i="12"/>
  <c r="K35" i="12"/>
  <c r="K39" i="12"/>
  <c r="Q41" i="12"/>
  <c r="I41" i="12"/>
  <c r="K41" i="12"/>
  <c r="O41" i="12"/>
  <c r="M43" i="12"/>
  <c r="I43" i="12"/>
  <c r="O43" i="12"/>
  <c r="Q43" i="12"/>
  <c r="U55" i="12"/>
  <c r="O55" i="12"/>
  <c r="M55" i="12"/>
  <c r="K55" i="12"/>
  <c r="O5" i="12"/>
  <c r="U5" i="12"/>
  <c r="K7" i="12"/>
  <c r="O9" i="12"/>
  <c r="U9" i="12"/>
  <c r="K11" i="12"/>
  <c r="Q12" i="12"/>
  <c r="M12" i="12"/>
  <c r="U12" i="12"/>
  <c r="K13" i="12"/>
  <c r="Q19" i="12"/>
  <c r="I19" i="12"/>
  <c r="M19" i="12"/>
  <c r="O19" i="12"/>
  <c r="Q23" i="12"/>
  <c r="I23" i="12"/>
  <c r="M23" i="12"/>
  <c r="O23" i="12"/>
  <c r="Q27" i="12"/>
  <c r="I27" i="12"/>
  <c r="M27" i="12"/>
  <c r="O27" i="12"/>
  <c r="Q31" i="12"/>
  <c r="I31" i="12"/>
  <c r="M31" i="12"/>
  <c r="O31" i="12"/>
  <c r="Q35" i="12"/>
  <c r="I35" i="12"/>
  <c r="M35" i="12"/>
  <c r="O35" i="12"/>
  <c r="Q39" i="12"/>
  <c r="I39" i="12"/>
  <c r="M39" i="12"/>
  <c r="O39" i="12"/>
  <c r="Q58" i="12"/>
  <c r="I58" i="12"/>
  <c r="U58" i="12"/>
  <c r="O58" i="12"/>
  <c r="M58" i="12"/>
  <c r="U63" i="12"/>
  <c r="O63" i="12"/>
  <c r="M63" i="12"/>
  <c r="K63" i="12"/>
  <c r="I5" i="12"/>
  <c r="M7" i="12"/>
  <c r="K8" i="12"/>
  <c r="M11" i="12"/>
  <c r="O12" i="12"/>
  <c r="M13" i="12"/>
  <c r="U13" i="12"/>
  <c r="M15" i="12"/>
  <c r="K15" i="12"/>
  <c r="U15" i="12"/>
  <c r="M17" i="12"/>
  <c r="Q17" i="12"/>
  <c r="O17" i="12"/>
  <c r="M21" i="12"/>
  <c r="Q21" i="12"/>
  <c r="I21" i="12"/>
  <c r="O21" i="12"/>
  <c r="M25" i="12"/>
  <c r="Q25" i="12"/>
  <c r="I25" i="12"/>
  <c r="O25" i="12"/>
  <c r="M29" i="12"/>
  <c r="Q29" i="12"/>
  <c r="I29" i="12"/>
  <c r="O29" i="12"/>
  <c r="M33" i="12"/>
  <c r="Q33" i="12"/>
  <c r="I33" i="12"/>
  <c r="O33" i="12"/>
  <c r="M37" i="12"/>
  <c r="Q37" i="12"/>
  <c r="I37" i="12"/>
  <c r="O37" i="12"/>
  <c r="U42" i="12"/>
  <c r="O42" i="12"/>
  <c r="Q42" i="12"/>
  <c r="K42" i="12"/>
  <c r="U43" i="12"/>
  <c r="U47" i="12"/>
  <c r="O47" i="12"/>
  <c r="M47" i="12"/>
  <c r="K47" i="12"/>
  <c r="I55" i="12"/>
  <c r="Q66" i="12"/>
  <c r="I66" i="12"/>
  <c r="U66" i="12"/>
  <c r="O66" i="12"/>
  <c r="M66" i="12"/>
  <c r="K16" i="12"/>
  <c r="O18" i="12"/>
  <c r="U18" i="12"/>
  <c r="K20" i="12"/>
  <c r="O22" i="12"/>
  <c r="U22" i="12"/>
  <c r="K24" i="12"/>
  <c r="O26" i="12"/>
  <c r="U26" i="12"/>
  <c r="K28" i="12"/>
  <c r="O30" i="12"/>
  <c r="U30" i="12"/>
  <c r="K32" i="12"/>
  <c r="O34" i="12"/>
  <c r="U34" i="12"/>
  <c r="K36" i="12"/>
  <c r="O38" i="12"/>
  <c r="U38" i="12"/>
  <c r="K40" i="12"/>
  <c r="K46" i="12"/>
  <c r="U51" i="12"/>
  <c r="O51" i="12"/>
  <c r="M51" i="12"/>
  <c r="Q51" i="12"/>
  <c r="Q54" i="12"/>
  <c r="I54" i="12"/>
  <c r="U54" i="12"/>
  <c r="O54" i="12"/>
  <c r="K62" i="12"/>
  <c r="O67" i="12"/>
  <c r="M67" i="12"/>
  <c r="Q67" i="12"/>
  <c r="U67" i="12" s="1"/>
  <c r="Q70" i="12"/>
  <c r="U70" i="12" s="1"/>
  <c r="I70" i="12"/>
  <c r="M70" i="12" s="1"/>
  <c r="O70" i="12"/>
  <c r="K18" i="12"/>
  <c r="K22" i="12"/>
  <c r="K26" i="12"/>
  <c r="K30" i="12"/>
  <c r="K34" i="12"/>
  <c r="K38" i="12"/>
  <c r="Q46" i="12"/>
  <c r="I46" i="12"/>
  <c r="U46" i="12"/>
  <c r="O46" i="12"/>
  <c r="K54" i="12"/>
  <c r="U59" i="12"/>
  <c r="O59" i="12"/>
  <c r="M59" i="12"/>
  <c r="Q59" i="12"/>
  <c r="Q62" i="12"/>
  <c r="I62" i="12"/>
  <c r="U62" i="12"/>
  <c r="O62" i="12"/>
  <c r="K70" i="12"/>
  <c r="K44" i="12"/>
  <c r="I45" i="12"/>
  <c r="Q45" i="12"/>
  <c r="K48" i="12"/>
  <c r="I49" i="12"/>
  <c r="Q49" i="12"/>
  <c r="K52" i="12"/>
  <c r="I53" i="12"/>
  <c r="Q53" i="12"/>
  <c r="K56" i="12"/>
  <c r="I57" i="12"/>
  <c r="Q57" i="12"/>
  <c r="K60" i="12"/>
  <c r="I61" i="12"/>
  <c r="Q61" i="12"/>
  <c r="K64" i="12"/>
  <c r="I65" i="12"/>
  <c r="Q65" i="12"/>
  <c r="K68" i="12"/>
  <c r="I69" i="12"/>
  <c r="Q69" i="12"/>
  <c r="U69" i="12" s="1"/>
  <c r="K45" i="12"/>
  <c r="K49" i="12"/>
  <c r="K53" i="12"/>
  <c r="K57" i="12"/>
  <c r="K61" i="12"/>
  <c r="K65" i="12"/>
  <c r="K69" i="12"/>
  <c r="O12" i="11"/>
  <c r="U8" i="11"/>
  <c r="U12" i="11"/>
  <c r="Q26" i="11"/>
  <c r="I26" i="11"/>
  <c r="U26" i="11"/>
  <c r="K26" i="11"/>
  <c r="O26" i="11"/>
  <c r="Q28" i="11"/>
  <c r="I28" i="11"/>
  <c r="M28" i="11"/>
  <c r="K28" i="11"/>
  <c r="Q6" i="11"/>
  <c r="I6" i="11"/>
  <c r="M6" i="11"/>
  <c r="O6" i="11"/>
  <c r="K8" i="11"/>
  <c r="Q10" i="11"/>
  <c r="I10" i="11"/>
  <c r="M10" i="11"/>
  <c r="O10" i="11"/>
  <c r="U19" i="11"/>
  <c r="O19" i="11"/>
  <c r="K19" i="11"/>
  <c r="Q19" i="11"/>
  <c r="U28" i="11"/>
  <c r="M8" i="11"/>
  <c r="Q8" i="11"/>
  <c r="I8" i="11"/>
  <c r="O8" i="11"/>
  <c r="M12" i="11"/>
  <c r="Q12" i="11"/>
  <c r="Q18" i="11"/>
  <c r="I18" i="11"/>
  <c r="O18" i="11"/>
  <c r="K18" i="11"/>
  <c r="M20" i="11"/>
  <c r="O20" i="11"/>
  <c r="I20" i="11"/>
  <c r="Q20" i="11"/>
  <c r="M26" i="11"/>
  <c r="O28" i="11"/>
  <c r="Q32" i="11"/>
  <c r="I32" i="11"/>
  <c r="M32" i="11"/>
  <c r="K32" i="11"/>
  <c r="U32" i="11"/>
  <c r="Q36" i="11"/>
  <c r="I36" i="11"/>
  <c r="M36" i="11"/>
  <c r="K36" i="11"/>
  <c r="U36" i="11"/>
  <c r="M40" i="11"/>
  <c r="I40" i="11"/>
  <c r="O40" i="11"/>
  <c r="K40" i="11"/>
  <c r="U40" i="11"/>
  <c r="O5" i="11"/>
  <c r="U5" i="11"/>
  <c r="K7" i="11"/>
  <c r="O9" i="11"/>
  <c r="U9" i="11"/>
  <c r="K11" i="11"/>
  <c r="Q13" i="11"/>
  <c r="O14" i="11"/>
  <c r="U14" i="11"/>
  <c r="M16" i="11"/>
  <c r="U16" i="11"/>
  <c r="U23" i="11"/>
  <c r="O23" i="11"/>
  <c r="M23" i="11"/>
  <c r="Q24" i="11"/>
  <c r="M30" i="11"/>
  <c r="Q30" i="11"/>
  <c r="I30" i="11"/>
  <c r="O30" i="11"/>
  <c r="M34" i="11"/>
  <c r="Q34" i="11"/>
  <c r="I34" i="11"/>
  <c r="O34" i="11"/>
  <c r="M38" i="11"/>
  <c r="Q38" i="11"/>
  <c r="I38" i="11"/>
  <c r="O38" i="11"/>
  <c r="M44" i="11"/>
  <c r="Q44" i="11"/>
  <c r="I44" i="11"/>
  <c r="K44" i="11"/>
  <c r="M48" i="11"/>
  <c r="Q48" i="11"/>
  <c r="I48" i="11"/>
  <c r="K48" i="11"/>
  <c r="M52" i="11"/>
  <c r="Q52" i="11"/>
  <c r="I52" i="11"/>
  <c r="K52" i="11"/>
  <c r="M56" i="11"/>
  <c r="Q56" i="11"/>
  <c r="I56" i="11"/>
  <c r="K56" i="11"/>
  <c r="M60" i="11"/>
  <c r="Q60" i="11"/>
  <c r="I60" i="11"/>
  <c r="K60" i="11"/>
  <c r="M64" i="11"/>
  <c r="Q64" i="11"/>
  <c r="I64" i="11"/>
  <c r="K64" i="11"/>
  <c r="M68" i="11"/>
  <c r="Q68" i="11"/>
  <c r="U68" i="11" s="1"/>
  <c r="I68" i="11"/>
  <c r="K68" i="11"/>
  <c r="Q70" i="11"/>
  <c r="U70" i="11" s="1"/>
  <c r="I70" i="11"/>
  <c r="K70" i="11"/>
  <c r="K5" i="11"/>
  <c r="K9" i="11"/>
  <c r="M13" i="11"/>
  <c r="U15" i="11"/>
  <c r="O15" i="11"/>
  <c r="M15" i="11"/>
  <c r="Q22" i="11"/>
  <c r="I22" i="11"/>
  <c r="M22" i="11"/>
  <c r="U22" i="11"/>
  <c r="M24" i="11"/>
  <c r="K24" i="11"/>
  <c r="U24" i="11"/>
  <c r="K21" i="11"/>
  <c r="K25" i="11"/>
  <c r="O27" i="11"/>
  <c r="U27" i="11"/>
  <c r="K29" i="11"/>
  <c r="O31" i="11"/>
  <c r="U31" i="11"/>
  <c r="K33" i="11"/>
  <c r="O35" i="11"/>
  <c r="U35" i="11"/>
  <c r="K37" i="11"/>
  <c r="O39" i="11"/>
  <c r="U39" i="11"/>
  <c r="Q42" i="11"/>
  <c r="I42" i="11"/>
  <c r="M42" i="11"/>
  <c r="O42" i="11"/>
  <c r="Q46" i="11"/>
  <c r="I46" i="11"/>
  <c r="M46" i="11"/>
  <c r="O46" i="11"/>
  <c r="Q50" i="11"/>
  <c r="I50" i="11"/>
  <c r="M50" i="11"/>
  <c r="O50" i="11"/>
  <c r="Q54" i="11"/>
  <c r="I54" i="11"/>
  <c r="M54" i="11"/>
  <c r="O54" i="11"/>
  <c r="Q58" i="11"/>
  <c r="I58" i="11"/>
  <c r="M58" i="11"/>
  <c r="O58" i="11"/>
  <c r="Q62" i="11"/>
  <c r="I62" i="11"/>
  <c r="M62" i="11"/>
  <c r="O62" i="11"/>
  <c r="Q66" i="11"/>
  <c r="I66" i="11"/>
  <c r="M66" i="11"/>
  <c r="O66" i="11"/>
  <c r="K27" i="11"/>
  <c r="K31" i="11"/>
  <c r="K35" i="11"/>
  <c r="K39" i="11"/>
  <c r="K43" i="11"/>
  <c r="K47" i="11"/>
  <c r="K51" i="11"/>
  <c r="K55" i="11"/>
  <c r="K59" i="11"/>
  <c r="K63" i="11"/>
  <c r="K67" i="11"/>
  <c r="K41" i="11"/>
  <c r="O43" i="11"/>
  <c r="K45" i="11"/>
  <c r="O47" i="11"/>
  <c r="K49" i="11"/>
  <c r="O51" i="11"/>
  <c r="K53" i="11"/>
  <c r="O55" i="11"/>
  <c r="K57" i="11"/>
  <c r="O59" i="11"/>
  <c r="K61" i="11"/>
  <c r="O63" i="11"/>
  <c r="K65" i="11"/>
  <c r="K69" i="11"/>
  <c r="U17" i="8"/>
  <c r="O17" i="8"/>
  <c r="Q18" i="8"/>
  <c r="I18" i="8"/>
  <c r="M18" i="8"/>
  <c r="Q22" i="8"/>
  <c r="I22" i="8"/>
  <c r="M22" i="8"/>
  <c r="O26" i="8"/>
  <c r="K5" i="8"/>
  <c r="O7" i="8"/>
  <c r="U7" i="8"/>
  <c r="M9" i="8"/>
  <c r="K9" i="8"/>
  <c r="U9" i="8"/>
  <c r="Q16" i="8"/>
  <c r="I16" i="8"/>
  <c r="M16" i="8"/>
  <c r="U16" i="8"/>
  <c r="I17" i="8"/>
  <c r="U18" i="8"/>
  <c r="U22" i="8"/>
  <c r="U26" i="8"/>
  <c r="U30" i="8"/>
  <c r="U34" i="8"/>
  <c r="U38" i="8"/>
  <c r="I41" i="8"/>
  <c r="M42" i="8"/>
  <c r="I42" i="8"/>
  <c r="O42" i="8"/>
  <c r="Q42" i="8"/>
  <c r="U49" i="8"/>
  <c r="O49" i="8"/>
  <c r="K49" i="8"/>
  <c r="Q49" i="8"/>
  <c r="U50" i="8"/>
  <c r="Q57" i="8"/>
  <c r="I57" i="8"/>
  <c r="U57" i="8"/>
  <c r="O57" i="8"/>
  <c r="M57" i="8"/>
  <c r="U62" i="8"/>
  <c r="O62" i="8"/>
  <c r="M62" i="8"/>
  <c r="K62" i="8"/>
  <c r="M5" i="8"/>
  <c r="K6" i="8"/>
  <c r="I7" i="8"/>
  <c r="Q7" i="8"/>
  <c r="O8" i="8"/>
  <c r="U8" i="8"/>
  <c r="O9" i="8"/>
  <c r="Q11" i="8"/>
  <c r="I11" i="8"/>
  <c r="M11" i="8"/>
  <c r="U11" i="8"/>
  <c r="U13" i="8"/>
  <c r="O13" i="8"/>
  <c r="M13" i="8"/>
  <c r="Q14" i="8"/>
  <c r="O16" i="8"/>
  <c r="K17" i="8"/>
  <c r="K18" i="8"/>
  <c r="K22" i="8"/>
  <c r="K26" i="8"/>
  <c r="K30" i="8"/>
  <c r="K34" i="8"/>
  <c r="K38" i="8"/>
  <c r="K7" i="8"/>
  <c r="M17" i="8"/>
  <c r="O18" i="8"/>
  <c r="O22" i="8"/>
  <c r="Q26" i="8"/>
  <c r="I26" i="8"/>
  <c r="M26" i="8"/>
  <c r="Q30" i="8"/>
  <c r="I30" i="8"/>
  <c r="M30" i="8"/>
  <c r="Q34" i="8"/>
  <c r="I34" i="8"/>
  <c r="M34" i="8"/>
  <c r="O34" i="8"/>
  <c r="Q38" i="8"/>
  <c r="I38" i="8"/>
  <c r="M38" i="8"/>
  <c r="O38" i="8"/>
  <c r="U41" i="8"/>
  <c r="O41" i="8"/>
  <c r="Q41" i="8"/>
  <c r="K41" i="8"/>
  <c r="Q48" i="8"/>
  <c r="I48" i="8"/>
  <c r="O48" i="8"/>
  <c r="K48" i="8"/>
  <c r="M50" i="8"/>
  <c r="O50" i="8"/>
  <c r="I50" i="8"/>
  <c r="Q50" i="8"/>
  <c r="I5" i="8"/>
  <c r="M7" i="8"/>
  <c r="K8" i="8"/>
  <c r="I9" i="8"/>
  <c r="U12" i="8"/>
  <c r="O12" i="8"/>
  <c r="M12" i="8"/>
  <c r="M14" i="8"/>
  <c r="K14" i="8"/>
  <c r="U14" i="8"/>
  <c r="K16" i="8"/>
  <c r="Q17" i="8"/>
  <c r="M20" i="8"/>
  <c r="Q20" i="8"/>
  <c r="I20" i="8"/>
  <c r="O20" i="8"/>
  <c r="M24" i="8"/>
  <c r="Q24" i="8"/>
  <c r="I24" i="8"/>
  <c r="O24" i="8"/>
  <c r="M28" i="8"/>
  <c r="Q28" i="8"/>
  <c r="I28" i="8"/>
  <c r="O28" i="8"/>
  <c r="M32" i="8"/>
  <c r="Q32" i="8"/>
  <c r="I32" i="8"/>
  <c r="O32" i="8"/>
  <c r="M36" i="8"/>
  <c r="Q36" i="8"/>
  <c r="I36" i="8"/>
  <c r="O36" i="8"/>
  <c r="M40" i="8"/>
  <c r="Q40" i="8"/>
  <c r="I40" i="8"/>
  <c r="O40" i="8"/>
  <c r="K42" i="8"/>
  <c r="U48" i="8"/>
  <c r="M49" i="8"/>
  <c r="Q56" i="8"/>
  <c r="I56" i="8"/>
  <c r="U56" i="8"/>
  <c r="K56" i="8"/>
  <c r="O56" i="8"/>
  <c r="Q62" i="8"/>
  <c r="K10" i="8"/>
  <c r="K15" i="8"/>
  <c r="K19" i="8"/>
  <c r="O21" i="8"/>
  <c r="U21" i="8"/>
  <c r="K23" i="8"/>
  <c r="O25" i="8"/>
  <c r="U25" i="8"/>
  <c r="K27" i="8"/>
  <c r="O29" i="8"/>
  <c r="U29" i="8"/>
  <c r="K31" i="8"/>
  <c r="O33" i="8"/>
  <c r="U33" i="8"/>
  <c r="K35" i="8"/>
  <c r="O37" i="8"/>
  <c r="U37" i="8"/>
  <c r="K39" i="8"/>
  <c r="Q44" i="8"/>
  <c r="I44" i="8"/>
  <c r="M44" i="8"/>
  <c r="U44" i="8"/>
  <c r="M46" i="8"/>
  <c r="K46" i="8"/>
  <c r="U46" i="8"/>
  <c r="U53" i="8"/>
  <c r="O53" i="8"/>
  <c r="M53" i="8"/>
  <c r="Q54" i="8"/>
  <c r="K61" i="8"/>
  <c r="K21" i="8"/>
  <c r="K25" i="8"/>
  <c r="K29" i="8"/>
  <c r="K33" i="8"/>
  <c r="K37" i="8"/>
  <c r="U45" i="8"/>
  <c r="O45" i="8"/>
  <c r="M45" i="8"/>
  <c r="Q52" i="8"/>
  <c r="I52" i="8"/>
  <c r="M52" i="8"/>
  <c r="U52" i="8"/>
  <c r="M54" i="8"/>
  <c r="K54" i="8"/>
  <c r="U54" i="8"/>
  <c r="U58" i="8"/>
  <c r="O58" i="8"/>
  <c r="M58" i="8"/>
  <c r="Q58" i="8"/>
  <c r="Q61" i="8"/>
  <c r="I61" i="8"/>
  <c r="U61" i="8"/>
  <c r="O61" i="8"/>
  <c r="M68" i="8"/>
  <c r="M69" i="8"/>
  <c r="K43" i="8"/>
  <c r="K47" i="8"/>
  <c r="K51" i="8"/>
  <c r="K55" i="8"/>
  <c r="K59" i="8"/>
  <c r="I60" i="8"/>
  <c r="Q60" i="8"/>
  <c r="K63" i="8"/>
  <c r="I64" i="8"/>
  <c r="Q64" i="8"/>
  <c r="I65" i="8"/>
  <c r="Q65" i="8"/>
  <c r="I66" i="8"/>
  <c r="Q66" i="8"/>
  <c r="O67" i="8"/>
  <c r="O68" i="8"/>
  <c r="O69" i="8"/>
  <c r="O70" i="8"/>
  <c r="K60" i="8"/>
  <c r="K64" i="8"/>
  <c r="K65" i="8"/>
  <c r="K66" i="8"/>
  <c r="I67" i="8"/>
  <c r="Q67" i="8"/>
  <c r="U67" i="8" s="1"/>
  <c r="I68" i="8"/>
  <c r="Q68" i="8"/>
  <c r="U68" i="8" s="1"/>
  <c r="I69" i="8"/>
  <c r="Q69" i="8"/>
  <c r="U69" i="8" s="1"/>
  <c r="I70" i="8"/>
  <c r="M70" i="8" s="1"/>
  <c r="Q70" i="8"/>
  <c r="U70" i="8" s="1"/>
  <c r="M65" i="8"/>
  <c r="M66" i="8"/>
  <c r="K67" i="8"/>
  <c r="K68" i="8"/>
  <c r="K69" i="8"/>
  <c r="K70" i="8"/>
  <c r="V72" i="19" l="1"/>
  <c r="S72" i="19"/>
  <c r="V71" i="19"/>
  <c r="S71" i="19"/>
  <c r="W64" i="12"/>
  <c r="F64" i="13"/>
  <c r="S73" i="31"/>
  <c r="H73" i="31"/>
  <c r="G49" i="27"/>
  <c r="X49" i="26"/>
  <c r="G56" i="28"/>
  <c r="X56" i="27"/>
  <c r="H74" i="31"/>
  <c r="S74" i="31"/>
  <c r="S56" i="28" l="1"/>
  <c r="H56" i="28"/>
  <c r="T73" i="31"/>
  <c r="W73" i="31"/>
  <c r="G71" i="21"/>
  <c r="H71" i="21" s="1"/>
  <c r="W71" i="19"/>
  <c r="T74" i="31"/>
  <c r="W74" i="31"/>
  <c r="R64" i="13"/>
  <c r="G64" i="13"/>
  <c r="S49" i="27"/>
  <c r="H49" i="27"/>
  <c r="S72" i="21"/>
  <c r="G72" i="21"/>
  <c r="H72" i="21" s="1"/>
  <c r="W72" i="19"/>
  <c r="R70" i="7"/>
  <c r="V70" i="7" s="1"/>
  <c r="F70" i="8" s="1"/>
  <c r="E70" i="7"/>
  <c r="R69" i="7"/>
  <c r="E69" i="7"/>
  <c r="M69" i="7" s="1"/>
  <c r="R68" i="7"/>
  <c r="V68" i="7" s="1"/>
  <c r="F68" i="8" s="1"/>
  <c r="E68" i="7"/>
  <c r="E67" i="7"/>
  <c r="M67" i="7" s="1"/>
  <c r="R66" i="7"/>
  <c r="V66" i="7" s="1"/>
  <c r="O66" i="7"/>
  <c r="I66" i="7"/>
  <c r="E66" i="7"/>
  <c r="U66" i="7" s="1"/>
  <c r="V65" i="7"/>
  <c r="F65" i="8" s="1"/>
  <c r="U65" i="7"/>
  <c r="R65" i="7"/>
  <c r="I65" i="7"/>
  <c r="G65" i="7"/>
  <c r="E65" i="7"/>
  <c r="G65" i="8" l="1"/>
  <c r="R65" i="8"/>
  <c r="Q68" i="7"/>
  <c r="K68" i="7"/>
  <c r="W72" i="21"/>
  <c r="X72" i="21" s="1"/>
  <c r="T72" i="21"/>
  <c r="S65" i="7"/>
  <c r="Q65" i="7"/>
  <c r="K65" i="7"/>
  <c r="G66" i="7"/>
  <c r="O68" i="7"/>
  <c r="W49" i="27"/>
  <c r="T49" i="27"/>
  <c r="X73" i="31"/>
  <c r="G73" i="32"/>
  <c r="Q67" i="7"/>
  <c r="U67" i="7" s="1"/>
  <c r="K67" i="7"/>
  <c r="O67" i="7"/>
  <c r="R68" i="8"/>
  <c r="G68" i="8"/>
  <c r="Q70" i="7"/>
  <c r="K70" i="7"/>
  <c r="Q69" i="7"/>
  <c r="U69" i="7" s="1"/>
  <c r="K69" i="7"/>
  <c r="R70" i="8"/>
  <c r="G70" i="8"/>
  <c r="V64" i="13"/>
  <c r="S64" i="13"/>
  <c r="O65" i="7"/>
  <c r="S66" i="7"/>
  <c r="Q66" i="7"/>
  <c r="K66" i="7"/>
  <c r="W66" i="7"/>
  <c r="F66" i="8"/>
  <c r="I67" i="7"/>
  <c r="G68" i="7"/>
  <c r="X74" i="31"/>
  <c r="G74" i="32"/>
  <c r="S71" i="21"/>
  <c r="W56" i="28"/>
  <c r="T56" i="28"/>
  <c r="S68" i="7"/>
  <c r="W70" i="7"/>
  <c r="V69" i="7"/>
  <c r="S69" i="7"/>
  <c r="S70" i="7"/>
  <c r="W65" i="7"/>
  <c r="I68" i="7"/>
  <c r="G69" i="7"/>
  <c r="O69" i="7"/>
  <c r="G70" i="7"/>
  <c r="O70" i="7"/>
  <c r="M65" i="7"/>
  <c r="M66" i="7"/>
  <c r="W68" i="7"/>
  <c r="I69" i="7"/>
  <c r="I70" i="7"/>
  <c r="M70" i="7" s="1"/>
  <c r="U70" i="7" s="1"/>
  <c r="M68" i="7"/>
  <c r="U68" i="7" s="1"/>
  <c r="I70" i="6"/>
  <c r="M70" i="6" s="1"/>
  <c r="Q70" i="6" s="1"/>
  <c r="U70" i="6" s="1"/>
  <c r="G70" i="6"/>
  <c r="K70" i="6" s="1"/>
  <c r="R70" i="6"/>
  <c r="E70" i="6"/>
  <c r="O70" i="6" s="1"/>
  <c r="E69" i="6"/>
  <c r="I69" i="6" s="1"/>
  <c r="R68" i="6"/>
  <c r="V68" i="6" s="1"/>
  <c r="E68" i="6"/>
  <c r="O68" i="6" s="1"/>
  <c r="M67" i="6"/>
  <c r="Q67" i="6" s="1"/>
  <c r="U67" i="6" s="1"/>
  <c r="E67" i="6"/>
  <c r="I67" i="6" s="1"/>
  <c r="G66" i="6"/>
  <c r="K66" i="6" s="1"/>
  <c r="R66" i="6"/>
  <c r="E66" i="6"/>
  <c r="U66" i="6" s="1"/>
  <c r="I65" i="6"/>
  <c r="E65" i="6"/>
  <c r="M66" i="6" l="1"/>
  <c r="Q66" i="6" s="1"/>
  <c r="W69" i="7"/>
  <c r="F69" i="8"/>
  <c r="H74" i="32"/>
  <c r="S74" i="32"/>
  <c r="R66" i="8"/>
  <c r="G66" i="8"/>
  <c r="V65" i="8"/>
  <c r="S65" i="8"/>
  <c r="O66" i="6"/>
  <c r="V70" i="8"/>
  <c r="S70" i="8"/>
  <c r="X56" i="28"/>
  <c r="G56" i="29"/>
  <c r="G49" i="28"/>
  <c r="X49" i="27"/>
  <c r="I66" i="6"/>
  <c r="O67" i="6"/>
  <c r="W71" i="21"/>
  <c r="T71" i="21"/>
  <c r="F64" i="16"/>
  <c r="F64" i="20"/>
  <c r="W64" i="13"/>
  <c r="V68" i="8"/>
  <c r="S68" i="8"/>
  <c r="H73" i="32"/>
  <c r="S73" i="32"/>
  <c r="V66" i="6"/>
  <c r="W66" i="6" s="1"/>
  <c r="S66" i="6"/>
  <c r="V70" i="6"/>
  <c r="W70" i="6" s="1"/>
  <c r="S70" i="6"/>
  <c r="O65" i="6"/>
  <c r="U65" i="6"/>
  <c r="I68" i="6"/>
  <c r="O69" i="6"/>
  <c r="W68" i="6"/>
  <c r="M68" i="6"/>
  <c r="Q68" i="6" s="1"/>
  <c r="U68" i="6" s="1"/>
  <c r="S68" i="6"/>
  <c r="M65" i="6"/>
  <c r="Q65" i="6" s="1"/>
  <c r="G68" i="6"/>
  <c r="K68" i="6" s="1"/>
  <c r="M69" i="6"/>
  <c r="Q69" i="6" s="1"/>
  <c r="U69" i="6" s="1"/>
  <c r="Q58" i="5"/>
  <c r="F68" i="11" l="1"/>
  <c r="W68" i="8"/>
  <c r="T73" i="32"/>
  <c r="W73" i="32"/>
  <c r="X73" i="32" s="1"/>
  <c r="X71" i="21"/>
  <c r="G71" i="23"/>
  <c r="G71" i="22"/>
  <c r="F70" i="11"/>
  <c r="W70" i="8"/>
  <c r="R64" i="20"/>
  <c r="G64" i="20"/>
  <c r="S56" i="29"/>
  <c r="H56" i="29"/>
  <c r="R69" i="8"/>
  <c r="G69" i="8"/>
  <c r="T74" i="32"/>
  <c r="W74" i="32"/>
  <c r="X74" i="32" s="1"/>
  <c r="S49" i="28"/>
  <c r="H49" i="28"/>
  <c r="F65" i="11"/>
  <c r="W65" i="8"/>
  <c r="R64" i="16"/>
  <c r="G64" i="16"/>
  <c r="V66" i="8"/>
  <c r="S66" i="8"/>
  <c r="R70" i="11" l="1"/>
  <c r="G70" i="11"/>
  <c r="S71" i="22"/>
  <c r="H71" i="22"/>
  <c r="F66" i="11"/>
  <c r="W66" i="8"/>
  <c r="W56" i="29"/>
  <c r="T56" i="29"/>
  <c r="S64" i="16"/>
  <c r="V64" i="16"/>
  <c r="W49" i="28"/>
  <c r="T49" i="28"/>
  <c r="V69" i="8"/>
  <c r="S69" i="8"/>
  <c r="V64" i="20"/>
  <c r="W64" i="20" s="1"/>
  <c r="S64" i="20"/>
  <c r="S71" i="23"/>
  <c r="H71" i="23"/>
  <c r="R65" i="11"/>
  <c r="G65" i="11"/>
  <c r="R68" i="11"/>
  <c r="G68" i="11"/>
  <c r="V65" i="11" l="1"/>
  <c r="S65" i="11"/>
  <c r="G49" i="29"/>
  <c r="X49" i="28"/>
  <c r="G56" i="30"/>
  <c r="X56" i="29"/>
  <c r="W71" i="22"/>
  <c r="T71" i="22"/>
  <c r="W64" i="16"/>
  <c r="F63" i="17"/>
  <c r="V68" i="11"/>
  <c r="S68" i="11"/>
  <c r="T71" i="23"/>
  <c r="W71" i="23"/>
  <c r="X71" i="23" s="1"/>
  <c r="F69" i="11"/>
  <c r="W69" i="8"/>
  <c r="R66" i="11"/>
  <c r="G66" i="11"/>
  <c r="V70" i="11"/>
  <c r="S70" i="11"/>
  <c r="O58" i="5"/>
  <c r="O57" i="5"/>
  <c r="G69" i="11" l="1"/>
  <c r="R69" i="11"/>
  <c r="G71" i="24"/>
  <c r="X71" i="22"/>
  <c r="S49" i="29"/>
  <c r="H49" i="29"/>
  <c r="F70" i="12"/>
  <c r="W70" i="11"/>
  <c r="R63" i="17"/>
  <c r="G63" i="17"/>
  <c r="F68" i="12"/>
  <c r="W68" i="11"/>
  <c r="V66" i="11"/>
  <c r="S66" i="11"/>
  <c r="S56" i="30"/>
  <c r="H56" i="30"/>
  <c r="W65" i="11"/>
  <c r="F65" i="12"/>
  <c r="R70" i="4"/>
  <c r="V70" i="4" s="1"/>
  <c r="R69" i="4"/>
  <c r="V69" i="4" s="1"/>
  <c r="R68" i="4"/>
  <c r="R67" i="4"/>
  <c r="V68" i="4"/>
  <c r="F68" i="5" s="1"/>
  <c r="R68" i="5" s="1"/>
  <c r="S68" i="5" s="1"/>
  <c r="V67" i="4"/>
  <c r="E70" i="4"/>
  <c r="U70" i="4" s="1"/>
  <c r="E69" i="4"/>
  <c r="S69" i="4" s="1"/>
  <c r="E68" i="4"/>
  <c r="S68" i="4" s="1"/>
  <c r="E67" i="4"/>
  <c r="K67" i="4" s="1"/>
  <c r="G70" i="4"/>
  <c r="O70" i="4" s="1"/>
  <c r="G69" i="4"/>
  <c r="O69" i="4" s="1"/>
  <c r="G68" i="4"/>
  <c r="O68" i="4" s="1"/>
  <c r="G67" i="4"/>
  <c r="O67" i="4" s="1"/>
  <c r="E70" i="5"/>
  <c r="O70" i="5" s="1"/>
  <c r="E69" i="5"/>
  <c r="E68" i="5"/>
  <c r="E67" i="5"/>
  <c r="E66" i="5"/>
  <c r="E65" i="5"/>
  <c r="W69" i="4" l="1"/>
  <c r="F69" i="6"/>
  <c r="F69" i="5"/>
  <c r="R69" i="5" s="1"/>
  <c r="V69" i="5" s="1"/>
  <c r="W69" i="5" s="1"/>
  <c r="O67" i="5"/>
  <c r="M67" i="5"/>
  <c r="Q67" i="5" s="1"/>
  <c r="U67" i="5" s="1"/>
  <c r="I67" i="5"/>
  <c r="I70" i="4"/>
  <c r="K68" i="4"/>
  <c r="M70" i="4"/>
  <c r="Q70" i="4"/>
  <c r="U67" i="4"/>
  <c r="W67" i="4"/>
  <c r="F67" i="7"/>
  <c r="F67" i="6"/>
  <c r="O68" i="5"/>
  <c r="M68" i="5"/>
  <c r="Q68" i="5" s="1"/>
  <c r="U68" i="5" s="1"/>
  <c r="I68" i="5"/>
  <c r="I67" i="4"/>
  <c r="K69" i="4"/>
  <c r="M67" i="4"/>
  <c r="Q67" i="4"/>
  <c r="S67" i="4"/>
  <c r="U68" i="4"/>
  <c r="W68" i="4"/>
  <c r="W56" i="30"/>
  <c r="T56" i="30"/>
  <c r="R68" i="12"/>
  <c r="G68" i="12"/>
  <c r="R70" i="12"/>
  <c r="G70" i="12"/>
  <c r="H71" i="24"/>
  <c r="S71" i="24"/>
  <c r="I65" i="5"/>
  <c r="O65" i="5"/>
  <c r="M65" i="5"/>
  <c r="O69" i="5"/>
  <c r="M69" i="5"/>
  <c r="I69" i="5"/>
  <c r="Q69" i="5" s="1"/>
  <c r="U69" i="5" s="1"/>
  <c r="I68" i="4"/>
  <c r="K70" i="4"/>
  <c r="M68" i="4"/>
  <c r="Q68" i="4"/>
  <c r="U69" i="4"/>
  <c r="R65" i="12"/>
  <c r="G65" i="12"/>
  <c r="S69" i="11"/>
  <c r="V69" i="11"/>
  <c r="I66" i="5"/>
  <c r="O66" i="5"/>
  <c r="M66" i="5"/>
  <c r="I70" i="5"/>
  <c r="M70" i="5" s="1"/>
  <c r="Q70" i="5" s="1"/>
  <c r="U70" i="5" s="1"/>
  <c r="G68" i="5"/>
  <c r="K68" i="5" s="1"/>
  <c r="I69" i="4"/>
  <c r="M69" i="4"/>
  <c r="Q69" i="4"/>
  <c r="F67" i="5"/>
  <c r="R67" i="5" s="1"/>
  <c r="W66" i="11"/>
  <c r="F66" i="12"/>
  <c r="S63" i="17"/>
  <c r="V63" i="17"/>
  <c r="W49" i="29"/>
  <c r="T49" i="29"/>
  <c r="W70" i="4"/>
  <c r="F70" i="5"/>
  <c r="S70" i="4"/>
  <c r="S67" i="5"/>
  <c r="V67" i="5"/>
  <c r="W67" i="5" s="1"/>
  <c r="G67" i="5"/>
  <c r="K67" i="5" s="1"/>
  <c r="V68" i="5"/>
  <c r="W68" i="5" s="1"/>
  <c r="U65" i="5"/>
  <c r="U66" i="5"/>
  <c r="W69" i="11" l="1"/>
  <c r="F69" i="12"/>
  <c r="V68" i="12"/>
  <c r="S68" i="12"/>
  <c r="G69" i="5"/>
  <c r="K69" i="5" s="1"/>
  <c r="G49" i="30"/>
  <c r="X49" i="29"/>
  <c r="Q65" i="5"/>
  <c r="V70" i="12"/>
  <c r="S70" i="12"/>
  <c r="G56" i="31"/>
  <c r="X56" i="30"/>
  <c r="R67" i="7"/>
  <c r="G67" i="7"/>
  <c r="R69" i="6"/>
  <c r="G69" i="6"/>
  <c r="K69" i="6" s="1"/>
  <c r="R66" i="12"/>
  <c r="G66" i="12"/>
  <c r="G67" i="6"/>
  <c r="K67" i="6" s="1"/>
  <c r="R67" i="6"/>
  <c r="S69" i="5"/>
  <c r="W63" i="17"/>
  <c r="F64" i="19"/>
  <c r="Q66" i="5"/>
  <c r="S65" i="12"/>
  <c r="V65" i="12"/>
  <c r="T71" i="24"/>
  <c r="W71" i="24"/>
  <c r="G70" i="5"/>
  <c r="K70" i="5" s="1"/>
  <c r="R70" i="5"/>
  <c r="I65" i="4"/>
  <c r="R66" i="4"/>
  <c r="R65" i="4"/>
  <c r="V65" i="4"/>
  <c r="E66" i="4"/>
  <c r="E65" i="4"/>
  <c r="K66" i="4" l="1"/>
  <c r="Q66" i="4"/>
  <c r="M66" i="4"/>
  <c r="V67" i="6"/>
  <c r="W67" i="6" s="1"/>
  <c r="S67" i="6"/>
  <c r="W65" i="4"/>
  <c r="F65" i="6"/>
  <c r="F65" i="5"/>
  <c r="V69" i="6"/>
  <c r="W69" i="6" s="1"/>
  <c r="S69" i="6"/>
  <c r="H56" i="31"/>
  <c r="S56" i="31"/>
  <c r="W68" i="12"/>
  <c r="F68" i="13"/>
  <c r="X71" i="24"/>
  <c r="G71" i="25"/>
  <c r="I66" i="4"/>
  <c r="R64" i="19"/>
  <c r="G64" i="19"/>
  <c r="W65" i="12"/>
  <c r="F65" i="13"/>
  <c r="S49" i="30"/>
  <c r="H49" i="30"/>
  <c r="R69" i="12"/>
  <c r="G69" i="12"/>
  <c r="Q65" i="4"/>
  <c r="M65" i="4"/>
  <c r="K65" i="4"/>
  <c r="S66" i="4"/>
  <c r="V66" i="12"/>
  <c r="S66" i="12"/>
  <c r="V67" i="7"/>
  <c r="S67" i="7"/>
  <c r="F70" i="13"/>
  <c r="W70" i="12"/>
  <c r="V70" i="5"/>
  <c r="W70" i="5" s="1"/>
  <c r="S70" i="5"/>
  <c r="G65" i="4"/>
  <c r="O65" i="4" s="1"/>
  <c r="U65" i="4"/>
  <c r="G66" i="4"/>
  <c r="O66" i="4" s="1"/>
  <c r="U66" i="4"/>
  <c r="S65" i="4"/>
  <c r="V66" i="4"/>
  <c r="F67" i="8" l="1"/>
  <c r="W67" i="7"/>
  <c r="W56" i="31"/>
  <c r="T56" i="31"/>
  <c r="W66" i="4"/>
  <c r="F66" i="5"/>
  <c r="R65" i="6"/>
  <c r="G65" i="6"/>
  <c r="K65" i="6" s="1"/>
  <c r="S71" i="25"/>
  <c r="H71" i="25"/>
  <c r="R65" i="5"/>
  <c r="G65" i="5"/>
  <c r="K65" i="5" s="1"/>
  <c r="G70" i="13"/>
  <c r="R70" i="13"/>
  <c r="F66" i="13"/>
  <c r="W66" i="12"/>
  <c r="W49" i="30"/>
  <c r="T49" i="30"/>
  <c r="V64" i="19"/>
  <c r="S64" i="19"/>
  <c r="R68" i="13"/>
  <c r="G68" i="13"/>
  <c r="V69" i="12"/>
  <c r="S69" i="12"/>
  <c r="R65" i="13"/>
  <c r="G65" i="13"/>
  <c r="V66" i="1"/>
  <c r="Z66" i="1" s="1"/>
  <c r="AA66" i="1" s="1"/>
  <c r="V65" i="1"/>
  <c r="E66" i="1"/>
  <c r="I66" i="1" s="1"/>
  <c r="E65" i="1"/>
  <c r="O65" i="1"/>
  <c r="Q66" i="1" l="1"/>
  <c r="R66" i="13"/>
  <c r="G66" i="13"/>
  <c r="V65" i="5"/>
  <c r="W65" i="5" s="1"/>
  <c r="S65" i="5"/>
  <c r="V65" i="6"/>
  <c r="W65" i="6" s="1"/>
  <c r="S65" i="6"/>
  <c r="X56" i="31"/>
  <c r="G56" i="32"/>
  <c r="F69" i="13"/>
  <c r="W69" i="12"/>
  <c r="I65" i="1"/>
  <c r="G66" i="1"/>
  <c r="V70" i="13"/>
  <c r="S70" i="13"/>
  <c r="R66" i="5"/>
  <c r="G66" i="5"/>
  <c r="K66" i="5" s="1"/>
  <c r="G64" i="21"/>
  <c r="W64" i="19"/>
  <c r="G65" i="1"/>
  <c r="Y66" i="1"/>
  <c r="V65" i="13"/>
  <c r="S65" i="13"/>
  <c r="V68" i="13"/>
  <c r="S68" i="13"/>
  <c r="G49" i="31"/>
  <c r="X49" i="30"/>
  <c r="W71" i="25"/>
  <c r="X71" i="25" s="1"/>
  <c r="T71" i="25"/>
  <c r="R67" i="8"/>
  <c r="G67" i="8"/>
  <c r="O66" i="1"/>
  <c r="U66" i="1"/>
  <c r="M66" i="1"/>
  <c r="S66" i="1"/>
  <c r="U65" i="1"/>
  <c r="M65" i="1"/>
  <c r="S65" i="1"/>
  <c r="Y65" i="1"/>
  <c r="Q65" i="1"/>
  <c r="S49" i="31" l="1"/>
  <c r="H49" i="31"/>
  <c r="W65" i="13"/>
  <c r="F65" i="20"/>
  <c r="F65" i="16"/>
  <c r="S64" i="21"/>
  <c r="H64" i="21"/>
  <c r="F70" i="20"/>
  <c r="F70" i="16"/>
  <c r="W70" i="13"/>
  <c r="S67" i="8"/>
  <c r="V67" i="8"/>
  <c r="R69" i="13"/>
  <c r="G69" i="13"/>
  <c r="V66" i="13"/>
  <c r="S66" i="13"/>
  <c r="F68" i="20"/>
  <c r="F68" i="16"/>
  <c r="W68" i="13"/>
  <c r="V66" i="5"/>
  <c r="W66" i="5" s="1"/>
  <c r="S66" i="5"/>
  <c r="S56" i="32"/>
  <c r="H56" i="32"/>
  <c r="Z65" i="1"/>
  <c r="AA65" i="1" s="1"/>
  <c r="W65" i="1"/>
  <c r="U57" i="5"/>
  <c r="U58" i="5"/>
  <c r="U59" i="5"/>
  <c r="U60" i="5"/>
  <c r="U62" i="5"/>
  <c r="U63" i="5"/>
  <c r="E64" i="7"/>
  <c r="Q64" i="7" s="1"/>
  <c r="E63" i="7"/>
  <c r="M63" i="7" s="1"/>
  <c r="E62" i="7"/>
  <c r="M62" i="7" s="1"/>
  <c r="E61" i="7"/>
  <c r="U61" i="7" s="1"/>
  <c r="E60" i="7"/>
  <c r="I60" i="7" s="1"/>
  <c r="E59" i="7"/>
  <c r="K59" i="7" s="1"/>
  <c r="E58" i="7"/>
  <c r="M58" i="7" s="1"/>
  <c r="E57" i="7"/>
  <c r="U57" i="7" s="1"/>
  <c r="E56" i="7"/>
  <c r="Q56" i="7" s="1"/>
  <c r="E55" i="7"/>
  <c r="U55" i="7" s="1"/>
  <c r="E54" i="7"/>
  <c r="M54" i="7" s="1"/>
  <c r="E53" i="7"/>
  <c r="U53" i="7" s="1"/>
  <c r="E52" i="7"/>
  <c r="Q52" i="7" s="1"/>
  <c r="E51" i="7"/>
  <c r="M51" i="7" s="1"/>
  <c r="E50" i="7"/>
  <c r="M50" i="7" s="1"/>
  <c r="E49" i="7"/>
  <c r="U49" i="7" s="1"/>
  <c r="E48" i="7"/>
  <c r="K48" i="7" s="1"/>
  <c r="E47" i="7"/>
  <c r="M47" i="7" s="1"/>
  <c r="E46" i="7"/>
  <c r="M46" i="7" s="1"/>
  <c r="E45" i="7"/>
  <c r="U45" i="7" s="1"/>
  <c r="E44" i="7"/>
  <c r="I44" i="7" s="1"/>
  <c r="E43" i="7"/>
  <c r="M43" i="7" s="1"/>
  <c r="E42" i="7"/>
  <c r="M42" i="7" s="1"/>
  <c r="E41" i="7"/>
  <c r="U41" i="7" s="1"/>
  <c r="E40" i="7"/>
  <c r="Q40" i="7" s="1"/>
  <c r="E39" i="7"/>
  <c r="M39" i="7" s="1"/>
  <c r="E38" i="7"/>
  <c r="M38" i="7" s="1"/>
  <c r="E37" i="7"/>
  <c r="K37" i="7" s="1"/>
  <c r="E36" i="7"/>
  <c r="Q36" i="7" s="1"/>
  <c r="E35" i="7"/>
  <c r="K35" i="7" s="1"/>
  <c r="E34" i="7"/>
  <c r="M34" i="7" s="1"/>
  <c r="E33" i="7"/>
  <c r="U33" i="7" s="1"/>
  <c r="E32" i="7"/>
  <c r="I32" i="7" s="1"/>
  <c r="E31" i="7"/>
  <c r="M31" i="7" s="1"/>
  <c r="E30" i="7"/>
  <c r="M30" i="7" s="1"/>
  <c r="E29" i="7"/>
  <c r="U29" i="7" s="1"/>
  <c r="E28" i="7"/>
  <c r="Q28" i="7" s="1"/>
  <c r="E27" i="7"/>
  <c r="M27" i="7" s="1"/>
  <c r="E26" i="7"/>
  <c r="M26" i="7" s="1"/>
  <c r="E25" i="7"/>
  <c r="U25" i="7" s="1"/>
  <c r="E24" i="7"/>
  <c r="Q24" i="7" s="1"/>
  <c r="M23" i="7"/>
  <c r="E23" i="7"/>
  <c r="U23" i="7" s="1"/>
  <c r="E22" i="7"/>
  <c r="M22" i="7" s="1"/>
  <c r="E21" i="7"/>
  <c r="U21" i="7" s="1"/>
  <c r="E20" i="7"/>
  <c r="I20" i="7" s="1"/>
  <c r="E19" i="7"/>
  <c r="K19" i="7" s="1"/>
  <c r="E18" i="7"/>
  <c r="M18" i="7" s="1"/>
  <c r="E17" i="7"/>
  <c r="U17" i="7" s="1"/>
  <c r="E16" i="7"/>
  <c r="Q16" i="7" s="1"/>
  <c r="E15" i="7"/>
  <c r="M15" i="7" s="1"/>
  <c r="E14" i="7"/>
  <c r="O14" i="7" s="1"/>
  <c r="E13" i="7"/>
  <c r="K13" i="7" s="1"/>
  <c r="E12" i="7"/>
  <c r="Q12" i="7" s="1"/>
  <c r="E11" i="7"/>
  <c r="U11" i="7" s="1"/>
  <c r="E10" i="7"/>
  <c r="O10" i="7" s="1"/>
  <c r="E9" i="7"/>
  <c r="K9" i="7" s="1"/>
  <c r="O8" i="7"/>
  <c r="K8" i="7"/>
  <c r="E8" i="7"/>
  <c r="I8" i="7" s="1"/>
  <c r="E7" i="7"/>
  <c r="O7" i="7" s="1"/>
  <c r="E6" i="7"/>
  <c r="O6" i="7" s="1"/>
  <c r="E5" i="7"/>
  <c r="K5" i="7" s="1"/>
  <c r="K64" i="6"/>
  <c r="I64" i="6"/>
  <c r="E64" i="6"/>
  <c r="U64" i="6" s="1"/>
  <c r="E63" i="6"/>
  <c r="Q63" i="6" s="1"/>
  <c r="Q62" i="6"/>
  <c r="E62" i="6"/>
  <c r="M62" i="6" s="1"/>
  <c r="E61" i="6"/>
  <c r="Q61" i="6" s="1"/>
  <c r="M60" i="6"/>
  <c r="E60" i="6"/>
  <c r="I60" i="6" s="1"/>
  <c r="E59" i="6"/>
  <c r="K59" i="6" s="1"/>
  <c r="E58" i="6"/>
  <c r="M58" i="6" s="1"/>
  <c r="E57" i="6"/>
  <c r="Q57" i="6" s="1"/>
  <c r="M56" i="6"/>
  <c r="I56" i="6"/>
  <c r="E56" i="6"/>
  <c r="Q56" i="6" s="1"/>
  <c r="Q55" i="6"/>
  <c r="I55" i="6"/>
  <c r="E55" i="6"/>
  <c r="M55" i="6" s="1"/>
  <c r="E54" i="6"/>
  <c r="M54" i="6" s="1"/>
  <c r="E53" i="6"/>
  <c r="Q53" i="6" s="1"/>
  <c r="I52" i="6"/>
  <c r="E52" i="6"/>
  <c r="Q52" i="6" s="1"/>
  <c r="M51" i="6"/>
  <c r="K51" i="6"/>
  <c r="E51" i="6"/>
  <c r="Q51" i="6" s="1"/>
  <c r="Q50" i="6"/>
  <c r="O50" i="6"/>
  <c r="E50" i="6"/>
  <c r="M50" i="6" s="1"/>
  <c r="E49" i="6"/>
  <c r="Q49" i="6" s="1"/>
  <c r="M48" i="6"/>
  <c r="E48" i="6"/>
  <c r="Q48" i="6" s="1"/>
  <c r="Q47" i="6"/>
  <c r="K47" i="6"/>
  <c r="I47" i="6"/>
  <c r="E47" i="6"/>
  <c r="M47" i="6" s="1"/>
  <c r="E46" i="6"/>
  <c r="M46" i="6" s="1"/>
  <c r="E45" i="6"/>
  <c r="Q45" i="6" s="1"/>
  <c r="I44" i="6"/>
  <c r="E44" i="6"/>
  <c r="Q44" i="6" s="1"/>
  <c r="M43" i="6"/>
  <c r="K43" i="6"/>
  <c r="E43" i="6"/>
  <c r="Q43" i="6" s="1"/>
  <c r="Q42" i="6"/>
  <c r="O42" i="6"/>
  <c r="E42" i="6"/>
  <c r="M42" i="6" s="1"/>
  <c r="E41" i="6"/>
  <c r="Q41" i="6" s="1"/>
  <c r="M40" i="6"/>
  <c r="E40" i="6"/>
  <c r="Q40" i="6" s="1"/>
  <c r="Q39" i="6"/>
  <c r="I39" i="6"/>
  <c r="E39" i="6"/>
  <c r="M39" i="6" s="1"/>
  <c r="E38" i="6"/>
  <c r="M38" i="6" s="1"/>
  <c r="E37" i="6"/>
  <c r="Q37" i="6" s="1"/>
  <c r="I36" i="6"/>
  <c r="E36" i="6"/>
  <c r="Q36" i="6" s="1"/>
  <c r="M35" i="6"/>
  <c r="K35" i="6"/>
  <c r="E35" i="6"/>
  <c r="Q35" i="6" s="1"/>
  <c r="Q34" i="6"/>
  <c r="O34" i="6"/>
  <c r="E34" i="6"/>
  <c r="M34" i="6" s="1"/>
  <c r="E33" i="6"/>
  <c r="Q33" i="6" s="1"/>
  <c r="M32" i="6"/>
  <c r="E32" i="6"/>
  <c r="Q32" i="6" s="1"/>
  <c r="Q31" i="6"/>
  <c r="K31" i="6"/>
  <c r="I31" i="6"/>
  <c r="E31" i="6"/>
  <c r="M31" i="6" s="1"/>
  <c r="E30" i="6"/>
  <c r="M30" i="6" s="1"/>
  <c r="E29" i="6"/>
  <c r="Q29" i="6" s="1"/>
  <c r="I28" i="6"/>
  <c r="E28" i="6"/>
  <c r="M28" i="6" s="1"/>
  <c r="M27" i="6"/>
  <c r="K27" i="6"/>
  <c r="E27" i="6"/>
  <c r="Q27" i="6" s="1"/>
  <c r="Q26" i="6"/>
  <c r="O26" i="6"/>
  <c r="E26" i="6"/>
  <c r="M26" i="6" s="1"/>
  <c r="E25" i="6"/>
  <c r="Q25" i="6" s="1"/>
  <c r="M24" i="6"/>
  <c r="E24" i="6"/>
  <c r="I24" i="6" s="1"/>
  <c r="Q23" i="6"/>
  <c r="I23" i="6"/>
  <c r="E23" i="6"/>
  <c r="M23" i="6" s="1"/>
  <c r="E22" i="6"/>
  <c r="M22" i="6" s="1"/>
  <c r="E21" i="6"/>
  <c r="Q21" i="6" s="1"/>
  <c r="I20" i="6"/>
  <c r="E20" i="6"/>
  <c r="M20" i="6" s="1"/>
  <c r="M19" i="6"/>
  <c r="K19" i="6"/>
  <c r="E19" i="6"/>
  <c r="Q19" i="6" s="1"/>
  <c r="Q18" i="6"/>
  <c r="O18" i="6"/>
  <c r="E18" i="6"/>
  <c r="M18" i="6" s="1"/>
  <c r="E17" i="6"/>
  <c r="Q17" i="6" s="1"/>
  <c r="M16" i="6"/>
  <c r="K16" i="6"/>
  <c r="E16" i="6"/>
  <c r="I16" i="6" s="1"/>
  <c r="Q15" i="6"/>
  <c r="I15" i="6"/>
  <c r="E15" i="6"/>
  <c r="M15" i="6" s="1"/>
  <c r="E14" i="6"/>
  <c r="M14" i="6" s="1"/>
  <c r="E13" i="6"/>
  <c r="Q13" i="6" s="1"/>
  <c r="I12" i="6"/>
  <c r="E12" i="6"/>
  <c r="M12" i="6" s="1"/>
  <c r="M11" i="6"/>
  <c r="K11" i="6"/>
  <c r="E11" i="6"/>
  <c r="Q11" i="6" s="1"/>
  <c r="Q10" i="6"/>
  <c r="O10" i="6"/>
  <c r="E10" i="6"/>
  <c r="M10" i="6" s="1"/>
  <c r="E9" i="6"/>
  <c r="Q9" i="6" s="1"/>
  <c r="M8" i="6"/>
  <c r="K8" i="6"/>
  <c r="E8" i="6"/>
  <c r="I8" i="6" s="1"/>
  <c r="Q7" i="6"/>
  <c r="I7" i="6"/>
  <c r="E7" i="6"/>
  <c r="M7" i="6" s="1"/>
  <c r="E6" i="6"/>
  <c r="M6" i="6" s="1"/>
  <c r="E5" i="6"/>
  <c r="Q5" i="6" s="1"/>
  <c r="K64" i="5"/>
  <c r="I64" i="5"/>
  <c r="E64" i="5"/>
  <c r="M64" i="5" s="1"/>
  <c r="Q62" i="5"/>
  <c r="O62" i="5"/>
  <c r="M62" i="5"/>
  <c r="E61" i="5"/>
  <c r="U61" i="5" s="1"/>
  <c r="Q60" i="5"/>
  <c r="O60" i="5"/>
  <c r="K60" i="5"/>
  <c r="I60" i="5"/>
  <c r="M60" i="5"/>
  <c r="M59" i="5"/>
  <c r="M58" i="5"/>
  <c r="K57" i="5"/>
  <c r="O56" i="5"/>
  <c r="K56" i="5"/>
  <c r="E56" i="5"/>
  <c r="I56" i="5" s="1"/>
  <c r="M55" i="5"/>
  <c r="K55" i="5"/>
  <c r="E55" i="5"/>
  <c r="U55" i="5" s="1"/>
  <c r="O54" i="5"/>
  <c r="E54" i="5"/>
  <c r="M54" i="5" s="1"/>
  <c r="E53" i="5"/>
  <c r="U53" i="5" s="1"/>
  <c r="E52" i="5"/>
  <c r="K52" i="5" s="1"/>
  <c r="M51" i="5"/>
  <c r="E51" i="5"/>
  <c r="K51" i="5" s="1"/>
  <c r="Q50" i="5"/>
  <c r="O50" i="5"/>
  <c r="E50" i="5"/>
  <c r="M50" i="5" s="1"/>
  <c r="E49" i="5"/>
  <c r="U49" i="5" s="1"/>
  <c r="E48" i="5"/>
  <c r="K48" i="5" s="1"/>
  <c r="E47" i="5"/>
  <c r="U47" i="5" s="1"/>
  <c r="E46" i="5"/>
  <c r="M46" i="5" s="1"/>
  <c r="E45" i="5"/>
  <c r="U45" i="5" s="1"/>
  <c r="K44" i="5"/>
  <c r="I44" i="5"/>
  <c r="E44" i="5"/>
  <c r="Q44" i="5" s="1"/>
  <c r="E43" i="5"/>
  <c r="U43" i="5" s="1"/>
  <c r="Q42" i="5"/>
  <c r="O42" i="5"/>
  <c r="E42" i="5"/>
  <c r="M42" i="5" s="1"/>
  <c r="E41" i="5"/>
  <c r="U41" i="5" s="1"/>
  <c r="I40" i="5"/>
  <c r="E40" i="5"/>
  <c r="O40" i="5" s="1"/>
  <c r="E39" i="5"/>
  <c r="K39" i="5" s="1"/>
  <c r="Q38" i="5"/>
  <c r="E38" i="5"/>
  <c r="U38" i="5" s="1"/>
  <c r="E37" i="5"/>
  <c r="U37" i="5" s="1"/>
  <c r="E36" i="5"/>
  <c r="K36" i="5" s="1"/>
  <c r="E35" i="5"/>
  <c r="U35" i="5" s="1"/>
  <c r="E34" i="5"/>
  <c r="Q34" i="5" s="1"/>
  <c r="K33" i="5"/>
  <c r="E33" i="5"/>
  <c r="U33" i="5" s="1"/>
  <c r="K32" i="5"/>
  <c r="I32" i="5"/>
  <c r="E32" i="5"/>
  <c r="Q32" i="5" s="1"/>
  <c r="E31" i="5"/>
  <c r="M31" i="5" s="1"/>
  <c r="E30" i="5"/>
  <c r="U30" i="5" s="1"/>
  <c r="E29" i="5"/>
  <c r="U29" i="5" s="1"/>
  <c r="O28" i="5"/>
  <c r="K28" i="5"/>
  <c r="I28" i="5"/>
  <c r="E28" i="5"/>
  <c r="Q28" i="5" s="1"/>
  <c r="K27" i="5"/>
  <c r="E27" i="5"/>
  <c r="O27" i="5" s="1"/>
  <c r="E26" i="5"/>
  <c r="U26" i="5" s="1"/>
  <c r="E25" i="5"/>
  <c r="U25" i="5" s="1"/>
  <c r="E24" i="5"/>
  <c r="K24" i="5" s="1"/>
  <c r="E23" i="5"/>
  <c r="M23" i="5" s="1"/>
  <c r="E22" i="5"/>
  <c r="Q22" i="5" s="1"/>
  <c r="E21" i="5"/>
  <c r="U21" i="5" s="1"/>
  <c r="E20" i="5"/>
  <c r="K20" i="5" s="1"/>
  <c r="O19" i="5"/>
  <c r="E19" i="5"/>
  <c r="M19" i="5" s="1"/>
  <c r="O18" i="5"/>
  <c r="E18" i="5"/>
  <c r="Q18" i="5" s="1"/>
  <c r="E17" i="5"/>
  <c r="U17" i="5" s="1"/>
  <c r="O16" i="5"/>
  <c r="K16" i="5"/>
  <c r="E16" i="5"/>
  <c r="I16" i="5" s="1"/>
  <c r="O15" i="5"/>
  <c r="E15" i="5"/>
  <c r="K15" i="5" s="1"/>
  <c r="E14" i="5"/>
  <c r="Q14" i="5" s="1"/>
  <c r="K13" i="5"/>
  <c r="E13" i="5"/>
  <c r="M13" i="5" s="1"/>
  <c r="O12" i="5"/>
  <c r="K12" i="5"/>
  <c r="E12" i="5"/>
  <c r="M12" i="5" s="1"/>
  <c r="E11" i="5"/>
  <c r="K11" i="5" s="1"/>
  <c r="E10" i="5"/>
  <c r="U10" i="5" s="1"/>
  <c r="E9" i="5"/>
  <c r="U9" i="5" s="1"/>
  <c r="E8" i="5"/>
  <c r="M8" i="5" s="1"/>
  <c r="O7" i="5"/>
  <c r="E7" i="5"/>
  <c r="M7" i="5" s="1"/>
  <c r="Q6" i="5"/>
  <c r="O6" i="5"/>
  <c r="E6" i="5"/>
  <c r="I6" i="5" s="1"/>
  <c r="K5" i="5"/>
  <c r="E5" i="5"/>
  <c r="M5" i="5" s="1"/>
  <c r="Q48" i="5" l="1"/>
  <c r="Q52" i="5"/>
  <c r="O8" i="5"/>
  <c r="O20" i="5"/>
  <c r="O23" i="5"/>
  <c r="O24" i="5"/>
  <c r="O36" i="5"/>
  <c r="Q40" i="5"/>
  <c r="O48" i="5"/>
  <c r="O52" i="5"/>
  <c r="O7" i="6"/>
  <c r="O15" i="6"/>
  <c r="O23" i="6"/>
  <c r="K24" i="6"/>
  <c r="O31" i="6"/>
  <c r="K32" i="6"/>
  <c r="O39" i="6"/>
  <c r="K40" i="6"/>
  <c r="O47" i="6"/>
  <c r="K48" i="6"/>
  <c r="O55" i="6"/>
  <c r="K56" i="6"/>
  <c r="Q58" i="6"/>
  <c r="M35" i="7"/>
  <c r="U64" i="7"/>
  <c r="U54" i="7"/>
  <c r="U50" i="7"/>
  <c r="U37" i="7"/>
  <c r="U13" i="7"/>
  <c r="U9" i="7"/>
  <c r="U5" i="6"/>
  <c r="U56" i="6"/>
  <c r="U52" i="6"/>
  <c r="U48" i="6"/>
  <c r="U44" i="6"/>
  <c r="U40" i="6"/>
  <c r="U36" i="6"/>
  <c r="U32" i="6"/>
  <c r="U28" i="6"/>
  <c r="U24" i="6"/>
  <c r="U20" i="6"/>
  <c r="U16" i="6"/>
  <c r="U12" i="6"/>
  <c r="U8" i="6"/>
  <c r="U64" i="5"/>
  <c r="U56" i="5"/>
  <c r="U52" i="5"/>
  <c r="U48" i="5"/>
  <c r="U44" i="5"/>
  <c r="U40" i="5"/>
  <c r="U36" i="5"/>
  <c r="U32" i="5"/>
  <c r="U28" i="5"/>
  <c r="U24" i="5"/>
  <c r="U20" i="5"/>
  <c r="U16" i="5"/>
  <c r="U12" i="5"/>
  <c r="U8" i="5"/>
  <c r="W67" i="8"/>
  <c r="F67" i="11"/>
  <c r="R70" i="20"/>
  <c r="G70" i="20"/>
  <c r="R65" i="20"/>
  <c r="G65" i="20"/>
  <c r="M63" i="6"/>
  <c r="M64" i="6"/>
  <c r="Q8" i="7"/>
  <c r="M11" i="7"/>
  <c r="K55" i="7"/>
  <c r="U60" i="7"/>
  <c r="U44" i="7"/>
  <c r="U40" i="7"/>
  <c r="U36" i="7"/>
  <c r="U32" i="7"/>
  <c r="U28" i="7"/>
  <c r="U24" i="7"/>
  <c r="U20" i="7"/>
  <c r="U16" i="7"/>
  <c r="U12" i="7"/>
  <c r="U8" i="7"/>
  <c r="U55" i="6"/>
  <c r="U51" i="6"/>
  <c r="U47" i="6"/>
  <c r="U43" i="6"/>
  <c r="U39" i="6"/>
  <c r="U35" i="6"/>
  <c r="U31" i="6"/>
  <c r="U27" i="6"/>
  <c r="U23" i="6"/>
  <c r="U19" i="6"/>
  <c r="U15" i="6"/>
  <c r="U11" i="6"/>
  <c r="U7" i="6"/>
  <c r="U51" i="5"/>
  <c r="U39" i="5"/>
  <c r="U31" i="5"/>
  <c r="U27" i="5"/>
  <c r="U23" i="5"/>
  <c r="U19" i="5"/>
  <c r="U15" i="5"/>
  <c r="U11" i="5"/>
  <c r="U7" i="5"/>
  <c r="W66" i="13"/>
  <c r="F66" i="20"/>
  <c r="F66" i="16"/>
  <c r="I8" i="5"/>
  <c r="Q12" i="5"/>
  <c r="O14" i="5"/>
  <c r="Q16" i="5"/>
  <c r="I20" i="5"/>
  <c r="K23" i="5"/>
  <c r="I24" i="5"/>
  <c r="M27" i="5"/>
  <c r="O32" i="5"/>
  <c r="I36" i="5"/>
  <c r="K40" i="5"/>
  <c r="K41" i="5"/>
  <c r="O44" i="5"/>
  <c r="O46" i="5"/>
  <c r="I48" i="5"/>
  <c r="I52" i="5"/>
  <c r="Q54" i="5"/>
  <c r="Q56" i="5"/>
  <c r="O64" i="5"/>
  <c r="O6" i="6"/>
  <c r="K7" i="6"/>
  <c r="O11" i="6"/>
  <c r="K12" i="6"/>
  <c r="O14" i="6"/>
  <c r="K15" i="6"/>
  <c r="O19" i="6"/>
  <c r="K20" i="6"/>
  <c r="O22" i="6"/>
  <c r="K23" i="6"/>
  <c r="O27" i="6"/>
  <c r="K28" i="6"/>
  <c r="O30" i="6"/>
  <c r="O35" i="6"/>
  <c r="K36" i="6"/>
  <c r="O38" i="6"/>
  <c r="K39" i="6"/>
  <c r="O43" i="6"/>
  <c r="K44" i="6"/>
  <c r="O46" i="6"/>
  <c r="O51" i="6"/>
  <c r="K52" i="6"/>
  <c r="O54" i="6"/>
  <c r="K55" i="6"/>
  <c r="O59" i="6"/>
  <c r="K23" i="7"/>
  <c r="M55" i="7"/>
  <c r="U56" i="7"/>
  <c r="U52" i="7"/>
  <c r="U48" i="7"/>
  <c r="U43" i="7"/>
  <c r="U39" i="7"/>
  <c r="U35" i="7"/>
  <c r="U31" i="7"/>
  <c r="U27" i="7"/>
  <c r="U19" i="7"/>
  <c r="U15" i="7"/>
  <c r="U7" i="7"/>
  <c r="U62" i="6"/>
  <c r="U54" i="6"/>
  <c r="U50" i="6"/>
  <c r="U46" i="6"/>
  <c r="U42" i="6"/>
  <c r="U38" i="6"/>
  <c r="U34" i="6"/>
  <c r="U30" i="6"/>
  <c r="U26" i="6"/>
  <c r="U22" i="6"/>
  <c r="U18" i="6"/>
  <c r="U14" i="6"/>
  <c r="U10" i="6"/>
  <c r="U6" i="6"/>
  <c r="U54" i="5"/>
  <c r="U50" i="5"/>
  <c r="U46" i="5"/>
  <c r="U42" i="5"/>
  <c r="U34" i="5"/>
  <c r="U22" i="5"/>
  <c r="U18" i="5"/>
  <c r="U14" i="5"/>
  <c r="U6" i="5"/>
  <c r="W56" i="32"/>
  <c r="X56" i="32" s="1"/>
  <c r="T56" i="32"/>
  <c r="R68" i="16"/>
  <c r="G68" i="16"/>
  <c r="W64" i="21"/>
  <c r="T64" i="21"/>
  <c r="Q8" i="5"/>
  <c r="Q20" i="5"/>
  <c r="Q24" i="5"/>
  <c r="Q36" i="5"/>
  <c r="K8" i="5"/>
  <c r="M9" i="5"/>
  <c r="I12" i="5"/>
  <c r="K21" i="5"/>
  <c r="K37" i="5"/>
  <c r="Q46" i="5"/>
  <c r="K53" i="5"/>
  <c r="Q64" i="5"/>
  <c r="Q6" i="6"/>
  <c r="I11" i="6"/>
  <c r="Q14" i="6"/>
  <c r="I19" i="6"/>
  <c r="Q22" i="6"/>
  <c r="I27" i="6"/>
  <c r="Q30" i="6"/>
  <c r="I32" i="6"/>
  <c r="I35" i="6"/>
  <c r="M36" i="6"/>
  <c r="Q38" i="6"/>
  <c r="I40" i="6"/>
  <c r="I43" i="6"/>
  <c r="M44" i="6"/>
  <c r="Q46" i="6"/>
  <c r="I48" i="6"/>
  <c r="I51" i="6"/>
  <c r="M52" i="6"/>
  <c r="Q54" i="6"/>
  <c r="U5" i="7"/>
  <c r="U51" i="7"/>
  <c r="U47" i="7"/>
  <c r="U42" i="7"/>
  <c r="U38" i="7"/>
  <c r="U34" i="7"/>
  <c r="U30" i="7"/>
  <c r="U26" i="7"/>
  <c r="U22" i="7"/>
  <c r="U18" i="7"/>
  <c r="U14" i="7"/>
  <c r="U10" i="7"/>
  <c r="U6" i="7"/>
  <c r="U58" i="6"/>
  <c r="U53" i="6"/>
  <c r="U49" i="6"/>
  <c r="U45" i="6"/>
  <c r="U41" i="6"/>
  <c r="U37" i="6"/>
  <c r="U33" i="6"/>
  <c r="U29" i="6"/>
  <c r="U25" i="6"/>
  <c r="U21" i="6"/>
  <c r="U17" i="6"/>
  <c r="U13" i="6"/>
  <c r="U9" i="6"/>
  <c r="U5" i="5"/>
  <c r="U13" i="5"/>
  <c r="R68" i="20"/>
  <c r="G68" i="20"/>
  <c r="V69" i="13"/>
  <c r="S69" i="13"/>
  <c r="R70" i="16"/>
  <c r="G70" i="16"/>
  <c r="R65" i="16"/>
  <c r="G65" i="16"/>
  <c r="W49" i="31"/>
  <c r="T49" i="31"/>
  <c r="U46" i="7"/>
  <c r="Q62" i="7"/>
  <c r="U63" i="7"/>
  <c r="U59" i="7"/>
  <c r="U62" i="7"/>
  <c r="U58" i="7"/>
  <c r="U61" i="6"/>
  <c r="O58" i="6"/>
  <c r="M59" i="6"/>
  <c r="O62" i="6"/>
  <c r="K63" i="6"/>
  <c r="U63" i="6"/>
  <c r="U59" i="6"/>
  <c r="Q59" i="6"/>
  <c r="O63" i="6"/>
  <c r="U57" i="6"/>
  <c r="I59" i="6"/>
  <c r="Q60" i="6"/>
  <c r="K60" i="6"/>
  <c r="I63" i="6"/>
  <c r="U60" i="6"/>
  <c r="O42" i="7"/>
  <c r="K16" i="7"/>
  <c r="O20" i="7"/>
  <c r="K28" i="7"/>
  <c r="K36" i="7"/>
  <c r="K63" i="7"/>
  <c r="Q20" i="7"/>
  <c r="I56" i="7"/>
  <c r="K60" i="7"/>
  <c r="I48" i="7"/>
  <c r="K56" i="7"/>
  <c r="O60" i="7"/>
  <c r="O18" i="7"/>
  <c r="O30" i="7"/>
  <c r="O34" i="7"/>
  <c r="K44" i="7"/>
  <c r="O48" i="7"/>
  <c r="O54" i="7"/>
  <c r="O56" i="7"/>
  <c r="Q60" i="7"/>
  <c r="Q10" i="7"/>
  <c r="K15" i="7"/>
  <c r="Q18" i="7"/>
  <c r="O22" i="7"/>
  <c r="Q30" i="7"/>
  <c r="O44" i="7"/>
  <c r="Q48" i="7"/>
  <c r="Q54" i="7"/>
  <c r="I16" i="7"/>
  <c r="K20" i="7"/>
  <c r="I28" i="7"/>
  <c r="K32" i="7"/>
  <c r="Q46" i="7"/>
  <c r="O32" i="7"/>
  <c r="Q42" i="7"/>
  <c r="K24" i="7"/>
  <c r="K27" i="7"/>
  <c r="K7" i="7"/>
  <c r="K47" i="7"/>
  <c r="M7" i="7"/>
  <c r="I12" i="7"/>
  <c r="O26" i="7"/>
  <c r="Q32" i="7"/>
  <c r="I40" i="7"/>
  <c r="Q44" i="7"/>
  <c r="I52" i="7"/>
  <c r="K12" i="7"/>
  <c r="Q14" i="7"/>
  <c r="O16" i="7"/>
  <c r="M19" i="7"/>
  <c r="Q26" i="7"/>
  <c r="O28" i="7"/>
  <c r="K31" i="7"/>
  <c r="O38" i="7"/>
  <c r="K40" i="7"/>
  <c r="K43" i="7"/>
  <c r="O50" i="7"/>
  <c r="K52" i="7"/>
  <c r="I64" i="7"/>
  <c r="M59" i="7"/>
  <c r="O12" i="7"/>
  <c r="I24" i="7"/>
  <c r="I36" i="7"/>
  <c r="Q38" i="7"/>
  <c r="O40" i="7"/>
  <c r="Q50" i="7"/>
  <c r="O52" i="7"/>
  <c r="O62" i="7"/>
  <c r="K64" i="7"/>
  <c r="O64" i="7"/>
  <c r="Q22" i="7"/>
  <c r="O24" i="7"/>
  <c r="Q34" i="7"/>
  <c r="O36" i="7"/>
  <c r="K39" i="7"/>
  <c r="O46" i="7"/>
  <c r="K51" i="7"/>
  <c r="O58" i="7"/>
  <c r="Q58" i="7"/>
  <c r="Q17" i="7"/>
  <c r="O17" i="7"/>
  <c r="M17" i="7"/>
  <c r="I17" i="7"/>
  <c r="Q21" i="7"/>
  <c r="M21" i="7"/>
  <c r="O21" i="7"/>
  <c r="I21" i="7"/>
  <c r="Q25" i="7"/>
  <c r="O25" i="7"/>
  <c r="M25" i="7"/>
  <c r="I25" i="7"/>
  <c r="Q29" i="7"/>
  <c r="M29" i="7"/>
  <c r="O29" i="7"/>
  <c r="I29" i="7"/>
  <c r="Q33" i="7"/>
  <c r="M33" i="7"/>
  <c r="O33" i="7"/>
  <c r="I33" i="7"/>
  <c r="Q41" i="7"/>
  <c r="M41" i="7"/>
  <c r="O41" i="7"/>
  <c r="I41" i="7"/>
  <c r="Q45" i="7"/>
  <c r="M45" i="7"/>
  <c r="O45" i="7"/>
  <c r="I45" i="7"/>
  <c r="Q49" i="7"/>
  <c r="M49" i="7"/>
  <c r="O49" i="7"/>
  <c r="I49" i="7"/>
  <c r="Q53" i="7"/>
  <c r="O53" i="7"/>
  <c r="M53" i="7"/>
  <c r="I53" i="7"/>
  <c r="Q57" i="7"/>
  <c r="O57" i="7"/>
  <c r="M57" i="7"/>
  <c r="I57" i="7"/>
  <c r="Q61" i="7"/>
  <c r="O61" i="7"/>
  <c r="M61" i="7"/>
  <c r="I61" i="7"/>
  <c r="M6" i="7"/>
  <c r="K6" i="7"/>
  <c r="I6" i="7"/>
  <c r="I11" i="7"/>
  <c r="Q11" i="7"/>
  <c r="K17" i="7"/>
  <c r="K21" i="7"/>
  <c r="K25" i="7"/>
  <c r="K29" i="7"/>
  <c r="K33" i="7"/>
  <c r="K41" i="7"/>
  <c r="K45" i="7"/>
  <c r="K49" i="7"/>
  <c r="K53" i="7"/>
  <c r="K57" i="7"/>
  <c r="K61" i="7"/>
  <c r="Q5" i="7"/>
  <c r="O5" i="7"/>
  <c r="M5" i="7"/>
  <c r="I5" i="7"/>
  <c r="M10" i="7"/>
  <c r="K10" i="7"/>
  <c r="I10" i="7"/>
  <c r="K11" i="7"/>
  <c r="I15" i="7"/>
  <c r="Q15" i="7"/>
  <c r="O15" i="7"/>
  <c r="I19" i="7"/>
  <c r="Q19" i="7"/>
  <c r="O19" i="7"/>
  <c r="I23" i="7"/>
  <c r="Q23" i="7"/>
  <c r="O23" i="7"/>
  <c r="I27" i="7"/>
  <c r="Q27" i="7"/>
  <c r="O27" i="7"/>
  <c r="I31" i="7"/>
  <c r="Q31" i="7"/>
  <c r="O31" i="7"/>
  <c r="I35" i="7"/>
  <c r="Q35" i="7"/>
  <c r="O35" i="7"/>
  <c r="I39" i="7"/>
  <c r="Q39" i="7"/>
  <c r="O39" i="7"/>
  <c r="I43" i="7"/>
  <c r="Q43" i="7"/>
  <c r="O43" i="7"/>
  <c r="I47" i="7"/>
  <c r="Q47" i="7"/>
  <c r="O47" i="7"/>
  <c r="I51" i="7"/>
  <c r="Q51" i="7"/>
  <c r="O51" i="7"/>
  <c r="I55" i="7"/>
  <c r="Q55" i="7"/>
  <c r="O55" i="7"/>
  <c r="I59" i="7"/>
  <c r="Q59" i="7"/>
  <c r="O59" i="7"/>
  <c r="I63" i="7"/>
  <c r="Q63" i="7"/>
  <c r="O63" i="7"/>
  <c r="Q37" i="7"/>
  <c r="M37" i="7"/>
  <c r="O37" i="7"/>
  <c r="I37" i="7"/>
  <c r="Q9" i="7"/>
  <c r="M9" i="7"/>
  <c r="O9" i="7"/>
  <c r="I9" i="7"/>
  <c r="M14" i="7"/>
  <c r="K14" i="7"/>
  <c r="I14" i="7"/>
  <c r="Q6" i="7"/>
  <c r="O11" i="7"/>
  <c r="I7" i="7"/>
  <c r="Q7" i="7"/>
  <c r="Q13" i="7"/>
  <c r="O13" i="7"/>
  <c r="M13" i="7"/>
  <c r="M8" i="7"/>
  <c r="M12" i="7"/>
  <c r="M16" i="7"/>
  <c r="M20" i="7"/>
  <c r="M24" i="7"/>
  <c r="M28" i="7"/>
  <c r="M32" i="7"/>
  <c r="M36" i="7"/>
  <c r="M40" i="7"/>
  <c r="M44" i="7"/>
  <c r="M48" i="7"/>
  <c r="M52" i="7"/>
  <c r="M56" i="7"/>
  <c r="M60" i="7"/>
  <c r="M64" i="7"/>
  <c r="I26" i="7"/>
  <c r="I50" i="7"/>
  <c r="I54" i="7"/>
  <c r="I58" i="7"/>
  <c r="I62" i="7"/>
  <c r="K18" i="7"/>
  <c r="K22" i="7"/>
  <c r="K26" i="7"/>
  <c r="K30" i="7"/>
  <c r="K34" i="7"/>
  <c r="K38" i="7"/>
  <c r="K42" i="7"/>
  <c r="K46" i="7"/>
  <c r="K50" i="7"/>
  <c r="K54" i="7"/>
  <c r="K58" i="7"/>
  <c r="K62" i="7"/>
  <c r="I18" i="7"/>
  <c r="I22" i="7"/>
  <c r="I30" i="7"/>
  <c r="I34" i="7"/>
  <c r="I38" i="7"/>
  <c r="I42" i="7"/>
  <c r="I46" i="7"/>
  <c r="I25" i="6"/>
  <c r="I29" i="6"/>
  <c r="I33" i="6"/>
  <c r="I37" i="6"/>
  <c r="I41" i="6"/>
  <c r="K5" i="6"/>
  <c r="O8" i="6"/>
  <c r="K9" i="6"/>
  <c r="O12" i="6"/>
  <c r="K13" i="6"/>
  <c r="O16" i="6"/>
  <c r="K17" i="6"/>
  <c r="O20" i="6"/>
  <c r="K21" i="6"/>
  <c r="O24" i="6"/>
  <c r="K25" i="6"/>
  <c r="O28" i="6"/>
  <c r="K29" i="6"/>
  <c r="O32" i="6"/>
  <c r="K33" i="6"/>
  <c r="O36" i="6"/>
  <c r="K37" i="6"/>
  <c r="O40" i="6"/>
  <c r="K41" i="6"/>
  <c r="O44" i="6"/>
  <c r="K45" i="6"/>
  <c r="O48" i="6"/>
  <c r="K49" i="6"/>
  <c r="O52" i="6"/>
  <c r="K53" i="6"/>
  <c r="O56" i="6"/>
  <c r="K57" i="6"/>
  <c r="O60" i="6"/>
  <c r="K61" i="6"/>
  <c r="O64" i="6"/>
  <c r="I17" i="6"/>
  <c r="I49" i="6"/>
  <c r="I53" i="6"/>
  <c r="M5" i="6"/>
  <c r="I6" i="6"/>
  <c r="Q8" i="6"/>
  <c r="M9" i="6"/>
  <c r="I10" i="6"/>
  <c r="Q12" i="6"/>
  <c r="M13" i="6"/>
  <c r="I14" i="6"/>
  <c r="Q16" i="6"/>
  <c r="M17" i="6"/>
  <c r="I18" i="6"/>
  <c r="Q20" i="6"/>
  <c r="M21" i="6"/>
  <c r="I22" i="6"/>
  <c r="Q24" i="6"/>
  <c r="M25" i="6"/>
  <c r="I26" i="6"/>
  <c r="Q28" i="6"/>
  <c r="M29" i="6"/>
  <c r="I30" i="6"/>
  <c r="M33" i="6"/>
  <c r="I34" i="6"/>
  <c r="M37" i="6"/>
  <c r="I38" i="6"/>
  <c r="M41" i="6"/>
  <c r="I42" i="6"/>
  <c r="M45" i="6"/>
  <c r="I46" i="6"/>
  <c r="M49" i="6"/>
  <c r="I50" i="6"/>
  <c r="M53" i="6"/>
  <c r="I54" i="6"/>
  <c r="M57" i="6"/>
  <c r="I58" i="6"/>
  <c r="M61" i="6"/>
  <c r="I62" i="6"/>
  <c r="Q64" i="6"/>
  <c r="I61" i="6"/>
  <c r="O5" i="6"/>
  <c r="K6" i="6"/>
  <c r="O9" i="6"/>
  <c r="K10" i="6"/>
  <c r="O13" i="6"/>
  <c r="K14" i="6"/>
  <c r="O17" i="6"/>
  <c r="K18" i="6"/>
  <c r="O21" i="6"/>
  <c r="K22" i="6"/>
  <c r="O25" i="6"/>
  <c r="K26" i="6"/>
  <c r="O29" i="6"/>
  <c r="K30" i="6"/>
  <c r="O33" i="6"/>
  <c r="K34" i="6"/>
  <c r="O37" i="6"/>
  <c r="K38" i="6"/>
  <c r="O41" i="6"/>
  <c r="K42" i="6"/>
  <c r="O45" i="6"/>
  <c r="K46" i="6"/>
  <c r="O49" i="6"/>
  <c r="K50" i="6"/>
  <c r="O53" i="6"/>
  <c r="K54" i="6"/>
  <c r="O57" i="6"/>
  <c r="K58" i="6"/>
  <c r="O61" i="6"/>
  <c r="K62" i="6"/>
  <c r="I5" i="6"/>
  <c r="I9" i="6"/>
  <c r="I13" i="6"/>
  <c r="I21" i="6"/>
  <c r="I45" i="6"/>
  <c r="I57" i="6"/>
  <c r="I47" i="5"/>
  <c r="Q47" i="5"/>
  <c r="O47" i="5"/>
  <c r="Q17" i="5"/>
  <c r="M17" i="5"/>
  <c r="O17" i="5"/>
  <c r="I17" i="5"/>
  <c r="M26" i="5"/>
  <c r="K26" i="5"/>
  <c r="I26" i="5"/>
  <c r="I35" i="5"/>
  <c r="Q35" i="5"/>
  <c r="I43" i="5"/>
  <c r="Q43" i="5"/>
  <c r="O43" i="5"/>
  <c r="Q61" i="5"/>
  <c r="M61" i="5"/>
  <c r="O61" i="5"/>
  <c r="I61" i="5"/>
  <c r="M10" i="5"/>
  <c r="K10" i="5"/>
  <c r="Q21" i="5"/>
  <c r="M21" i="5"/>
  <c r="O21" i="5"/>
  <c r="I21" i="5"/>
  <c r="M30" i="5"/>
  <c r="I30" i="5"/>
  <c r="K30" i="5"/>
  <c r="K31" i="5"/>
  <c r="I39" i="5"/>
  <c r="Q39" i="5"/>
  <c r="O39" i="5"/>
  <c r="K47" i="5"/>
  <c r="Q57" i="5"/>
  <c r="M57" i="5"/>
  <c r="I57" i="5"/>
  <c r="Q9" i="5"/>
  <c r="O9" i="5"/>
  <c r="I9" i="5"/>
  <c r="O22" i="5"/>
  <c r="Q25" i="5"/>
  <c r="O25" i="5"/>
  <c r="M25" i="5"/>
  <c r="I25" i="5"/>
  <c r="M34" i="5"/>
  <c r="I34" i="5"/>
  <c r="K34" i="5"/>
  <c r="K35" i="5"/>
  <c r="K43" i="5"/>
  <c r="M47" i="5"/>
  <c r="Q53" i="5"/>
  <c r="M53" i="5"/>
  <c r="O53" i="5"/>
  <c r="I53" i="5"/>
  <c r="K61" i="5"/>
  <c r="I31" i="5"/>
  <c r="Q31" i="5"/>
  <c r="K17" i="5"/>
  <c r="M35" i="5"/>
  <c r="M38" i="5"/>
  <c r="K38" i="5"/>
  <c r="I38" i="5"/>
  <c r="M43" i="5"/>
  <c r="Q49" i="5"/>
  <c r="O49" i="5"/>
  <c r="M49" i="5"/>
  <c r="I49" i="5"/>
  <c r="I63" i="5"/>
  <c r="Q63" i="5"/>
  <c r="O63" i="5"/>
  <c r="I7" i="5"/>
  <c r="Q7" i="5"/>
  <c r="I10" i="5"/>
  <c r="Q26" i="5"/>
  <c r="O30" i="5"/>
  <c r="Q33" i="5"/>
  <c r="M33" i="5"/>
  <c r="O33" i="5"/>
  <c r="I33" i="5"/>
  <c r="O35" i="5"/>
  <c r="M39" i="5"/>
  <c r="Q45" i="5"/>
  <c r="M45" i="5"/>
  <c r="O45" i="5"/>
  <c r="I45" i="5"/>
  <c r="I59" i="5"/>
  <c r="Q59" i="5"/>
  <c r="O59" i="5"/>
  <c r="M6" i="5"/>
  <c r="K6" i="5"/>
  <c r="K9" i="5"/>
  <c r="O10" i="5"/>
  <c r="M14" i="5"/>
  <c r="I14" i="5"/>
  <c r="K14" i="5"/>
  <c r="I23" i="5"/>
  <c r="Q23" i="5"/>
  <c r="K25" i="5"/>
  <c r="Q30" i="5"/>
  <c r="O34" i="5"/>
  <c r="Q37" i="5"/>
  <c r="O37" i="5"/>
  <c r="M37" i="5"/>
  <c r="I37" i="5"/>
  <c r="Q41" i="5"/>
  <c r="M41" i="5"/>
  <c r="O41" i="5"/>
  <c r="I41" i="5"/>
  <c r="K49" i="5"/>
  <c r="I55" i="5"/>
  <c r="Q55" i="5"/>
  <c r="O55" i="5"/>
  <c r="K63" i="5"/>
  <c r="M22" i="5"/>
  <c r="I22" i="5"/>
  <c r="K22" i="5"/>
  <c r="I11" i="5"/>
  <c r="Q11" i="5"/>
  <c r="M11" i="5"/>
  <c r="I15" i="5"/>
  <c r="Q15" i="5"/>
  <c r="O26" i="5"/>
  <c r="Q29" i="5"/>
  <c r="M29" i="5"/>
  <c r="O29" i="5"/>
  <c r="I29" i="5"/>
  <c r="O31" i="5"/>
  <c r="O11" i="5"/>
  <c r="I19" i="5"/>
  <c r="Q19" i="5"/>
  <c r="Q5" i="5"/>
  <c r="O5" i="5"/>
  <c r="I5" i="5"/>
  <c r="K7" i="5"/>
  <c r="Q10" i="5"/>
  <c r="Q13" i="5"/>
  <c r="O13" i="5"/>
  <c r="I13" i="5"/>
  <c r="M15" i="5"/>
  <c r="M18" i="5"/>
  <c r="I18" i="5"/>
  <c r="K18" i="5"/>
  <c r="K19" i="5"/>
  <c r="I27" i="5"/>
  <c r="Q27" i="5"/>
  <c r="K29" i="5"/>
  <c r="O38" i="5"/>
  <c r="K45" i="5"/>
  <c r="I51" i="5"/>
  <c r="Q51" i="5"/>
  <c r="O51" i="5"/>
  <c r="K59" i="5"/>
  <c r="M63" i="5"/>
  <c r="M16" i="5"/>
  <c r="M20" i="5"/>
  <c r="M24" i="5"/>
  <c r="M28" i="5"/>
  <c r="M32" i="5"/>
  <c r="M36" i="5"/>
  <c r="M40" i="5"/>
  <c r="M44" i="5"/>
  <c r="M48" i="5"/>
  <c r="M52" i="5"/>
  <c r="M56" i="5"/>
  <c r="I50" i="5"/>
  <c r="I58" i="5"/>
  <c r="K42" i="5"/>
  <c r="K46" i="5"/>
  <c r="K50" i="5"/>
  <c r="K54" i="5"/>
  <c r="K58" i="5"/>
  <c r="K62" i="5"/>
  <c r="I42" i="5"/>
  <c r="I46" i="5"/>
  <c r="I54" i="5"/>
  <c r="I62" i="5"/>
  <c r="R21" i="4"/>
  <c r="R62" i="4"/>
  <c r="E64" i="4"/>
  <c r="E63" i="4"/>
  <c r="O63" i="4" s="1"/>
  <c r="E62" i="4"/>
  <c r="O62" i="4" s="1"/>
  <c r="E61" i="4"/>
  <c r="O61" i="4" s="1"/>
  <c r="E60" i="4"/>
  <c r="E59" i="4"/>
  <c r="E58" i="4"/>
  <c r="E57" i="4"/>
  <c r="E56" i="4"/>
  <c r="O56" i="4" s="1"/>
  <c r="E55" i="4"/>
  <c r="Q54" i="4"/>
  <c r="E54" i="4"/>
  <c r="U54" i="4" s="1"/>
  <c r="E53" i="4"/>
  <c r="E52" i="4"/>
  <c r="E51" i="4"/>
  <c r="U51" i="4" s="1"/>
  <c r="M50" i="4"/>
  <c r="E50" i="4"/>
  <c r="Q50" i="4" s="1"/>
  <c r="E49" i="4"/>
  <c r="E48" i="4"/>
  <c r="E47" i="4"/>
  <c r="K47" i="4" s="1"/>
  <c r="E46" i="4"/>
  <c r="E45" i="4"/>
  <c r="O45" i="4" s="1"/>
  <c r="E44" i="4"/>
  <c r="E43" i="4"/>
  <c r="U43" i="4" s="1"/>
  <c r="E42" i="4"/>
  <c r="E41" i="4"/>
  <c r="U41" i="4" s="1"/>
  <c r="E40" i="4"/>
  <c r="K39" i="4"/>
  <c r="E39" i="4"/>
  <c r="Q39" i="4" s="1"/>
  <c r="E38" i="4"/>
  <c r="E37" i="4"/>
  <c r="E36" i="4"/>
  <c r="E35" i="4"/>
  <c r="E34" i="4"/>
  <c r="E33" i="4"/>
  <c r="E32" i="4"/>
  <c r="E31" i="4"/>
  <c r="E30" i="4"/>
  <c r="E29" i="4"/>
  <c r="I29" i="4" s="1"/>
  <c r="E28" i="4"/>
  <c r="E27" i="4"/>
  <c r="E26" i="4"/>
  <c r="K26" i="4" s="1"/>
  <c r="E25" i="4"/>
  <c r="U25" i="4" s="1"/>
  <c r="E24" i="4"/>
  <c r="E23" i="4"/>
  <c r="E22" i="4"/>
  <c r="M21" i="4"/>
  <c r="E21" i="4"/>
  <c r="E20" i="4"/>
  <c r="E19" i="4"/>
  <c r="E18" i="4"/>
  <c r="E17" i="4"/>
  <c r="E16" i="4"/>
  <c r="E15" i="4"/>
  <c r="E14" i="4"/>
  <c r="E13" i="4"/>
  <c r="O13" i="4" s="1"/>
  <c r="E12" i="4"/>
  <c r="O12" i="4" s="1"/>
  <c r="E11" i="4"/>
  <c r="E10" i="4"/>
  <c r="E9" i="4"/>
  <c r="E8" i="4"/>
  <c r="U8" i="4" s="1"/>
  <c r="E7" i="4"/>
  <c r="E6" i="4"/>
  <c r="U6" i="4" s="1"/>
  <c r="E5" i="4"/>
  <c r="Q5" i="4" s="1"/>
  <c r="S10" i="1"/>
  <c r="S14" i="1"/>
  <c r="S18" i="1"/>
  <c r="S22" i="1"/>
  <c r="S26" i="1"/>
  <c r="S30" i="1"/>
  <c r="S34" i="1"/>
  <c r="S38" i="1"/>
  <c r="S42" i="1"/>
  <c r="S47" i="1"/>
  <c r="S51" i="1"/>
  <c r="S55" i="1"/>
  <c r="V6" i="1"/>
  <c r="V7" i="1"/>
  <c r="V8" i="1"/>
  <c r="V9" i="1"/>
  <c r="V10" i="1"/>
  <c r="V11" i="1"/>
  <c r="V12" i="1"/>
  <c r="V13" i="1"/>
  <c r="V14" i="1"/>
  <c r="V15" i="1"/>
  <c r="Z15" i="1" s="1"/>
  <c r="AA15" i="1" s="1"/>
  <c r="V16" i="1"/>
  <c r="V17" i="1"/>
  <c r="V18" i="1"/>
  <c r="V19" i="1"/>
  <c r="Z19" i="1" s="1"/>
  <c r="V20" i="1"/>
  <c r="V21" i="1"/>
  <c r="Z21" i="1" s="1"/>
  <c r="F21" i="4" s="1"/>
  <c r="V22" i="1"/>
  <c r="V23" i="1"/>
  <c r="Z23" i="1" s="1"/>
  <c r="F23" i="4" s="1"/>
  <c r="R23" i="4" s="1"/>
  <c r="V24" i="1"/>
  <c r="V25" i="1"/>
  <c r="Z25" i="1" s="1"/>
  <c r="V26" i="1"/>
  <c r="V27" i="1"/>
  <c r="Z27" i="1" s="1"/>
  <c r="F27" i="4" s="1"/>
  <c r="R27" i="4" s="1"/>
  <c r="V28" i="1"/>
  <c r="V29" i="1"/>
  <c r="Z29" i="1" s="1"/>
  <c r="V30" i="1"/>
  <c r="V31" i="1"/>
  <c r="Z31" i="1" s="1"/>
  <c r="V32" i="1"/>
  <c r="V33" i="1"/>
  <c r="Z33" i="1" s="1"/>
  <c r="F33" i="4" s="1"/>
  <c r="R33" i="4" s="1"/>
  <c r="V34" i="1"/>
  <c r="V35" i="1"/>
  <c r="Z35" i="1" s="1"/>
  <c r="F35" i="4" s="1"/>
  <c r="R35" i="4" s="1"/>
  <c r="V36" i="1"/>
  <c r="V37" i="1"/>
  <c r="Z37" i="1" s="1"/>
  <c r="V38" i="1"/>
  <c r="V39" i="1"/>
  <c r="Z39" i="1" s="1"/>
  <c r="F39" i="4" s="1"/>
  <c r="R39" i="4" s="1"/>
  <c r="V40" i="1"/>
  <c r="V41" i="1"/>
  <c r="Z41" i="1" s="1"/>
  <c r="F41" i="4" s="1"/>
  <c r="R41" i="4" s="1"/>
  <c r="V42" i="1"/>
  <c r="V43" i="1"/>
  <c r="Z43" i="1" s="1"/>
  <c r="V44" i="1"/>
  <c r="V45" i="1"/>
  <c r="Z45" i="1" s="1"/>
  <c r="V46" i="1"/>
  <c r="Z46" i="1" s="1"/>
  <c r="F46" i="4" s="1"/>
  <c r="R46" i="4" s="1"/>
  <c r="V46" i="4" s="1"/>
  <c r="V47" i="1"/>
  <c r="Z47" i="1" s="1"/>
  <c r="F47" i="4" s="1"/>
  <c r="R47" i="4" s="1"/>
  <c r="V48" i="1"/>
  <c r="V49" i="1"/>
  <c r="Z49" i="1" s="1"/>
  <c r="V50" i="1"/>
  <c r="V51" i="1"/>
  <c r="Z51" i="1" s="1"/>
  <c r="V52" i="1"/>
  <c r="V53" i="1"/>
  <c r="Z53" i="1" s="1"/>
  <c r="F53" i="4" s="1"/>
  <c r="R53" i="4" s="1"/>
  <c r="V53" i="4" s="1"/>
  <c r="V54" i="1"/>
  <c r="V55" i="1"/>
  <c r="Z55" i="1" s="1"/>
  <c r="F55" i="4" s="1"/>
  <c r="R55" i="4" s="1"/>
  <c r="W55" i="1"/>
  <c r="V56" i="1"/>
  <c r="V57" i="1"/>
  <c r="Z57" i="1" s="1"/>
  <c r="F57" i="4" s="1"/>
  <c r="R57" i="4" s="1"/>
  <c r="V58" i="1"/>
  <c r="Z58" i="1" s="1"/>
  <c r="F58" i="4" s="1"/>
  <c r="R58" i="4" s="1"/>
  <c r="V58" i="4" s="1"/>
  <c r="V59" i="1"/>
  <c r="Z59" i="1" s="1"/>
  <c r="F59" i="4" s="1"/>
  <c r="R59" i="4" s="1"/>
  <c r="V60" i="1"/>
  <c r="Z60" i="1" s="1"/>
  <c r="F60" i="4" s="1"/>
  <c r="R60" i="4" s="1"/>
  <c r="V61" i="1"/>
  <c r="Z61" i="1" s="1"/>
  <c r="F61" i="4" s="1"/>
  <c r="R61" i="4" s="1"/>
  <c r="V62" i="1"/>
  <c r="Z62" i="1" s="1"/>
  <c r="F62" i="4" s="1"/>
  <c r="V63" i="1"/>
  <c r="Z63" i="1" s="1"/>
  <c r="F63" i="4" s="1"/>
  <c r="R63" i="4" s="1"/>
  <c r="V64" i="1"/>
  <c r="V5" i="1"/>
  <c r="U7" i="1"/>
  <c r="U11" i="1"/>
  <c r="U15" i="1"/>
  <c r="U19" i="1"/>
  <c r="U23" i="1"/>
  <c r="U27" i="1"/>
  <c r="U31" i="1"/>
  <c r="U35" i="1"/>
  <c r="U39" i="1"/>
  <c r="U43" i="1"/>
  <c r="U47" i="1"/>
  <c r="U51" i="1"/>
  <c r="U55" i="1"/>
  <c r="S6" i="1"/>
  <c r="Q50" i="1"/>
  <c r="Q54" i="1"/>
  <c r="O50" i="1"/>
  <c r="O54" i="1"/>
  <c r="E64" i="1"/>
  <c r="S64" i="1" s="1"/>
  <c r="E63" i="1"/>
  <c r="E62" i="1"/>
  <c r="E61" i="1"/>
  <c r="AA61" i="1" s="1"/>
  <c r="E60" i="1"/>
  <c r="E59" i="1"/>
  <c r="E58" i="1"/>
  <c r="E57" i="1"/>
  <c r="E56" i="1"/>
  <c r="Q56" i="1" s="1"/>
  <c r="E55" i="1"/>
  <c r="E54" i="1"/>
  <c r="E53" i="1"/>
  <c r="Q53" i="1" s="1"/>
  <c r="E52" i="1"/>
  <c r="Q52" i="1" s="1"/>
  <c r="E51" i="1"/>
  <c r="E50" i="1"/>
  <c r="E49" i="1"/>
  <c r="Q49" i="1" s="1"/>
  <c r="E48" i="1"/>
  <c r="Q48" i="1" s="1"/>
  <c r="E47" i="1"/>
  <c r="E46" i="1"/>
  <c r="E45" i="1"/>
  <c r="U45" i="1" s="1"/>
  <c r="E44" i="1"/>
  <c r="S44" i="1" s="1"/>
  <c r="E43" i="1"/>
  <c r="E42" i="1"/>
  <c r="E41" i="1"/>
  <c r="S41" i="1" s="1"/>
  <c r="E40" i="1"/>
  <c r="S40" i="1" s="1"/>
  <c r="E39" i="1"/>
  <c r="W39" i="1" s="1"/>
  <c r="E38" i="1"/>
  <c r="E37" i="1"/>
  <c r="E36" i="1"/>
  <c r="S36" i="1" s="1"/>
  <c r="E35" i="1"/>
  <c r="E34" i="1"/>
  <c r="E33" i="1"/>
  <c r="W33" i="1" s="1"/>
  <c r="E32" i="1"/>
  <c r="S32" i="1" s="1"/>
  <c r="E31" i="1"/>
  <c r="W31" i="1" s="1"/>
  <c r="E30" i="1"/>
  <c r="E29" i="1"/>
  <c r="S29" i="1" s="1"/>
  <c r="E28" i="1"/>
  <c r="S28" i="1" s="1"/>
  <c r="E27" i="1"/>
  <c r="E26" i="1"/>
  <c r="E25" i="1"/>
  <c r="E24" i="1"/>
  <c r="S24" i="1" s="1"/>
  <c r="E23" i="1"/>
  <c r="W23" i="1" s="1"/>
  <c r="E22" i="1"/>
  <c r="E21" i="1"/>
  <c r="U21" i="1" s="1"/>
  <c r="E20" i="1"/>
  <c r="S20" i="1" s="1"/>
  <c r="E19" i="1"/>
  <c r="E18" i="1"/>
  <c r="E17" i="1"/>
  <c r="S17" i="1" s="1"/>
  <c r="E16" i="1"/>
  <c r="S16" i="1" s="1"/>
  <c r="E15" i="1"/>
  <c r="E14" i="1"/>
  <c r="E13" i="1"/>
  <c r="E12" i="1"/>
  <c r="S12" i="1" s="1"/>
  <c r="E11" i="1"/>
  <c r="E10" i="1"/>
  <c r="E9" i="1"/>
  <c r="E8" i="1"/>
  <c r="S8" i="1" s="1"/>
  <c r="E7" i="1"/>
  <c r="E6" i="1"/>
  <c r="E5" i="1"/>
  <c r="U5" i="1" s="1"/>
  <c r="K13" i="1" l="1"/>
  <c r="Y13" i="1"/>
  <c r="G9" i="1"/>
  <c r="Y9" i="1"/>
  <c r="G25" i="1"/>
  <c r="AA25" i="1"/>
  <c r="Y25" i="1"/>
  <c r="M37" i="1"/>
  <c r="AA37" i="1"/>
  <c r="Y37" i="1"/>
  <c r="O5" i="1"/>
  <c r="O41" i="1"/>
  <c r="O29" i="1"/>
  <c r="O17" i="1"/>
  <c r="Q5" i="1"/>
  <c r="Q45" i="1"/>
  <c r="Q29" i="1"/>
  <c r="S5" i="1"/>
  <c r="W32" i="1"/>
  <c r="Z32" i="1"/>
  <c r="F32" i="4" s="1"/>
  <c r="R32" i="4" s="1"/>
  <c r="V32" i="4" s="1"/>
  <c r="V68" i="16"/>
  <c r="S68" i="16"/>
  <c r="R66" i="20"/>
  <c r="G66" i="20"/>
  <c r="R67" i="11"/>
  <c r="G67" i="11"/>
  <c r="G6" i="1"/>
  <c r="Y6" i="1"/>
  <c r="G10" i="1"/>
  <c r="Y10" i="1"/>
  <c r="G14" i="1"/>
  <c r="Y14" i="1"/>
  <c r="G18" i="1"/>
  <c r="Y18" i="1"/>
  <c r="G22" i="1"/>
  <c r="Y22" i="1"/>
  <c r="G26" i="1"/>
  <c r="Y26" i="1"/>
  <c r="G30" i="1"/>
  <c r="Y30" i="1"/>
  <c r="G34" i="1"/>
  <c r="Y34" i="1"/>
  <c r="G38" i="1"/>
  <c r="Y38" i="1"/>
  <c r="G42" i="1"/>
  <c r="Y42" i="1"/>
  <c r="AA46" i="1"/>
  <c r="G50" i="1"/>
  <c r="Y50" i="1"/>
  <c r="G54" i="1"/>
  <c r="Y54" i="1"/>
  <c r="U58" i="1"/>
  <c r="AA58" i="1"/>
  <c r="Q62" i="1"/>
  <c r="AA62" i="1"/>
  <c r="K37" i="1"/>
  <c r="O64" i="1"/>
  <c r="O53" i="1"/>
  <c r="O49" i="1"/>
  <c r="O44" i="1"/>
  <c r="O40" i="1"/>
  <c r="O36" i="1"/>
  <c r="O32" i="1"/>
  <c r="O28" i="1"/>
  <c r="O24" i="1"/>
  <c r="O20" i="1"/>
  <c r="O16" i="1"/>
  <c r="O12" i="1"/>
  <c r="O8" i="1"/>
  <c r="Q64" i="1"/>
  <c r="Q44" i="1"/>
  <c r="Q40" i="1"/>
  <c r="Q36" i="1"/>
  <c r="Q32" i="1"/>
  <c r="Q28" i="1"/>
  <c r="Q24" i="1"/>
  <c r="Q20" i="1"/>
  <c r="Q16" i="1"/>
  <c r="Q12" i="1"/>
  <c r="Q8" i="1"/>
  <c r="S9" i="1"/>
  <c r="U54" i="1"/>
  <c r="U50" i="1"/>
  <c r="U46" i="1"/>
  <c r="U42" i="1"/>
  <c r="U38" i="1"/>
  <c r="U34" i="1"/>
  <c r="U30" i="1"/>
  <c r="U26" i="1"/>
  <c r="U22" i="1"/>
  <c r="U18" i="1"/>
  <c r="U14" i="1"/>
  <c r="U10" i="1"/>
  <c r="U6" i="1"/>
  <c r="W48" i="1"/>
  <c r="Z48" i="1"/>
  <c r="F48" i="4" s="1"/>
  <c r="R48" i="4" s="1"/>
  <c r="V48" i="4" s="1"/>
  <c r="W45" i="1"/>
  <c r="W34" i="1"/>
  <c r="Z34" i="1"/>
  <c r="F34" i="4" s="1"/>
  <c r="R34" i="4" s="1"/>
  <c r="V34" i="4" s="1"/>
  <c r="W26" i="1"/>
  <c r="Z26" i="1"/>
  <c r="F26" i="4" s="1"/>
  <c r="R26" i="4" s="1"/>
  <c r="S54" i="1"/>
  <c r="S50" i="1"/>
  <c r="S45" i="1"/>
  <c r="S37" i="1"/>
  <c r="S33" i="1"/>
  <c r="S25" i="1"/>
  <c r="S21" i="1"/>
  <c r="S13" i="1"/>
  <c r="K6" i="4"/>
  <c r="I13" i="4"/>
  <c r="M39" i="4"/>
  <c r="M45" i="4"/>
  <c r="U57" i="4"/>
  <c r="O57" i="4"/>
  <c r="Q63" i="4"/>
  <c r="G49" i="32"/>
  <c r="X49" i="31"/>
  <c r="V70" i="16"/>
  <c r="S70" i="16"/>
  <c r="V68" i="20"/>
  <c r="W68" i="20" s="1"/>
  <c r="S68" i="20"/>
  <c r="V65" i="20"/>
  <c r="W65" i="20" s="1"/>
  <c r="S65" i="20"/>
  <c r="G17" i="1"/>
  <c r="Y17" i="1"/>
  <c r="M29" i="1"/>
  <c r="AA29" i="1"/>
  <c r="Y29" i="1"/>
  <c r="G41" i="1"/>
  <c r="AA41" i="1"/>
  <c r="Y41" i="1"/>
  <c r="G49" i="1"/>
  <c r="Y49" i="1"/>
  <c r="M53" i="1"/>
  <c r="AA53" i="1"/>
  <c r="Y53" i="1"/>
  <c r="K53" i="1"/>
  <c r="O37" i="1"/>
  <c r="O25" i="1"/>
  <c r="O13" i="1"/>
  <c r="Q41" i="1"/>
  <c r="Q33" i="1"/>
  <c r="Q21" i="1"/>
  <c r="Q17" i="1"/>
  <c r="Q9" i="1"/>
  <c r="W40" i="1"/>
  <c r="Z40" i="1"/>
  <c r="F40" i="4" s="1"/>
  <c r="R40" i="4" s="1"/>
  <c r="V40" i="4" s="1"/>
  <c r="W37" i="1"/>
  <c r="W24" i="1"/>
  <c r="Z24" i="1"/>
  <c r="F24" i="4" s="1"/>
  <c r="R24" i="4" s="1"/>
  <c r="V24" i="4" s="1"/>
  <c r="W21" i="1"/>
  <c r="G53" i="4"/>
  <c r="G7" i="1"/>
  <c r="Y7" i="1"/>
  <c r="G11" i="1"/>
  <c r="Y11" i="1"/>
  <c r="G15" i="1"/>
  <c r="Y15" i="1"/>
  <c r="G19" i="1"/>
  <c r="AA19" i="1"/>
  <c r="Y19" i="1"/>
  <c r="G23" i="1"/>
  <c r="AA23" i="1"/>
  <c r="Y23" i="1"/>
  <c r="G27" i="1"/>
  <c r="AA27" i="1"/>
  <c r="Y27" i="1"/>
  <c r="G31" i="1"/>
  <c r="AA31" i="1"/>
  <c r="Y31" i="1"/>
  <c r="G35" i="1"/>
  <c r="AA35" i="1"/>
  <c r="Y35" i="1"/>
  <c r="G39" i="1"/>
  <c r="AA39" i="1"/>
  <c r="Y39" i="1"/>
  <c r="G43" i="1"/>
  <c r="AA43" i="1"/>
  <c r="Y43" i="1"/>
  <c r="G47" i="1"/>
  <c r="AA47" i="1"/>
  <c r="Y47" i="1"/>
  <c r="G51" i="1"/>
  <c r="AA51" i="1"/>
  <c r="Y51" i="1"/>
  <c r="G55" i="1"/>
  <c r="AA55" i="1"/>
  <c r="Y55" i="1"/>
  <c r="AA59" i="1"/>
  <c r="W63" i="1"/>
  <c r="AA63" i="1"/>
  <c r="K20" i="1"/>
  <c r="O56" i="1"/>
  <c r="O52" i="1"/>
  <c r="O48" i="1"/>
  <c r="O43" i="1"/>
  <c r="O39" i="1"/>
  <c r="O35" i="1"/>
  <c r="O31" i="1"/>
  <c r="O27" i="1"/>
  <c r="O23" i="1"/>
  <c r="O19" i="1"/>
  <c r="O15" i="1"/>
  <c r="O11" i="1"/>
  <c r="O7" i="1"/>
  <c r="Q43" i="1"/>
  <c r="Q39" i="1"/>
  <c r="Q35" i="1"/>
  <c r="Q31" i="1"/>
  <c r="Q27" i="1"/>
  <c r="Q23" i="1"/>
  <c r="Q19" i="1"/>
  <c r="Q15" i="1"/>
  <c r="Q11" i="1"/>
  <c r="Q7" i="1"/>
  <c r="U64" i="1"/>
  <c r="U53" i="1"/>
  <c r="U49" i="1"/>
  <c r="U41" i="1"/>
  <c r="U37" i="1"/>
  <c r="U33" i="1"/>
  <c r="U29" i="1"/>
  <c r="U25" i="1"/>
  <c r="U17" i="1"/>
  <c r="U13" i="1"/>
  <c r="U9" i="1"/>
  <c r="W54" i="1"/>
  <c r="Z54" i="1"/>
  <c r="F54" i="4" s="1"/>
  <c r="R54" i="4" s="1"/>
  <c r="W47" i="1"/>
  <c r="W41" i="1"/>
  <c r="W36" i="1"/>
  <c r="Z36" i="1"/>
  <c r="F36" i="4" s="1"/>
  <c r="R36" i="4" s="1"/>
  <c r="W28" i="1"/>
  <c r="Z28" i="1"/>
  <c r="F28" i="4" s="1"/>
  <c r="R28" i="4" s="1"/>
  <c r="V28" i="4" s="1"/>
  <c r="W25" i="1"/>
  <c r="W20" i="1"/>
  <c r="Z20" i="1"/>
  <c r="F20" i="4" s="1"/>
  <c r="R20" i="4" s="1"/>
  <c r="S20" i="4" s="1"/>
  <c r="S53" i="1"/>
  <c r="S49" i="1"/>
  <c r="O5" i="4"/>
  <c r="M13" i="4"/>
  <c r="U58" i="4"/>
  <c r="O58" i="4"/>
  <c r="U64" i="4"/>
  <c r="O64" i="4"/>
  <c r="X64" i="21"/>
  <c r="G64" i="23"/>
  <c r="G64" i="22"/>
  <c r="G5" i="1"/>
  <c r="Y5" i="1"/>
  <c r="K21" i="1"/>
  <c r="AA21" i="1"/>
  <c r="Y21" i="1"/>
  <c r="G33" i="1"/>
  <c r="AA33" i="1"/>
  <c r="Y33" i="1"/>
  <c r="K45" i="1"/>
  <c r="AA45" i="1"/>
  <c r="Y45" i="1"/>
  <c r="U57" i="1"/>
  <c r="AA57" i="1"/>
  <c r="O45" i="1"/>
  <c r="O33" i="1"/>
  <c r="O21" i="1"/>
  <c r="O9" i="1"/>
  <c r="Q37" i="1"/>
  <c r="Q25" i="1"/>
  <c r="Q13" i="1"/>
  <c r="W29" i="1"/>
  <c r="G8" i="1"/>
  <c r="Y8" i="1"/>
  <c r="K12" i="1"/>
  <c r="Y12" i="1"/>
  <c r="G16" i="1"/>
  <c r="Y16" i="1"/>
  <c r="M20" i="1"/>
  <c r="AA20" i="1"/>
  <c r="Y20" i="1"/>
  <c r="G24" i="1"/>
  <c r="AA24" i="1"/>
  <c r="Y24" i="1"/>
  <c r="M28" i="1"/>
  <c r="AA28" i="1"/>
  <c r="Y28" i="1"/>
  <c r="G32" i="1"/>
  <c r="AA32" i="1"/>
  <c r="Y32" i="1"/>
  <c r="K36" i="1"/>
  <c r="AA36" i="1"/>
  <c r="Y36" i="1"/>
  <c r="G40" i="1"/>
  <c r="AA40" i="1"/>
  <c r="Y40" i="1"/>
  <c r="M44" i="1"/>
  <c r="Y44" i="1"/>
  <c r="G48" i="1"/>
  <c r="AA48" i="1"/>
  <c r="Y48" i="1"/>
  <c r="M52" i="1"/>
  <c r="Y52" i="1"/>
  <c r="G56" i="1"/>
  <c r="Y56" i="1"/>
  <c r="U60" i="1"/>
  <c r="AA60" i="1"/>
  <c r="G64" i="1"/>
  <c r="Y64" i="1"/>
  <c r="M36" i="1"/>
  <c r="O55" i="1"/>
  <c r="O51" i="1"/>
  <c r="O47" i="1"/>
  <c r="O42" i="1"/>
  <c r="O38" i="1"/>
  <c r="O34" i="1"/>
  <c r="O30" i="1"/>
  <c r="O26" i="1"/>
  <c r="O22" i="1"/>
  <c r="O18" i="1"/>
  <c r="O14" i="1"/>
  <c r="O10" i="1"/>
  <c r="O6" i="1"/>
  <c r="Q55" i="1"/>
  <c r="Q51" i="1"/>
  <c r="Q47" i="1"/>
  <c r="Q42" i="1"/>
  <c r="Q38" i="1"/>
  <c r="Q34" i="1"/>
  <c r="Q30" i="1"/>
  <c r="Q26" i="1"/>
  <c r="Q22" i="1"/>
  <c r="Q18" i="1"/>
  <c r="Q14" i="1"/>
  <c r="Q10" i="1"/>
  <c r="Q6" i="1"/>
  <c r="S7" i="1"/>
  <c r="U56" i="1"/>
  <c r="U52" i="1"/>
  <c r="U48" i="1"/>
  <c r="U44" i="1"/>
  <c r="U40" i="1"/>
  <c r="U36" i="1"/>
  <c r="U32" i="1"/>
  <c r="U28" i="1"/>
  <c r="U24" i="1"/>
  <c r="U20" i="1"/>
  <c r="U16" i="1"/>
  <c r="U12" i="1"/>
  <c r="U8" i="1"/>
  <c r="W56" i="1"/>
  <c r="Z56" i="1"/>
  <c r="F56" i="4" s="1"/>
  <c r="R56" i="4" s="1"/>
  <c r="V56" i="4" s="1"/>
  <c r="F56" i="5" s="1"/>
  <c r="W53" i="1"/>
  <c r="W44" i="1"/>
  <c r="Z44" i="1"/>
  <c r="F44" i="4" s="1"/>
  <c r="R44" i="4" s="1"/>
  <c r="V44" i="4" s="1"/>
  <c r="F44" i="5" s="1"/>
  <c r="W35" i="1"/>
  <c r="W30" i="1"/>
  <c r="Z30" i="1"/>
  <c r="F30" i="4" s="1"/>
  <c r="R30" i="4" s="1"/>
  <c r="V30" i="4" s="1"/>
  <c r="F30" i="5" s="1"/>
  <c r="W27" i="1"/>
  <c r="W22" i="1"/>
  <c r="Z22" i="1"/>
  <c r="F22" i="4" s="1"/>
  <c r="R22" i="4" s="1"/>
  <c r="W19" i="1"/>
  <c r="S56" i="1"/>
  <c r="S52" i="1"/>
  <c r="S48" i="1"/>
  <c r="S43" i="1"/>
  <c r="S39" i="1"/>
  <c r="S35" i="1"/>
  <c r="S31" i="1"/>
  <c r="S27" i="1"/>
  <c r="S23" i="1"/>
  <c r="S19" i="1"/>
  <c r="S15" i="1"/>
  <c r="S11" i="1"/>
  <c r="M58" i="4"/>
  <c r="V65" i="16"/>
  <c r="S65" i="16"/>
  <c r="W69" i="13"/>
  <c r="F69" i="20"/>
  <c r="F69" i="16"/>
  <c r="R66" i="16"/>
  <c r="G66" i="16"/>
  <c r="V70" i="20"/>
  <c r="W70" i="20" s="1"/>
  <c r="S70" i="20"/>
  <c r="M10" i="4"/>
  <c r="U10" i="4"/>
  <c r="O15" i="4"/>
  <c r="U15" i="4"/>
  <c r="I19" i="4"/>
  <c r="U19" i="4"/>
  <c r="Q28" i="4"/>
  <c r="U28" i="4"/>
  <c r="M34" i="4"/>
  <c r="U34" i="4"/>
  <c r="K48" i="4"/>
  <c r="U48" i="4"/>
  <c r="Q60" i="4"/>
  <c r="U60" i="4"/>
  <c r="V35" i="4"/>
  <c r="F35" i="5" s="1"/>
  <c r="R35" i="5" s="1"/>
  <c r="W24" i="4"/>
  <c r="F24" i="5"/>
  <c r="R24" i="5" s="1"/>
  <c r="V24" i="5" s="1"/>
  <c r="K10" i="4"/>
  <c r="Q20" i="4"/>
  <c r="U20" i="4"/>
  <c r="M26" i="4"/>
  <c r="U26" i="4"/>
  <c r="O26" i="4"/>
  <c r="O31" i="4"/>
  <c r="U31" i="4"/>
  <c r="O34" i="4"/>
  <c r="O41" i="4"/>
  <c r="G47" i="4"/>
  <c r="O53" i="4"/>
  <c r="O55" i="4"/>
  <c r="U55" i="4"/>
  <c r="U61" i="4"/>
  <c r="V63" i="4"/>
  <c r="F63" i="5" s="1"/>
  <c r="G63" i="5" s="1"/>
  <c r="W34" i="4"/>
  <c r="F34" i="5"/>
  <c r="V23" i="4"/>
  <c r="F23" i="5" s="1"/>
  <c r="G23" i="5" s="1"/>
  <c r="K5" i="4"/>
  <c r="U5" i="4"/>
  <c r="O10" i="4"/>
  <c r="Q15" i="4"/>
  <c r="M18" i="4"/>
  <c r="U18" i="4"/>
  <c r="K21" i="4"/>
  <c r="U21" i="4"/>
  <c r="O23" i="4"/>
  <c r="U23" i="4"/>
  <c r="G26" i="4"/>
  <c r="Q26" i="4"/>
  <c r="K32" i="4"/>
  <c r="U32" i="4"/>
  <c r="Q34" i="4"/>
  <c r="Q38" i="4"/>
  <c r="U38" i="4"/>
  <c r="M42" i="4"/>
  <c r="U42" i="4"/>
  <c r="K45" i="4"/>
  <c r="U45" i="4"/>
  <c r="M46" i="4"/>
  <c r="U46" i="4"/>
  <c r="I50" i="4"/>
  <c r="U50" i="4"/>
  <c r="Q55" i="4"/>
  <c r="I58" i="4"/>
  <c r="Q58" i="4"/>
  <c r="Q62" i="4"/>
  <c r="U62" i="4"/>
  <c r="V62" i="4"/>
  <c r="V47" i="4"/>
  <c r="F47" i="5" s="1"/>
  <c r="G47" i="5" s="1"/>
  <c r="V39" i="4"/>
  <c r="F39" i="5" s="1"/>
  <c r="R39" i="5" s="1"/>
  <c r="V33" i="4"/>
  <c r="V27" i="4"/>
  <c r="F27" i="5" s="1"/>
  <c r="G27" i="5" s="1"/>
  <c r="V22" i="4"/>
  <c r="Q12" i="4"/>
  <c r="U12" i="4"/>
  <c r="O17" i="4"/>
  <c r="U17" i="4"/>
  <c r="Q30" i="4"/>
  <c r="U30" i="4"/>
  <c r="Q36" i="4"/>
  <c r="U36" i="4"/>
  <c r="O47" i="4"/>
  <c r="U47" i="4"/>
  <c r="M53" i="4"/>
  <c r="U53" i="4"/>
  <c r="V59" i="4"/>
  <c r="F59" i="5" s="1"/>
  <c r="R59" i="5" s="1"/>
  <c r="V59" i="5" s="1"/>
  <c r="V41" i="4"/>
  <c r="O7" i="4"/>
  <c r="U7" i="4"/>
  <c r="M12" i="4"/>
  <c r="M15" i="4"/>
  <c r="Q17" i="4"/>
  <c r="Q22" i="4"/>
  <c r="U22" i="4"/>
  <c r="K29" i="4"/>
  <c r="U29" i="4"/>
  <c r="K37" i="4"/>
  <c r="U37" i="4"/>
  <c r="Q44" i="4"/>
  <c r="U44" i="4"/>
  <c r="O49" i="4"/>
  <c r="U49" i="4"/>
  <c r="W40" i="4"/>
  <c r="F40" i="5"/>
  <c r="G40" i="5" s="1"/>
  <c r="W28" i="4"/>
  <c r="F28" i="5"/>
  <c r="I5" i="4"/>
  <c r="I6" i="4"/>
  <c r="O9" i="4"/>
  <c r="U9" i="4"/>
  <c r="I11" i="4"/>
  <c r="U11" i="4"/>
  <c r="K13" i="4"/>
  <c r="U13" i="4"/>
  <c r="M14" i="4"/>
  <c r="U14" i="4"/>
  <c r="K16" i="4"/>
  <c r="U16" i="4"/>
  <c r="K18" i="4"/>
  <c r="I21" i="4"/>
  <c r="K24" i="4"/>
  <c r="U24" i="4"/>
  <c r="I26" i="4"/>
  <c r="G27" i="4"/>
  <c r="U27" i="4"/>
  <c r="O29" i="4"/>
  <c r="O33" i="4"/>
  <c r="U33" i="4"/>
  <c r="I35" i="4"/>
  <c r="U35" i="4"/>
  <c r="W35" i="4"/>
  <c r="O39" i="4"/>
  <c r="U39" i="4"/>
  <c r="K40" i="4"/>
  <c r="U40" i="4"/>
  <c r="I42" i="4"/>
  <c r="I45" i="4"/>
  <c r="Q46" i="4"/>
  <c r="M47" i="4"/>
  <c r="K50" i="4"/>
  <c r="Q52" i="4"/>
  <c r="U52" i="4"/>
  <c r="I54" i="4"/>
  <c r="U56" i="4"/>
  <c r="W56" i="4"/>
  <c r="K58" i="4"/>
  <c r="U59" i="4"/>
  <c r="U63" i="4"/>
  <c r="S34" i="4"/>
  <c r="V60" i="4"/>
  <c r="W44" i="4"/>
  <c r="V36" i="4"/>
  <c r="W32" i="4"/>
  <c r="F32" i="5"/>
  <c r="G32" i="5" s="1"/>
  <c r="V26" i="4"/>
  <c r="V21" i="4"/>
  <c r="W48" i="4"/>
  <c r="F48" i="5"/>
  <c r="R48" i="5" s="1"/>
  <c r="V48" i="5" s="1"/>
  <c r="V54" i="4"/>
  <c r="W53" i="4"/>
  <c r="F53" i="5"/>
  <c r="F49" i="4"/>
  <c r="R49" i="4" s="1"/>
  <c r="S49" i="4" s="1"/>
  <c r="AA49" i="1"/>
  <c r="W14" i="1"/>
  <c r="Z14" i="1"/>
  <c r="W15" i="1"/>
  <c r="F15" i="4"/>
  <c r="R15" i="4" s="1"/>
  <c r="S15" i="4" s="1"/>
  <c r="F25" i="4"/>
  <c r="R25" i="4" s="1"/>
  <c r="W51" i="1"/>
  <c r="F19" i="4"/>
  <c r="R19" i="4" s="1"/>
  <c r="V19" i="4" s="1"/>
  <c r="F29" i="4"/>
  <c r="W38" i="1"/>
  <c r="Z38" i="1"/>
  <c r="AA38" i="1" s="1"/>
  <c r="F37" i="4"/>
  <c r="R37" i="4" s="1"/>
  <c r="S37" i="4" s="1"/>
  <c r="V61" i="4"/>
  <c r="F45" i="4"/>
  <c r="F43" i="4"/>
  <c r="R43" i="4" s="1"/>
  <c r="G43" i="4"/>
  <c r="W43" i="1"/>
  <c r="W17" i="1"/>
  <c r="Z17" i="1"/>
  <c r="AA17" i="1" s="1"/>
  <c r="F31" i="4"/>
  <c r="R31" i="4" s="1"/>
  <c r="S31" i="4" s="1"/>
  <c r="W64" i="1"/>
  <c r="Z64" i="1"/>
  <c r="AA64" i="1" s="1"/>
  <c r="V55" i="4"/>
  <c r="W52" i="1"/>
  <c r="Z52" i="1"/>
  <c r="AA52" i="1" s="1"/>
  <c r="F51" i="4"/>
  <c r="R51" i="4" s="1"/>
  <c r="W50" i="1"/>
  <c r="Z50" i="1"/>
  <c r="AA50" i="1" s="1"/>
  <c r="W49" i="1"/>
  <c r="G58" i="4"/>
  <c r="W18" i="1"/>
  <c r="Z18" i="1"/>
  <c r="AA18" i="1" s="1"/>
  <c r="W42" i="1"/>
  <c r="Z42" i="1"/>
  <c r="AA42" i="1" s="1"/>
  <c r="Q63" i="1"/>
  <c r="S63" i="1"/>
  <c r="U63" i="1"/>
  <c r="G63" i="1"/>
  <c r="Y63" i="1"/>
  <c r="O63" i="1"/>
  <c r="U62" i="1"/>
  <c r="W62" i="1"/>
  <c r="G62" i="1"/>
  <c r="Y62" i="1"/>
  <c r="O62" i="1"/>
  <c r="S62" i="1"/>
  <c r="M61" i="1"/>
  <c r="Y61" i="1"/>
  <c r="S61" i="1"/>
  <c r="O61" i="1"/>
  <c r="W61" i="1"/>
  <c r="Q61" i="1"/>
  <c r="U61" i="1"/>
  <c r="W60" i="1"/>
  <c r="O60" i="1"/>
  <c r="Q60" i="1"/>
  <c r="S60" i="1"/>
  <c r="K60" i="1"/>
  <c r="Y60" i="1"/>
  <c r="G59" i="1"/>
  <c r="Y59" i="1"/>
  <c r="Q59" i="1"/>
  <c r="O59" i="1"/>
  <c r="U59" i="1"/>
  <c r="W59" i="1"/>
  <c r="S59" i="1"/>
  <c r="W58" i="4"/>
  <c r="F58" i="5"/>
  <c r="R58" i="5" s="1"/>
  <c r="V57" i="4"/>
  <c r="W58" i="1"/>
  <c r="O58" i="1"/>
  <c r="G58" i="1"/>
  <c r="Y58" i="1"/>
  <c r="Q58" i="1"/>
  <c r="S58" i="1"/>
  <c r="Q57" i="1"/>
  <c r="G57" i="1"/>
  <c r="Y57" i="1"/>
  <c r="O57" i="1"/>
  <c r="W57" i="1"/>
  <c r="S57" i="1"/>
  <c r="G46" i="4"/>
  <c r="W46" i="4"/>
  <c r="F46" i="5"/>
  <c r="G46" i="5" s="1"/>
  <c r="W46" i="1"/>
  <c r="G46" i="1"/>
  <c r="Y46" i="1"/>
  <c r="O46" i="1"/>
  <c r="Q46" i="1"/>
  <c r="S46" i="1"/>
  <c r="W16" i="1"/>
  <c r="Z16" i="1"/>
  <c r="W13" i="1"/>
  <c r="Z13" i="1"/>
  <c r="F13" i="4" s="1"/>
  <c r="W9" i="1"/>
  <c r="Z9" i="1"/>
  <c r="F9" i="4" s="1"/>
  <c r="R9" i="4" s="1"/>
  <c r="V9" i="4" s="1"/>
  <c r="Z7" i="1"/>
  <c r="AA7" i="1" s="1"/>
  <c r="W11" i="1"/>
  <c r="Z11" i="1"/>
  <c r="AA11" i="1" s="1"/>
  <c r="W10" i="1"/>
  <c r="Z10" i="1"/>
  <c r="AA10" i="1" s="1"/>
  <c r="W5" i="1"/>
  <c r="Z5" i="1"/>
  <c r="F5" i="4" s="1"/>
  <c r="R5" i="4" s="1"/>
  <c r="V5" i="4" s="1"/>
  <c r="W8" i="1"/>
  <c r="Z8" i="1"/>
  <c r="AA8" i="1" s="1"/>
  <c r="W6" i="1"/>
  <c r="Z6" i="1"/>
  <c r="AA6" i="1" s="1"/>
  <c r="W12" i="1"/>
  <c r="Z12" i="1"/>
  <c r="AA12" i="1" s="1"/>
  <c r="G56" i="5"/>
  <c r="R56" i="5"/>
  <c r="V56" i="5" s="1"/>
  <c r="S26" i="4"/>
  <c r="G39" i="5"/>
  <c r="V58" i="5"/>
  <c r="G34" i="5"/>
  <c r="R34" i="5"/>
  <c r="V34" i="5" s="1"/>
  <c r="S58" i="4"/>
  <c r="R32" i="5"/>
  <c r="V32" i="5" s="1"/>
  <c r="S27" i="4"/>
  <c r="S53" i="4"/>
  <c r="G35" i="5"/>
  <c r="R44" i="5"/>
  <c r="V44" i="5" s="1"/>
  <c r="G44" i="5"/>
  <c r="R28" i="5"/>
  <c r="V28" i="5" s="1"/>
  <c r="G28" i="5"/>
  <c r="W7" i="1"/>
  <c r="S54" i="4"/>
  <c r="S22" i="4"/>
  <c r="S21" i="4"/>
  <c r="S59" i="4"/>
  <c r="S43" i="4"/>
  <c r="G62" i="4"/>
  <c r="I14" i="4"/>
  <c r="G23" i="4"/>
  <c r="I37" i="4"/>
  <c r="S46" i="4"/>
  <c r="M52" i="4"/>
  <c r="M60" i="4"/>
  <c r="I62" i="4"/>
  <c r="G61" i="4"/>
  <c r="Q6" i="4"/>
  <c r="Q10" i="4"/>
  <c r="K14" i="4"/>
  <c r="I18" i="4"/>
  <c r="O21" i="4"/>
  <c r="K23" i="4"/>
  <c r="I27" i="4"/>
  <c r="M29" i="4"/>
  <c r="K31" i="4"/>
  <c r="M37" i="4"/>
  <c r="I43" i="4"/>
  <c r="O50" i="4"/>
  <c r="O52" i="4"/>
  <c r="M31" i="4"/>
  <c r="S35" i="4"/>
  <c r="Q14" i="4"/>
  <c r="O18" i="4"/>
  <c r="Q23" i="4"/>
  <c r="Q31" i="4"/>
  <c r="K42" i="4"/>
  <c r="K7" i="4"/>
  <c r="Q9" i="4"/>
  <c r="Q18" i="4"/>
  <c r="O20" i="4"/>
  <c r="K22" i="4"/>
  <c r="M28" i="4"/>
  <c r="I30" i="4"/>
  <c r="G34" i="4"/>
  <c r="I38" i="4"/>
  <c r="O42" i="4"/>
  <c r="O44" i="4"/>
  <c r="I46" i="4"/>
  <c r="I53" i="4"/>
  <c r="K61" i="4"/>
  <c r="K63" i="4"/>
  <c r="O37" i="4"/>
  <c r="I22" i="4"/>
  <c r="M44" i="4"/>
  <c r="I61" i="4"/>
  <c r="G63" i="4"/>
  <c r="M7" i="4"/>
  <c r="M22" i="4"/>
  <c r="O28" i="4"/>
  <c r="M30" i="4"/>
  <c r="I34" i="4"/>
  <c r="M36" i="4"/>
  <c r="Q42" i="4"/>
  <c r="K46" i="4"/>
  <c r="Q47" i="4"/>
  <c r="K53" i="4"/>
  <c r="K55" i="4"/>
  <c r="G59" i="4"/>
  <c r="M61" i="4"/>
  <c r="M63" i="4"/>
  <c r="M23" i="4"/>
  <c r="M20" i="4"/>
  <c r="Q7" i="4"/>
  <c r="I10" i="4"/>
  <c r="Q13" i="4"/>
  <c r="K15" i="4"/>
  <c r="K34" i="4"/>
  <c r="O36" i="4"/>
  <c r="I51" i="4"/>
  <c r="M55" i="4"/>
  <c r="I59" i="4"/>
  <c r="G22" i="4"/>
  <c r="S63" i="4"/>
  <c r="G54" i="4"/>
  <c r="S61" i="4"/>
  <c r="G35" i="4"/>
  <c r="S62" i="4"/>
  <c r="G21" i="4"/>
  <c r="I64" i="4"/>
  <c r="K64" i="4"/>
  <c r="Q64" i="4"/>
  <c r="M64" i="4"/>
  <c r="K8" i="4"/>
  <c r="I16" i="4"/>
  <c r="Q16" i="4"/>
  <c r="O16" i="4"/>
  <c r="M16" i="4"/>
  <c r="Q25" i="4"/>
  <c r="M25" i="4"/>
  <c r="K25" i="4"/>
  <c r="S25" i="4"/>
  <c r="I25" i="4"/>
  <c r="O25" i="4"/>
  <c r="M9" i="4"/>
  <c r="K9" i="4"/>
  <c r="I9" i="4"/>
  <c r="Q19" i="4"/>
  <c r="K19" i="4"/>
  <c r="O19" i="4"/>
  <c r="M19" i="4"/>
  <c r="S32" i="4"/>
  <c r="I32" i="4"/>
  <c r="G32" i="4"/>
  <c r="Q32" i="4"/>
  <c r="O32" i="4"/>
  <c r="M32" i="4"/>
  <c r="Q41" i="4"/>
  <c r="M41" i="4"/>
  <c r="K41" i="4"/>
  <c r="G41" i="4"/>
  <c r="S41" i="4"/>
  <c r="I41" i="4"/>
  <c r="Q49" i="4"/>
  <c r="M49" i="4"/>
  <c r="K49" i="4"/>
  <c r="I49" i="4"/>
  <c r="Q57" i="4"/>
  <c r="M57" i="4"/>
  <c r="K57" i="4"/>
  <c r="S57" i="4"/>
  <c r="I57" i="4"/>
  <c r="G57" i="4"/>
  <c r="S24" i="4"/>
  <c r="I24" i="4"/>
  <c r="G24" i="4"/>
  <c r="Q24" i="4"/>
  <c r="O24" i="4"/>
  <c r="M24" i="4"/>
  <c r="S56" i="4"/>
  <c r="I56" i="4"/>
  <c r="G56" i="4"/>
  <c r="Q56" i="4"/>
  <c r="M56" i="4"/>
  <c r="I8" i="4"/>
  <c r="Q8" i="4"/>
  <c r="M8" i="4"/>
  <c r="O8" i="4"/>
  <c r="K56" i="4"/>
  <c r="Q11" i="4"/>
  <c r="K11" i="4"/>
  <c r="O11" i="4"/>
  <c r="M11" i="4"/>
  <c r="M17" i="4"/>
  <c r="K17" i="4"/>
  <c r="I17" i="4"/>
  <c r="Q33" i="4"/>
  <c r="M33" i="4"/>
  <c r="G33" i="4"/>
  <c r="K33" i="4"/>
  <c r="S33" i="4"/>
  <c r="I33" i="4"/>
  <c r="S40" i="4"/>
  <c r="I40" i="4"/>
  <c r="G40" i="4"/>
  <c r="M40" i="4"/>
  <c r="Q40" i="4"/>
  <c r="O40" i="4"/>
  <c r="S48" i="4"/>
  <c r="I48" i="4"/>
  <c r="G48" i="4"/>
  <c r="Q48" i="4"/>
  <c r="M48" i="4"/>
  <c r="O48" i="4"/>
  <c r="K27" i="4"/>
  <c r="K43" i="4"/>
  <c r="K51" i="4"/>
  <c r="G20" i="4"/>
  <c r="Q21" i="4"/>
  <c r="M27" i="4"/>
  <c r="G28" i="4"/>
  <c r="Q29" i="4"/>
  <c r="K30" i="4"/>
  <c r="M35" i="4"/>
  <c r="G36" i="4"/>
  <c r="Q37" i="4"/>
  <c r="K38" i="4"/>
  <c r="M43" i="4"/>
  <c r="G44" i="4"/>
  <c r="Q45" i="4"/>
  <c r="M51" i="4"/>
  <c r="Q53" i="4"/>
  <c r="K54" i="4"/>
  <c r="M59" i="4"/>
  <c r="G60" i="4"/>
  <c r="Q61" i="4"/>
  <c r="K62" i="4"/>
  <c r="K35" i="4"/>
  <c r="K59" i="4"/>
  <c r="M6" i="4"/>
  <c r="I12" i="4"/>
  <c r="I20" i="4"/>
  <c r="O27" i="4"/>
  <c r="I28" i="4"/>
  <c r="S28" i="4"/>
  <c r="O35" i="4"/>
  <c r="I36" i="4"/>
  <c r="S36" i="4"/>
  <c r="M38" i="4"/>
  <c r="G39" i="4"/>
  <c r="O43" i="4"/>
  <c r="I44" i="4"/>
  <c r="S44" i="4"/>
  <c r="O51" i="4"/>
  <c r="I52" i="4"/>
  <c r="M54" i="4"/>
  <c r="G55" i="4"/>
  <c r="I60" i="4"/>
  <c r="S60" i="4"/>
  <c r="M62" i="4"/>
  <c r="O6" i="4"/>
  <c r="I7" i="4"/>
  <c r="K12" i="4"/>
  <c r="O14" i="4"/>
  <c r="I15" i="4"/>
  <c r="K20" i="4"/>
  <c r="O22" i="4"/>
  <c r="I23" i="4"/>
  <c r="S23" i="4"/>
  <c r="Q27" i="4"/>
  <c r="K28" i="4"/>
  <c r="O30" i="4"/>
  <c r="I31" i="4"/>
  <c r="Q35" i="4"/>
  <c r="K36" i="4"/>
  <c r="O38" i="4"/>
  <c r="I39" i="4"/>
  <c r="S39" i="4"/>
  <c r="Q43" i="4"/>
  <c r="K44" i="4"/>
  <c r="O46" i="4"/>
  <c r="I47" i="4"/>
  <c r="S47" i="4"/>
  <c r="Q51" i="4"/>
  <c r="K52" i="4"/>
  <c r="O54" i="4"/>
  <c r="I55" i="4"/>
  <c r="S55" i="4"/>
  <c r="Q59" i="4"/>
  <c r="K60" i="4"/>
  <c r="I63" i="4"/>
  <c r="M60" i="1"/>
  <c r="M19" i="1"/>
  <c r="I47" i="1"/>
  <c r="M13" i="1"/>
  <c r="K54" i="1"/>
  <c r="K31" i="1"/>
  <c r="K30" i="1"/>
  <c r="M59" i="1"/>
  <c r="K52" i="1"/>
  <c r="K22" i="1"/>
  <c r="I63" i="1"/>
  <c r="K47" i="1"/>
  <c r="K38" i="1"/>
  <c r="K46" i="1"/>
  <c r="I23" i="1"/>
  <c r="K15" i="1"/>
  <c r="K63" i="1"/>
  <c r="K14" i="1"/>
  <c r="K62" i="1"/>
  <c r="K6" i="1"/>
  <c r="M12" i="1"/>
  <c r="M35" i="1"/>
  <c r="M51" i="1"/>
  <c r="K61" i="1"/>
  <c r="K29" i="1"/>
  <c r="M45" i="1"/>
  <c r="I34" i="1"/>
  <c r="K44" i="1"/>
  <c r="K28" i="1"/>
  <c r="M5" i="1"/>
  <c r="M21" i="1"/>
  <c r="M27" i="1"/>
  <c r="I26" i="1"/>
  <c r="K55" i="1"/>
  <c r="K39" i="1"/>
  <c r="K23" i="1"/>
  <c r="K7" i="1"/>
  <c r="M43" i="1"/>
  <c r="M11" i="1"/>
  <c r="M50" i="1"/>
  <c r="M18" i="1"/>
  <c r="K43" i="1"/>
  <c r="K19" i="1"/>
  <c r="K11" i="1"/>
  <c r="M49" i="1"/>
  <c r="M41" i="1"/>
  <c r="M25" i="1"/>
  <c r="M17" i="1"/>
  <c r="M9" i="1"/>
  <c r="K58" i="1"/>
  <c r="K50" i="1"/>
  <c r="K42" i="1"/>
  <c r="K34" i="1"/>
  <c r="K26" i="1"/>
  <c r="K18" i="1"/>
  <c r="K10" i="1"/>
  <c r="M64" i="1"/>
  <c r="M56" i="1"/>
  <c r="M48" i="1"/>
  <c r="M40" i="1"/>
  <c r="M32" i="1"/>
  <c r="M24" i="1"/>
  <c r="M16" i="1"/>
  <c r="M8" i="1"/>
  <c r="M58" i="1"/>
  <c r="M42" i="1"/>
  <c r="M34" i="1"/>
  <c r="M10" i="1"/>
  <c r="K59" i="1"/>
  <c r="K35" i="1"/>
  <c r="M57" i="1"/>
  <c r="K5" i="1"/>
  <c r="K57" i="1"/>
  <c r="K49" i="1"/>
  <c r="K41" i="1"/>
  <c r="K33" i="1"/>
  <c r="K25" i="1"/>
  <c r="K17" i="1"/>
  <c r="K9" i="1"/>
  <c r="M63" i="1"/>
  <c r="M55" i="1"/>
  <c r="M47" i="1"/>
  <c r="M39" i="1"/>
  <c r="M31" i="1"/>
  <c r="M23" i="1"/>
  <c r="M15" i="1"/>
  <c r="M7" i="1"/>
  <c r="I18" i="1"/>
  <c r="M26" i="1"/>
  <c r="K51" i="1"/>
  <c r="K27" i="1"/>
  <c r="M33" i="1"/>
  <c r="I42" i="1"/>
  <c r="K64" i="1"/>
  <c r="K56" i="1"/>
  <c r="K48" i="1"/>
  <c r="K40" i="1"/>
  <c r="K32" i="1"/>
  <c r="K24" i="1"/>
  <c r="K16" i="1"/>
  <c r="K8" i="1"/>
  <c r="M62" i="1"/>
  <c r="M54" i="1"/>
  <c r="M46" i="1"/>
  <c r="M38" i="1"/>
  <c r="M30" i="1"/>
  <c r="M22" i="1"/>
  <c r="M14" i="1"/>
  <c r="M6" i="1"/>
  <c r="G37" i="1"/>
  <c r="I45" i="1"/>
  <c r="I61" i="1"/>
  <c r="I39" i="1"/>
  <c r="I58" i="1"/>
  <c r="I37" i="1"/>
  <c r="I15" i="1"/>
  <c r="I21" i="1"/>
  <c r="I55" i="1"/>
  <c r="I13" i="1"/>
  <c r="I53" i="1"/>
  <c r="I31" i="1"/>
  <c r="I10" i="1"/>
  <c r="I50" i="1"/>
  <c r="I29" i="1"/>
  <c r="I7" i="1"/>
  <c r="I60" i="1"/>
  <c r="I44" i="1"/>
  <c r="I20" i="1"/>
  <c r="G61" i="1"/>
  <c r="G29" i="1"/>
  <c r="I59" i="1"/>
  <c r="I51" i="1"/>
  <c r="I43" i="1"/>
  <c r="I35" i="1"/>
  <c r="I11" i="1"/>
  <c r="G60" i="1"/>
  <c r="G28" i="1"/>
  <c r="G53" i="1"/>
  <c r="G21" i="1"/>
  <c r="I57" i="1"/>
  <c r="I49" i="1"/>
  <c r="I41" i="1"/>
  <c r="I33" i="1"/>
  <c r="I25" i="1"/>
  <c r="I17" i="1"/>
  <c r="I9" i="1"/>
  <c r="G52" i="1"/>
  <c r="G20" i="1"/>
  <c r="I64" i="1"/>
  <c r="I56" i="1"/>
  <c r="I48" i="1"/>
  <c r="I40" i="1"/>
  <c r="I32" i="1"/>
  <c r="I24" i="1"/>
  <c r="I16" i="1"/>
  <c r="I8" i="1"/>
  <c r="G36" i="1"/>
  <c r="I28" i="1"/>
  <c r="I19" i="1"/>
  <c r="G13" i="1"/>
  <c r="I52" i="1"/>
  <c r="I36" i="1"/>
  <c r="I12" i="1"/>
  <c r="I27" i="1"/>
  <c r="G45" i="1"/>
  <c r="G44" i="1"/>
  <c r="G12" i="1"/>
  <c r="I62" i="1"/>
  <c r="I54" i="1"/>
  <c r="I46" i="1"/>
  <c r="I38" i="1"/>
  <c r="I30" i="1"/>
  <c r="I22" i="1"/>
  <c r="I14" i="1"/>
  <c r="I6" i="1"/>
  <c r="I5" i="1"/>
  <c r="G30" i="5" l="1"/>
  <c r="R30" i="5"/>
  <c r="V30" i="5" s="1"/>
  <c r="V20" i="4"/>
  <c r="G59" i="5"/>
  <c r="W30" i="4"/>
  <c r="G69" i="16"/>
  <c r="R69" i="16"/>
  <c r="W65" i="16"/>
  <c r="F64" i="17"/>
  <c r="AA56" i="1"/>
  <c r="AA54" i="1"/>
  <c r="AA30" i="1"/>
  <c r="S64" i="22"/>
  <c r="H64" i="22"/>
  <c r="S30" i="4"/>
  <c r="G31" i="4"/>
  <c r="S19" i="4"/>
  <c r="W59" i="4"/>
  <c r="R69" i="20"/>
  <c r="G69" i="20"/>
  <c r="AA44" i="1"/>
  <c r="G30" i="4"/>
  <c r="S49" i="32"/>
  <c r="H49" i="32"/>
  <c r="AA34" i="1"/>
  <c r="V67" i="11"/>
  <c r="S67" i="11"/>
  <c r="F67" i="17"/>
  <c r="W68" i="16"/>
  <c r="AA22" i="1"/>
  <c r="AA13" i="1"/>
  <c r="G58" i="5"/>
  <c r="V66" i="16"/>
  <c r="S66" i="16"/>
  <c r="S64" i="23"/>
  <c r="H64" i="23"/>
  <c r="F69" i="17"/>
  <c r="W70" i="16"/>
  <c r="AA26" i="1"/>
  <c r="V66" i="20"/>
  <c r="W66" i="20" s="1"/>
  <c r="S66" i="20"/>
  <c r="AA9" i="1"/>
  <c r="W24" i="5"/>
  <c r="F24" i="6"/>
  <c r="W59" i="5"/>
  <c r="F59" i="6"/>
  <c r="V39" i="5"/>
  <c r="S39" i="5"/>
  <c r="S35" i="5"/>
  <c r="V35" i="5"/>
  <c r="W60" i="4"/>
  <c r="F60" i="5"/>
  <c r="G24" i="5"/>
  <c r="R40" i="5"/>
  <c r="V40" i="5" s="1"/>
  <c r="W26" i="4"/>
  <c r="F26" i="5"/>
  <c r="W20" i="4"/>
  <c r="F20" i="5"/>
  <c r="W28" i="5"/>
  <c r="F28" i="6"/>
  <c r="S59" i="5"/>
  <c r="W30" i="5"/>
  <c r="F30" i="6"/>
  <c r="W34" i="5"/>
  <c r="F34" i="6"/>
  <c r="V49" i="4"/>
  <c r="W39" i="4"/>
  <c r="W22" i="4"/>
  <c r="F22" i="5"/>
  <c r="W33" i="4"/>
  <c r="F33" i="5"/>
  <c r="R23" i="5"/>
  <c r="R63" i="5"/>
  <c r="W62" i="4"/>
  <c r="F62" i="5"/>
  <c r="W32" i="5"/>
  <c r="F32" i="6"/>
  <c r="W36" i="4"/>
  <c r="F36" i="5"/>
  <c r="W41" i="4"/>
  <c r="F41" i="5"/>
  <c r="R27" i="5"/>
  <c r="G49" i="4"/>
  <c r="W56" i="5"/>
  <c r="F56" i="6"/>
  <c r="W21" i="4"/>
  <c r="F21" i="5"/>
  <c r="W63" i="4"/>
  <c r="W27" i="4"/>
  <c r="W47" i="4"/>
  <c r="R47" i="5"/>
  <c r="W23" i="4"/>
  <c r="W48" i="5"/>
  <c r="F48" i="6"/>
  <c r="G48" i="5"/>
  <c r="W44" i="5"/>
  <c r="F44" i="6"/>
  <c r="W54" i="4"/>
  <c r="F54" i="5"/>
  <c r="R46" i="5"/>
  <c r="V46" i="5" s="1"/>
  <c r="W46" i="5" s="1"/>
  <c r="F16" i="4"/>
  <c r="AA16" i="1"/>
  <c r="AA14" i="1"/>
  <c r="F14" i="4"/>
  <c r="G15" i="4"/>
  <c r="V15" i="4"/>
  <c r="V25" i="4"/>
  <c r="G25" i="4"/>
  <c r="G19" i="4"/>
  <c r="R29" i="4"/>
  <c r="G29" i="4"/>
  <c r="F38" i="4"/>
  <c r="G37" i="4"/>
  <c r="V37" i="4"/>
  <c r="W61" i="4"/>
  <c r="F61" i="5"/>
  <c r="R45" i="4"/>
  <c r="G45" i="4"/>
  <c r="V43" i="4"/>
  <c r="F17" i="4"/>
  <c r="V31" i="4"/>
  <c r="F64" i="4"/>
  <c r="W55" i="4"/>
  <c r="F55" i="5"/>
  <c r="F19" i="5"/>
  <c r="W19" i="4"/>
  <c r="F52" i="4"/>
  <c r="V51" i="4"/>
  <c r="S51" i="4"/>
  <c r="G51" i="4"/>
  <c r="F50" i="4"/>
  <c r="F18" i="4"/>
  <c r="F42" i="4"/>
  <c r="AA5" i="1"/>
  <c r="W58" i="5"/>
  <c r="F58" i="6"/>
  <c r="W57" i="4"/>
  <c r="F57" i="5"/>
  <c r="R57" i="5" s="1"/>
  <c r="W49" i="4"/>
  <c r="F49" i="5"/>
  <c r="F12" i="4"/>
  <c r="F6" i="4"/>
  <c r="R6" i="4" s="1"/>
  <c r="V6" i="4" s="1"/>
  <c r="W6" i="4" s="1"/>
  <c r="F11" i="4"/>
  <c r="R11" i="4" s="1"/>
  <c r="V11" i="4" s="1"/>
  <c r="W11" i="4" s="1"/>
  <c r="F8" i="4"/>
  <c r="R8" i="4" s="1"/>
  <c r="V8" i="4" s="1"/>
  <c r="W8" i="4" s="1"/>
  <c r="F7" i="4"/>
  <c r="F10" i="4"/>
  <c r="V10" i="4" s="1"/>
  <c r="F10" i="5" s="1"/>
  <c r="W9" i="4"/>
  <c r="F9" i="5"/>
  <c r="W5" i="4"/>
  <c r="F5" i="5"/>
  <c r="S9" i="4"/>
  <c r="S28" i="5"/>
  <c r="S24" i="5"/>
  <c r="S30" i="5"/>
  <c r="S56" i="5"/>
  <c r="S44" i="5"/>
  <c r="S48" i="5"/>
  <c r="R53" i="5"/>
  <c r="V53" i="5" s="1"/>
  <c r="G53" i="5"/>
  <c r="S34" i="5"/>
  <c r="S58" i="5"/>
  <c r="S32" i="5"/>
  <c r="S40" i="5"/>
  <c r="S5" i="4"/>
  <c r="G9" i="4"/>
  <c r="R13" i="4"/>
  <c r="V13" i="4" s="1"/>
  <c r="G13" i="4"/>
  <c r="G5" i="4"/>
  <c r="R67" i="17" l="1"/>
  <c r="G67" i="17"/>
  <c r="W64" i="23"/>
  <c r="X64" i="23" s="1"/>
  <c r="T64" i="23"/>
  <c r="T49" i="32"/>
  <c r="W49" i="32"/>
  <c r="X49" i="32" s="1"/>
  <c r="V69" i="20"/>
  <c r="W69" i="20" s="1"/>
  <c r="S69" i="20"/>
  <c r="V69" i="16"/>
  <c r="S69" i="16"/>
  <c r="F67" i="12"/>
  <c r="W67" i="11"/>
  <c r="R69" i="17"/>
  <c r="G69" i="17"/>
  <c r="W66" i="16"/>
  <c r="F65" i="17"/>
  <c r="W64" i="22"/>
  <c r="T64" i="22"/>
  <c r="R64" i="17"/>
  <c r="G64" i="17"/>
  <c r="R60" i="5"/>
  <c r="G60" i="5"/>
  <c r="R21" i="5"/>
  <c r="G21" i="5"/>
  <c r="R36" i="5"/>
  <c r="G36" i="5"/>
  <c r="W39" i="5"/>
  <c r="F39" i="6"/>
  <c r="R20" i="5"/>
  <c r="G20" i="5"/>
  <c r="W40" i="5"/>
  <c r="F40" i="6"/>
  <c r="W35" i="5"/>
  <c r="F35" i="6"/>
  <c r="R59" i="6"/>
  <c r="G59" i="6"/>
  <c r="S23" i="5"/>
  <c r="V23" i="5"/>
  <c r="R26" i="5"/>
  <c r="G26" i="5"/>
  <c r="V47" i="5"/>
  <c r="S47" i="5"/>
  <c r="R62" i="5"/>
  <c r="G62" i="5"/>
  <c r="R33" i="5"/>
  <c r="G33" i="5"/>
  <c r="V27" i="5"/>
  <c r="S27" i="5"/>
  <c r="S8" i="4"/>
  <c r="G41" i="5"/>
  <c r="R41" i="5"/>
  <c r="S63" i="5"/>
  <c r="V63" i="5"/>
  <c r="G22" i="5"/>
  <c r="R22" i="5"/>
  <c r="R54" i="5"/>
  <c r="G54" i="5"/>
  <c r="W53" i="5"/>
  <c r="F53" i="6"/>
  <c r="F46" i="6"/>
  <c r="R46" i="6" s="1"/>
  <c r="V46" i="6" s="1"/>
  <c r="S46" i="5"/>
  <c r="S6" i="4"/>
  <c r="F6" i="5"/>
  <c r="R6" i="5" s="1"/>
  <c r="V6" i="5" s="1"/>
  <c r="R16" i="4"/>
  <c r="G16" i="4"/>
  <c r="G6" i="4"/>
  <c r="R14" i="4"/>
  <c r="G14" i="4"/>
  <c r="F15" i="5"/>
  <c r="W15" i="4"/>
  <c r="W25" i="4"/>
  <c r="F25" i="5"/>
  <c r="V29" i="4"/>
  <c r="S29" i="4"/>
  <c r="R38" i="4"/>
  <c r="G38" i="4"/>
  <c r="W37" i="4"/>
  <c r="F37" i="5"/>
  <c r="G61" i="5"/>
  <c r="R61" i="5"/>
  <c r="V45" i="4"/>
  <c r="S45" i="4"/>
  <c r="W43" i="4"/>
  <c r="F43" i="5"/>
  <c r="R17" i="4"/>
  <c r="G17" i="4"/>
  <c r="W31" i="4"/>
  <c r="F31" i="5"/>
  <c r="R64" i="4"/>
  <c r="G64" i="4"/>
  <c r="R55" i="5"/>
  <c r="G55" i="5"/>
  <c r="R19" i="5"/>
  <c r="G19" i="5"/>
  <c r="R52" i="4"/>
  <c r="G52" i="4"/>
  <c r="F51" i="5"/>
  <c r="W51" i="4"/>
  <c r="R50" i="4"/>
  <c r="G50" i="4"/>
  <c r="R18" i="4"/>
  <c r="G18" i="4"/>
  <c r="R42" i="4"/>
  <c r="G42" i="4"/>
  <c r="G57" i="5"/>
  <c r="R49" i="5"/>
  <c r="G49" i="5"/>
  <c r="W13" i="4"/>
  <c r="F13" i="5"/>
  <c r="G10" i="4"/>
  <c r="S10" i="4"/>
  <c r="W10" i="4"/>
  <c r="F8" i="5"/>
  <c r="G8" i="5" s="1"/>
  <c r="G11" i="4"/>
  <c r="G8" i="4"/>
  <c r="S11" i="4"/>
  <c r="F11" i="5"/>
  <c r="R11" i="5" s="1"/>
  <c r="V11" i="5" s="1"/>
  <c r="R7" i="4"/>
  <c r="G7" i="4"/>
  <c r="R12" i="4"/>
  <c r="G12" i="4"/>
  <c r="R58" i="6"/>
  <c r="V58" i="6" s="1"/>
  <c r="G58" i="6"/>
  <c r="G46" i="6"/>
  <c r="R48" i="6"/>
  <c r="V48" i="6" s="1"/>
  <c r="G48" i="6"/>
  <c r="R56" i="6"/>
  <c r="V56" i="6" s="1"/>
  <c r="G56" i="6"/>
  <c r="R32" i="6"/>
  <c r="V32" i="6" s="1"/>
  <c r="G32" i="6"/>
  <c r="R34" i="6"/>
  <c r="V34" i="6" s="1"/>
  <c r="G34" i="6"/>
  <c r="R44" i="6"/>
  <c r="V44" i="6" s="1"/>
  <c r="G44" i="6"/>
  <c r="R30" i="6"/>
  <c r="V30" i="6" s="1"/>
  <c r="G30" i="6"/>
  <c r="R10" i="5"/>
  <c r="V10" i="5" s="1"/>
  <c r="G10" i="5"/>
  <c r="G24" i="6"/>
  <c r="R24" i="6"/>
  <c r="V24" i="6" s="1"/>
  <c r="G28" i="6"/>
  <c r="R28" i="6"/>
  <c r="V28" i="6" s="1"/>
  <c r="S13" i="4"/>
  <c r="R9" i="5"/>
  <c r="V9" i="5" s="1"/>
  <c r="G9" i="5"/>
  <c r="R40" i="6"/>
  <c r="V40" i="6" s="1"/>
  <c r="G40" i="6"/>
  <c r="S53" i="5"/>
  <c r="G6" i="5"/>
  <c r="R5" i="5"/>
  <c r="G5" i="5"/>
  <c r="R65" i="17" l="1"/>
  <c r="G65" i="17"/>
  <c r="S64" i="17"/>
  <c r="V64" i="17"/>
  <c r="R67" i="12"/>
  <c r="G67" i="12"/>
  <c r="G64" i="24"/>
  <c r="X64" i="22"/>
  <c r="V69" i="17"/>
  <c r="S69" i="17"/>
  <c r="F68" i="17"/>
  <c r="W69" i="16"/>
  <c r="V67" i="17"/>
  <c r="S67" i="17"/>
  <c r="W32" i="6"/>
  <c r="F32" i="7"/>
  <c r="W23" i="5"/>
  <c r="F23" i="6"/>
  <c r="W34" i="6"/>
  <c r="F34" i="7"/>
  <c r="V33" i="5"/>
  <c r="S33" i="5"/>
  <c r="V20" i="5"/>
  <c r="S20" i="5"/>
  <c r="V36" i="5"/>
  <c r="S36" i="5"/>
  <c r="W40" i="6"/>
  <c r="F40" i="7"/>
  <c r="W56" i="6"/>
  <c r="F56" i="7"/>
  <c r="R39" i="6"/>
  <c r="G39" i="6"/>
  <c r="W28" i="6"/>
  <c r="F28" i="7"/>
  <c r="G35" i="6"/>
  <c r="R35" i="6"/>
  <c r="W30" i="6"/>
  <c r="F30" i="7"/>
  <c r="G11" i="5"/>
  <c r="W63" i="5"/>
  <c r="F63" i="6"/>
  <c r="W47" i="5"/>
  <c r="F47" i="6"/>
  <c r="V60" i="5"/>
  <c r="S60" i="5"/>
  <c r="W24" i="6"/>
  <c r="F24" i="7"/>
  <c r="V22" i="5"/>
  <c r="S22" i="5"/>
  <c r="V41" i="5"/>
  <c r="S41" i="5"/>
  <c r="W27" i="5"/>
  <c r="F27" i="6"/>
  <c r="V62" i="5"/>
  <c r="S62" i="5"/>
  <c r="V26" i="5"/>
  <c r="S26" i="5"/>
  <c r="V59" i="6"/>
  <c r="S59" i="6"/>
  <c r="S21" i="5"/>
  <c r="V21" i="5"/>
  <c r="W48" i="6"/>
  <c r="F48" i="7"/>
  <c r="W44" i="6"/>
  <c r="F44" i="7"/>
  <c r="V54" i="5"/>
  <c r="S54" i="5"/>
  <c r="V16" i="4"/>
  <c r="S16" i="4"/>
  <c r="V14" i="4"/>
  <c r="S14" i="4"/>
  <c r="G15" i="5"/>
  <c r="R15" i="5"/>
  <c r="G25" i="5"/>
  <c r="R25" i="5"/>
  <c r="W29" i="4"/>
  <c r="F29" i="5"/>
  <c r="V38" i="4"/>
  <c r="S38" i="4"/>
  <c r="G37" i="5"/>
  <c r="R37" i="5"/>
  <c r="V61" i="5"/>
  <c r="S61" i="5"/>
  <c r="W45" i="4"/>
  <c r="F45" i="5"/>
  <c r="G43" i="5"/>
  <c r="R43" i="5"/>
  <c r="V17" i="4"/>
  <c r="S17" i="4"/>
  <c r="G31" i="5"/>
  <c r="R31" i="5"/>
  <c r="V64" i="4"/>
  <c r="S64" i="4"/>
  <c r="S55" i="5"/>
  <c r="V55" i="5"/>
  <c r="S19" i="5"/>
  <c r="V19" i="5"/>
  <c r="V52" i="4"/>
  <c r="S52" i="4"/>
  <c r="G51" i="5"/>
  <c r="R51" i="5"/>
  <c r="V50" i="4"/>
  <c r="S50" i="4"/>
  <c r="V18" i="4"/>
  <c r="S18" i="4"/>
  <c r="V42" i="4"/>
  <c r="S42" i="4"/>
  <c r="W58" i="6"/>
  <c r="F58" i="7"/>
  <c r="S57" i="5"/>
  <c r="V57" i="5"/>
  <c r="W46" i="6"/>
  <c r="F46" i="7"/>
  <c r="V49" i="5"/>
  <c r="S49" i="5"/>
  <c r="V12" i="4"/>
  <c r="S12" i="4"/>
  <c r="V7" i="4"/>
  <c r="S7" i="4"/>
  <c r="R8" i="5"/>
  <c r="V8" i="5" s="1"/>
  <c r="F8" i="6" s="1"/>
  <c r="W6" i="5"/>
  <c r="F6" i="6"/>
  <c r="W9" i="5"/>
  <c r="F9" i="6"/>
  <c r="W11" i="5"/>
  <c r="F11" i="6"/>
  <c r="W10" i="5"/>
  <c r="F10" i="6"/>
  <c r="V5" i="5"/>
  <c r="S40" i="6"/>
  <c r="S10" i="5"/>
  <c r="R53" i="6"/>
  <c r="V53" i="6" s="1"/>
  <c r="G53" i="6"/>
  <c r="S24" i="6"/>
  <c r="R13" i="5"/>
  <c r="V13" i="5" s="1"/>
  <c r="G13" i="5"/>
  <c r="S48" i="6"/>
  <c r="S46" i="6"/>
  <c r="S11" i="5"/>
  <c r="S28" i="6"/>
  <c r="S34" i="6"/>
  <c r="S32" i="6"/>
  <c r="S58" i="6"/>
  <c r="S44" i="6"/>
  <c r="S9" i="5"/>
  <c r="S30" i="6"/>
  <c r="S56" i="6"/>
  <c r="S6" i="5"/>
  <c r="S5" i="5"/>
  <c r="W64" i="17" l="1"/>
  <c r="F65" i="19"/>
  <c r="H64" i="24"/>
  <c r="S64" i="24"/>
  <c r="G68" i="17"/>
  <c r="R68" i="17"/>
  <c r="F68" i="19"/>
  <c r="W67" i="17"/>
  <c r="F70" i="19"/>
  <c r="W69" i="17"/>
  <c r="V67" i="12"/>
  <c r="S67" i="12"/>
  <c r="V65" i="17"/>
  <c r="S65" i="17"/>
  <c r="W26" i="5"/>
  <c r="F26" i="6"/>
  <c r="W22" i="5"/>
  <c r="F22" i="6"/>
  <c r="V35" i="6"/>
  <c r="S35" i="6"/>
  <c r="G47" i="6"/>
  <c r="R47" i="6"/>
  <c r="W59" i="6"/>
  <c r="F59" i="7"/>
  <c r="W62" i="5"/>
  <c r="F62" i="6"/>
  <c r="W41" i="5"/>
  <c r="F41" i="6"/>
  <c r="R23" i="6"/>
  <c r="G23" i="6"/>
  <c r="W60" i="5"/>
  <c r="F60" i="6"/>
  <c r="V39" i="6"/>
  <c r="S39" i="6"/>
  <c r="W20" i="5"/>
  <c r="F20" i="6"/>
  <c r="W8" i="5"/>
  <c r="W21" i="5"/>
  <c r="F21" i="6"/>
  <c r="G27" i="6"/>
  <c r="R27" i="6"/>
  <c r="G63" i="6"/>
  <c r="R63" i="6"/>
  <c r="W36" i="5"/>
  <c r="F36" i="6"/>
  <c r="W33" i="5"/>
  <c r="F33" i="6"/>
  <c r="S8" i="5"/>
  <c r="W54" i="5"/>
  <c r="F54" i="6"/>
  <c r="W53" i="6"/>
  <c r="F53" i="7"/>
  <c r="W16" i="4"/>
  <c r="F16" i="5"/>
  <c r="W14" i="4"/>
  <c r="F14" i="5"/>
  <c r="S15" i="5"/>
  <c r="V15" i="5"/>
  <c r="V25" i="5"/>
  <c r="S25" i="5"/>
  <c r="G29" i="5"/>
  <c r="R29" i="5"/>
  <c r="W38" i="4"/>
  <c r="F38" i="5"/>
  <c r="V37" i="5"/>
  <c r="S37" i="5"/>
  <c r="W61" i="5"/>
  <c r="F61" i="6"/>
  <c r="R45" i="5"/>
  <c r="G45" i="5"/>
  <c r="V43" i="5"/>
  <c r="S43" i="5"/>
  <c r="W17" i="4"/>
  <c r="F17" i="5"/>
  <c r="S31" i="5"/>
  <c r="V31" i="5"/>
  <c r="W64" i="4"/>
  <c r="F64" i="5"/>
  <c r="W55" i="5"/>
  <c r="F55" i="6"/>
  <c r="W19" i="5"/>
  <c r="F19" i="6"/>
  <c r="W52" i="4"/>
  <c r="F52" i="5"/>
  <c r="V51" i="5"/>
  <c r="S51" i="5"/>
  <c r="W50" i="4"/>
  <c r="F50" i="5"/>
  <c r="W18" i="4"/>
  <c r="F18" i="5"/>
  <c r="W42" i="4"/>
  <c r="F42" i="5"/>
  <c r="W57" i="5"/>
  <c r="F57" i="6"/>
  <c r="W49" i="5"/>
  <c r="F49" i="6"/>
  <c r="W13" i="5"/>
  <c r="F13" i="6"/>
  <c r="F7" i="5"/>
  <c r="W7" i="4"/>
  <c r="F12" i="5"/>
  <c r="W12" i="4"/>
  <c r="W5" i="5"/>
  <c r="F5" i="6"/>
  <c r="R5" i="6" s="1"/>
  <c r="V5" i="6" s="1"/>
  <c r="G30" i="7"/>
  <c r="R30" i="7"/>
  <c r="G28" i="7"/>
  <c r="R28" i="7"/>
  <c r="R24" i="7"/>
  <c r="G24" i="7"/>
  <c r="R32" i="7"/>
  <c r="G32" i="7"/>
  <c r="G11" i="6"/>
  <c r="R11" i="6"/>
  <c r="V11" i="6" s="1"/>
  <c r="S13" i="5"/>
  <c r="S53" i="6"/>
  <c r="R56" i="7"/>
  <c r="G56" i="7"/>
  <c r="R44" i="7"/>
  <c r="G44" i="7"/>
  <c r="R34" i="7"/>
  <c r="G34" i="7"/>
  <c r="G46" i="7"/>
  <c r="R46" i="7"/>
  <c r="R9" i="6"/>
  <c r="V9" i="6" s="1"/>
  <c r="G9" i="6"/>
  <c r="R10" i="6"/>
  <c r="V10" i="6" s="1"/>
  <c r="G10" i="6"/>
  <c r="R58" i="7"/>
  <c r="G58" i="7"/>
  <c r="R48" i="7"/>
  <c r="G48" i="7"/>
  <c r="R40" i="7"/>
  <c r="G40" i="7"/>
  <c r="G8" i="6"/>
  <c r="R8" i="6"/>
  <c r="V8" i="6" s="1"/>
  <c r="R6" i="6"/>
  <c r="V6" i="6" s="1"/>
  <c r="G6" i="6"/>
  <c r="W64" i="24" l="1"/>
  <c r="T64" i="24"/>
  <c r="W67" i="12"/>
  <c r="F67" i="13"/>
  <c r="R68" i="19"/>
  <c r="G68" i="19"/>
  <c r="V68" i="17"/>
  <c r="S68" i="17"/>
  <c r="R65" i="19"/>
  <c r="G65" i="19"/>
  <c r="W65" i="17"/>
  <c r="F66" i="19"/>
  <c r="R70" i="19"/>
  <c r="G70" i="19"/>
  <c r="G59" i="7"/>
  <c r="R59" i="7"/>
  <c r="G33" i="6"/>
  <c r="R33" i="6"/>
  <c r="R21" i="6"/>
  <c r="G21" i="6"/>
  <c r="W35" i="6"/>
  <c r="F35" i="7"/>
  <c r="R62" i="6"/>
  <c r="G62" i="6"/>
  <c r="V47" i="6"/>
  <c r="S47" i="6"/>
  <c r="G22" i="6"/>
  <c r="R22" i="6"/>
  <c r="G20" i="6"/>
  <c r="R20" i="6"/>
  <c r="G60" i="6"/>
  <c r="R60" i="6"/>
  <c r="R41" i="6"/>
  <c r="G41" i="6"/>
  <c r="R26" i="6"/>
  <c r="G26" i="6"/>
  <c r="V63" i="6"/>
  <c r="S63" i="6"/>
  <c r="R36" i="6"/>
  <c r="G36" i="6"/>
  <c r="V27" i="6"/>
  <c r="S27" i="6"/>
  <c r="W39" i="6"/>
  <c r="F39" i="7"/>
  <c r="V23" i="6"/>
  <c r="S23" i="6"/>
  <c r="R54" i="6"/>
  <c r="G54" i="6"/>
  <c r="R16" i="5"/>
  <c r="G16" i="5"/>
  <c r="R14" i="5"/>
  <c r="G14" i="5"/>
  <c r="W15" i="5"/>
  <c r="F15" i="6"/>
  <c r="W25" i="5"/>
  <c r="F25" i="6"/>
  <c r="V29" i="5"/>
  <c r="S29" i="5"/>
  <c r="G38" i="5"/>
  <c r="R38" i="5"/>
  <c r="W37" i="5"/>
  <c r="F37" i="6"/>
  <c r="R61" i="6"/>
  <c r="G61" i="6"/>
  <c r="V45" i="5"/>
  <c r="S45" i="5"/>
  <c r="W43" i="5"/>
  <c r="F43" i="6"/>
  <c r="G17" i="5"/>
  <c r="R17" i="5"/>
  <c r="W31" i="5"/>
  <c r="F31" i="6"/>
  <c r="R64" i="5"/>
  <c r="G64" i="5"/>
  <c r="R55" i="6"/>
  <c r="G55" i="6"/>
  <c r="G19" i="6"/>
  <c r="R19" i="6"/>
  <c r="G52" i="5"/>
  <c r="R52" i="5"/>
  <c r="W51" i="5"/>
  <c r="F51" i="6"/>
  <c r="G50" i="5"/>
  <c r="R50" i="5"/>
  <c r="G18" i="5"/>
  <c r="R18" i="5"/>
  <c r="G42" i="5"/>
  <c r="R42" i="5"/>
  <c r="R57" i="6"/>
  <c r="G57" i="6"/>
  <c r="R49" i="6"/>
  <c r="G49" i="6"/>
  <c r="G12" i="5"/>
  <c r="R12" i="5"/>
  <c r="R7" i="5"/>
  <c r="G7" i="5"/>
  <c r="S5" i="6"/>
  <c r="G5" i="6"/>
  <c r="W9" i="6"/>
  <c r="F9" i="7"/>
  <c r="W11" i="6"/>
  <c r="F11" i="7"/>
  <c r="W8" i="6"/>
  <c r="F8" i="7"/>
  <c r="W10" i="6"/>
  <c r="F10" i="7"/>
  <c r="W6" i="6"/>
  <c r="F6" i="7"/>
  <c r="W5" i="6"/>
  <c r="F5" i="7"/>
  <c r="G5" i="7" s="1"/>
  <c r="S28" i="7"/>
  <c r="V28" i="7"/>
  <c r="S30" i="7"/>
  <c r="V30" i="7"/>
  <c r="S48" i="7"/>
  <c r="V48" i="7"/>
  <c r="S58" i="7"/>
  <c r="V58" i="7"/>
  <c r="S44" i="7"/>
  <c r="V44" i="7"/>
  <c r="S46" i="7"/>
  <c r="V46" i="7"/>
  <c r="S40" i="7"/>
  <c r="V40" i="7"/>
  <c r="S34" i="7"/>
  <c r="V34" i="7"/>
  <c r="S56" i="7"/>
  <c r="V56" i="7"/>
  <c r="S32" i="7"/>
  <c r="V32" i="7"/>
  <c r="S24" i="7"/>
  <c r="V24" i="7"/>
  <c r="S11" i="6"/>
  <c r="S10" i="6"/>
  <c r="S9" i="6"/>
  <c r="R53" i="7"/>
  <c r="G53" i="7"/>
  <c r="R13" i="6"/>
  <c r="V13" i="6" s="1"/>
  <c r="G13" i="6"/>
  <c r="S8" i="6"/>
  <c r="S6" i="6"/>
  <c r="W56" i="7" l="1"/>
  <c r="F56" i="8"/>
  <c r="W48" i="7"/>
  <c r="F48" i="8"/>
  <c r="R66" i="19"/>
  <c r="G66" i="19"/>
  <c r="F69" i="19"/>
  <c r="W68" i="17"/>
  <c r="W24" i="7"/>
  <c r="F24" i="8"/>
  <c r="W44" i="7"/>
  <c r="F44" i="8"/>
  <c r="R67" i="13"/>
  <c r="G67" i="13"/>
  <c r="W32" i="7"/>
  <c r="F32" i="8"/>
  <c r="W34" i="7"/>
  <c r="F34" i="8"/>
  <c r="W46" i="7"/>
  <c r="F46" i="8"/>
  <c r="W58" i="7"/>
  <c r="F58" i="8"/>
  <c r="W30" i="7"/>
  <c r="F30" i="8"/>
  <c r="W40" i="7"/>
  <c r="F40" i="8"/>
  <c r="W28" i="7"/>
  <c r="F28" i="8"/>
  <c r="V70" i="19"/>
  <c r="S70" i="19"/>
  <c r="V65" i="19"/>
  <c r="S65" i="19"/>
  <c r="V68" i="19"/>
  <c r="S68" i="19"/>
  <c r="X64" i="24"/>
  <c r="G64" i="26"/>
  <c r="G64" i="25"/>
  <c r="G39" i="7"/>
  <c r="R39" i="7"/>
  <c r="S22" i="6"/>
  <c r="V22" i="6"/>
  <c r="S59" i="7"/>
  <c r="V59" i="7"/>
  <c r="V36" i="6"/>
  <c r="S36" i="6"/>
  <c r="S21" i="6"/>
  <c r="V21" i="6"/>
  <c r="V20" i="6"/>
  <c r="S20" i="6"/>
  <c r="R35" i="7"/>
  <c r="G35" i="7"/>
  <c r="V33" i="6"/>
  <c r="S33" i="6"/>
  <c r="V60" i="6"/>
  <c r="S60" i="6"/>
  <c r="S26" i="6"/>
  <c r="V26" i="6"/>
  <c r="V62" i="6"/>
  <c r="S62" i="6"/>
  <c r="W23" i="6"/>
  <c r="F23" i="7"/>
  <c r="W27" i="6"/>
  <c r="F27" i="7"/>
  <c r="W63" i="6"/>
  <c r="F63" i="7"/>
  <c r="V41" i="6"/>
  <c r="S41" i="6"/>
  <c r="W47" i="6"/>
  <c r="F47" i="7"/>
  <c r="V54" i="6"/>
  <c r="S54" i="6"/>
  <c r="V16" i="5"/>
  <c r="S16" i="5"/>
  <c r="V14" i="5"/>
  <c r="S14" i="5"/>
  <c r="G15" i="6"/>
  <c r="R15" i="6"/>
  <c r="G25" i="6"/>
  <c r="R25" i="6"/>
  <c r="W29" i="5"/>
  <c r="F29" i="6"/>
  <c r="S38" i="5"/>
  <c r="V38" i="5"/>
  <c r="R37" i="6"/>
  <c r="G37" i="6"/>
  <c r="S61" i="6"/>
  <c r="V61" i="6"/>
  <c r="W45" i="5"/>
  <c r="F45" i="6"/>
  <c r="G43" i="6"/>
  <c r="R43" i="6"/>
  <c r="V17" i="5"/>
  <c r="S17" i="5"/>
  <c r="R31" i="6"/>
  <c r="G31" i="6"/>
  <c r="V64" i="5"/>
  <c r="S64" i="5"/>
  <c r="V55" i="6"/>
  <c r="S55" i="6"/>
  <c r="V19" i="6"/>
  <c r="S19" i="6"/>
  <c r="V52" i="5"/>
  <c r="S52" i="5"/>
  <c r="R51" i="6"/>
  <c r="G51" i="6"/>
  <c r="V50" i="5"/>
  <c r="S50" i="5"/>
  <c r="V18" i="5"/>
  <c r="S18" i="5"/>
  <c r="V42" i="5"/>
  <c r="S42" i="5"/>
  <c r="V57" i="6"/>
  <c r="S57" i="6"/>
  <c r="V49" i="6"/>
  <c r="S49" i="6"/>
  <c r="S7" i="5"/>
  <c r="V7" i="5"/>
  <c r="S12" i="5"/>
  <c r="V12" i="5"/>
  <c r="R5" i="7"/>
  <c r="V5" i="7" s="1"/>
  <c r="W13" i="6"/>
  <c r="F13" i="7"/>
  <c r="R13" i="7" s="1"/>
  <c r="S53" i="7"/>
  <c r="V53" i="7"/>
  <c r="S13" i="6"/>
  <c r="R11" i="7"/>
  <c r="G11" i="7"/>
  <c r="R9" i="7"/>
  <c r="G9" i="7"/>
  <c r="R10" i="7"/>
  <c r="G10" i="7"/>
  <c r="R8" i="7"/>
  <c r="G8" i="7"/>
  <c r="R6" i="7"/>
  <c r="G6" i="7"/>
  <c r="W5" i="7" l="1"/>
  <c r="F5" i="8"/>
  <c r="R28" i="8"/>
  <c r="G28" i="8"/>
  <c r="R30" i="8"/>
  <c r="G30" i="8"/>
  <c r="R46" i="8"/>
  <c r="G46" i="8"/>
  <c r="R32" i="8"/>
  <c r="G32" i="8"/>
  <c r="R44" i="8"/>
  <c r="G44" i="8"/>
  <c r="W59" i="7"/>
  <c r="F59" i="8"/>
  <c r="G65" i="21"/>
  <c r="W65" i="19"/>
  <c r="R69" i="19"/>
  <c r="G69" i="19"/>
  <c r="W53" i="7"/>
  <c r="F53" i="8"/>
  <c r="R40" i="8"/>
  <c r="G40" i="8"/>
  <c r="R58" i="8"/>
  <c r="G58" i="8"/>
  <c r="R34" i="8"/>
  <c r="G34" i="8"/>
  <c r="R24" i="8"/>
  <c r="G24" i="8"/>
  <c r="R56" i="8"/>
  <c r="G56" i="8"/>
  <c r="S64" i="26"/>
  <c r="H64" i="26"/>
  <c r="R48" i="8"/>
  <c r="G48" i="8"/>
  <c r="S64" i="25"/>
  <c r="H64" i="25"/>
  <c r="S68" i="21"/>
  <c r="G68" i="21"/>
  <c r="H68" i="21" s="1"/>
  <c r="W68" i="19"/>
  <c r="S70" i="21"/>
  <c r="G70" i="21"/>
  <c r="H70" i="21" s="1"/>
  <c r="W70" i="19"/>
  <c r="V67" i="13"/>
  <c r="S67" i="13"/>
  <c r="V66" i="19"/>
  <c r="S66" i="19"/>
  <c r="W21" i="6"/>
  <c r="F21" i="7"/>
  <c r="V39" i="7"/>
  <c r="S39" i="7"/>
  <c r="W41" i="6"/>
  <c r="F41" i="7"/>
  <c r="W62" i="6"/>
  <c r="F62" i="7"/>
  <c r="G47" i="7"/>
  <c r="R47" i="7"/>
  <c r="R23" i="7"/>
  <c r="G23" i="7"/>
  <c r="W26" i="6"/>
  <c r="F26" i="7"/>
  <c r="W22" i="6"/>
  <c r="F22" i="7"/>
  <c r="G27" i="7"/>
  <c r="R27" i="7"/>
  <c r="W60" i="6"/>
  <c r="F60" i="7"/>
  <c r="S35" i="7"/>
  <c r="V35" i="7"/>
  <c r="R63" i="7"/>
  <c r="G63" i="7"/>
  <c r="W33" i="6"/>
  <c r="F33" i="7"/>
  <c r="W20" i="6"/>
  <c r="F20" i="7"/>
  <c r="W36" i="6"/>
  <c r="F36" i="7"/>
  <c r="W54" i="6"/>
  <c r="F54" i="7"/>
  <c r="W16" i="5"/>
  <c r="F16" i="6"/>
  <c r="W14" i="5"/>
  <c r="F14" i="6"/>
  <c r="V15" i="6"/>
  <c r="S15" i="6"/>
  <c r="V25" i="6"/>
  <c r="S25" i="6"/>
  <c r="R29" i="6"/>
  <c r="G29" i="6"/>
  <c r="W38" i="5"/>
  <c r="F38" i="6"/>
  <c r="V37" i="6"/>
  <c r="S37" i="6"/>
  <c r="W61" i="6"/>
  <c r="F61" i="7"/>
  <c r="R45" i="6"/>
  <c r="G45" i="6"/>
  <c r="V43" i="6"/>
  <c r="S43" i="6"/>
  <c r="W17" i="5"/>
  <c r="F17" i="6"/>
  <c r="V31" i="6"/>
  <c r="S31" i="6"/>
  <c r="W64" i="5"/>
  <c r="F64" i="6"/>
  <c r="W55" i="6"/>
  <c r="F55" i="7"/>
  <c r="W19" i="6"/>
  <c r="F19" i="7"/>
  <c r="W52" i="5"/>
  <c r="F52" i="6"/>
  <c r="V51" i="6"/>
  <c r="S51" i="6"/>
  <c r="W50" i="5"/>
  <c r="F50" i="6"/>
  <c r="W18" i="5"/>
  <c r="F18" i="6"/>
  <c r="W42" i="5"/>
  <c r="F42" i="6"/>
  <c r="W57" i="6"/>
  <c r="F57" i="7"/>
  <c r="W49" i="6"/>
  <c r="F49" i="7"/>
  <c r="S5" i="7"/>
  <c r="F12" i="6"/>
  <c r="W12" i="5"/>
  <c r="W7" i="5"/>
  <c r="F7" i="6"/>
  <c r="S11" i="7"/>
  <c r="V11" i="7"/>
  <c r="S10" i="7"/>
  <c r="V10" i="7"/>
  <c r="S8" i="7"/>
  <c r="V8" i="7"/>
  <c r="S9" i="7"/>
  <c r="V9" i="7"/>
  <c r="S6" i="7"/>
  <c r="V6" i="7"/>
  <c r="G13" i="7"/>
  <c r="W70" i="21" l="1"/>
  <c r="T70" i="21"/>
  <c r="W9" i="7"/>
  <c r="F9" i="8"/>
  <c r="F67" i="20"/>
  <c r="F67" i="16"/>
  <c r="W67" i="13"/>
  <c r="W64" i="25"/>
  <c r="X64" i="25" s="1"/>
  <c r="T64" i="25"/>
  <c r="W64" i="26"/>
  <c r="X64" i="26" s="1"/>
  <c r="T64" i="26"/>
  <c r="V24" i="8"/>
  <c r="S24" i="8"/>
  <c r="V58" i="8"/>
  <c r="S58" i="8"/>
  <c r="H65" i="21"/>
  <c r="S65" i="21"/>
  <c r="V44" i="8"/>
  <c r="S44" i="8"/>
  <c r="V46" i="8"/>
  <c r="S46" i="8"/>
  <c r="V28" i="8"/>
  <c r="S28" i="8"/>
  <c r="W35" i="7"/>
  <c r="F35" i="8"/>
  <c r="W10" i="7"/>
  <c r="F10" i="8"/>
  <c r="G59" i="8"/>
  <c r="R59" i="8"/>
  <c r="R5" i="8"/>
  <c r="G5" i="8"/>
  <c r="R53" i="8"/>
  <c r="G53" i="8"/>
  <c r="W6" i="7"/>
  <c r="F6" i="8"/>
  <c r="W8" i="7"/>
  <c r="F8" i="8"/>
  <c r="W11" i="7"/>
  <c r="F11" i="8"/>
  <c r="W39" i="7"/>
  <c r="F39" i="8"/>
  <c r="G66" i="21"/>
  <c r="W66" i="19"/>
  <c r="W68" i="21"/>
  <c r="T68" i="21"/>
  <c r="V48" i="8"/>
  <c r="S48" i="8"/>
  <c r="V56" i="8"/>
  <c r="S56" i="8"/>
  <c r="V34" i="8"/>
  <c r="S34" i="8"/>
  <c r="V40" i="8"/>
  <c r="S40" i="8"/>
  <c r="V69" i="19"/>
  <c r="S69" i="19"/>
  <c r="V32" i="8"/>
  <c r="S32" i="8"/>
  <c r="V30" i="8"/>
  <c r="S30" i="8"/>
  <c r="R36" i="7"/>
  <c r="G36" i="7"/>
  <c r="R26" i="7"/>
  <c r="G26" i="7"/>
  <c r="R41" i="7"/>
  <c r="G41" i="7"/>
  <c r="R22" i="7"/>
  <c r="G22" i="7"/>
  <c r="R62" i="7"/>
  <c r="G62" i="7"/>
  <c r="R33" i="7"/>
  <c r="G33" i="7"/>
  <c r="S27" i="7"/>
  <c r="V27" i="7"/>
  <c r="V47" i="7"/>
  <c r="S47" i="7"/>
  <c r="R21" i="7"/>
  <c r="G21" i="7"/>
  <c r="R20" i="7"/>
  <c r="G20" i="7"/>
  <c r="G60" i="7"/>
  <c r="R60" i="7"/>
  <c r="V63" i="7"/>
  <c r="S63" i="7"/>
  <c r="V23" i="7"/>
  <c r="S23" i="7"/>
  <c r="R54" i="7"/>
  <c r="G54" i="7"/>
  <c r="G16" i="6"/>
  <c r="R16" i="6"/>
  <c r="R14" i="6"/>
  <c r="G14" i="6"/>
  <c r="W15" i="6"/>
  <c r="F15" i="7"/>
  <c r="W25" i="6"/>
  <c r="F25" i="7"/>
  <c r="V29" i="6"/>
  <c r="S29" i="6"/>
  <c r="R38" i="6"/>
  <c r="G38" i="6"/>
  <c r="W37" i="6"/>
  <c r="F37" i="7"/>
  <c r="R61" i="7"/>
  <c r="G61" i="7"/>
  <c r="V45" i="6"/>
  <c r="S45" i="6"/>
  <c r="W43" i="6"/>
  <c r="F43" i="7"/>
  <c r="G17" i="6"/>
  <c r="R17" i="6"/>
  <c r="W31" i="6"/>
  <c r="F31" i="7"/>
  <c r="R64" i="6"/>
  <c r="G64" i="6"/>
  <c r="R55" i="7"/>
  <c r="G55" i="7"/>
  <c r="G19" i="7"/>
  <c r="R19" i="7"/>
  <c r="G52" i="6"/>
  <c r="R52" i="6"/>
  <c r="W51" i="6"/>
  <c r="F51" i="7"/>
  <c r="R50" i="6"/>
  <c r="G50" i="6"/>
  <c r="R18" i="6"/>
  <c r="G18" i="6"/>
  <c r="R42" i="6"/>
  <c r="G42" i="6"/>
  <c r="R57" i="7"/>
  <c r="G57" i="7"/>
  <c r="R49" i="7"/>
  <c r="G49" i="7"/>
  <c r="G12" i="6"/>
  <c r="R12" i="6"/>
  <c r="G7" i="6"/>
  <c r="R7" i="6"/>
  <c r="S13" i="7"/>
  <c r="V13" i="7"/>
  <c r="W32" i="8" l="1"/>
  <c r="F32" i="11"/>
  <c r="F56" i="11"/>
  <c r="W56" i="8"/>
  <c r="V53" i="8"/>
  <c r="S53" i="8"/>
  <c r="W46" i="8"/>
  <c r="F46" i="11"/>
  <c r="W24" i="8"/>
  <c r="F24" i="11"/>
  <c r="R9" i="8"/>
  <c r="G9" i="8"/>
  <c r="G68" i="23"/>
  <c r="G68" i="22"/>
  <c r="X68" i="21"/>
  <c r="R11" i="8"/>
  <c r="G11" i="8"/>
  <c r="R6" i="8"/>
  <c r="G6" i="8"/>
  <c r="R10" i="8"/>
  <c r="G10" i="8"/>
  <c r="W23" i="7"/>
  <c r="F23" i="8"/>
  <c r="W63" i="7"/>
  <c r="F63" i="8"/>
  <c r="W47" i="7"/>
  <c r="F47" i="8"/>
  <c r="F30" i="11"/>
  <c r="W30" i="8"/>
  <c r="G69" i="21"/>
  <c r="H69" i="21" s="1"/>
  <c r="W69" i="19"/>
  <c r="F34" i="11"/>
  <c r="W34" i="8"/>
  <c r="F48" i="11"/>
  <c r="W48" i="8"/>
  <c r="S66" i="21"/>
  <c r="H66" i="21"/>
  <c r="V5" i="8"/>
  <c r="S5" i="8"/>
  <c r="W28" i="8"/>
  <c r="F28" i="11"/>
  <c r="W44" i="8"/>
  <c r="F44" i="11"/>
  <c r="W58" i="8"/>
  <c r="F58" i="11"/>
  <c r="R67" i="16"/>
  <c r="G67" i="16"/>
  <c r="F40" i="11"/>
  <c r="W40" i="8"/>
  <c r="W13" i="7"/>
  <c r="F13" i="8"/>
  <c r="W27" i="7"/>
  <c r="F27" i="8"/>
  <c r="G39" i="8"/>
  <c r="R39" i="8"/>
  <c r="R8" i="8"/>
  <c r="G8" i="8"/>
  <c r="V59" i="8"/>
  <c r="S59" i="8"/>
  <c r="G35" i="8"/>
  <c r="R35" i="8"/>
  <c r="W65" i="21"/>
  <c r="T65" i="21"/>
  <c r="R67" i="20"/>
  <c r="G67" i="20"/>
  <c r="G70" i="23"/>
  <c r="G70" i="22"/>
  <c r="X70" i="21"/>
  <c r="V41" i="7"/>
  <c r="S41" i="7"/>
  <c r="S60" i="7"/>
  <c r="V60" i="7"/>
  <c r="V21" i="7"/>
  <c r="S21" i="7"/>
  <c r="S62" i="7"/>
  <c r="V62" i="7"/>
  <c r="S36" i="7"/>
  <c r="V36" i="7"/>
  <c r="S20" i="7"/>
  <c r="V20" i="7"/>
  <c r="V33" i="7"/>
  <c r="S33" i="7"/>
  <c r="V22" i="7"/>
  <c r="S22" i="7"/>
  <c r="V26" i="7"/>
  <c r="S26" i="7"/>
  <c r="V54" i="7"/>
  <c r="S54" i="7"/>
  <c r="V16" i="6"/>
  <c r="S16" i="6"/>
  <c r="V14" i="6"/>
  <c r="S14" i="6"/>
  <c r="R15" i="7"/>
  <c r="G15" i="7"/>
  <c r="R25" i="7"/>
  <c r="G25" i="7"/>
  <c r="W29" i="6"/>
  <c r="F29" i="7"/>
  <c r="V38" i="6"/>
  <c r="S38" i="6"/>
  <c r="R37" i="7"/>
  <c r="G37" i="7"/>
  <c r="V61" i="7"/>
  <c r="S61" i="7"/>
  <c r="W45" i="6"/>
  <c r="F45" i="7"/>
  <c r="R43" i="7"/>
  <c r="G43" i="7"/>
  <c r="V17" i="6"/>
  <c r="S17" i="6"/>
  <c r="R31" i="7"/>
  <c r="G31" i="7"/>
  <c r="V64" i="6"/>
  <c r="S64" i="6"/>
  <c r="S55" i="7"/>
  <c r="V55" i="7"/>
  <c r="S19" i="7"/>
  <c r="V19" i="7"/>
  <c r="V52" i="6"/>
  <c r="S52" i="6"/>
  <c r="R51" i="7"/>
  <c r="G51" i="7"/>
  <c r="V50" i="6"/>
  <c r="S50" i="6"/>
  <c r="V18" i="6"/>
  <c r="S18" i="6"/>
  <c r="V42" i="6"/>
  <c r="S42" i="6"/>
  <c r="S57" i="7"/>
  <c r="V57" i="7"/>
  <c r="S49" i="7"/>
  <c r="V49" i="7"/>
  <c r="V12" i="6"/>
  <c r="S12" i="6"/>
  <c r="V7" i="6"/>
  <c r="S7" i="6"/>
  <c r="W61" i="7" l="1"/>
  <c r="F61" i="8"/>
  <c r="W54" i="7"/>
  <c r="F54" i="8"/>
  <c r="W22" i="7"/>
  <c r="F22" i="8"/>
  <c r="H70" i="22"/>
  <c r="S70" i="22"/>
  <c r="V39" i="8"/>
  <c r="S39" i="8"/>
  <c r="R13" i="8"/>
  <c r="G13" i="8"/>
  <c r="R44" i="11"/>
  <c r="G44" i="11"/>
  <c r="R30" i="11"/>
  <c r="G30" i="11"/>
  <c r="V10" i="8"/>
  <c r="S10" i="8"/>
  <c r="V11" i="8"/>
  <c r="S11" i="8"/>
  <c r="R46" i="11"/>
  <c r="G46" i="11"/>
  <c r="W19" i="7"/>
  <c r="F19" i="8"/>
  <c r="W36" i="7"/>
  <c r="F36" i="8"/>
  <c r="S70" i="23"/>
  <c r="H70" i="23"/>
  <c r="X65" i="21"/>
  <c r="G65" i="23"/>
  <c r="G65" i="22"/>
  <c r="W59" i="8"/>
  <c r="F59" i="11"/>
  <c r="S67" i="16"/>
  <c r="V67" i="16"/>
  <c r="F5" i="11"/>
  <c r="W5" i="8"/>
  <c r="R48" i="11"/>
  <c r="G48" i="11"/>
  <c r="R47" i="8"/>
  <c r="G47" i="8"/>
  <c r="G23" i="8"/>
  <c r="R23" i="8"/>
  <c r="V9" i="8"/>
  <c r="S9" i="8"/>
  <c r="R56" i="11"/>
  <c r="G56" i="11"/>
  <c r="W57" i="7"/>
  <c r="F57" i="8"/>
  <c r="W26" i="7"/>
  <c r="F26" i="8"/>
  <c r="W33" i="7"/>
  <c r="F33" i="8"/>
  <c r="W21" i="7"/>
  <c r="F21" i="8"/>
  <c r="W41" i="7"/>
  <c r="F41" i="8"/>
  <c r="V35" i="8"/>
  <c r="S35" i="8"/>
  <c r="G27" i="8"/>
  <c r="R27" i="8"/>
  <c r="R58" i="11"/>
  <c r="G58" i="11"/>
  <c r="R28" i="11"/>
  <c r="G28" i="11"/>
  <c r="S69" i="21"/>
  <c r="S6" i="8"/>
  <c r="V6" i="8"/>
  <c r="S68" i="22"/>
  <c r="H68" i="22"/>
  <c r="R24" i="11"/>
  <c r="G24" i="11"/>
  <c r="R32" i="11"/>
  <c r="G32" i="11"/>
  <c r="W49" i="7"/>
  <c r="F49" i="8"/>
  <c r="W55" i="7"/>
  <c r="F55" i="8"/>
  <c r="W20" i="7"/>
  <c r="F20" i="8"/>
  <c r="W62" i="7"/>
  <c r="F62" i="8"/>
  <c r="W60" i="7"/>
  <c r="F60" i="8"/>
  <c r="S67" i="20"/>
  <c r="V67" i="20"/>
  <c r="W67" i="20" s="1"/>
  <c r="S8" i="8"/>
  <c r="V8" i="8"/>
  <c r="R40" i="11"/>
  <c r="G40" i="11"/>
  <c r="W66" i="21"/>
  <c r="T66" i="21"/>
  <c r="R34" i="11"/>
  <c r="G34" i="11"/>
  <c r="G63" i="8"/>
  <c r="R63" i="8"/>
  <c r="H68" i="23"/>
  <c r="S68" i="23"/>
  <c r="W53" i="8"/>
  <c r="F53" i="11"/>
  <c r="F16" i="7"/>
  <c r="W16" i="6"/>
  <c r="F14" i="7"/>
  <c r="W14" i="6"/>
  <c r="S15" i="7"/>
  <c r="V15" i="7"/>
  <c r="V25" i="7"/>
  <c r="S25" i="7"/>
  <c r="R29" i="7"/>
  <c r="G29" i="7"/>
  <c r="W38" i="6"/>
  <c r="F38" i="7"/>
  <c r="S37" i="7"/>
  <c r="V37" i="7"/>
  <c r="G45" i="7"/>
  <c r="R45" i="7"/>
  <c r="S43" i="7"/>
  <c r="V43" i="7"/>
  <c r="W17" i="6"/>
  <c r="F17" i="7"/>
  <c r="S31" i="7"/>
  <c r="V31" i="7"/>
  <c r="W64" i="6"/>
  <c r="F64" i="7"/>
  <c r="W52" i="6"/>
  <c r="F52" i="7"/>
  <c r="S51" i="7"/>
  <c r="V51" i="7"/>
  <c r="W50" i="6"/>
  <c r="F50" i="7"/>
  <c r="W18" i="6"/>
  <c r="F18" i="7"/>
  <c r="W42" i="6"/>
  <c r="F42" i="7"/>
  <c r="F7" i="7"/>
  <c r="W7" i="6"/>
  <c r="W12" i="6"/>
  <c r="F12" i="7"/>
  <c r="W51" i="7" l="1"/>
  <c r="F51" i="8"/>
  <c r="G53" i="11"/>
  <c r="R53" i="11"/>
  <c r="S63" i="8"/>
  <c r="V63" i="8"/>
  <c r="W8" i="8"/>
  <c r="F8" i="11"/>
  <c r="G60" i="8"/>
  <c r="R60" i="8"/>
  <c r="R20" i="8"/>
  <c r="G20" i="8"/>
  <c r="R49" i="8"/>
  <c r="G49" i="8"/>
  <c r="W6" i="8"/>
  <c r="F6" i="11"/>
  <c r="V28" i="11"/>
  <c r="S28" i="11"/>
  <c r="W9" i="8"/>
  <c r="F9" i="11"/>
  <c r="V47" i="8"/>
  <c r="S47" i="8"/>
  <c r="R5" i="11"/>
  <c r="G5" i="11"/>
  <c r="G19" i="8"/>
  <c r="R19" i="8"/>
  <c r="T70" i="22"/>
  <c r="W70" i="22"/>
  <c r="R54" i="8"/>
  <c r="G54" i="8"/>
  <c r="W25" i="7"/>
  <c r="F25" i="8"/>
  <c r="X66" i="21"/>
  <c r="G66" i="23"/>
  <c r="G66" i="22"/>
  <c r="V24" i="11"/>
  <c r="S24" i="11"/>
  <c r="R21" i="8"/>
  <c r="G21" i="8"/>
  <c r="R26" i="8"/>
  <c r="G26" i="8"/>
  <c r="S23" i="8"/>
  <c r="V23" i="8"/>
  <c r="W67" i="16"/>
  <c r="F66" i="17"/>
  <c r="S65" i="22"/>
  <c r="H65" i="22"/>
  <c r="W70" i="23"/>
  <c r="X70" i="23" s="1"/>
  <c r="T70" i="23"/>
  <c r="W11" i="8"/>
  <c r="F11" i="11"/>
  <c r="V30" i="11"/>
  <c r="S30" i="11"/>
  <c r="V13" i="8"/>
  <c r="S13" i="8"/>
  <c r="W31" i="7"/>
  <c r="F31" i="8"/>
  <c r="W43" i="7"/>
  <c r="F43" i="8"/>
  <c r="W37" i="7"/>
  <c r="F37" i="8"/>
  <c r="W15" i="7"/>
  <c r="F15" i="8"/>
  <c r="W68" i="23"/>
  <c r="X68" i="23" s="1"/>
  <c r="T68" i="23"/>
  <c r="R62" i="8"/>
  <c r="G62" i="8"/>
  <c r="R55" i="8"/>
  <c r="G55" i="8"/>
  <c r="W69" i="21"/>
  <c r="T69" i="21"/>
  <c r="V58" i="11"/>
  <c r="S58" i="11"/>
  <c r="W35" i="8"/>
  <c r="F35" i="11"/>
  <c r="V56" i="11"/>
  <c r="S56" i="11"/>
  <c r="V48" i="11"/>
  <c r="S48" i="11"/>
  <c r="S65" i="23"/>
  <c r="H65" i="23"/>
  <c r="R36" i="8"/>
  <c r="G36" i="8"/>
  <c r="R22" i="8"/>
  <c r="G22" i="8"/>
  <c r="R61" i="8"/>
  <c r="G61" i="8"/>
  <c r="V34" i="11"/>
  <c r="S34" i="11"/>
  <c r="V40" i="11"/>
  <c r="S40" i="11"/>
  <c r="V32" i="11"/>
  <c r="S32" i="11"/>
  <c r="W68" i="22"/>
  <c r="T68" i="22"/>
  <c r="V27" i="8"/>
  <c r="S27" i="8"/>
  <c r="R41" i="8"/>
  <c r="G41" i="8"/>
  <c r="R33" i="8"/>
  <c r="G33" i="8"/>
  <c r="R57" i="8"/>
  <c r="G57" i="8"/>
  <c r="R59" i="11"/>
  <c r="G59" i="11"/>
  <c r="V46" i="11"/>
  <c r="S46" i="11"/>
  <c r="F10" i="11"/>
  <c r="W10" i="8"/>
  <c r="V44" i="11"/>
  <c r="S44" i="11"/>
  <c r="W39" i="8"/>
  <c r="F39" i="11"/>
  <c r="R16" i="7"/>
  <c r="G16" i="7"/>
  <c r="R14" i="7"/>
  <c r="G14" i="7"/>
  <c r="V29" i="7"/>
  <c r="S29" i="7"/>
  <c r="R38" i="7"/>
  <c r="G38" i="7"/>
  <c r="S45" i="7"/>
  <c r="V45" i="7"/>
  <c r="R17" i="7"/>
  <c r="G17" i="7"/>
  <c r="R64" i="7"/>
  <c r="G64" i="7"/>
  <c r="R52" i="7"/>
  <c r="G52" i="7"/>
  <c r="G50" i="7"/>
  <c r="R50" i="7"/>
  <c r="R18" i="7"/>
  <c r="G18" i="7"/>
  <c r="R42" i="7"/>
  <c r="G42" i="7"/>
  <c r="G12" i="7"/>
  <c r="R12" i="7"/>
  <c r="G7" i="7"/>
  <c r="R7" i="7"/>
  <c r="W29" i="7" l="1"/>
  <c r="F29" i="8"/>
  <c r="V57" i="8"/>
  <c r="S57" i="8"/>
  <c r="V61" i="8"/>
  <c r="S61" i="8"/>
  <c r="G69" i="23"/>
  <c r="G69" i="22"/>
  <c r="X69" i="21"/>
  <c r="R10" i="11"/>
  <c r="G10" i="11"/>
  <c r="V59" i="11"/>
  <c r="S59" i="11"/>
  <c r="V33" i="8"/>
  <c r="S33" i="8"/>
  <c r="W27" i="8"/>
  <c r="F27" i="11"/>
  <c r="F32" i="12"/>
  <c r="W32" i="11"/>
  <c r="W34" i="11"/>
  <c r="F34" i="12"/>
  <c r="V22" i="8"/>
  <c r="S22" i="8"/>
  <c r="W65" i="23"/>
  <c r="X65" i="23" s="1"/>
  <c r="T65" i="23"/>
  <c r="F56" i="12"/>
  <c r="W56" i="11"/>
  <c r="W58" i="11"/>
  <c r="F58" i="12"/>
  <c r="V55" i="8"/>
  <c r="S55" i="8"/>
  <c r="W30" i="11"/>
  <c r="F30" i="12"/>
  <c r="V26" i="8"/>
  <c r="S26" i="8"/>
  <c r="F24" i="12"/>
  <c r="W24" i="11"/>
  <c r="R25" i="8"/>
  <c r="G25" i="8"/>
  <c r="G70" i="24"/>
  <c r="X70" i="22"/>
  <c r="R9" i="11"/>
  <c r="G9" i="11"/>
  <c r="R6" i="11"/>
  <c r="G6" i="11"/>
  <c r="R8" i="11"/>
  <c r="G8" i="11"/>
  <c r="S53" i="11"/>
  <c r="V53" i="11"/>
  <c r="F44" i="12"/>
  <c r="W44" i="11"/>
  <c r="V41" i="8"/>
  <c r="S41" i="8"/>
  <c r="V36" i="8"/>
  <c r="S36" i="8"/>
  <c r="V62" i="8"/>
  <c r="S62" i="8"/>
  <c r="W13" i="8"/>
  <c r="F13" i="11"/>
  <c r="V21" i="8"/>
  <c r="S21" i="8"/>
  <c r="W45" i="7"/>
  <c r="F45" i="8"/>
  <c r="R35" i="11"/>
  <c r="G35" i="11"/>
  <c r="R15" i="8"/>
  <c r="G15" i="8"/>
  <c r="G43" i="8"/>
  <c r="R43" i="8"/>
  <c r="R11" i="11"/>
  <c r="G11" i="11"/>
  <c r="W23" i="8"/>
  <c r="F23" i="11"/>
  <c r="S66" i="22"/>
  <c r="H66" i="22"/>
  <c r="S5" i="11"/>
  <c r="V5" i="11"/>
  <c r="V20" i="8"/>
  <c r="S20" i="8"/>
  <c r="W46" i="11"/>
  <c r="F46" i="12"/>
  <c r="X68" i="22"/>
  <c r="G68" i="24"/>
  <c r="F40" i="12"/>
  <c r="W40" i="11"/>
  <c r="F48" i="12"/>
  <c r="W48" i="11"/>
  <c r="W65" i="22"/>
  <c r="T65" i="22"/>
  <c r="S66" i="23"/>
  <c r="H66" i="23"/>
  <c r="S19" i="8"/>
  <c r="V19" i="8"/>
  <c r="V60" i="8"/>
  <c r="S60" i="8"/>
  <c r="W63" i="8"/>
  <c r="F63" i="11"/>
  <c r="R51" i="8"/>
  <c r="G51" i="8"/>
  <c r="R39" i="11"/>
  <c r="G39" i="11"/>
  <c r="R37" i="8"/>
  <c r="G37" i="8"/>
  <c r="G31" i="8"/>
  <c r="R31" i="8"/>
  <c r="R66" i="17"/>
  <c r="G66" i="17"/>
  <c r="V54" i="8"/>
  <c r="S54" i="8"/>
  <c r="F47" i="11"/>
  <c r="W47" i="8"/>
  <c r="F28" i="12"/>
  <c r="W28" i="11"/>
  <c r="V49" i="8"/>
  <c r="S49" i="8"/>
  <c r="V16" i="7"/>
  <c r="S16" i="7"/>
  <c r="V14" i="7"/>
  <c r="S14" i="7"/>
  <c r="V38" i="7"/>
  <c r="S38" i="7"/>
  <c r="S17" i="7"/>
  <c r="V17" i="7"/>
  <c r="S64" i="7"/>
  <c r="V64" i="7"/>
  <c r="S52" i="7"/>
  <c r="V52" i="7"/>
  <c r="S50" i="7"/>
  <c r="V50" i="7"/>
  <c r="S18" i="7"/>
  <c r="V18" i="7"/>
  <c r="S42" i="7"/>
  <c r="V42" i="7"/>
  <c r="S7" i="7"/>
  <c r="V7" i="7"/>
  <c r="V12" i="7"/>
  <c r="S12" i="7"/>
  <c r="W12" i="7" l="1"/>
  <c r="F12" i="8"/>
  <c r="W38" i="7"/>
  <c r="F38" i="8"/>
  <c r="V39" i="11"/>
  <c r="S39" i="11"/>
  <c r="F21" i="11"/>
  <c r="W21" i="8"/>
  <c r="F41" i="11"/>
  <c r="W41" i="8"/>
  <c r="S70" i="24"/>
  <c r="H70" i="24"/>
  <c r="G24" i="12"/>
  <c r="R24" i="12"/>
  <c r="F59" i="12"/>
  <c r="W59" i="11"/>
  <c r="W7" i="7"/>
  <c r="F7" i="8"/>
  <c r="W18" i="7"/>
  <c r="F18" i="8"/>
  <c r="W52" i="7"/>
  <c r="F52" i="8"/>
  <c r="W17" i="7"/>
  <c r="F17" i="8"/>
  <c r="S68" i="24"/>
  <c r="H68" i="24"/>
  <c r="R45" i="8"/>
  <c r="G45" i="8"/>
  <c r="R13" i="11"/>
  <c r="G13" i="11"/>
  <c r="S69" i="23"/>
  <c r="H69" i="23"/>
  <c r="F57" i="11"/>
  <c r="W57" i="8"/>
  <c r="G28" i="12"/>
  <c r="R28" i="12"/>
  <c r="G65" i="24"/>
  <c r="X65" i="22"/>
  <c r="V35" i="11"/>
  <c r="S35" i="11"/>
  <c r="V6" i="11"/>
  <c r="S6" i="11"/>
  <c r="F49" i="11"/>
  <c r="W49" i="8"/>
  <c r="R47" i="11"/>
  <c r="G47" i="11"/>
  <c r="S66" i="17"/>
  <c r="V66" i="17"/>
  <c r="V37" i="8"/>
  <c r="S37" i="8"/>
  <c r="V51" i="8"/>
  <c r="S51" i="8"/>
  <c r="F60" i="11"/>
  <c r="W60" i="8"/>
  <c r="W66" i="23"/>
  <c r="X66" i="23" s="1"/>
  <c r="T66" i="23"/>
  <c r="R48" i="12"/>
  <c r="G48" i="12"/>
  <c r="W20" i="8"/>
  <c r="F20" i="11"/>
  <c r="T66" i="22"/>
  <c r="W66" i="22"/>
  <c r="S11" i="11"/>
  <c r="V11" i="11"/>
  <c r="V15" i="8"/>
  <c r="S15" i="8"/>
  <c r="W36" i="8"/>
  <c r="F36" i="11"/>
  <c r="R44" i="12"/>
  <c r="G44" i="12"/>
  <c r="V8" i="11"/>
  <c r="S8" i="11"/>
  <c r="S9" i="11"/>
  <c r="V9" i="11"/>
  <c r="V25" i="8"/>
  <c r="S25" i="8"/>
  <c r="F26" i="11"/>
  <c r="W26" i="8"/>
  <c r="F55" i="11"/>
  <c r="W55" i="8"/>
  <c r="R56" i="12"/>
  <c r="G56" i="12"/>
  <c r="F22" i="11"/>
  <c r="W22" i="8"/>
  <c r="G32" i="12"/>
  <c r="R32" i="12"/>
  <c r="F33" i="11"/>
  <c r="W33" i="8"/>
  <c r="V10" i="11"/>
  <c r="S10" i="11"/>
  <c r="R29" i="8"/>
  <c r="G29" i="8"/>
  <c r="W16" i="7"/>
  <c r="F16" i="8"/>
  <c r="F54" i="11"/>
  <c r="W54" i="8"/>
  <c r="R40" i="12"/>
  <c r="G40" i="12"/>
  <c r="F62" i="11"/>
  <c r="W62" i="8"/>
  <c r="S69" i="22"/>
  <c r="H69" i="22"/>
  <c r="W14" i="7"/>
  <c r="F14" i="8"/>
  <c r="W42" i="7"/>
  <c r="F42" i="8"/>
  <c r="W50" i="7"/>
  <c r="F50" i="8"/>
  <c r="W64" i="7"/>
  <c r="F64" i="8"/>
  <c r="V31" i="8"/>
  <c r="S31" i="8"/>
  <c r="R63" i="11"/>
  <c r="G63" i="11"/>
  <c r="W19" i="8"/>
  <c r="F19" i="11"/>
  <c r="R46" i="12"/>
  <c r="G46" i="12"/>
  <c r="W5" i="11"/>
  <c r="F5" i="12"/>
  <c r="R23" i="11"/>
  <c r="G23" i="11"/>
  <c r="V43" i="8"/>
  <c r="S43" i="8"/>
  <c r="W53" i="11"/>
  <c r="F53" i="12"/>
  <c r="R30" i="12"/>
  <c r="G30" i="12"/>
  <c r="R58" i="12"/>
  <c r="G58" i="12"/>
  <c r="R34" i="12"/>
  <c r="G34" i="12"/>
  <c r="R27" i="11"/>
  <c r="G27" i="11"/>
  <c r="F61" i="11"/>
  <c r="W61" i="8"/>
  <c r="R5" i="12" l="1"/>
  <c r="G5" i="12"/>
  <c r="R50" i="8"/>
  <c r="G50" i="8"/>
  <c r="R20" i="11"/>
  <c r="G20" i="11"/>
  <c r="R17" i="8"/>
  <c r="G17" i="8"/>
  <c r="R18" i="8"/>
  <c r="G18" i="8"/>
  <c r="V34" i="12"/>
  <c r="S34" i="12"/>
  <c r="W31" i="8"/>
  <c r="F31" i="11"/>
  <c r="R62" i="11"/>
  <c r="G62" i="11"/>
  <c r="R54" i="11"/>
  <c r="G54" i="11"/>
  <c r="V29" i="8"/>
  <c r="S29" i="8"/>
  <c r="G33" i="11"/>
  <c r="R33" i="11"/>
  <c r="R22" i="11"/>
  <c r="G22" i="11"/>
  <c r="R55" i="11"/>
  <c r="G55" i="11"/>
  <c r="F25" i="11"/>
  <c r="W25" i="8"/>
  <c r="F8" i="12"/>
  <c r="W8" i="11"/>
  <c r="W51" i="8"/>
  <c r="F51" i="11"/>
  <c r="R49" i="11"/>
  <c r="G49" i="11"/>
  <c r="F35" i="12"/>
  <c r="W35" i="11"/>
  <c r="T69" i="23"/>
  <c r="W69" i="23"/>
  <c r="X69" i="23" s="1"/>
  <c r="V45" i="8"/>
  <c r="S45" i="8"/>
  <c r="R59" i="12"/>
  <c r="G59" i="12"/>
  <c r="W70" i="24"/>
  <c r="T70" i="24"/>
  <c r="R21" i="11"/>
  <c r="G21" i="11"/>
  <c r="R36" i="11"/>
  <c r="G36" i="11"/>
  <c r="W66" i="17"/>
  <c r="F67" i="19"/>
  <c r="R38" i="8"/>
  <c r="G38" i="8"/>
  <c r="R61" i="11"/>
  <c r="G61" i="11"/>
  <c r="V30" i="12"/>
  <c r="S30" i="12"/>
  <c r="W43" i="8"/>
  <c r="F43" i="11"/>
  <c r="R53" i="12"/>
  <c r="G53" i="12"/>
  <c r="R64" i="8"/>
  <c r="G64" i="8"/>
  <c r="R42" i="8"/>
  <c r="G42" i="8"/>
  <c r="R16" i="8"/>
  <c r="G16" i="8"/>
  <c r="V32" i="12"/>
  <c r="S32" i="12"/>
  <c r="W9" i="11"/>
  <c r="F9" i="12"/>
  <c r="X66" i="22"/>
  <c r="G66" i="24"/>
  <c r="R52" i="8"/>
  <c r="G52" i="8"/>
  <c r="R7" i="8"/>
  <c r="G7" i="8"/>
  <c r="S24" i="12"/>
  <c r="V24" i="12"/>
  <c r="R12" i="8"/>
  <c r="G12" i="8"/>
  <c r="R19" i="11"/>
  <c r="G19" i="11"/>
  <c r="R14" i="8"/>
  <c r="G14" i="8"/>
  <c r="W11" i="11"/>
  <c r="F11" i="12"/>
  <c r="S28" i="12"/>
  <c r="V28" i="12"/>
  <c r="V27" i="11"/>
  <c r="S27" i="11"/>
  <c r="V58" i="12"/>
  <c r="S58" i="12"/>
  <c r="V23" i="11"/>
  <c r="S23" i="11"/>
  <c r="V46" i="12"/>
  <c r="S46" i="12"/>
  <c r="V63" i="11"/>
  <c r="S63" i="11"/>
  <c r="W69" i="22"/>
  <c r="T69" i="22"/>
  <c r="V40" i="12"/>
  <c r="S40" i="12"/>
  <c r="W10" i="11"/>
  <c r="F10" i="12"/>
  <c r="S56" i="12"/>
  <c r="V56" i="12"/>
  <c r="R26" i="11"/>
  <c r="G26" i="11"/>
  <c r="S44" i="12"/>
  <c r="V44" i="12"/>
  <c r="F15" i="11"/>
  <c r="W15" i="8"/>
  <c r="S48" i="12"/>
  <c r="V48" i="12"/>
  <c r="R60" i="11"/>
  <c r="G60" i="11"/>
  <c r="F37" i="11"/>
  <c r="W37" i="8"/>
  <c r="V47" i="11"/>
  <c r="S47" i="11"/>
  <c r="W6" i="11"/>
  <c r="F6" i="12"/>
  <c r="S65" i="24"/>
  <c r="H65" i="24"/>
  <c r="R57" i="11"/>
  <c r="G57" i="11"/>
  <c r="V13" i="11"/>
  <c r="S13" i="11"/>
  <c r="W68" i="24"/>
  <c r="T68" i="24"/>
  <c r="R41" i="11"/>
  <c r="G41" i="11"/>
  <c r="F39" i="12"/>
  <c r="W39" i="11"/>
  <c r="R51" i="11" l="1"/>
  <c r="G51" i="11"/>
  <c r="W65" i="24"/>
  <c r="T65" i="24"/>
  <c r="V26" i="11"/>
  <c r="S26" i="11"/>
  <c r="X69" i="22"/>
  <c r="G69" i="24"/>
  <c r="F46" i="13"/>
  <c r="W46" i="12"/>
  <c r="F58" i="13"/>
  <c r="W58" i="12"/>
  <c r="V14" i="8"/>
  <c r="S14" i="8"/>
  <c r="V12" i="8"/>
  <c r="S12" i="8"/>
  <c r="V7" i="8"/>
  <c r="S7" i="8"/>
  <c r="W32" i="12"/>
  <c r="F32" i="13"/>
  <c r="V42" i="8"/>
  <c r="S42" i="8"/>
  <c r="V53" i="12"/>
  <c r="S53" i="12"/>
  <c r="F30" i="13"/>
  <c r="W30" i="12"/>
  <c r="V38" i="8"/>
  <c r="S38" i="8"/>
  <c r="V36" i="11"/>
  <c r="S36" i="11"/>
  <c r="G70" i="25"/>
  <c r="X70" i="24"/>
  <c r="W45" i="8"/>
  <c r="F45" i="11"/>
  <c r="R35" i="12"/>
  <c r="G35" i="12"/>
  <c r="R25" i="11"/>
  <c r="G25" i="11"/>
  <c r="V22" i="11"/>
  <c r="S22" i="11"/>
  <c r="F29" i="11"/>
  <c r="W29" i="8"/>
  <c r="V62" i="11"/>
  <c r="S62" i="11"/>
  <c r="F34" i="13"/>
  <c r="W34" i="12"/>
  <c r="V17" i="8"/>
  <c r="S17" i="8"/>
  <c r="V50" i="8"/>
  <c r="S50" i="8"/>
  <c r="G10" i="12"/>
  <c r="R10" i="12"/>
  <c r="W28" i="12"/>
  <c r="F28" i="13"/>
  <c r="S66" i="24"/>
  <c r="H66" i="24"/>
  <c r="S41" i="11"/>
  <c r="V41" i="11"/>
  <c r="W13" i="11"/>
  <c r="F13" i="12"/>
  <c r="F47" i="12"/>
  <c r="W47" i="11"/>
  <c r="R15" i="11"/>
  <c r="G15" i="11"/>
  <c r="G6" i="12"/>
  <c r="R6" i="12"/>
  <c r="W48" i="12"/>
  <c r="F48" i="13"/>
  <c r="W44" i="12"/>
  <c r="F44" i="13"/>
  <c r="F56" i="13"/>
  <c r="W56" i="12"/>
  <c r="R11" i="12"/>
  <c r="G11" i="12"/>
  <c r="W24" i="12"/>
  <c r="F24" i="13"/>
  <c r="R9" i="12"/>
  <c r="G9" i="12"/>
  <c r="R43" i="11"/>
  <c r="G43" i="11"/>
  <c r="R67" i="19"/>
  <c r="G67" i="19"/>
  <c r="V33" i="11"/>
  <c r="S33" i="11"/>
  <c r="R31" i="11"/>
  <c r="G31" i="11"/>
  <c r="V60" i="11"/>
  <c r="S60" i="11"/>
  <c r="R39" i="12"/>
  <c r="G39" i="12"/>
  <c r="G68" i="25"/>
  <c r="X68" i="24"/>
  <c r="V57" i="11"/>
  <c r="S57" i="11"/>
  <c r="G37" i="11"/>
  <c r="R37" i="11"/>
  <c r="W40" i="12"/>
  <c r="F40" i="13"/>
  <c r="F63" i="12"/>
  <c r="W63" i="11"/>
  <c r="W23" i="11"/>
  <c r="F23" i="12"/>
  <c r="F27" i="12"/>
  <c r="W27" i="11"/>
  <c r="V19" i="11"/>
  <c r="S19" i="11"/>
  <c r="V52" i="8"/>
  <c r="S52" i="8"/>
  <c r="V16" i="8"/>
  <c r="S16" i="8"/>
  <c r="S64" i="8"/>
  <c r="V64" i="8"/>
  <c r="V61" i="11"/>
  <c r="S61" i="11"/>
  <c r="S21" i="11"/>
  <c r="V21" i="11"/>
  <c r="V59" i="12"/>
  <c r="S59" i="12"/>
  <c r="V49" i="11"/>
  <c r="S49" i="11"/>
  <c r="R8" i="12"/>
  <c r="G8" i="12"/>
  <c r="V55" i="11"/>
  <c r="S55" i="11"/>
  <c r="V54" i="11"/>
  <c r="S54" i="11"/>
  <c r="V18" i="8"/>
  <c r="S18" i="8"/>
  <c r="V20" i="11"/>
  <c r="S20" i="11"/>
  <c r="V5" i="12"/>
  <c r="S5" i="12"/>
  <c r="W21" i="11" l="1"/>
  <c r="F21" i="12"/>
  <c r="R24" i="13"/>
  <c r="G24" i="13"/>
  <c r="R48" i="13"/>
  <c r="G48" i="13"/>
  <c r="R13" i="12"/>
  <c r="G13" i="12"/>
  <c r="S10" i="12"/>
  <c r="V10" i="12"/>
  <c r="R32" i="13"/>
  <c r="G32" i="13"/>
  <c r="S69" i="24"/>
  <c r="H69" i="24"/>
  <c r="W64" i="8"/>
  <c r="F64" i="11"/>
  <c r="F18" i="11"/>
  <c r="W18" i="8"/>
  <c r="W49" i="11"/>
  <c r="F49" i="12"/>
  <c r="W52" i="8"/>
  <c r="F52" i="11"/>
  <c r="R27" i="12"/>
  <c r="G27" i="12"/>
  <c r="R63" i="12"/>
  <c r="G63" i="12"/>
  <c r="S68" i="25"/>
  <c r="H68" i="25"/>
  <c r="F60" i="12"/>
  <c r="W60" i="11"/>
  <c r="W33" i="11"/>
  <c r="F33" i="12"/>
  <c r="V43" i="11"/>
  <c r="S43" i="11"/>
  <c r="R56" i="13"/>
  <c r="G56" i="13"/>
  <c r="V15" i="11"/>
  <c r="S15" i="11"/>
  <c r="W66" i="24"/>
  <c r="T66" i="24"/>
  <c r="F17" i="11"/>
  <c r="W17" i="8"/>
  <c r="W62" i="11"/>
  <c r="F62" i="12"/>
  <c r="W22" i="11"/>
  <c r="F22" i="12"/>
  <c r="V35" i="12"/>
  <c r="S35" i="12"/>
  <c r="S70" i="25"/>
  <c r="H70" i="25"/>
  <c r="F38" i="11"/>
  <c r="W38" i="8"/>
  <c r="F53" i="13"/>
  <c r="W53" i="12"/>
  <c r="W12" i="8"/>
  <c r="F12" i="11"/>
  <c r="G58" i="13"/>
  <c r="R58" i="13"/>
  <c r="G65" i="25"/>
  <c r="X65" i="24"/>
  <c r="S37" i="11"/>
  <c r="V37" i="11"/>
  <c r="R23" i="12"/>
  <c r="G23" i="12"/>
  <c r="R40" i="13"/>
  <c r="G40" i="13"/>
  <c r="R44" i="13"/>
  <c r="G44" i="13"/>
  <c r="S6" i="12"/>
  <c r="V6" i="12"/>
  <c r="W41" i="11"/>
  <c r="F41" i="12"/>
  <c r="R28" i="13"/>
  <c r="G28" i="13"/>
  <c r="R45" i="11"/>
  <c r="G45" i="11"/>
  <c r="F5" i="13"/>
  <c r="W5" i="12"/>
  <c r="F55" i="12"/>
  <c r="W55" i="11"/>
  <c r="F20" i="12"/>
  <c r="W20" i="11"/>
  <c r="W54" i="11"/>
  <c r="F54" i="12"/>
  <c r="S8" i="12"/>
  <c r="V8" i="12"/>
  <c r="W59" i="12"/>
  <c r="F59" i="13"/>
  <c r="W61" i="11"/>
  <c r="F61" i="12"/>
  <c r="F16" i="11"/>
  <c r="W16" i="8"/>
  <c r="F19" i="12"/>
  <c r="W19" i="11"/>
  <c r="W57" i="11"/>
  <c r="F57" i="12"/>
  <c r="V39" i="12"/>
  <c r="S39" i="12"/>
  <c r="V31" i="11"/>
  <c r="S31" i="11"/>
  <c r="S67" i="19"/>
  <c r="V67" i="19"/>
  <c r="V9" i="12"/>
  <c r="S9" i="12"/>
  <c r="V11" i="12"/>
  <c r="S11" i="12"/>
  <c r="R47" i="12"/>
  <c r="G47" i="12"/>
  <c r="F50" i="11"/>
  <c r="W50" i="8"/>
  <c r="R34" i="13"/>
  <c r="G34" i="13"/>
  <c r="G29" i="11"/>
  <c r="R29" i="11"/>
  <c r="V25" i="11"/>
  <c r="S25" i="11"/>
  <c r="F36" i="12"/>
  <c r="W36" i="11"/>
  <c r="R30" i="13"/>
  <c r="G30" i="13"/>
  <c r="F42" i="11"/>
  <c r="W42" i="8"/>
  <c r="F7" i="11"/>
  <c r="W7" i="8"/>
  <c r="F14" i="11"/>
  <c r="W14" i="8"/>
  <c r="R46" i="13"/>
  <c r="G46" i="13"/>
  <c r="F26" i="12"/>
  <c r="W26" i="11"/>
  <c r="V51" i="11"/>
  <c r="S51" i="11"/>
  <c r="V46" i="13" l="1"/>
  <c r="S46" i="13"/>
  <c r="F25" i="12"/>
  <c r="W25" i="11"/>
  <c r="R26" i="12"/>
  <c r="G26" i="12"/>
  <c r="R14" i="11"/>
  <c r="G14" i="11"/>
  <c r="R57" i="12"/>
  <c r="G57" i="12"/>
  <c r="R59" i="13"/>
  <c r="G59" i="13"/>
  <c r="R54" i="12"/>
  <c r="G54" i="12"/>
  <c r="R41" i="12"/>
  <c r="G41" i="12"/>
  <c r="R12" i="11"/>
  <c r="G12" i="11"/>
  <c r="R62" i="12"/>
  <c r="G62" i="12"/>
  <c r="R33" i="12"/>
  <c r="G33" i="12"/>
  <c r="R49" i="12"/>
  <c r="G49" i="12"/>
  <c r="R64" i="11"/>
  <c r="G64" i="11"/>
  <c r="V30" i="13"/>
  <c r="S30" i="13"/>
  <c r="F31" i="12"/>
  <c r="W31" i="11"/>
  <c r="R55" i="12"/>
  <c r="G55" i="12"/>
  <c r="S45" i="11"/>
  <c r="V45" i="11"/>
  <c r="V44" i="13"/>
  <c r="S44" i="13"/>
  <c r="V23" i="12"/>
  <c r="S23" i="12"/>
  <c r="S65" i="25"/>
  <c r="H65" i="25"/>
  <c r="R38" i="11"/>
  <c r="G38" i="11"/>
  <c r="F35" i="13"/>
  <c r="W35" i="12"/>
  <c r="X66" i="24"/>
  <c r="G66" i="25"/>
  <c r="V56" i="13"/>
  <c r="S56" i="13"/>
  <c r="W68" i="25"/>
  <c r="X68" i="25" s="1"/>
  <c r="T68" i="25"/>
  <c r="V27" i="12"/>
  <c r="S27" i="12"/>
  <c r="V32" i="13"/>
  <c r="S32" i="13"/>
  <c r="V13" i="12"/>
  <c r="S13" i="12"/>
  <c r="V24" i="13"/>
  <c r="S24" i="13"/>
  <c r="F51" i="12"/>
  <c r="W51" i="11"/>
  <c r="V34" i="13"/>
  <c r="S34" i="13"/>
  <c r="F9" i="13"/>
  <c r="W9" i="12"/>
  <c r="V29" i="11"/>
  <c r="S29" i="11"/>
  <c r="G67" i="21"/>
  <c r="W67" i="19"/>
  <c r="R61" i="12"/>
  <c r="G61" i="12"/>
  <c r="W8" i="12"/>
  <c r="F8" i="13"/>
  <c r="W6" i="12"/>
  <c r="F6" i="13"/>
  <c r="W37" i="11"/>
  <c r="F37" i="12"/>
  <c r="V58" i="13"/>
  <c r="S58" i="13"/>
  <c r="R22" i="12"/>
  <c r="G22" i="12"/>
  <c r="R52" i="11"/>
  <c r="G52" i="11"/>
  <c r="W10" i="12"/>
  <c r="F10" i="13"/>
  <c r="R21" i="12"/>
  <c r="G21" i="12"/>
  <c r="G7" i="11"/>
  <c r="R7" i="11"/>
  <c r="V47" i="12"/>
  <c r="S47" i="12"/>
  <c r="G16" i="11"/>
  <c r="R16" i="11"/>
  <c r="R42" i="11"/>
  <c r="G42" i="11"/>
  <c r="G36" i="12"/>
  <c r="R36" i="12"/>
  <c r="R50" i="11"/>
  <c r="G50" i="11"/>
  <c r="F11" i="13"/>
  <c r="W11" i="12"/>
  <c r="F39" i="13"/>
  <c r="W39" i="12"/>
  <c r="R19" i="12"/>
  <c r="G19" i="12"/>
  <c r="G20" i="12"/>
  <c r="R20" i="12"/>
  <c r="R5" i="13"/>
  <c r="G5" i="13"/>
  <c r="V28" i="13"/>
  <c r="S28" i="13"/>
  <c r="V40" i="13"/>
  <c r="S40" i="13"/>
  <c r="R53" i="13"/>
  <c r="G53" i="13"/>
  <c r="W70" i="25"/>
  <c r="X70" i="25" s="1"/>
  <c r="T70" i="25"/>
  <c r="R17" i="11"/>
  <c r="G17" i="11"/>
  <c r="W15" i="11"/>
  <c r="F15" i="12"/>
  <c r="W43" i="11"/>
  <c r="F43" i="12"/>
  <c r="R60" i="12"/>
  <c r="G60" i="12"/>
  <c r="V63" i="12"/>
  <c r="S63" i="12"/>
  <c r="R18" i="11"/>
  <c r="G18" i="11"/>
  <c r="W69" i="24"/>
  <c r="T69" i="24"/>
  <c r="V48" i="13"/>
  <c r="S48" i="13"/>
  <c r="F48" i="20" l="1"/>
  <c r="F48" i="16"/>
  <c r="W48" i="13"/>
  <c r="S5" i="13"/>
  <c r="V5" i="13"/>
  <c r="G69" i="26"/>
  <c r="G69" i="25"/>
  <c r="X69" i="24"/>
  <c r="F63" i="13"/>
  <c r="W63" i="12"/>
  <c r="V17" i="11"/>
  <c r="S17" i="11"/>
  <c r="W28" i="13"/>
  <c r="F28" i="20"/>
  <c r="F28" i="16"/>
  <c r="G39" i="13"/>
  <c r="R39" i="13"/>
  <c r="R15" i="12"/>
  <c r="G15" i="12"/>
  <c r="V36" i="12"/>
  <c r="S36" i="12"/>
  <c r="V16" i="11"/>
  <c r="S16" i="11"/>
  <c r="S7" i="11"/>
  <c r="V7" i="11"/>
  <c r="R10" i="13"/>
  <c r="G10" i="13"/>
  <c r="R37" i="12"/>
  <c r="G37" i="12"/>
  <c r="R8" i="13"/>
  <c r="G8" i="13"/>
  <c r="V19" i="12"/>
  <c r="S19" i="12"/>
  <c r="R11" i="13"/>
  <c r="G11" i="13"/>
  <c r="V22" i="12"/>
  <c r="S22" i="12"/>
  <c r="H67" i="21"/>
  <c r="S67" i="21"/>
  <c r="R9" i="13"/>
  <c r="G9" i="13"/>
  <c r="R51" i="12"/>
  <c r="G51" i="12"/>
  <c r="F13" i="13"/>
  <c r="W13" i="12"/>
  <c r="F27" i="13"/>
  <c r="W27" i="12"/>
  <c r="F56" i="16"/>
  <c r="F56" i="20"/>
  <c r="W56" i="13"/>
  <c r="G35" i="13"/>
  <c r="R35" i="13"/>
  <c r="W65" i="25"/>
  <c r="X65" i="25" s="1"/>
  <c r="T65" i="25"/>
  <c r="F44" i="20"/>
  <c r="F44" i="16"/>
  <c r="W44" i="13"/>
  <c r="V55" i="12"/>
  <c r="S55" i="12"/>
  <c r="F30" i="20"/>
  <c r="F30" i="16"/>
  <c r="W30" i="13"/>
  <c r="V49" i="12"/>
  <c r="S49" i="12"/>
  <c r="V62" i="12"/>
  <c r="S62" i="12"/>
  <c r="V41" i="12"/>
  <c r="S41" i="12"/>
  <c r="V59" i="13"/>
  <c r="S59" i="13"/>
  <c r="V14" i="11"/>
  <c r="S14" i="11"/>
  <c r="R25" i="12"/>
  <c r="G25" i="12"/>
  <c r="V18" i="11"/>
  <c r="S18" i="11"/>
  <c r="R43" i="12"/>
  <c r="G43" i="12"/>
  <c r="V20" i="12"/>
  <c r="S20" i="12"/>
  <c r="R6" i="13"/>
  <c r="G6" i="13"/>
  <c r="S66" i="25"/>
  <c r="H66" i="25"/>
  <c r="W45" i="11"/>
  <c r="F45" i="12"/>
  <c r="S60" i="12"/>
  <c r="V60" i="12"/>
  <c r="F40" i="20"/>
  <c r="F40" i="16"/>
  <c r="W40" i="13"/>
  <c r="S53" i="13"/>
  <c r="V53" i="13"/>
  <c r="V50" i="11"/>
  <c r="S50" i="11"/>
  <c r="V42" i="11"/>
  <c r="S42" i="11"/>
  <c r="F47" i="13"/>
  <c r="W47" i="12"/>
  <c r="V21" i="12"/>
  <c r="S21" i="12"/>
  <c r="V52" i="11"/>
  <c r="S52" i="11"/>
  <c r="W58" i="13"/>
  <c r="F58" i="20"/>
  <c r="F58" i="16"/>
  <c r="V61" i="12"/>
  <c r="S61" i="12"/>
  <c r="W29" i="11"/>
  <c r="F29" i="12"/>
  <c r="F34" i="20"/>
  <c r="F34" i="16"/>
  <c r="W34" i="13"/>
  <c r="F24" i="20"/>
  <c r="F24" i="16"/>
  <c r="W24" i="13"/>
  <c r="W32" i="13"/>
  <c r="F32" i="20"/>
  <c r="F32" i="16"/>
  <c r="V38" i="11"/>
  <c r="S38" i="11"/>
  <c r="F23" i="13"/>
  <c r="W23" i="12"/>
  <c r="R31" i="12"/>
  <c r="G31" i="12"/>
  <c r="V64" i="11"/>
  <c r="W64" i="11" s="1"/>
  <c r="S64" i="11"/>
  <c r="V33" i="12"/>
  <c r="S33" i="12"/>
  <c r="V12" i="11"/>
  <c r="S12" i="11"/>
  <c r="V54" i="12"/>
  <c r="S54" i="12"/>
  <c r="V57" i="12"/>
  <c r="S57" i="12"/>
  <c r="V26" i="12"/>
  <c r="S26" i="12"/>
  <c r="W46" i="13"/>
  <c r="F46" i="20"/>
  <c r="F46" i="16"/>
  <c r="R29" i="12" l="1"/>
  <c r="G29" i="12"/>
  <c r="W50" i="11"/>
  <c r="F50" i="12"/>
  <c r="R46" i="16"/>
  <c r="G46" i="16"/>
  <c r="F26" i="13"/>
  <c r="W26" i="12"/>
  <c r="F54" i="13"/>
  <c r="W54" i="12"/>
  <c r="W33" i="12"/>
  <c r="F33" i="13"/>
  <c r="V31" i="12"/>
  <c r="S31" i="12"/>
  <c r="W38" i="11"/>
  <c r="F38" i="12"/>
  <c r="R34" i="16"/>
  <c r="G34" i="16"/>
  <c r="W21" i="12"/>
  <c r="F21" i="13"/>
  <c r="W42" i="11"/>
  <c r="F42" i="12"/>
  <c r="F60" i="13"/>
  <c r="W60" i="12"/>
  <c r="R30" i="20"/>
  <c r="G30" i="20"/>
  <c r="R44" i="16"/>
  <c r="G44" i="16"/>
  <c r="S35" i="13"/>
  <c r="V35" i="13"/>
  <c r="R56" i="16"/>
  <c r="G56" i="16"/>
  <c r="R13" i="13"/>
  <c r="G13" i="13"/>
  <c r="V9" i="13"/>
  <c r="S9" i="13"/>
  <c r="F22" i="13"/>
  <c r="W22" i="12"/>
  <c r="F19" i="13"/>
  <c r="W19" i="12"/>
  <c r="V37" i="12"/>
  <c r="S37" i="12"/>
  <c r="W36" i="12"/>
  <c r="F36" i="13"/>
  <c r="W57" i="12"/>
  <c r="F57" i="13"/>
  <c r="R23" i="13"/>
  <c r="G23" i="13"/>
  <c r="R24" i="20"/>
  <c r="G24" i="20"/>
  <c r="F52" i="12"/>
  <c r="W52" i="11"/>
  <c r="R46" i="20"/>
  <c r="G46" i="20"/>
  <c r="R32" i="16"/>
  <c r="G32" i="16"/>
  <c r="R24" i="16"/>
  <c r="G24" i="16"/>
  <c r="R34" i="20"/>
  <c r="G34" i="20"/>
  <c r="F61" i="13"/>
  <c r="W61" i="12"/>
  <c r="W66" i="25"/>
  <c r="X66" i="25" s="1"/>
  <c r="T66" i="25"/>
  <c r="W20" i="12"/>
  <c r="F20" i="13"/>
  <c r="F18" i="12"/>
  <c r="W18" i="11"/>
  <c r="W14" i="11"/>
  <c r="F14" i="12"/>
  <c r="F41" i="13"/>
  <c r="W41" i="12"/>
  <c r="W49" i="12"/>
  <c r="F49" i="13"/>
  <c r="R44" i="20"/>
  <c r="G44" i="20"/>
  <c r="T67" i="21"/>
  <c r="W67" i="21"/>
  <c r="R28" i="16"/>
  <c r="G28" i="16"/>
  <c r="F17" i="12"/>
  <c r="W17" i="11"/>
  <c r="S69" i="25"/>
  <c r="H69" i="25"/>
  <c r="F55" i="13"/>
  <c r="W55" i="12"/>
  <c r="R27" i="13"/>
  <c r="G27" i="13"/>
  <c r="V51" i="12"/>
  <c r="S51" i="12"/>
  <c r="S11" i="13"/>
  <c r="V11" i="13"/>
  <c r="V8" i="13"/>
  <c r="S8" i="13"/>
  <c r="V10" i="13"/>
  <c r="S10" i="13"/>
  <c r="W16" i="11"/>
  <c r="F16" i="12"/>
  <c r="V15" i="12"/>
  <c r="S15" i="12"/>
  <c r="R28" i="20"/>
  <c r="G28" i="20"/>
  <c r="S69" i="26"/>
  <c r="H69" i="26"/>
  <c r="R48" i="16"/>
  <c r="G48" i="16"/>
  <c r="F12" i="12"/>
  <c r="W12" i="11"/>
  <c r="R32" i="20"/>
  <c r="G32" i="20"/>
  <c r="R58" i="16"/>
  <c r="G58" i="16"/>
  <c r="R47" i="13"/>
  <c r="G47" i="13"/>
  <c r="R40" i="16"/>
  <c r="G40" i="16"/>
  <c r="R45" i="12"/>
  <c r="G45" i="12"/>
  <c r="R58" i="20"/>
  <c r="G58" i="20"/>
  <c r="W53" i="13"/>
  <c r="F53" i="20"/>
  <c r="F53" i="16"/>
  <c r="R40" i="20"/>
  <c r="G40" i="20"/>
  <c r="V6" i="13"/>
  <c r="S6" i="13"/>
  <c r="V43" i="12"/>
  <c r="S43" i="12"/>
  <c r="V25" i="12"/>
  <c r="S25" i="12"/>
  <c r="F59" i="20"/>
  <c r="F59" i="16"/>
  <c r="W59" i="13"/>
  <c r="F62" i="13"/>
  <c r="W62" i="12"/>
  <c r="G30" i="16"/>
  <c r="R30" i="16"/>
  <c r="R56" i="20"/>
  <c r="G56" i="20"/>
  <c r="W7" i="11"/>
  <c r="F7" i="12"/>
  <c r="S39" i="13"/>
  <c r="V39" i="13"/>
  <c r="R63" i="13"/>
  <c r="G63" i="13"/>
  <c r="W5" i="13"/>
  <c r="F5" i="20"/>
  <c r="F5" i="16"/>
  <c r="R48" i="20"/>
  <c r="G48" i="20"/>
  <c r="R59" i="20" l="1"/>
  <c r="G59" i="20"/>
  <c r="R36" i="13"/>
  <c r="G36" i="13"/>
  <c r="R21" i="13"/>
  <c r="G21" i="13"/>
  <c r="R38" i="12"/>
  <c r="G38" i="12"/>
  <c r="V58" i="20"/>
  <c r="W58" i="20" s="1"/>
  <c r="S58" i="20"/>
  <c r="V40" i="16"/>
  <c r="S40" i="16"/>
  <c r="V58" i="16"/>
  <c r="S58" i="16"/>
  <c r="R12" i="12"/>
  <c r="G12" i="12"/>
  <c r="W69" i="26"/>
  <c r="T69" i="26"/>
  <c r="F15" i="13"/>
  <c r="W15" i="12"/>
  <c r="W10" i="13"/>
  <c r="F10" i="20"/>
  <c r="F10" i="16"/>
  <c r="S27" i="13"/>
  <c r="V27" i="13"/>
  <c r="W69" i="25"/>
  <c r="X69" i="25" s="1"/>
  <c r="T69" i="25"/>
  <c r="V28" i="16"/>
  <c r="S28" i="16"/>
  <c r="V44" i="20"/>
  <c r="W44" i="20" s="1"/>
  <c r="S44" i="20"/>
  <c r="R41" i="13"/>
  <c r="G41" i="13"/>
  <c r="R18" i="12"/>
  <c r="G18" i="12"/>
  <c r="V34" i="20"/>
  <c r="W34" i="20" s="1"/>
  <c r="S34" i="20"/>
  <c r="V32" i="16"/>
  <c r="S32" i="16"/>
  <c r="R52" i="12"/>
  <c r="G52" i="12"/>
  <c r="V23" i="13"/>
  <c r="S23" i="13"/>
  <c r="R19" i="13"/>
  <c r="G19" i="13"/>
  <c r="F9" i="20"/>
  <c r="F9" i="16"/>
  <c r="W9" i="13"/>
  <c r="V56" i="16"/>
  <c r="W56" i="16" s="1"/>
  <c r="S56" i="16"/>
  <c r="V44" i="16"/>
  <c r="S44" i="16"/>
  <c r="R60" i="13"/>
  <c r="G60" i="13"/>
  <c r="R26" i="13"/>
  <c r="G26" i="13"/>
  <c r="R5" i="20"/>
  <c r="G5" i="20"/>
  <c r="W43" i="12"/>
  <c r="F43" i="13"/>
  <c r="W11" i="13"/>
  <c r="F11" i="20"/>
  <c r="F11" i="16"/>
  <c r="R33" i="13"/>
  <c r="G33" i="13"/>
  <c r="R62" i="13"/>
  <c r="G62" i="13"/>
  <c r="R53" i="16"/>
  <c r="G53" i="16"/>
  <c r="S48" i="20"/>
  <c r="V48" i="20"/>
  <c r="W48" i="20" s="1"/>
  <c r="R7" i="12"/>
  <c r="G7" i="12"/>
  <c r="S30" i="16"/>
  <c r="V30" i="16"/>
  <c r="W25" i="12"/>
  <c r="F25" i="13"/>
  <c r="F6" i="20"/>
  <c r="F6" i="16"/>
  <c r="W6" i="13"/>
  <c r="R53" i="20"/>
  <c r="G53" i="20"/>
  <c r="G16" i="12"/>
  <c r="R16" i="12"/>
  <c r="X67" i="21"/>
  <c r="G67" i="23"/>
  <c r="G67" i="22"/>
  <c r="R49" i="13"/>
  <c r="G49" i="13"/>
  <c r="R14" i="12"/>
  <c r="G14" i="12"/>
  <c r="R20" i="13"/>
  <c r="G20" i="13"/>
  <c r="R57" i="13"/>
  <c r="G57" i="13"/>
  <c r="W35" i="13"/>
  <c r="F35" i="20"/>
  <c r="F35" i="16"/>
  <c r="R42" i="12"/>
  <c r="G42" i="12"/>
  <c r="W39" i="13"/>
  <c r="F39" i="20"/>
  <c r="F39" i="16"/>
  <c r="V40" i="20"/>
  <c r="W40" i="20" s="1"/>
  <c r="S40" i="20"/>
  <c r="R50" i="12"/>
  <c r="G50" i="12"/>
  <c r="V56" i="20"/>
  <c r="W56" i="20" s="1"/>
  <c r="S56" i="20"/>
  <c r="R5" i="16"/>
  <c r="G5" i="16"/>
  <c r="V63" i="13"/>
  <c r="S63" i="13"/>
  <c r="R59" i="16"/>
  <c r="G59" i="16"/>
  <c r="V45" i="12"/>
  <c r="S45" i="12"/>
  <c r="V47" i="13"/>
  <c r="S47" i="13"/>
  <c r="V32" i="20"/>
  <c r="W32" i="20" s="1"/>
  <c r="S32" i="20"/>
  <c r="V48" i="16"/>
  <c r="S48" i="16"/>
  <c r="V28" i="20"/>
  <c r="W28" i="20" s="1"/>
  <c r="S28" i="20"/>
  <c r="F8" i="16"/>
  <c r="F8" i="20"/>
  <c r="W8" i="13"/>
  <c r="W51" i="12"/>
  <c r="F51" i="13"/>
  <c r="R55" i="13"/>
  <c r="G55" i="13"/>
  <c r="R17" i="12"/>
  <c r="G17" i="12"/>
  <c r="G61" i="13"/>
  <c r="R61" i="13"/>
  <c r="V24" i="16"/>
  <c r="S24" i="16"/>
  <c r="V46" i="20"/>
  <c r="W46" i="20" s="1"/>
  <c r="S46" i="20"/>
  <c r="V24" i="20"/>
  <c r="W24" i="20" s="1"/>
  <c r="S24" i="20"/>
  <c r="F37" i="13"/>
  <c r="W37" i="12"/>
  <c r="R22" i="13"/>
  <c r="G22" i="13"/>
  <c r="V13" i="13"/>
  <c r="S13" i="13"/>
  <c r="S30" i="20"/>
  <c r="V30" i="20"/>
  <c r="W30" i="20" s="1"/>
  <c r="V34" i="16"/>
  <c r="S34" i="16"/>
  <c r="F31" i="13"/>
  <c r="W31" i="12"/>
  <c r="R54" i="13"/>
  <c r="G54" i="13"/>
  <c r="V46" i="16"/>
  <c r="S46" i="16"/>
  <c r="V29" i="12"/>
  <c r="S29" i="12"/>
  <c r="F63" i="20" l="1"/>
  <c r="F63" i="16"/>
  <c r="W63" i="13"/>
  <c r="V20" i="13"/>
  <c r="S20" i="13"/>
  <c r="S53" i="16"/>
  <c r="V53" i="16"/>
  <c r="R43" i="13"/>
  <c r="G43" i="13"/>
  <c r="V19" i="13"/>
  <c r="S19" i="13"/>
  <c r="V52" i="12"/>
  <c r="S52" i="12"/>
  <c r="S41" i="13"/>
  <c r="V41" i="13"/>
  <c r="F28" i="17"/>
  <c r="W28" i="16"/>
  <c r="V16" i="12"/>
  <c r="S16" i="12"/>
  <c r="S33" i="13"/>
  <c r="V33" i="13"/>
  <c r="W29" i="12"/>
  <c r="F29" i="13"/>
  <c r="V54" i="13"/>
  <c r="S54" i="13"/>
  <c r="F34" i="17"/>
  <c r="W34" i="16"/>
  <c r="F13" i="20"/>
  <c r="F13" i="16"/>
  <c r="W13" i="13"/>
  <c r="R37" i="13"/>
  <c r="G37" i="13"/>
  <c r="V55" i="13"/>
  <c r="S55" i="13"/>
  <c r="R8" i="20"/>
  <c r="G8" i="20"/>
  <c r="R39" i="16"/>
  <c r="G39" i="16"/>
  <c r="V42" i="12"/>
  <c r="S42" i="12"/>
  <c r="H67" i="22"/>
  <c r="S67" i="22"/>
  <c r="G6" i="16"/>
  <c r="R6" i="16"/>
  <c r="W30" i="16"/>
  <c r="F30" i="17"/>
  <c r="R11" i="16"/>
  <c r="G11" i="16"/>
  <c r="V26" i="13"/>
  <c r="S26" i="13"/>
  <c r="F44" i="17"/>
  <c r="W44" i="16"/>
  <c r="R9" i="16"/>
  <c r="G9" i="16"/>
  <c r="R10" i="16"/>
  <c r="G10" i="16"/>
  <c r="R15" i="13"/>
  <c r="G15" i="13"/>
  <c r="V12" i="12"/>
  <c r="S12" i="12"/>
  <c r="F40" i="17"/>
  <c r="W40" i="16"/>
  <c r="V38" i="12"/>
  <c r="S38" i="12"/>
  <c r="V36" i="13"/>
  <c r="S36" i="13"/>
  <c r="V61" i="13"/>
  <c r="S61" i="13"/>
  <c r="F45" i="13"/>
  <c r="W45" i="12"/>
  <c r="S49" i="13"/>
  <c r="V49" i="13"/>
  <c r="R51" i="13"/>
  <c r="G51" i="13"/>
  <c r="R8" i="16"/>
  <c r="G8" i="16"/>
  <c r="F48" i="17"/>
  <c r="W48" i="16"/>
  <c r="F47" i="20"/>
  <c r="F47" i="16"/>
  <c r="W47" i="13"/>
  <c r="S59" i="16"/>
  <c r="V59" i="16"/>
  <c r="V5" i="16"/>
  <c r="S5" i="16"/>
  <c r="V50" i="12"/>
  <c r="S50" i="12"/>
  <c r="R39" i="20"/>
  <c r="G39" i="20"/>
  <c r="R35" i="16"/>
  <c r="G35" i="16"/>
  <c r="S57" i="13"/>
  <c r="V57" i="13"/>
  <c r="V14" i="12"/>
  <c r="S14" i="12"/>
  <c r="S67" i="23"/>
  <c r="H67" i="23"/>
  <c r="R6" i="20"/>
  <c r="G6" i="20"/>
  <c r="V62" i="13"/>
  <c r="S62" i="13"/>
  <c r="R11" i="20"/>
  <c r="G11" i="20"/>
  <c r="R9" i="20"/>
  <c r="G9" i="20"/>
  <c r="F23" i="20"/>
  <c r="F23" i="16"/>
  <c r="W23" i="13"/>
  <c r="F32" i="17"/>
  <c r="W32" i="16"/>
  <c r="V18" i="12"/>
  <c r="S18" i="12"/>
  <c r="R10" i="20"/>
  <c r="G10" i="20"/>
  <c r="V7" i="12"/>
  <c r="S7" i="12"/>
  <c r="F46" i="17"/>
  <c r="W46" i="16"/>
  <c r="G31" i="13"/>
  <c r="R31" i="13"/>
  <c r="V22" i="13"/>
  <c r="S22" i="13"/>
  <c r="F24" i="17"/>
  <c r="W24" i="16"/>
  <c r="V17" i="12"/>
  <c r="S17" i="12"/>
  <c r="G35" i="20"/>
  <c r="R35" i="20"/>
  <c r="V53" i="20"/>
  <c r="W53" i="20" s="1"/>
  <c r="S53" i="20"/>
  <c r="R25" i="13"/>
  <c r="G25" i="13"/>
  <c r="V5" i="20"/>
  <c r="W5" i="20" s="1"/>
  <c r="S5" i="20"/>
  <c r="V60" i="13"/>
  <c r="S60" i="13"/>
  <c r="W27" i="13"/>
  <c r="F27" i="20"/>
  <c r="F27" i="16"/>
  <c r="X69" i="26"/>
  <c r="G69" i="27"/>
  <c r="F57" i="17"/>
  <c r="W58" i="16"/>
  <c r="V21" i="13"/>
  <c r="S21" i="13"/>
  <c r="V59" i="20"/>
  <c r="W59" i="20" s="1"/>
  <c r="S59" i="20"/>
  <c r="V11" i="20" l="1"/>
  <c r="W11" i="20" s="1"/>
  <c r="S11" i="20"/>
  <c r="F21" i="20"/>
  <c r="F21" i="16"/>
  <c r="W21" i="13"/>
  <c r="V35" i="20"/>
  <c r="W35" i="20" s="1"/>
  <c r="S35" i="20"/>
  <c r="S31" i="13"/>
  <c r="V31" i="13"/>
  <c r="V9" i="20"/>
  <c r="W9" i="20" s="1"/>
  <c r="S9" i="20"/>
  <c r="W62" i="13"/>
  <c r="F62" i="20"/>
  <c r="F62" i="16"/>
  <c r="T67" i="23"/>
  <c r="W67" i="23"/>
  <c r="X67" i="23" s="1"/>
  <c r="V39" i="20"/>
  <c r="W39" i="20" s="1"/>
  <c r="S39" i="20"/>
  <c r="F5" i="17"/>
  <c r="W5" i="16"/>
  <c r="R47" i="16"/>
  <c r="G47" i="16"/>
  <c r="W49" i="13"/>
  <c r="F49" i="20"/>
  <c r="F49" i="16"/>
  <c r="V6" i="16"/>
  <c r="S6" i="16"/>
  <c r="R13" i="20"/>
  <c r="G13" i="20"/>
  <c r="W54" i="13"/>
  <c r="F54" i="20"/>
  <c r="F54" i="16"/>
  <c r="R28" i="17"/>
  <c r="G28" i="17"/>
  <c r="W52" i="12"/>
  <c r="F52" i="13"/>
  <c r="V43" i="13"/>
  <c r="S43" i="13"/>
  <c r="W20" i="13"/>
  <c r="F20" i="16"/>
  <c r="F20" i="20"/>
  <c r="R27" i="20"/>
  <c r="G27" i="20"/>
  <c r="V6" i="20"/>
  <c r="W6" i="20" s="1"/>
  <c r="S6" i="20"/>
  <c r="R27" i="16"/>
  <c r="G27" i="16"/>
  <c r="F60" i="16"/>
  <c r="F60" i="20"/>
  <c r="W60" i="13"/>
  <c r="V25" i="13"/>
  <c r="S25" i="13"/>
  <c r="R24" i="17"/>
  <c r="G24" i="17"/>
  <c r="F7" i="13"/>
  <c r="W7" i="12"/>
  <c r="F18" i="13"/>
  <c r="W18" i="12"/>
  <c r="R23" i="16"/>
  <c r="G23" i="16"/>
  <c r="W59" i="16"/>
  <c r="F58" i="17"/>
  <c r="R47" i="20"/>
  <c r="G47" i="20"/>
  <c r="V8" i="16"/>
  <c r="S8" i="16"/>
  <c r="W61" i="13"/>
  <c r="F61" i="20"/>
  <c r="F61" i="16"/>
  <c r="F38" i="13"/>
  <c r="W38" i="12"/>
  <c r="F12" i="13"/>
  <c r="W12" i="12"/>
  <c r="S10" i="16"/>
  <c r="V10" i="16"/>
  <c r="R44" i="17"/>
  <c r="G44" i="17"/>
  <c r="V11" i="16"/>
  <c r="S11" i="16"/>
  <c r="F42" i="13"/>
  <c r="W42" i="12"/>
  <c r="S8" i="20"/>
  <c r="V8" i="20"/>
  <c r="W8" i="20" s="1"/>
  <c r="S37" i="13"/>
  <c r="V37" i="13"/>
  <c r="R29" i="13"/>
  <c r="G29" i="13"/>
  <c r="W41" i="13"/>
  <c r="F41" i="20"/>
  <c r="F41" i="16"/>
  <c r="W53" i="16"/>
  <c r="F53" i="17"/>
  <c r="V35" i="16"/>
  <c r="S35" i="16"/>
  <c r="F50" i="13"/>
  <c r="W50" i="12"/>
  <c r="R30" i="17"/>
  <c r="G30" i="17"/>
  <c r="W67" i="22"/>
  <c r="T67" i="22"/>
  <c r="R34" i="17"/>
  <c r="G34" i="17"/>
  <c r="W16" i="12"/>
  <c r="F16" i="13"/>
  <c r="F19" i="20"/>
  <c r="F19" i="16"/>
  <c r="W19" i="13"/>
  <c r="R63" i="16"/>
  <c r="G63" i="16"/>
  <c r="R57" i="17"/>
  <c r="G57" i="17"/>
  <c r="R23" i="20"/>
  <c r="G23" i="20"/>
  <c r="W14" i="12"/>
  <c r="F14" i="13"/>
  <c r="S69" i="27"/>
  <c r="H69" i="27"/>
  <c r="W17" i="12"/>
  <c r="F17" i="13"/>
  <c r="W22" i="13"/>
  <c r="F22" i="20"/>
  <c r="F22" i="16"/>
  <c r="R46" i="17"/>
  <c r="G46" i="17"/>
  <c r="V10" i="20"/>
  <c r="W10" i="20" s="1"/>
  <c r="S10" i="20"/>
  <c r="R32" i="17"/>
  <c r="G32" i="17"/>
  <c r="W57" i="13"/>
  <c r="F57" i="20"/>
  <c r="F57" i="16"/>
  <c r="R48" i="17"/>
  <c r="G48" i="17"/>
  <c r="V51" i="13"/>
  <c r="S51" i="13"/>
  <c r="G45" i="13"/>
  <c r="R45" i="13"/>
  <c r="W36" i="13"/>
  <c r="F36" i="20"/>
  <c r="F36" i="16"/>
  <c r="R40" i="17"/>
  <c r="G40" i="17"/>
  <c r="S15" i="13"/>
  <c r="V15" i="13"/>
  <c r="V9" i="16"/>
  <c r="S9" i="16"/>
  <c r="F26" i="20"/>
  <c r="F26" i="16"/>
  <c r="W26" i="13"/>
  <c r="V39" i="16"/>
  <c r="S39" i="16"/>
  <c r="F55" i="20"/>
  <c r="F55" i="16"/>
  <c r="W55" i="13"/>
  <c r="R13" i="16"/>
  <c r="G13" i="16"/>
  <c r="W33" i="13"/>
  <c r="F33" i="20"/>
  <c r="F33" i="16"/>
  <c r="R63" i="20"/>
  <c r="G63" i="20"/>
  <c r="R26" i="16" l="1"/>
  <c r="G26" i="16"/>
  <c r="V48" i="17"/>
  <c r="S48" i="17"/>
  <c r="V63" i="16"/>
  <c r="S63" i="16"/>
  <c r="R42" i="13"/>
  <c r="G42" i="13"/>
  <c r="R52" i="13"/>
  <c r="G52" i="13"/>
  <c r="R21" i="16"/>
  <c r="G21" i="16"/>
  <c r="R33" i="16"/>
  <c r="G33" i="16"/>
  <c r="V13" i="16"/>
  <c r="S13" i="16"/>
  <c r="R26" i="20"/>
  <c r="G26" i="20"/>
  <c r="R36" i="20"/>
  <c r="G36" i="20"/>
  <c r="R57" i="16"/>
  <c r="G57" i="16"/>
  <c r="V32" i="17"/>
  <c r="S32" i="17"/>
  <c r="V46" i="17"/>
  <c r="S46" i="17"/>
  <c r="R17" i="13"/>
  <c r="G17" i="13"/>
  <c r="R14" i="13"/>
  <c r="G14" i="13"/>
  <c r="X67" i="22"/>
  <c r="G67" i="24"/>
  <c r="R50" i="13"/>
  <c r="G50" i="13"/>
  <c r="W10" i="16"/>
  <c r="F10" i="17"/>
  <c r="V47" i="20"/>
  <c r="W47" i="20" s="1"/>
  <c r="S47" i="20"/>
  <c r="V23" i="16"/>
  <c r="S23" i="16"/>
  <c r="R7" i="13"/>
  <c r="G7" i="13"/>
  <c r="W25" i="13"/>
  <c r="F25" i="20"/>
  <c r="F25" i="16"/>
  <c r="R54" i="20"/>
  <c r="G54" i="20"/>
  <c r="R5" i="17"/>
  <c r="G5" i="17"/>
  <c r="R21" i="20"/>
  <c r="G21" i="20"/>
  <c r="W15" i="13"/>
  <c r="F15" i="20"/>
  <c r="F15" i="16"/>
  <c r="V23" i="20"/>
  <c r="W23" i="20" s="1"/>
  <c r="S23" i="20"/>
  <c r="V44" i="17"/>
  <c r="S44" i="17"/>
  <c r="R60" i="16"/>
  <c r="G60" i="16"/>
  <c r="R20" i="16"/>
  <c r="G20" i="16"/>
  <c r="R54" i="16"/>
  <c r="G54" i="16"/>
  <c r="R49" i="20"/>
  <c r="G49" i="20"/>
  <c r="R33" i="20"/>
  <c r="G33" i="20"/>
  <c r="W39" i="16"/>
  <c r="F39" i="17"/>
  <c r="F51" i="20"/>
  <c r="F51" i="16"/>
  <c r="W51" i="13"/>
  <c r="R57" i="20"/>
  <c r="G57" i="20"/>
  <c r="R22" i="16"/>
  <c r="G22" i="16"/>
  <c r="V57" i="17"/>
  <c r="S57" i="17"/>
  <c r="R19" i="16"/>
  <c r="G19" i="16"/>
  <c r="G41" i="16"/>
  <c r="R41" i="16"/>
  <c r="S29" i="13"/>
  <c r="V29" i="13"/>
  <c r="F11" i="17"/>
  <c r="W11" i="16"/>
  <c r="R38" i="13"/>
  <c r="G38" i="13"/>
  <c r="R58" i="17"/>
  <c r="G58" i="17"/>
  <c r="V27" i="16"/>
  <c r="S27" i="16"/>
  <c r="V27" i="20"/>
  <c r="W27" i="20" s="1"/>
  <c r="S27" i="20"/>
  <c r="W6" i="16"/>
  <c r="F6" i="17"/>
  <c r="R62" i="16"/>
  <c r="G62" i="16"/>
  <c r="S63" i="20"/>
  <c r="V63" i="20"/>
  <c r="W63" i="20" s="1"/>
  <c r="R55" i="20"/>
  <c r="G55" i="20"/>
  <c r="R36" i="16"/>
  <c r="G36" i="16"/>
  <c r="T69" i="27"/>
  <c r="W69" i="27"/>
  <c r="X69" i="27" s="1"/>
  <c r="G16" i="13"/>
  <c r="R16" i="13"/>
  <c r="R53" i="17"/>
  <c r="G53" i="17"/>
  <c r="R12" i="13"/>
  <c r="G12" i="13"/>
  <c r="R61" i="20"/>
  <c r="G61" i="20"/>
  <c r="V13" i="20"/>
  <c r="W13" i="20" s="1"/>
  <c r="S13" i="20"/>
  <c r="R55" i="16"/>
  <c r="G55" i="16"/>
  <c r="F9" i="17"/>
  <c r="W9" i="16"/>
  <c r="V40" i="17"/>
  <c r="S40" i="17"/>
  <c r="V45" i="13"/>
  <c r="S45" i="13"/>
  <c r="R22" i="20"/>
  <c r="G22" i="20"/>
  <c r="R19" i="20"/>
  <c r="G19" i="20"/>
  <c r="V34" i="17"/>
  <c r="S34" i="17"/>
  <c r="V30" i="17"/>
  <c r="S30" i="17"/>
  <c r="F35" i="17"/>
  <c r="W35" i="16"/>
  <c r="R41" i="20"/>
  <c r="G41" i="20"/>
  <c r="W37" i="13"/>
  <c r="F37" i="20"/>
  <c r="F37" i="16"/>
  <c r="R61" i="16"/>
  <c r="G61" i="16"/>
  <c r="W8" i="16"/>
  <c r="F8" i="17"/>
  <c r="R18" i="13"/>
  <c r="G18" i="13"/>
  <c r="V24" i="17"/>
  <c r="S24" i="17"/>
  <c r="R60" i="20"/>
  <c r="G60" i="20"/>
  <c r="R20" i="20"/>
  <c r="G20" i="20"/>
  <c r="F43" i="20"/>
  <c r="F43" i="16"/>
  <c r="W43" i="13"/>
  <c r="V28" i="17"/>
  <c r="S28" i="17"/>
  <c r="R49" i="16"/>
  <c r="G49" i="16"/>
  <c r="V47" i="16"/>
  <c r="S47" i="16"/>
  <c r="R62" i="20"/>
  <c r="G62" i="20"/>
  <c r="W31" i="13"/>
  <c r="F31" i="20"/>
  <c r="F31" i="16"/>
  <c r="F47" i="17" l="1"/>
  <c r="W47" i="16"/>
  <c r="V41" i="20"/>
  <c r="W41" i="20" s="1"/>
  <c r="S41" i="20"/>
  <c r="W30" i="17"/>
  <c r="F30" i="19"/>
  <c r="W45" i="13"/>
  <c r="F45" i="20"/>
  <c r="F45" i="16"/>
  <c r="R9" i="17"/>
  <c r="G9" i="17"/>
  <c r="V12" i="13"/>
  <c r="S12" i="13"/>
  <c r="V36" i="16"/>
  <c r="S36" i="16"/>
  <c r="W27" i="16"/>
  <c r="F27" i="17"/>
  <c r="V38" i="13"/>
  <c r="S38" i="13"/>
  <c r="V19" i="16"/>
  <c r="S19" i="16"/>
  <c r="V22" i="16"/>
  <c r="S22" i="16"/>
  <c r="G51" i="16"/>
  <c r="R51" i="16"/>
  <c r="S5" i="17"/>
  <c r="V5" i="17"/>
  <c r="R25" i="20"/>
  <c r="G25" i="20"/>
  <c r="R10" i="17"/>
  <c r="G10" i="17"/>
  <c r="H67" i="24"/>
  <c r="S67" i="24"/>
  <c r="R37" i="16"/>
  <c r="G37" i="16"/>
  <c r="V19" i="20"/>
  <c r="W19" i="20" s="1"/>
  <c r="S19" i="20"/>
  <c r="V20" i="20"/>
  <c r="W20" i="20" s="1"/>
  <c r="S20" i="20"/>
  <c r="W24" i="17"/>
  <c r="F24" i="19"/>
  <c r="R37" i="20"/>
  <c r="G37" i="20"/>
  <c r="S41" i="16"/>
  <c r="V41" i="16"/>
  <c r="R51" i="20"/>
  <c r="G51" i="20"/>
  <c r="V33" i="20"/>
  <c r="W33" i="20" s="1"/>
  <c r="S33" i="20"/>
  <c r="V54" i="16"/>
  <c r="S54" i="16"/>
  <c r="V60" i="16"/>
  <c r="S60" i="16"/>
  <c r="W23" i="16"/>
  <c r="F23" i="17"/>
  <c r="V17" i="13"/>
  <c r="S17" i="13"/>
  <c r="F32" i="19"/>
  <c r="W32" i="17"/>
  <c r="V36" i="20"/>
  <c r="W36" i="20" s="1"/>
  <c r="S36" i="20"/>
  <c r="W13" i="16"/>
  <c r="F13" i="17"/>
  <c r="V21" i="16"/>
  <c r="S21" i="16"/>
  <c r="V42" i="13"/>
  <c r="S42" i="13"/>
  <c r="W48" i="17"/>
  <c r="F48" i="19"/>
  <c r="V62" i="20"/>
  <c r="W62" i="20" s="1"/>
  <c r="S62" i="20"/>
  <c r="V49" i="16"/>
  <c r="W49" i="16" s="1"/>
  <c r="S49" i="16"/>
  <c r="R43" i="16"/>
  <c r="G43" i="16"/>
  <c r="R35" i="17"/>
  <c r="G35" i="17"/>
  <c r="F34" i="19"/>
  <c r="W34" i="17"/>
  <c r="V22" i="20"/>
  <c r="W22" i="20" s="1"/>
  <c r="S22" i="20"/>
  <c r="W40" i="17"/>
  <c r="F40" i="19"/>
  <c r="V55" i="16"/>
  <c r="S55" i="16"/>
  <c r="V61" i="20"/>
  <c r="W61" i="20" s="1"/>
  <c r="S61" i="20"/>
  <c r="V53" i="17"/>
  <c r="S53" i="17"/>
  <c r="V55" i="20"/>
  <c r="W55" i="20" s="1"/>
  <c r="S55" i="20"/>
  <c r="V62" i="16"/>
  <c r="S62" i="16"/>
  <c r="V58" i="17"/>
  <c r="S58" i="17"/>
  <c r="R11" i="17"/>
  <c r="G11" i="17"/>
  <c r="F58" i="19"/>
  <c r="W57" i="17"/>
  <c r="V57" i="20"/>
  <c r="W57" i="20" s="1"/>
  <c r="S57" i="20"/>
  <c r="R39" i="17"/>
  <c r="G39" i="17"/>
  <c r="G15" i="16"/>
  <c r="R15" i="16"/>
  <c r="V21" i="20"/>
  <c r="W21" i="20" s="1"/>
  <c r="S21" i="20"/>
  <c r="V54" i="20"/>
  <c r="W54" i="20" s="1"/>
  <c r="S54" i="20"/>
  <c r="W28" i="17"/>
  <c r="F28" i="19"/>
  <c r="R8" i="17"/>
  <c r="G8" i="17"/>
  <c r="R31" i="16"/>
  <c r="G31" i="16"/>
  <c r="R31" i="20"/>
  <c r="G31" i="20"/>
  <c r="R43" i="20"/>
  <c r="G43" i="20"/>
  <c r="V60" i="20"/>
  <c r="W60" i="20" s="1"/>
  <c r="S60" i="20"/>
  <c r="V18" i="13"/>
  <c r="S18" i="13"/>
  <c r="V61" i="16"/>
  <c r="S61" i="16"/>
  <c r="V16" i="13"/>
  <c r="S16" i="13"/>
  <c r="R6" i="17"/>
  <c r="G6" i="17"/>
  <c r="W29" i="13"/>
  <c r="F29" i="20"/>
  <c r="F29" i="16"/>
  <c r="V49" i="20"/>
  <c r="W49" i="20" s="1"/>
  <c r="S49" i="20"/>
  <c r="V20" i="16"/>
  <c r="S20" i="16"/>
  <c r="F44" i="19"/>
  <c r="W44" i="17"/>
  <c r="R15" i="20"/>
  <c r="G15" i="20"/>
  <c r="R25" i="16"/>
  <c r="G25" i="16"/>
  <c r="S7" i="13"/>
  <c r="V7" i="13"/>
  <c r="V50" i="13"/>
  <c r="S50" i="13"/>
  <c r="V14" i="13"/>
  <c r="S14" i="13"/>
  <c r="F46" i="19"/>
  <c r="W46" i="17"/>
  <c r="V57" i="16"/>
  <c r="S57" i="16"/>
  <c r="V26" i="20"/>
  <c r="W26" i="20" s="1"/>
  <c r="S26" i="20"/>
  <c r="V33" i="16"/>
  <c r="S33" i="16"/>
  <c r="V52" i="13"/>
  <c r="S52" i="13"/>
  <c r="W63" i="16"/>
  <c r="F62" i="17"/>
  <c r="V26" i="16"/>
  <c r="S26" i="16"/>
  <c r="V15" i="20" l="1"/>
  <c r="W15" i="20" s="1"/>
  <c r="S15" i="20"/>
  <c r="R40" i="19"/>
  <c r="G40" i="19"/>
  <c r="R62" i="17"/>
  <c r="G62" i="17"/>
  <c r="W7" i="13"/>
  <c r="F7" i="20"/>
  <c r="R29" i="16"/>
  <c r="G29" i="16"/>
  <c r="V6" i="17"/>
  <c r="S6" i="17"/>
  <c r="F60" i="17"/>
  <c r="W61" i="16"/>
  <c r="V31" i="20"/>
  <c r="W31" i="20" s="1"/>
  <c r="S31" i="20"/>
  <c r="V8" i="17"/>
  <c r="S8" i="17"/>
  <c r="V11" i="17"/>
  <c r="S11" i="17"/>
  <c r="F61" i="17"/>
  <c r="W62" i="16"/>
  <c r="F53" i="19"/>
  <c r="W53" i="17"/>
  <c r="F55" i="17"/>
  <c r="W55" i="16"/>
  <c r="S35" i="17"/>
  <c r="V35" i="17"/>
  <c r="F21" i="17"/>
  <c r="W21" i="16"/>
  <c r="F17" i="20"/>
  <c r="F17" i="16"/>
  <c r="W17" i="13"/>
  <c r="F59" i="17"/>
  <c r="W60" i="16"/>
  <c r="V25" i="20"/>
  <c r="W25" i="20" s="1"/>
  <c r="S25" i="20"/>
  <c r="F19" i="17"/>
  <c r="W19" i="16"/>
  <c r="F12" i="20"/>
  <c r="F12" i="16"/>
  <c r="W12" i="13"/>
  <c r="R45" i="20"/>
  <c r="G45" i="20"/>
  <c r="W5" i="17"/>
  <c r="F5" i="19"/>
  <c r="F33" i="17"/>
  <c r="W33" i="16"/>
  <c r="F14" i="20"/>
  <c r="F14" i="16"/>
  <c r="W14" i="13"/>
  <c r="F20" i="17"/>
  <c r="W20" i="16"/>
  <c r="R28" i="19"/>
  <c r="G28" i="19"/>
  <c r="R13" i="17"/>
  <c r="G13" i="17"/>
  <c r="W16" i="13"/>
  <c r="F16" i="20"/>
  <c r="F16" i="16"/>
  <c r="W18" i="13"/>
  <c r="F18" i="16"/>
  <c r="F18" i="20"/>
  <c r="V43" i="20"/>
  <c r="W43" i="20" s="1"/>
  <c r="S43" i="20"/>
  <c r="V31" i="16"/>
  <c r="S31" i="16"/>
  <c r="V39" i="17"/>
  <c r="S39" i="17"/>
  <c r="R58" i="19"/>
  <c r="G58" i="19"/>
  <c r="F59" i="19"/>
  <c r="W58" i="17"/>
  <c r="R34" i="19"/>
  <c r="G34" i="19"/>
  <c r="V43" i="16"/>
  <c r="S43" i="16"/>
  <c r="W42" i="13"/>
  <c r="F42" i="20"/>
  <c r="F42" i="16"/>
  <c r="R32" i="19"/>
  <c r="G32" i="19"/>
  <c r="F54" i="17"/>
  <c r="W54" i="16"/>
  <c r="V51" i="20"/>
  <c r="W51" i="20" s="1"/>
  <c r="S51" i="20"/>
  <c r="V37" i="20"/>
  <c r="W37" i="20" s="1"/>
  <c r="S37" i="20"/>
  <c r="S37" i="16"/>
  <c r="V37" i="16"/>
  <c r="V10" i="17"/>
  <c r="S10" i="17"/>
  <c r="F22" i="17"/>
  <c r="W22" i="16"/>
  <c r="F38" i="20"/>
  <c r="F38" i="16"/>
  <c r="W38" i="13"/>
  <c r="F36" i="17"/>
  <c r="W36" i="16"/>
  <c r="V9" i="17"/>
  <c r="S9" i="17"/>
  <c r="R30" i="19"/>
  <c r="G30" i="19"/>
  <c r="F56" i="17"/>
  <c r="W57" i="16"/>
  <c r="R29" i="20"/>
  <c r="G29" i="20"/>
  <c r="R23" i="17"/>
  <c r="G23" i="17"/>
  <c r="F26" i="17"/>
  <c r="W26" i="16"/>
  <c r="F52" i="20"/>
  <c r="F52" i="16"/>
  <c r="W52" i="13"/>
  <c r="R46" i="19"/>
  <c r="G46" i="19"/>
  <c r="W50" i="13"/>
  <c r="F50" i="20"/>
  <c r="F50" i="16"/>
  <c r="S25" i="16"/>
  <c r="V25" i="16"/>
  <c r="R44" i="19"/>
  <c r="G44" i="19"/>
  <c r="S15" i="16"/>
  <c r="V15" i="16"/>
  <c r="R48" i="19"/>
  <c r="G48" i="19"/>
  <c r="W41" i="16"/>
  <c r="F41" i="17"/>
  <c r="R24" i="19"/>
  <c r="G24" i="19"/>
  <c r="W67" i="24"/>
  <c r="T67" i="24"/>
  <c r="V51" i="16"/>
  <c r="S51" i="16"/>
  <c r="R27" i="17"/>
  <c r="G27" i="17"/>
  <c r="R45" i="16"/>
  <c r="G45" i="16"/>
  <c r="R47" i="17"/>
  <c r="G47" i="17"/>
  <c r="V47" i="17" l="1"/>
  <c r="S47" i="17"/>
  <c r="V23" i="17"/>
  <c r="S23" i="17"/>
  <c r="R38" i="16"/>
  <c r="G38" i="16"/>
  <c r="R59" i="19"/>
  <c r="G59" i="19"/>
  <c r="F39" i="19"/>
  <c r="W39" i="17"/>
  <c r="R16" i="16"/>
  <c r="G16" i="16"/>
  <c r="R12" i="20"/>
  <c r="G12" i="20"/>
  <c r="R17" i="16"/>
  <c r="G17" i="16"/>
  <c r="R50" i="16"/>
  <c r="G50" i="16"/>
  <c r="V46" i="19"/>
  <c r="S46" i="19"/>
  <c r="R38" i="20"/>
  <c r="G38" i="20"/>
  <c r="F10" i="19"/>
  <c r="W10" i="17"/>
  <c r="R54" i="17"/>
  <c r="G54" i="17"/>
  <c r="R42" i="20"/>
  <c r="G42" i="20"/>
  <c r="R18" i="20"/>
  <c r="G18" i="20"/>
  <c r="R16" i="20"/>
  <c r="G16" i="20"/>
  <c r="R33" i="17"/>
  <c r="G33" i="17"/>
  <c r="V45" i="20"/>
  <c r="W45" i="20" s="1"/>
  <c r="S45" i="20"/>
  <c r="R17" i="20"/>
  <c r="G17" i="20"/>
  <c r="R53" i="19"/>
  <c r="G53" i="19"/>
  <c r="W11" i="17"/>
  <c r="F11" i="19"/>
  <c r="W6" i="17"/>
  <c r="F6" i="19"/>
  <c r="V40" i="19"/>
  <c r="S40" i="19"/>
  <c r="X67" i="24"/>
  <c r="G67" i="25"/>
  <c r="R52" i="20"/>
  <c r="G52" i="20"/>
  <c r="R56" i="17"/>
  <c r="G56" i="17"/>
  <c r="R42" i="16"/>
  <c r="G42" i="16"/>
  <c r="R20" i="17"/>
  <c r="G20" i="17"/>
  <c r="W35" i="17"/>
  <c r="F35" i="19"/>
  <c r="R7" i="20"/>
  <c r="G7" i="20"/>
  <c r="F51" i="17"/>
  <c r="W51" i="16"/>
  <c r="V48" i="19"/>
  <c r="S48" i="19"/>
  <c r="V44" i="19"/>
  <c r="S44" i="19"/>
  <c r="R50" i="20"/>
  <c r="G50" i="20"/>
  <c r="R26" i="17"/>
  <c r="G26" i="17"/>
  <c r="V29" i="20"/>
  <c r="W29" i="20" s="1"/>
  <c r="S29" i="20"/>
  <c r="V30" i="19"/>
  <c r="S30" i="19"/>
  <c r="R36" i="17"/>
  <c r="G36" i="17"/>
  <c r="W37" i="16"/>
  <c r="F37" i="17"/>
  <c r="V34" i="19"/>
  <c r="S34" i="19"/>
  <c r="V58" i="19"/>
  <c r="S58" i="19"/>
  <c r="F31" i="17"/>
  <c r="W31" i="16"/>
  <c r="R18" i="16"/>
  <c r="G18" i="16"/>
  <c r="V28" i="19"/>
  <c r="S28" i="19"/>
  <c r="R14" i="16"/>
  <c r="G14" i="16"/>
  <c r="R5" i="19"/>
  <c r="G5" i="19"/>
  <c r="R19" i="17"/>
  <c r="G19" i="17"/>
  <c r="G59" i="17"/>
  <c r="R59" i="17"/>
  <c r="V27" i="17"/>
  <c r="S27" i="17"/>
  <c r="W9" i="17"/>
  <c r="F9" i="19"/>
  <c r="F43" i="17"/>
  <c r="W43" i="16"/>
  <c r="S13" i="17"/>
  <c r="V13" i="17"/>
  <c r="S45" i="16"/>
  <c r="V45" i="16"/>
  <c r="V24" i="19"/>
  <c r="S24" i="19"/>
  <c r="R41" i="17"/>
  <c r="G41" i="17"/>
  <c r="W15" i="16"/>
  <c r="F15" i="17"/>
  <c r="W25" i="16"/>
  <c r="F25" i="17"/>
  <c r="R52" i="16"/>
  <c r="G52" i="16"/>
  <c r="R22" i="17"/>
  <c r="G22" i="17"/>
  <c r="S32" i="19"/>
  <c r="V32" i="19"/>
  <c r="R14" i="20"/>
  <c r="G14" i="20"/>
  <c r="R12" i="16"/>
  <c r="G12" i="16"/>
  <c r="R21" i="17"/>
  <c r="G21" i="17"/>
  <c r="R55" i="17"/>
  <c r="G55" i="17"/>
  <c r="R61" i="17"/>
  <c r="G61" i="17"/>
  <c r="F8" i="19"/>
  <c r="W8" i="17"/>
  <c r="R60" i="17"/>
  <c r="G60" i="17"/>
  <c r="S29" i="16"/>
  <c r="V29" i="16"/>
  <c r="V62" i="17"/>
  <c r="S62" i="17"/>
  <c r="W13" i="17" l="1"/>
  <c r="F13" i="19"/>
  <c r="R9" i="19"/>
  <c r="G9" i="19"/>
  <c r="V59" i="17"/>
  <c r="S59" i="17"/>
  <c r="S67" i="25"/>
  <c r="H67" i="25"/>
  <c r="R6" i="19"/>
  <c r="G6" i="19"/>
  <c r="W29" i="16"/>
  <c r="F29" i="17"/>
  <c r="S32" i="21"/>
  <c r="G32" i="21"/>
  <c r="H32" i="21" s="1"/>
  <c r="W32" i="19"/>
  <c r="V55" i="17"/>
  <c r="S55" i="17"/>
  <c r="V52" i="16"/>
  <c r="S52" i="16"/>
  <c r="V5" i="19"/>
  <c r="S5" i="19"/>
  <c r="G28" i="21"/>
  <c r="H28" i="21" s="1"/>
  <c r="W28" i="19"/>
  <c r="R31" i="17"/>
  <c r="G31" i="17"/>
  <c r="G34" i="21"/>
  <c r="W34" i="19"/>
  <c r="V36" i="17"/>
  <c r="S36" i="17"/>
  <c r="V50" i="20"/>
  <c r="W50" i="20" s="1"/>
  <c r="S50" i="20"/>
  <c r="S48" i="21"/>
  <c r="G48" i="21"/>
  <c r="H48" i="21" s="1"/>
  <c r="W48" i="19"/>
  <c r="V7" i="20"/>
  <c r="W7" i="20" s="1"/>
  <c r="S7" i="20"/>
  <c r="V20" i="17"/>
  <c r="S20" i="17"/>
  <c r="V56" i="17"/>
  <c r="S56" i="17"/>
  <c r="V53" i="19"/>
  <c r="S53" i="19"/>
  <c r="S16" i="20"/>
  <c r="V16" i="20"/>
  <c r="W16" i="20" s="1"/>
  <c r="V42" i="20"/>
  <c r="W42" i="20" s="1"/>
  <c r="S42" i="20"/>
  <c r="R10" i="19"/>
  <c r="G10" i="19"/>
  <c r="G46" i="21"/>
  <c r="H46" i="21" s="1"/>
  <c r="W46" i="19"/>
  <c r="V17" i="16"/>
  <c r="S17" i="16"/>
  <c r="S16" i="16"/>
  <c r="V16" i="16"/>
  <c r="V59" i="19"/>
  <c r="S59" i="19"/>
  <c r="W23" i="17"/>
  <c r="F23" i="19"/>
  <c r="V12" i="16"/>
  <c r="S12" i="16"/>
  <c r="G24" i="21"/>
  <c r="W24" i="19"/>
  <c r="R25" i="17"/>
  <c r="G25" i="17"/>
  <c r="W45" i="16"/>
  <c r="F45" i="17"/>
  <c r="R37" i="17"/>
  <c r="G37" i="17"/>
  <c r="R35" i="19"/>
  <c r="G35" i="19"/>
  <c r="R11" i="19"/>
  <c r="G11" i="19"/>
  <c r="R15" i="17"/>
  <c r="G15" i="17"/>
  <c r="R8" i="19"/>
  <c r="G8" i="19"/>
  <c r="F63" i="19"/>
  <c r="W62" i="17"/>
  <c r="V60" i="17"/>
  <c r="S60" i="17"/>
  <c r="V61" i="17"/>
  <c r="S61" i="17"/>
  <c r="V21" i="17"/>
  <c r="S21" i="17"/>
  <c r="V14" i="20"/>
  <c r="W14" i="20" s="1"/>
  <c r="S14" i="20"/>
  <c r="V22" i="17"/>
  <c r="S22" i="17"/>
  <c r="V41" i="17"/>
  <c r="S41" i="17"/>
  <c r="R43" i="17"/>
  <c r="G43" i="17"/>
  <c r="F27" i="19"/>
  <c r="W27" i="17"/>
  <c r="V19" i="17"/>
  <c r="S19" i="17"/>
  <c r="V14" i="16"/>
  <c r="S14" i="16"/>
  <c r="V18" i="16"/>
  <c r="S18" i="16"/>
  <c r="G58" i="21"/>
  <c r="W58" i="19"/>
  <c r="S30" i="21"/>
  <c r="G30" i="21"/>
  <c r="H30" i="21" s="1"/>
  <c r="W30" i="19"/>
  <c r="V26" i="17"/>
  <c r="S26" i="17"/>
  <c r="G44" i="21"/>
  <c r="H44" i="21" s="1"/>
  <c r="W44" i="19"/>
  <c r="R51" i="17"/>
  <c r="G51" i="17"/>
  <c r="V42" i="16"/>
  <c r="S42" i="16"/>
  <c r="V52" i="20"/>
  <c r="W52" i="20" s="1"/>
  <c r="S52" i="20"/>
  <c r="S40" i="21"/>
  <c r="G40" i="21"/>
  <c r="H40" i="21" s="1"/>
  <c r="W40" i="19"/>
  <c r="V17" i="20"/>
  <c r="W17" i="20" s="1"/>
  <c r="S17" i="20"/>
  <c r="S33" i="17"/>
  <c r="V33" i="17"/>
  <c r="S18" i="20"/>
  <c r="V18" i="20"/>
  <c r="W18" i="20" s="1"/>
  <c r="V54" i="17"/>
  <c r="S54" i="17"/>
  <c r="V38" i="20"/>
  <c r="W38" i="20" s="1"/>
  <c r="S38" i="20"/>
  <c r="V50" i="16"/>
  <c r="S50" i="16"/>
  <c r="V12" i="20"/>
  <c r="W12" i="20" s="1"/>
  <c r="S12" i="20"/>
  <c r="R39" i="19"/>
  <c r="G39" i="19"/>
  <c r="V38" i="16"/>
  <c r="S38" i="16"/>
  <c r="F47" i="19"/>
  <c r="W47" i="17"/>
  <c r="T40" i="21" l="1"/>
  <c r="W40" i="21"/>
  <c r="S58" i="21"/>
  <c r="H58" i="21"/>
  <c r="F41" i="19"/>
  <c r="W41" i="17"/>
  <c r="R63" i="19"/>
  <c r="G63" i="19"/>
  <c r="R47" i="19"/>
  <c r="G47" i="19"/>
  <c r="V39" i="19"/>
  <c r="S39" i="19"/>
  <c r="F50" i="17"/>
  <c r="W50" i="16"/>
  <c r="F54" i="19"/>
  <c r="W54" i="17"/>
  <c r="W26" i="17"/>
  <c r="F26" i="19"/>
  <c r="R45" i="17"/>
  <c r="G45" i="17"/>
  <c r="R23" i="19"/>
  <c r="G23" i="19"/>
  <c r="F16" i="17"/>
  <c r="W16" i="16"/>
  <c r="V10" i="19"/>
  <c r="S10" i="19"/>
  <c r="W56" i="17"/>
  <c r="F57" i="19"/>
  <c r="G5" i="21"/>
  <c r="W5" i="19"/>
  <c r="F55" i="19"/>
  <c r="W55" i="17"/>
  <c r="R29" i="17"/>
  <c r="G29" i="17"/>
  <c r="V35" i="19"/>
  <c r="S35" i="19"/>
  <c r="S24" i="21"/>
  <c r="H24" i="21"/>
  <c r="S34" i="21"/>
  <c r="H34" i="21"/>
  <c r="T67" i="25"/>
  <c r="W67" i="25"/>
  <c r="X67" i="25" s="1"/>
  <c r="S9" i="19"/>
  <c r="V9" i="19"/>
  <c r="F14" i="17"/>
  <c r="W14" i="16"/>
  <c r="V15" i="17"/>
  <c r="S15" i="17"/>
  <c r="F38" i="17"/>
  <c r="W38" i="16"/>
  <c r="S44" i="21"/>
  <c r="S46" i="21"/>
  <c r="G53" i="21"/>
  <c r="W53" i="19"/>
  <c r="W20" i="17"/>
  <c r="F20" i="19"/>
  <c r="S28" i="21"/>
  <c r="F52" i="17"/>
  <c r="W52" i="16"/>
  <c r="R13" i="19"/>
  <c r="G13" i="19"/>
  <c r="F42" i="17"/>
  <c r="W42" i="16"/>
  <c r="R27" i="19"/>
  <c r="G27" i="19"/>
  <c r="F62" i="19"/>
  <c r="W61" i="17"/>
  <c r="W33" i="17"/>
  <c r="F33" i="19"/>
  <c r="V51" i="17"/>
  <c r="S51" i="17"/>
  <c r="W30" i="21"/>
  <c r="X30" i="21" s="1"/>
  <c r="T30" i="21"/>
  <c r="F18" i="17"/>
  <c r="W18" i="16"/>
  <c r="F19" i="19"/>
  <c r="W19" i="17"/>
  <c r="V43" i="17"/>
  <c r="S43" i="17"/>
  <c r="F22" i="19"/>
  <c r="W22" i="17"/>
  <c r="W21" i="17"/>
  <c r="F21" i="19"/>
  <c r="F61" i="19"/>
  <c r="W60" i="17"/>
  <c r="V8" i="19"/>
  <c r="S8" i="19"/>
  <c r="V11" i="19"/>
  <c r="S11" i="19"/>
  <c r="V37" i="17"/>
  <c r="S37" i="17"/>
  <c r="V25" i="17"/>
  <c r="S25" i="17"/>
  <c r="F12" i="17"/>
  <c r="W12" i="16"/>
  <c r="H59" i="21"/>
  <c r="G59" i="21"/>
  <c r="S59" i="21" s="1"/>
  <c r="W59" i="19"/>
  <c r="F17" i="17"/>
  <c r="W17" i="16"/>
  <c r="W48" i="21"/>
  <c r="T48" i="21"/>
  <c r="F36" i="19"/>
  <c r="W36" i="17"/>
  <c r="V31" i="17"/>
  <c r="S31" i="17"/>
  <c r="W32" i="21"/>
  <c r="T32" i="21"/>
  <c r="V6" i="19"/>
  <c r="S6" i="19"/>
  <c r="F60" i="19"/>
  <c r="W59" i="17"/>
  <c r="G11" i="21" l="1"/>
  <c r="H11" i="21" s="1"/>
  <c r="W11" i="19"/>
  <c r="R22" i="19"/>
  <c r="G22" i="19"/>
  <c r="R19" i="19"/>
  <c r="G19" i="19"/>
  <c r="W46" i="21"/>
  <c r="T46" i="21"/>
  <c r="R57" i="19"/>
  <c r="G57" i="19"/>
  <c r="G60" i="19"/>
  <c r="R60" i="19"/>
  <c r="G17" i="17"/>
  <c r="R17" i="17"/>
  <c r="R21" i="19"/>
  <c r="G21" i="19"/>
  <c r="T44" i="21"/>
  <c r="W44" i="21"/>
  <c r="F15" i="19"/>
  <c r="W15" i="17"/>
  <c r="W34" i="21"/>
  <c r="T34" i="21"/>
  <c r="S35" i="21"/>
  <c r="G35" i="21"/>
  <c r="H35" i="21" s="1"/>
  <c r="W35" i="19"/>
  <c r="R55" i="19"/>
  <c r="G55" i="19"/>
  <c r="R16" i="17"/>
  <c r="G16" i="17"/>
  <c r="V45" i="17"/>
  <c r="S45" i="17"/>
  <c r="R54" i="19"/>
  <c r="G54" i="19"/>
  <c r="G39" i="21"/>
  <c r="W39" i="19"/>
  <c r="V63" i="19"/>
  <c r="S63" i="19"/>
  <c r="T58" i="21"/>
  <c r="W58" i="21"/>
  <c r="W25" i="17"/>
  <c r="F25" i="19"/>
  <c r="V13" i="19"/>
  <c r="S13" i="19"/>
  <c r="X32" i="21"/>
  <c r="G32" i="23"/>
  <c r="G32" i="22"/>
  <c r="R12" i="17"/>
  <c r="G12" i="17"/>
  <c r="F37" i="19"/>
  <c r="W37" i="17"/>
  <c r="G8" i="21"/>
  <c r="W8" i="19"/>
  <c r="F43" i="19"/>
  <c r="W43" i="17"/>
  <c r="R18" i="17"/>
  <c r="G18" i="17"/>
  <c r="F51" i="19"/>
  <c r="W51" i="17"/>
  <c r="R62" i="19"/>
  <c r="G62" i="19"/>
  <c r="R42" i="17"/>
  <c r="G42" i="17"/>
  <c r="G52" i="17"/>
  <c r="R52" i="17"/>
  <c r="R26" i="19"/>
  <c r="G26" i="19"/>
  <c r="X40" i="21"/>
  <c r="G40" i="23"/>
  <c r="G40" i="22"/>
  <c r="R61" i="19"/>
  <c r="G61" i="19"/>
  <c r="V27" i="19"/>
  <c r="S27" i="19"/>
  <c r="R20" i="19"/>
  <c r="G20" i="19"/>
  <c r="G9" i="21"/>
  <c r="W9" i="19"/>
  <c r="R36" i="19"/>
  <c r="G36" i="19"/>
  <c r="G6" i="21"/>
  <c r="H6" i="21" s="1"/>
  <c r="W6" i="19"/>
  <c r="F31" i="19"/>
  <c r="W31" i="17"/>
  <c r="G48" i="23"/>
  <c r="G48" i="22"/>
  <c r="X48" i="21"/>
  <c r="W59" i="21"/>
  <c r="T59" i="21"/>
  <c r="R33" i="19"/>
  <c r="G33" i="19"/>
  <c r="W28" i="21"/>
  <c r="T28" i="21"/>
  <c r="H53" i="21"/>
  <c r="S53" i="21"/>
  <c r="R38" i="17"/>
  <c r="G38" i="17"/>
  <c r="R14" i="17"/>
  <c r="G14" i="17"/>
  <c r="W24" i="21"/>
  <c r="T24" i="21"/>
  <c r="V29" i="17"/>
  <c r="S29" i="17"/>
  <c r="S5" i="21"/>
  <c r="H5" i="21"/>
  <c r="G10" i="21"/>
  <c r="W10" i="19"/>
  <c r="V23" i="19"/>
  <c r="S23" i="19"/>
  <c r="R50" i="17"/>
  <c r="G50" i="17"/>
  <c r="V47" i="19"/>
  <c r="S47" i="19"/>
  <c r="G41" i="19"/>
  <c r="R41" i="19"/>
  <c r="S41" i="19" l="1"/>
  <c r="V41" i="19"/>
  <c r="V18" i="17"/>
  <c r="S18" i="17"/>
  <c r="X58" i="21"/>
  <c r="G58" i="23"/>
  <c r="G58" i="22"/>
  <c r="W35" i="21"/>
  <c r="T35" i="21"/>
  <c r="S21" i="19"/>
  <c r="V21" i="19"/>
  <c r="G46" i="23"/>
  <c r="G46" i="22"/>
  <c r="X46" i="21"/>
  <c r="F29" i="19"/>
  <c r="W29" i="17"/>
  <c r="V36" i="19"/>
  <c r="S36" i="19"/>
  <c r="V20" i="19"/>
  <c r="S20" i="19"/>
  <c r="V61" i="19"/>
  <c r="S61" i="19"/>
  <c r="S32" i="22"/>
  <c r="H32" i="22"/>
  <c r="G13" i="21"/>
  <c r="H13" i="21" s="1"/>
  <c r="W13" i="19"/>
  <c r="S39" i="21"/>
  <c r="H39" i="21"/>
  <c r="F45" i="19"/>
  <c r="W45" i="17"/>
  <c r="V55" i="19"/>
  <c r="S55" i="19"/>
  <c r="X44" i="21"/>
  <c r="G44" i="23"/>
  <c r="G44" i="22"/>
  <c r="V17" i="17"/>
  <c r="S17" i="17"/>
  <c r="V62" i="19"/>
  <c r="S62" i="19"/>
  <c r="S8" i="21"/>
  <c r="H8" i="21"/>
  <c r="R15" i="19"/>
  <c r="G15" i="19"/>
  <c r="V50" i="17"/>
  <c r="S50" i="17"/>
  <c r="S10" i="21"/>
  <c r="H10" i="21"/>
  <c r="V33" i="19"/>
  <c r="S33" i="19"/>
  <c r="S48" i="23"/>
  <c r="H48" i="23"/>
  <c r="S40" i="22"/>
  <c r="H40" i="22"/>
  <c r="V26" i="19"/>
  <c r="S26" i="19"/>
  <c r="V42" i="17"/>
  <c r="S42" i="17"/>
  <c r="R51" i="19"/>
  <c r="G51" i="19"/>
  <c r="G43" i="19"/>
  <c r="R43" i="19"/>
  <c r="R37" i="19"/>
  <c r="G37" i="19"/>
  <c r="S32" i="23"/>
  <c r="H32" i="23"/>
  <c r="R25" i="19"/>
  <c r="G25" i="19"/>
  <c r="X34" i="21"/>
  <c r="G34" i="23"/>
  <c r="G34" i="22"/>
  <c r="V57" i="19"/>
  <c r="S57" i="19"/>
  <c r="V19" i="19"/>
  <c r="S19" i="19"/>
  <c r="W53" i="21"/>
  <c r="T53" i="21"/>
  <c r="R31" i="19"/>
  <c r="G31" i="19"/>
  <c r="V12" i="17"/>
  <c r="S12" i="17"/>
  <c r="V22" i="19"/>
  <c r="S22" i="19"/>
  <c r="V14" i="17"/>
  <c r="S14" i="17"/>
  <c r="S48" i="22"/>
  <c r="H48" i="22"/>
  <c r="S47" i="21"/>
  <c r="G47" i="21"/>
  <c r="H47" i="21" s="1"/>
  <c r="W47" i="19"/>
  <c r="G23" i="21"/>
  <c r="W23" i="19"/>
  <c r="W5" i="21"/>
  <c r="T5" i="21"/>
  <c r="X24" i="21"/>
  <c r="G24" i="23"/>
  <c r="G24" i="22"/>
  <c r="V38" i="17"/>
  <c r="S38" i="17"/>
  <c r="X28" i="21"/>
  <c r="G28" i="23"/>
  <c r="G28" i="22"/>
  <c r="X59" i="21"/>
  <c r="G59" i="23"/>
  <c r="G59" i="22"/>
  <c r="S6" i="21"/>
  <c r="S9" i="21"/>
  <c r="H9" i="21"/>
  <c r="G27" i="21"/>
  <c r="W27" i="19"/>
  <c r="S40" i="23"/>
  <c r="H40" i="23"/>
  <c r="V52" i="17"/>
  <c r="S52" i="17"/>
  <c r="G63" i="21"/>
  <c r="W63" i="19"/>
  <c r="V54" i="19"/>
  <c r="S54" i="19"/>
  <c r="S16" i="17"/>
  <c r="V16" i="17"/>
  <c r="V60" i="19"/>
  <c r="S60" i="19"/>
  <c r="S11" i="21"/>
  <c r="S24" i="23" l="1"/>
  <c r="H24" i="23"/>
  <c r="F14" i="19"/>
  <c r="W14" i="17"/>
  <c r="W39" i="21"/>
  <c r="T39" i="21"/>
  <c r="G35" i="23"/>
  <c r="G35" i="22"/>
  <c r="X35" i="21"/>
  <c r="T40" i="23"/>
  <c r="W40" i="23"/>
  <c r="X40" i="23" s="1"/>
  <c r="S23" i="21"/>
  <c r="H23" i="21"/>
  <c r="S34" i="22"/>
  <c r="H34" i="22"/>
  <c r="S25" i="19"/>
  <c r="V25" i="19"/>
  <c r="V37" i="19"/>
  <c r="S37" i="19"/>
  <c r="V51" i="19"/>
  <c r="S51" i="19"/>
  <c r="G26" i="21"/>
  <c r="W26" i="19"/>
  <c r="W48" i="23"/>
  <c r="X48" i="23" s="1"/>
  <c r="T48" i="23"/>
  <c r="W10" i="21"/>
  <c r="T10" i="21"/>
  <c r="S15" i="19"/>
  <c r="V15" i="19"/>
  <c r="S62" i="21"/>
  <c r="G62" i="21"/>
  <c r="H62" i="21" s="1"/>
  <c r="W62" i="19"/>
  <c r="S44" i="23"/>
  <c r="H44" i="23"/>
  <c r="T32" i="22"/>
  <c r="W32" i="22"/>
  <c r="G20" i="21"/>
  <c r="H20" i="21" s="1"/>
  <c r="W20" i="19"/>
  <c r="R29" i="19"/>
  <c r="G29" i="19"/>
  <c r="G21" i="21"/>
  <c r="W21" i="19"/>
  <c r="S58" i="22"/>
  <c r="H58" i="22"/>
  <c r="W18" i="17"/>
  <c r="F18" i="19"/>
  <c r="W16" i="17"/>
  <c r="F16" i="19"/>
  <c r="W47" i="21"/>
  <c r="T47" i="21"/>
  <c r="F12" i="19"/>
  <c r="W12" i="17"/>
  <c r="G57" i="21"/>
  <c r="W57" i="19"/>
  <c r="S44" i="22"/>
  <c r="H44" i="22"/>
  <c r="S63" i="21"/>
  <c r="H63" i="21"/>
  <c r="T6" i="21"/>
  <c r="W6" i="21"/>
  <c r="H28" i="22"/>
  <c r="S28" i="22"/>
  <c r="W38" i="17"/>
  <c r="F38" i="19"/>
  <c r="W48" i="22"/>
  <c r="T48" i="22"/>
  <c r="G22" i="21"/>
  <c r="W22" i="19"/>
  <c r="V31" i="19"/>
  <c r="S31" i="19"/>
  <c r="G19" i="21"/>
  <c r="H19" i="21" s="1"/>
  <c r="W19" i="19"/>
  <c r="S34" i="23"/>
  <c r="H34" i="23"/>
  <c r="V43" i="19"/>
  <c r="S43" i="19"/>
  <c r="R45" i="19"/>
  <c r="G45" i="19"/>
  <c r="S58" i="23"/>
  <c r="H58" i="23"/>
  <c r="G41" i="21"/>
  <c r="W41" i="19"/>
  <c r="S59" i="23"/>
  <c r="H59" i="23"/>
  <c r="X53" i="21"/>
  <c r="G53" i="23"/>
  <c r="G53" i="22"/>
  <c r="S55" i="21"/>
  <c r="G55" i="21"/>
  <c r="H55" i="21" s="1"/>
  <c r="W55" i="19"/>
  <c r="S46" i="23"/>
  <c r="H46" i="23"/>
  <c r="W11" i="21"/>
  <c r="T11" i="21"/>
  <c r="T9" i="21"/>
  <c r="W9" i="21"/>
  <c r="G60" i="21"/>
  <c r="H60" i="21" s="1"/>
  <c r="W60" i="19"/>
  <c r="G54" i="21"/>
  <c r="W54" i="19"/>
  <c r="F52" i="19"/>
  <c r="W52" i="17"/>
  <c r="S27" i="21"/>
  <c r="H27" i="21"/>
  <c r="H59" i="22"/>
  <c r="S59" i="22"/>
  <c r="S28" i="23"/>
  <c r="H28" i="23"/>
  <c r="S24" i="22"/>
  <c r="H24" i="22"/>
  <c r="G5" i="23"/>
  <c r="G5" i="22"/>
  <c r="X5" i="21"/>
  <c r="T32" i="23"/>
  <c r="W32" i="23"/>
  <c r="X32" i="23" s="1"/>
  <c r="F42" i="19"/>
  <c r="W42" i="17"/>
  <c r="W40" i="22"/>
  <c r="T40" i="22"/>
  <c r="G33" i="21"/>
  <c r="W33" i="19"/>
  <c r="F50" i="19"/>
  <c r="W50" i="17"/>
  <c r="W8" i="21"/>
  <c r="T8" i="21"/>
  <c r="F17" i="19"/>
  <c r="W17" i="17"/>
  <c r="S13" i="21"/>
  <c r="G61" i="21"/>
  <c r="H61" i="21" s="1"/>
  <c r="W61" i="19"/>
  <c r="G36" i="21"/>
  <c r="W36" i="19"/>
  <c r="S46" i="22"/>
  <c r="H46" i="22"/>
  <c r="W46" i="22" l="1"/>
  <c r="T46" i="22"/>
  <c r="R17" i="19"/>
  <c r="G17" i="19"/>
  <c r="S61" i="21"/>
  <c r="W24" i="22"/>
  <c r="T24" i="22"/>
  <c r="R52" i="19"/>
  <c r="G52" i="19"/>
  <c r="S53" i="23"/>
  <c r="H53" i="23"/>
  <c r="S19" i="21"/>
  <c r="S22" i="21"/>
  <c r="H22" i="21"/>
  <c r="W44" i="22"/>
  <c r="T44" i="22"/>
  <c r="R12" i="19"/>
  <c r="G12" i="19"/>
  <c r="W58" i="22"/>
  <c r="T58" i="22"/>
  <c r="V29" i="19"/>
  <c r="S29" i="19"/>
  <c r="X32" i="22"/>
  <c r="G32" i="24"/>
  <c r="G51" i="21"/>
  <c r="H51" i="21" s="1"/>
  <c r="W51" i="19"/>
  <c r="W23" i="21"/>
  <c r="X23" i="21" s="1"/>
  <c r="T23" i="21"/>
  <c r="H35" i="22"/>
  <c r="S35" i="22"/>
  <c r="H36" i="21"/>
  <c r="S36" i="21"/>
  <c r="W13" i="21"/>
  <c r="T13" i="21"/>
  <c r="G8" i="23"/>
  <c r="G8" i="22"/>
  <c r="X8" i="21"/>
  <c r="H33" i="21"/>
  <c r="S33" i="21"/>
  <c r="R42" i="19"/>
  <c r="G42" i="19"/>
  <c r="S5" i="22"/>
  <c r="H5" i="22"/>
  <c r="S60" i="21"/>
  <c r="G11" i="23"/>
  <c r="G11" i="22"/>
  <c r="X11" i="21"/>
  <c r="S41" i="21"/>
  <c r="H41" i="21"/>
  <c r="V45" i="19"/>
  <c r="S45" i="19"/>
  <c r="W34" i="23"/>
  <c r="X34" i="23" s="1"/>
  <c r="T34" i="23"/>
  <c r="T28" i="22"/>
  <c r="W28" i="22"/>
  <c r="R18" i="19"/>
  <c r="G18" i="19"/>
  <c r="S35" i="23"/>
  <c r="H35" i="23"/>
  <c r="R14" i="19"/>
  <c r="G14" i="19"/>
  <c r="S5" i="23"/>
  <c r="H5" i="23"/>
  <c r="W28" i="23"/>
  <c r="X28" i="23" s="1"/>
  <c r="T28" i="23"/>
  <c r="W27" i="21"/>
  <c r="T27" i="21"/>
  <c r="S54" i="21"/>
  <c r="H54" i="21"/>
  <c r="X9" i="21"/>
  <c r="G9" i="23"/>
  <c r="G9" i="22"/>
  <c r="W55" i="21"/>
  <c r="T55" i="21"/>
  <c r="G31" i="21"/>
  <c r="W31" i="19"/>
  <c r="X48" i="22"/>
  <c r="G48" i="24"/>
  <c r="W63" i="21"/>
  <c r="T63" i="21"/>
  <c r="H57" i="21"/>
  <c r="S57" i="21"/>
  <c r="G47" i="23"/>
  <c r="G47" i="22"/>
  <c r="X47" i="21"/>
  <c r="S21" i="21"/>
  <c r="H21" i="21"/>
  <c r="T62" i="21"/>
  <c r="W62" i="21"/>
  <c r="G10" i="23"/>
  <c r="G10" i="22"/>
  <c r="X10" i="21"/>
  <c r="S26" i="21"/>
  <c r="H26" i="21"/>
  <c r="S37" i="21"/>
  <c r="G37" i="21"/>
  <c r="H37" i="21" s="1"/>
  <c r="W37" i="19"/>
  <c r="W34" i="22"/>
  <c r="T34" i="22"/>
  <c r="R50" i="19"/>
  <c r="G50" i="19"/>
  <c r="X40" i="22"/>
  <c r="G40" i="24"/>
  <c r="W59" i="22"/>
  <c r="T59" i="22"/>
  <c r="W46" i="23"/>
  <c r="X46" i="23" s="1"/>
  <c r="T46" i="23"/>
  <c r="S53" i="22"/>
  <c r="H53" i="22"/>
  <c r="T59" i="23"/>
  <c r="W59" i="23"/>
  <c r="X59" i="23" s="1"/>
  <c r="W58" i="23"/>
  <c r="X58" i="23" s="1"/>
  <c r="T58" i="23"/>
  <c r="S43" i="21"/>
  <c r="G43" i="21"/>
  <c r="H43" i="21" s="1"/>
  <c r="W43" i="19"/>
  <c r="R38" i="19"/>
  <c r="G38" i="19"/>
  <c r="X6" i="21"/>
  <c r="G6" i="23"/>
  <c r="G6" i="22"/>
  <c r="R16" i="19"/>
  <c r="G16" i="19"/>
  <c r="S20" i="21"/>
  <c r="W44" i="23"/>
  <c r="X44" i="23" s="1"/>
  <c r="T44" i="23"/>
  <c r="G15" i="21"/>
  <c r="W15" i="19"/>
  <c r="G25" i="21"/>
  <c r="W25" i="19"/>
  <c r="G39" i="23"/>
  <c r="G39" i="22"/>
  <c r="X39" i="21"/>
  <c r="W24" i="23"/>
  <c r="X24" i="23" s="1"/>
  <c r="T24" i="23"/>
  <c r="S10" i="23" l="1"/>
  <c r="H10" i="23"/>
  <c r="S48" i="24"/>
  <c r="H48" i="24"/>
  <c r="G27" i="23"/>
  <c r="G27" i="22"/>
  <c r="X27" i="21"/>
  <c r="S11" i="22"/>
  <c r="H11" i="22"/>
  <c r="T35" i="22"/>
  <c r="W35" i="22"/>
  <c r="S39" i="23"/>
  <c r="H39" i="23"/>
  <c r="H15" i="21"/>
  <c r="S15" i="21"/>
  <c r="H40" i="24"/>
  <c r="S40" i="24"/>
  <c r="W37" i="21"/>
  <c r="T37" i="21"/>
  <c r="S10" i="22"/>
  <c r="H10" i="22"/>
  <c r="S47" i="23"/>
  <c r="H47" i="23"/>
  <c r="X63" i="21"/>
  <c r="G63" i="23"/>
  <c r="G63" i="22"/>
  <c r="S31" i="21"/>
  <c r="H31" i="21"/>
  <c r="S9" i="23"/>
  <c r="H9" i="23"/>
  <c r="X28" i="22"/>
  <c r="G28" i="24"/>
  <c r="W33" i="21"/>
  <c r="T33" i="21"/>
  <c r="S8" i="23"/>
  <c r="H8" i="23"/>
  <c r="H32" i="24"/>
  <c r="S32" i="24"/>
  <c r="W19" i="21"/>
  <c r="T19" i="21"/>
  <c r="V52" i="19"/>
  <c r="S52" i="19"/>
  <c r="W43" i="21"/>
  <c r="T43" i="21"/>
  <c r="G34" i="24"/>
  <c r="X34" i="22"/>
  <c r="T57" i="21"/>
  <c r="W57" i="21"/>
  <c r="W5" i="23"/>
  <c r="X5" i="23" s="1"/>
  <c r="T5" i="23"/>
  <c r="T5" i="22"/>
  <c r="W5" i="22"/>
  <c r="G58" i="24"/>
  <c r="X58" i="22"/>
  <c r="G44" i="24"/>
  <c r="X44" i="22"/>
  <c r="V17" i="19"/>
  <c r="S17" i="19"/>
  <c r="S25" i="21"/>
  <c r="H25" i="21"/>
  <c r="S6" i="22"/>
  <c r="H6" i="22"/>
  <c r="V38" i="19"/>
  <c r="S38" i="19"/>
  <c r="T26" i="21"/>
  <c r="W26" i="21"/>
  <c r="X62" i="21"/>
  <c r="G62" i="23"/>
  <c r="G62" i="22"/>
  <c r="G55" i="23"/>
  <c r="G55" i="22"/>
  <c r="X55" i="21"/>
  <c r="S11" i="23"/>
  <c r="H11" i="23"/>
  <c r="G13" i="23"/>
  <c r="G13" i="22"/>
  <c r="X13" i="21"/>
  <c r="W53" i="23"/>
  <c r="X53" i="23" s="1"/>
  <c r="T53" i="23"/>
  <c r="G24" i="24"/>
  <c r="X24" i="22"/>
  <c r="V16" i="19"/>
  <c r="S16" i="19"/>
  <c r="T21" i="21"/>
  <c r="W21" i="21"/>
  <c r="W35" i="23"/>
  <c r="X35" i="23" s="1"/>
  <c r="T35" i="23"/>
  <c r="S45" i="21"/>
  <c r="G45" i="21"/>
  <c r="H45" i="21" s="1"/>
  <c r="W45" i="19"/>
  <c r="S39" i="22"/>
  <c r="H39" i="22"/>
  <c r="W20" i="21"/>
  <c r="T20" i="21"/>
  <c r="S6" i="23"/>
  <c r="H6" i="23"/>
  <c r="W53" i="22"/>
  <c r="T53" i="22"/>
  <c r="G59" i="24"/>
  <c r="X59" i="22"/>
  <c r="V50" i="19"/>
  <c r="S50" i="19"/>
  <c r="S47" i="22"/>
  <c r="H47" i="22"/>
  <c r="S9" i="22"/>
  <c r="H9" i="22"/>
  <c r="T54" i="21"/>
  <c r="W54" i="21"/>
  <c r="S14" i="19"/>
  <c r="V14" i="19"/>
  <c r="V18" i="19"/>
  <c r="S18" i="19"/>
  <c r="T41" i="21"/>
  <c r="W41" i="21"/>
  <c r="W60" i="21"/>
  <c r="T60" i="21"/>
  <c r="V42" i="19"/>
  <c r="S42" i="19"/>
  <c r="S8" i="22"/>
  <c r="H8" i="22"/>
  <c r="T36" i="21"/>
  <c r="W36" i="21"/>
  <c r="S51" i="21"/>
  <c r="G29" i="21"/>
  <c r="W29" i="19"/>
  <c r="V12" i="19"/>
  <c r="S12" i="19"/>
  <c r="W22" i="21"/>
  <c r="T22" i="21"/>
  <c r="W61" i="21"/>
  <c r="T61" i="21"/>
  <c r="G46" i="24"/>
  <c r="X46" i="22"/>
  <c r="S46" i="24" l="1"/>
  <c r="H46" i="24"/>
  <c r="X54" i="21"/>
  <c r="G54" i="23"/>
  <c r="G54" i="22"/>
  <c r="W45" i="21"/>
  <c r="T45" i="21"/>
  <c r="S13" i="22"/>
  <c r="H13" i="22"/>
  <c r="S28" i="24"/>
  <c r="H28" i="24"/>
  <c r="W39" i="23"/>
  <c r="X39" i="23" s="1"/>
  <c r="T39" i="23"/>
  <c r="G60" i="23"/>
  <c r="G60" i="22"/>
  <c r="X60" i="21"/>
  <c r="W47" i="22"/>
  <c r="T47" i="22"/>
  <c r="S59" i="24"/>
  <c r="H59" i="24"/>
  <c r="W6" i="23"/>
  <c r="X6" i="23" s="1"/>
  <c r="T6" i="23"/>
  <c r="T39" i="22"/>
  <c r="W39" i="22"/>
  <c r="S13" i="23"/>
  <c r="H13" i="23"/>
  <c r="S55" i="22"/>
  <c r="H55" i="22"/>
  <c r="S38" i="21"/>
  <c r="G38" i="21"/>
  <c r="H38" i="21" s="1"/>
  <c r="W38" i="19"/>
  <c r="W25" i="21"/>
  <c r="T25" i="21"/>
  <c r="S44" i="24"/>
  <c r="H44" i="24"/>
  <c r="G43" i="23"/>
  <c r="G43" i="22"/>
  <c r="X43" i="21"/>
  <c r="G19" i="22"/>
  <c r="G19" i="23"/>
  <c r="X19" i="21"/>
  <c r="W8" i="23"/>
  <c r="X8" i="23" s="1"/>
  <c r="T8" i="23"/>
  <c r="W31" i="21"/>
  <c r="T31" i="21"/>
  <c r="W15" i="21"/>
  <c r="X15" i="21" s="1"/>
  <c r="T15" i="21"/>
  <c r="X35" i="22"/>
  <c r="G35" i="24"/>
  <c r="W48" i="24"/>
  <c r="T48" i="24"/>
  <c r="X22" i="21"/>
  <c r="G22" i="23"/>
  <c r="G22" i="22"/>
  <c r="S24" i="24"/>
  <c r="H24" i="24"/>
  <c r="S62" i="23"/>
  <c r="H62" i="23"/>
  <c r="X5" i="22"/>
  <c r="G5" i="24"/>
  <c r="T11" i="22"/>
  <c r="W11" i="22"/>
  <c r="W51" i="21"/>
  <c r="T51" i="21"/>
  <c r="G18" i="21"/>
  <c r="W18" i="19"/>
  <c r="G61" i="23"/>
  <c r="G61" i="22"/>
  <c r="X61" i="21"/>
  <c r="G12" i="21"/>
  <c r="W12" i="19"/>
  <c r="X36" i="21"/>
  <c r="G36" i="23"/>
  <c r="G36" i="22"/>
  <c r="X41" i="21"/>
  <c r="G41" i="23"/>
  <c r="G41" i="22"/>
  <c r="G14" i="21"/>
  <c r="W14" i="19"/>
  <c r="G16" i="21"/>
  <c r="W16" i="19"/>
  <c r="S55" i="23"/>
  <c r="H55" i="23"/>
  <c r="X26" i="21"/>
  <c r="G26" i="23"/>
  <c r="G26" i="22"/>
  <c r="W32" i="24"/>
  <c r="T32" i="24"/>
  <c r="S63" i="22"/>
  <c r="H63" i="22"/>
  <c r="W47" i="23"/>
  <c r="X47" i="23" s="1"/>
  <c r="T47" i="23"/>
  <c r="G37" i="23"/>
  <c r="G37" i="22"/>
  <c r="X37" i="21"/>
  <c r="H27" i="22"/>
  <c r="S27" i="22"/>
  <c r="H29" i="21"/>
  <c r="S29" i="21"/>
  <c r="X57" i="21"/>
  <c r="G57" i="23"/>
  <c r="G57" i="22"/>
  <c r="W10" i="22"/>
  <c r="T10" i="22"/>
  <c r="W8" i="22"/>
  <c r="T8" i="22"/>
  <c r="G42" i="21"/>
  <c r="H42" i="21" s="1"/>
  <c r="W42" i="19"/>
  <c r="T9" i="22"/>
  <c r="W9" i="22"/>
  <c r="G50" i="21"/>
  <c r="W50" i="19"/>
  <c r="X53" i="22"/>
  <c r="G53" i="24"/>
  <c r="G20" i="23"/>
  <c r="G20" i="22"/>
  <c r="X20" i="21"/>
  <c r="X21" i="21"/>
  <c r="G21" i="23"/>
  <c r="G21" i="22"/>
  <c r="W11" i="23"/>
  <c r="X11" i="23" s="1"/>
  <c r="T11" i="23"/>
  <c r="S62" i="22"/>
  <c r="H62" i="22"/>
  <c r="T6" i="22"/>
  <c r="W6" i="22"/>
  <c r="S17" i="21"/>
  <c r="G17" i="21"/>
  <c r="H17" i="21" s="1"/>
  <c r="W17" i="19"/>
  <c r="S58" i="24"/>
  <c r="H58" i="24"/>
  <c r="S34" i="24"/>
  <c r="H34" i="24"/>
  <c r="G52" i="21"/>
  <c r="H52" i="21" s="1"/>
  <c r="W52" i="19"/>
  <c r="G33" i="23"/>
  <c r="G33" i="22"/>
  <c r="X33" i="21"/>
  <c r="W9" i="23"/>
  <c r="X9" i="23" s="1"/>
  <c r="T9" i="23"/>
  <c r="S63" i="23"/>
  <c r="H63" i="23"/>
  <c r="W40" i="24"/>
  <c r="T40" i="24"/>
  <c r="S27" i="23"/>
  <c r="H27" i="23"/>
  <c r="W10" i="23"/>
  <c r="X10" i="23" s="1"/>
  <c r="T10" i="23"/>
  <c r="T24" i="24" l="1"/>
  <c r="W24" i="24"/>
  <c r="S19" i="22"/>
  <c r="H19" i="22"/>
  <c r="W55" i="22"/>
  <c r="T55" i="22"/>
  <c r="T59" i="24"/>
  <c r="W59" i="24"/>
  <c r="S60" i="22"/>
  <c r="H60" i="22"/>
  <c r="W62" i="22"/>
  <c r="T62" i="22"/>
  <c r="S20" i="23"/>
  <c r="H20" i="23"/>
  <c r="S50" i="21"/>
  <c r="H50" i="21"/>
  <c r="S16" i="21"/>
  <c r="H16" i="21"/>
  <c r="S19" i="23"/>
  <c r="H19" i="23"/>
  <c r="X25" i="21"/>
  <c r="G25" i="23"/>
  <c r="G25" i="22"/>
  <c r="X39" i="22"/>
  <c r="G39" i="24"/>
  <c r="S54" i="23"/>
  <c r="H54" i="23"/>
  <c r="T63" i="23"/>
  <c r="W63" i="23"/>
  <c r="X63" i="23" s="1"/>
  <c r="S33" i="22"/>
  <c r="H33" i="22"/>
  <c r="S52" i="21"/>
  <c r="G6" i="24"/>
  <c r="X6" i="22"/>
  <c r="S42" i="21"/>
  <c r="G10" i="24"/>
  <c r="X10" i="22"/>
  <c r="G32" i="26"/>
  <c r="G32" i="25"/>
  <c r="X32" i="24"/>
  <c r="G51" i="23"/>
  <c r="G51" i="22"/>
  <c r="X51" i="21"/>
  <c r="S33" i="23"/>
  <c r="H33" i="23"/>
  <c r="S57" i="22"/>
  <c r="H57" i="22"/>
  <c r="S37" i="22"/>
  <c r="H37" i="22"/>
  <c r="S26" i="22"/>
  <c r="H26" i="22"/>
  <c r="T55" i="23"/>
  <c r="W55" i="23"/>
  <c r="X55" i="23" s="1"/>
  <c r="S14" i="21"/>
  <c r="H14" i="21"/>
  <c r="S36" i="22"/>
  <c r="H36" i="22"/>
  <c r="S12" i="21"/>
  <c r="H12" i="21"/>
  <c r="G11" i="24"/>
  <c r="X11" i="22"/>
  <c r="S22" i="22"/>
  <c r="H22" i="22"/>
  <c r="G48" i="26"/>
  <c r="G48" i="25"/>
  <c r="X48" i="24"/>
  <c r="W44" i="24"/>
  <c r="T44" i="24"/>
  <c r="S60" i="23"/>
  <c r="H60" i="23"/>
  <c r="T28" i="24"/>
  <c r="W28" i="24"/>
  <c r="G45" i="23"/>
  <c r="G45" i="22"/>
  <c r="X45" i="21"/>
  <c r="W17" i="21"/>
  <c r="T17" i="21"/>
  <c r="S21" i="23"/>
  <c r="H21" i="23"/>
  <c r="S41" i="23"/>
  <c r="H41" i="23"/>
  <c r="S61" i="22"/>
  <c r="H61" i="22"/>
  <c r="S5" i="24"/>
  <c r="H5" i="24"/>
  <c r="G31" i="23"/>
  <c r="G31" i="22"/>
  <c r="X31" i="21"/>
  <c r="S43" i="23"/>
  <c r="H43" i="23"/>
  <c r="W13" i="22"/>
  <c r="T13" i="22"/>
  <c r="T27" i="23"/>
  <c r="W27" i="23"/>
  <c r="X27" i="23" s="1"/>
  <c r="W58" i="24"/>
  <c r="T58" i="24"/>
  <c r="S53" i="24"/>
  <c r="H53" i="24"/>
  <c r="X9" i="22"/>
  <c r="G9" i="24"/>
  <c r="T29" i="21"/>
  <c r="W29" i="21"/>
  <c r="S61" i="23"/>
  <c r="H61" i="23"/>
  <c r="X40" i="24"/>
  <c r="G40" i="26"/>
  <c r="G40" i="25"/>
  <c r="W34" i="24"/>
  <c r="T34" i="24"/>
  <c r="S21" i="22"/>
  <c r="H21" i="22"/>
  <c r="S20" i="22"/>
  <c r="H20" i="22"/>
  <c r="G8" i="24"/>
  <c r="X8" i="22"/>
  <c r="S57" i="23"/>
  <c r="H57" i="23"/>
  <c r="W27" i="22"/>
  <c r="T27" i="22"/>
  <c r="S37" i="23"/>
  <c r="H37" i="23"/>
  <c r="W63" i="22"/>
  <c r="T63" i="22"/>
  <c r="S26" i="23"/>
  <c r="H26" i="23"/>
  <c r="S41" i="22"/>
  <c r="H41" i="22"/>
  <c r="S36" i="23"/>
  <c r="H36" i="23"/>
  <c r="S18" i="21"/>
  <c r="H18" i="21"/>
  <c r="W62" i="23"/>
  <c r="X62" i="23" s="1"/>
  <c r="T62" i="23"/>
  <c r="S22" i="23"/>
  <c r="H22" i="23"/>
  <c r="H35" i="24"/>
  <c r="S35" i="24"/>
  <c r="H43" i="22"/>
  <c r="S43" i="22"/>
  <c r="W38" i="21"/>
  <c r="T38" i="21"/>
  <c r="W13" i="23"/>
  <c r="X13" i="23" s="1"/>
  <c r="T13" i="23"/>
  <c r="G47" i="24"/>
  <c r="X47" i="22"/>
  <c r="S54" i="22"/>
  <c r="H54" i="22"/>
  <c r="T46" i="24"/>
  <c r="W46" i="24"/>
  <c r="T36" i="23" l="1"/>
  <c r="W36" i="23"/>
  <c r="X36" i="23" s="1"/>
  <c r="W57" i="23"/>
  <c r="X57" i="23" s="1"/>
  <c r="T57" i="23"/>
  <c r="X28" i="24"/>
  <c r="G28" i="26"/>
  <c r="G28" i="25"/>
  <c r="T36" i="22"/>
  <c r="W36" i="22"/>
  <c r="W33" i="23"/>
  <c r="X33" i="23" s="1"/>
  <c r="T33" i="23"/>
  <c r="W52" i="21"/>
  <c r="T52" i="21"/>
  <c r="X59" i="24"/>
  <c r="G59" i="25"/>
  <c r="W43" i="22"/>
  <c r="T43" i="22"/>
  <c r="H40" i="25"/>
  <c r="S40" i="25"/>
  <c r="W61" i="23"/>
  <c r="X61" i="23" s="1"/>
  <c r="T61" i="23"/>
  <c r="X58" i="24"/>
  <c r="G58" i="26"/>
  <c r="G58" i="25"/>
  <c r="X13" i="22"/>
  <c r="G13" i="24"/>
  <c r="S31" i="22"/>
  <c r="H31" i="22"/>
  <c r="G44" i="26"/>
  <c r="G44" i="25"/>
  <c r="X44" i="24"/>
  <c r="S32" i="25"/>
  <c r="H32" i="25"/>
  <c r="W42" i="21"/>
  <c r="T42" i="21"/>
  <c r="S25" i="22"/>
  <c r="H25" i="22"/>
  <c r="W19" i="23"/>
  <c r="X19" i="23" s="1"/>
  <c r="T19" i="23"/>
  <c r="T50" i="21"/>
  <c r="W50" i="21"/>
  <c r="X50" i="21" s="1"/>
  <c r="X62" i="22"/>
  <c r="G62" i="24"/>
  <c r="W19" i="22"/>
  <c r="T19" i="22"/>
  <c r="H47" i="24"/>
  <c r="S47" i="24"/>
  <c r="W37" i="23"/>
  <c r="X37" i="23" s="1"/>
  <c r="T37" i="23"/>
  <c r="X34" i="24"/>
  <c r="G34" i="26"/>
  <c r="G34" i="25"/>
  <c r="W5" i="24"/>
  <c r="T5" i="24"/>
  <c r="G17" i="23"/>
  <c r="G17" i="22"/>
  <c r="X17" i="21"/>
  <c r="H48" i="26"/>
  <c r="S48" i="26"/>
  <c r="W37" i="22"/>
  <c r="T37" i="22"/>
  <c r="H10" i="24"/>
  <c r="S10" i="24"/>
  <c r="T22" i="23"/>
  <c r="W22" i="23"/>
  <c r="X22" i="23" s="1"/>
  <c r="W18" i="21"/>
  <c r="T18" i="21"/>
  <c r="W41" i="22"/>
  <c r="T41" i="22"/>
  <c r="G63" i="24"/>
  <c r="X63" i="22"/>
  <c r="X27" i="22"/>
  <c r="G27" i="24"/>
  <c r="S8" i="24"/>
  <c r="H8" i="24"/>
  <c r="T21" i="22"/>
  <c r="W21" i="22"/>
  <c r="S40" i="26"/>
  <c r="H40" i="26"/>
  <c r="X29" i="21"/>
  <c r="G29" i="23"/>
  <c r="G29" i="22"/>
  <c r="S31" i="23"/>
  <c r="H31" i="23"/>
  <c r="W61" i="22"/>
  <c r="T61" i="22"/>
  <c r="W21" i="23"/>
  <c r="X21" i="23" s="1"/>
  <c r="T21" i="23"/>
  <c r="S45" i="22"/>
  <c r="H45" i="22"/>
  <c r="W22" i="22"/>
  <c r="T22" i="22"/>
  <c r="T12" i="21"/>
  <c r="W12" i="21"/>
  <c r="W14" i="21"/>
  <c r="T14" i="21"/>
  <c r="W26" i="22"/>
  <c r="T26" i="22"/>
  <c r="W57" i="22"/>
  <c r="T57" i="22"/>
  <c r="S51" i="22"/>
  <c r="H51" i="22"/>
  <c r="S32" i="26"/>
  <c r="H32" i="26"/>
  <c r="W33" i="22"/>
  <c r="T33" i="22"/>
  <c r="W54" i="23"/>
  <c r="X54" i="23" s="1"/>
  <c r="T54" i="23"/>
  <c r="S25" i="23"/>
  <c r="H25" i="23"/>
  <c r="X24" i="24"/>
  <c r="G24" i="26"/>
  <c r="G24" i="25"/>
  <c r="X38" i="21"/>
  <c r="G38" i="23"/>
  <c r="G38" i="22"/>
  <c r="W26" i="23"/>
  <c r="X26" i="23" s="1"/>
  <c r="T26" i="23"/>
  <c r="W20" i="22"/>
  <c r="T20" i="22"/>
  <c r="S9" i="24"/>
  <c r="H9" i="24"/>
  <c r="W41" i="23"/>
  <c r="X41" i="23" s="1"/>
  <c r="T41" i="23"/>
  <c r="H11" i="24"/>
  <c r="S11" i="24"/>
  <c r="T54" i="22"/>
  <c r="W54" i="22"/>
  <c r="X46" i="24"/>
  <c r="G46" i="25"/>
  <c r="T35" i="24"/>
  <c r="W35" i="24"/>
  <c r="W53" i="24"/>
  <c r="T53" i="24"/>
  <c r="W43" i="23"/>
  <c r="X43" i="23" s="1"/>
  <c r="T43" i="23"/>
  <c r="S45" i="23"/>
  <c r="H45" i="23"/>
  <c r="W60" i="23"/>
  <c r="X60" i="23" s="1"/>
  <c r="T60" i="23"/>
  <c r="S48" i="25"/>
  <c r="H48" i="25"/>
  <c r="H51" i="23"/>
  <c r="S51" i="23"/>
  <c r="S6" i="24"/>
  <c r="H6" i="24"/>
  <c r="S39" i="24"/>
  <c r="H39" i="24"/>
  <c r="W16" i="21"/>
  <c r="X16" i="21" s="1"/>
  <c r="T16" i="21"/>
  <c r="W20" i="23"/>
  <c r="X20" i="23" s="1"/>
  <c r="T20" i="23"/>
  <c r="W60" i="22"/>
  <c r="T60" i="22"/>
  <c r="G55" i="24"/>
  <c r="X55" i="22"/>
  <c r="X35" i="24" l="1"/>
  <c r="G35" i="26"/>
  <c r="G35" i="25"/>
  <c r="G41" i="24"/>
  <c r="X41" i="22"/>
  <c r="S17" i="22"/>
  <c r="H17" i="22"/>
  <c r="X19" i="22"/>
  <c r="G19" i="24"/>
  <c r="T25" i="22"/>
  <c r="W25" i="22"/>
  <c r="X25" i="22" s="1"/>
  <c r="S58" i="25"/>
  <c r="H58" i="25"/>
  <c r="X43" i="22"/>
  <c r="G43" i="24"/>
  <c r="S55" i="24"/>
  <c r="H55" i="24"/>
  <c r="G20" i="24"/>
  <c r="X20" i="22"/>
  <c r="S38" i="23"/>
  <c r="H38" i="23"/>
  <c r="W32" i="26"/>
  <c r="T32" i="26"/>
  <c r="G57" i="24"/>
  <c r="X57" i="22"/>
  <c r="X14" i="21"/>
  <c r="G14" i="23"/>
  <c r="G14" i="22"/>
  <c r="X22" i="22"/>
  <c r="G22" i="24"/>
  <c r="W31" i="23"/>
  <c r="X31" i="23" s="1"/>
  <c r="T31" i="23"/>
  <c r="W10" i="24"/>
  <c r="T10" i="24"/>
  <c r="W48" i="26"/>
  <c r="T48" i="26"/>
  <c r="S17" i="23"/>
  <c r="H17" i="23"/>
  <c r="S34" i="26"/>
  <c r="H34" i="26"/>
  <c r="W47" i="24"/>
  <c r="T47" i="24"/>
  <c r="S62" i="24"/>
  <c r="H62" i="24"/>
  <c r="T31" i="22"/>
  <c r="W31" i="22"/>
  <c r="S58" i="26"/>
  <c r="H58" i="26"/>
  <c r="W40" i="25"/>
  <c r="X40" i="25" s="1"/>
  <c r="T40" i="25"/>
  <c r="S59" i="25"/>
  <c r="H59" i="25"/>
  <c r="H28" i="25"/>
  <c r="S28" i="25"/>
  <c r="W51" i="23"/>
  <c r="X51" i="23" s="1"/>
  <c r="T51" i="23"/>
  <c r="X54" i="22"/>
  <c r="G54" i="24"/>
  <c r="S38" i="22"/>
  <c r="H38" i="22"/>
  <c r="G52" i="22"/>
  <c r="X52" i="21"/>
  <c r="T39" i="24"/>
  <c r="W39" i="24"/>
  <c r="S46" i="25"/>
  <c r="H46" i="25"/>
  <c r="W11" i="24"/>
  <c r="T11" i="24"/>
  <c r="X12" i="21"/>
  <c r="G12" i="23"/>
  <c r="G12" i="22"/>
  <c r="S29" i="22"/>
  <c r="H29" i="22"/>
  <c r="W40" i="26"/>
  <c r="T40" i="26"/>
  <c r="T8" i="24"/>
  <c r="W8" i="24"/>
  <c r="S63" i="24"/>
  <c r="H63" i="24"/>
  <c r="X18" i="21"/>
  <c r="G18" i="23"/>
  <c r="G18" i="22"/>
  <c r="G42" i="23"/>
  <c r="G42" i="22"/>
  <c r="X42" i="21"/>
  <c r="S44" i="25"/>
  <c r="H44" i="25"/>
  <c r="S13" i="24"/>
  <c r="H13" i="24"/>
  <c r="H28" i="26"/>
  <c r="S28" i="26"/>
  <c r="S24" i="26"/>
  <c r="H24" i="26"/>
  <c r="G37" i="24"/>
  <c r="X37" i="22"/>
  <c r="S34" i="25"/>
  <c r="H34" i="25"/>
  <c r="W32" i="25"/>
  <c r="X32" i="25" s="1"/>
  <c r="T32" i="25"/>
  <c r="G60" i="24"/>
  <c r="X60" i="22"/>
  <c r="W6" i="24"/>
  <c r="T6" i="24"/>
  <c r="W48" i="25"/>
  <c r="X48" i="25" s="1"/>
  <c r="T48" i="25"/>
  <c r="T45" i="23"/>
  <c r="W45" i="23"/>
  <c r="X45" i="23" s="1"/>
  <c r="X53" i="24"/>
  <c r="G53" i="25"/>
  <c r="W9" i="24"/>
  <c r="T9" i="24"/>
  <c r="S24" i="25"/>
  <c r="H24" i="25"/>
  <c r="W25" i="23"/>
  <c r="X25" i="23" s="1"/>
  <c r="T25" i="23"/>
  <c r="G33" i="24"/>
  <c r="X33" i="22"/>
  <c r="W51" i="22"/>
  <c r="T51" i="22"/>
  <c r="X26" i="22"/>
  <c r="G26" i="24"/>
  <c r="W45" i="22"/>
  <c r="T45" i="22"/>
  <c r="G61" i="24"/>
  <c r="X61" i="22"/>
  <c r="S29" i="23"/>
  <c r="H29" i="23"/>
  <c r="X21" i="22"/>
  <c r="G21" i="24"/>
  <c r="H27" i="24"/>
  <c r="S27" i="24"/>
  <c r="X5" i="24"/>
  <c r="G5" i="25"/>
  <c r="S44" i="26"/>
  <c r="H44" i="26"/>
  <c r="X36" i="22"/>
  <c r="G36" i="24"/>
  <c r="W58" i="26" l="1"/>
  <c r="T58" i="26"/>
  <c r="W62" i="24"/>
  <c r="T62" i="24"/>
  <c r="W34" i="26"/>
  <c r="T34" i="26"/>
  <c r="X48" i="26"/>
  <c r="G48" i="27"/>
  <c r="S14" i="23"/>
  <c r="H14" i="23"/>
  <c r="S43" i="24"/>
  <c r="H43" i="24"/>
  <c r="S35" i="25"/>
  <c r="H35" i="25"/>
  <c r="T24" i="25"/>
  <c r="W24" i="25"/>
  <c r="X24" i="25" s="1"/>
  <c r="S60" i="24"/>
  <c r="H60" i="24"/>
  <c r="T24" i="26"/>
  <c r="W24" i="26"/>
  <c r="S42" i="22"/>
  <c r="H42" i="22"/>
  <c r="W29" i="22"/>
  <c r="T29" i="22"/>
  <c r="X39" i="24"/>
  <c r="G39" i="26"/>
  <c r="G39" i="25"/>
  <c r="S14" i="22"/>
  <c r="H14" i="22"/>
  <c r="S57" i="24"/>
  <c r="H57" i="24"/>
  <c r="T55" i="24"/>
  <c r="W55" i="24"/>
  <c r="S41" i="24"/>
  <c r="H41" i="24"/>
  <c r="S12" i="22"/>
  <c r="H12" i="22"/>
  <c r="W38" i="22"/>
  <c r="T38" i="22"/>
  <c r="T59" i="25"/>
  <c r="W59" i="25"/>
  <c r="X59" i="25" s="1"/>
  <c r="W29" i="23"/>
  <c r="X29" i="23" s="1"/>
  <c r="T29" i="23"/>
  <c r="G45" i="24"/>
  <c r="X45" i="22"/>
  <c r="X51" i="22"/>
  <c r="G51" i="24"/>
  <c r="X9" i="24"/>
  <c r="G9" i="25"/>
  <c r="X6" i="24"/>
  <c r="G6" i="25"/>
  <c r="S37" i="24"/>
  <c r="H37" i="24"/>
  <c r="W44" i="25"/>
  <c r="X44" i="25" s="1"/>
  <c r="T44" i="25"/>
  <c r="S18" i="22"/>
  <c r="H18" i="22"/>
  <c r="T63" i="24"/>
  <c r="W63" i="24"/>
  <c r="X40" i="26"/>
  <c r="G40" i="27"/>
  <c r="S12" i="23"/>
  <c r="H12" i="23"/>
  <c r="S54" i="24"/>
  <c r="H54" i="24"/>
  <c r="W28" i="25"/>
  <c r="X28" i="25" s="1"/>
  <c r="T28" i="25"/>
  <c r="X31" i="22"/>
  <c r="G31" i="24"/>
  <c r="S22" i="24"/>
  <c r="H22" i="24"/>
  <c r="G32" i="27"/>
  <c r="X32" i="26"/>
  <c r="S20" i="24"/>
  <c r="H20" i="24"/>
  <c r="W17" i="22"/>
  <c r="T17" i="22"/>
  <c r="S35" i="26"/>
  <c r="H35" i="26"/>
  <c r="S61" i="24"/>
  <c r="H61" i="24"/>
  <c r="S33" i="24"/>
  <c r="H33" i="24"/>
  <c r="W34" i="25"/>
  <c r="X34" i="25" s="1"/>
  <c r="T34" i="25"/>
  <c r="W13" i="24"/>
  <c r="T13" i="24"/>
  <c r="W38" i="23"/>
  <c r="X38" i="23" s="1"/>
  <c r="T38" i="23"/>
  <c r="W58" i="25"/>
  <c r="X58" i="25" s="1"/>
  <c r="T58" i="25"/>
  <c r="W27" i="24"/>
  <c r="T27" i="24"/>
  <c r="W28" i="26"/>
  <c r="T28" i="26"/>
  <c r="S42" i="23"/>
  <c r="H42" i="23"/>
  <c r="G11" i="25"/>
  <c r="X11" i="24"/>
  <c r="W44" i="26"/>
  <c r="T44" i="26"/>
  <c r="S36" i="24"/>
  <c r="H36" i="24"/>
  <c r="S5" i="25"/>
  <c r="H5" i="25"/>
  <c r="H21" i="24"/>
  <c r="S21" i="24"/>
  <c r="H26" i="24"/>
  <c r="S26" i="24"/>
  <c r="S53" i="25"/>
  <c r="H53" i="25"/>
  <c r="S18" i="23"/>
  <c r="H18" i="23"/>
  <c r="X8" i="24"/>
  <c r="G8" i="26"/>
  <c r="G8" i="25"/>
  <c r="W46" i="25"/>
  <c r="X46" i="25" s="1"/>
  <c r="T46" i="25"/>
  <c r="S52" i="22"/>
  <c r="H52" i="22"/>
  <c r="X47" i="24"/>
  <c r="G47" i="26"/>
  <c r="G47" i="25"/>
  <c r="W17" i="23"/>
  <c r="X17" i="23" s="1"/>
  <c r="T17" i="23"/>
  <c r="X10" i="24"/>
  <c r="G10" i="25"/>
  <c r="S19" i="24"/>
  <c r="H19" i="24"/>
  <c r="W5" i="25" l="1"/>
  <c r="X5" i="25" s="1"/>
  <c r="T5" i="25"/>
  <c r="G27" i="26"/>
  <c r="G27" i="25"/>
  <c r="X27" i="24"/>
  <c r="W61" i="24"/>
  <c r="T61" i="24"/>
  <c r="W54" i="24"/>
  <c r="T54" i="24"/>
  <c r="W14" i="22"/>
  <c r="T14" i="22"/>
  <c r="X24" i="26"/>
  <c r="G24" i="27"/>
  <c r="S48" i="27"/>
  <c r="H48" i="27"/>
  <c r="S10" i="25"/>
  <c r="H10" i="25"/>
  <c r="S47" i="25"/>
  <c r="H47" i="25"/>
  <c r="T52" i="22"/>
  <c r="W52" i="22"/>
  <c r="S8" i="26"/>
  <c r="H8" i="26"/>
  <c r="W21" i="24"/>
  <c r="T21" i="24"/>
  <c r="X63" i="24"/>
  <c r="G63" i="26"/>
  <c r="G63" i="25"/>
  <c r="S6" i="25"/>
  <c r="H6" i="25"/>
  <c r="S51" i="24"/>
  <c r="H51" i="24"/>
  <c r="S39" i="25"/>
  <c r="H39" i="25"/>
  <c r="G29" i="24"/>
  <c r="X29" i="22"/>
  <c r="W43" i="24"/>
  <c r="T43" i="24"/>
  <c r="G62" i="26"/>
  <c r="G62" i="25"/>
  <c r="X62" i="24"/>
  <c r="W19" i="24"/>
  <c r="T19" i="24"/>
  <c r="T18" i="23"/>
  <c r="W18" i="23"/>
  <c r="X18" i="23" s="1"/>
  <c r="W42" i="23"/>
  <c r="X42" i="23" s="1"/>
  <c r="T42" i="23"/>
  <c r="S32" i="27"/>
  <c r="H32" i="27"/>
  <c r="W18" i="22"/>
  <c r="T18" i="22"/>
  <c r="W12" i="22"/>
  <c r="T12" i="22"/>
  <c r="S47" i="26"/>
  <c r="H47" i="26"/>
  <c r="T53" i="25"/>
  <c r="W53" i="25"/>
  <c r="X53" i="25" s="1"/>
  <c r="W36" i="24"/>
  <c r="T36" i="24"/>
  <c r="S11" i="25"/>
  <c r="H11" i="25"/>
  <c r="X28" i="26"/>
  <c r="G28" i="27"/>
  <c r="X13" i="24"/>
  <c r="G13" i="25"/>
  <c r="T33" i="24"/>
  <c r="W33" i="24"/>
  <c r="W35" i="26"/>
  <c r="T35" i="26"/>
  <c r="T20" i="24"/>
  <c r="W20" i="24"/>
  <c r="W22" i="24"/>
  <c r="T22" i="24"/>
  <c r="T12" i="23"/>
  <c r="W12" i="23"/>
  <c r="X12" i="23" s="1"/>
  <c r="G38" i="24"/>
  <c r="X38" i="22"/>
  <c r="W41" i="24"/>
  <c r="T41" i="24"/>
  <c r="W57" i="24"/>
  <c r="T57" i="24"/>
  <c r="S39" i="26"/>
  <c r="H39" i="26"/>
  <c r="S8" i="25"/>
  <c r="H8" i="25"/>
  <c r="G44" i="27"/>
  <c r="X44" i="26"/>
  <c r="X17" i="22"/>
  <c r="G17" i="24"/>
  <c r="W37" i="24"/>
  <c r="T37" i="24"/>
  <c r="S45" i="24"/>
  <c r="H45" i="24"/>
  <c r="T26" i="24"/>
  <c r="W26" i="24"/>
  <c r="H31" i="24"/>
  <c r="S31" i="24"/>
  <c r="S40" i="27"/>
  <c r="H40" i="27"/>
  <c r="S9" i="25"/>
  <c r="H9" i="25"/>
  <c r="X55" i="24"/>
  <c r="G55" i="26"/>
  <c r="G55" i="25"/>
  <c r="W42" i="22"/>
  <c r="T42" i="22"/>
  <c r="W60" i="24"/>
  <c r="T60" i="24"/>
  <c r="T35" i="25"/>
  <c r="W35" i="25"/>
  <c r="X35" i="25" s="1"/>
  <c r="W14" i="23"/>
  <c r="X14" i="23" s="1"/>
  <c r="T14" i="23"/>
  <c r="G34" i="27"/>
  <c r="X34" i="26"/>
  <c r="G58" i="27"/>
  <c r="X58" i="26"/>
  <c r="S55" i="25" l="1"/>
  <c r="H55" i="25"/>
  <c r="W8" i="25"/>
  <c r="X8" i="25" s="1"/>
  <c r="T8" i="25"/>
  <c r="S62" i="25"/>
  <c r="H62" i="25"/>
  <c r="S27" i="26"/>
  <c r="H27" i="26"/>
  <c r="G57" i="25"/>
  <c r="X57" i="24"/>
  <c r="X22" i="24"/>
  <c r="G22" i="26"/>
  <c r="G22" i="25"/>
  <c r="G35" i="27"/>
  <c r="X35" i="26"/>
  <c r="G12" i="24"/>
  <c r="X12" i="22"/>
  <c r="G21" i="25"/>
  <c r="X21" i="24"/>
  <c r="G54" i="25"/>
  <c r="X54" i="24"/>
  <c r="S58" i="27"/>
  <c r="H58" i="27"/>
  <c r="G60" i="25"/>
  <c r="X60" i="24"/>
  <c r="X20" i="24"/>
  <c r="G20" i="26"/>
  <c r="G20" i="25"/>
  <c r="S28" i="27"/>
  <c r="H28" i="27"/>
  <c r="S62" i="26"/>
  <c r="H62" i="26"/>
  <c r="S29" i="24"/>
  <c r="H29" i="24"/>
  <c r="S63" i="26"/>
  <c r="H63" i="26"/>
  <c r="W40" i="27"/>
  <c r="T40" i="27"/>
  <c r="G37" i="26"/>
  <c r="G37" i="25"/>
  <c r="X37" i="24"/>
  <c r="S44" i="27"/>
  <c r="H44" i="27"/>
  <c r="W39" i="26"/>
  <c r="T39" i="26"/>
  <c r="G41" i="26"/>
  <c r="G41" i="25"/>
  <c r="X41" i="24"/>
  <c r="X36" i="24"/>
  <c r="G36" i="26"/>
  <c r="G36" i="25"/>
  <c r="W47" i="26"/>
  <c r="T47" i="26"/>
  <c r="G18" i="24"/>
  <c r="X18" i="22"/>
  <c r="G19" i="26"/>
  <c r="G19" i="25"/>
  <c r="X19" i="24"/>
  <c r="T8" i="26"/>
  <c r="W8" i="26"/>
  <c r="W47" i="25"/>
  <c r="X47" i="25" s="1"/>
  <c r="T47" i="25"/>
  <c r="W48" i="27"/>
  <c r="X48" i="27" s="1"/>
  <c r="T48" i="27"/>
  <c r="G14" i="24"/>
  <c r="X14" i="22"/>
  <c r="G61" i="26"/>
  <c r="G61" i="25"/>
  <c r="X61" i="24"/>
  <c r="W9" i="25"/>
  <c r="X9" i="25" s="1"/>
  <c r="T9" i="25"/>
  <c r="W45" i="24"/>
  <c r="T45" i="24"/>
  <c r="S38" i="24"/>
  <c r="H38" i="24"/>
  <c r="W11" i="25"/>
  <c r="X11" i="25" s="1"/>
  <c r="T11" i="25"/>
  <c r="W32" i="27"/>
  <c r="T32" i="27"/>
  <c r="S63" i="25"/>
  <c r="H63" i="25"/>
  <c r="W10" i="25"/>
  <c r="X10" i="25" s="1"/>
  <c r="T10" i="25"/>
  <c r="S27" i="25"/>
  <c r="H27" i="25"/>
  <c r="S55" i="26"/>
  <c r="H55" i="26"/>
  <c r="X26" i="24"/>
  <c r="G26" i="26"/>
  <c r="G26" i="25"/>
  <c r="X33" i="24"/>
  <c r="G33" i="26"/>
  <c r="G33" i="25"/>
  <c r="W51" i="24"/>
  <c r="T51" i="24"/>
  <c r="S34" i="27"/>
  <c r="H34" i="27"/>
  <c r="G42" i="24"/>
  <c r="X42" i="22"/>
  <c r="W31" i="24"/>
  <c r="T31" i="24"/>
  <c r="S17" i="24"/>
  <c r="H17" i="24"/>
  <c r="S13" i="25"/>
  <c r="H13" i="25"/>
  <c r="G43" i="25"/>
  <c r="X43" i="24"/>
  <c r="T39" i="25"/>
  <c r="W39" i="25"/>
  <c r="X39" i="25" s="1"/>
  <c r="W6" i="25"/>
  <c r="X6" i="25" s="1"/>
  <c r="T6" i="25"/>
  <c r="X52" i="22"/>
  <c r="G52" i="24"/>
  <c r="H24" i="27"/>
  <c r="S24" i="27"/>
  <c r="W13" i="25" l="1"/>
  <c r="X13" i="25" s="1"/>
  <c r="T13" i="25"/>
  <c r="S33" i="26"/>
  <c r="H33" i="26"/>
  <c r="T63" i="25"/>
  <c r="W63" i="25"/>
  <c r="X63" i="25" s="1"/>
  <c r="S19" i="26"/>
  <c r="H19" i="26"/>
  <c r="G39" i="27"/>
  <c r="X39" i="26"/>
  <c r="H54" i="25"/>
  <c r="S54" i="25"/>
  <c r="S12" i="24"/>
  <c r="H12" i="24"/>
  <c r="S22" i="26"/>
  <c r="H22" i="26"/>
  <c r="W24" i="27"/>
  <c r="T24" i="27"/>
  <c r="S61" i="26"/>
  <c r="H61" i="26"/>
  <c r="H36" i="25"/>
  <c r="S36" i="25"/>
  <c r="S41" i="25"/>
  <c r="H41" i="25"/>
  <c r="S37" i="26"/>
  <c r="H37" i="26"/>
  <c r="W63" i="26"/>
  <c r="T63" i="26"/>
  <c r="W62" i="26"/>
  <c r="T62" i="26"/>
  <c r="S20" i="26"/>
  <c r="H20" i="26"/>
  <c r="W27" i="26"/>
  <c r="T27" i="26"/>
  <c r="X31" i="24"/>
  <c r="G31" i="26"/>
  <c r="G31" i="25"/>
  <c r="T27" i="25"/>
  <c r="W27" i="25"/>
  <c r="X27" i="25" s="1"/>
  <c r="G45" i="26"/>
  <c r="G45" i="25"/>
  <c r="X45" i="24"/>
  <c r="X8" i="26"/>
  <c r="G8" i="27"/>
  <c r="S37" i="25"/>
  <c r="H37" i="25"/>
  <c r="S20" i="25"/>
  <c r="H20" i="25"/>
  <c r="S43" i="25"/>
  <c r="H43" i="25"/>
  <c r="W17" i="24"/>
  <c r="T17" i="24"/>
  <c r="S42" i="24"/>
  <c r="H42" i="24"/>
  <c r="X51" i="24"/>
  <c r="G51" i="25"/>
  <c r="S26" i="25"/>
  <c r="H26" i="25"/>
  <c r="T55" i="26"/>
  <c r="W55" i="26"/>
  <c r="G32" i="28"/>
  <c r="X32" i="27"/>
  <c r="W38" i="24"/>
  <c r="T38" i="24"/>
  <c r="S18" i="24"/>
  <c r="H18" i="24"/>
  <c r="S36" i="26"/>
  <c r="H36" i="26"/>
  <c r="S41" i="26"/>
  <c r="H41" i="26"/>
  <c r="W44" i="27"/>
  <c r="T44" i="27"/>
  <c r="W58" i="27"/>
  <c r="T58" i="27"/>
  <c r="S21" i="25"/>
  <c r="H21" i="25"/>
  <c r="H35" i="27"/>
  <c r="S35" i="27"/>
  <c r="W34" i="27"/>
  <c r="T34" i="27"/>
  <c r="S61" i="25"/>
  <c r="H61" i="25"/>
  <c r="G47" i="27"/>
  <c r="X47" i="26"/>
  <c r="S60" i="25"/>
  <c r="H60" i="25"/>
  <c r="S52" i="24"/>
  <c r="H52" i="24"/>
  <c r="S33" i="25"/>
  <c r="H33" i="25"/>
  <c r="S26" i="26"/>
  <c r="H26" i="26"/>
  <c r="S14" i="24"/>
  <c r="H14" i="24"/>
  <c r="S19" i="25"/>
  <c r="H19" i="25"/>
  <c r="G40" i="28"/>
  <c r="X40" i="27"/>
  <c r="W29" i="24"/>
  <c r="T29" i="24"/>
  <c r="W28" i="27"/>
  <c r="T28" i="27"/>
  <c r="S22" i="25"/>
  <c r="H22" i="25"/>
  <c r="S57" i="25"/>
  <c r="H57" i="25"/>
  <c r="W62" i="25"/>
  <c r="X62" i="25" s="1"/>
  <c r="T62" i="25"/>
  <c r="T55" i="25"/>
  <c r="W55" i="25"/>
  <c r="X55" i="25" s="1"/>
  <c r="X55" i="26" l="1"/>
  <c r="G55" i="27"/>
  <c r="S45" i="26"/>
  <c r="H45" i="26"/>
  <c r="W54" i="25"/>
  <c r="X54" i="25" s="1"/>
  <c r="T54" i="25"/>
  <c r="X29" i="24"/>
  <c r="G29" i="26"/>
  <c r="G29" i="25"/>
  <c r="W52" i="24"/>
  <c r="T52" i="24"/>
  <c r="S47" i="27"/>
  <c r="H47" i="27"/>
  <c r="G34" i="28"/>
  <c r="X34" i="27"/>
  <c r="W21" i="25"/>
  <c r="X21" i="25" s="1"/>
  <c r="T21" i="25"/>
  <c r="G44" i="28"/>
  <c r="X44" i="27"/>
  <c r="T36" i="26"/>
  <c r="W36" i="26"/>
  <c r="G38" i="26"/>
  <c r="G38" i="25"/>
  <c r="X38" i="24"/>
  <c r="G17" i="25"/>
  <c r="X17" i="24"/>
  <c r="W20" i="25"/>
  <c r="X20" i="25" s="1"/>
  <c r="T20" i="25"/>
  <c r="T20" i="26"/>
  <c r="W20" i="26"/>
  <c r="G63" i="27"/>
  <c r="X63" i="26"/>
  <c r="W41" i="25"/>
  <c r="X41" i="25" s="1"/>
  <c r="T41" i="25"/>
  <c r="W61" i="26"/>
  <c r="T61" i="26"/>
  <c r="W22" i="26"/>
  <c r="T22" i="26"/>
  <c r="W19" i="26"/>
  <c r="T19" i="26"/>
  <c r="W33" i="26"/>
  <c r="T33" i="26"/>
  <c r="S8" i="27"/>
  <c r="H8" i="27"/>
  <c r="W22" i="25"/>
  <c r="X22" i="25" s="1"/>
  <c r="T22" i="25"/>
  <c r="W19" i="25"/>
  <c r="X19" i="25" s="1"/>
  <c r="T19" i="25"/>
  <c r="W26" i="26"/>
  <c r="T26" i="26"/>
  <c r="W35" i="27"/>
  <c r="T35" i="27"/>
  <c r="W36" i="25"/>
  <c r="X36" i="25" s="1"/>
  <c r="T36" i="25"/>
  <c r="S51" i="25"/>
  <c r="H51" i="25"/>
  <c r="S31" i="26"/>
  <c r="H31" i="26"/>
  <c r="W57" i="25"/>
  <c r="X57" i="25" s="1"/>
  <c r="T57" i="25"/>
  <c r="X28" i="27"/>
  <c r="G28" i="28"/>
  <c r="S40" i="28"/>
  <c r="H40" i="28"/>
  <c r="W14" i="24"/>
  <c r="T14" i="24"/>
  <c r="T33" i="25"/>
  <c r="W33" i="25"/>
  <c r="X33" i="25" s="1"/>
  <c r="W60" i="25"/>
  <c r="X60" i="25" s="1"/>
  <c r="T60" i="25"/>
  <c r="W61" i="25"/>
  <c r="X61" i="25" s="1"/>
  <c r="T61" i="25"/>
  <c r="X58" i="27"/>
  <c r="G58" i="28"/>
  <c r="W41" i="26"/>
  <c r="T41" i="26"/>
  <c r="W18" i="24"/>
  <c r="T18" i="24"/>
  <c r="S32" i="28"/>
  <c r="H32" i="28"/>
  <c r="W26" i="25"/>
  <c r="X26" i="25" s="1"/>
  <c r="T26" i="25"/>
  <c r="W42" i="24"/>
  <c r="T42" i="24"/>
  <c r="T43" i="25"/>
  <c r="W43" i="25"/>
  <c r="X43" i="25" s="1"/>
  <c r="W37" i="25"/>
  <c r="X37" i="25" s="1"/>
  <c r="T37" i="25"/>
  <c r="H45" i="25"/>
  <c r="S45" i="25"/>
  <c r="S31" i="25"/>
  <c r="H31" i="25"/>
  <c r="G27" i="27"/>
  <c r="X27" i="26"/>
  <c r="X62" i="26"/>
  <c r="G62" i="27"/>
  <c r="W37" i="26"/>
  <c r="T37" i="26"/>
  <c r="X24" i="27"/>
  <c r="G24" i="28"/>
  <c r="T12" i="24"/>
  <c r="W12" i="24"/>
  <c r="S39" i="27"/>
  <c r="H39" i="27"/>
  <c r="S24" i="28" l="1"/>
  <c r="H24" i="28"/>
  <c r="S29" i="26"/>
  <c r="H29" i="26"/>
  <c r="W39" i="27"/>
  <c r="T39" i="27"/>
  <c r="T31" i="25"/>
  <c r="W31" i="25"/>
  <c r="X31" i="25" s="1"/>
  <c r="T32" i="28"/>
  <c r="W32" i="28"/>
  <c r="W51" i="25"/>
  <c r="X51" i="25" s="1"/>
  <c r="T51" i="25"/>
  <c r="W8" i="27"/>
  <c r="X8" i="27" s="1"/>
  <c r="T8" i="27"/>
  <c r="G61" i="27"/>
  <c r="X61" i="26"/>
  <c r="H63" i="27"/>
  <c r="S63" i="27"/>
  <c r="S38" i="25"/>
  <c r="H38" i="25"/>
  <c r="T45" i="26"/>
  <c r="W45" i="26"/>
  <c r="X12" i="24"/>
  <c r="G12" i="25"/>
  <c r="W45" i="25"/>
  <c r="X45" i="25" s="1"/>
  <c r="T45" i="25"/>
  <c r="S58" i="28"/>
  <c r="H58" i="28"/>
  <c r="S28" i="28"/>
  <c r="H28" i="28"/>
  <c r="X20" i="26"/>
  <c r="G20" i="27"/>
  <c r="S38" i="26"/>
  <c r="H38" i="26"/>
  <c r="S44" i="28"/>
  <c r="H44" i="28"/>
  <c r="S34" i="28"/>
  <c r="H34" i="28"/>
  <c r="G52" i="26"/>
  <c r="G52" i="25"/>
  <c r="X52" i="24"/>
  <c r="H55" i="27"/>
  <c r="S55" i="27"/>
  <c r="S62" i="27"/>
  <c r="H62" i="27"/>
  <c r="W47" i="27"/>
  <c r="T47" i="27"/>
  <c r="G42" i="25"/>
  <c r="X42" i="24"/>
  <c r="G41" i="27"/>
  <c r="X41" i="26"/>
  <c r="W40" i="28"/>
  <c r="T40" i="28"/>
  <c r="X35" i="27"/>
  <c r="G35" i="28"/>
  <c r="G19" i="27"/>
  <c r="X19" i="26"/>
  <c r="X37" i="26"/>
  <c r="G37" i="27"/>
  <c r="S27" i="27"/>
  <c r="H27" i="27"/>
  <c r="G18" i="26"/>
  <c r="G18" i="25"/>
  <c r="X18" i="24"/>
  <c r="X14" i="24"/>
  <c r="G14" i="25"/>
  <c r="W31" i="26"/>
  <c r="T31" i="26"/>
  <c r="G26" i="27"/>
  <c r="X26" i="26"/>
  <c r="X33" i="26"/>
  <c r="G33" i="27"/>
  <c r="X22" i="26"/>
  <c r="G22" i="27"/>
  <c r="S17" i="25"/>
  <c r="H17" i="25"/>
  <c r="X36" i="26"/>
  <c r="G36" i="27"/>
  <c r="S29" i="25"/>
  <c r="H29" i="25"/>
  <c r="S19" i="27" l="1"/>
  <c r="H19" i="27"/>
  <c r="W62" i="27"/>
  <c r="T62" i="27"/>
  <c r="S52" i="25"/>
  <c r="H52" i="25"/>
  <c r="S20" i="27"/>
  <c r="H20" i="27"/>
  <c r="S12" i="25"/>
  <c r="H12" i="25"/>
  <c r="W17" i="25"/>
  <c r="X17" i="25" s="1"/>
  <c r="T17" i="25"/>
  <c r="G31" i="27"/>
  <c r="X31" i="26"/>
  <c r="S37" i="27"/>
  <c r="H37" i="27"/>
  <c r="W44" i="28"/>
  <c r="T44" i="28"/>
  <c r="W58" i="28"/>
  <c r="T58" i="28"/>
  <c r="S61" i="27"/>
  <c r="H61" i="27"/>
  <c r="W29" i="26"/>
  <c r="T29" i="26"/>
  <c r="S36" i="27"/>
  <c r="H36" i="27"/>
  <c r="S22" i="27"/>
  <c r="H22" i="27"/>
  <c r="S14" i="25"/>
  <c r="H14" i="25"/>
  <c r="S18" i="26"/>
  <c r="H18" i="26"/>
  <c r="S41" i="27"/>
  <c r="H41" i="27"/>
  <c r="G47" i="28"/>
  <c r="X47" i="27"/>
  <c r="X45" i="26"/>
  <c r="G45" i="27"/>
  <c r="W63" i="27"/>
  <c r="T63" i="27"/>
  <c r="X32" i="28"/>
  <c r="G32" i="29"/>
  <c r="H33" i="27"/>
  <c r="S33" i="27"/>
  <c r="W27" i="27"/>
  <c r="T27" i="27"/>
  <c r="G40" i="29"/>
  <c r="X40" i="28"/>
  <c r="S42" i="25"/>
  <c r="H42" i="25"/>
  <c r="T29" i="25"/>
  <c r="W29" i="25"/>
  <c r="X29" i="25" s="1"/>
  <c r="S18" i="25"/>
  <c r="H18" i="25"/>
  <c r="S35" i="28"/>
  <c r="H35" i="28"/>
  <c r="W55" i="27"/>
  <c r="T55" i="27"/>
  <c r="S52" i="26"/>
  <c r="H52" i="26"/>
  <c r="W38" i="25"/>
  <c r="X38" i="25" s="1"/>
  <c r="T38" i="25"/>
  <c r="H26" i="27"/>
  <c r="S26" i="27"/>
  <c r="W34" i="28"/>
  <c r="T34" i="28"/>
  <c r="W38" i="26"/>
  <c r="T38" i="26"/>
  <c r="T28" i="28"/>
  <c r="W28" i="28"/>
  <c r="G39" i="28"/>
  <c r="X39" i="27"/>
  <c r="W24" i="28"/>
  <c r="T24" i="28"/>
  <c r="W26" i="27" l="1"/>
  <c r="T26" i="27"/>
  <c r="G38" i="27"/>
  <c r="X38" i="26"/>
  <c r="W52" i="26"/>
  <c r="T52" i="26"/>
  <c r="S47" i="28"/>
  <c r="H47" i="28"/>
  <c r="W22" i="27"/>
  <c r="T22" i="27"/>
  <c r="G29" i="27"/>
  <c r="X29" i="26"/>
  <c r="G58" i="29"/>
  <c r="X58" i="28"/>
  <c r="W37" i="27"/>
  <c r="T37" i="27"/>
  <c r="W20" i="27"/>
  <c r="T20" i="27"/>
  <c r="G62" i="28"/>
  <c r="X62" i="27"/>
  <c r="X28" i="28"/>
  <c r="G28" i="29"/>
  <c r="S32" i="29"/>
  <c r="H32" i="29"/>
  <c r="S45" i="27"/>
  <c r="H45" i="27"/>
  <c r="W33" i="27"/>
  <c r="T33" i="27"/>
  <c r="S39" i="28"/>
  <c r="H39" i="28"/>
  <c r="W35" i="28"/>
  <c r="T35" i="28"/>
  <c r="S40" i="29"/>
  <c r="H40" i="29"/>
  <c r="X63" i="27"/>
  <c r="G63" i="28"/>
  <c r="W18" i="26"/>
  <c r="T18" i="26"/>
  <c r="G24" i="29"/>
  <c r="X24" i="28"/>
  <c r="G34" i="29"/>
  <c r="X34" i="28"/>
  <c r="G55" i="28"/>
  <c r="X55" i="27"/>
  <c r="T18" i="25"/>
  <c r="W18" i="25"/>
  <c r="X18" i="25" s="1"/>
  <c r="W42" i="25"/>
  <c r="X42" i="25" s="1"/>
  <c r="T42" i="25"/>
  <c r="G27" i="28"/>
  <c r="X27" i="27"/>
  <c r="W41" i="27"/>
  <c r="T41" i="27"/>
  <c r="W14" i="25"/>
  <c r="X14" i="25" s="1"/>
  <c r="T14" i="25"/>
  <c r="W36" i="27"/>
  <c r="T36" i="27"/>
  <c r="W61" i="27"/>
  <c r="T61" i="27"/>
  <c r="G44" i="29"/>
  <c r="X44" i="28"/>
  <c r="H31" i="27"/>
  <c r="S31" i="27"/>
  <c r="W12" i="25"/>
  <c r="X12" i="25" s="1"/>
  <c r="T12" i="25"/>
  <c r="W52" i="25"/>
  <c r="X52" i="25" s="1"/>
  <c r="T52" i="25"/>
  <c r="W19" i="27"/>
  <c r="T19" i="27"/>
  <c r="G19" i="28" l="1"/>
  <c r="X19" i="27"/>
  <c r="S44" i="29"/>
  <c r="H44" i="29"/>
  <c r="S24" i="29"/>
  <c r="H24" i="29"/>
  <c r="W32" i="29"/>
  <c r="X32" i="29" s="1"/>
  <c r="T32" i="29"/>
  <c r="X37" i="27"/>
  <c r="G37" i="28"/>
  <c r="S29" i="27"/>
  <c r="H29" i="27"/>
  <c r="H38" i="27"/>
  <c r="S38" i="27"/>
  <c r="W31" i="27"/>
  <c r="T31" i="27"/>
  <c r="H28" i="29"/>
  <c r="S28" i="29"/>
  <c r="H63" i="28"/>
  <c r="S63" i="28"/>
  <c r="G36" i="28"/>
  <c r="X36" i="27"/>
  <c r="G41" i="28"/>
  <c r="X41" i="27"/>
  <c r="S55" i="28"/>
  <c r="H55" i="28"/>
  <c r="G35" i="29"/>
  <c r="X35" i="28"/>
  <c r="X33" i="27"/>
  <c r="G33" i="28"/>
  <c r="S62" i="28"/>
  <c r="H62" i="28"/>
  <c r="W47" i="28"/>
  <c r="T47" i="28"/>
  <c r="G61" i="28"/>
  <c r="X61" i="27"/>
  <c r="S27" i="28"/>
  <c r="H27" i="28"/>
  <c r="S34" i="29"/>
  <c r="H34" i="29"/>
  <c r="X18" i="26"/>
  <c r="G18" i="27"/>
  <c r="W40" i="29"/>
  <c r="X40" i="29" s="1"/>
  <c r="T40" i="29"/>
  <c r="W39" i="28"/>
  <c r="T39" i="28"/>
  <c r="T45" i="27"/>
  <c r="W45" i="27"/>
  <c r="X45" i="27" s="1"/>
  <c r="G20" i="28"/>
  <c r="X20" i="27"/>
  <c r="S58" i="29"/>
  <c r="H58" i="29"/>
  <c r="G22" i="28"/>
  <c r="X22" i="27"/>
  <c r="X52" i="26"/>
  <c r="G52" i="27"/>
  <c r="X26" i="27"/>
  <c r="G26" i="28"/>
  <c r="S52" i="27" l="1"/>
  <c r="H52" i="27"/>
  <c r="W58" i="29"/>
  <c r="X58" i="29" s="1"/>
  <c r="T58" i="29"/>
  <c r="T62" i="28"/>
  <c r="W62" i="28"/>
  <c r="S41" i="28"/>
  <c r="H41" i="28"/>
  <c r="W29" i="27"/>
  <c r="T29" i="27"/>
  <c r="W44" i="29"/>
  <c r="T44" i="29"/>
  <c r="H18" i="27"/>
  <c r="S18" i="27"/>
  <c r="S33" i="28"/>
  <c r="H33" i="28"/>
  <c r="W28" i="29"/>
  <c r="X28" i="29" s="1"/>
  <c r="T28" i="29"/>
  <c r="W38" i="27"/>
  <c r="T38" i="27"/>
  <c r="S37" i="28"/>
  <c r="H37" i="28"/>
  <c r="W63" i="28"/>
  <c r="T63" i="28"/>
  <c r="W34" i="29"/>
  <c r="T34" i="29"/>
  <c r="S61" i="28"/>
  <c r="H61" i="28"/>
  <c r="S35" i="29"/>
  <c r="H35" i="29"/>
  <c r="X31" i="27"/>
  <c r="G31" i="28"/>
  <c r="S26" i="28"/>
  <c r="H26" i="28"/>
  <c r="S22" i="28"/>
  <c r="H22" i="28"/>
  <c r="S20" i="28"/>
  <c r="H20" i="28"/>
  <c r="G39" i="29"/>
  <c r="X39" i="28"/>
  <c r="W27" i="28"/>
  <c r="T27" i="28"/>
  <c r="X47" i="28"/>
  <c r="G47" i="29"/>
  <c r="W55" i="28"/>
  <c r="T55" i="28"/>
  <c r="H36" i="28"/>
  <c r="S36" i="28"/>
  <c r="W24" i="29"/>
  <c r="X24" i="29" s="1"/>
  <c r="T24" i="29"/>
  <c r="S19" i="28"/>
  <c r="H19" i="28"/>
  <c r="S47" i="29" l="1"/>
  <c r="H47" i="29"/>
  <c r="W19" i="28"/>
  <c r="T19" i="28"/>
  <c r="S39" i="29"/>
  <c r="H39" i="29"/>
  <c r="W61" i="28"/>
  <c r="T61" i="28"/>
  <c r="W33" i="28"/>
  <c r="T33" i="28"/>
  <c r="W41" i="28"/>
  <c r="T41" i="28"/>
  <c r="W18" i="27"/>
  <c r="X18" i="27" s="1"/>
  <c r="T18" i="27"/>
  <c r="X62" i="28"/>
  <c r="G62" i="29"/>
  <c r="T36" i="28"/>
  <c r="W36" i="28"/>
  <c r="S31" i="28"/>
  <c r="H31" i="28"/>
  <c r="T22" i="28"/>
  <c r="W22" i="28"/>
  <c r="X63" i="28"/>
  <c r="G63" i="29"/>
  <c r="G38" i="28"/>
  <c r="X38" i="27"/>
  <c r="X44" i="29"/>
  <c r="G44" i="30"/>
  <c r="X55" i="28"/>
  <c r="G55" i="29"/>
  <c r="G27" i="29"/>
  <c r="X27" i="28"/>
  <c r="W20" i="28"/>
  <c r="T20" i="28"/>
  <c r="W26" i="28"/>
  <c r="T26" i="28"/>
  <c r="W35" i="29"/>
  <c r="T35" i="29"/>
  <c r="X34" i="29"/>
  <c r="G34" i="30"/>
  <c r="W37" i="28"/>
  <c r="T37" i="28"/>
  <c r="G29" i="28"/>
  <c r="X29" i="27"/>
  <c r="T52" i="27"/>
  <c r="W52" i="27"/>
  <c r="S34" i="30" l="1"/>
  <c r="H34" i="30"/>
  <c r="S44" i="30"/>
  <c r="H44" i="30"/>
  <c r="S29" i="28"/>
  <c r="H29" i="28"/>
  <c r="X26" i="28"/>
  <c r="G26" i="29"/>
  <c r="G41" i="29"/>
  <c r="X41" i="28"/>
  <c r="G19" i="29"/>
  <c r="X19" i="28"/>
  <c r="S55" i="29"/>
  <c r="H55" i="29"/>
  <c r="X22" i="28"/>
  <c r="G22" i="29"/>
  <c r="X36" i="28"/>
  <c r="G36" i="29"/>
  <c r="S63" i="29"/>
  <c r="H63" i="29"/>
  <c r="S62" i="29"/>
  <c r="H62" i="29"/>
  <c r="S27" i="29"/>
  <c r="H27" i="29"/>
  <c r="W31" i="28"/>
  <c r="T31" i="28"/>
  <c r="X61" i="28"/>
  <c r="G61" i="29"/>
  <c r="X52" i="27"/>
  <c r="G52" i="28"/>
  <c r="X37" i="28"/>
  <c r="G37" i="29"/>
  <c r="X35" i="29"/>
  <c r="G35" i="30"/>
  <c r="G20" i="29"/>
  <c r="X20" i="28"/>
  <c r="S38" i="28"/>
  <c r="H38" i="28"/>
  <c r="G33" i="29"/>
  <c r="X33" i="28"/>
  <c r="W39" i="29"/>
  <c r="T39" i="29"/>
  <c r="W47" i="29"/>
  <c r="T47" i="29"/>
  <c r="W27" i="29" l="1"/>
  <c r="T27" i="29"/>
  <c r="W44" i="30"/>
  <c r="T44" i="30"/>
  <c r="H35" i="30"/>
  <c r="S35" i="30"/>
  <c r="S52" i="28"/>
  <c r="H52" i="28"/>
  <c r="S36" i="29"/>
  <c r="H36" i="29"/>
  <c r="S37" i="29"/>
  <c r="H37" i="29"/>
  <c r="S61" i="29"/>
  <c r="H61" i="29"/>
  <c r="S22" i="29"/>
  <c r="H22" i="29"/>
  <c r="S26" i="29"/>
  <c r="H26" i="29"/>
  <c r="G47" i="30"/>
  <c r="X47" i="29"/>
  <c r="H33" i="29"/>
  <c r="S33" i="29"/>
  <c r="H20" i="29"/>
  <c r="S20" i="29"/>
  <c r="W63" i="29"/>
  <c r="T63" i="29"/>
  <c r="S19" i="29"/>
  <c r="H19" i="29"/>
  <c r="G39" i="30"/>
  <c r="X39" i="29"/>
  <c r="W38" i="28"/>
  <c r="T38" i="28"/>
  <c r="G31" i="29"/>
  <c r="X31" i="28"/>
  <c r="W62" i="29"/>
  <c r="T62" i="29"/>
  <c r="W55" i="29"/>
  <c r="T55" i="29"/>
  <c r="S41" i="29"/>
  <c r="H41" i="29"/>
  <c r="W29" i="28"/>
  <c r="T29" i="28"/>
  <c r="W34" i="30"/>
  <c r="T34" i="30"/>
  <c r="W41" i="29" l="1"/>
  <c r="T41" i="29"/>
  <c r="G62" i="30"/>
  <c r="X62" i="29"/>
  <c r="W19" i="29"/>
  <c r="T19" i="29"/>
  <c r="S47" i="30"/>
  <c r="H47" i="30"/>
  <c r="W22" i="29"/>
  <c r="T22" i="29"/>
  <c r="W37" i="29"/>
  <c r="T37" i="29"/>
  <c r="W52" i="28"/>
  <c r="T52" i="28"/>
  <c r="G44" i="31"/>
  <c r="X44" i="30"/>
  <c r="W33" i="29"/>
  <c r="T33" i="29"/>
  <c r="W35" i="30"/>
  <c r="T35" i="30"/>
  <c r="T20" i="29"/>
  <c r="W20" i="29"/>
  <c r="G34" i="31"/>
  <c r="X34" i="30"/>
  <c r="X38" i="28"/>
  <c r="G38" i="29"/>
  <c r="X29" i="28"/>
  <c r="G29" i="29"/>
  <c r="X55" i="29"/>
  <c r="G55" i="30"/>
  <c r="S31" i="29"/>
  <c r="H31" i="29"/>
  <c r="S39" i="30"/>
  <c r="H39" i="30"/>
  <c r="X63" i="29"/>
  <c r="G63" i="30"/>
  <c r="W26" i="29"/>
  <c r="T26" i="29"/>
  <c r="W61" i="29"/>
  <c r="T61" i="29"/>
  <c r="W36" i="29"/>
  <c r="T36" i="29"/>
  <c r="G27" i="30"/>
  <c r="X27" i="29"/>
  <c r="S29" i="29" l="1"/>
  <c r="H29" i="29"/>
  <c r="W31" i="29"/>
  <c r="X31" i="29" s="1"/>
  <c r="T31" i="29"/>
  <c r="S34" i="31"/>
  <c r="H34" i="31"/>
  <c r="T47" i="30"/>
  <c r="W47" i="30"/>
  <c r="S38" i="29"/>
  <c r="H38" i="29"/>
  <c r="X20" i="29"/>
  <c r="G20" i="30"/>
  <c r="S63" i="30"/>
  <c r="H63" i="30"/>
  <c r="S27" i="30"/>
  <c r="H27" i="30"/>
  <c r="G61" i="30"/>
  <c r="X61" i="29"/>
  <c r="X35" i="30"/>
  <c r="G35" i="31"/>
  <c r="S44" i="31"/>
  <c r="H44" i="31"/>
  <c r="X37" i="29"/>
  <c r="G37" i="30"/>
  <c r="S62" i="30"/>
  <c r="H62" i="30"/>
  <c r="S55" i="30"/>
  <c r="H55" i="30"/>
  <c r="G36" i="30"/>
  <c r="X36" i="29"/>
  <c r="G26" i="30"/>
  <c r="X26" i="29"/>
  <c r="W39" i="30"/>
  <c r="T39" i="30"/>
  <c r="G33" i="30"/>
  <c r="X33" i="29"/>
  <c r="X52" i="28"/>
  <c r="G52" i="29"/>
  <c r="G22" i="30"/>
  <c r="X22" i="29"/>
  <c r="G19" i="30"/>
  <c r="X19" i="29"/>
  <c r="X41" i="29"/>
  <c r="G41" i="30"/>
  <c r="S41" i="30" l="1"/>
  <c r="H41" i="30"/>
  <c r="S37" i="30"/>
  <c r="H37" i="30"/>
  <c r="G47" i="31"/>
  <c r="X47" i="30"/>
  <c r="S33" i="30"/>
  <c r="H33" i="30"/>
  <c r="H26" i="30"/>
  <c r="S26" i="30"/>
  <c r="T27" i="30"/>
  <c r="W27" i="30"/>
  <c r="S52" i="29"/>
  <c r="H52" i="29"/>
  <c r="S35" i="31"/>
  <c r="H35" i="31"/>
  <c r="S20" i="30"/>
  <c r="H20" i="30"/>
  <c r="H22" i="30"/>
  <c r="S22" i="30"/>
  <c r="W55" i="30"/>
  <c r="T55" i="30"/>
  <c r="S19" i="30"/>
  <c r="H19" i="30"/>
  <c r="G39" i="31"/>
  <c r="X39" i="30"/>
  <c r="H36" i="30"/>
  <c r="S36" i="30"/>
  <c r="W62" i="30"/>
  <c r="T62" i="30"/>
  <c r="W44" i="31"/>
  <c r="T44" i="31"/>
  <c r="S61" i="30"/>
  <c r="H61" i="30"/>
  <c r="W63" i="30"/>
  <c r="T63" i="30"/>
  <c r="W38" i="29"/>
  <c r="T38" i="29"/>
  <c r="W34" i="31"/>
  <c r="T34" i="31"/>
  <c r="W29" i="29"/>
  <c r="X29" i="29" s="1"/>
  <c r="T29" i="29"/>
  <c r="T36" i="30" l="1"/>
  <c r="W36" i="30"/>
  <c r="X34" i="31"/>
  <c r="G34" i="32"/>
  <c r="G44" i="32"/>
  <c r="X44" i="31"/>
  <c r="W19" i="30"/>
  <c r="T19" i="30"/>
  <c r="W37" i="30"/>
  <c r="T37" i="30"/>
  <c r="W26" i="30"/>
  <c r="T26" i="30"/>
  <c r="W22" i="30"/>
  <c r="T22" i="30"/>
  <c r="X27" i="30"/>
  <c r="G27" i="31"/>
  <c r="G63" i="31"/>
  <c r="X63" i="30"/>
  <c r="T35" i="31"/>
  <c r="W35" i="31"/>
  <c r="T33" i="30"/>
  <c r="W33" i="30"/>
  <c r="G38" i="30"/>
  <c r="X38" i="29"/>
  <c r="W61" i="30"/>
  <c r="T61" i="30"/>
  <c r="G62" i="31"/>
  <c r="X62" i="30"/>
  <c r="S39" i="31"/>
  <c r="H39" i="31"/>
  <c r="X55" i="30"/>
  <c r="G55" i="31"/>
  <c r="W20" i="30"/>
  <c r="T20" i="30"/>
  <c r="W52" i="29"/>
  <c r="T52" i="29"/>
  <c r="S47" i="31"/>
  <c r="H47" i="31"/>
  <c r="W41" i="30"/>
  <c r="T41" i="30"/>
  <c r="G35" i="32" l="1"/>
  <c r="X35" i="31"/>
  <c r="G41" i="31"/>
  <c r="X41" i="30"/>
  <c r="S62" i="31"/>
  <c r="H62" i="31"/>
  <c r="G26" i="31"/>
  <c r="X26" i="30"/>
  <c r="X33" i="30"/>
  <c r="G33" i="31"/>
  <c r="X36" i="30"/>
  <c r="G36" i="31"/>
  <c r="S55" i="31"/>
  <c r="H55" i="31"/>
  <c r="S27" i="31"/>
  <c r="H27" i="31"/>
  <c r="S34" i="32"/>
  <c r="H34" i="32"/>
  <c r="G52" i="30"/>
  <c r="X52" i="29"/>
  <c r="H38" i="30"/>
  <c r="S38" i="30"/>
  <c r="G19" i="31"/>
  <c r="X19" i="30"/>
  <c r="W47" i="31"/>
  <c r="T47" i="31"/>
  <c r="G20" i="31"/>
  <c r="X20" i="30"/>
  <c r="W39" i="31"/>
  <c r="T39" i="31"/>
  <c r="X61" i="30"/>
  <c r="G61" i="31"/>
  <c r="S63" i="31"/>
  <c r="H63" i="31"/>
  <c r="G22" i="31"/>
  <c r="X22" i="30"/>
  <c r="G37" i="31"/>
  <c r="X37" i="30"/>
  <c r="S44" i="32"/>
  <c r="H44" i="32"/>
  <c r="S61" i="31" l="1"/>
  <c r="H61" i="31"/>
  <c r="H36" i="31"/>
  <c r="S36" i="31"/>
  <c r="W44" i="32"/>
  <c r="X44" i="32" s="1"/>
  <c r="T44" i="32"/>
  <c r="S20" i="31"/>
  <c r="H20" i="31"/>
  <c r="S19" i="31"/>
  <c r="H19" i="31"/>
  <c r="S52" i="30"/>
  <c r="H52" i="30"/>
  <c r="S41" i="31"/>
  <c r="H41" i="31"/>
  <c r="W38" i="30"/>
  <c r="T38" i="30"/>
  <c r="S33" i="31"/>
  <c r="H33" i="31"/>
  <c r="H22" i="31"/>
  <c r="S22" i="31"/>
  <c r="W27" i="31"/>
  <c r="T27" i="31"/>
  <c r="S26" i="31"/>
  <c r="H26" i="31"/>
  <c r="H37" i="31"/>
  <c r="S37" i="31"/>
  <c r="W63" i="31"/>
  <c r="T63" i="31"/>
  <c r="G39" i="32"/>
  <c r="X39" i="31"/>
  <c r="G47" i="32"/>
  <c r="X47" i="31"/>
  <c r="W34" i="32"/>
  <c r="X34" i="32" s="1"/>
  <c r="T34" i="32"/>
  <c r="W55" i="31"/>
  <c r="T55" i="31"/>
  <c r="W62" i="31"/>
  <c r="T62" i="31"/>
  <c r="S35" i="32"/>
  <c r="H35" i="32"/>
  <c r="W36" i="31" l="1"/>
  <c r="T36" i="31"/>
  <c r="S47" i="32"/>
  <c r="H47" i="32"/>
  <c r="G63" i="32"/>
  <c r="X63" i="31"/>
  <c r="W52" i="30"/>
  <c r="T52" i="30"/>
  <c r="T37" i="31"/>
  <c r="W37" i="31"/>
  <c r="T22" i="31"/>
  <c r="W22" i="31"/>
  <c r="W35" i="32"/>
  <c r="X35" i="32" s="1"/>
  <c r="T35" i="32"/>
  <c r="G55" i="32"/>
  <c r="X55" i="31"/>
  <c r="T26" i="31"/>
  <c r="W26" i="31"/>
  <c r="X38" i="30"/>
  <c r="G38" i="31"/>
  <c r="T20" i="31"/>
  <c r="W20" i="31"/>
  <c r="G62" i="32"/>
  <c r="X62" i="31"/>
  <c r="S39" i="32"/>
  <c r="H39" i="32"/>
  <c r="X27" i="31"/>
  <c r="G27" i="32"/>
  <c r="T33" i="31"/>
  <c r="W33" i="31"/>
  <c r="W41" i="31"/>
  <c r="T41" i="31"/>
  <c r="W19" i="31"/>
  <c r="T19" i="31"/>
  <c r="T61" i="31"/>
  <c r="W61" i="31"/>
  <c r="S38" i="31" l="1"/>
  <c r="H38" i="31"/>
  <c r="W47" i="32"/>
  <c r="X47" i="32" s="1"/>
  <c r="T47" i="32"/>
  <c r="X20" i="31"/>
  <c r="G20" i="32"/>
  <c r="X26" i="31"/>
  <c r="G26" i="32"/>
  <c r="X37" i="31"/>
  <c r="G37" i="32"/>
  <c r="X61" i="31"/>
  <c r="G61" i="32"/>
  <c r="S27" i="32"/>
  <c r="H27" i="32"/>
  <c r="X22" i="31"/>
  <c r="G22" i="32"/>
  <c r="G41" i="32"/>
  <c r="X41" i="31"/>
  <c r="S62" i="32"/>
  <c r="H62" i="32"/>
  <c r="S55" i="32"/>
  <c r="H55" i="32"/>
  <c r="G52" i="31"/>
  <c r="X52" i="30"/>
  <c r="X33" i="31"/>
  <c r="G33" i="32"/>
  <c r="G19" i="32"/>
  <c r="X19" i="31"/>
  <c r="W39" i="32"/>
  <c r="X39" i="32" s="1"/>
  <c r="T39" i="32"/>
  <c r="S63" i="32"/>
  <c r="H63" i="32"/>
  <c r="X36" i="31"/>
  <c r="G36" i="32"/>
  <c r="S22" i="32" l="1"/>
  <c r="H22" i="32"/>
  <c r="W63" i="32"/>
  <c r="X63" i="32" s="1"/>
  <c r="T63" i="32"/>
  <c r="S19" i="32"/>
  <c r="H19" i="32"/>
  <c r="H52" i="31"/>
  <c r="S52" i="31"/>
  <c r="S36" i="32"/>
  <c r="H36" i="32"/>
  <c r="S33" i="32"/>
  <c r="H33" i="32"/>
  <c r="H37" i="32"/>
  <c r="S37" i="32"/>
  <c r="S20" i="32"/>
  <c r="H20" i="32"/>
  <c r="S61" i="32"/>
  <c r="H61" i="32"/>
  <c r="S26" i="32"/>
  <c r="H26" i="32"/>
  <c r="W62" i="32"/>
  <c r="X62" i="32" s="1"/>
  <c r="T62" i="32"/>
  <c r="W55" i="32"/>
  <c r="X55" i="32" s="1"/>
  <c r="T55" i="32"/>
  <c r="S41" i="32"/>
  <c r="H41" i="32"/>
  <c r="W27" i="32"/>
  <c r="X27" i="32" s="1"/>
  <c r="T27" i="32"/>
  <c r="W38" i="31"/>
  <c r="T38" i="31"/>
  <c r="W26" i="32" l="1"/>
  <c r="X26" i="32" s="1"/>
  <c r="T26" i="32"/>
  <c r="W33" i="32"/>
  <c r="X33" i="32" s="1"/>
  <c r="T33" i="32"/>
  <c r="W37" i="32"/>
  <c r="X37" i="32" s="1"/>
  <c r="T37" i="32"/>
  <c r="W52" i="31"/>
  <c r="T52" i="31"/>
  <c r="W20" i="32"/>
  <c r="X20" i="32" s="1"/>
  <c r="T20" i="32"/>
  <c r="X38" i="31"/>
  <c r="G38" i="32"/>
  <c r="W41" i="32"/>
  <c r="X41" i="32" s="1"/>
  <c r="T41" i="32"/>
  <c r="T61" i="32"/>
  <c r="W61" i="32"/>
  <c r="X61" i="32" s="1"/>
  <c r="W36" i="32"/>
  <c r="X36" i="32" s="1"/>
  <c r="T36" i="32"/>
  <c r="W19" i="32"/>
  <c r="X19" i="32" s="1"/>
  <c r="T19" i="32"/>
  <c r="W22" i="32"/>
  <c r="X22" i="32" s="1"/>
  <c r="T22" i="32"/>
  <c r="X52" i="31" l="1"/>
  <c r="G52" i="32"/>
  <c r="S38" i="32"/>
  <c r="H38" i="32"/>
  <c r="W38" i="32" l="1"/>
  <c r="X38" i="32" s="1"/>
  <c r="T38" i="32"/>
  <c r="S52" i="32"/>
  <c r="H52" i="32"/>
  <c r="W52" i="32" l="1"/>
  <c r="X52" i="32" s="1"/>
  <c r="T52" i="32"/>
  <c r="L28" i="37"/>
</calcChain>
</file>

<file path=xl/sharedStrings.xml><?xml version="1.0" encoding="utf-8"?>
<sst xmlns="http://schemas.openxmlformats.org/spreadsheetml/2006/main" count="5241" uniqueCount="236">
  <si>
    <t>ÜRÜN ADI</t>
  </si>
  <si>
    <t>DEVİR STOK</t>
  </si>
  <si>
    <t>22 DN  GRİ 1,0</t>
  </si>
  <si>
    <t>14 DN BEYAZ 0,8</t>
  </si>
  <si>
    <t>14 DN BEYAZ 1,4</t>
  </si>
  <si>
    <t>22 DN  GRİ 4,0</t>
  </si>
  <si>
    <t>22 DN GRİ 2,0</t>
  </si>
  <si>
    <t>24 DN KUŞTÜYÜ 2 ,0</t>
  </si>
  <si>
    <t>30 DN LÜKS BEYAZ 7,0</t>
  </si>
  <si>
    <t>24 DN KUŞTÜYÜ 5 ,0</t>
  </si>
  <si>
    <t>28 DN GRİ SOFT 5,0</t>
  </si>
  <si>
    <t>28 DN GRİ  5,0</t>
  </si>
  <si>
    <t>28 DN SOFT 10</t>
  </si>
  <si>
    <t>22 DN GRİ 3,0</t>
  </si>
  <si>
    <t>22 DN GRİ 5,0</t>
  </si>
  <si>
    <t>28 DN GRİ 3,0</t>
  </si>
  <si>
    <t>24 DN PEMBE 8,0</t>
  </si>
  <si>
    <t>28 DN SOFT 8,0</t>
  </si>
  <si>
    <t xml:space="preserve">SÜNGER </t>
  </si>
  <si>
    <t>22 DN 77*55*8,0</t>
  </si>
  <si>
    <t>32 DN 65*50*12</t>
  </si>
  <si>
    <t>SİLİNDİR</t>
  </si>
  <si>
    <t>32 DN 66*56*12</t>
  </si>
  <si>
    <t>32 DN 61,5*61,5*10</t>
  </si>
  <si>
    <t>18 DN 82*67*5,0</t>
  </si>
  <si>
    <t>18 DN 80*62*2,0</t>
  </si>
  <si>
    <t>32 DN 63*55*5,0</t>
  </si>
  <si>
    <t>18 DN BEYAZ 5,0</t>
  </si>
  <si>
    <t>15 DN BEYAZ 10</t>
  </si>
  <si>
    <t>22 DN BEYAZ 3,0</t>
  </si>
  <si>
    <t>28 DN 90*80*8,0</t>
  </si>
  <si>
    <t>28 DN SOFT 90*80*8,0</t>
  </si>
  <si>
    <t>22 DN HİLTON OTURK.</t>
  </si>
  <si>
    <t>22 DN 80*66*5,0</t>
  </si>
  <si>
    <t>22 DN 60*62*5,0</t>
  </si>
  <si>
    <t>28 DN GRİ 7,0</t>
  </si>
  <si>
    <t>18 DN GRİ 60*56*10</t>
  </si>
  <si>
    <t>18 DN GRİ 58*55*10</t>
  </si>
  <si>
    <t>32 DN SOFT GRİ63*55*5,0</t>
  </si>
  <si>
    <t>28 DN GRİ 52*52*5,0</t>
  </si>
  <si>
    <t>28 DN SOFT GRİ 80*70*8,0</t>
  </si>
  <si>
    <t>28 DN 60*67*3</t>
  </si>
  <si>
    <t>28 SOFT GRİ 70*64*8,0</t>
  </si>
  <si>
    <t>28 SOFT GRİ 75*70*8,0</t>
  </si>
  <si>
    <t>24 DN GRİ 142*57*5,0</t>
  </si>
  <si>
    <t>18 DN GRİ 80*63*5,0</t>
  </si>
  <si>
    <t>24 KUŞTÜYÜ 77*68*8,0</t>
  </si>
  <si>
    <t>24 KUŞTÜYÜ 79*79*2,0</t>
  </si>
  <si>
    <t>32 GRİ 61*56*10</t>
  </si>
  <si>
    <t>32 DN GRİ 66*61*10</t>
  </si>
  <si>
    <t>32 GRİ 63*61*10</t>
  </si>
  <si>
    <t>14 DN ELASTİK 58*58*2,3</t>
  </si>
  <si>
    <t>14 DN ELASTİK 79*62*2,3</t>
  </si>
  <si>
    <t>18 DN 200*176*2,3</t>
  </si>
  <si>
    <t>24 KUŞTUYÜ 79*79*2,3</t>
  </si>
  <si>
    <t>22 SEK.OTURAK SÜN.4,0</t>
  </si>
  <si>
    <t>22 SEK.SIRT SÜN.4,0</t>
  </si>
  <si>
    <t>22 VEGA OTURAK 3.0</t>
  </si>
  <si>
    <t>22 VEGA SIRT 3,0</t>
  </si>
  <si>
    <t>22 KOL ÜSTÜ 4,0</t>
  </si>
  <si>
    <t>32 VEGA SIRT 3,0</t>
  </si>
  <si>
    <t>32 VEGA OTURAK 3,0</t>
  </si>
  <si>
    <t>22 DN 140*9,5*6,5</t>
  </si>
  <si>
    <t>PLAKA ADET</t>
  </si>
  <si>
    <t>br m³</t>
  </si>
  <si>
    <t>EN</t>
  </si>
  <si>
    <t>BOY</t>
  </si>
  <si>
    <t>YÜKS</t>
  </si>
  <si>
    <t>STOK ÇIKIŞI</t>
  </si>
  <si>
    <t>KALAN STOK</t>
  </si>
  <si>
    <t>STOK GİRİŞİ</t>
  </si>
  <si>
    <t>TOPLAM STOK MİKTARI</t>
  </si>
  <si>
    <t>AĞUSTOS 5. HAFTA</t>
  </si>
  <si>
    <t>EYLÜL 1. HAFTA</t>
  </si>
  <si>
    <t>EYLÜL 2. HAFTA</t>
  </si>
  <si>
    <t>EYLÜL 3. HAFTA</t>
  </si>
  <si>
    <t>EYLÜL 4. HAFTA</t>
  </si>
  <si>
    <t>24 DN GRİ 142*67*5,0</t>
  </si>
  <si>
    <t>24 DN KUŞTÜYÜ 8,0</t>
  </si>
  <si>
    <t>24 DN 90*83*2 K.TÜY</t>
  </si>
  <si>
    <t>24 DN 92*82*2 K.TÜY</t>
  </si>
  <si>
    <t>22 DN 140*9,5*6,5 cez.m</t>
  </si>
  <si>
    <t>24 DN K.T 82*80*2</t>
  </si>
  <si>
    <t>24 DN K.T  86*77*8</t>
  </si>
  <si>
    <t>24 DN K.T 76*75*8</t>
  </si>
  <si>
    <t>28 DN SOFT 12,0</t>
  </si>
  <si>
    <t>24 DN GRİ 140*67*5,0</t>
  </si>
  <si>
    <t xml:space="preserve"> </t>
  </si>
  <si>
    <t>32 GRİ 61*61*10</t>
  </si>
  <si>
    <t>32 DN 61*61*03</t>
  </si>
  <si>
    <t>22 DN 140*9,5*6,5 CEZAR</t>
  </si>
  <si>
    <t>EKİM 1. HAFTA</t>
  </si>
  <si>
    <t>EKİM 2. HAFTA</t>
  </si>
  <si>
    <t>EKİM 3. HAFTA</t>
  </si>
  <si>
    <t>EKİM 4. HAFTA</t>
  </si>
  <si>
    <t>32 DN GRİ 61*61*3,0</t>
  </si>
  <si>
    <t>32 DN GRİ  2,0</t>
  </si>
  <si>
    <t>32 DN GRİ 140*240*6,0</t>
  </si>
  <si>
    <t>32 DN GRİ 140*240*4,0</t>
  </si>
  <si>
    <t>MAKSİMUN</t>
  </si>
  <si>
    <t>MİNİMUN</t>
  </si>
  <si>
    <t>22 DN GRİ 142*67*5,0</t>
  </si>
  <si>
    <t>32 DN 61*61*10</t>
  </si>
  <si>
    <t>28 DN 58*58*5,0</t>
  </si>
  <si>
    <t>S.NO</t>
  </si>
  <si>
    <t>CİNSİ</t>
  </si>
  <si>
    <t>AMOR OTURAK SÜNGERİ</t>
  </si>
  <si>
    <t>AMOR SIRT SÜNGERİ</t>
  </si>
  <si>
    <t>32 DN GRİ 6,0</t>
  </si>
  <si>
    <t>EKİM 5. HAFTA</t>
  </si>
  <si>
    <t>22 DN 60*63*5,0</t>
  </si>
  <si>
    <t>28 DN GRİ 60*55*5,0</t>
  </si>
  <si>
    <t>28 DN GRİ FORZA 10</t>
  </si>
  <si>
    <t>28 DN 63*60*5,0</t>
  </si>
  <si>
    <t>28 DN SOFT GRİ 4,0</t>
  </si>
  <si>
    <t>28 DN SOFT 90*85*5,0</t>
  </si>
  <si>
    <t>28 D SOFT 100*90*3,0</t>
  </si>
  <si>
    <t>ARALIK 1. HAFTA</t>
  </si>
  <si>
    <t>ARALIK 2. HAFTA</t>
  </si>
  <si>
    <t>22 DN GRİ 143*66*5,0</t>
  </si>
  <si>
    <t>28 DN GRİ SOFT 60*55*5,0</t>
  </si>
  <si>
    <t>ARALIK 3.HAFTA</t>
  </si>
  <si>
    <t>24 KUŞTUYÜ 79*81*2,3</t>
  </si>
  <si>
    <t>ARALIK 4.HAFTA</t>
  </si>
  <si>
    <t>OCAK 1 HAFTA</t>
  </si>
  <si>
    <t>OCAK 2 HAFTA</t>
  </si>
  <si>
    <t>28 DN 75*55*3,0</t>
  </si>
  <si>
    <t>28 DN 84*55*3,0</t>
  </si>
  <si>
    <t>28 DN SOFT 105*65*3,0</t>
  </si>
  <si>
    <t>28 DN SOFT 105*55*3,0</t>
  </si>
  <si>
    <t>OCAK 3 HAFTA</t>
  </si>
  <si>
    <t>OCAK 4 HAFTA</t>
  </si>
  <si>
    <t>28 D SOFT 90*90*3,0</t>
  </si>
  <si>
    <t>OCAK5 / ŞUBAT 1  HAFTA</t>
  </si>
  <si>
    <t>28 DN FORZA (70*64*8,0) GRİ 8,0</t>
  </si>
  <si>
    <t>28 DN FORZA (70*80*8,0)  GRİ 8,0</t>
  </si>
  <si>
    <t>28 DN FORZA (70*74*8,0) GRİ 8,0</t>
  </si>
  <si>
    <t>22 DN FORZA (80*64*5,0) GRİ 5,0</t>
  </si>
  <si>
    <t>22 DN FORZA GRİ 5,0</t>
  </si>
  <si>
    <t>22 DN FORZA (142*67*5,0) GRİ 5,0</t>
  </si>
  <si>
    <t>22 DN FORZA (63*60*5,0) GRİ 5,0</t>
  </si>
  <si>
    <t>28 DN FORZA (52*52*5,0) GRİ 5,0</t>
  </si>
  <si>
    <t>28 DN FORZA  GRİ 5,0</t>
  </si>
  <si>
    <t>28 DN SOFT (90*85*5,0) GRİ 5,0</t>
  </si>
  <si>
    <t>28 DN SOFT  5,0</t>
  </si>
  <si>
    <t>24 DN K.T BEYAZ  5,0</t>
  </si>
  <si>
    <t>24 DN K.T BEYAZ  8,0</t>
  </si>
  <si>
    <t>24 DN K.T (77*86*8,0) BEYAZ 8,0</t>
  </si>
  <si>
    <t>24 DN K.T (77*68*8,0) BEYAZ 8,0</t>
  </si>
  <si>
    <t>24 DN K.T (76*75*8,0) BEYAZ 8,0</t>
  </si>
  <si>
    <t xml:space="preserve"> 32 DN REFAKATÇI  10,0</t>
  </si>
  <si>
    <t>32 DN REFAKATÇI  3,0</t>
  </si>
  <si>
    <t>14 DN BEYAZ  1,4</t>
  </si>
  <si>
    <t>14 DN ( 58*58*2,3) BEYAZ 2,3</t>
  </si>
  <si>
    <t>30 DN KUŞTUYÜ 7,0</t>
  </si>
  <si>
    <t>22 DN CEZAR (140*9,5*6,5) SÜNGERİ</t>
  </si>
  <si>
    <t>22 DN FORZA GRİ  1,0</t>
  </si>
  <si>
    <t>22 DN FORZA GRİ 2,0</t>
  </si>
  <si>
    <t>22 DN FORZA GRİ 3,0</t>
  </si>
  <si>
    <t>22 DN FORZA GRİ 4,0</t>
  </si>
  <si>
    <t>24 DN KUŞTÜYÜ 2,0</t>
  </si>
  <si>
    <t>32 DN FORZA GRİ 6,0</t>
  </si>
  <si>
    <t xml:space="preserve">28 DN FORZA (84*55*3,0) GRİ </t>
  </si>
  <si>
    <t>28 DN FORZA (90*90*3,0) GRİ</t>
  </si>
  <si>
    <t>28 DN FORZA GRİ 10,0</t>
  </si>
  <si>
    <t>28 DN SOFT GRİ 10,0</t>
  </si>
  <si>
    <t>24 DN K.T (92*82*2,0) 2,0</t>
  </si>
  <si>
    <t>28 DN FORZA (75*55*3,0) GRİ 3,0</t>
  </si>
  <si>
    <t>28 DN FORZA GRİ  3,0</t>
  </si>
  <si>
    <t>24 DN K.T (82*80*2,0) 2,0</t>
  </si>
  <si>
    <t>24 DN K.T (90*83*2,0) 2,0</t>
  </si>
  <si>
    <t>28 DN GRİ (105*55*3,0) 3,0</t>
  </si>
  <si>
    <t>AĞUSTOS 2023.</t>
  </si>
  <si>
    <t>28 DN GRİ FORZA  4,0</t>
  </si>
  <si>
    <t>28 DN SOFT 14,0</t>
  </si>
  <si>
    <t>28 DN SOFT 12,</t>
  </si>
  <si>
    <t>22 DN GRİ 130*60*5,0</t>
  </si>
  <si>
    <t>28 DN GRİ SOFT 140*24*3,0</t>
  </si>
  <si>
    <t>28 DN GRİ SOFT 140*240*3,0</t>
  </si>
  <si>
    <t>MİNİMUM</t>
  </si>
  <si>
    <t>28 DN FORZA (70*88*8,0) GRİ 8,0</t>
  </si>
  <si>
    <t xml:space="preserve">28 DN SOFT (80*75*5,0,) GRİ </t>
  </si>
  <si>
    <t>28 DN SOFT (100*95*5,0) GRİ</t>
  </si>
  <si>
    <t>28 DN SOFT (90*90*3,0) GRİ 3,0</t>
  </si>
  <si>
    <t>28 DN SOFT GRİ (112*67*3,0) 3,0</t>
  </si>
  <si>
    <t>32 DN GRİ FORZA 1,0</t>
  </si>
  <si>
    <t>32 DN GRİ FORZA 3,0</t>
  </si>
  <si>
    <t>32 DN GRİ FORZA 5,0</t>
  </si>
  <si>
    <t>32 DN GRİ FORZA 10,0</t>
  </si>
  <si>
    <t>28 DN SOFTGRİ (70*54*7)   7,0</t>
  </si>
  <si>
    <t>24 DN K.T 87*54*5</t>
  </si>
  <si>
    <t>24 DN K.T 75*54*5</t>
  </si>
  <si>
    <t>28 D SOFT 112*67*3,0</t>
  </si>
  <si>
    <t>28 D SOFT 80*75*3,0</t>
  </si>
  <si>
    <t>22 D FORZA 58*25*3,0</t>
  </si>
  <si>
    <t>22 D FORZA 64*58*5,0</t>
  </si>
  <si>
    <t>22 DN FORZA ( 65*60*5,0) GRİ</t>
  </si>
  <si>
    <t>22 D FORZA (65*65*5,0) GRİ</t>
  </si>
  <si>
    <t>22 D FORZA (83*55*3,0) GRİ</t>
  </si>
  <si>
    <t>22 D FORZA (75*55*3,0) GRİ</t>
  </si>
  <si>
    <t>22 D FORZA (58*19*3,0) GRİ</t>
  </si>
  <si>
    <t>28 D FORZA(52*52*5,0) GRİ</t>
  </si>
  <si>
    <t>32 D GRİ FORZA 140*240*4,o</t>
  </si>
  <si>
    <t>32 D VEGA OTURAK 3,0</t>
  </si>
  <si>
    <t>32 D VEGA SIRT 3,0</t>
  </si>
  <si>
    <t>32 D GRİ 140*240*8,0</t>
  </si>
  <si>
    <t>32 D GRİ 140*240*2,0</t>
  </si>
  <si>
    <t>28 DN SOFT 140*240*8,0</t>
  </si>
  <si>
    <t>28 DN FORZA (70*88*8,0 ) GRİ 8,0</t>
  </si>
  <si>
    <t>MART</t>
  </si>
  <si>
    <t>NİSAN</t>
  </si>
  <si>
    <t>22 DN FORZA (143*68*5,0) GRİ 5,0</t>
  </si>
  <si>
    <t>HAZİRAN</t>
  </si>
  <si>
    <t>45 DN 2LİK</t>
  </si>
  <si>
    <t>TEMMUZ</t>
  </si>
  <si>
    <t>45 DN 1 LİK</t>
  </si>
  <si>
    <t>AĞUSTOS</t>
  </si>
  <si>
    <t>28 DN SOFT 68*47*8,0</t>
  </si>
  <si>
    <t>35 DN  MAVİ140*205*5,0</t>
  </si>
  <si>
    <t>32 DN GRİ  64*58*5,0</t>
  </si>
  <si>
    <t>32 DN GRİ 70*55*3,0</t>
  </si>
  <si>
    <t>EYLÜL</t>
  </si>
  <si>
    <t>30 DN FORZA GRİ 6,0</t>
  </si>
  <si>
    <t>EKİM</t>
  </si>
  <si>
    <t>45 DN 3 LÜK</t>
  </si>
  <si>
    <t>35 DN HR 5,0</t>
  </si>
  <si>
    <t>KASIM</t>
  </si>
  <si>
    <t>14 DN 79*62*2,3</t>
  </si>
  <si>
    <t>14 DN 79*62*2,3 CEZ.MD</t>
  </si>
  <si>
    <t>ARALIK</t>
  </si>
  <si>
    <t>28 DN 61*61*3,0</t>
  </si>
  <si>
    <t>32 D FORZA (83*55*3,0) GRİ</t>
  </si>
  <si>
    <t>32 DN 142*64*5,0</t>
  </si>
  <si>
    <t>32 D FORZA (70*55*3,0) GRİ</t>
  </si>
  <si>
    <t>OCAK</t>
  </si>
  <si>
    <t>ŞUBAT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</si>
</sst>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1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1" fillId="5" borderId="5" xfId="0" applyFont="1" applyFill="1" applyBorder="1" applyAlignment="1">
      <alignment vertical="center"/>
    </xf>
    <xf numFmtId="0" fontId="1" fillId="5" borderId="16" xfId="0" applyFont="1" applyFill="1" applyBorder="1" applyAlignment="1">
      <alignment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vertical="center"/>
    </xf>
    <xf numFmtId="0" fontId="1" fillId="5" borderId="10" xfId="0" applyFont="1" applyFill="1" applyBorder="1" applyAlignment="1">
      <alignment vertical="center"/>
    </xf>
    <xf numFmtId="0" fontId="0" fillId="2" borderId="2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23" xfId="0" applyBorder="1" applyAlignment="1">
      <alignment vertical="center"/>
    </xf>
    <xf numFmtId="0" fontId="0" fillId="2" borderId="31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3" fillId="0" borderId="12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vertical="center"/>
    </xf>
    <xf numFmtId="0" fontId="3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/>
    </xf>
    <xf numFmtId="0" fontId="0" fillId="9" borderId="0" xfId="0" applyFill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8" borderId="37" xfId="0" applyFont="1" applyFill="1" applyBorder="1" applyAlignment="1">
      <alignment horizontal="center" vertical="center"/>
    </xf>
    <xf numFmtId="0" fontId="3" fillId="8" borderId="38" xfId="0" applyFont="1" applyFill="1" applyBorder="1" applyAlignment="1">
      <alignment horizontal="center" vertical="center"/>
    </xf>
    <xf numFmtId="0" fontId="2" fillId="8" borderId="39" xfId="0" applyFont="1" applyFill="1" applyBorder="1" applyAlignment="1">
      <alignment vertical="center"/>
    </xf>
    <xf numFmtId="0" fontId="2" fillId="4" borderId="37" xfId="0" applyFont="1" applyFill="1" applyBorder="1" applyAlignment="1">
      <alignment horizontal="center" vertical="center"/>
    </xf>
    <xf numFmtId="0" fontId="2" fillId="4" borderId="39" xfId="0" applyFont="1" applyFill="1" applyBorder="1" applyAlignment="1">
      <alignment horizontal="center" vertical="center"/>
    </xf>
    <xf numFmtId="0" fontId="0" fillId="9" borderId="40" xfId="0" applyFill="1" applyBorder="1" applyAlignment="1">
      <alignment horizontal="center" vertical="center"/>
    </xf>
    <xf numFmtId="0" fontId="0" fillId="9" borderId="41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6" borderId="42" xfId="0" applyFill="1" applyBorder="1" applyAlignment="1">
      <alignment horizontal="center" vertical="center"/>
    </xf>
    <xf numFmtId="0" fontId="0" fillId="6" borderId="41" xfId="0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6" xfId="0" applyFont="1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0" borderId="1" xfId="0" applyBorder="1"/>
    <xf numFmtId="0" fontId="3" fillId="0" borderId="38" xfId="0" applyFont="1" applyBorder="1" applyAlignment="1">
      <alignment vertical="center"/>
    </xf>
    <xf numFmtId="0" fontId="2" fillId="8" borderId="38" xfId="0" applyFont="1" applyFill="1" applyBorder="1" applyAlignment="1">
      <alignment vertical="center"/>
    </xf>
    <xf numFmtId="0" fontId="2" fillId="0" borderId="38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8" xfId="0" applyBorder="1"/>
    <xf numFmtId="0" fontId="0" fillId="7" borderId="4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2" borderId="41" xfId="0" applyFont="1" applyFill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2" borderId="16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6" borderId="42" xfId="0" applyFont="1" applyFill="1" applyBorder="1" applyAlignment="1">
      <alignment horizontal="center" vertical="center"/>
    </xf>
    <xf numFmtId="0" fontId="0" fillId="6" borderId="41" xfId="0" applyFont="1" applyFill="1" applyBorder="1" applyAlignment="1">
      <alignment horizontal="center" vertical="center"/>
    </xf>
    <xf numFmtId="0" fontId="1" fillId="5" borderId="38" xfId="0" applyFont="1" applyFill="1" applyBorder="1" applyAlignment="1">
      <alignment vertical="center"/>
    </xf>
    <xf numFmtId="0" fontId="1" fillId="0" borderId="38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38" xfId="0" applyFont="1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0" fillId="10" borderId="38" xfId="0" applyFill="1" applyBorder="1" applyAlignment="1">
      <alignment horizontal="center" vertical="center"/>
    </xf>
    <xf numFmtId="0" fontId="1" fillId="10" borderId="38" xfId="0" applyFont="1" applyFill="1" applyBorder="1" applyAlignment="1">
      <alignment vertical="center"/>
    </xf>
    <xf numFmtId="0" fontId="0" fillId="10" borderId="1" xfId="0" applyFill="1" applyBorder="1" applyAlignment="1">
      <alignment horizontal="center" vertical="center"/>
    </xf>
    <xf numFmtId="0" fontId="1" fillId="10" borderId="1" xfId="0" applyFont="1" applyFill="1" applyBorder="1" applyAlignment="1">
      <alignment vertical="center"/>
    </xf>
    <xf numFmtId="0" fontId="1" fillId="8" borderId="14" xfId="0" applyFont="1" applyFill="1" applyBorder="1" applyAlignment="1">
      <alignment horizontal="center" vertical="center"/>
    </xf>
    <xf numFmtId="0" fontId="1" fillId="8" borderId="38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2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6" borderId="44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0" borderId="36" xfId="0" applyBorder="1" applyAlignment="1">
      <alignment vertical="center"/>
    </xf>
    <xf numFmtId="0" fontId="0" fillId="5" borderId="37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1" fillId="5" borderId="39" xfId="0" applyFont="1" applyFill="1" applyBorder="1" applyAlignment="1">
      <alignment vertical="center"/>
    </xf>
    <xf numFmtId="0" fontId="1" fillId="4" borderId="42" xfId="0" applyFont="1" applyFill="1" applyBorder="1" applyAlignment="1">
      <alignment horizontal="center" vertical="center"/>
    </xf>
    <xf numFmtId="0" fontId="1" fillId="4" borderId="39" xfId="0" applyFont="1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1" fillId="5" borderId="15" xfId="0" applyFont="1" applyFill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39" xfId="0" applyFont="1" applyFill="1" applyBorder="1" applyAlignment="1">
      <alignment horizontal="center" vertical="center"/>
    </xf>
    <xf numFmtId="0" fontId="0" fillId="6" borderId="37" xfId="0" applyFont="1" applyFill="1" applyBorder="1" applyAlignment="1">
      <alignment horizontal="center" vertical="center"/>
    </xf>
    <xf numFmtId="0" fontId="0" fillId="6" borderId="38" xfId="0" applyFont="1" applyFill="1" applyBorder="1" applyAlignment="1">
      <alignment horizontal="center" vertical="center"/>
    </xf>
    <xf numFmtId="0" fontId="0" fillId="6" borderId="45" xfId="0" applyFont="1" applyFill="1" applyBorder="1" applyAlignment="1">
      <alignment horizontal="center" vertical="center"/>
    </xf>
    <xf numFmtId="0" fontId="0" fillId="6" borderId="45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43" xfId="0" applyFont="1" applyFill="1" applyBorder="1" applyAlignment="1">
      <alignment horizontal="center" vertical="center"/>
    </xf>
    <xf numFmtId="0" fontId="0" fillId="6" borderId="43" xfId="0" applyFill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7" borderId="43" xfId="0" applyFill="1" applyBorder="1" applyAlignment="1">
      <alignment horizontal="center" vertical="center"/>
    </xf>
    <xf numFmtId="0" fontId="0" fillId="3" borderId="38" xfId="0" applyFill="1" applyBorder="1"/>
    <xf numFmtId="0" fontId="0" fillId="11" borderId="1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38" xfId="0" applyBorder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47" xfId="0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4" fillId="0" borderId="15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0" fillId="2" borderId="48" xfId="0" applyFill="1" applyBorder="1" applyAlignment="1">
      <alignment horizontal="center" vertical="center"/>
    </xf>
    <xf numFmtId="0" fontId="1" fillId="12" borderId="14" xfId="0" applyFont="1" applyFill="1" applyBorder="1" applyAlignment="1">
      <alignment horizontal="center" vertical="center"/>
    </xf>
    <xf numFmtId="0" fontId="1" fillId="5" borderId="46" xfId="0" applyFont="1" applyFill="1" applyBorder="1" applyAlignment="1">
      <alignment vertical="center"/>
    </xf>
    <xf numFmtId="0" fontId="1" fillId="5" borderId="48" xfId="0" applyFont="1" applyFill="1" applyBorder="1" applyAlignment="1">
      <alignment vertical="center"/>
    </xf>
    <xf numFmtId="0" fontId="1" fillId="5" borderId="49" xfId="0" applyFont="1" applyFill="1" applyBorder="1" applyAlignment="1">
      <alignment vertical="center"/>
    </xf>
    <xf numFmtId="0" fontId="1" fillId="5" borderId="47" xfId="0" applyFont="1" applyFill="1" applyBorder="1" applyAlignment="1">
      <alignment vertical="center"/>
    </xf>
    <xf numFmtId="0" fontId="1" fillId="10" borderId="47" xfId="0" applyFont="1" applyFill="1" applyBorder="1" applyAlignment="1">
      <alignment vertical="center"/>
    </xf>
    <xf numFmtId="0" fontId="1" fillId="0" borderId="48" xfId="0" applyFont="1" applyBorder="1" applyAlignment="1">
      <alignment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1" fillId="12" borderId="41" xfId="0" applyFont="1" applyFill="1" applyBorder="1" applyAlignment="1">
      <alignment horizontal="center" vertical="center"/>
    </xf>
    <xf numFmtId="0" fontId="1" fillId="12" borderId="39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0" fontId="0" fillId="2" borderId="48" xfId="0" applyFont="1" applyFill="1" applyBorder="1" applyAlignment="1">
      <alignment horizontal="center" vertical="center"/>
    </xf>
    <xf numFmtId="0" fontId="0" fillId="2" borderId="46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11" borderId="3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11" borderId="46" xfId="0" applyFill="1" applyBorder="1" applyAlignment="1">
      <alignment horizontal="center" vertical="center"/>
    </xf>
    <xf numFmtId="0" fontId="0" fillId="11" borderId="47" xfId="0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/>
    <xf numFmtId="0" fontId="0" fillId="3" borderId="43" xfId="0" applyFill="1" applyBorder="1"/>
    <xf numFmtId="0" fontId="0" fillId="3" borderId="40" xfId="0" applyFill="1" applyBorder="1"/>
    <xf numFmtId="0" fontId="0" fillId="6" borderId="3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6" xfId="0" applyFont="1" applyFill="1" applyBorder="1" applyAlignment="1">
      <alignment horizontal="center" vertical="center"/>
    </xf>
    <xf numFmtId="0" fontId="0" fillId="6" borderId="7" xfId="0" applyFont="1" applyFill="1" applyBorder="1" applyAlignment="1">
      <alignment horizontal="center" vertical="center"/>
    </xf>
    <xf numFmtId="0" fontId="0" fillId="6" borderId="14" xfId="0" applyFont="1" applyFill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3" borderId="46" xfId="0" applyFill="1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0" fillId="0" borderId="2" xfId="0" applyBorder="1"/>
    <xf numFmtId="0" fontId="0" fillId="7" borderId="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0" fontId="0" fillId="7" borderId="39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/>
    </xf>
    <xf numFmtId="0" fontId="1" fillId="0" borderId="50" xfId="0" applyFont="1" applyBorder="1"/>
    <xf numFmtId="0" fontId="1" fillId="0" borderId="51" xfId="0" applyFont="1" applyBorder="1"/>
    <xf numFmtId="0" fontId="0" fillId="11" borderId="38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38" xfId="0" applyFill="1" applyBorder="1" applyAlignment="1">
      <alignment horizontal="center" vertical="center"/>
    </xf>
    <xf numFmtId="0" fontId="1" fillId="0" borderId="52" xfId="0" applyFont="1" applyBorder="1" applyAlignment="1">
      <alignment vertical="center"/>
    </xf>
    <xf numFmtId="0" fontId="1" fillId="0" borderId="53" xfId="0" applyFont="1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53" xfId="0" applyFill="1" applyBorder="1" applyAlignment="1">
      <alignment vertical="center"/>
    </xf>
    <xf numFmtId="0" fontId="0" fillId="0" borderId="54" xfId="0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0" xfId="0" applyBorder="1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4" xfId="0" applyBorder="1"/>
    <xf numFmtId="0" fontId="0" fillId="0" borderId="15" xfId="0" applyBorder="1"/>
    <xf numFmtId="0" fontId="4" fillId="0" borderId="55" xfId="0" applyFont="1" applyBorder="1"/>
    <xf numFmtId="0" fontId="4" fillId="0" borderId="56" xfId="0" applyFont="1" applyBorder="1"/>
    <xf numFmtId="0" fontId="0" fillId="0" borderId="38" xfId="0" applyBorder="1" applyAlignment="1">
      <alignment horizontal="left" vertical="center"/>
    </xf>
    <xf numFmtId="0" fontId="1" fillId="0" borderId="38" xfId="0" applyFont="1" applyBorder="1" applyAlignment="1">
      <alignment vertical="center"/>
    </xf>
    <xf numFmtId="0" fontId="0" fillId="6" borderId="38" xfId="0" applyFill="1" applyBorder="1"/>
    <xf numFmtId="0" fontId="0" fillId="6" borderId="1" xfId="0" applyFill="1" applyBorder="1"/>
    <xf numFmtId="0" fontId="0" fillId="7" borderId="1" xfId="0" applyFill="1" applyBorder="1"/>
    <xf numFmtId="0" fontId="0" fillId="7" borderId="38" xfId="0" applyFill="1" applyBorder="1"/>
    <xf numFmtId="0" fontId="0" fillId="11" borderId="4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8" xfId="0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6" borderId="40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13" borderId="6" xfId="0" applyFill="1" applyBorder="1" applyAlignment="1">
      <alignment horizontal="center" vertical="center"/>
    </xf>
    <xf numFmtId="0" fontId="0" fillId="13" borderId="1" xfId="0" applyFill="1" applyBorder="1"/>
    <xf numFmtId="0" fontId="1" fillId="13" borderId="14" xfId="0" applyFont="1" applyFill="1" applyBorder="1" applyAlignment="1">
      <alignment horizontal="center" vertical="center"/>
    </xf>
    <xf numFmtId="0" fontId="1" fillId="14" borderId="16" xfId="0" applyFont="1" applyFill="1" applyBorder="1" applyAlignment="1">
      <alignment horizontal="center" vertical="center"/>
    </xf>
    <xf numFmtId="0" fontId="1" fillId="14" borderId="7" xfId="0" applyFont="1" applyFill="1" applyBorder="1" applyAlignment="1">
      <alignment horizontal="center" vertical="center"/>
    </xf>
    <xf numFmtId="0" fontId="0" fillId="14" borderId="1" xfId="0" applyFill="1" applyBorder="1"/>
    <xf numFmtId="0" fontId="0" fillId="15" borderId="24" xfId="0" applyFill="1" applyBorder="1" applyAlignment="1">
      <alignment horizontal="center" vertical="center"/>
    </xf>
    <xf numFmtId="0" fontId="0" fillId="15" borderId="1" xfId="0" applyFill="1" applyBorder="1"/>
    <xf numFmtId="0" fontId="0" fillId="16" borderId="24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/>
    </xf>
    <xf numFmtId="0" fontId="0" fillId="17" borderId="14" xfId="0" applyFill="1" applyBorder="1" applyAlignment="1">
      <alignment horizontal="center" vertical="center"/>
    </xf>
    <xf numFmtId="0" fontId="0" fillId="17" borderId="16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0" fillId="18" borderId="24" xfId="0" applyFill="1" applyBorder="1" applyAlignment="1">
      <alignment horizontal="center" vertical="center"/>
    </xf>
    <xf numFmtId="0" fontId="1" fillId="0" borderId="1" xfId="0" applyFont="1" applyBorder="1"/>
    <xf numFmtId="0" fontId="1" fillId="14" borderId="1" xfId="0" applyFon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7" borderId="1" xfId="0" applyFill="1" applyBorder="1"/>
    <xf numFmtId="0" fontId="0" fillId="15" borderId="24" xfId="0" applyFill="1" applyBorder="1" applyAlignment="1"/>
    <xf numFmtId="0" fontId="0" fillId="11" borderId="16" xfId="0" applyFill="1" applyBorder="1" applyAlignment="1">
      <alignment vertical="center"/>
    </xf>
    <xf numFmtId="0" fontId="0" fillId="15" borderId="1" xfId="0" applyFill="1" applyBorder="1" applyAlignment="1"/>
    <xf numFmtId="0" fontId="0" fillId="15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8" borderId="1" xfId="0" applyFill="1" applyBorder="1"/>
    <xf numFmtId="0" fontId="0" fillId="19" borderId="16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/>
    </xf>
    <xf numFmtId="0" fontId="0" fillId="19" borderId="1" xfId="0" applyFill="1" applyBorder="1"/>
    <xf numFmtId="0" fontId="0" fillId="20" borderId="24" xfId="0" applyFill="1" applyBorder="1" applyAlignment="1">
      <alignment horizontal="center" vertical="center"/>
    </xf>
    <xf numFmtId="0" fontId="0" fillId="20" borderId="1" xfId="0" applyFill="1" applyBorder="1"/>
    <xf numFmtId="0" fontId="0" fillId="0" borderId="1" xfId="0" applyBorder="1" applyAlignment="1"/>
    <xf numFmtId="14" fontId="0" fillId="0" borderId="0" xfId="0" applyNumberFormat="1"/>
    <xf numFmtId="0" fontId="0" fillId="0" borderId="45" xfId="0" applyFill="1" applyBorder="1"/>
    <xf numFmtId="0" fontId="0" fillId="0" borderId="45" xfId="0" applyFill="1" applyBorder="1" applyAlignment="1">
      <alignment horizontal="center"/>
    </xf>
    <xf numFmtId="0" fontId="0" fillId="0" borderId="1" xfId="0" applyFill="1" applyBorder="1"/>
    <xf numFmtId="0" fontId="0" fillId="0" borderId="53" xfId="0" applyFont="1" applyBorder="1" applyAlignment="1">
      <alignment vertical="center"/>
    </xf>
    <xf numFmtId="0" fontId="0" fillId="15" borderId="1" xfId="0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14" fontId="1" fillId="2" borderId="26" xfId="0" applyNumberFormat="1" applyFont="1" applyFill="1" applyBorder="1" applyAlignment="1">
      <alignment horizontal="center" vertical="center"/>
    </xf>
    <xf numFmtId="14" fontId="1" fillId="2" borderId="27" xfId="0" applyNumberFormat="1" applyFont="1" applyFill="1" applyBorder="1" applyAlignment="1">
      <alignment horizontal="center" vertical="center"/>
    </xf>
    <xf numFmtId="14" fontId="1" fillId="0" borderId="26" xfId="0" applyNumberFormat="1" applyFont="1" applyBorder="1" applyAlignment="1">
      <alignment horizontal="center" vertical="center"/>
    </xf>
    <xf numFmtId="14" fontId="1" fillId="0" borderId="27" xfId="0" applyNumberFormat="1" applyFont="1" applyBorder="1" applyAlignment="1">
      <alignment horizontal="center" vertical="center"/>
    </xf>
    <xf numFmtId="14" fontId="1" fillId="2" borderId="28" xfId="0" applyNumberFormat="1" applyFont="1" applyFill="1" applyBorder="1" applyAlignment="1">
      <alignment horizontal="center" vertical="center"/>
    </xf>
    <xf numFmtId="14" fontId="1" fillId="6" borderId="19" xfId="0" applyNumberFormat="1" applyFont="1" applyFill="1" applyBorder="1" applyAlignment="1">
      <alignment horizontal="center" vertical="center"/>
    </xf>
    <xf numFmtId="14" fontId="1" fillId="6" borderId="20" xfId="0" applyNumberFormat="1" applyFont="1" applyFill="1" applyBorder="1" applyAlignment="1">
      <alignment horizontal="center" vertical="center"/>
    </xf>
    <xf numFmtId="14" fontId="1" fillId="6" borderId="21" xfId="0" applyNumberFormat="1" applyFont="1" applyFill="1" applyBorder="1" applyAlignment="1">
      <alignment horizontal="center" vertical="center"/>
    </xf>
    <xf numFmtId="14" fontId="1" fillId="6" borderId="22" xfId="0" applyNumberFormat="1" applyFont="1" applyFill="1" applyBorder="1" applyAlignment="1">
      <alignment horizontal="center" vertical="center"/>
    </xf>
    <xf numFmtId="14" fontId="1" fillId="3" borderId="19" xfId="0" applyNumberFormat="1" applyFont="1" applyFill="1" applyBorder="1" applyAlignment="1">
      <alignment horizontal="center" vertical="center"/>
    </xf>
    <xf numFmtId="14" fontId="1" fillId="3" borderId="20" xfId="0" applyNumberFormat="1" applyFont="1" applyFill="1" applyBorder="1" applyAlignment="1">
      <alignment horizontal="center" vertical="center"/>
    </xf>
    <xf numFmtId="14" fontId="1" fillId="3" borderId="21" xfId="0" applyNumberFormat="1" applyFont="1" applyFill="1" applyBorder="1" applyAlignment="1">
      <alignment horizontal="center" vertical="center"/>
    </xf>
    <xf numFmtId="14" fontId="1" fillId="3" borderId="22" xfId="0" applyNumberFormat="1" applyFont="1" applyFill="1" applyBorder="1" applyAlignment="1">
      <alignment horizontal="center" vertical="center"/>
    </xf>
    <xf numFmtId="14" fontId="1" fillId="7" borderId="19" xfId="0" applyNumberFormat="1" applyFont="1" applyFill="1" applyBorder="1" applyAlignment="1">
      <alignment horizontal="center" vertical="center" wrapText="1"/>
    </xf>
    <xf numFmtId="14" fontId="1" fillId="7" borderId="20" xfId="0" applyNumberFormat="1" applyFont="1" applyFill="1" applyBorder="1" applyAlignment="1">
      <alignment horizontal="center" vertical="center" wrapText="1"/>
    </xf>
    <xf numFmtId="14" fontId="1" fillId="7" borderId="21" xfId="0" applyNumberFormat="1" applyFont="1" applyFill="1" applyBorder="1" applyAlignment="1">
      <alignment horizontal="center" vertical="center" wrapText="1"/>
    </xf>
    <xf numFmtId="14" fontId="1" fillId="7" borderId="22" xfId="0" applyNumberFormat="1" applyFont="1" applyFill="1" applyBorder="1" applyAlignment="1">
      <alignment horizontal="center" vertical="center" wrapText="1"/>
    </xf>
    <xf numFmtId="14" fontId="1" fillId="2" borderId="21" xfId="0" applyNumberFormat="1" applyFont="1" applyFill="1" applyBorder="1" applyAlignment="1">
      <alignment horizontal="center" vertical="center"/>
    </xf>
    <xf numFmtId="14" fontId="1" fillId="2" borderId="25" xfId="0" applyNumberFormat="1" applyFont="1" applyFill="1" applyBorder="1" applyAlignment="1">
      <alignment horizontal="center" vertical="center"/>
    </xf>
    <xf numFmtId="14" fontId="1" fillId="0" borderId="21" xfId="0" applyNumberFormat="1" applyFont="1" applyBorder="1" applyAlignment="1">
      <alignment horizontal="center" vertical="center"/>
    </xf>
    <xf numFmtId="14" fontId="1" fillId="0" borderId="25" xfId="0" applyNumberFormat="1" applyFont="1" applyBorder="1" applyAlignment="1">
      <alignment horizontal="center" vertical="center"/>
    </xf>
    <xf numFmtId="14" fontId="1" fillId="0" borderId="28" xfId="0" applyNumberFormat="1" applyFont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/>
    </xf>
    <xf numFmtId="0" fontId="1" fillId="7" borderId="25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8" borderId="19" xfId="0" applyFont="1" applyFill="1" applyBorder="1" applyAlignment="1">
      <alignment horizontal="center" vertical="center"/>
    </xf>
    <xf numFmtId="0" fontId="2" fillId="8" borderId="35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18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14" fontId="1" fillId="9" borderId="26" xfId="0" applyNumberFormat="1" applyFont="1" applyFill="1" applyBorder="1" applyAlignment="1">
      <alignment horizontal="center" vertical="center"/>
    </xf>
    <xf numFmtId="14" fontId="1" fillId="9" borderId="27" xfId="0" applyNumberFormat="1" applyFont="1" applyFill="1" applyBorder="1" applyAlignment="1">
      <alignment horizontal="center" vertical="center"/>
    </xf>
    <xf numFmtId="14" fontId="1" fillId="9" borderId="21" xfId="0" applyNumberFormat="1" applyFont="1" applyFill="1" applyBorder="1" applyAlignment="1">
      <alignment horizontal="center" vertical="center"/>
    </xf>
    <xf numFmtId="14" fontId="1" fillId="9" borderId="25" xfId="0" applyNumberFormat="1" applyFont="1" applyFill="1" applyBorder="1" applyAlignment="1">
      <alignment horizontal="center" vertical="center"/>
    </xf>
    <xf numFmtId="0" fontId="1" fillId="9" borderId="21" xfId="0" applyFont="1" applyFill="1" applyBorder="1" applyAlignment="1">
      <alignment horizontal="center" vertical="center"/>
    </xf>
    <xf numFmtId="0" fontId="1" fillId="9" borderId="22" xfId="0" applyFont="1" applyFill="1" applyBorder="1" applyAlignment="1">
      <alignment horizontal="center" vertical="center"/>
    </xf>
    <xf numFmtId="14" fontId="1" fillId="9" borderId="28" xfId="0" applyNumberFormat="1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17" fontId="1" fillId="0" borderId="25" xfId="0" applyNumberFormat="1" applyFont="1" applyBorder="1" applyAlignment="1">
      <alignment horizontal="center" vertical="center"/>
    </xf>
    <xf numFmtId="14" fontId="1" fillId="17" borderId="19" xfId="0" applyNumberFormat="1" applyFont="1" applyFill="1" applyBorder="1" applyAlignment="1">
      <alignment horizontal="center" vertical="center" wrapText="1"/>
    </xf>
    <xf numFmtId="14" fontId="1" fillId="17" borderId="20" xfId="0" applyNumberFormat="1" applyFont="1" applyFill="1" applyBorder="1" applyAlignment="1">
      <alignment horizontal="center" vertical="center" wrapText="1"/>
    </xf>
    <xf numFmtId="14" fontId="1" fillId="17" borderId="21" xfId="0" applyNumberFormat="1" applyFont="1" applyFill="1" applyBorder="1" applyAlignment="1">
      <alignment horizontal="center" vertical="center" wrapText="1"/>
    </xf>
    <xf numFmtId="14" fontId="1" fillId="17" borderId="22" xfId="0" applyNumberFormat="1" applyFont="1" applyFill="1" applyBorder="1" applyAlignment="1">
      <alignment horizontal="center" vertical="center" wrapText="1"/>
    </xf>
    <xf numFmtId="0" fontId="1" fillId="17" borderId="21" xfId="0" applyFont="1" applyFill="1" applyBorder="1" applyAlignment="1">
      <alignment horizontal="center" vertical="center"/>
    </xf>
    <xf numFmtId="0" fontId="1" fillId="17" borderId="2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5"/>
  <sheetViews>
    <sheetView topLeftCell="A28" workbookViewId="0">
      <selection activeCell="Q52" sqref="Q52"/>
    </sheetView>
  </sheetViews>
  <sheetFormatPr defaultRowHeight="15" x14ac:dyDescent="0.25"/>
  <cols>
    <col min="1" max="1" width="6.42578125" customWidth="1"/>
    <col min="2" max="2" width="22.7109375" style="3" customWidth="1"/>
    <col min="3" max="3" width="6.5703125" style="2" hidden="1" customWidth="1"/>
    <col min="4" max="4" width="10.42578125" style="2" hidden="1" customWidth="1"/>
    <col min="5" max="5" width="11.42578125" style="2" hidden="1" customWidth="1"/>
    <col min="6" max="6" width="11.42578125" style="4" hidden="1" customWidth="1"/>
    <col min="7" max="8" width="9" style="5" customWidth="1"/>
    <col min="9" max="20" width="8.140625" style="2" customWidth="1"/>
    <col min="25" max="25" width="10.28515625" customWidth="1"/>
  </cols>
  <sheetData>
    <row r="1" spans="1:26" ht="15.75" thickBot="1" x14ac:dyDescent="0.3">
      <c r="B1" s="4" t="s">
        <v>18</v>
      </c>
      <c r="C1" s="320" t="s">
        <v>109</v>
      </c>
      <c r="D1" s="320"/>
      <c r="E1" s="320"/>
      <c r="F1" s="320"/>
      <c r="G1" s="320"/>
      <c r="H1" s="320"/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44893</v>
      </c>
      <c r="J2" s="326"/>
      <c r="K2" s="327">
        <v>44894</v>
      </c>
      <c r="L2" s="328"/>
      <c r="M2" s="325">
        <v>44895</v>
      </c>
      <c r="N2" s="329"/>
      <c r="O2" s="327">
        <v>44896</v>
      </c>
      <c r="P2" s="346"/>
      <c r="Q2" s="325">
        <v>44897</v>
      </c>
      <c r="R2" s="329"/>
      <c r="S2" s="330" t="s">
        <v>69</v>
      </c>
      <c r="T2" s="331"/>
      <c r="U2" s="334" t="s">
        <v>70</v>
      </c>
      <c r="V2" s="335"/>
      <c r="W2" s="338" t="s">
        <v>71</v>
      </c>
      <c r="X2" s="339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40"/>
      <c r="X3" s="341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51" t="s">
        <v>63</v>
      </c>
      <c r="X4" s="352"/>
      <c r="Y4" s="268" t="s">
        <v>99</v>
      </c>
      <c r="Z4" s="269" t="s">
        <v>100</v>
      </c>
    </row>
    <row r="5" spans="1:26" x14ac:dyDescent="0.25">
      <c r="A5" s="263">
        <v>1</v>
      </c>
      <c r="B5" s="256" t="s">
        <v>2</v>
      </c>
      <c r="C5" s="32">
        <v>140</v>
      </c>
      <c r="D5" s="33">
        <v>240</v>
      </c>
      <c r="E5" s="33">
        <v>1</v>
      </c>
      <c r="F5" s="15">
        <f>(C5*D5*E5)/1000000</f>
        <v>3.3599999999999998E-2</v>
      </c>
      <c r="G5" s="23">
        <f>'KASIM 4 HAFTA  '!W5</f>
        <v>329</v>
      </c>
      <c r="H5" s="24">
        <f>F5*G5</f>
        <v>11.054399999999999</v>
      </c>
      <c r="I5" s="21">
        <v>103</v>
      </c>
      <c r="J5" s="11">
        <f t="shared" ref="J5:J68" si="0">F5*I5</f>
        <v>3.4607999999999999</v>
      </c>
      <c r="K5" s="21">
        <v>46</v>
      </c>
      <c r="L5" s="10">
        <f t="shared" ref="L5:L68" si="1">F5*K5</f>
        <v>1.5455999999999999</v>
      </c>
      <c r="M5" s="21">
        <v>5</v>
      </c>
      <c r="N5" s="11">
        <f t="shared" ref="N5:N68" si="2">F5*M5</f>
        <v>0.16799999999999998</v>
      </c>
      <c r="O5" s="21">
        <v>28</v>
      </c>
      <c r="P5" s="10">
        <f>F5*O5</f>
        <v>0.94079999999999997</v>
      </c>
      <c r="Q5" s="21">
        <v>27</v>
      </c>
      <c r="R5" s="11">
        <f t="shared" ref="R5:R68" si="3">F5*Q5</f>
        <v>0.9071999999999999</v>
      </c>
      <c r="S5" s="39">
        <f>G5-I5-K5-M5-O5-Q5</f>
        <v>120</v>
      </c>
      <c r="T5" s="38">
        <f t="shared" ref="T5:T68" si="4">F5*S5</f>
        <v>4.032</v>
      </c>
      <c r="U5" s="12">
        <v>90</v>
      </c>
      <c r="V5" s="13">
        <f>F5*U5</f>
        <v>3.024</v>
      </c>
      <c r="W5" s="49">
        <f>S5+U5</f>
        <v>210</v>
      </c>
      <c r="X5" s="50">
        <f>F5*W5</f>
        <v>7.0559999999999992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3</v>
      </c>
      <c r="C6" s="34">
        <v>140</v>
      </c>
      <c r="D6" s="35">
        <v>240</v>
      </c>
      <c r="E6" s="35">
        <v>0.8</v>
      </c>
      <c r="F6" s="19">
        <f t="shared" ref="F6:F69" si="5">(C6*D6*E6)/1000000</f>
        <v>2.6880000000000001E-2</v>
      </c>
      <c r="G6" s="23">
        <f>'KASIM 4 HAFTA  '!W6</f>
        <v>138</v>
      </c>
      <c r="H6" s="26">
        <f t="shared" ref="H6:H69" si="6">F6*G6</f>
        <v>3.7094400000000003</v>
      </c>
      <c r="I6" s="21">
        <v>14</v>
      </c>
      <c r="J6" s="11">
        <f t="shared" si="0"/>
        <v>0.37631999999999999</v>
      </c>
      <c r="K6" s="21">
        <v>0</v>
      </c>
      <c r="L6" s="10">
        <f t="shared" si="1"/>
        <v>0</v>
      </c>
      <c r="M6" s="21">
        <v>35</v>
      </c>
      <c r="N6" s="11">
        <f t="shared" si="2"/>
        <v>0.94080000000000008</v>
      </c>
      <c r="O6" s="21">
        <v>10</v>
      </c>
      <c r="P6" s="10">
        <f t="shared" ref="P6:P69" si="7">F6*O6</f>
        <v>0.26880000000000004</v>
      </c>
      <c r="Q6" s="21">
        <v>0</v>
      </c>
      <c r="R6" s="11">
        <f t="shared" si="3"/>
        <v>0</v>
      </c>
      <c r="S6" s="39">
        <f>G6-I6-K6-M6-O6-Q6</f>
        <v>79</v>
      </c>
      <c r="T6" s="38">
        <f t="shared" si="4"/>
        <v>2.1235200000000001</v>
      </c>
      <c r="U6" s="12">
        <v>0</v>
      </c>
      <c r="V6" s="13">
        <f t="shared" ref="V6:V68" si="8">F6*U6</f>
        <v>0</v>
      </c>
      <c r="W6" s="49">
        <f t="shared" ref="W6:W69" si="9">S6+U6</f>
        <v>79</v>
      </c>
      <c r="X6" s="50">
        <f t="shared" ref="X6:X69" si="10">F6*W6</f>
        <v>2.1235200000000001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4</v>
      </c>
      <c r="C7" s="34">
        <v>140</v>
      </c>
      <c r="D7" s="35">
        <v>240</v>
      </c>
      <c r="E7" s="35">
        <v>1.4</v>
      </c>
      <c r="F7" s="19">
        <f t="shared" si="5"/>
        <v>4.7039999999999998E-2</v>
      </c>
      <c r="G7" s="23">
        <f>'KASIM 4 HAFTA  '!W7</f>
        <v>78</v>
      </c>
      <c r="H7" s="26">
        <f t="shared" si="6"/>
        <v>3.6691199999999999</v>
      </c>
      <c r="I7" s="21">
        <v>38</v>
      </c>
      <c r="J7" s="11">
        <f t="shared" si="0"/>
        <v>1.78752</v>
      </c>
      <c r="K7" s="21">
        <v>24</v>
      </c>
      <c r="L7" s="10">
        <f t="shared" si="1"/>
        <v>1.12896</v>
      </c>
      <c r="M7" s="21">
        <v>2</v>
      </c>
      <c r="N7" s="11">
        <f t="shared" si="2"/>
        <v>9.4079999999999997E-2</v>
      </c>
      <c r="O7" s="21">
        <v>39</v>
      </c>
      <c r="P7" s="10">
        <f t="shared" si="7"/>
        <v>1.83456</v>
      </c>
      <c r="Q7" s="21">
        <v>1</v>
      </c>
      <c r="R7" s="11">
        <f t="shared" si="3"/>
        <v>4.7039999999999998E-2</v>
      </c>
      <c r="S7" s="39">
        <f t="shared" ref="S7:S70" si="11">G7-I7-K7-M7-O7-Q7</f>
        <v>-26</v>
      </c>
      <c r="T7" s="38">
        <f t="shared" si="4"/>
        <v>-1.2230399999999999</v>
      </c>
      <c r="U7" s="12">
        <v>150</v>
      </c>
      <c r="V7" s="13">
        <f t="shared" si="8"/>
        <v>7.056</v>
      </c>
      <c r="W7" s="49">
        <f t="shared" si="9"/>
        <v>124</v>
      </c>
      <c r="X7" s="50">
        <f t="shared" si="10"/>
        <v>5.8329599999999999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5</v>
      </c>
      <c r="C8" s="34">
        <v>140</v>
      </c>
      <c r="D8" s="35">
        <v>240</v>
      </c>
      <c r="E8" s="35">
        <v>4</v>
      </c>
      <c r="F8" s="19">
        <f t="shared" si="5"/>
        <v>0.13439999999999999</v>
      </c>
      <c r="G8" s="23">
        <f>'KASIM 4 HAFTA  '!W8</f>
        <v>2</v>
      </c>
      <c r="H8" s="26">
        <f t="shared" si="6"/>
        <v>0.26879999999999998</v>
      </c>
      <c r="I8" s="21">
        <v>2</v>
      </c>
      <c r="J8" s="11">
        <f t="shared" si="0"/>
        <v>0.26879999999999998</v>
      </c>
      <c r="K8" s="21">
        <v>0</v>
      </c>
      <c r="L8" s="10">
        <f t="shared" si="1"/>
        <v>0</v>
      </c>
      <c r="M8" s="21">
        <v>0</v>
      </c>
      <c r="N8" s="11">
        <f t="shared" si="2"/>
        <v>0</v>
      </c>
      <c r="O8" s="21">
        <v>0</v>
      </c>
      <c r="P8" s="10">
        <f t="shared" si="7"/>
        <v>0</v>
      </c>
      <c r="Q8" s="21">
        <v>0</v>
      </c>
      <c r="R8" s="11">
        <f t="shared" si="3"/>
        <v>0</v>
      </c>
      <c r="S8" s="39">
        <f t="shared" si="11"/>
        <v>0</v>
      </c>
      <c r="T8" s="38">
        <f t="shared" si="4"/>
        <v>0</v>
      </c>
      <c r="U8" s="12"/>
      <c r="V8" s="13">
        <f t="shared" si="8"/>
        <v>0</v>
      </c>
      <c r="W8" s="49">
        <f t="shared" si="9"/>
        <v>0</v>
      </c>
      <c r="X8" s="50">
        <f t="shared" si="10"/>
        <v>0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6</v>
      </c>
      <c r="C9" s="34">
        <v>140</v>
      </c>
      <c r="D9" s="35">
        <v>240</v>
      </c>
      <c r="E9" s="35">
        <v>2</v>
      </c>
      <c r="F9" s="19">
        <f t="shared" si="5"/>
        <v>6.7199999999999996E-2</v>
      </c>
      <c r="G9" s="23">
        <f>'KASIM 4 HAFTA  '!W9</f>
        <v>80</v>
      </c>
      <c r="H9" s="26">
        <f t="shared" si="6"/>
        <v>5.3759999999999994</v>
      </c>
      <c r="I9" s="21">
        <v>0</v>
      </c>
      <c r="J9" s="11">
        <f t="shared" si="0"/>
        <v>0</v>
      </c>
      <c r="K9" s="21">
        <v>4</v>
      </c>
      <c r="L9" s="10">
        <f t="shared" si="1"/>
        <v>0.26879999999999998</v>
      </c>
      <c r="M9" s="21">
        <v>0</v>
      </c>
      <c r="N9" s="11">
        <f t="shared" si="2"/>
        <v>0</v>
      </c>
      <c r="O9" s="21">
        <v>2</v>
      </c>
      <c r="P9" s="10">
        <f t="shared" si="7"/>
        <v>0.13439999999999999</v>
      </c>
      <c r="Q9" s="21">
        <v>1</v>
      </c>
      <c r="R9" s="11">
        <f t="shared" si="3"/>
        <v>6.7199999999999996E-2</v>
      </c>
      <c r="S9" s="39">
        <f t="shared" si="11"/>
        <v>73</v>
      </c>
      <c r="T9" s="38">
        <f t="shared" si="4"/>
        <v>4.9055999999999997</v>
      </c>
      <c r="U9" s="12"/>
      <c r="V9" s="13">
        <f t="shared" si="8"/>
        <v>0</v>
      </c>
      <c r="W9" s="49">
        <f t="shared" si="9"/>
        <v>73</v>
      </c>
      <c r="X9" s="50">
        <f t="shared" si="10"/>
        <v>4.9055999999999997</v>
      </c>
      <c r="Y9" s="238">
        <v>50</v>
      </c>
      <c r="Z9" s="101">
        <v>150</v>
      </c>
    </row>
    <row r="10" spans="1:26" x14ac:dyDescent="0.25">
      <c r="A10" s="264">
        <v>6</v>
      </c>
      <c r="B10" s="256" t="s">
        <v>7</v>
      </c>
      <c r="C10" s="34">
        <v>140</v>
      </c>
      <c r="D10" s="35">
        <v>240</v>
      </c>
      <c r="E10" s="35">
        <v>2</v>
      </c>
      <c r="F10" s="19">
        <f t="shared" si="5"/>
        <v>6.7199999999999996E-2</v>
      </c>
      <c r="G10" s="23">
        <f>'KASIM 4 HAFTA  '!W10</f>
        <v>88</v>
      </c>
      <c r="H10" s="26">
        <f t="shared" si="6"/>
        <v>5.9135999999999997</v>
      </c>
      <c r="I10" s="21">
        <v>32</v>
      </c>
      <c r="J10" s="11">
        <f t="shared" si="0"/>
        <v>2.1503999999999999</v>
      </c>
      <c r="K10" s="21">
        <v>0</v>
      </c>
      <c r="L10" s="10">
        <f t="shared" si="1"/>
        <v>0</v>
      </c>
      <c r="M10" s="21">
        <v>0</v>
      </c>
      <c r="N10" s="11">
        <f t="shared" si="2"/>
        <v>0</v>
      </c>
      <c r="O10" s="21">
        <v>43</v>
      </c>
      <c r="P10" s="10">
        <f t="shared" si="7"/>
        <v>2.8895999999999997</v>
      </c>
      <c r="Q10" s="21">
        <v>0</v>
      </c>
      <c r="R10" s="11">
        <f t="shared" si="3"/>
        <v>0</v>
      </c>
      <c r="S10" s="39">
        <f t="shared" si="11"/>
        <v>13</v>
      </c>
      <c r="T10" s="38">
        <f t="shared" si="4"/>
        <v>0.87359999999999993</v>
      </c>
      <c r="U10" s="12"/>
      <c r="V10" s="13">
        <f t="shared" si="8"/>
        <v>0</v>
      </c>
      <c r="W10" s="49">
        <f t="shared" si="9"/>
        <v>13</v>
      </c>
      <c r="X10" s="50">
        <f t="shared" si="10"/>
        <v>0.87359999999999993</v>
      </c>
      <c r="Y10" s="238">
        <v>75</v>
      </c>
      <c r="Z10" s="101">
        <v>300</v>
      </c>
    </row>
    <row r="11" spans="1:26" x14ac:dyDescent="0.25">
      <c r="A11" s="264">
        <v>7</v>
      </c>
      <c r="B11" s="256" t="s">
        <v>8</v>
      </c>
      <c r="C11" s="34">
        <v>140</v>
      </c>
      <c r="D11" s="35">
        <v>240</v>
      </c>
      <c r="E11" s="35">
        <v>7</v>
      </c>
      <c r="F11" s="19">
        <f t="shared" si="5"/>
        <v>0.23519999999999999</v>
      </c>
      <c r="G11" s="23">
        <f>'KASIM 4 HAFTA  '!W11</f>
        <v>68</v>
      </c>
      <c r="H11" s="26">
        <f t="shared" si="6"/>
        <v>15.993599999999999</v>
      </c>
      <c r="I11" s="21">
        <v>0</v>
      </c>
      <c r="J11" s="11">
        <f t="shared" si="0"/>
        <v>0</v>
      </c>
      <c r="K11" s="21">
        <v>0</v>
      </c>
      <c r="L11" s="10">
        <f t="shared" si="1"/>
        <v>0</v>
      </c>
      <c r="M11" s="21">
        <v>6</v>
      </c>
      <c r="N11" s="11">
        <f t="shared" si="2"/>
        <v>1.4112</v>
      </c>
      <c r="O11" s="21">
        <v>4</v>
      </c>
      <c r="P11" s="10">
        <f t="shared" si="7"/>
        <v>0.94079999999999997</v>
      </c>
      <c r="Q11" s="21">
        <v>0</v>
      </c>
      <c r="R11" s="11">
        <f t="shared" si="3"/>
        <v>0</v>
      </c>
      <c r="S11" s="39">
        <f t="shared" si="11"/>
        <v>58</v>
      </c>
      <c r="T11" s="38">
        <f t="shared" si="4"/>
        <v>13.6416</v>
      </c>
      <c r="U11" s="12">
        <v>0</v>
      </c>
      <c r="V11" s="13">
        <f t="shared" si="8"/>
        <v>0</v>
      </c>
      <c r="W11" s="49">
        <f t="shared" si="9"/>
        <v>58</v>
      </c>
      <c r="X11" s="50">
        <f t="shared" si="10"/>
        <v>13.6416</v>
      </c>
      <c r="Y11" s="238">
        <v>20</v>
      </c>
      <c r="Z11" s="101">
        <v>50</v>
      </c>
    </row>
    <row r="12" spans="1:26" x14ac:dyDescent="0.25">
      <c r="A12" s="264">
        <v>8</v>
      </c>
      <c r="B12" s="256" t="s">
        <v>9</v>
      </c>
      <c r="C12" s="34">
        <v>140</v>
      </c>
      <c r="D12" s="35">
        <v>240</v>
      </c>
      <c r="E12" s="35">
        <v>5</v>
      </c>
      <c r="F12" s="19">
        <f t="shared" si="5"/>
        <v>0.16800000000000001</v>
      </c>
      <c r="G12" s="23">
        <f>'KASIM 4 HAFTA  '!W12</f>
        <v>291</v>
      </c>
      <c r="H12" s="26">
        <f t="shared" si="6"/>
        <v>48.888000000000005</v>
      </c>
      <c r="I12" s="21">
        <v>0</v>
      </c>
      <c r="J12" s="11">
        <f t="shared" si="0"/>
        <v>0</v>
      </c>
      <c r="K12" s="21">
        <v>0</v>
      </c>
      <c r="L12" s="10">
        <f t="shared" si="1"/>
        <v>0</v>
      </c>
      <c r="M12" s="21">
        <v>0</v>
      </c>
      <c r="N12" s="11">
        <f t="shared" si="2"/>
        <v>0</v>
      </c>
      <c r="O12" s="21">
        <v>0</v>
      </c>
      <c r="P12" s="10">
        <f t="shared" si="7"/>
        <v>0</v>
      </c>
      <c r="Q12" s="21">
        <v>0</v>
      </c>
      <c r="R12" s="11">
        <f t="shared" si="3"/>
        <v>0</v>
      </c>
      <c r="S12" s="39">
        <f t="shared" si="11"/>
        <v>291</v>
      </c>
      <c r="T12" s="38">
        <f t="shared" si="4"/>
        <v>48.888000000000005</v>
      </c>
      <c r="U12" s="12"/>
      <c r="V12" s="13">
        <f t="shared" si="8"/>
        <v>0</v>
      </c>
      <c r="W12" s="49">
        <f t="shared" si="9"/>
        <v>291</v>
      </c>
      <c r="X12" s="50">
        <f t="shared" si="10"/>
        <v>48.888000000000005</v>
      </c>
      <c r="Y12" s="238">
        <v>30</v>
      </c>
      <c r="Z12" s="101">
        <v>100</v>
      </c>
    </row>
    <row r="13" spans="1:26" x14ac:dyDescent="0.25">
      <c r="A13" s="264">
        <v>9</v>
      </c>
      <c r="B13" s="256" t="s">
        <v>10</v>
      </c>
      <c r="C13" s="34">
        <v>140</v>
      </c>
      <c r="D13" s="35">
        <v>240</v>
      </c>
      <c r="E13" s="35">
        <v>5</v>
      </c>
      <c r="F13" s="19">
        <f t="shared" si="5"/>
        <v>0.16800000000000001</v>
      </c>
      <c r="G13" s="23">
        <f>'KASIM 4 HAFTA  '!W13</f>
        <v>0</v>
      </c>
      <c r="H13" s="26">
        <f t="shared" si="6"/>
        <v>0</v>
      </c>
      <c r="I13" s="21">
        <v>6</v>
      </c>
      <c r="J13" s="11">
        <f t="shared" si="0"/>
        <v>1.008</v>
      </c>
      <c r="K13" s="21">
        <v>0</v>
      </c>
      <c r="L13" s="10">
        <f t="shared" si="1"/>
        <v>0</v>
      </c>
      <c r="M13" s="21">
        <v>0</v>
      </c>
      <c r="N13" s="11">
        <f t="shared" si="2"/>
        <v>0</v>
      </c>
      <c r="O13" s="21">
        <v>1</v>
      </c>
      <c r="P13" s="10">
        <f t="shared" si="7"/>
        <v>0.16800000000000001</v>
      </c>
      <c r="Q13" s="21">
        <v>0</v>
      </c>
      <c r="R13" s="11">
        <f t="shared" si="3"/>
        <v>0</v>
      </c>
      <c r="S13" s="39">
        <f t="shared" si="11"/>
        <v>-7</v>
      </c>
      <c r="T13" s="38">
        <f t="shared" si="4"/>
        <v>-1.1760000000000002</v>
      </c>
      <c r="U13" s="12">
        <v>26</v>
      </c>
      <c r="V13" s="13">
        <f t="shared" si="8"/>
        <v>4.3680000000000003</v>
      </c>
      <c r="W13" s="49">
        <f t="shared" si="9"/>
        <v>19</v>
      </c>
      <c r="X13" s="50">
        <f t="shared" si="10"/>
        <v>3.1920000000000002</v>
      </c>
      <c r="Y13" s="238">
        <v>20</v>
      </c>
      <c r="Z13" s="101">
        <v>50</v>
      </c>
    </row>
    <row r="14" spans="1:26" x14ac:dyDescent="0.25">
      <c r="A14" s="264">
        <v>10</v>
      </c>
      <c r="B14" s="256" t="s">
        <v>11</v>
      </c>
      <c r="C14" s="34">
        <v>140</v>
      </c>
      <c r="D14" s="35">
        <v>240</v>
      </c>
      <c r="E14" s="35">
        <v>5</v>
      </c>
      <c r="F14" s="19">
        <f t="shared" si="5"/>
        <v>0.16800000000000001</v>
      </c>
      <c r="G14" s="23">
        <f>'KASIM 4 HAFTA  '!W14</f>
        <v>51</v>
      </c>
      <c r="H14" s="26">
        <f t="shared" si="6"/>
        <v>8.5680000000000014</v>
      </c>
      <c r="I14" s="21">
        <v>0</v>
      </c>
      <c r="J14" s="11">
        <f t="shared" si="0"/>
        <v>0</v>
      </c>
      <c r="K14" s="21">
        <v>3</v>
      </c>
      <c r="L14" s="10">
        <f t="shared" si="1"/>
        <v>0.504</v>
      </c>
      <c r="M14" s="21">
        <v>0</v>
      </c>
      <c r="N14" s="11">
        <f t="shared" si="2"/>
        <v>0</v>
      </c>
      <c r="O14" s="21">
        <v>0</v>
      </c>
      <c r="P14" s="10">
        <f t="shared" si="7"/>
        <v>0</v>
      </c>
      <c r="Q14" s="21">
        <v>1</v>
      </c>
      <c r="R14" s="11">
        <f t="shared" si="3"/>
        <v>0.16800000000000001</v>
      </c>
      <c r="S14" s="39">
        <f t="shared" si="11"/>
        <v>47</v>
      </c>
      <c r="T14" s="38">
        <f t="shared" si="4"/>
        <v>7.8960000000000008</v>
      </c>
      <c r="U14" s="12">
        <v>102</v>
      </c>
      <c r="V14" s="13">
        <f t="shared" si="8"/>
        <v>17.136000000000003</v>
      </c>
      <c r="W14" s="49">
        <f t="shared" si="9"/>
        <v>149</v>
      </c>
      <c r="X14" s="50">
        <f t="shared" si="10"/>
        <v>25.032</v>
      </c>
      <c r="Y14" s="238">
        <v>30</v>
      </c>
      <c r="Z14" s="101">
        <v>100</v>
      </c>
    </row>
    <row r="15" spans="1:26" x14ac:dyDescent="0.25">
      <c r="A15" s="264">
        <v>11</v>
      </c>
      <c r="B15" s="256" t="s">
        <v>12</v>
      </c>
      <c r="C15" s="34">
        <v>140</v>
      </c>
      <c r="D15" s="35">
        <v>240</v>
      </c>
      <c r="E15" s="35">
        <v>10</v>
      </c>
      <c r="F15" s="19">
        <f t="shared" si="5"/>
        <v>0.33600000000000002</v>
      </c>
      <c r="G15" s="23">
        <v>3</v>
      </c>
      <c r="H15" s="26">
        <f t="shared" si="6"/>
        <v>1.008</v>
      </c>
      <c r="I15" s="21">
        <v>0</v>
      </c>
      <c r="J15" s="11">
        <f t="shared" si="0"/>
        <v>0</v>
      </c>
      <c r="K15" s="21">
        <v>0</v>
      </c>
      <c r="L15" s="10">
        <f t="shared" si="1"/>
        <v>0</v>
      </c>
      <c r="M15" s="21">
        <v>0</v>
      </c>
      <c r="N15" s="11">
        <f t="shared" si="2"/>
        <v>0</v>
      </c>
      <c r="O15" s="21">
        <v>13</v>
      </c>
      <c r="P15" s="10">
        <f t="shared" si="7"/>
        <v>4.3680000000000003</v>
      </c>
      <c r="Q15" s="21">
        <v>1</v>
      </c>
      <c r="R15" s="11">
        <f t="shared" si="3"/>
        <v>0.33600000000000002</v>
      </c>
      <c r="S15" s="39">
        <f t="shared" si="11"/>
        <v>-11</v>
      </c>
      <c r="T15" s="38">
        <f t="shared" si="4"/>
        <v>-3.6960000000000002</v>
      </c>
      <c r="U15" s="12">
        <v>10</v>
      </c>
      <c r="V15" s="13">
        <f t="shared" si="8"/>
        <v>3.3600000000000003</v>
      </c>
      <c r="W15" s="49">
        <f t="shared" si="9"/>
        <v>-1</v>
      </c>
      <c r="X15" s="50">
        <f t="shared" si="10"/>
        <v>-0.33600000000000002</v>
      </c>
      <c r="Y15" s="238">
        <v>20</v>
      </c>
      <c r="Z15" s="101">
        <v>70</v>
      </c>
    </row>
    <row r="16" spans="1:26" x14ac:dyDescent="0.25">
      <c r="A16" s="264">
        <v>12</v>
      </c>
      <c r="B16" s="256" t="s">
        <v>13</v>
      </c>
      <c r="C16" s="34">
        <v>140</v>
      </c>
      <c r="D16" s="35">
        <v>240</v>
      </c>
      <c r="E16" s="35">
        <v>3</v>
      </c>
      <c r="F16" s="19">
        <f t="shared" si="5"/>
        <v>0.1008</v>
      </c>
      <c r="G16" s="23">
        <v>1</v>
      </c>
      <c r="H16" s="26">
        <f t="shared" si="6"/>
        <v>0.1008</v>
      </c>
      <c r="I16" s="21">
        <v>17</v>
      </c>
      <c r="J16" s="11">
        <f t="shared" si="0"/>
        <v>1.7136</v>
      </c>
      <c r="K16" s="21">
        <v>5</v>
      </c>
      <c r="L16" s="10">
        <f t="shared" si="1"/>
        <v>0.504</v>
      </c>
      <c r="M16" s="21">
        <v>7</v>
      </c>
      <c r="N16" s="11">
        <f t="shared" si="2"/>
        <v>0.7056</v>
      </c>
      <c r="O16" s="21">
        <v>10</v>
      </c>
      <c r="P16" s="10">
        <f t="shared" si="7"/>
        <v>1.008</v>
      </c>
      <c r="Q16" s="21">
        <v>3</v>
      </c>
      <c r="R16" s="11">
        <f t="shared" si="3"/>
        <v>0.3024</v>
      </c>
      <c r="S16" s="39">
        <f t="shared" si="11"/>
        <v>-41</v>
      </c>
      <c r="T16" s="38">
        <f t="shared" si="4"/>
        <v>-4.1327999999999996</v>
      </c>
      <c r="U16" s="12">
        <v>85</v>
      </c>
      <c r="V16" s="13">
        <f t="shared" si="8"/>
        <v>8.5679999999999996</v>
      </c>
      <c r="W16" s="49">
        <f t="shared" si="9"/>
        <v>44</v>
      </c>
      <c r="X16" s="50">
        <f t="shared" si="10"/>
        <v>4.4352</v>
      </c>
      <c r="Y16" s="238">
        <v>50</v>
      </c>
      <c r="Z16" s="101">
        <v>150</v>
      </c>
    </row>
    <row r="17" spans="1:26" x14ac:dyDescent="0.25">
      <c r="A17" s="264">
        <v>13</v>
      </c>
      <c r="B17" s="256" t="s">
        <v>14</v>
      </c>
      <c r="C17" s="34">
        <v>140</v>
      </c>
      <c r="D17" s="35">
        <v>240</v>
      </c>
      <c r="E17" s="35">
        <v>5</v>
      </c>
      <c r="F17" s="19">
        <f t="shared" si="5"/>
        <v>0.16800000000000001</v>
      </c>
      <c r="G17" s="23">
        <f>'KASIM 4 HAFTA  '!W17</f>
        <v>87</v>
      </c>
      <c r="H17" s="26">
        <f t="shared" si="6"/>
        <v>14.616000000000001</v>
      </c>
      <c r="I17" s="21">
        <v>2</v>
      </c>
      <c r="J17" s="11">
        <f t="shared" si="0"/>
        <v>0.33600000000000002</v>
      </c>
      <c r="K17" s="21">
        <v>0</v>
      </c>
      <c r="L17" s="10">
        <f t="shared" si="1"/>
        <v>0</v>
      </c>
      <c r="M17" s="21">
        <v>3</v>
      </c>
      <c r="N17" s="11">
        <f t="shared" si="2"/>
        <v>0.504</v>
      </c>
      <c r="O17" s="21">
        <v>0</v>
      </c>
      <c r="P17" s="10">
        <f t="shared" si="7"/>
        <v>0</v>
      </c>
      <c r="Q17" s="21">
        <v>0</v>
      </c>
      <c r="R17" s="11">
        <f t="shared" si="3"/>
        <v>0</v>
      </c>
      <c r="S17" s="39">
        <f t="shared" si="11"/>
        <v>82</v>
      </c>
      <c r="T17" s="38">
        <f t="shared" si="4"/>
        <v>13.776000000000002</v>
      </c>
      <c r="U17" s="12"/>
      <c r="V17" s="13">
        <f t="shared" si="8"/>
        <v>0</v>
      </c>
      <c r="W17" s="49">
        <f t="shared" si="9"/>
        <v>82</v>
      </c>
      <c r="X17" s="50">
        <f t="shared" si="10"/>
        <v>13.776000000000002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15</v>
      </c>
      <c r="C18" s="34">
        <v>140</v>
      </c>
      <c r="D18" s="35">
        <v>240</v>
      </c>
      <c r="E18" s="35">
        <v>3</v>
      </c>
      <c r="F18" s="19">
        <f t="shared" si="5"/>
        <v>0.1008</v>
      </c>
      <c r="G18" s="23">
        <f>'KASIM 4 HAFTA  '!W18</f>
        <v>2</v>
      </c>
      <c r="H18" s="26">
        <f t="shared" si="6"/>
        <v>0.2016</v>
      </c>
      <c r="I18" s="21">
        <v>2</v>
      </c>
      <c r="J18" s="11">
        <f t="shared" si="0"/>
        <v>0.2016</v>
      </c>
      <c r="K18" s="21">
        <v>0</v>
      </c>
      <c r="L18" s="10">
        <f t="shared" si="1"/>
        <v>0</v>
      </c>
      <c r="M18" s="21">
        <v>0</v>
      </c>
      <c r="N18" s="11">
        <f t="shared" si="2"/>
        <v>0</v>
      </c>
      <c r="O18" s="21">
        <v>0</v>
      </c>
      <c r="P18" s="10">
        <f t="shared" si="7"/>
        <v>0</v>
      </c>
      <c r="Q18" s="21">
        <v>0</v>
      </c>
      <c r="R18" s="11">
        <f t="shared" si="3"/>
        <v>0</v>
      </c>
      <c r="S18" s="39">
        <f t="shared" si="11"/>
        <v>0</v>
      </c>
      <c r="T18" s="38">
        <f t="shared" si="4"/>
        <v>0</v>
      </c>
      <c r="U18" s="12"/>
      <c r="V18" s="13">
        <f t="shared" si="8"/>
        <v>0</v>
      </c>
      <c r="W18" s="49">
        <f t="shared" si="9"/>
        <v>0</v>
      </c>
      <c r="X18" s="50">
        <f t="shared" si="10"/>
        <v>0</v>
      </c>
      <c r="Y18" s="238">
        <v>30</v>
      </c>
      <c r="Z18" s="101">
        <v>100</v>
      </c>
    </row>
    <row r="19" spans="1:26" x14ac:dyDescent="0.25">
      <c r="A19" s="264">
        <v>15</v>
      </c>
      <c r="B19" s="256" t="s">
        <v>16</v>
      </c>
      <c r="C19" s="34">
        <v>140</v>
      </c>
      <c r="D19" s="35">
        <v>240</v>
      </c>
      <c r="E19" s="35">
        <v>8</v>
      </c>
      <c r="F19" s="19">
        <f t="shared" si="5"/>
        <v>0.26879999999999998</v>
      </c>
      <c r="G19" s="23">
        <f>'KASIM 4 HAFTA  '!W19</f>
        <v>1</v>
      </c>
      <c r="H19" s="26">
        <f t="shared" si="6"/>
        <v>0.26879999999999998</v>
      </c>
      <c r="I19" s="21">
        <v>0</v>
      </c>
      <c r="J19" s="11">
        <f t="shared" si="0"/>
        <v>0</v>
      </c>
      <c r="K19" s="21">
        <v>0</v>
      </c>
      <c r="L19" s="10">
        <f t="shared" si="1"/>
        <v>0</v>
      </c>
      <c r="M19" s="21">
        <v>0</v>
      </c>
      <c r="N19" s="11">
        <f t="shared" si="2"/>
        <v>0</v>
      </c>
      <c r="O19" s="21">
        <v>0</v>
      </c>
      <c r="P19" s="10">
        <f t="shared" si="7"/>
        <v>0</v>
      </c>
      <c r="Q19" s="21">
        <v>0</v>
      </c>
      <c r="R19" s="11">
        <f t="shared" si="3"/>
        <v>0</v>
      </c>
      <c r="S19" s="39">
        <f t="shared" si="11"/>
        <v>1</v>
      </c>
      <c r="T19" s="38">
        <f t="shared" si="4"/>
        <v>0.26879999999999998</v>
      </c>
      <c r="U19" s="12"/>
      <c r="V19" s="13">
        <f t="shared" si="8"/>
        <v>0</v>
      </c>
      <c r="W19" s="49">
        <f t="shared" si="9"/>
        <v>1</v>
      </c>
      <c r="X19" s="50">
        <f t="shared" si="10"/>
        <v>0.26879999999999998</v>
      </c>
      <c r="Y19" s="238">
        <v>10</v>
      </c>
      <c r="Z19" s="101">
        <v>30</v>
      </c>
    </row>
    <row r="20" spans="1:26" x14ac:dyDescent="0.25">
      <c r="A20" s="264">
        <v>16</v>
      </c>
      <c r="B20" s="256" t="s">
        <v>17</v>
      </c>
      <c r="C20" s="34">
        <v>140</v>
      </c>
      <c r="D20" s="35">
        <v>240</v>
      </c>
      <c r="E20" s="35">
        <v>8</v>
      </c>
      <c r="F20" s="19">
        <f t="shared" si="5"/>
        <v>0.26879999999999998</v>
      </c>
      <c r="G20" s="23">
        <f>'KASIM 4 HAFTA  '!W20</f>
        <v>0</v>
      </c>
      <c r="H20" s="26">
        <f t="shared" si="6"/>
        <v>0</v>
      </c>
      <c r="I20" s="21">
        <v>0</v>
      </c>
      <c r="J20" s="11">
        <f t="shared" si="0"/>
        <v>0</v>
      </c>
      <c r="K20" s="21">
        <v>0</v>
      </c>
      <c r="L20" s="10">
        <f t="shared" si="1"/>
        <v>0</v>
      </c>
      <c r="M20" s="21">
        <v>0</v>
      </c>
      <c r="N20" s="11">
        <f t="shared" si="2"/>
        <v>0</v>
      </c>
      <c r="O20" s="21">
        <v>0</v>
      </c>
      <c r="P20" s="10">
        <f t="shared" si="7"/>
        <v>0</v>
      </c>
      <c r="Q20" s="21">
        <v>0</v>
      </c>
      <c r="R20" s="11">
        <f t="shared" si="3"/>
        <v>0</v>
      </c>
      <c r="S20" s="39">
        <f t="shared" si="11"/>
        <v>0</v>
      </c>
      <c r="T20" s="38">
        <f t="shared" si="4"/>
        <v>0</v>
      </c>
      <c r="U20" s="12"/>
      <c r="V20" s="13">
        <f t="shared" si="8"/>
        <v>0</v>
      </c>
      <c r="W20" s="49">
        <f t="shared" si="9"/>
        <v>0</v>
      </c>
      <c r="X20" s="50">
        <f t="shared" si="10"/>
        <v>0</v>
      </c>
      <c r="Y20" s="238">
        <v>0</v>
      </c>
      <c r="Z20" s="101">
        <v>0</v>
      </c>
    </row>
    <row r="21" spans="1:26" x14ac:dyDescent="0.25">
      <c r="A21" s="264">
        <v>17</v>
      </c>
      <c r="B21" s="256" t="s">
        <v>19</v>
      </c>
      <c r="C21" s="34">
        <v>77</v>
      </c>
      <c r="D21" s="35">
        <v>55</v>
      </c>
      <c r="E21" s="35">
        <v>8</v>
      </c>
      <c r="F21" s="19">
        <f t="shared" si="5"/>
        <v>3.388E-2</v>
      </c>
      <c r="G21" s="23">
        <f>'KASIM 4 HAFTA  '!W21</f>
        <v>4</v>
      </c>
      <c r="H21" s="26">
        <f t="shared" si="6"/>
        <v>0.13552</v>
      </c>
      <c r="I21" s="21">
        <v>0</v>
      </c>
      <c r="J21" s="11">
        <f t="shared" si="0"/>
        <v>0</v>
      </c>
      <c r="K21" s="21">
        <v>0</v>
      </c>
      <c r="L21" s="10">
        <f t="shared" si="1"/>
        <v>0</v>
      </c>
      <c r="M21" s="21">
        <v>0</v>
      </c>
      <c r="N21" s="11">
        <f t="shared" si="2"/>
        <v>0</v>
      </c>
      <c r="O21" s="21">
        <v>0</v>
      </c>
      <c r="P21" s="10">
        <f t="shared" si="7"/>
        <v>0</v>
      </c>
      <c r="Q21" s="21">
        <v>0</v>
      </c>
      <c r="R21" s="11">
        <f t="shared" si="3"/>
        <v>0</v>
      </c>
      <c r="S21" s="39">
        <f t="shared" si="11"/>
        <v>4</v>
      </c>
      <c r="T21" s="38">
        <f t="shared" si="4"/>
        <v>0.13552</v>
      </c>
      <c r="U21" s="12"/>
      <c r="V21" s="13">
        <f t="shared" si="8"/>
        <v>0</v>
      </c>
      <c r="W21" s="49">
        <f t="shared" si="9"/>
        <v>4</v>
      </c>
      <c r="X21" s="50">
        <f t="shared" si="10"/>
        <v>0.13552</v>
      </c>
      <c r="Y21" s="238">
        <v>0</v>
      </c>
      <c r="Z21" s="101">
        <v>0</v>
      </c>
    </row>
    <row r="22" spans="1:26" x14ac:dyDescent="0.25">
      <c r="A22" s="264">
        <v>18</v>
      </c>
      <c r="B22" s="256" t="s">
        <v>20</v>
      </c>
      <c r="C22" s="34">
        <v>65</v>
      </c>
      <c r="D22" s="35">
        <v>50</v>
      </c>
      <c r="E22" s="35">
        <v>12</v>
      </c>
      <c r="F22" s="19">
        <f t="shared" si="5"/>
        <v>3.9E-2</v>
      </c>
      <c r="G22" s="23">
        <f>'KASIM 4 HAFTA  '!W22</f>
        <v>26</v>
      </c>
      <c r="H22" s="26">
        <f t="shared" si="6"/>
        <v>1.014</v>
      </c>
      <c r="I22" s="21">
        <v>0</v>
      </c>
      <c r="J22" s="11">
        <f t="shared" si="0"/>
        <v>0</v>
      </c>
      <c r="K22" s="21">
        <v>0</v>
      </c>
      <c r="L22" s="10">
        <f t="shared" si="1"/>
        <v>0</v>
      </c>
      <c r="M22" s="21">
        <v>0</v>
      </c>
      <c r="N22" s="11">
        <f t="shared" si="2"/>
        <v>0</v>
      </c>
      <c r="O22" s="21">
        <v>0</v>
      </c>
      <c r="P22" s="10">
        <f t="shared" si="7"/>
        <v>0</v>
      </c>
      <c r="Q22" s="21">
        <v>0</v>
      </c>
      <c r="R22" s="11">
        <f t="shared" si="3"/>
        <v>0</v>
      </c>
      <c r="S22" s="39">
        <f t="shared" si="11"/>
        <v>26</v>
      </c>
      <c r="T22" s="38">
        <f t="shared" si="4"/>
        <v>1.014</v>
      </c>
      <c r="U22" s="12"/>
      <c r="V22" s="13">
        <f t="shared" si="8"/>
        <v>0</v>
      </c>
      <c r="W22" s="49">
        <f t="shared" si="9"/>
        <v>26</v>
      </c>
      <c r="X22" s="50">
        <f t="shared" si="10"/>
        <v>1.014</v>
      </c>
      <c r="Y22" s="238">
        <v>0</v>
      </c>
      <c r="Z22" s="101">
        <v>0</v>
      </c>
    </row>
    <row r="23" spans="1:26" x14ac:dyDescent="0.25">
      <c r="A23" s="264">
        <v>19</v>
      </c>
      <c r="B23" s="42" t="s">
        <v>103</v>
      </c>
      <c r="C23" s="34">
        <v>58</v>
      </c>
      <c r="D23" s="35">
        <v>58</v>
      </c>
      <c r="E23" s="35">
        <v>5</v>
      </c>
      <c r="F23" s="19">
        <f t="shared" si="5"/>
        <v>1.6820000000000002E-2</v>
      </c>
      <c r="G23" s="23">
        <v>150</v>
      </c>
      <c r="H23" s="26">
        <f t="shared" si="6"/>
        <v>2.5230000000000001</v>
      </c>
      <c r="I23" s="21">
        <v>0</v>
      </c>
      <c r="J23" s="11">
        <f t="shared" si="0"/>
        <v>0</v>
      </c>
      <c r="K23" s="21">
        <v>0</v>
      </c>
      <c r="L23" s="10">
        <f t="shared" si="1"/>
        <v>0</v>
      </c>
      <c r="M23" s="21">
        <v>26</v>
      </c>
      <c r="N23" s="11">
        <f t="shared" si="2"/>
        <v>0.43732000000000004</v>
      </c>
      <c r="O23" s="21">
        <v>0</v>
      </c>
      <c r="P23" s="10">
        <f t="shared" si="7"/>
        <v>0</v>
      </c>
      <c r="Q23" s="21">
        <v>0</v>
      </c>
      <c r="R23" s="11">
        <f t="shared" si="3"/>
        <v>0</v>
      </c>
      <c r="S23" s="39">
        <f t="shared" si="11"/>
        <v>124</v>
      </c>
      <c r="T23" s="38">
        <f t="shared" si="4"/>
        <v>2.08568</v>
      </c>
      <c r="U23" s="12"/>
      <c r="V23" s="13">
        <f t="shared" si="8"/>
        <v>0</v>
      </c>
      <c r="W23" s="49">
        <f t="shared" si="9"/>
        <v>124</v>
      </c>
      <c r="X23" s="50">
        <f t="shared" si="10"/>
        <v>2.08568</v>
      </c>
      <c r="Y23" s="238">
        <v>0</v>
      </c>
      <c r="Z23" s="101">
        <v>0</v>
      </c>
    </row>
    <row r="24" spans="1:26" x14ac:dyDescent="0.25">
      <c r="A24" s="264">
        <v>20</v>
      </c>
      <c r="B24" s="256" t="s">
        <v>22</v>
      </c>
      <c r="C24" s="34">
        <v>66</v>
      </c>
      <c r="D24" s="35">
        <v>56</v>
      </c>
      <c r="E24" s="35">
        <v>12</v>
      </c>
      <c r="F24" s="19">
        <f t="shared" si="5"/>
        <v>4.4352000000000003E-2</v>
      </c>
      <c r="G24" s="23">
        <f>'KASIM 4 HAFTA  '!W24</f>
        <v>28</v>
      </c>
      <c r="H24" s="26">
        <f t="shared" si="6"/>
        <v>1.2418560000000001</v>
      </c>
      <c r="I24" s="21">
        <v>0</v>
      </c>
      <c r="J24" s="11">
        <f t="shared" si="0"/>
        <v>0</v>
      </c>
      <c r="K24" s="21">
        <v>0</v>
      </c>
      <c r="L24" s="10">
        <f t="shared" si="1"/>
        <v>0</v>
      </c>
      <c r="M24" s="21">
        <v>0</v>
      </c>
      <c r="N24" s="11">
        <f t="shared" si="2"/>
        <v>0</v>
      </c>
      <c r="O24" s="21">
        <v>0</v>
      </c>
      <c r="P24" s="10">
        <f t="shared" si="7"/>
        <v>0</v>
      </c>
      <c r="Q24" s="21">
        <v>0</v>
      </c>
      <c r="R24" s="11">
        <f t="shared" si="3"/>
        <v>0</v>
      </c>
      <c r="S24" s="39">
        <f t="shared" si="11"/>
        <v>28</v>
      </c>
      <c r="T24" s="38">
        <f t="shared" si="4"/>
        <v>1.2418560000000001</v>
      </c>
      <c r="U24" s="12"/>
      <c r="V24" s="13">
        <f t="shared" si="8"/>
        <v>0</v>
      </c>
      <c r="W24" s="49">
        <f t="shared" si="9"/>
        <v>28</v>
      </c>
      <c r="X24" s="50">
        <f t="shared" si="10"/>
        <v>1.2418560000000001</v>
      </c>
      <c r="Y24" s="238">
        <v>0</v>
      </c>
      <c r="Z24" s="101">
        <v>0</v>
      </c>
    </row>
    <row r="25" spans="1:26" x14ac:dyDescent="0.25">
      <c r="A25" s="264">
        <v>21</v>
      </c>
      <c r="B25" s="256" t="s">
        <v>23</v>
      </c>
      <c r="C25" s="34">
        <v>61.5</v>
      </c>
      <c r="D25" s="35">
        <v>61.5</v>
      </c>
      <c r="E25" s="35">
        <v>10</v>
      </c>
      <c r="F25" s="19">
        <f t="shared" si="5"/>
        <v>3.7822500000000002E-2</v>
      </c>
      <c r="G25" s="23">
        <f>'KASIM 4 HAFTA  '!W25</f>
        <v>0</v>
      </c>
      <c r="H25" s="26">
        <f t="shared" si="6"/>
        <v>0</v>
      </c>
      <c r="I25" s="21">
        <v>0</v>
      </c>
      <c r="J25" s="11">
        <f t="shared" si="0"/>
        <v>0</v>
      </c>
      <c r="K25" s="21">
        <v>0</v>
      </c>
      <c r="L25" s="10">
        <f t="shared" si="1"/>
        <v>0</v>
      </c>
      <c r="M25" s="21">
        <v>0</v>
      </c>
      <c r="N25" s="11">
        <f t="shared" si="2"/>
        <v>0</v>
      </c>
      <c r="O25" s="21">
        <v>0</v>
      </c>
      <c r="P25" s="10">
        <f t="shared" si="7"/>
        <v>0</v>
      </c>
      <c r="Q25" s="21">
        <v>0</v>
      </c>
      <c r="R25" s="11">
        <f t="shared" si="3"/>
        <v>0</v>
      </c>
      <c r="S25" s="39">
        <f t="shared" si="11"/>
        <v>0</v>
      </c>
      <c r="T25" s="38">
        <f t="shared" si="4"/>
        <v>0</v>
      </c>
      <c r="U25" s="12"/>
      <c r="V25" s="13">
        <f t="shared" si="8"/>
        <v>0</v>
      </c>
      <c r="W25" s="49">
        <f t="shared" si="9"/>
        <v>0</v>
      </c>
      <c r="X25" s="50">
        <f t="shared" si="10"/>
        <v>0</v>
      </c>
      <c r="Y25" s="238">
        <v>30</v>
      </c>
      <c r="Z25" s="101">
        <v>100</v>
      </c>
    </row>
    <row r="26" spans="1:26" x14ac:dyDescent="0.25">
      <c r="A26" s="264">
        <v>22</v>
      </c>
      <c r="B26" s="256" t="s">
        <v>24</v>
      </c>
      <c r="C26" s="34">
        <v>82</v>
      </c>
      <c r="D26" s="35">
        <v>67</v>
      </c>
      <c r="E26" s="35">
        <v>5</v>
      </c>
      <c r="F26" s="19">
        <f t="shared" si="5"/>
        <v>2.7470000000000001E-2</v>
      </c>
      <c r="G26" s="23">
        <f>'KASIM 4 HAFTA  '!W26</f>
        <v>30</v>
      </c>
      <c r="H26" s="26">
        <f t="shared" si="6"/>
        <v>0.82410000000000005</v>
      </c>
      <c r="I26" s="21">
        <v>0</v>
      </c>
      <c r="J26" s="11">
        <f t="shared" si="0"/>
        <v>0</v>
      </c>
      <c r="K26" s="21">
        <v>0</v>
      </c>
      <c r="L26" s="10">
        <f t="shared" si="1"/>
        <v>0</v>
      </c>
      <c r="M26" s="21">
        <v>0</v>
      </c>
      <c r="N26" s="11">
        <f t="shared" si="2"/>
        <v>0</v>
      </c>
      <c r="O26" s="21">
        <v>0</v>
      </c>
      <c r="P26" s="10">
        <f t="shared" si="7"/>
        <v>0</v>
      </c>
      <c r="Q26" s="21">
        <v>0</v>
      </c>
      <c r="R26" s="11">
        <f t="shared" si="3"/>
        <v>0</v>
      </c>
      <c r="S26" s="39">
        <f t="shared" si="11"/>
        <v>30</v>
      </c>
      <c r="T26" s="38">
        <f t="shared" si="4"/>
        <v>0.82410000000000005</v>
      </c>
      <c r="U26" s="12"/>
      <c r="V26" s="13">
        <f t="shared" si="8"/>
        <v>0</v>
      </c>
      <c r="W26" s="49">
        <f t="shared" si="9"/>
        <v>30</v>
      </c>
      <c r="X26" s="50">
        <f t="shared" si="10"/>
        <v>0.82410000000000005</v>
      </c>
      <c r="Y26" s="238">
        <v>0</v>
      </c>
      <c r="Z26" s="101">
        <v>0</v>
      </c>
    </row>
    <row r="27" spans="1:26" x14ac:dyDescent="0.25">
      <c r="A27" s="264">
        <v>23</v>
      </c>
      <c r="B27" s="256" t="s">
        <v>25</v>
      </c>
      <c r="C27" s="34">
        <v>80</v>
      </c>
      <c r="D27" s="35">
        <v>62</v>
      </c>
      <c r="E27" s="35">
        <v>2</v>
      </c>
      <c r="F27" s="19">
        <f t="shared" si="5"/>
        <v>9.92E-3</v>
      </c>
      <c r="G27" s="23">
        <f>'KASIM 4 HAFTA  '!W27</f>
        <v>36</v>
      </c>
      <c r="H27" s="26">
        <f t="shared" si="6"/>
        <v>0.35711999999999999</v>
      </c>
      <c r="I27" s="21">
        <v>0</v>
      </c>
      <c r="J27" s="11">
        <f t="shared" si="0"/>
        <v>0</v>
      </c>
      <c r="K27" s="21">
        <v>0</v>
      </c>
      <c r="L27" s="10">
        <f t="shared" si="1"/>
        <v>0</v>
      </c>
      <c r="M27" s="21">
        <v>0</v>
      </c>
      <c r="N27" s="11">
        <f t="shared" si="2"/>
        <v>0</v>
      </c>
      <c r="O27" s="21">
        <v>0</v>
      </c>
      <c r="P27" s="10">
        <f t="shared" si="7"/>
        <v>0</v>
      </c>
      <c r="Q27" s="21">
        <v>0</v>
      </c>
      <c r="R27" s="11">
        <f t="shared" si="3"/>
        <v>0</v>
      </c>
      <c r="S27" s="39">
        <f t="shared" si="11"/>
        <v>36</v>
      </c>
      <c r="T27" s="38">
        <f t="shared" si="4"/>
        <v>0.35711999999999999</v>
      </c>
      <c r="U27" s="12"/>
      <c r="V27" s="13">
        <f t="shared" si="8"/>
        <v>0</v>
      </c>
      <c r="W27" s="49">
        <f t="shared" si="9"/>
        <v>36</v>
      </c>
      <c r="X27" s="50">
        <f t="shared" si="10"/>
        <v>0.35711999999999999</v>
      </c>
      <c r="Y27" s="238">
        <v>0</v>
      </c>
      <c r="Z27" s="101">
        <v>0</v>
      </c>
    </row>
    <row r="28" spans="1:26" x14ac:dyDescent="0.25">
      <c r="A28" s="264">
        <v>24</v>
      </c>
      <c r="B28" s="256" t="s">
        <v>26</v>
      </c>
      <c r="C28" s="34">
        <v>63</v>
      </c>
      <c r="D28" s="35">
        <v>55</v>
      </c>
      <c r="E28" s="35">
        <v>5</v>
      </c>
      <c r="F28" s="19">
        <f t="shared" si="5"/>
        <v>1.7325E-2</v>
      </c>
      <c r="G28" s="23">
        <f>'KASIM 4 HAFTA  '!W28</f>
        <v>19</v>
      </c>
      <c r="H28" s="26">
        <f t="shared" si="6"/>
        <v>0.329175</v>
      </c>
      <c r="I28" s="21">
        <v>12</v>
      </c>
      <c r="J28" s="11">
        <f t="shared" si="0"/>
        <v>0.2079</v>
      </c>
      <c r="K28" s="21">
        <v>0</v>
      </c>
      <c r="L28" s="10">
        <f t="shared" si="1"/>
        <v>0</v>
      </c>
      <c r="M28" s="21">
        <v>0</v>
      </c>
      <c r="N28" s="11">
        <f t="shared" si="2"/>
        <v>0</v>
      </c>
      <c r="O28" s="21">
        <v>0</v>
      </c>
      <c r="P28" s="10">
        <f t="shared" si="7"/>
        <v>0</v>
      </c>
      <c r="Q28" s="21">
        <v>0</v>
      </c>
      <c r="R28" s="11">
        <f t="shared" si="3"/>
        <v>0</v>
      </c>
      <c r="S28" s="39">
        <f t="shared" si="11"/>
        <v>7</v>
      </c>
      <c r="T28" s="38">
        <f t="shared" si="4"/>
        <v>0.12127499999999999</v>
      </c>
      <c r="U28" s="12"/>
      <c r="V28" s="13">
        <f t="shared" si="8"/>
        <v>0</v>
      </c>
      <c r="W28" s="49">
        <f t="shared" si="9"/>
        <v>7</v>
      </c>
      <c r="X28" s="50">
        <f t="shared" si="10"/>
        <v>0.12127499999999999</v>
      </c>
      <c r="Y28" s="238">
        <v>0</v>
      </c>
      <c r="Z28" s="101">
        <v>0</v>
      </c>
    </row>
    <row r="29" spans="1:26" x14ac:dyDescent="0.25">
      <c r="A29" s="264">
        <v>25</v>
      </c>
      <c r="B29" s="256" t="s">
        <v>27</v>
      </c>
      <c r="C29" s="34">
        <v>140</v>
      </c>
      <c r="D29" s="35">
        <v>240</v>
      </c>
      <c r="E29" s="35">
        <v>5</v>
      </c>
      <c r="F29" s="19">
        <f t="shared" si="5"/>
        <v>0.16800000000000001</v>
      </c>
      <c r="G29" s="23">
        <f>'KASIM 4 HAFTA  '!W29</f>
        <v>6</v>
      </c>
      <c r="H29" s="26">
        <f t="shared" si="6"/>
        <v>1.008</v>
      </c>
      <c r="I29" s="21">
        <v>0</v>
      </c>
      <c r="J29" s="11">
        <f t="shared" si="0"/>
        <v>0</v>
      </c>
      <c r="K29" s="21">
        <v>0</v>
      </c>
      <c r="L29" s="10">
        <f t="shared" si="1"/>
        <v>0</v>
      </c>
      <c r="M29" s="21">
        <v>0</v>
      </c>
      <c r="N29" s="11">
        <f t="shared" si="2"/>
        <v>0</v>
      </c>
      <c r="O29" s="21">
        <v>0</v>
      </c>
      <c r="P29" s="10">
        <f t="shared" si="7"/>
        <v>0</v>
      </c>
      <c r="Q29" s="21">
        <v>0</v>
      </c>
      <c r="R29" s="11">
        <f t="shared" si="3"/>
        <v>0</v>
      </c>
      <c r="S29" s="39">
        <f t="shared" si="11"/>
        <v>6</v>
      </c>
      <c r="T29" s="38">
        <f t="shared" si="4"/>
        <v>1.008</v>
      </c>
      <c r="U29" s="12"/>
      <c r="V29" s="13">
        <f t="shared" si="8"/>
        <v>0</v>
      </c>
      <c r="W29" s="49">
        <f t="shared" si="9"/>
        <v>6</v>
      </c>
      <c r="X29" s="50">
        <f t="shared" si="10"/>
        <v>1.008</v>
      </c>
      <c r="Y29" s="238">
        <v>0</v>
      </c>
      <c r="Z29" s="101">
        <v>0</v>
      </c>
    </row>
    <row r="30" spans="1:26" x14ac:dyDescent="0.25">
      <c r="A30" s="264">
        <v>26</v>
      </c>
      <c r="B30" s="256" t="s">
        <v>112</v>
      </c>
      <c r="C30" s="34">
        <v>140</v>
      </c>
      <c r="D30" s="35">
        <v>240</v>
      </c>
      <c r="E30" s="35">
        <v>10</v>
      </c>
      <c r="F30" s="19">
        <f t="shared" si="5"/>
        <v>0.33600000000000002</v>
      </c>
      <c r="G30" s="23">
        <v>0</v>
      </c>
      <c r="H30" s="26">
        <f t="shared" si="6"/>
        <v>0</v>
      </c>
      <c r="I30" s="21">
        <v>0</v>
      </c>
      <c r="J30" s="11">
        <f t="shared" si="0"/>
        <v>0</v>
      </c>
      <c r="K30" s="21">
        <v>0</v>
      </c>
      <c r="L30" s="10">
        <f t="shared" si="1"/>
        <v>0</v>
      </c>
      <c r="M30" s="21">
        <v>0</v>
      </c>
      <c r="N30" s="11">
        <f t="shared" si="2"/>
        <v>0</v>
      </c>
      <c r="O30" s="21">
        <v>0</v>
      </c>
      <c r="P30" s="10">
        <f t="shared" si="7"/>
        <v>0</v>
      </c>
      <c r="Q30" s="21">
        <v>0</v>
      </c>
      <c r="R30" s="11">
        <f t="shared" si="3"/>
        <v>0</v>
      </c>
      <c r="S30" s="39">
        <f t="shared" si="11"/>
        <v>0</v>
      </c>
      <c r="T30" s="38">
        <f t="shared" si="4"/>
        <v>0</v>
      </c>
      <c r="U30" s="12">
        <v>56</v>
      </c>
      <c r="V30" s="13">
        <f t="shared" si="8"/>
        <v>18.816000000000003</v>
      </c>
      <c r="W30" s="49">
        <f t="shared" si="9"/>
        <v>56</v>
      </c>
      <c r="X30" s="50">
        <f t="shared" si="10"/>
        <v>18.816000000000003</v>
      </c>
      <c r="Y30" s="238">
        <v>0</v>
      </c>
      <c r="Z30" s="101">
        <v>0</v>
      </c>
    </row>
    <row r="31" spans="1:26" x14ac:dyDescent="0.25">
      <c r="A31" s="264">
        <v>27</v>
      </c>
      <c r="B31" s="256" t="s">
        <v>29</v>
      </c>
      <c r="C31" s="34">
        <v>140</v>
      </c>
      <c r="D31" s="35">
        <v>240</v>
      </c>
      <c r="E31" s="35">
        <v>3</v>
      </c>
      <c r="F31" s="19">
        <f t="shared" si="5"/>
        <v>0.1008</v>
      </c>
      <c r="G31" s="23">
        <f>'KASIM 4 HAFTA  '!W31</f>
        <v>26</v>
      </c>
      <c r="H31" s="26">
        <f t="shared" si="6"/>
        <v>2.6208</v>
      </c>
      <c r="I31" s="21">
        <v>0</v>
      </c>
      <c r="J31" s="11">
        <f t="shared" si="0"/>
        <v>0</v>
      </c>
      <c r="K31" s="21">
        <v>0</v>
      </c>
      <c r="L31" s="10">
        <f t="shared" si="1"/>
        <v>0</v>
      </c>
      <c r="M31" s="21">
        <v>0</v>
      </c>
      <c r="N31" s="11">
        <f t="shared" si="2"/>
        <v>0</v>
      </c>
      <c r="O31" s="21">
        <v>0</v>
      </c>
      <c r="P31" s="10">
        <f t="shared" si="7"/>
        <v>0</v>
      </c>
      <c r="Q31" s="21">
        <v>0</v>
      </c>
      <c r="R31" s="11">
        <f t="shared" si="3"/>
        <v>0</v>
      </c>
      <c r="S31" s="39">
        <f t="shared" si="11"/>
        <v>26</v>
      </c>
      <c r="T31" s="38">
        <f t="shared" si="4"/>
        <v>2.6208</v>
      </c>
      <c r="U31" s="12"/>
      <c r="V31" s="13">
        <f t="shared" si="8"/>
        <v>0</v>
      </c>
      <c r="W31" s="49">
        <f t="shared" si="9"/>
        <v>26</v>
      </c>
      <c r="X31" s="50">
        <f t="shared" si="10"/>
        <v>2.6208</v>
      </c>
      <c r="Y31" s="238">
        <v>0</v>
      </c>
      <c r="Z31" s="101">
        <v>0</v>
      </c>
    </row>
    <row r="32" spans="1:26" x14ac:dyDescent="0.25">
      <c r="A32" s="264">
        <v>28</v>
      </c>
      <c r="B32" s="256" t="s">
        <v>30</v>
      </c>
      <c r="C32" s="34">
        <v>90</v>
      </c>
      <c r="D32" s="35">
        <v>80</v>
      </c>
      <c r="E32" s="35">
        <v>8</v>
      </c>
      <c r="F32" s="19">
        <f t="shared" si="5"/>
        <v>5.7599999999999998E-2</v>
      </c>
      <c r="G32" s="23">
        <f>'KASIM 4 HAFTA  '!W32</f>
        <v>0</v>
      </c>
      <c r="H32" s="26">
        <f t="shared" si="6"/>
        <v>0</v>
      </c>
      <c r="I32" s="21">
        <v>0</v>
      </c>
      <c r="J32" s="11">
        <f t="shared" si="0"/>
        <v>0</v>
      </c>
      <c r="K32" s="21">
        <v>0</v>
      </c>
      <c r="L32" s="10">
        <f t="shared" si="1"/>
        <v>0</v>
      </c>
      <c r="M32" s="21">
        <v>0</v>
      </c>
      <c r="N32" s="11">
        <f t="shared" si="2"/>
        <v>0</v>
      </c>
      <c r="O32" s="21">
        <v>0</v>
      </c>
      <c r="P32" s="10">
        <f t="shared" si="7"/>
        <v>0</v>
      </c>
      <c r="Q32" s="21">
        <v>0</v>
      </c>
      <c r="R32" s="11">
        <f t="shared" si="3"/>
        <v>0</v>
      </c>
      <c r="S32" s="39">
        <f t="shared" si="11"/>
        <v>0</v>
      </c>
      <c r="T32" s="38">
        <f t="shared" si="4"/>
        <v>0</v>
      </c>
      <c r="U32" s="12"/>
      <c r="V32" s="13">
        <f t="shared" si="8"/>
        <v>0</v>
      </c>
      <c r="W32" s="49">
        <f t="shared" si="9"/>
        <v>0</v>
      </c>
      <c r="X32" s="50">
        <f t="shared" si="10"/>
        <v>0</v>
      </c>
      <c r="Y32" s="238">
        <v>0</v>
      </c>
      <c r="Z32" s="101">
        <v>0</v>
      </c>
    </row>
    <row r="33" spans="1:26" x14ac:dyDescent="0.25">
      <c r="A33" s="264">
        <v>29</v>
      </c>
      <c r="B33" s="256" t="s">
        <v>31</v>
      </c>
      <c r="C33" s="34">
        <v>90</v>
      </c>
      <c r="D33" s="35">
        <v>80</v>
      </c>
      <c r="E33" s="35">
        <v>8</v>
      </c>
      <c r="F33" s="19">
        <f t="shared" si="5"/>
        <v>5.7599999999999998E-2</v>
      </c>
      <c r="G33" s="23">
        <f>'KASIM 4 HAFTA  '!W33</f>
        <v>0</v>
      </c>
      <c r="H33" s="26">
        <f t="shared" si="6"/>
        <v>0</v>
      </c>
      <c r="I33" s="21">
        <v>0</v>
      </c>
      <c r="J33" s="11">
        <f t="shared" si="0"/>
        <v>0</v>
      </c>
      <c r="K33" s="21">
        <v>0</v>
      </c>
      <c r="L33" s="10">
        <f t="shared" si="1"/>
        <v>0</v>
      </c>
      <c r="M33" s="21">
        <v>0</v>
      </c>
      <c r="N33" s="11">
        <f t="shared" si="2"/>
        <v>0</v>
      </c>
      <c r="O33" s="21">
        <v>0</v>
      </c>
      <c r="P33" s="10">
        <f t="shared" si="7"/>
        <v>0</v>
      </c>
      <c r="Q33" s="21">
        <v>0</v>
      </c>
      <c r="R33" s="11">
        <f t="shared" si="3"/>
        <v>0</v>
      </c>
      <c r="S33" s="39">
        <f t="shared" si="11"/>
        <v>0</v>
      </c>
      <c r="T33" s="38">
        <f t="shared" si="4"/>
        <v>0</v>
      </c>
      <c r="U33" s="12"/>
      <c r="V33" s="13">
        <f t="shared" si="8"/>
        <v>0</v>
      </c>
      <c r="W33" s="49">
        <f t="shared" si="9"/>
        <v>0</v>
      </c>
      <c r="X33" s="50">
        <f t="shared" si="10"/>
        <v>0</v>
      </c>
      <c r="Y33" s="238">
        <v>0</v>
      </c>
      <c r="Z33" s="101">
        <v>0</v>
      </c>
    </row>
    <row r="34" spans="1:26" x14ac:dyDescent="0.25">
      <c r="A34" s="264">
        <v>30</v>
      </c>
      <c r="B34" s="256" t="s">
        <v>32</v>
      </c>
      <c r="C34" s="34"/>
      <c r="D34" s="35"/>
      <c r="E34" s="35"/>
      <c r="F34" s="19">
        <f t="shared" si="5"/>
        <v>0</v>
      </c>
      <c r="G34" s="23">
        <f>'KASIM 4 HAFTA  '!W34</f>
        <v>300</v>
      </c>
      <c r="H34" s="26">
        <f t="shared" si="6"/>
        <v>0</v>
      </c>
      <c r="I34" s="21">
        <v>0</v>
      </c>
      <c r="J34" s="11">
        <f t="shared" si="0"/>
        <v>0</v>
      </c>
      <c r="K34" s="21">
        <v>0</v>
      </c>
      <c r="L34" s="10">
        <f t="shared" si="1"/>
        <v>0</v>
      </c>
      <c r="M34" s="21">
        <v>0</v>
      </c>
      <c r="N34" s="11">
        <f t="shared" si="2"/>
        <v>0</v>
      </c>
      <c r="O34" s="21">
        <v>0</v>
      </c>
      <c r="P34" s="10">
        <f t="shared" si="7"/>
        <v>0</v>
      </c>
      <c r="Q34" s="21">
        <v>0</v>
      </c>
      <c r="R34" s="11">
        <f t="shared" si="3"/>
        <v>0</v>
      </c>
      <c r="S34" s="39">
        <f t="shared" si="11"/>
        <v>300</v>
      </c>
      <c r="T34" s="38">
        <f t="shared" si="4"/>
        <v>0</v>
      </c>
      <c r="U34" s="12"/>
      <c r="V34" s="13">
        <f t="shared" si="8"/>
        <v>0</v>
      </c>
      <c r="W34" s="49">
        <f t="shared" si="9"/>
        <v>300</v>
      </c>
      <c r="X34" s="50">
        <f t="shared" si="10"/>
        <v>0</v>
      </c>
      <c r="Y34" s="238">
        <v>0</v>
      </c>
      <c r="Z34" s="101">
        <v>0</v>
      </c>
    </row>
    <row r="35" spans="1:26" x14ac:dyDescent="0.25">
      <c r="A35" s="264">
        <v>31</v>
      </c>
      <c r="B35" s="256" t="s">
        <v>33</v>
      </c>
      <c r="C35" s="34">
        <v>80</v>
      </c>
      <c r="D35" s="35">
        <v>66</v>
      </c>
      <c r="E35" s="35">
        <v>5</v>
      </c>
      <c r="F35" s="19">
        <f t="shared" si="5"/>
        <v>2.64E-2</v>
      </c>
      <c r="G35" s="23">
        <f>'KASIM 4 HAFTA  '!W35</f>
        <v>56</v>
      </c>
      <c r="H35" s="26">
        <f t="shared" si="6"/>
        <v>1.4783999999999999</v>
      </c>
      <c r="I35" s="21">
        <v>0</v>
      </c>
      <c r="J35" s="11">
        <f t="shared" si="0"/>
        <v>0</v>
      </c>
      <c r="K35" s="21">
        <v>0</v>
      </c>
      <c r="L35" s="10">
        <f t="shared" si="1"/>
        <v>0</v>
      </c>
      <c r="M35" s="21">
        <v>0</v>
      </c>
      <c r="N35" s="11">
        <f t="shared" si="2"/>
        <v>0</v>
      </c>
      <c r="O35" s="21">
        <v>0</v>
      </c>
      <c r="P35" s="10">
        <f t="shared" si="7"/>
        <v>0</v>
      </c>
      <c r="Q35" s="21">
        <v>0</v>
      </c>
      <c r="R35" s="11">
        <f t="shared" si="3"/>
        <v>0</v>
      </c>
      <c r="S35" s="39">
        <f t="shared" si="11"/>
        <v>56</v>
      </c>
      <c r="T35" s="38">
        <f t="shared" si="4"/>
        <v>1.4783999999999999</v>
      </c>
      <c r="U35" s="12"/>
      <c r="V35" s="13">
        <f t="shared" si="8"/>
        <v>0</v>
      </c>
      <c r="W35" s="49">
        <f t="shared" si="9"/>
        <v>56</v>
      </c>
      <c r="X35" s="50">
        <f t="shared" si="10"/>
        <v>1.4783999999999999</v>
      </c>
      <c r="Y35" s="238">
        <v>0</v>
      </c>
      <c r="Z35" s="101">
        <v>0</v>
      </c>
    </row>
    <row r="36" spans="1:26" x14ac:dyDescent="0.25">
      <c r="A36" s="264">
        <v>32</v>
      </c>
      <c r="B36" s="256" t="s">
        <v>110</v>
      </c>
      <c r="C36" s="34">
        <v>60</v>
      </c>
      <c r="D36" s="35">
        <v>62</v>
      </c>
      <c r="E36" s="35">
        <v>5</v>
      </c>
      <c r="F36" s="19">
        <f t="shared" si="5"/>
        <v>1.8599999999999998E-2</v>
      </c>
      <c r="G36" s="23">
        <f>'KASIM 4 HAFTA  '!W36</f>
        <v>0</v>
      </c>
      <c r="H36" s="26">
        <f t="shared" si="6"/>
        <v>0</v>
      </c>
      <c r="I36" s="21">
        <v>0</v>
      </c>
      <c r="J36" s="11">
        <f t="shared" si="0"/>
        <v>0</v>
      </c>
      <c r="K36" s="21">
        <v>0</v>
      </c>
      <c r="L36" s="10">
        <f t="shared" si="1"/>
        <v>0</v>
      </c>
      <c r="M36" s="21">
        <v>0</v>
      </c>
      <c r="N36" s="11">
        <f t="shared" si="2"/>
        <v>0</v>
      </c>
      <c r="O36" s="21">
        <v>0</v>
      </c>
      <c r="P36" s="10">
        <f t="shared" si="7"/>
        <v>0</v>
      </c>
      <c r="Q36" s="21">
        <v>0</v>
      </c>
      <c r="R36" s="11">
        <f t="shared" si="3"/>
        <v>0</v>
      </c>
      <c r="S36" s="39">
        <f t="shared" si="11"/>
        <v>0</v>
      </c>
      <c r="T36" s="38">
        <f t="shared" si="4"/>
        <v>0</v>
      </c>
      <c r="U36" s="12">
        <v>15</v>
      </c>
      <c r="V36" s="13">
        <f t="shared" si="8"/>
        <v>0.27899999999999997</v>
      </c>
      <c r="W36" s="49">
        <f t="shared" si="9"/>
        <v>15</v>
      </c>
      <c r="X36" s="50">
        <f t="shared" si="10"/>
        <v>0.27899999999999997</v>
      </c>
      <c r="Y36" s="238">
        <v>0</v>
      </c>
      <c r="Z36" s="101">
        <v>0</v>
      </c>
    </row>
    <row r="37" spans="1:26" x14ac:dyDescent="0.25">
      <c r="A37" s="264">
        <v>33</v>
      </c>
      <c r="B37" s="256" t="s">
        <v>41</v>
      </c>
      <c r="C37" s="34">
        <v>60</v>
      </c>
      <c r="D37" s="35">
        <v>67</v>
      </c>
      <c r="E37" s="35">
        <v>3</v>
      </c>
      <c r="F37" s="19">
        <f t="shared" si="5"/>
        <v>1.206E-2</v>
      </c>
      <c r="G37" s="23">
        <f>'KASIM 4 HAFTA  '!W37</f>
        <v>12</v>
      </c>
      <c r="H37" s="26">
        <f t="shared" si="6"/>
        <v>0.14471999999999999</v>
      </c>
      <c r="I37" s="21">
        <v>0</v>
      </c>
      <c r="J37" s="11">
        <f t="shared" si="0"/>
        <v>0</v>
      </c>
      <c r="K37" s="21">
        <v>0</v>
      </c>
      <c r="L37" s="10">
        <f t="shared" si="1"/>
        <v>0</v>
      </c>
      <c r="M37" s="21">
        <v>0</v>
      </c>
      <c r="N37" s="11">
        <f t="shared" si="2"/>
        <v>0</v>
      </c>
      <c r="O37" s="21">
        <v>0</v>
      </c>
      <c r="P37" s="10">
        <f t="shared" si="7"/>
        <v>0</v>
      </c>
      <c r="Q37" s="21">
        <v>0</v>
      </c>
      <c r="R37" s="11">
        <f t="shared" si="3"/>
        <v>0</v>
      </c>
      <c r="S37" s="39">
        <f t="shared" si="11"/>
        <v>12</v>
      </c>
      <c r="T37" s="38">
        <f t="shared" si="4"/>
        <v>0.14471999999999999</v>
      </c>
      <c r="U37" s="12"/>
      <c r="V37" s="13">
        <f t="shared" si="8"/>
        <v>0</v>
      </c>
      <c r="W37" s="49">
        <f t="shared" si="9"/>
        <v>12</v>
      </c>
      <c r="X37" s="50">
        <f t="shared" si="10"/>
        <v>0.14471999999999999</v>
      </c>
      <c r="Y37" s="238">
        <v>0</v>
      </c>
      <c r="Z37" s="101">
        <v>0</v>
      </c>
    </row>
    <row r="38" spans="1:26" x14ac:dyDescent="0.25">
      <c r="A38" s="264">
        <v>34</v>
      </c>
      <c r="B38" s="256" t="s">
        <v>35</v>
      </c>
      <c r="C38" s="34">
        <v>140</v>
      </c>
      <c r="D38" s="35">
        <v>240</v>
      </c>
      <c r="E38" s="35">
        <v>7</v>
      </c>
      <c r="F38" s="19">
        <f t="shared" si="5"/>
        <v>0.23519999999999999</v>
      </c>
      <c r="G38" s="23">
        <f>'KASIM 4 HAFTA  '!W38</f>
        <v>0</v>
      </c>
      <c r="H38" s="26">
        <f t="shared" si="6"/>
        <v>0</v>
      </c>
      <c r="I38" s="21">
        <v>0</v>
      </c>
      <c r="J38" s="11">
        <f t="shared" si="0"/>
        <v>0</v>
      </c>
      <c r="K38" s="21">
        <v>0</v>
      </c>
      <c r="L38" s="10">
        <f t="shared" si="1"/>
        <v>0</v>
      </c>
      <c r="M38" s="21">
        <v>0</v>
      </c>
      <c r="N38" s="11">
        <f t="shared" si="2"/>
        <v>0</v>
      </c>
      <c r="O38" s="21">
        <v>0</v>
      </c>
      <c r="P38" s="10">
        <f t="shared" si="7"/>
        <v>0</v>
      </c>
      <c r="Q38" s="21">
        <v>0</v>
      </c>
      <c r="R38" s="11">
        <f t="shared" si="3"/>
        <v>0</v>
      </c>
      <c r="S38" s="39">
        <f t="shared" si="11"/>
        <v>0</v>
      </c>
      <c r="T38" s="38">
        <f t="shared" si="4"/>
        <v>0</v>
      </c>
      <c r="U38" s="12"/>
      <c r="V38" s="13">
        <f t="shared" si="8"/>
        <v>0</v>
      </c>
      <c r="W38" s="49">
        <f t="shared" si="9"/>
        <v>0</v>
      </c>
      <c r="X38" s="50">
        <f t="shared" si="10"/>
        <v>0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36</v>
      </c>
      <c r="C39" s="34">
        <v>60</v>
      </c>
      <c r="D39" s="35">
        <v>56</v>
      </c>
      <c r="E39" s="35">
        <v>10</v>
      </c>
      <c r="F39" s="19">
        <f t="shared" si="5"/>
        <v>3.3599999999999998E-2</v>
      </c>
      <c r="G39" s="23">
        <f>'KASIM 4 HAFTA  '!W39</f>
        <v>0</v>
      </c>
      <c r="H39" s="26">
        <f t="shared" si="6"/>
        <v>0</v>
      </c>
      <c r="I39" s="21">
        <v>0</v>
      </c>
      <c r="J39" s="11">
        <f t="shared" si="0"/>
        <v>0</v>
      </c>
      <c r="K39" s="21">
        <v>0</v>
      </c>
      <c r="L39" s="10">
        <f t="shared" si="1"/>
        <v>0</v>
      </c>
      <c r="M39" s="21">
        <v>0</v>
      </c>
      <c r="N39" s="11">
        <f t="shared" si="2"/>
        <v>0</v>
      </c>
      <c r="O39" s="21">
        <v>0</v>
      </c>
      <c r="P39" s="10">
        <f t="shared" si="7"/>
        <v>0</v>
      </c>
      <c r="Q39" s="21">
        <v>0</v>
      </c>
      <c r="R39" s="11">
        <f t="shared" si="3"/>
        <v>0</v>
      </c>
      <c r="S39" s="39">
        <f t="shared" si="11"/>
        <v>0</v>
      </c>
      <c r="T39" s="38">
        <f t="shared" si="4"/>
        <v>0</v>
      </c>
      <c r="U39" s="12"/>
      <c r="V39" s="13">
        <f t="shared" si="8"/>
        <v>0</v>
      </c>
      <c r="W39" s="49">
        <f t="shared" si="9"/>
        <v>0</v>
      </c>
      <c r="X39" s="50">
        <f t="shared" si="10"/>
        <v>0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37</v>
      </c>
      <c r="C40" s="34">
        <v>58</v>
      </c>
      <c r="D40" s="35">
        <v>55</v>
      </c>
      <c r="E40" s="35">
        <v>10</v>
      </c>
      <c r="F40" s="19">
        <f t="shared" si="5"/>
        <v>3.1899999999999998E-2</v>
      </c>
      <c r="G40" s="23">
        <f>'KASIM 4 HAFTA  '!W40</f>
        <v>0</v>
      </c>
      <c r="H40" s="26">
        <f t="shared" si="6"/>
        <v>0</v>
      </c>
      <c r="I40" s="21">
        <v>0</v>
      </c>
      <c r="J40" s="11">
        <f t="shared" si="0"/>
        <v>0</v>
      </c>
      <c r="K40" s="21">
        <v>0</v>
      </c>
      <c r="L40" s="10">
        <f t="shared" si="1"/>
        <v>0</v>
      </c>
      <c r="M40" s="21">
        <v>0</v>
      </c>
      <c r="N40" s="11">
        <f t="shared" si="2"/>
        <v>0</v>
      </c>
      <c r="O40" s="21">
        <v>0</v>
      </c>
      <c r="P40" s="10">
        <f t="shared" si="7"/>
        <v>0</v>
      </c>
      <c r="Q40" s="21">
        <v>0</v>
      </c>
      <c r="R40" s="11">
        <f t="shared" si="3"/>
        <v>0</v>
      </c>
      <c r="S40" s="39">
        <f t="shared" si="11"/>
        <v>0</v>
      </c>
      <c r="T40" s="38">
        <f t="shared" si="4"/>
        <v>0</v>
      </c>
      <c r="U40" s="12"/>
      <c r="V40" s="13">
        <f t="shared" si="8"/>
        <v>0</v>
      </c>
      <c r="W40" s="49">
        <f t="shared" si="9"/>
        <v>0</v>
      </c>
      <c r="X40" s="50">
        <f t="shared" si="10"/>
        <v>0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38</v>
      </c>
      <c r="C41" s="34">
        <v>63</v>
      </c>
      <c r="D41" s="35">
        <v>55</v>
      </c>
      <c r="E41" s="35">
        <v>5</v>
      </c>
      <c r="F41" s="19">
        <f t="shared" si="5"/>
        <v>1.7325E-2</v>
      </c>
      <c r="G41" s="23">
        <f>'KASIM 4 HAFTA  '!W41</f>
        <v>10</v>
      </c>
      <c r="H41" s="26">
        <f t="shared" si="6"/>
        <v>0.17325000000000002</v>
      </c>
      <c r="I41" s="21">
        <v>0</v>
      </c>
      <c r="J41" s="11">
        <f t="shared" si="0"/>
        <v>0</v>
      </c>
      <c r="K41" s="21">
        <v>0</v>
      </c>
      <c r="L41" s="10">
        <f t="shared" si="1"/>
        <v>0</v>
      </c>
      <c r="M41" s="21">
        <v>0</v>
      </c>
      <c r="N41" s="11">
        <f t="shared" si="2"/>
        <v>0</v>
      </c>
      <c r="O41" s="21">
        <v>0</v>
      </c>
      <c r="P41" s="10">
        <f t="shared" si="7"/>
        <v>0</v>
      </c>
      <c r="Q41" s="21">
        <v>0</v>
      </c>
      <c r="R41" s="11">
        <f t="shared" si="3"/>
        <v>0</v>
      </c>
      <c r="S41" s="39">
        <f t="shared" si="11"/>
        <v>10</v>
      </c>
      <c r="T41" s="38">
        <f t="shared" si="4"/>
        <v>0.17325000000000002</v>
      </c>
      <c r="U41" s="12"/>
      <c r="V41" s="13">
        <f t="shared" si="8"/>
        <v>0</v>
      </c>
      <c r="W41" s="49">
        <f t="shared" si="9"/>
        <v>10</v>
      </c>
      <c r="X41" s="50">
        <f t="shared" si="10"/>
        <v>0.17325000000000002</v>
      </c>
      <c r="Y41" s="238">
        <v>0</v>
      </c>
      <c r="Z41" s="101">
        <v>0</v>
      </c>
    </row>
    <row r="42" spans="1:26" x14ac:dyDescent="0.25">
      <c r="A42" s="264">
        <v>38</v>
      </c>
      <c r="B42" s="256" t="s">
        <v>111</v>
      </c>
      <c r="C42" s="34">
        <v>52</v>
      </c>
      <c r="D42" s="35">
        <v>52</v>
      </c>
      <c r="E42" s="35">
        <v>5</v>
      </c>
      <c r="F42" s="19">
        <f t="shared" si="5"/>
        <v>1.3520000000000001E-2</v>
      </c>
      <c r="G42" s="23">
        <f>'KASIM 4 HAFTA  '!W42</f>
        <v>0</v>
      </c>
      <c r="H42" s="26">
        <f t="shared" si="6"/>
        <v>0</v>
      </c>
      <c r="I42" s="21">
        <v>0</v>
      </c>
      <c r="J42" s="11">
        <f t="shared" si="0"/>
        <v>0</v>
      </c>
      <c r="K42" s="21">
        <v>0</v>
      </c>
      <c r="L42" s="10">
        <f t="shared" si="1"/>
        <v>0</v>
      </c>
      <c r="M42" s="21">
        <v>0</v>
      </c>
      <c r="N42" s="11">
        <f t="shared" si="2"/>
        <v>0</v>
      </c>
      <c r="O42" s="21">
        <v>0</v>
      </c>
      <c r="P42" s="10">
        <f t="shared" si="7"/>
        <v>0</v>
      </c>
      <c r="Q42" s="21">
        <v>0</v>
      </c>
      <c r="R42" s="11">
        <f t="shared" si="3"/>
        <v>0</v>
      </c>
      <c r="S42" s="39">
        <f t="shared" si="11"/>
        <v>0</v>
      </c>
      <c r="T42" s="38">
        <f t="shared" si="4"/>
        <v>0</v>
      </c>
      <c r="U42" s="12">
        <v>12</v>
      </c>
      <c r="V42" s="13">
        <f t="shared" si="8"/>
        <v>0.16224</v>
      </c>
      <c r="W42" s="49">
        <f t="shared" si="9"/>
        <v>12</v>
      </c>
      <c r="X42" s="50">
        <f t="shared" si="10"/>
        <v>0.16224</v>
      </c>
      <c r="Y42" s="238">
        <v>0</v>
      </c>
      <c r="Z42" s="101">
        <v>0</v>
      </c>
    </row>
    <row r="43" spans="1:26" x14ac:dyDescent="0.25">
      <c r="A43" s="264">
        <v>39</v>
      </c>
      <c r="B43" s="256" t="s">
        <v>40</v>
      </c>
      <c r="C43" s="34">
        <v>80</v>
      </c>
      <c r="D43" s="35">
        <v>70</v>
      </c>
      <c r="E43" s="35">
        <v>8</v>
      </c>
      <c r="F43" s="19">
        <f t="shared" si="5"/>
        <v>4.48E-2</v>
      </c>
      <c r="G43" s="23">
        <f>'KASIM 4 HAFTA  '!W43</f>
        <v>277</v>
      </c>
      <c r="H43" s="26">
        <f t="shared" si="6"/>
        <v>12.409599999999999</v>
      </c>
      <c r="I43" s="21">
        <v>24</v>
      </c>
      <c r="J43" s="11">
        <f t="shared" si="0"/>
        <v>1.0751999999999999</v>
      </c>
      <c r="K43" s="21">
        <v>0</v>
      </c>
      <c r="L43" s="10">
        <f t="shared" si="1"/>
        <v>0</v>
      </c>
      <c r="M43" s="21">
        <v>0</v>
      </c>
      <c r="N43" s="11">
        <f t="shared" si="2"/>
        <v>0</v>
      </c>
      <c r="O43" s="21">
        <v>0</v>
      </c>
      <c r="P43" s="10">
        <f t="shared" si="7"/>
        <v>0</v>
      </c>
      <c r="Q43" s="21">
        <v>0</v>
      </c>
      <c r="R43" s="11">
        <f t="shared" si="3"/>
        <v>0</v>
      </c>
      <c r="S43" s="39">
        <f t="shared" si="11"/>
        <v>253</v>
      </c>
      <c r="T43" s="38">
        <f t="shared" si="4"/>
        <v>11.3344</v>
      </c>
      <c r="U43" s="12"/>
      <c r="V43" s="13">
        <f t="shared" si="8"/>
        <v>0</v>
      </c>
      <c r="W43" s="49">
        <f t="shared" si="9"/>
        <v>253</v>
      </c>
      <c r="X43" s="50">
        <f t="shared" si="10"/>
        <v>11.3344</v>
      </c>
      <c r="Y43" s="238">
        <v>50</v>
      </c>
      <c r="Z43" s="101">
        <v>200</v>
      </c>
    </row>
    <row r="44" spans="1:26" x14ac:dyDescent="0.25">
      <c r="A44" s="264">
        <v>40</v>
      </c>
      <c r="B44" s="256" t="s">
        <v>42</v>
      </c>
      <c r="C44" s="34">
        <v>70</v>
      </c>
      <c r="D44" s="35">
        <v>64</v>
      </c>
      <c r="E44" s="35">
        <v>8</v>
      </c>
      <c r="F44" s="19">
        <f t="shared" si="5"/>
        <v>3.5839999999999997E-2</v>
      </c>
      <c r="G44" s="23">
        <f>'KASIM 4 HAFTA  '!W44</f>
        <v>354</v>
      </c>
      <c r="H44" s="26">
        <f t="shared" si="6"/>
        <v>12.687359999999998</v>
      </c>
      <c r="I44" s="21">
        <v>24</v>
      </c>
      <c r="J44" s="11">
        <f t="shared" si="0"/>
        <v>0.86015999999999992</v>
      </c>
      <c r="K44" s="21">
        <v>0</v>
      </c>
      <c r="L44" s="10">
        <f t="shared" si="1"/>
        <v>0</v>
      </c>
      <c r="M44" s="21">
        <v>0</v>
      </c>
      <c r="N44" s="11">
        <f t="shared" si="2"/>
        <v>0</v>
      </c>
      <c r="O44" s="21">
        <v>0</v>
      </c>
      <c r="P44" s="10">
        <f t="shared" si="7"/>
        <v>0</v>
      </c>
      <c r="Q44" s="21">
        <v>60</v>
      </c>
      <c r="R44" s="11">
        <f t="shared" si="3"/>
        <v>2.1503999999999999</v>
      </c>
      <c r="S44" s="39">
        <f t="shared" si="11"/>
        <v>270</v>
      </c>
      <c r="T44" s="38">
        <f t="shared" si="4"/>
        <v>9.6767999999999983</v>
      </c>
      <c r="U44" s="12">
        <v>12</v>
      </c>
      <c r="V44" s="13">
        <f t="shared" si="8"/>
        <v>0.43007999999999996</v>
      </c>
      <c r="W44" s="49">
        <f t="shared" si="9"/>
        <v>282</v>
      </c>
      <c r="X44" s="50">
        <f t="shared" si="10"/>
        <v>10.106879999999999</v>
      </c>
      <c r="Y44" s="238">
        <v>50</v>
      </c>
      <c r="Z44" s="101">
        <v>200</v>
      </c>
    </row>
    <row r="45" spans="1:26" x14ac:dyDescent="0.25">
      <c r="A45" s="264">
        <v>41</v>
      </c>
      <c r="B45" s="256" t="s">
        <v>43</v>
      </c>
      <c r="C45" s="34">
        <v>75</v>
      </c>
      <c r="D45" s="35">
        <v>70</v>
      </c>
      <c r="E45" s="35">
        <v>8</v>
      </c>
      <c r="F45" s="19">
        <f t="shared" si="5"/>
        <v>4.2000000000000003E-2</v>
      </c>
      <c r="G45" s="23">
        <f>'KASIM 4 HAFTA  '!W45</f>
        <v>436</v>
      </c>
      <c r="H45" s="26">
        <f t="shared" si="6"/>
        <v>18.312000000000001</v>
      </c>
      <c r="I45" s="21">
        <v>48</v>
      </c>
      <c r="J45" s="11">
        <f t="shared" si="0"/>
        <v>2.016</v>
      </c>
      <c r="K45" s="21">
        <v>0</v>
      </c>
      <c r="L45" s="10">
        <f t="shared" si="1"/>
        <v>0</v>
      </c>
      <c r="M45" s="21">
        <v>0</v>
      </c>
      <c r="N45" s="11">
        <f t="shared" si="2"/>
        <v>0</v>
      </c>
      <c r="O45" s="21">
        <v>0</v>
      </c>
      <c r="P45" s="10">
        <f t="shared" si="7"/>
        <v>0</v>
      </c>
      <c r="Q45" s="21">
        <v>0</v>
      </c>
      <c r="R45" s="11">
        <f t="shared" si="3"/>
        <v>0</v>
      </c>
      <c r="S45" s="39">
        <f t="shared" si="11"/>
        <v>388</v>
      </c>
      <c r="T45" s="38">
        <f t="shared" si="4"/>
        <v>16.295999999999999</v>
      </c>
      <c r="U45" s="12">
        <v>36</v>
      </c>
      <c r="V45" s="13">
        <f t="shared" si="8"/>
        <v>1.512</v>
      </c>
      <c r="W45" s="49">
        <f t="shared" si="9"/>
        <v>424</v>
      </c>
      <c r="X45" s="50">
        <f t="shared" si="10"/>
        <v>17.808</v>
      </c>
      <c r="Y45" s="238">
        <v>50</v>
      </c>
      <c r="Z45" s="101">
        <v>200</v>
      </c>
    </row>
    <row r="46" spans="1:26" x14ac:dyDescent="0.25">
      <c r="A46" s="264">
        <v>42</v>
      </c>
      <c r="B46" s="256" t="s">
        <v>77</v>
      </c>
      <c r="C46" s="34">
        <v>140</v>
      </c>
      <c r="D46" s="35">
        <v>67</v>
      </c>
      <c r="E46" s="35">
        <v>5</v>
      </c>
      <c r="F46" s="19">
        <f t="shared" si="5"/>
        <v>4.6899999999999997E-2</v>
      </c>
      <c r="G46" s="23">
        <f>'KASIM 4 HAFTA  '!W46</f>
        <v>257</v>
      </c>
      <c r="H46" s="26">
        <f t="shared" si="6"/>
        <v>12.0533</v>
      </c>
      <c r="I46" s="21">
        <v>0</v>
      </c>
      <c r="J46" s="11">
        <f t="shared" si="0"/>
        <v>0</v>
      </c>
      <c r="K46" s="21">
        <v>12</v>
      </c>
      <c r="L46" s="10">
        <f t="shared" si="1"/>
        <v>0.56279999999999997</v>
      </c>
      <c r="M46" s="21">
        <v>0</v>
      </c>
      <c r="N46" s="11">
        <f t="shared" si="2"/>
        <v>0</v>
      </c>
      <c r="O46" s="21">
        <v>24</v>
      </c>
      <c r="P46" s="10">
        <f t="shared" si="7"/>
        <v>1.1255999999999999</v>
      </c>
      <c r="Q46" s="21">
        <v>0</v>
      </c>
      <c r="R46" s="11">
        <f t="shared" si="3"/>
        <v>0</v>
      </c>
      <c r="S46" s="39">
        <f t="shared" si="11"/>
        <v>221</v>
      </c>
      <c r="T46" s="38">
        <f t="shared" si="4"/>
        <v>10.364899999999999</v>
      </c>
      <c r="U46" s="12"/>
      <c r="V46" s="13">
        <f t="shared" si="8"/>
        <v>0</v>
      </c>
      <c r="W46" s="49">
        <f t="shared" si="9"/>
        <v>221</v>
      </c>
      <c r="X46" s="50">
        <f t="shared" si="10"/>
        <v>10.364899999999999</v>
      </c>
      <c r="Y46" s="238">
        <v>50</v>
      </c>
      <c r="Z46" s="101">
        <v>100</v>
      </c>
    </row>
    <row r="47" spans="1:26" x14ac:dyDescent="0.25">
      <c r="A47" s="264">
        <v>43</v>
      </c>
      <c r="B47" s="256" t="s">
        <v>45</v>
      </c>
      <c r="C47" s="34">
        <v>80</v>
      </c>
      <c r="D47" s="35">
        <v>63</v>
      </c>
      <c r="E47" s="35">
        <v>5</v>
      </c>
      <c r="F47" s="19">
        <f t="shared" si="5"/>
        <v>2.52E-2</v>
      </c>
      <c r="G47" s="23">
        <f>'KASIM 4 HAFTA  '!W47</f>
        <v>315</v>
      </c>
      <c r="H47" s="26">
        <f t="shared" si="6"/>
        <v>7.9379999999999997</v>
      </c>
      <c r="I47" s="21">
        <v>0</v>
      </c>
      <c r="J47" s="11">
        <f t="shared" si="0"/>
        <v>0</v>
      </c>
      <c r="K47" s="21">
        <v>0</v>
      </c>
      <c r="L47" s="10">
        <f t="shared" si="1"/>
        <v>0</v>
      </c>
      <c r="M47" s="21">
        <v>0</v>
      </c>
      <c r="N47" s="11">
        <f t="shared" si="2"/>
        <v>0</v>
      </c>
      <c r="O47" s="21">
        <v>0</v>
      </c>
      <c r="P47" s="10">
        <f t="shared" si="7"/>
        <v>0</v>
      </c>
      <c r="Q47" s="21">
        <v>0</v>
      </c>
      <c r="R47" s="11">
        <f t="shared" si="3"/>
        <v>0</v>
      </c>
      <c r="S47" s="39">
        <f t="shared" si="11"/>
        <v>315</v>
      </c>
      <c r="T47" s="38">
        <f t="shared" si="4"/>
        <v>7.9379999999999997</v>
      </c>
      <c r="U47" s="12"/>
      <c r="V47" s="13">
        <f t="shared" si="8"/>
        <v>0</v>
      </c>
      <c r="W47" s="49">
        <f t="shared" si="9"/>
        <v>315</v>
      </c>
      <c r="X47" s="50">
        <f t="shared" si="10"/>
        <v>7.9379999999999997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46</v>
      </c>
      <c r="C48" s="34">
        <v>77</v>
      </c>
      <c r="D48" s="35">
        <v>68</v>
      </c>
      <c r="E48" s="35">
        <v>8</v>
      </c>
      <c r="F48" s="19">
        <f t="shared" si="5"/>
        <v>4.1888000000000002E-2</v>
      </c>
      <c r="G48" s="23">
        <f>'KASIM 4 HAFTA  '!W48</f>
        <v>169</v>
      </c>
      <c r="H48" s="26">
        <f t="shared" si="6"/>
        <v>7.079072</v>
      </c>
      <c r="I48" s="21">
        <v>80</v>
      </c>
      <c r="J48" s="11">
        <f t="shared" si="0"/>
        <v>3.3510400000000002</v>
      </c>
      <c r="K48" s="21">
        <v>0</v>
      </c>
      <c r="L48" s="10">
        <f t="shared" si="1"/>
        <v>0</v>
      </c>
      <c r="M48" s="21">
        <v>0</v>
      </c>
      <c r="N48" s="11">
        <f t="shared" si="2"/>
        <v>0</v>
      </c>
      <c r="O48" s="21">
        <v>0</v>
      </c>
      <c r="P48" s="10">
        <f t="shared" si="7"/>
        <v>0</v>
      </c>
      <c r="Q48" s="21">
        <v>0</v>
      </c>
      <c r="R48" s="11">
        <f t="shared" si="3"/>
        <v>0</v>
      </c>
      <c r="S48" s="39">
        <f t="shared" si="11"/>
        <v>89</v>
      </c>
      <c r="T48" s="38">
        <f t="shared" si="4"/>
        <v>3.7280320000000002</v>
      </c>
      <c r="U48" s="12"/>
      <c r="V48" s="13">
        <f t="shared" si="8"/>
        <v>0</v>
      </c>
      <c r="W48" s="49">
        <f t="shared" si="9"/>
        <v>89</v>
      </c>
      <c r="X48" s="50">
        <f t="shared" si="10"/>
        <v>3.7280320000000002</v>
      </c>
      <c r="Y48" s="238">
        <v>50</v>
      </c>
      <c r="Z48" s="101">
        <v>200</v>
      </c>
    </row>
    <row r="49" spans="1:26" x14ac:dyDescent="0.25">
      <c r="A49" s="264">
        <v>45</v>
      </c>
      <c r="B49" s="256" t="s">
        <v>47</v>
      </c>
      <c r="C49" s="34">
        <v>79</v>
      </c>
      <c r="D49" s="35">
        <v>79</v>
      </c>
      <c r="E49" s="35">
        <v>2</v>
      </c>
      <c r="F49" s="19">
        <f t="shared" si="5"/>
        <v>1.2482E-2</v>
      </c>
      <c r="G49" s="23">
        <f>'KASIM 4 HAFTA  '!W49</f>
        <v>244</v>
      </c>
      <c r="H49" s="26">
        <f t="shared" si="6"/>
        <v>3.0456080000000001</v>
      </c>
      <c r="I49" s="21">
        <v>0</v>
      </c>
      <c r="J49" s="11">
        <f t="shared" si="0"/>
        <v>0</v>
      </c>
      <c r="K49" s="21">
        <v>0</v>
      </c>
      <c r="L49" s="10">
        <f t="shared" si="1"/>
        <v>0</v>
      </c>
      <c r="M49" s="21">
        <v>0</v>
      </c>
      <c r="N49" s="11">
        <f t="shared" si="2"/>
        <v>0</v>
      </c>
      <c r="O49" s="21">
        <v>0</v>
      </c>
      <c r="P49" s="10">
        <f t="shared" si="7"/>
        <v>0</v>
      </c>
      <c r="Q49" s="21">
        <v>0</v>
      </c>
      <c r="R49" s="11">
        <f t="shared" si="3"/>
        <v>0</v>
      </c>
      <c r="S49" s="39">
        <f t="shared" si="11"/>
        <v>244</v>
      </c>
      <c r="T49" s="38">
        <f t="shared" si="4"/>
        <v>3.0456080000000001</v>
      </c>
      <c r="U49" s="12"/>
      <c r="V49" s="13">
        <f t="shared" si="8"/>
        <v>0</v>
      </c>
      <c r="W49" s="49">
        <f t="shared" si="9"/>
        <v>244</v>
      </c>
      <c r="X49" s="50">
        <f t="shared" si="10"/>
        <v>3.0456080000000001</v>
      </c>
      <c r="Y49" s="238">
        <v>100</v>
      </c>
      <c r="Z49" s="101">
        <v>300</v>
      </c>
    </row>
    <row r="50" spans="1:26" x14ac:dyDescent="0.25">
      <c r="A50" s="264">
        <v>46</v>
      </c>
      <c r="B50" s="256" t="s">
        <v>48</v>
      </c>
      <c r="C50" s="34">
        <v>61</v>
      </c>
      <c r="D50" s="35">
        <v>56</v>
      </c>
      <c r="E50" s="35">
        <v>10</v>
      </c>
      <c r="F50" s="19">
        <f t="shared" si="5"/>
        <v>3.4160000000000003E-2</v>
      </c>
      <c r="G50" s="23">
        <v>100</v>
      </c>
      <c r="H50" s="26">
        <f t="shared" si="6"/>
        <v>3.4160000000000004</v>
      </c>
      <c r="I50" s="21">
        <v>0</v>
      </c>
      <c r="J50" s="11">
        <f t="shared" si="0"/>
        <v>0</v>
      </c>
      <c r="K50" s="21">
        <v>0</v>
      </c>
      <c r="L50" s="10">
        <f t="shared" si="1"/>
        <v>0</v>
      </c>
      <c r="M50" s="21">
        <v>0</v>
      </c>
      <c r="N50" s="11">
        <f t="shared" si="2"/>
        <v>0</v>
      </c>
      <c r="O50" s="21">
        <v>0</v>
      </c>
      <c r="P50" s="10">
        <f t="shared" si="7"/>
        <v>0</v>
      </c>
      <c r="Q50" s="21">
        <v>100</v>
      </c>
      <c r="R50" s="11">
        <f t="shared" si="3"/>
        <v>3.4160000000000004</v>
      </c>
      <c r="S50" s="39">
        <f t="shared" si="11"/>
        <v>0</v>
      </c>
      <c r="T50" s="38">
        <f t="shared" si="4"/>
        <v>0</v>
      </c>
      <c r="U50" s="12"/>
      <c r="V50" s="13">
        <f t="shared" si="8"/>
        <v>0</v>
      </c>
      <c r="W50" s="49">
        <f t="shared" si="9"/>
        <v>0</v>
      </c>
      <c r="X50" s="50">
        <f t="shared" si="10"/>
        <v>0</v>
      </c>
      <c r="Y50" s="238">
        <v>30</v>
      </c>
      <c r="Z50" s="101">
        <v>100</v>
      </c>
    </row>
    <row r="51" spans="1:26" x14ac:dyDescent="0.25">
      <c r="A51" s="264">
        <v>47</v>
      </c>
      <c r="B51" s="256" t="s">
        <v>49</v>
      </c>
      <c r="C51" s="34">
        <v>66</v>
      </c>
      <c r="D51" s="35">
        <v>61</v>
      </c>
      <c r="E51" s="35">
        <v>10</v>
      </c>
      <c r="F51" s="19">
        <f t="shared" si="5"/>
        <v>4.0259999999999997E-2</v>
      </c>
      <c r="G51" s="23">
        <f>'KASIM 4 HAFTA  '!W51</f>
        <v>204</v>
      </c>
      <c r="H51" s="26">
        <f t="shared" si="6"/>
        <v>8.2130399999999995</v>
      </c>
      <c r="I51" s="21">
        <v>0</v>
      </c>
      <c r="J51" s="11">
        <f t="shared" si="0"/>
        <v>0</v>
      </c>
      <c r="K51" s="21">
        <v>0</v>
      </c>
      <c r="L51" s="10">
        <f t="shared" si="1"/>
        <v>0</v>
      </c>
      <c r="M51" s="21">
        <v>0</v>
      </c>
      <c r="N51" s="11">
        <f t="shared" si="2"/>
        <v>0</v>
      </c>
      <c r="O51" s="21">
        <v>0</v>
      </c>
      <c r="P51" s="10">
        <f t="shared" si="7"/>
        <v>0</v>
      </c>
      <c r="Q51" s="21">
        <v>51</v>
      </c>
      <c r="R51" s="11">
        <f t="shared" si="3"/>
        <v>2.0532599999999999</v>
      </c>
      <c r="S51" s="39">
        <f t="shared" si="11"/>
        <v>153</v>
      </c>
      <c r="T51" s="38">
        <f t="shared" si="4"/>
        <v>6.1597799999999996</v>
      </c>
      <c r="U51" s="12"/>
      <c r="V51" s="13">
        <f t="shared" si="8"/>
        <v>0</v>
      </c>
      <c r="W51" s="49">
        <f t="shared" si="9"/>
        <v>153</v>
      </c>
      <c r="X51" s="50">
        <f t="shared" si="10"/>
        <v>6.1597799999999996</v>
      </c>
      <c r="Y51" s="238">
        <v>30</v>
      </c>
      <c r="Z51" s="101">
        <v>100</v>
      </c>
    </row>
    <row r="52" spans="1:26" x14ac:dyDescent="0.25">
      <c r="A52" s="264">
        <v>48</v>
      </c>
      <c r="B52" s="256" t="s">
        <v>50</v>
      </c>
      <c r="C52" s="34">
        <v>63</v>
      </c>
      <c r="D52" s="35">
        <v>61</v>
      </c>
      <c r="E52" s="35">
        <v>10</v>
      </c>
      <c r="F52" s="19">
        <f t="shared" si="5"/>
        <v>3.8429999999999999E-2</v>
      </c>
      <c r="G52" s="23">
        <v>293</v>
      </c>
      <c r="H52" s="26">
        <f t="shared" si="6"/>
        <v>11.25999</v>
      </c>
      <c r="I52" s="21">
        <v>0</v>
      </c>
      <c r="J52" s="11">
        <f t="shared" si="0"/>
        <v>0</v>
      </c>
      <c r="K52" s="21">
        <v>0</v>
      </c>
      <c r="L52" s="10">
        <f t="shared" si="1"/>
        <v>0</v>
      </c>
      <c r="M52" s="21">
        <v>0</v>
      </c>
      <c r="N52" s="11">
        <f t="shared" si="2"/>
        <v>0</v>
      </c>
      <c r="O52" s="21">
        <v>0</v>
      </c>
      <c r="P52" s="10">
        <f t="shared" si="7"/>
        <v>0</v>
      </c>
      <c r="Q52" s="21">
        <v>112</v>
      </c>
      <c r="R52" s="11">
        <f t="shared" si="3"/>
        <v>4.3041599999999995</v>
      </c>
      <c r="S52" s="39">
        <f t="shared" si="11"/>
        <v>181</v>
      </c>
      <c r="T52" s="38">
        <f t="shared" si="4"/>
        <v>6.9558299999999997</v>
      </c>
      <c r="U52" s="12"/>
      <c r="V52" s="13">
        <f t="shared" si="8"/>
        <v>0</v>
      </c>
      <c r="W52" s="49">
        <f t="shared" si="9"/>
        <v>181</v>
      </c>
      <c r="X52" s="50">
        <f t="shared" si="10"/>
        <v>6.9558299999999997</v>
      </c>
      <c r="Y52" s="238">
        <v>30</v>
      </c>
      <c r="Z52" s="101">
        <v>100</v>
      </c>
    </row>
    <row r="53" spans="1:26" x14ac:dyDescent="0.25">
      <c r="A53" s="264">
        <v>49</v>
      </c>
      <c r="B53" s="256" t="s">
        <v>51</v>
      </c>
      <c r="C53" s="34">
        <v>58</v>
      </c>
      <c r="D53" s="35">
        <v>58</v>
      </c>
      <c r="E53" s="35">
        <v>2.2999999999999998</v>
      </c>
      <c r="F53" s="19">
        <f t="shared" si="5"/>
        <v>7.7371999999999996E-3</v>
      </c>
      <c r="G53" s="23">
        <f>'KASIM 4 HAFTA  '!W53</f>
        <v>3650</v>
      </c>
      <c r="H53" s="26">
        <f t="shared" si="6"/>
        <v>28.240779999999997</v>
      </c>
      <c r="I53" s="21">
        <v>0</v>
      </c>
      <c r="J53" s="11">
        <f t="shared" si="0"/>
        <v>0</v>
      </c>
      <c r="K53" s="21">
        <v>0</v>
      </c>
      <c r="L53" s="10">
        <f t="shared" si="1"/>
        <v>0</v>
      </c>
      <c r="M53" s="21">
        <v>0</v>
      </c>
      <c r="N53" s="11">
        <f t="shared" si="2"/>
        <v>0</v>
      </c>
      <c r="O53" s="21">
        <v>0</v>
      </c>
      <c r="P53" s="10">
        <f t="shared" si="7"/>
        <v>0</v>
      </c>
      <c r="Q53" s="21">
        <v>7</v>
      </c>
      <c r="R53" s="11">
        <f t="shared" si="3"/>
        <v>5.4160399999999997E-2</v>
      </c>
      <c r="S53" s="39">
        <f t="shared" si="11"/>
        <v>3643</v>
      </c>
      <c r="T53" s="38">
        <f t="shared" si="4"/>
        <v>28.1866196</v>
      </c>
      <c r="U53" s="12"/>
      <c r="V53" s="13">
        <f t="shared" si="8"/>
        <v>0</v>
      </c>
      <c r="W53" s="49">
        <f t="shared" si="9"/>
        <v>3643</v>
      </c>
      <c r="X53" s="50">
        <f t="shared" si="10"/>
        <v>28.1866196</v>
      </c>
      <c r="Y53" s="238">
        <v>200</v>
      </c>
      <c r="Z53" s="101">
        <v>500</v>
      </c>
    </row>
    <row r="54" spans="1:26" x14ac:dyDescent="0.25">
      <c r="A54" s="264">
        <v>50</v>
      </c>
      <c r="B54" s="256" t="s">
        <v>52</v>
      </c>
      <c r="C54" s="34">
        <v>79</v>
      </c>
      <c r="D54" s="35">
        <v>62</v>
      </c>
      <c r="E54" s="35">
        <v>2.2999999999999998</v>
      </c>
      <c r="F54" s="19">
        <f t="shared" si="5"/>
        <v>1.12654E-2</v>
      </c>
      <c r="G54" s="23">
        <f>'KASIM 4 HAFTA  '!W54</f>
        <v>3532</v>
      </c>
      <c r="H54" s="26">
        <f t="shared" si="6"/>
        <v>39.789392800000002</v>
      </c>
      <c r="I54" s="21">
        <v>96</v>
      </c>
      <c r="J54" s="11">
        <f t="shared" si="0"/>
        <v>1.0814784</v>
      </c>
      <c r="K54" s="21">
        <v>0</v>
      </c>
      <c r="L54" s="10">
        <f t="shared" si="1"/>
        <v>0</v>
      </c>
      <c r="M54" s="21">
        <v>27</v>
      </c>
      <c r="N54" s="11">
        <f t="shared" si="2"/>
        <v>0.30416579999999999</v>
      </c>
      <c r="O54" s="21">
        <v>0</v>
      </c>
      <c r="P54" s="10">
        <f t="shared" si="7"/>
        <v>0</v>
      </c>
      <c r="Q54" s="21">
        <v>0</v>
      </c>
      <c r="R54" s="11">
        <f t="shared" si="3"/>
        <v>0</v>
      </c>
      <c r="S54" s="39">
        <f t="shared" si="11"/>
        <v>3409</v>
      </c>
      <c r="T54" s="38">
        <f t="shared" si="4"/>
        <v>38.4037486</v>
      </c>
      <c r="U54" s="12"/>
      <c r="V54" s="13">
        <f t="shared" si="8"/>
        <v>0</v>
      </c>
      <c r="W54" s="49">
        <f t="shared" si="9"/>
        <v>3409</v>
      </c>
      <c r="X54" s="50">
        <f t="shared" si="10"/>
        <v>38.4037486</v>
      </c>
      <c r="Y54" s="238">
        <v>100</v>
      </c>
      <c r="Z54" s="101">
        <v>300</v>
      </c>
    </row>
    <row r="55" spans="1:26" x14ac:dyDescent="0.25">
      <c r="A55" s="264">
        <v>51</v>
      </c>
      <c r="B55" s="256" t="s">
        <v>53</v>
      </c>
      <c r="C55" s="34">
        <v>200</v>
      </c>
      <c r="D55" s="35">
        <v>176</v>
      </c>
      <c r="E55" s="35">
        <v>2.2999999999999998</v>
      </c>
      <c r="F55" s="19">
        <f t="shared" si="5"/>
        <v>8.0960000000000004E-2</v>
      </c>
      <c r="G55" s="23">
        <f>'KASIM 4 HAFTA  '!W55</f>
        <v>1</v>
      </c>
      <c r="H55" s="26">
        <f t="shared" si="6"/>
        <v>8.0960000000000004E-2</v>
      </c>
      <c r="I55" s="21">
        <v>0</v>
      </c>
      <c r="J55" s="11">
        <f t="shared" si="0"/>
        <v>0</v>
      </c>
      <c r="K55" s="21">
        <v>0</v>
      </c>
      <c r="L55" s="10">
        <f t="shared" si="1"/>
        <v>0</v>
      </c>
      <c r="M55" s="21">
        <v>0</v>
      </c>
      <c r="N55" s="11">
        <f t="shared" si="2"/>
        <v>0</v>
      </c>
      <c r="O55" s="21">
        <v>0</v>
      </c>
      <c r="P55" s="10">
        <f t="shared" si="7"/>
        <v>0</v>
      </c>
      <c r="Q55" s="21">
        <v>0</v>
      </c>
      <c r="R55" s="11">
        <f t="shared" si="3"/>
        <v>0</v>
      </c>
      <c r="S55" s="39">
        <f t="shared" si="11"/>
        <v>1</v>
      </c>
      <c r="T55" s="38">
        <f t="shared" si="4"/>
        <v>8.0960000000000004E-2</v>
      </c>
      <c r="U55" s="12"/>
      <c r="V55" s="13">
        <f t="shared" si="8"/>
        <v>0</v>
      </c>
      <c r="W55" s="49">
        <f t="shared" si="9"/>
        <v>1</v>
      </c>
      <c r="X55" s="50">
        <f t="shared" si="10"/>
        <v>8.0960000000000004E-2</v>
      </c>
      <c r="Y55" s="238">
        <v>0</v>
      </c>
      <c r="Z55" s="101">
        <v>0</v>
      </c>
    </row>
    <row r="56" spans="1:26" x14ac:dyDescent="0.25">
      <c r="A56" s="264">
        <v>52</v>
      </c>
      <c r="B56" s="256" t="s">
        <v>54</v>
      </c>
      <c r="C56" s="34">
        <v>79</v>
      </c>
      <c r="D56" s="35">
        <v>79</v>
      </c>
      <c r="E56" s="35">
        <v>2.2999999999999998</v>
      </c>
      <c r="F56" s="19">
        <f t="shared" si="5"/>
        <v>1.4354299999999999E-2</v>
      </c>
      <c r="G56" s="23">
        <f>'KASIM 4 HAFTA  '!W56</f>
        <v>3597</v>
      </c>
      <c r="H56" s="26">
        <f t="shared" si="6"/>
        <v>51.632417099999998</v>
      </c>
      <c r="I56" s="21">
        <v>0</v>
      </c>
      <c r="J56" s="11">
        <f t="shared" si="0"/>
        <v>0</v>
      </c>
      <c r="K56" s="21">
        <v>0</v>
      </c>
      <c r="L56" s="10">
        <f t="shared" si="1"/>
        <v>0</v>
      </c>
      <c r="M56" s="21">
        <v>0</v>
      </c>
      <c r="N56" s="11">
        <f t="shared" si="2"/>
        <v>0</v>
      </c>
      <c r="O56" s="21">
        <v>0</v>
      </c>
      <c r="P56" s="10">
        <f t="shared" si="7"/>
        <v>0</v>
      </c>
      <c r="Q56" s="21">
        <v>0</v>
      </c>
      <c r="R56" s="11">
        <f t="shared" si="3"/>
        <v>0</v>
      </c>
      <c r="S56" s="39">
        <f t="shared" si="11"/>
        <v>3597</v>
      </c>
      <c r="T56" s="38">
        <f t="shared" si="4"/>
        <v>51.632417099999998</v>
      </c>
      <c r="U56" s="12"/>
      <c r="V56" s="13">
        <f t="shared" si="8"/>
        <v>0</v>
      </c>
      <c r="W56" s="49">
        <f t="shared" si="9"/>
        <v>3597</v>
      </c>
      <c r="X56" s="50">
        <f t="shared" si="10"/>
        <v>51.632417099999998</v>
      </c>
      <c r="Y56" s="238">
        <v>300</v>
      </c>
      <c r="Z56" s="101">
        <v>1000</v>
      </c>
    </row>
    <row r="57" spans="1:26" ht="15.75" x14ac:dyDescent="0.25">
      <c r="A57" s="264">
        <v>53</v>
      </c>
      <c r="B57" s="256" t="s">
        <v>55</v>
      </c>
      <c r="C57" s="111">
        <v>50</v>
      </c>
      <c r="D57" s="112">
        <v>45</v>
      </c>
      <c r="E57" s="112">
        <v>4</v>
      </c>
      <c r="F57" s="19">
        <f t="shared" si="5"/>
        <v>8.9999999999999993E-3</v>
      </c>
      <c r="G57" s="23">
        <f>'KASIM 4 HAFTA  '!W57</f>
        <v>397</v>
      </c>
      <c r="H57" s="26">
        <f t="shared" si="6"/>
        <v>3.5729999999999995</v>
      </c>
      <c r="I57" s="21">
        <v>0</v>
      </c>
      <c r="J57" s="11">
        <f t="shared" si="0"/>
        <v>0</v>
      </c>
      <c r="K57" s="21">
        <v>0</v>
      </c>
      <c r="L57" s="10">
        <f t="shared" si="1"/>
        <v>0</v>
      </c>
      <c r="M57" s="21">
        <v>0</v>
      </c>
      <c r="N57" s="11">
        <f t="shared" si="2"/>
        <v>0</v>
      </c>
      <c r="O57" s="21">
        <v>0</v>
      </c>
      <c r="P57" s="10">
        <f t="shared" si="7"/>
        <v>0</v>
      </c>
      <c r="Q57" s="21">
        <v>26</v>
      </c>
      <c r="R57" s="11">
        <f t="shared" si="3"/>
        <v>0.23399999999999999</v>
      </c>
      <c r="S57" s="39">
        <f t="shared" si="11"/>
        <v>371</v>
      </c>
      <c r="T57" s="38">
        <f t="shared" si="4"/>
        <v>3.339</v>
      </c>
      <c r="U57" s="12"/>
      <c r="V57" s="13">
        <f t="shared" si="8"/>
        <v>0</v>
      </c>
      <c r="W57" s="49">
        <f t="shared" si="9"/>
        <v>371</v>
      </c>
      <c r="X57" s="50">
        <f t="shared" si="10"/>
        <v>3.339</v>
      </c>
      <c r="Y57" s="238">
        <v>300</v>
      </c>
      <c r="Z57" s="101">
        <v>1000</v>
      </c>
    </row>
    <row r="58" spans="1:26" ht="15.75" x14ac:dyDescent="0.25">
      <c r="A58" s="264">
        <v>54</v>
      </c>
      <c r="B58" s="256" t="s">
        <v>56</v>
      </c>
      <c r="C58" s="111">
        <v>50</v>
      </c>
      <c r="D58" s="112">
        <v>35</v>
      </c>
      <c r="E58" s="112">
        <v>4</v>
      </c>
      <c r="F58" s="19">
        <f t="shared" si="5"/>
        <v>7.0000000000000001E-3</v>
      </c>
      <c r="G58" s="23">
        <f>'KASIM 4 HAFTA  '!W58</f>
        <v>490</v>
      </c>
      <c r="H58" s="26">
        <f t="shared" si="6"/>
        <v>3.43</v>
      </c>
      <c r="I58" s="21">
        <v>0</v>
      </c>
      <c r="J58" s="11">
        <f t="shared" si="0"/>
        <v>0</v>
      </c>
      <c r="K58" s="21">
        <v>0</v>
      </c>
      <c r="L58" s="10">
        <f t="shared" si="1"/>
        <v>0</v>
      </c>
      <c r="M58" s="21">
        <v>0</v>
      </c>
      <c r="N58" s="11">
        <f t="shared" si="2"/>
        <v>0</v>
      </c>
      <c r="O58" s="21">
        <v>0</v>
      </c>
      <c r="P58" s="10">
        <f t="shared" si="7"/>
        <v>0</v>
      </c>
      <c r="Q58" s="21">
        <v>0</v>
      </c>
      <c r="R58" s="11">
        <f t="shared" si="3"/>
        <v>0</v>
      </c>
      <c r="S58" s="39">
        <f t="shared" si="11"/>
        <v>490</v>
      </c>
      <c r="T58" s="38">
        <f t="shared" si="4"/>
        <v>3.43</v>
      </c>
      <c r="U58" s="12"/>
      <c r="V58" s="13">
        <f t="shared" si="8"/>
        <v>0</v>
      </c>
      <c r="W58" s="49">
        <f t="shared" si="9"/>
        <v>490</v>
      </c>
      <c r="X58" s="50">
        <f t="shared" si="10"/>
        <v>3.43</v>
      </c>
      <c r="Y58" s="238">
        <v>500</v>
      </c>
      <c r="Z58" s="101">
        <v>1500</v>
      </c>
    </row>
    <row r="59" spans="1:26" ht="15.75" x14ac:dyDescent="0.25">
      <c r="A59" s="264">
        <v>55</v>
      </c>
      <c r="B59" s="256" t="s">
        <v>57</v>
      </c>
      <c r="C59" s="111">
        <v>45</v>
      </c>
      <c r="D59" s="112">
        <v>50</v>
      </c>
      <c r="E59" s="112">
        <v>3</v>
      </c>
      <c r="F59" s="19">
        <f t="shared" si="5"/>
        <v>6.7499999999999999E-3</v>
      </c>
      <c r="G59" s="23">
        <f>'KASIM 4 HAFTA  '!W59</f>
        <v>786</v>
      </c>
      <c r="H59" s="26">
        <f t="shared" si="6"/>
        <v>5.3055000000000003</v>
      </c>
      <c r="I59" s="21">
        <v>0</v>
      </c>
      <c r="J59" s="11">
        <f t="shared" si="0"/>
        <v>0</v>
      </c>
      <c r="K59" s="21">
        <v>15</v>
      </c>
      <c r="L59" s="10">
        <f t="shared" si="1"/>
        <v>0.10124999999999999</v>
      </c>
      <c r="M59" s="21">
        <v>6</v>
      </c>
      <c r="N59" s="11">
        <f t="shared" si="2"/>
        <v>4.0500000000000001E-2</v>
      </c>
      <c r="O59" s="21">
        <v>0</v>
      </c>
      <c r="P59" s="10">
        <f t="shared" si="7"/>
        <v>0</v>
      </c>
      <c r="Q59" s="21">
        <v>0</v>
      </c>
      <c r="R59" s="11">
        <f t="shared" si="3"/>
        <v>0</v>
      </c>
      <c r="S59" s="39">
        <f t="shared" si="11"/>
        <v>765</v>
      </c>
      <c r="T59" s="38">
        <f t="shared" si="4"/>
        <v>5.1637500000000003</v>
      </c>
      <c r="U59" s="12"/>
      <c r="V59" s="13">
        <f t="shared" si="8"/>
        <v>0</v>
      </c>
      <c r="W59" s="49">
        <f t="shared" si="9"/>
        <v>765</v>
      </c>
      <c r="X59" s="50">
        <f t="shared" si="10"/>
        <v>5.1637500000000003</v>
      </c>
      <c r="Y59" s="238">
        <v>500</v>
      </c>
      <c r="Z59" s="101">
        <v>1500</v>
      </c>
    </row>
    <row r="60" spans="1:26" ht="15.75" x14ac:dyDescent="0.25">
      <c r="A60" s="264">
        <v>56</v>
      </c>
      <c r="B60" s="256" t="s">
        <v>58</v>
      </c>
      <c r="C60" s="111">
        <v>50</v>
      </c>
      <c r="D60" s="112">
        <v>35</v>
      </c>
      <c r="E60" s="112">
        <v>3</v>
      </c>
      <c r="F60" s="19">
        <f t="shared" si="5"/>
        <v>5.2500000000000003E-3</v>
      </c>
      <c r="G60" s="23">
        <f>'KASIM 4 HAFTA  '!W60</f>
        <v>978</v>
      </c>
      <c r="H60" s="26">
        <f t="shared" si="6"/>
        <v>5.1345000000000001</v>
      </c>
      <c r="I60" s="21">
        <v>0</v>
      </c>
      <c r="J60" s="11">
        <f t="shared" si="0"/>
        <v>0</v>
      </c>
      <c r="K60" s="21">
        <v>0</v>
      </c>
      <c r="L60" s="10">
        <f t="shared" si="1"/>
        <v>0</v>
      </c>
      <c r="M60" s="21">
        <v>5</v>
      </c>
      <c r="N60" s="11">
        <f t="shared" si="2"/>
        <v>2.6250000000000002E-2</v>
      </c>
      <c r="O60" s="21">
        <v>0</v>
      </c>
      <c r="P60" s="10">
        <f t="shared" si="7"/>
        <v>0</v>
      </c>
      <c r="Q60" s="21">
        <v>0</v>
      </c>
      <c r="R60" s="11">
        <f t="shared" si="3"/>
        <v>0</v>
      </c>
      <c r="S60" s="39">
        <f t="shared" si="11"/>
        <v>973</v>
      </c>
      <c r="T60" s="38">
        <f t="shared" si="4"/>
        <v>5.10825</v>
      </c>
      <c r="U60" s="12"/>
      <c r="V60" s="13">
        <f t="shared" si="8"/>
        <v>0</v>
      </c>
      <c r="W60" s="49">
        <f t="shared" si="9"/>
        <v>973</v>
      </c>
      <c r="X60" s="50">
        <f t="shared" si="10"/>
        <v>5.10825</v>
      </c>
      <c r="Y60" s="238">
        <v>0</v>
      </c>
      <c r="Z60" s="101">
        <v>0</v>
      </c>
    </row>
    <row r="61" spans="1:26" ht="15.75" x14ac:dyDescent="0.25">
      <c r="A61" s="264">
        <v>57</v>
      </c>
      <c r="B61" s="256" t="s">
        <v>59</v>
      </c>
      <c r="C61" s="111">
        <v>42</v>
      </c>
      <c r="D61" s="112">
        <v>36</v>
      </c>
      <c r="E61" s="112">
        <v>4</v>
      </c>
      <c r="F61" s="19">
        <f t="shared" si="5"/>
        <v>6.0480000000000004E-3</v>
      </c>
      <c r="G61" s="23">
        <f>'KASIM 4 HAFTA  '!W61</f>
        <v>0</v>
      </c>
      <c r="H61" s="26">
        <f t="shared" si="6"/>
        <v>0</v>
      </c>
      <c r="I61" s="21">
        <v>0</v>
      </c>
      <c r="J61" s="11">
        <f t="shared" si="0"/>
        <v>0</v>
      </c>
      <c r="K61" s="21">
        <v>0</v>
      </c>
      <c r="L61" s="10">
        <f t="shared" si="1"/>
        <v>0</v>
      </c>
      <c r="M61" s="21">
        <v>0</v>
      </c>
      <c r="N61" s="11">
        <f t="shared" si="2"/>
        <v>0</v>
      </c>
      <c r="O61" s="21">
        <v>0</v>
      </c>
      <c r="P61" s="10">
        <f t="shared" si="7"/>
        <v>0</v>
      </c>
      <c r="Q61" s="21">
        <v>0</v>
      </c>
      <c r="R61" s="11">
        <f t="shared" si="3"/>
        <v>0</v>
      </c>
      <c r="S61" s="97">
        <f t="shared" si="11"/>
        <v>0</v>
      </c>
      <c r="T61" s="38">
        <f t="shared" si="4"/>
        <v>0</v>
      </c>
      <c r="U61" s="12"/>
      <c r="V61" s="13">
        <f t="shared" si="8"/>
        <v>0</v>
      </c>
      <c r="W61" s="49">
        <f t="shared" si="9"/>
        <v>0</v>
      </c>
      <c r="X61" s="50">
        <f t="shared" si="10"/>
        <v>0</v>
      </c>
      <c r="Y61" s="238">
        <v>300</v>
      </c>
      <c r="Z61" s="101">
        <v>1000</v>
      </c>
    </row>
    <row r="62" spans="1:26" ht="15.75" x14ac:dyDescent="0.25">
      <c r="A62" s="264">
        <v>58</v>
      </c>
      <c r="B62" s="256" t="s">
        <v>60</v>
      </c>
      <c r="C62" s="111">
        <v>50</v>
      </c>
      <c r="D62" s="112">
        <v>35</v>
      </c>
      <c r="E62" s="112">
        <v>3</v>
      </c>
      <c r="F62" s="19">
        <f t="shared" si="5"/>
        <v>5.2500000000000003E-3</v>
      </c>
      <c r="G62" s="23">
        <f>'KASIM 4 HAFTA  '!W62</f>
        <v>881</v>
      </c>
      <c r="H62" s="26">
        <f t="shared" si="6"/>
        <v>4.6252500000000003</v>
      </c>
      <c r="I62" s="21">
        <v>10</v>
      </c>
      <c r="J62" s="11">
        <f t="shared" si="0"/>
        <v>5.2500000000000005E-2</v>
      </c>
      <c r="K62" s="21">
        <v>0</v>
      </c>
      <c r="L62" s="10">
        <f t="shared" si="1"/>
        <v>0</v>
      </c>
      <c r="M62" s="21">
        <v>0</v>
      </c>
      <c r="N62" s="11">
        <f t="shared" si="2"/>
        <v>0</v>
      </c>
      <c r="O62" s="21">
        <v>0</v>
      </c>
      <c r="P62" s="10">
        <f t="shared" si="7"/>
        <v>0</v>
      </c>
      <c r="Q62" s="21">
        <v>0</v>
      </c>
      <c r="R62" s="11">
        <f t="shared" si="3"/>
        <v>0</v>
      </c>
      <c r="S62" s="97">
        <f t="shared" si="11"/>
        <v>871</v>
      </c>
      <c r="T62" s="38">
        <f t="shared" si="4"/>
        <v>4.5727500000000001</v>
      </c>
      <c r="U62" s="12"/>
      <c r="V62" s="13">
        <f t="shared" si="8"/>
        <v>0</v>
      </c>
      <c r="W62" s="49">
        <f t="shared" si="9"/>
        <v>871</v>
      </c>
      <c r="X62" s="50">
        <f t="shared" si="10"/>
        <v>4.5727500000000001</v>
      </c>
      <c r="Y62" s="238">
        <v>300</v>
      </c>
      <c r="Z62" s="101">
        <v>1000</v>
      </c>
    </row>
    <row r="63" spans="1:26" ht="15.75" x14ac:dyDescent="0.25">
      <c r="A63" s="264">
        <v>59</v>
      </c>
      <c r="B63" s="257" t="s">
        <v>61</v>
      </c>
      <c r="C63" s="111">
        <v>45</v>
      </c>
      <c r="D63" s="112">
        <v>50</v>
      </c>
      <c r="E63" s="112">
        <v>3</v>
      </c>
      <c r="F63" s="19">
        <f t="shared" si="5"/>
        <v>6.7499999999999999E-3</v>
      </c>
      <c r="G63" s="23">
        <f>'KASIM 4 HAFTA  '!W63</f>
        <v>970</v>
      </c>
      <c r="H63" s="26">
        <f t="shared" si="6"/>
        <v>6.5475000000000003</v>
      </c>
      <c r="I63" s="21">
        <v>35</v>
      </c>
      <c r="J63" s="11">
        <f t="shared" si="0"/>
        <v>0.23624999999999999</v>
      </c>
      <c r="K63" s="21">
        <v>0</v>
      </c>
      <c r="L63" s="10">
        <f t="shared" si="1"/>
        <v>0</v>
      </c>
      <c r="M63" s="21">
        <v>0</v>
      </c>
      <c r="N63" s="11">
        <f t="shared" si="2"/>
        <v>0</v>
      </c>
      <c r="O63" s="21">
        <v>0</v>
      </c>
      <c r="P63" s="10">
        <f t="shared" si="7"/>
        <v>0</v>
      </c>
      <c r="Q63" s="21">
        <v>0</v>
      </c>
      <c r="R63" s="11">
        <f t="shared" si="3"/>
        <v>0</v>
      </c>
      <c r="S63" s="97">
        <f t="shared" si="11"/>
        <v>935</v>
      </c>
      <c r="T63" s="38">
        <f t="shared" si="4"/>
        <v>6.3112500000000002</v>
      </c>
      <c r="U63" s="12"/>
      <c r="V63" s="13">
        <f t="shared" si="8"/>
        <v>0</v>
      </c>
      <c r="W63" s="49">
        <f t="shared" si="9"/>
        <v>935</v>
      </c>
      <c r="X63" s="50">
        <f t="shared" si="10"/>
        <v>6.3112500000000002</v>
      </c>
      <c r="Y63" s="238">
        <v>500</v>
      </c>
      <c r="Z63" s="101">
        <v>1500</v>
      </c>
    </row>
    <row r="64" spans="1:26" ht="15.75" thickBot="1" x14ac:dyDescent="0.3">
      <c r="A64" s="264">
        <v>60</v>
      </c>
      <c r="B64" s="258" t="s">
        <v>90</v>
      </c>
      <c r="C64" s="36">
        <v>140</v>
      </c>
      <c r="D64" s="37">
        <v>9.5</v>
      </c>
      <c r="E64" s="37">
        <v>6.5</v>
      </c>
      <c r="F64" s="20">
        <f t="shared" si="5"/>
        <v>8.6449999999999999E-3</v>
      </c>
      <c r="G64" s="23">
        <f>'KASIM 4 HAFTA  '!W64</f>
        <v>463</v>
      </c>
      <c r="H64" s="27">
        <f t="shared" si="6"/>
        <v>4.0026349999999997</v>
      </c>
      <c r="I64" s="21">
        <v>125</v>
      </c>
      <c r="J64" s="11">
        <f t="shared" si="0"/>
        <v>1.0806249999999999</v>
      </c>
      <c r="K64" s="21">
        <v>0</v>
      </c>
      <c r="L64" s="10">
        <f t="shared" si="1"/>
        <v>0</v>
      </c>
      <c r="M64" s="21">
        <v>0</v>
      </c>
      <c r="N64" s="11">
        <f t="shared" si="2"/>
        <v>0</v>
      </c>
      <c r="O64" s="21">
        <v>0</v>
      </c>
      <c r="P64" s="48">
        <f t="shared" si="7"/>
        <v>0</v>
      </c>
      <c r="Q64" s="21">
        <v>138</v>
      </c>
      <c r="R64" s="11">
        <f t="shared" si="3"/>
        <v>1.1930099999999999</v>
      </c>
      <c r="S64" s="97">
        <f t="shared" si="11"/>
        <v>200</v>
      </c>
      <c r="T64" s="41">
        <f t="shared" si="4"/>
        <v>1.7290000000000001</v>
      </c>
      <c r="U64" s="51"/>
      <c r="V64" s="13">
        <f t="shared" si="8"/>
        <v>0</v>
      </c>
      <c r="W64" s="49">
        <f t="shared" si="9"/>
        <v>200</v>
      </c>
      <c r="X64" s="50">
        <f t="shared" si="10"/>
        <v>1.7290000000000001</v>
      </c>
      <c r="Y64" s="238">
        <v>100</v>
      </c>
      <c r="Z64" s="101">
        <v>300</v>
      </c>
    </row>
    <row r="65" spans="1:26" ht="15.75" x14ac:dyDescent="0.25">
      <c r="A65" s="264">
        <v>61</v>
      </c>
      <c r="B65" s="259" t="s">
        <v>79</v>
      </c>
      <c r="C65" s="112">
        <v>90</v>
      </c>
      <c r="D65" s="112">
        <v>83</v>
      </c>
      <c r="E65" s="112">
        <v>2</v>
      </c>
      <c r="F65" s="114">
        <f t="shared" si="5"/>
        <v>1.494E-2</v>
      </c>
      <c r="G65" s="23">
        <f>'KASIM 4 HAFTA  '!W65</f>
        <v>187</v>
      </c>
      <c r="H65" s="116">
        <f t="shared" si="6"/>
        <v>2.7937799999999999</v>
      </c>
      <c r="I65" s="21">
        <v>0</v>
      </c>
      <c r="J65" s="11">
        <f t="shared" si="0"/>
        <v>0</v>
      </c>
      <c r="K65" s="21">
        <v>0</v>
      </c>
      <c r="L65" s="10">
        <f t="shared" si="1"/>
        <v>0</v>
      </c>
      <c r="M65" s="21">
        <v>0</v>
      </c>
      <c r="N65" s="11">
        <f t="shared" si="2"/>
        <v>0</v>
      </c>
      <c r="O65" s="21">
        <v>0</v>
      </c>
      <c r="P65" s="121">
        <f t="shared" si="7"/>
        <v>0</v>
      </c>
      <c r="Q65" s="21">
        <v>0</v>
      </c>
      <c r="R65" s="11">
        <f t="shared" si="3"/>
        <v>0</v>
      </c>
      <c r="S65" s="140">
        <f t="shared" si="11"/>
        <v>187</v>
      </c>
      <c r="T65" s="123">
        <f t="shared" si="4"/>
        <v>2.7937799999999999</v>
      </c>
      <c r="U65" s="138">
        <v>0</v>
      </c>
      <c r="V65" s="139">
        <f t="shared" si="8"/>
        <v>0</v>
      </c>
      <c r="W65" s="141">
        <f t="shared" si="9"/>
        <v>187</v>
      </c>
      <c r="X65" s="50">
        <f t="shared" si="10"/>
        <v>2.7937799999999999</v>
      </c>
      <c r="Y65" s="238">
        <v>100</v>
      </c>
      <c r="Z65" s="101">
        <v>300</v>
      </c>
    </row>
    <row r="66" spans="1:26" ht="15.75" x14ac:dyDescent="0.25">
      <c r="A66" s="264">
        <v>62</v>
      </c>
      <c r="B66" s="260" t="s">
        <v>80</v>
      </c>
      <c r="C66" s="113">
        <v>92</v>
      </c>
      <c r="D66" s="113">
        <v>82</v>
      </c>
      <c r="E66" s="113">
        <v>2</v>
      </c>
      <c r="F66" s="124">
        <f t="shared" si="5"/>
        <v>1.5088000000000001E-2</v>
      </c>
      <c r="G66" s="23">
        <f>'KASIM 4 HAFTA  '!W66</f>
        <v>204</v>
      </c>
      <c r="H66" s="125">
        <f t="shared" si="6"/>
        <v>3.0779520000000002</v>
      </c>
      <c r="I66" s="21">
        <v>0</v>
      </c>
      <c r="J66" s="11">
        <f t="shared" si="0"/>
        <v>0</v>
      </c>
      <c r="K66" s="21">
        <v>0</v>
      </c>
      <c r="L66" s="10">
        <f t="shared" si="1"/>
        <v>0</v>
      </c>
      <c r="M66" s="21">
        <v>0</v>
      </c>
      <c r="N66" s="11">
        <f t="shared" si="2"/>
        <v>0</v>
      </c>
      <c r="O66" s="21">
        <v>26</v>
      </c>
      <c r="P66" s="121">
        <f t="shared" si="7"/>
        <v>0.39228800000000003</v>
      </c>
      <c r="Q66" s="21">
        <v>0</v>
      </c>
      <c r="R66" s="11">
        <f t="shared" si="3"/>
        <v>0</v>
      </c>
      <c r="S66" s="140">
        <f t="shared" si="11"/>
        <v>178</v>
      </c>
      <c r="T66" s="123">
        <f t="shared" si="4"/>
        <v>2.6856640000000001</v>
      </c>
      <c r="U66" s="172">
        <v>0</v>
      </c>
      <c r="V66" s="139">
        <f t="shared" si="8"/>
        <v>0</v>
      </c>
      <c r="W66" s="141">
        <f t="shared" si="9"/>
        <v>178</v>
      </c>
      <c r="X66" s="107">
        <f t="shared" si="10"/>
        <v>2.6856640000000001</v>
      </c>
      <c r="Y66" s="238">
        <v>100</v>
      </c>
      <c r="Z66" s="101">
        <v>300</v>
      </c>
    </row>
    <row r="67" spans="1:26" x14ac:dyDescent="0.25">
      <c r="A67" s="264">
        <v>63</v>
      </c>
      <c r="B67" s="261" t="s">
        <v>82</v>
      </c>
      <c r="C67" s="35">
        <v>82</v>
      </c>
      <c r="D67" s="35">
        <v>80</v>
      </c>
      <c r="E67" s="35">
        <v>2</v>
      </c>
      <c r="F67" s="114">
        <f t="shared" si="5"/>
        <v>1.312E-2</v>
      </c>
      <c r="G67" s="23">
        <f>'KASIM 4 HAFTA  '!W67</f>
        <v>459</v>
      </c>
      <c r="H67" s="110">
        <f t="shared" si="6"/>
        <v>6.0220799999999999</v>
      </c>
      <c r="I67" s="21">
        <v>0</v>
      </c>
      <c r="J67" s="11">
        <f t="shared" si="0"/>
        <v>0</v>
      </c>
      <c r="K67" s="21">
        <v>0</v>
      </c>
      <c r="L67" s="10">
        <f t="shared" si="1"/>
        <v>0</v>
      </c>
      <c r="M67" s="21">
        <v>0</v>
      </c>
      <c r="N67" s="11">
        <f t="shared" si="2"/>
        <v>0</v>
      </c>
      <c r="O67" s="21">
        <v>0</v>
      </c>
      <c r="P67" s="10">
        <f t="shared" si="7"/>
        <v>0</v>
      </c>
      <c r="Q67" s="21">
        <v>0</v>
      </c>
      <c r="R67" s="11">
        <f t="shared" si="3"/>
        <v>0</v>
      </c>
      <c r="S67" s="97">
        <f t="shared" si="11"/>
        <v>459</v>
      </c>
      <c r="T67" s="87">
        <f t="shared" si="4"/>
        <v>6.0220799999999999</v>
      </c>
      <c r="U67" s="138"/>
      <c r="V67" s="139">
        <f t="shared" si="8"/>
        <v>0</v>
      </c>
      <c r="W67" s="141">
        <f t="shared" si="9"/>
        <v>459</v>
      </c>
      <c r="X67" s="107">
        <f t="shared" si="10"/>
        <v>6.0220799999999999</v>
      </c>
      <c r="Y67" s="238">
        <v>50</v>
      </c>
      <c r="Z67" s="101">
        <v>200</v>
      </c>
    </row>
    <row r="68" spans="1:26" x14ac:dyDescent="0.25">
      <c r="A68" s="264">
        <v>64</v>
      </c>
      <c r="B68" s="261" t="s">
        <v>83</v>
      </c>
      <c r="C68" s="35">
        <v>86</v>
      </c>
      <c r="D68" s="35">
        <v>77</v>
      </c>
      <c r="E68" s="35">
        <v>8</v>
      </c>
      <c r="F68" s="114">
        <f t="shared" si="5"/>
        <v>5.2976000000000002E-2</v>
      </c>
      <c r="G68" s="23">
        <f>'KASIM 4 HAFTA  '!W68</f>
        <v>46</v>
      </c>
      <c r="H68" s="110">
        <f t="shared" si="6"/>
        <v>2.436896</v>
      </c>
      <c r="I68" s="21">
        <v>24</v>
      </c>
      <c r="J68" s="11">
        <f t="shared" si="0"/>
        <v>1.2714240000000001</v>
      </c>
      <c r="K68" s="21">
        <v>0</v>
      </c>
      <c r="L68" s="10">
        <f t="shared" si="1"/>
        <v>0</v>
      </c>
      <c r="M68" s="21">
        <v>0</v>
      </c>
      <c r="N68" s="11">
        <f t="shared" si="2"/>
        <v>0</v>
      </c>
      <c r="O68" s="21">
        <v>0</v>
      </c>
      <c r="P68" s="10">
        <f t="shared" si="7"/>
        <v>0</v>
      </c>
      <c r="Q68" s="21">
        <v>0</v>
      </c>
      <c r="R68" s="11">
        <f t="shared" si="3"/>
        <v>0</v>
      </c>
      <c r="S68" s="97">
        <f t="shared" si="11"/>
        <v>22</v>
      </c>
      <c r="T68" s="87">
        <f t="shared" si="4"/>
        <v>1.1654720000000001</v>
      </c>
      <c r="U68" s="142">
        <v>43</v>
      </c>
      <c r="V68" s="139">
        <f t="shared" si="8"/>
        <v>2.277968</v>
      </c>
      <c r="W68" s="141">
        <f t="shared" si="9"/>
        <v>65</v>
      </c>
      <c r="X68" s="107">
        <f t="shared" si="10"/>
        <v>3.4434400000000003</v>
      </c>
      <c r="Y68" s="238">
        <v>50</v>
      </c>
      <c r="Z68" s="101">
        <v>200</v>
      </c>
    </row>
    <row r="69" spans="1:26" x14ac:dyDescent="0.25">
      <c r="A69" s="264">
        <v>65</v>
      </c>
      <c r="B69" s="261" t="s">
        <v>84</v>
      </c>
      <c r="C69" s="35">
        <v>76</v>
      </c>
      <c r="D69" s="35">
        <v>75</v>
      </c>
      <c r="E69" s="35">
        <v>8</v>
      </c>
      <c r="F69" s="114">
        <f t="shared" si="5"/>
        <v>4.5600000000000002E-2</v>
      </c>
      <c r="G69" s="23">
        <f>'KASIM 4 HAFTA  '!W69</f>
        <v>12</v>
      </c>
      <c r="H69" s="110">
        <f t="shared" si="6"/>
        <v>0.54720000000000002</v>
      </c>
      <c r="I69" s="21">
        <v>0</v>
      </c>
      <c r="J69" s="11">
        <f t="shared" ref="J69:J75" si="12">F69*I69</f>
        <v>0</v>
      </c>
      <c r="K69" s="21">
        <v>0</v>
      </c>
      <c r="L69" s="10">
        <f t="shared" ref="L69:L75" si="13">F69*K69</f>
        <v>0</v>
      </c>
      <c r="M69" s="21">
        <v>0</v>
      </c>
      <c r="N69" s="11">
        <f t="shared" ref="N69:N75" si="14">F69*M69</f>
        <v>0</v>
      </c>
      <c r="O69" s="21">
        <v>0</v>
      </c>
      <c r="P69" s="10">
        <f t="shared" si="7"/>
        <v>0</v>
      </c>
      <c r="Q69" s="21">
        <v>0</v>
      </c>
      <c r="R69" s="11">
        <f t="shared" ref="R69:R75" si="15">F69*Q69</f>
        <v>0</v>
      </c>
      <c r="S69" s="97">
        <f t="shared" si="11"/>
        <v>12</v>
      </c>
      <c r="T69" s="87">
        <f t="shared" ref="T69:T72" si="16">F69*S69</f>
        <v>0.54720000000000002</v>
      </c>
      <c r="U69" s="138"/>
      <c r="V69" s="139">
        <f t="shared" ref="V69:V70" si="17">R69*U69</f>
        <v>0</v>
      </c>
      <c r="W69" s="141">
        <f t="shared" si="9"/>
        <v>12</v>
      </c>
      <c r="X69" s="107">
        <f t="shared" si="10"/>
        <v>0.54720000000000002</v>
      </c>
      <c r="Y69" s="238">
        <v>5</v>
      </c>
      <c r="Z69" s="101">
        <v>10</v>
      </c>
    </row>
    <row r="70" spans="1:26" x14ac:dyDescent="0.25">
      <c r="A70" s="264">
        <v>66</v>
      </c>
      <c r="B70" s="261" t="s">
        <v>85</v>
      </c>
      <c r="C70" s="35">
        <v>140</v>
      </c>
      <c r="D70" s="35">
        <v>240</v>
      </c>
      <c r="E70" s="35">
        <v>12</v>
      </c>
      <c r="F70" s="114">
        <f t="shared" ref="F70:F72" si="18">(C70*D70*E70)/1000000</f>
        <v>0.4032</v>
      </c>
      <c r="G70" s="23">
        <f>'KASIM 4 HAFTA  '!W70</f>
        <v>4</v>
      </c>
      <c r="H70" s="110">
        <f t="shared" ref="H70:H72" si="19">F70*G70</f>
        <v>1.6128</v>
      </c>
      <c r="I70" s="21">
        <v>0</v>
      </c>
      <c r="J70" s="11">
        <f t="shared" si="12"/>
        <v>0</v>
      </c>
      <c r="K70" s="21">
        <v>0</v>
      </c>
      <c r="L70" s="10">
        <f t="shared" si="13"/>
        <v>0</v>
      </c>
      <c r="M70" s="21">
        <v>0</v>
      </c>
      <c r="N70" s="11">
        <f t="shared" si="14"/>
        <v>0</v>
      </c>
      <c r="O70" s="21">
        <v>0</v>
      </c>
      <c r="P70" s="10">
        <f t="shared" ref="P70:P72" si="20">F70*O70</f>
        <v>0</v>
      </c>
      <c r="Q70" s="21">
        <v>0</v>
      </c>
      <c r="R70" s="11">
        <f t="shared" si="15"/>
        <v>0</v>
      </c>
      <c r="S70" s="97">
        <f t="shared" si="11"/>
        <v>4</v>
      </c>
      <c r="T70" s="87">
        <f t="shared" si="16"/>
        <v>1.6128</v>
      </c>
      <c r="U70" s="138"/>
      <c r="V70" s="139">
        <f t="shared" si="17"/>
        <v>0</v>
      </c>
      <c r="W70" s="141">
        <f t="shared" ref="W70:W75" si="21">S70+U70</f>
        <v>4</v>
      </c>
      <c r="X70" s="107">
        <f t="shared" ref="X70:X72" si="22">F70*W70</f>
        <v>1.6128</v>
      </c>
      <c r="Y70" s="238">
        <v>20</v>
      </c>
      <c r="Z70" s="101">
        <v>50</v>
      </c>
    </row>
    <row r="71" spans="1:26" x14ac:dyDescent="0.25">
      <c r="A71" s="264">
        <v>67</v>
      </c>
      <c r="B71" s="261" t="s">
        <v>96</v>
      </c>
      <c r="C71" s="130">
        <v>140</v>
      </c>
      <c r="D71" s="130">
        <v>240</v>
      </c>
      <c r="E71" s="130">
        <v>2</v>
      </c>
      <c r="F71" s="131">
        <f t="shared" si="18"/>
        <v>6.7199999999999996E-2</v>
      </c>
      <c r="G71" s="23">
        <f>'KASIM 4 HAFTA  '!W71</f>
        <v>221</v>
      </c>
      <c r="H71" s="135">
        <f t="shared" si="19"/>
        <v>14.851199999999999</v>
      </c>
      <c r="I71" s="21">
        <v>0</v>
      </c>
      <c r="J71" s="11">
        <f t="shared" si="12"/>
        <v>0</v>
      </c>
      <c r="K71" s="21">
        <v>0</v>
      </c>
      <c r="L71" s="10">
        <f t="shared" si="13"/>
        <v>0</v>
      </c>
      <c r="M71" s="21">
        <v>0</v>
      </c>
      <c r="N71" s="11">
        <f t="shared" si="14"/>
        <v>0</v>
      </c>
      <c r="O71" s="21">
        <v>1</v>
      </c>
      <c r="P71" s="173">
        <f t="shared" si="20"/>
        <v>6.7199999999999996E-2</v>
      </c>
      <c r="Q71" s="21">
        <v>0</v>
      </c>
      <c r="R71" s="11">
        <f t="shared" si="15"/>
        <v>0</v>
      </c>
      <c r="S71" s="97">
        <f t="shared" ref="S71:S75" si="23">G71-I71-K71-M71-O71-Q71</f>
        <v>220</v>
      </c>
      <c r="T71" s="97">
        <f t="shared" si="16"/>
        <v>14.783999999999999</v>
      </c>
      <c r="U71" s="138">
        <v>2</v>
      </c>
      <c r="V71" s="139">
        <f t="shared" ref="V71:V72" si="24">F71*U71</f>
        <v>0.13439999999999999</v>
      </c>
      <c r="W71" s="141">
        <f t="shared" si="21"/>
        <v>222</v>
      </c>
      <c r="X71" s="141">
        <f t="shared" si="22"/>
        <v>14.918399999999998</v>
      </c>
      <c r="Y71" s="238">
        <v>30</v>
      </c>
      <c r="Z71" s="101">
        <v>100</v>
      </c>
    </row>
    <row r="72" spans="1:26" x14ac:dyDescent="0.25">
      <c r="A72" s="264">
        <v>68</v>
      </c>
      <c r="B72" s="262" t="s">
        <v>95</v>
      </c>
      <c r="C72" s="130">
        <v>61</v>
      </c>
      <c r="D72" s="130">
        <v>61</v>
      </c>
      <c r="E72" s="130">
        <v>3</v>
      </c>
      <c r="F72" s="131">
        <f t="shared" si="18"/>
        <v>1.1162999999999999E-2</v>
      </c>
      <c r="G72" s="23">
        <v>59</v>
      </c>
      <c r="H72" s="135">
        <f t="shared" si="19"/>
        <v>0.65861700000000001</v>
      </c>
      <c r="I72" s="21">
        <v>59</v>
      </c>
      <c r="J72" s="11">
        <f t="shared" si="12"/>
        <v>0.65861700000000001</v>
      </c>
      <c r="K72" s="21">
        <v>0</v>
      </c>
      <c r="L72" s="10">
        <f t="shared" si="13"/>
        <v>0</v>
      </c>
      <c r="M72" s="21">
        <v>0</v>
      </c>
      <c r="N72" s="11">
        <f t="shared" si="14"/>
        <v>0</v>
      </c>
      <c r="O72" s="21">
        <v>0</v>
      </c>
      <c r="P72" s="250">
        <f t="shared" si="20"/>
        <v>0</v>
      </c>
      <c r="Q72" s="21">
        <v>0</v>
      </c>
      <c r="R72" s="11">
        <f t="shared" si="15"/>
        <v>0</v>
      </c>
      <c r="S72" s="97">
        <f t="shared" si="23"/>
        <v>0</v>
      </c>
      <c r="T72" s="251">
        <f t="shared" si="16"/>
        <v>0</v>
      </c>
      <c r="U72" s="172">
        <v>0</v>
      </c>
      <c r="V72" s="252">
        <f t="shared" si="24"/>
        <v>0</v>
      </c>
      <c r="W72" s="253">
        <f t="shared" si="21"/>
        <v>0</v>
      </c>
      <c r="X72" s="253">
        <f t="shared" si="22"/>
        <v>0</v>
      </c>
      <c r="Y72" s="238">
        <v>0</v>
      </c>
      <c r="Z72" s="101">
        <v>0</v>
      </c>
    </row>
    <row r="73" spans="1:26" x14ac:dyDescent="0.25">
      <c r="A73" s="264">
        <v>69</v>
      </c>
      <c r="B73" s="108" t="s">
        <v>106</v>
      </c>
      <c r="C73" s="96"/>
      <c r="D73" s="96"/>
      <c r="E73" s="96"/>
      <c r="F73" s="109"/>
      <c r="G73" s="23">
        <f>'KASIM 4 HAFTA  '!W73</f>
        <v>20</v>
      </c>
      <c r="H73" s="110"/>
      <c r="I73" s="21">
        <v>0</v>
      </c>
      <c r="J73" s="11">
        <f t="shared" si="12"/>
        <v>0</v>
      </c>
      <c r="K73" s="21">
        <v>0</v>
      </c>
      <c r="L73" s="10">
        <f t="shared" si="13"/>
        <v>0</v>
      </c>
      <c r="M73" s="21">
        <v>0</v>
      </c>
      <c r="N73" s="11">
        <f t="shared" si="14"/>
        <v>0</v>
      </c>
      <c r="O73" s="21">
        <v>0</v>
      </c>
      <c r="P73" s="96"/>
      <c r="Q73" s="21">
        <v>0</v>
      </c>
      <c r="R73" s="11">
        <f t="shared" si="15"/>
        <v>0</v>
      </c>
      <c r="S73" s="97">
        <f t="shared" si="23"/>
        <v>20</v>
      </c>
      <c r="T73" s="97"/>
      <c r="U73" s="138"/>
      <c r="V73" s="138"/>
      <c r="W73" s="253">
        <f t="shared" si="21"/>
        <v>20</v>
      </c>
      <c r="X73" s="274"/>
      <c r="Y73" s="101">
        <v>0</v>
      </c>
      <c r="Z73" s="101">
        <v>0</v>
      </c>
    </row>
    <row r="74" spans="1:26" x14ac:dyDescent="0.25">
      <c r="A74" s="105">
        <v>70</v>
      </c>
      <c r="B74" s="270" t="s">
        <v>107</v>
      </c>
      <c r="C74" s="105"/>
      <c r="D74" s="105"/>
      <c r="E74" s="271"/>
      <c r="F74" s="125"/>
      <c r="G74" s="23">
        <f>'KASIM 4 HAFTA  '!W74</f>
        <v>20</v>
      </c>
      <c r="H74" s="105"/>
      <c r="I74" s="21">
        <v>0</v>
      </c>
      <c r="J74" s="11">
        <f t="shared" si="12"/>
        <v>0</v>
      </c>
      <c r="K74" s="21">
        <v>0</v>
      </c>
      <c r="L74" s="10">
        <f t="shared" si="13"/>
        <v>0</v>
      </c>
      <c r="M74" s="21">
        <v>0</v>
      </c>
      <c r="N74" s="11">
        <f t="shared" si="14"/>
        <v>0</v>
      </c>
      <c r="O74" s="21">
        <v>0</v>
      </c>
      <c r="P74" s="105"/>
      <c r="Q74" s="21">
        <v>0</v>
      </c>
      <c r="R74" s="11">
        <f t="shared" si="15"/>
        <v>0</v>
      </c>
      <c r="S74" s="97">
        <f t="shared" si="23"/>
        <v>20</v>
      </c>
      <c r="T74" s="272"/>
      <c r="U74" s="172"/>
      <c r="V74" s="172"/>
      <c r="W74" s="253">
        <f t="shared" si="21"/>
        <v>20</v>
      </c>
      <c r="X74" s="275"/>
      <c r="Y74" s="106"/>
      <c r="Z74" s="106"/>
    </row>
    <row r="75" spans="1:26" x14ac:dyDescent="0.25">
      <c r="A75" s="96">
        <v>71</v>
      </c>
      <c r="B75" s="265" t="s">
        <v>108</v>
      </c>
      <c r="C75" s="96"/>
      <c r="D75" s="96"/>
      <c r="E75" s="109"/>
      <c r="F75" s="110"/>
      <c r="G75" s="23">
        <f>'KASIM 4 HAFTA  '!W75</f>
        <v>13</v>
      </c>
      <c r="H75" s="96"/>
      <c r="I75" s="21">
        <v>2</v>
      </c>
      <c r="J75" s="11">
        <f t="shared" si="12"/>
        <v>0</v>
      </c>
      <c r="K75" s="21">
        <v>0</v>
      </c>
      <c r="L75" s="10">
        <f t="shared" si="13"/>
        <v>0</v>
      </c>
      <c r="M75" s="21">
        <v>0</v>
      </c>
      <c r="N75" s="11">
        <f t="shared" si="14"/>
        <v>0</v>
      </c>
      <c r="O75" s="21">
        <v>0</v>
      </c>
      <c r="P75" s="96"/>
      <c r="Q75" s="21">
        <v>0</v>
      </c>
      <c r="R75" s="11">
        <f t="shared" si="15"/>
        <v>0</v>
      </c>
      <c r="S75" s="97">
        <f t="shared" si="23"/>
        <v>11</v>
      </c>
      <c r="T75" s="273"/>
      <c r="U75" s="138">
        <v>34</v>
      </c>
      <c r="V75" s="138"/>
      <c r="W75" s="253">
        <f t="shared" si="21"/>
        <v>45</v>
      </c>
      <c r="X75" s="274"/>
      <c r="Y75" s="101"/>
      <c r="Z75" s="101"/>
    </row>
  </sheetData>
  <mergeCells count="24">
    <mergeCell ref="S4:T4"/>
    <mergeCell ref="U4:V4"/>
    <mergeCell ref="W4:X4"/>
    <mergeCell ref="G4:H4"/>
    <mergeCell ref="I4:J4"/>
    <mergeCell ref="K4:L4"/>
    <mergeCell ref="M4:N4"/>
    <mergeCell ref="O4:P4"/>
    <mergeCell ref="Q4:R4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C1:H1"/>
    <mergeCell ref="G2:H3"/>
    <mergeCell ref="I2:J2"/>
    <mergeCell ref="K2:L2"/>
    <mergeCell ref="M2:N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2"/>
  <sheetViews>
    <sheetView workbookViewId="0">
      <selection activeCell="P18" sqref="P18"/>
    </sheetView>
  </sheetViews>
  <sheetFormatPr defaultRowHeight="15" x14ac:dyDescent="0.25"/>
  <cols>
    <col min="1" max="1" width="23.85546875" style="3" customWidth="1"/>
    <col min="2" max="4" width="6.140625" style="2" hidden="1" customWidth="1"/>
    <col min="5" max="5" width="9" style="4" hidden="1" customWidth="1"/>
    <col min="6" max="7" width="9" style="5" customWidth="1"/>
    <col min="8" max="19" width="8.140625" style="2" customWidth="1"/>
  </cols>
  <sheetData>
    <row r="1" spans="1:23" ht="15.75" thickBot="1" x14ac:dyDescent="0.3">
      <c r="A1" s="4" t="s">
        <v>18</v>
      </c>
      <c r="B1" s="320" t="s">
        <v>94</v>
      </c>
      <c r="C1" s="320"/>
      <c r="D1" s="320"/>
      <c r="E1" s="320"/>
      <c r="F1" s="320"/>
      <c r="G1" s="320"/>
    </row>
    <row r="2" spans="1:23" s="1" customFormat="1" ht="15.75" thickBot="1" x14ac:dyDescent="0.3">
      <c r="A2" s="8" t="s">
        <v>0</v>
      </c>
      <c r="B2" s="28"/>
      <c r="C2" s="29"/>
      <c r="D2" s="29"/>
      <c r="E2" s="14"/>
      <c r="F2" s="321" t="s">
        <v>1</v>
      </c>
      <c r="G2" s="322"/>
      <c r="H2" s="325">
        <v>44879</v>
      </c>
      <c r="I2" s="326"/>
      <c r="J2" s="327">
        <v>44880</v>
      </c>
      <c r="K2" s="328"/>
      <c r="L2" s="325">
        <v>44881</v>
      </c>
      <c r="M2" s="329"/>
      <c r="N2" s="327">
        <v>44882</v>
      </c>
      <c r="O2" s="346"/>
      <c r="P2" s="325">
        <v>44883</v>
      </c>
      <c r="Q2" s="329"/>
      <c r="R2" s="330" t="s">
        <v>69</v>
      </c>
      <c r="S2" s="331"/>
      <c r="T2" s="334" t="s">
        <v>70</v>
      </c>
      <c r="U2" s="335"/>
      <c r="V2" s="338" t="s">
        <v>71</v>
      </c>
      <c r="W2" s="339"/>
    </row>
    <row r="3" spans="1:23" s="1" customFormat="1" ht="15.75" thickBot="1" x14ac:dyDescent="0.3">
      <c r="A3" s="7"/>
      <c r="B3" s="30"/>
      <c r="C3" s="31"/>
      <c r="D3" s="31"/>
      <c r="E3" s="15"/>
      <c r="F3" s="323"/>
      <c r="G3" s="324"/>
      <c r="H3" s="342" t="s">
        <v>68</v>
      </c>
      <c r="I3" s="343"/>
      <c r="J3" s="344" t="s">
        <v>68</v>
      </c>
      <c r="K3" s="345"/>
      <c r="L3" s="342" t="s">
        <v>68</v>
      </c>
      <c r="M3" s="343"/>
      <c r="N3" s="344" t="s">
        <v>68</v>
      </c>
      <c r="O3" s="345"/>
      <c r="P3" s="342" t="s">
        <v>68</v>
      </c>
      <c r="Q3" s="343"/>
      <c r="R3" s="332"/>
      <c r="S3" s="333"/>
      <c r="T3" s="336"/>
      <c r="U3" s="337"/>
      <c r="V3" s="340"/>
      <c r="W3" s="341"/>
    </row>
    <row r="4" spans="1:23" ht="15.75" thickBot="1" x14ac:dyDescent="0.3">
      <c r="A4" s="42"/>
      <c r="B4" s="16" t="s">
        <v>65</v>
      </c>
      <c r="C4" s="17" t="s">
        <v>66</v>
      </c>
      <c r="D4" s="17" t="s">
        <v>67</v>
      </c>
      <c r="E4" s="18" t="s">
        <v>64</v>
      </c>
      <c r="F4" s="323" t="s">
        <v>63</v>
      </c>
      <c r="G4" s="324"/>
      <c r="H4" s="353" t="s">
        <v>63</v>
      </c>
      <c r="I4" s="354"/>
      <c r="J4" s="355" t="s">
        <v>63</v>
      </c>
      <c r="K4" s="356"/>
      <c r="L4" s="353" t="s">
        <v>63</v>
      </c>
      <c r="M4" s="354"/>
      <c r="N4" s="355" t="s">
        <v>63</v>
      </c>
      <c r="O4" s="356"/>
      <c r="P4" s="353" t="s">
        <v>63</v>
      </c>
      <c r="Q4" s="354"/>
      <c r="R4" s="347" t="s">
        <v>63</v>
      </c>
      <c r="S4" s="348"/>
      <c r="T4" s="349" t="s">
        <v>63</v>
      </c>
      <c r="U4" s="350"/>
      <c r="V4" s="351" t="s">
        <v>63</v>
      </c>
      <c r="W4" s="357"/>
    </row>
    <row r="5" spans="1:23" x14ac:dyDescent="0.25">
      <c r="A5" s="42" t="s">
        <v>2</v>
      </c>
      <c r="B5" s="32">
        <v>140</v>
      </c>
      <c r="C5" s="33">
        <v>240</v>
      </c>
      <c r="D5" s="33">
        <v>1</v>
      </c>
      <c r="E5" s="15">
        <f>(B5*C5*D5)/1000000</f>
        <v>3.3599999999999998E-2</v>
      </c>
      <c r="F5" s="23">
        <f>'EKİM 4 HAFTA '!V5</f>
        <v>118</v>
      </c>
      <c r="G5" s="24">
        <f>E5*F5</f>
        <v>3.9647999999999999</v>
      </c>
      <c r="H5" s="21">
        <v>0</v>
      </c>
      <c r="I5" s="11">
        <f>E5*H5</f>
        <v>0</v>
      </c>
      <c r="J5" s="21">
        <v>0</v>
      </c>
      <c r="K5" s="10">
        <f t="shared" ref="K5:K68" si="0">E5*J5</f>
        <v>0</v>
      </c>
      <c r="L5" s="21">
        <v>0</v>
      </c>
      <c r="M5" s="11">
        <f t="shared" ref="M5:M67" si="1">E5*L5</f>
        <v>0</v>
      </c>
      <c r="N5" s="21">
        <v>0</v>
      </c>
      <c r="O5" s="10">
        <f>E5*N5</f>
        <v>0</v>
      </c>
      <c r="P5" s="21">
        <v>0</v>
      </c>
      <c r="Q5" s="11">
        <f>E5*P5</f>
        <v>0</v>
      </c>
      <c r="R5" s="39">
        <f>F5-H5-J5-L5-N5-P5</f>
        <v>118</v>
      </c>
      <c r="S5" s="38">
        <f t="shared" ref="S5:S68" si="2">E5*R5</f>
        <v>3.9647999999999999</v>
      </c>
      <c r="T5" s="12">
        <v>0</v>
      </c>
      <c r="U5" s="13">
        <f>E5*T5</f>
        <v>0</v>
      </c>
      <c r="V5" s="49">
        <f>R5+T5</f>
        <v>118</v>
      </c>
      <c r="W5" s="50">
        <f>E5*V5</f>
        <v>3.9647999999999999</v>
      </c>
    </row>
    <row r="6" spans="1:23" x14ac:dyDescent="0.25">
      <c r="A6" s="42" t="s">
        <v>3</v>
      </c>
      <c r="B6" s="34">
        <v>140</v>
      </c>
      <c r="C6" s="35">
        <v>240</v>
      </c>
      <c r="D6" s="35">
        <v>0.8</v>
      </c>
      <c r="E6" s="19">
        <f t="shared" ref="E6:E69" si="3">(B6*C6*D6)/1000000</f>
        <v>2.6880000000000001E-2</v>
      </c>
      <c r="F6" s="23">
        <f>'EKİM 4 HAFTA '!V6</f>
        <v>197</v>
      </c>
      <c r="G6" s="26">
        <f t="shared" ref="G6:G69" si="4">E6*F6</f>
        <v>5.2953600000000005</v>
      </c>
      <c r="H6" s="21">
        <v>0</v>
      </c>
      <c r="I6" s="11">
        <f t="shared" ref="I6:U67" si="5">E6*H6</f>
        <v>0</v>
      </c>
      <c r="J6" s="21">
        <v>0</v>
      </c>
      <c r="K6" s="10">
        <f t="shared" si="0"/>
        <v>0</v>
      </c>
      <c r="L6" s="21">
        <v>0</v>
      </c>
      <c r="M6" s="11">
        <f t="shared" si="1"/>
        <v>0</v>
      </c>
      <c r="N6" s="21">
        <v>0</v>
      </c>
      <c r="O6" s="10">
        <f t="shared" ref="O6:O69" si="6">E6*N6</f>
        <v>0</v>
      </c>
      <c r="P6" s="21">
        <v>0</v>
      </c>
      <c r="Q6" s="11">
        <f t="shared" ref="Q6:Q69" si="7">E6*P6</f>
        <v>0</v>
      </c>
      <c r="R6" s="39">
        <f>F6-H6-J6-L6-N6-P6</f>
        <v>197</v>
      </c>
      <c r="S6" s="38">
        <f t="shared" si="2"/>
        <v>5.2953600000000005</v>
      </c>
      <c r="T6" s="12"/>
      <c r="U6" s="13">
        <f t="shared" ref="U6:U66" si="8">E6*T6</f>
        <v>0</v>
      </c>
      <c r="V6" s="49">
        <f t="shared" ref="V6:V69" si="9">R6+T6</f>
        <v>197</v>
      </c>
      <c r="W6" s="50">
        <f t="shared" ref="W6:W69" si="10">E6*V6</f>
        <v>5.2953600000000005</v>
      </c>
    </row>
    <row r="7" spans="1:23" x14ac:dyDescent="0.25">
      <c r="A7" s="42" t="s">
        <v>4</v>
      </c>
      <c r="B7" s="34">
        <v>140</v>
      </c>
      <c r="C7" s="35">
        <v>240</v>
      </c>
      <c r="D7" s="35">
        <v>1.4</v>
      </c>
      <c r="E7" s="19">
        <f t="shared" si="3"/>
        <v>4.7039999999999998E-2</v>
      </c>
      <c r="F7" s="23">
        <f>'EKİM 4 HAFTA '!V7</f>
        <v>49</v>
      </c>
      <c r="G7" s="26">
        <f t="shared" si="4"/>
        <v>2.3049599999999999</v>
      </c>
      <c r="H7" s="21">
        <v>0</v>
      </c>
      <c r="I7" s="11">
        <f t="shared" si="5"/>
        <v>0</v>
      </c>
      <c r="J7" s="21">
        <v>0</v>
      </c>
      <c r="K7" s="10">
        <f t="shared" si="0"/>
        <v>0</v>
      </c>
      <c r="L7" s="21">
        <v>0</v>
      </c>
      <c r="M7" s="11">
        <f t="shared" si="1"/>
        <v>0</v>
      </c>
      <c r="N7" s="21">
        <v>0</v>
      </c>
      <c r="O7" s="10">
        <f t="shared" si="6"/>
        <v>0</v>
      </c>
      <c r="P7" s="21">
        <v>0</v>
      </c>
      <c r="Q7" s="11">
        <f t="shared" si="7"/>
        <v>0</v>
      </c>
      <c r="R7" s="39">
        <f t="shared" ref="R7:R70" si="11">F7-H7-J7-L7-N7-P7</f>
        <v>49</v>
      </c>
      <c r="S7" s="38">
        <f t="shared" si="2"/>
        <v>2.3049599999999999</v>
      </c>
      <c r="T7" s="12"/>
      <c r="U7" s="13">
        <f t="shared" si="8"/>
        <v>0</v>
      </c>
      <c r="V7" s="49">
        <f t="shared" si="9"/>
        <v>49</v>
      </c>
      <c r="W7" s="50">
        <f t="shared" si="10"/>
        <v>2.3049599999999999</v>
      </c>
    </row>
    <row r="8" spans="1:23" x14ac:dyDescent="0.25">
      <c r="A8" s="42" t="s">
        <v>5</v>
      </c>
      <c r="B8" s="34">
        <v>140</v>
      </c>
      <c r="C8" s="35">
        <v>240</v>
      </c>
      <c r="D8" s="35">
        <v>4</v>
      </c>
      <c r="E8" s="19">
        <f t="shared" si="3"/>
        <v>0.13439999999999999</v>
      </c>
      <c r="F8" s="23">
        <f>'EKİM 4 HAFTA '!V8</f>
        <v>27</v>
      </c>
      <c r="G8" s="26">
        <f t="shared" si="4"/>
        <v>3.6287999999999996</v>
      </c>
      <c r="H8" s="21">
        <v>0</v>
      </c>
      <c r="I8" s="11">
        <f t="shared" si="5"/>
        <v>0</v>
      </c>
      <c r="J8" s="21">
        <v>0</v>
      </c>
      <c r="K8" s="10">
        <f t="shared" si="0"/>
        <v>0</v>
      </c>
      <c r="L8" s="21">
        <v>0</v>
      </c>
      <c r="M8" s="11">
        <f t="shared" si="1"/>
        <v>0</v>
      </c>
      <c r="N8" s="21">
        <v>0</v>
      </c>
      <c r="O8" s="10">
        <f t="shared" si="6"/>
        <v>0</v>
      </c>
      <c r="P8" s="21">
        <v>0</v>
      </c>
      <c r="Q8" s="11">
        <f t="shared" si="7"/>
        <v>0</v>
      </c>
      <c r="R8" s="39">
        <f t="shared" si="11"/>
        <v>27</v>
      </c>
      <c r="S8" s="38">
        <f t="shared" si="2"/>
        <v>3.6287999999999996</v>
      </c>
      <c r="T8" s="12"/>
      <c r="U8" s="13">
        <f t="shared" si="8"/>
        <v>0</v>
      </c>
      <c r="V8" s="49">
        <f t="shared" si="9"/>
        <v>27</v>
      </c>
      <c r="W8" s="50">
        <f t="shared" si="10"/>
        <v>3.6287999999999996</v>
      </c>
    </row>
    <row r="9" spans="1:23" x14ac:dyDescent="0.25">
      <c r="A9" s="42" t="s">
        <v>6</v>
      </c>
      <c r="B9" s="34">
        <v>140</v>
      </c>
      <c r="C9" s="35">
        <v>240</v>
      </c>
      <c r="D9" s="35">
        <v>2</v>
      </c>
      <c r="E9" s="19">
        <f t="shared" si="3"/>
        <v>6.7199999999999996E-2</v>
      </c>
      <c r="F9" s="23">
        <f>'EKİM 4 HAFTA '!V9</f>
        <v>0</v>
      </c>
      <c r="G9" s="26">
        <f t="shared" si="4"/>
        <v>0</v>
      </c>
      <c r="H9" s="21">
        <v>0</v>
      </c>
      <c r="I9" s="11">
        <f t="shared" si="5"/>
        <v>0</v>
      </c>
      <c r="J9" s="21">
        <v>0</v>
      </c>
      <c r="K9" s="10">
        <f t="shared" si="0"/>
        <v>0</v>
      </c>
      <c r="L9" s="21">
        <v>0</v>
      </c>
      <c r="M9" s="11">
        <f t="shared" si="1"/>
        <v>0</v>
      </c>
      <c r="N9" s="21">
        <v>0</v>
      </c>
      <c r="O9" s="10">
        <f t="shared" si="6"/>
        <v>0</v>
      </c>
      <c r="P9" s="21">
        <v>0</v>
      </c>
      <c r="Q9" s="11">
        <f t="shared" si="7"/>
        <v>0</v>
      </c>
      <c r="R9" s="39">
        <f t="shared" si="11"/>
        <v>0</v>
      </c>
      <c r="S9" s="38">
        <f t="shared" si="2"/>
        <v>0</v>
      </c>
      <c r="T9" s="12"/>
      <c r="U9" s="13">
        <f t="shared" si="8"/>
        <v>0</v>
      </c>
      <c r="V9" s="49">
        <f t="shared" si="9"/>
        <v>0</v>
      </c>
      <c r="W9" s="50">
        <f t="shared" si="10"/>
        <v>0</v>
      </c>
    </row>
    <row r="10" spans="1:23" x14ac:dyDescent="0.25">
      <c r="A10" s="42" t="s">
        <v>7</v>
      </c>
      <c r="B10" s="34">
        <v>140</v>
      </c>
      <c r="C10" s="35">
        <v>240</v>
      </c>
      <c r="D10" s="35">
        <v>2</v>
      </c>
      <c r="E10" s="19">
        <f t="shared" si="3"/>
        <v>6.7199999999999996E-2</v>
      </c>
      <c r="F10" s="23">
        <f>'EKİM 4 HAFTA '!V10</f>
        <v>182</v>
      </c>
      <c r="G10" s="26">
        <f t="shared" si="4"/>
        <v>12.230399999999999</v>
      </c>
      <c r="H10" s="21">
        <v>0</v>
      </c>
      <c r="I10" s="11">
        <f t="shared" si="5"/>
        <v>0</v>
      </c>
      <c r="J10" s="21">
        <v>0</v>
      </c>
      <c r="K10" s="10">
        <f t="shared" si="0"/>
        <v>0</v>
      </c>
      <c r="L10" s="21">
        <v>0</v>
      </c>
      <c r="M10" s="11">
        <f t="shared" si="1"/>
        <v>0</v>
      </c>
      <c r="N10" s="21">
        <v>0</v>
      </c>
      <c r="O10" s="10">
        <f t="shared" si="6"/>
        <v>0</v>
      </c>
      <c r="P10" s="21">
        <v>0</v>
      </c>
      <c r="Q10" s="11">
        <f t="shared" si="7"/>
        <v>0</v>
      </c>
      <c r="R10" s="39">
        <f t="shared" si="11"/>
        <v>182</v>
      </c>
      <c r="S10" s="38">
        <f t="shared" si="2"/>
        <v>12.230399999999999</v>
      </c>
      <c r="T10" s="12"/>
      <c r="U10" s="13">
        <f t="shared" si="8"/>
        <v>0</v>
      </c>
      <c r="V10" s="49">
        <f t="shared" si="9"/>
        <v>182</v>
      </c>
      <c r="W10" s="50">
        <f t="shared" si="10"/>
        <v>12.230399999999999</v>
      </c>
    </row>
    <row r="11" spans="1:23" x14ac:dyDescent="0.25">
      <c r="A11" s="42" t="s">
        <v>8</v>
      </c>
      <c r="B11" s="34">
        <v>140</v>
      </c>
      <c r="C11" s="35">
        <v>240</v>
      </c>
      <c r="D11" s="35">
        <v>7</v>
      </c>
      <c r="E11" s="19">
        <f t="shared" si="3"/>
        <v>0.23519999999999999</v>
      </c>
      <c r="F11" s="23">
        <f>'EKİM 4 HAFTA '!V11</f>
        <v>48</v>
      </c>
      <c r="G11" s="26">
        <f t="shared" si="4"/>
        <v>11.2896</v>
      </c>
      <c r="H11" s="21">
        <v>0</v>
      </c>
      <c r="I11" s="11">
        <f t="shared" si="5"/>
        <v>0</v>
      </c>
      <c r="J11" s="21">
        <v>0</v>
      </c>
      <c r="K11" s="10">
        <f t="shared" si="0"/>
        <v>0</v>
      </c>
      <c r="L11" s="21">
        <v>0</v>
      </c>
      <c r="M11" s="11">
        <f t="shared" si="1"/>
        <v>0</v>
      </c>
      <c r="N11" s="21">
        <v>0</v>
      </c>
      <c r="O11" s="10">
        <f t="shared" si="6"/>
        <v>0</v>
      </c>
      <c r="P11" s="21">
        <v>0</v>
      </c>
      <c r="Q11" s="11">
        <f t="shared" si="7"/>
        <v>0</v>
      </c>
      <c r="R11" s="39">
        <f t="shared" si="11"/>
        <v>48</v>
      </c>
      <c r="S11" s="38">
        <f t="shared" si="2"/>
        <v>11.2896</v>
      </c>
      <c r="T11" s="12">
        <v>0</v>
      </c>
      <c r="U11" s="13">
        <f t="shared" si="8"/>
        <v>0</v>
      </c>
      <c r="V11" s="49">
        <f t="shared" si="9"/>
        <v>48</v>
      </c>
      <c r="W11" s="50">
        <f t="shared" si="10"/>
        <v>11.2896</v>
      </c>
    </row>
    <row r="12" spans="1:23" x14ac:dyDescent="0.25">
      <c r="A12" s="42" t="s">
        <v>9</v>
      </c>
      <c r="B12" s="34">
        <v>140</v>
      </c>
      <c r="C12" s="35">
        <v>240</v>
      </c>
      <c r="D12" s="35">
        <v>5</v>
      </c>
      <c r="E12" s="19">
        <f t="shared" si="3"/>
        <v>0.16800000000000001</v>
      </c>
      <c r="F12" s="23">
        <f>'EKİM 4 HAFTA '!V12</f>
        <v>322</v>
      </c>
      <c r="G12" s="26">
        <f t="shared" si="4"/>
        <v>54.096000000000004</v>
      </c>
      <c r="H12" s="21">
        <v>0</v>
      </c>
      <c r="I12" s="11">
        <f t="shared" si="5"/>
        <v>0</v>
      </c>
      <c r="J12" s="21">
        <v>0</v>
      </c>
      <c r="K12" s="10">
        <f t="shared" si="0"/>
        <v>0</v>
      </c>
      <c r="L12" s="21">
        <v>0</v>
      </c>
      <c r="M12" s="11">
        <f t="shared" si="1"/>
        <v>0</v>
      </c>
      <c r="N12" s="21">
        <v>0</v>
      </c>
      <c r="O12" s="10">
        <f t="shared" si="6"/>
        <v>0</v>
      </c>
      <c r="P12" s="21">
        <v>0</v>
      </c>
      <c r="Q12" s="11">
        <f t="shared" si="7"/>
        <v>0</v>
      </c>
      <c r="R12" s="39">
        <f t="shared" si="11"/>
        <v>322</v>
      </c>
      <c r="S12" s="38">
        <f t="shared" si="2"/>
        <v>54.096000000000004</v>
      </c>
      <c r="T12" s="12"/>
      <c r="U12" s="13">
        <f t="shared" si="8"/>
        <v>0</v>
      </c>
      <c r="V12" s="49">
        <f t="shared" si="9"/>
        <v>322</v>
      </c>
      <c r="W12" s="50">
        <f t="shared" si="10"/>
        <v>54.096000000000004</v>
      </c>
    </row>
    <row r="13" spans="1:23" x14ac:dyDescent="0.25">
      <c r="A13" s="42" t="s">
        <v>10</v>
      </c>
      <c r="B13" s="34">
        <v>140</v>
      </c>
      <c r="C13" s="35">
        <v>240</v>
      </c>
      <c r="D13" s="35">
        <v>5</v>
      </c>
      <c r="E13" s="19">
        <f t="shared" si="3"/>
        <v>0.16800000000000001</v>
      </c>
      <c r="F13" s="23">
        <f>'EKİM 4 HAFTA '!V13</f>
        <v>14</v>
      </c>
      <c r="G13" s="26">
        <f t="shared" si="4"/>
        <v>2.3520000000000003</v>
      </c>
      <c r="H13" s="21">
        <v>0</v>
      </c>
      <c r="I13" s="11">
        <f t="shared" si="5"/>
        <v>0</v>
      </c>
      <c r="J13" s="21">
        <v>0</v>
      </c>
      <c r="K13" s="10">
        <f t="shared" si="0"/>
        <v>0</v>
      </c>
      <c r="L13" s="21">
        <v>0</v>
      </c>
      <c r="M13" s="11">
        <f t="shared" si="1"/>
        <v>0</v>
      </c>
      <c r="N13" s="21">
        <v>0</v>
      </c>
      <c r="O13" s="10">
        <f t="shared" si="6"/>
        <v>0</v>
      </c>
      <c r="P13" s="21">
        <v>0</v>
      </c>
      <c r="Q13" s="11">
        <f t="shared" si="7"/>
        <v>0</v>
      </c>
      <c r="R13" s="39">
        <f t="shared" si="11"/>
        <v>14</v>
      </c>
      <c r="S13" s="38">
        <f t="shared" si="2"/>
        <v>2.3520000000000003</v>
      </c>
      <c r="T13" s="12">
        <v>0</v>
      </c>
      <c r="U13" s="13">
        <f t="shared" si="8"/>
        <v>0</v>
      </c>
      <c r="V13" s="49">
        <f t="shared" si="9"/>
        <v>14</v>
      </c>
      <c r="W13" s="50">
        <f t="shared" si="10"/>
        <v>2.3520000000000003</v>
      </c>
    </row>
    <row r="14" spans="1:23" x14ac:dyDescent="0.25">
      <c r="A14" s="42" t="s">
        <v>11</v>
      </c>
      <c r="B14" s="34">
        <v>140</v>
      </c>
      <c r="C14" s="35">
        <v>240</v>
      </c>
      <c r="D14" s="35">
        <v>5</v>
      </c>
      <c r="E14" s="19">
        <f t="shared" si="3"/>
        <v>0.16800000000000001</v>
      </c>
      <c r="F14" s="23">
        <f>'EKİM 4 HAFTA '!V14</f>
        <v>1</v>
      </c>
      <c r="G14" s="26">
        <f t="shared" si="4"/>
        <v>0.16800000000000001</v>
      </c>
      <c r="H14" s="21">
        <v>0</v>
      </c>
      <c r="I14" s="11">
        <f t="shared" si="5"/>
        <v>0</v>
      </c>
      <c r="J14" s="21">
        <v>0</v>
      </c>
      <c r="K14" s="10">
        <f t="shared" si="0"/>
        <v>0</v>
      </c>
      <c r="L14" s="21">
        <v>0</v>
      </c>
      <c r="M14" s="11">
        <f t="shared" si="1"/>
        <v>0</v>
      </c>
      <c r="N14" s="21">
        <v>0</v>
      </c>
      <c r="O14" s="10">
        <f t="shared" si="6"/>
        <v>0</v>
      </c>
      <c r="P14" s="21">
        <v>0</v>
      </c>
      <c r="Q14" s="11">
        <f t="shared" si="7"/>
        <v>0</v>
      </c>
      <c r="R14" s="39">
        <f t="shared" si="11"/>
        <v>1</v>
      </c>
      <c r="S14" s="38">
        <f t="shared" si="2"/>
        <v>0.16800000000000001</v>
      </c>
      <c r="T14" s="12"/>
      <c r="U14" s="13">
        <f t="shared" si="8"/>
        <v>0</v>
      </c>
      <c r="V14" s="49">
        <f t="shared" si="9"/>
        <v>1</v>
      </c>
      <c r="W14" s="50">
        <f t="shared" si="10"/>
        <v>0.16800000000000001</v>
      </c>
    </row>
    <row r="15" spans="1:23" x14ac:dyDescent="0.25">
      <c r="A15" s="42" t="s">
        <v>12</v>
      </c>
      <c r="B15" s="34">
        <v>140</v>
      </c>
      <c r="C15" s="35">
        <v>240</v>
      </c>
      <c r="D15" s="35">
        <v>10</v>
      </c>
      <c r="E15" s="19">
        <f t="shared" si="3"/>
        <v>0.33600000000000002</v>
      </c>
      <c r="F15" s="23">
        <f>'EKİM 4 HAFTA '!V15</f>
        <v>20</v>
      </c>
      <c r="G15" s="26">
        <f t="shared" si="4"/>
        <v>6.7200000000000006</v>
      </c>
      <c r="H15" s="21">
        <v>0</v>
      </c>
      <c r="I15" s="11">
        <f t="shared" si="5"/>
        <v>0</v>
      </c>
      <c r="J15" s="21">
        <v>0</v>
      </c>
      <c r="K15" s="10">
        <f t="shared" si="0"/>
        <v>0</v>
      </c>
      <c r="L15" s="21">
        <v>0</v>
      </c>
      <c r="M15" s="11">
        <f t="shared" si="1"/>
        <v>0</v>
      </c>
      <c r="N15" s="21">
        <v>0</v>
      </c>
      <c r="O15" s="10">
        <f t="shared" si="6"/>
        <v>0</v>
      </c>
      <c r="P15" s="21">
        <v>0</v>
      </c>
      <c r="Q15" s="11">
        <f t="shared" si="7"/>
        <v>0</v>
      </c>
      <c r="R15" s="39">
        <f t="shared" si="11"/>
        <v>20</v>
      </c>
      <c r="S15" s="38">
        <f t="shared" si="2"/>
        <v>6.7200000000000006</v>
      </c>
      <c r="T15" s="12"/>
      <c r="U15" s="13">
        <f t="shared" si="8"/>
        <v>0</v>
      </c>
      <c r="V15" s="49">
        <f t="shared" si="9"/>
        <v>20</v>
      </c>
      <c r="W15" s="50">
        <f t="shared" si="10"/>
        <v>6.7200000000000006</v>
      </c>
    </row>
    <row r="16" spans="1:23" x14ac:dyDescent="0.25">
      <c r="A16" s="42" t="s">
        <v>13</v>
      </c>
      <c r="B16" s="34">
        <v>140</v>
      </c>
      <c r="C16" s="35">
        <v>240</v>
      </c>
      <c r="D16" s="35">
        <v>3</v>
      </c>
      <c r="E16" s="19">
        <f t="shared" si="3"/>
        <v>0.1008</v>
      </c>
      <c r="F16" s="23">
        <f>'EKİM 4 HAFTA '!V16</f>
        <v>22</v>
      </c>
      <c r="G16" s="26">
        <f t="shared" si="4"/>
        <v>2.2176</v>
      </c>
      <c r="H16" s="21">
        <v>0</v>
      </c>
      <c r="I16" s="11">
        <f t="shared" si="5"/>
        <v>0</v>
      </c>
      <c r="J16" s="21">
        <v>0</v>
      </c>
      <c r="K16" s="10">
        <f t="shared" si="0"/>
        <v>0</v>
      </c>
      <c r="L16" s="21">
        <v>0</v>
      </c>
      <c r="M16" s="11">
        <f t="shared" si="1"/>
        <v>0</v>
      </c>
      <c r="N16" s="21">
        <v>0</v>
      </c>
      <c r="O16" s="10">
        <f t="shared" si="6"/>
        <v>0</v>
      </c>
      <c r="P16" s="21">
        <v>0</v>
      </c>
      <c r="Q16" s="11">
        <f t="shared" si="7"/>
        <v>0</v>
      </c>
      <c r="R16" s="39">
        <f t="shared" si="11"/>
        <v>22</v>
      </c>
      <c r="S16" s="38">
        <f t="shared" si="2"/>
        <v>2.2176</v>
      </c>
      <c r="T16" s="12"/>
      <c r="U16" s="13">
        <f t="shared" si="8"/>
        <v>0</v>
      </c>
      <c r="V16" s="49">
        <f t="shared" si="9"/>
        <v>22</v>
      </c>
      <c r="W16" s="50">
        <f t="shared" si="10"/>
        <v>2.2176</v>
      </c>
    </row>
    <row r="17" spans="1:23" x14ac:dyDescent="0.25">
      <c r="A17" s="42" t="s">
        <v>14</v>
      </c>
      <c r="B17" s="34">
        <v>140</v>
      </c>
      <c r="C17" s="35">
        <v>240</v>
      </c>
      <c r="D17" s="35">
        <v>5</v>
      </c>
      <c r="E17" s="19">
        <f t="shared" si="3"/>
        <v>0.16800000000000001</v>
      </c>
      <c r="F17" s="23">
        <f>'EKİM 4 HAFTA '!V17</f>
        <v>0</v>
      </c>
      <c r="G17" s="26">
        <f t="shared" si="4"/>
        <v>0</v>
      </c>
      <c r="H17" s="21">
        <v>0</v>
      </c>
      <c r="I17" s="11">
        <f t="shared" si="5"/>
        <v>0</v>
      </c>
      <c r="J17" s="21">
        <v>0</v>
      </c>
      <c r="K17" s="10">
        <f t="shared" si="0"/>
        <v>0</v>
      </c>
      <c r="L17" s="21">
        <v>0</v>
      </c>
      <c r="M17" s="11">
        <f t="shared" si="1"/>
        <v>0</v>
      </c>
      <c r="N17" s="21">
        <v>0</v>
      </c>
      <c r="O17" s="10">
        <f t="shared" si="6"/>
        <v>0</v>
      </c>
      <c r="P17" s="21">
        <v>0</v>
      </c>
      <c r="Q17" s="11">
        <f t="shared" si="7"/>
        <v>0</v>
      </c>
      <c r="R17" s="39">
        <f t="shared" si="11"/>
        <v>0</v>
      </c>
      <c r="S17" s="38">
        <f t="shared" si="2"/>
        <v>0</v>
      </c>
      <c r="T17" s="12"/>
      <c r="U17" s="13">
        <f t="shared" si="8"/>
        <v>0</v>
      </c>
      <c r="V17" s="49">
        <f t="shared" si="9"/>
        <v>0</v>
      </c>
      <c r="W17" s="50">
        <f t="shared" si="10"/>
        <v>0</v>
      </c>
    </row>
    <row r="18" spans="1:23" x14ac:dyDescent="0.25">
      <c r="A18" s="42" t="s">
        <v>15</v>
      </c>
      <c r="B18" s="34">
        <v>140</v>
      </c>
      <c r="C18" s="35">
        <v>240</v>
      </c>
      <c r="D18" s="35">
        <v>3</v>
      </c>
      <c r="E18" s="19">
        <f t="shared" si="3"/>
        <v>0.1008</v>
      </c>
      <c r="F18" s="23">
        <f>'EKİM 4 HAFTA '!V18</f>
        <v>129</v>
      </c>
      <c r="G18" s="26">
        <f t="shared" si="4"/>
        <v>13.0032</v>
      </c>
      <c r="H18" s="21">
        <v>0</v>
      </c>
      <c r="I18" s="11">
        <f t="shared" si="5"/>
        <v>0</v>
      </c>
      <c r="J18" s="21">
        <v>0</v>
      </c>
      <c r="K18" s="10">
        <f t="shared" si="0"/>
        <v>0</v>
      </c>
      <c r="L18" s="21">
        <v>0</v>
      </c>
      <c r="M18" s="11">
        <f t="shared" si="1"/>
        <v>0</v>
      </c>
      <c r="N18" s="21">
        <v>0</v>
      </c>
      <c r="O18" s="10">
        <f t="shared" si="6"/>
        <v>0</v>
      </c>
      <c r="P18" s="21">
        <v>0</v>
      </c>
      <c r="Q18" s="11">
        <f t="shared" si="7"/>
        <v>0</v>
      </c>
      <c r="R18" s="39">
        <f t="shared" si="11"/>
        <v>129</v>
      </c>
      <c r="S18" s="38">
        <f t="shared" si="2"/>
        <v>13.0032</v>
      </c>
      <c r="T18" s="12"/>
      <c r="U18" s="13">
        <f t="shared" si="8"/>
        <v>0</v>
      </c>
      <c r="V18" s="49">
        <f t="shared" si="9"/>
        <v>129</v>
      </c>
      <c r="W18" s="50">
        <f t="shared" si="10"/>
        <v>13.0032</v>
      </c>
    </row>
    <row r="19" spans="1:23" x14ac:dyDescent="0.25">
      <c r="A19" s="42" t="s">
        <v>16</v>
      </c>
      <c r="B19" s="34">
        <v>140</v>
      </c>
      <c r="C19" s="35">
        <v>240</v>
      </c>
      <c r="D19" s="35">
        <v>8</v>
      </c>
      <c r="E19" s="19">
        <f t="shared" si="3"/>
        <v>0.26879999999999998</v>
      </c>
      <c r="F19" s="23">
        <f>'EKİM 4 HAFTA '!V19</f>
        <v>12</v>
      </c>
      <c r="G19" s="26">
        <f t="shared" si="4"/>
        <v>3.2256</v>
      </c>
      <c r="H19" s="21">
        <v>0</v>
      </c>
      <c r="I19" s="11">
        <f t="shared" si="5"/>
        <v>0</v>
      </c>
      <c r="J19" s="21">
        <v>0</v>
      </c>
      <c r="K19" s="10">
        <f t="shared" si="0"/>
        <v>0</v>
      </c>
      <c r="L19" s="21">
        <v>0</v>
      </c>
      <c r="M19" s="11">
        <f t="shared" si="1"/>
        <v>0</v>
      </c>
      <c r="N19" s="21">
        <v>0</v>
      </c>
      <c r="O19" s="10">
        <f t="shared" si="6"/>
        <v>0</v>
      </c>
      <c r="P19" s="21">
        <v>0</v>
      </c>
      <c r="Q19" s="11">
        <f t="shared" si="7"/>
        <v>0</v>
      </c>
      <c r="R19" s="39">
        <f t="shared" si="11"/>
        <v>12</v>
      </c>
      <c r="S19" s="38">
        <f t="shared" si="2"/>
        <v>3.2256</v>
      </c>
      <c r="T19" s="12"/>
      <c r="U19" s="13">
        <f t="shared" si="8"/>
        <v>0</v>
      </c>
      <c r="V19" s="49">
        <f t="shared" si="9"/>
        <v>12</v>
      </c>
      <c r="W19" s="50">
        <f t="shared" si="10"/>
        <v>3.2256</v>
      </c>
    </row>
    <row r="20" spans="1:23" x14ac:dyDescent="0.25">
      <c r="A20" s="42" t="s">
        <v>17</v>
      </c>
      <c r="B20" s="34">
        <v>140</v>
      </c>
      <c r="C20" s="35">
        <v>240</v>
      </c>
      <c r="D20" s="35">
        <v>8</v>
      </c>
      <c r="E20" s="19">
        <f t="shared" si="3"/>
        <v>0.26879999999999998</v>
      </c>
      <c r="F20" s="23">
        <f>'EKİM 4 HAFTA '!V20</f>
        <v>0</v>
      </c>
      <c r="G20" s="26">
        <f t="shared" si="4"/>
        <v>0</v>
      </c>
      <c r="H20" s="21">
        <v>0</v>
      </c>
      <c r="I20" s="11">
        <f t="shared" si="5"/>
        <v>0</v>
      </c>
      <c r="J20" s="21">
        <v>0</v>
      </c>
      <c r="K20" s="10">
        <f t="shared" si="0"/>
        <v>0</v>
      </c>
      <c r="L20" s="21">
        <v>0</v>
      </c>
      <c r="M20" s="11">
        <f t="shared" si="1"/>
        <v>0</v>
      </c>
      <c r="N20" s="21">
        <v>0</v>
      </c>
      <c r="O20" s="10">
        <f t="shared" si="6"/>
        <v>0</v>
      </c>
      <c r="P20" s="21">
        <v>0</v>
      </c>
      <c r="Q20" s="11">
        <f t="shared" si="7"/>
        <v>0</v>
      </c>
      <c r="R20" s="39">
        <f t="shared" si="11"/>
        <v>0</v>
      </c>
      <c r="S20" s="38">
        <f t="shared" si="2"/>
        <v>0</v>
      </c>
      <c r="T20" s="12"/>
      <c r="U20" s="13">
        <f t="shared" si="8"/>
        <v>0</v>
      </c>
      <c r="V20" s="49">
        <f t="shared" si="9"/>
        <v>0</v>
      </c>
      <c r="W20" s="50">
        <f t="shared" si="10"/>
        <v>0</v>
      </c>
    </row>
    <row r="21" spans="1:23" x14ac:dyDescent="0.25">
      <c r="A21" s="42" t="s">
        <v>19</v>
      </c>
      <c r="B21" s="34">
        <v>77</v>
      </c>
      <c r="C21" s="35">
        <v>55</v>
      </c>
      <c r="D21" s="35">
        <v>8</v>
      </c>
      <c r="E21" s="19">
        <f t="shared" si="3"/>
        <v>3.388E-2</v>
      </c>
      <c r="F21" s="23">
        <f>'EKİM 4 HAFTA '!V21</f>
        <v>4</v>
      </c>
      <c r="G21" s="26">
        <f t="shared" si="4"/>
        <v>0.13552</v>
      </c>
      <c r="H21" s="21">
        <v>0</v>
      </c>
      <c r="I21" s="11">
        <f t="shared" si="5"/>
        <v>0</v>
      </c>
      <c r="J21" s="21">
        <v>0</v>
      </c>
      <c r="K21" s="10">
        <f t="shared" si="0"/>
        <v>0</v>
      </c>
      <c r="L21" s="21">
        <v>0</v>
      </c>
      <c r="M21" s="11">
        <f t="shared" si="1"/>
        <v>0</v>
      </c>
      <c r="N21" s="21">
        <v>0</v>
      </c>
      <c r="O21" s="10">
        <f t="shared" si="6"/>
        <v>0</v>
      </c>
      <c r="P21" s="21">
        <v>0</v>
      </c>
      <c r="Q21" s="11">
        <f t="shared" si="7"/>
        <v>0</v>
      </c>
      <c r="R21" s="39">
        <f t="shared" si="11"/>
        <v>4</v>
      </c>
      <c r="S21" s="38">
        <f t="shared" si="2"/>
        <v>0.13552</v>
      </c>
      <c r="T21" s="12"/>
      <c r="U21" s="13">
        <f t="shared" si="8"/>
        <v>0</v>
      </c>
      <c r="V21" s="49">
        <f t="shared" si="9"/>
        <v>4</v>
      </c>
      <c r="W21" s="50">
        <f t="shared" si="10"/>
        <v>0.13552</v>
      </c>
    </row>
    <row r="22" spans="1:23" x14ac:dyDescent="0.25">
      <c r="A22" s="42" t="s">
        <v>20</v>
      </c>
      <c r="B22" s="34">
        <v>65</v>
      </c>
      <c r="C22" s="35">
        <v>50</v>
      </c>
      <c r="D22" s="35">
        <v>12</v>
      </c>
      <c r="E22" s="19">
        <f t="shared" si="3"/>
        <v>3.9E-2</v>
      </c>
      <c r="F22" s="23">
        <f>'EKİM 4 HAFTA '!V22</f>
        <v>26</v>
      </c>
      <c r="G22" s="26">
        <f t="shared" si="4"/>
        <v>1.014</v>
      </c>
      <c r="H22" s="21">
        <v>0</v>
      </c>
      <c r="I22" s="11">
        <f t="shared" si="5"/>
        <v>0</v>
      </c>
      <c r="J22" s="21">
        <v>0</v>
      </c>
      <c r="K22" s="10">
        <f t="shared" si="0"/>
        <v>0</v>
      </c>
      <c r="L22" s="21">
        <v>0</v>
      </c>
      <c r="M22" s="11">
        <f t="shared" si="1"/>
        <v>0</v>
      </c>
      <c r="N22" s="21">
        <v>0</v>
      </c>
      <c r="O22" s="10">
        <f t="shared" si="6"/>
        <v>0</v>
      </c>
      <c r="P22" s="21">
        <v>0</v>
      </c>
      <c r="Q22" s="11">
        <f t="shared" si="7"/>
        <v>0</v>
      </c>
      <c r="R22" s="39">
        <f t="shared" si="11"/>
        <v>26</v>
      </c>
      <c r="S22" s="38">
        <f t="shared" si="2"/>
        <v>1.014</v>
      </c>
      <c r="T22" s="12"/>
      <c r="U22" s="13">
        <f t="shared" si="8"/>
        <v>0</v>
      </c>
      <c r="V22" s="49">
        <f t="shared" si="9"/>
        <v>26</v>
      </c>
      <c r="W22" s="50">
        <f t="shared" si="10"/>
        <v>1.014</v>
      </c>
    </row>
    <row r="23" spans="1:23" x14ac:dyDescent="0.25">
      <c r="A23" s="42" t="s">
        <v>21</v>
      </c>
      <c r="B23" s="34"/>
      <c r="C23" s="35"/>
      <c r="D23" s="35"/>
      <c r="E23" s="19">
        <f t="shared" si="3"/>
        <v>0</v>
      </c>
      <c r="F23" s="23">
        <f>'EKİM 4 HAFTA '!V23</f>
        <v>74</v>
      </c>
      <c r="G23" s="26">
        <f t="shared" si="4"/>
        <v>0</v>
      </c>
      <c r="H23" s="21">
        <v>0</v>
      </c>
      <c r="I23" s="11">
        <f t="shared" si="5"/>
        <v>0</v>
      </c>
      <c r="J23" s="21">
        <v>0</v>
      </c>
      <c r="K23" s="10">
        <f t="shared" si="0"/>
        <v>0</v>
      </c>
      <c r="L23" s="21">
        <v>0</v>
      </c>
      <c r="M23" s="11">
        <f t="shared" si="1"/>
        <v>0</v>
      </c>
      <c r="N23" s="21">
        <v>0</v>
      </c>
      <c r="O23" s="10">
        <f t="shared" si="6"/>
        <v>0</v>
      </c>
      <c r="P23" s="21">
        <v>0</v>
      </c>
      <c r="Q23" s="11">
        <f t="shared" si="7"/>
        <v>0</v>
      </c>
      <c r="R23" s="39">
        <f t="shared" si="11"/>
        <v>74</v>
      </c>
      <c r="S23" s="38">
        <f t="shared" si="2"/>
        <v>0</v>
      </c>
      <c r="T23" s="12"/>
      <c r="U23" s="13">
        <f t="shared" si="8"/>
        <v>0</v>
      </c>
      <c r="V23" s="49">
        <f t="shared" si="9"/>
        <v>74</v>
      </c>
      <c r="W23" s="50">
        <f t="shared" si="10"/>
        <v>0</v>
      </c>
    </row>
    <row r="24" spans="1:23" x14ac:dyDescent="0.25">
      <c r="A24" s="42" t="s">
        <v>22</v>
      </c>
      <c r="B24" s="34">
        <v>66</v>
      </c>
      <c r="C24" s="35">
        <v>56</v>
      </c>
      <c r="D24" s="35">
        <v>12</v>
      </c>
      <c r="E24" s="19">
        <f t="shared" si="3"/>
        <v>4.4352000000000003E-2</v>
      </c>
      <c r="F24" s="23">
        <f>'EKİM 4 HAFTA '!V24</f>
        <v>28</v>
      </c>
      <c r="G24" s="26">
        <f t="shared" si="4"/>
        <v>1.2418560000000001</v>
      </c>
      <c r="H24" s="21">
        <v>0</v>
      </c>
      <c r="I24" s="11">
        <f t="shared" si="5"/>
        <v>0</v>
      </c>
      <c r="J24" s="21">
        <v>0</v>
      </c>
      <c r="K24" s="10">
        <f t="shared" si="0"/>
        <v>0</v>
      </c>
      <c r="L24" s="21">
        <v>0</v>
      </c>
      <c r="M24" s="11">
        <f t="shared" si="1"/>
        <v>0</v>
      </c>
      <c r="N24" s="21">
        <v>0</v>
      </c>
      <c r="O24" s="10">
        <f t="shared" si="6"/>
        <v>0</v>
      </c>
      <c r="P24" s="21">
        <v>0</v>
      </c>
      <c r="Q24" s="11">
        <f t="shared" si="7"/>
        <v>0</v>
      </c>
      <c r="R24" s="39">
        <f t="shared" si="11"/>
        <v>28</v>
      </c>
      <c r="S24" s="38">
        <f t="shared" si="2"/>
        <v>1.2418560000000001</v>
      </c>
      <c r="T24" s="12"/>
      <c r="U24" s="13">
        <f t="shared" si="8"/>
        <v>0</v>
      </c>
      <c r="V24" s="49">
        <f t="shared" si="9"/>
        <v>28</v>
      </c>
      <c r="W24" s="50">
        <f t="shared" si="10"/>
        <v>1.2418560000000001</v>
      </c>
    </row>
    <row r="25" spans="1:23" x14ac:dyDescent="0.25">
      <c r="A25" s="42" t="s">
        <v>23</v>
      </c>
      <c r="B25" s="34">
        <v>61.5</v>
      </c>
      <c r="C25" s="35">
        <v>61.5</v>
      </c>
      <c r="D25" s="35">
        <v>10</v>
      </c>
      <c r="E25" s="19">
        <f t="shared" si="3"/>
        <v>3.7822500000000002E-2</v>
      </c>
      <c r="F25" s="23">
        <f>'EKİM 4 HAFTA '!V25</f>
        <v>48</v>
      </c>
      <c r="G25" s="26">
        <f t="shared" si="4"/>
        <v>1.81548</v>
      </c>
      <c r="H25" s="21">
        <v>0</v>
      </c>
      <c r="I25" s="11">
        <f t="shared" si="5"/>
        <v>0</v>
      </c>
      <c r="J25" s="21">
        <v>0</v>
      </c>
      <c r="K25" s="10">
        <f t="shared" si="0"/>
        <v>0</v>
      </c>
      <c r="L25" s="21">
        <v>0</v>
      </c>
      <c r="M25" s="11">
        <f t="shared" si="1"/>
        <v>0</v>
      </c>
      <c r="N25" s="21">
        <v>0</v>
      </c>
      <c r="O25" s="10">
        <f t="shared" si="6"/>
        <v>0</v>
      </c>
      <c r="P25" s="21">
        <v>0</v>
      </c>
      <c r="Q25" s="11">
        <f t="shared" si="7"/>
        <v>0</v>
      </c>
      <c r="R25" s="39">
        <f t="shared" si="11"/>
        <v>48</v>
      </c>
      <c r="S25" s="38">
        <f t="shared" si="2"/>
        <v>1.81548</v>
      </c>
      <c r="T25" s="12"/>
      <c r="U25" s="13">
        <f t="shared" si="8"/>
        <v>0</v>
      </c>
      <c r="V25" s="49">
        <f t="shared" si="9"/>
        <v>48</v>
      </c>
      <c r="W25" s="50">
        <f t="shared" si="10"/>
        <v>1.81548</v>
      </c>
    </row>
    <row r="26" spans="1:23" x14ac:dyDescent="0.25">
      <c r="A26" s="42" t="s">
        <v>24</v>
      </c>
      <c r="B26" s="34">
        <v>82</v>
      </c>
      <c r="C26" s="35">
        <v>67</v>
      </c>
      <c r="D26" s="35">
        <v>5</v>
      </c>
      <c r="E26" s="19">
        <f t="shared" si="3"/>
        <v>2.7470000000000001E-2</v>
      </c>
      <c r="F26" s="23">
        <f>'EKİM 4 HAFTA '!V26</f>
        <v>30</v>
      </c>
      <c r="G26" s="26">
        <f t="shared" si="4"/>
        <v>0.82410000000000005</v>
      </c>
      <c r="H26" s="21">
        <v>0</v>
      </c>
      <c r="I26" s="11">
        <f t="shared" si="5"/>
        <v>0</v>
      </c>
      <c r="J26" s="21">
        <v>0</v>
      </c>
      <c r="K26" s="10">
        <f t="shared" si="0"/>
        <v>0</v>
      </c>
      <c r="L26" s="21">
        <v>0</v>
      </c>
      <c r="M26" s="11">
        <f t="shared" si="1"/>
        <v>0</v>
      </c>
      <c r="N26" s="21">
        <v>0</v>
      </c>
      <c r="O26" s="10">
        <f t="shared" si="6"/>
        <v>0</v>
      </c>
      <c r="P26" s="21">
        <v>0</v>
      </c>
      <c r="Q26" s="11">
        <f t="shared" si="7"/>
        <v>0</v>
      </c>
      <c r="R26" s="39">
        <f t="shared" si="11"/>
        <v>30</v>
      </c>
      <c r="S26" s="38">
        <f t="shared" si="2"/>
        <v>0.82410000000000005</v>
      </c>
      <c r="T26" s="12"/>
      <c r="U26" s="13">
        <f t="shared" si="8"/>
        <v>0</v>
      </c>
      <c r="V26" s="49">
        <f t="shared" si="9"/>
        <v>30</v>
      </c>
      <c r="W26" s="50">
        <f t="shared" si="10"/>
        <v>0.82410000000000005</v>
      </c>
    </row>
    <row r="27" spans="1:23" x14ac:dyDescent="0.25">
      <c r="A27" s="42" t="s">
        <v>25</v>
      </c>
      <c r="B27" s="34">
        <v>80</v>
      </c>
      <c r="C27" s="35">
        <v>62</v>
      </c>
      <c r="D27" s="35">
        <v>2</v>
      </c>
      <c r="E27" s="19">
        <f t="shared" si="3"/>
        <v>9.92E-3</v>
      </c>
      <c r="F27" s="23">
        <f>'EKİM 4 HAFTA '!V27</f>
        <v>36</v>
      </c>
      <c r="G27" s="26">
        <f t="shared" si="4"/>
        <v>0.35711999999999999</v>
      </c>
      <c r="H27" s="21">
        <v>0</v>
      </c>
      <c r="I27" s="11">
        <f t="shared" si="5"/>
        <v>0</v>
      </c>
      <c r="J27" s="21">
        <v>0</v>
      </c>
      <c r="K27" s="10">
        <f t="shared" si="0"/>
        <v>0</v>
      </c>
      <c r="L27" s="21">
        <v>0</v>
      </c>
      <c r="M27" s="11">
        <f t="shared" si="1"/>
        <v>0</v>
      </c>
      <c r="N27" s="21">
        <v>0</v>
      </c>
      <c r="O27" s="10">
        <f t="shared" si="6"/>
        <v>0</v>
      </c>
      <c r="P27" s="21">
        <v>0</v>
      </c>
      <c r="Q27" s="11">
        <f t="shared" si="7"/>
        <v>0</v>
      </c>
      <c r="R27" s="39">
        <f t="shared" si="11"/>
        <v>36</v>
      </c>
      <c r="S27" s="38">
        <f t="shared" si="2"/>
        <v>0.35711999999999999</v>
      </c>
      <c r="T27" s="12"/>
      <c r="U27" s="13">
        <f t="shared" si="8"/>
        <v>0</v>
      </c>
      <c r="V27" s="49">
        <f t="shared" si="9"/>
        <v>36</v>
      </c>
      <c r="W27" s="50">
        <f t="shared" si="10"/>
        <v>0.35711999999999999</v>
      </c>
    </row>
    <row r="28" spans="1:23" x14ac:dyDescent="0.25">
      <c r="A28" s="42" t="s">
        <v>26</v>
      </c>
      <c r="B28" s="34">
        <v>63</v>
      </c>
      <c r="C28" s="35">
        <v>55</v>
      </c>
      <c r="D28" s="35">
        <v>5</v>
      </c>
      <c r="E28" s="19">
        <f t="shared" si="3"/>
        <v>1.7325E-2</v>
      </c>
      <c r="F28" s="23">
        <f>'EKİM 4 HAFTA '!V28</f>
        <v>19</v>
      </c>
      <c r="G28" s="26">
        <f t="shared" si="4"/>
        <v>0.329175</v>
      </c>
      <c r="H28" s="21">
        <v>0</v>
      </c>
      <c r="I28" s="11">
        <f t="shared" si="5"/>
        <v>0</v>
      </c>
      <c r="J28" s="21">
        <v>0</v>
      </c>
      <c r="K28" s="10">
        <f t="shared" si="0"/>
        <v>0</v>
      </c>
      <c r="L28" s="21">
        <v>0</v>
      </c>
      <c r="M28" s="11">
        <f t="shared" si="1"/>
        <v>0</v>
      </c>
      <c r="N28" s="21">
        <v>0</v>
      </c>
      <c r="O28" s="10">
        <f t="shared" si="6"/>
        <v>0</v>
      </c>
      <c r="P28" s="21">
        <v>0</v>
      </c>
      <c r="Q28" s="11">
        <f t="shared" si="7"/>
        <v>0</v>
      </c>
      <c r="R28" s="39">
        <f t="shared" si="11"/>
        <v>19</v>
      </c>
      <c r="S28" s="38">
        <f t="shared" si="2"/>
        <v>0.329175</v>
      </c>
      <c r="T28" s="12"/>
      <c r="U28" s="13">
        <f t="shared" si="8"/>
        <v>0</v>
      </c>
      <c r="V28" s="49">
        <f t="shared" si="9"/>
        <v>19</v>
      </c>
      <c r="W28" s="50">
        <f t="shared" si="10"/>
        <v>0.329175</v>
      </c>
    </row>
    <row r="29" spans="1:23" x14ac:dyDescent="0.25">
      <c r="A29" s="42" t="s">
        <v>27</v>
      </c>
      <c r="B29" s="34">
        <v>140</v>
      </c>
      <c r="C29" s="35">
        <v>240</v>
      </c>
      <c r="D29" s="35">
        <v>5</v>
      </c>
      <c r="E29" s="19">
        <f t="shared" si="3"/>
        <v>0.16800000000000001</v>
      </c>
      <c r="F29" s="23">
        <f>'EKİM 4 HAFTA '!V29</f>
        <v>6</v>
      </c>
      <c r="G29" s="26">
        <f t="shared" si="4"/>
        <v>1.008</v>
      </c>
      <c r="H29" s="21">
        <v>0</v>
      </c>
      <c r="I29" s="11">
        <f t="shared" si="5"/>
        <v>0</v>
      </c>
      <c r="J29" s="21">
        <v>0</v>
      </c>
      <c r="K29" s="10">
        <f t="shared" si="0"/>
        <v>0</v>
      </c>
      <c r="L29" s="21">
        <v>0</v>
      </c>
      <c r="M29" s="11">
        <f t="shared" si="1"/>
        <v>0</v>
      </c>
      <c r="N29" s="21">
        <v>0</v>
      </c>
      <c r="O29" s="10">
        <f t="shared" si="6"/>
        <v>0</v>
      </c>
      <c r="P29" s="21">
        <v>0</v>
      </c>
      <c r="Q29" s="11">
        <f t="shared" si="7"/>
        <v>0</v>
      </c>
      <c r="R29" s="39">
        <f t="shared" si="11"/>
        <v>6</v>
      </c>
      <c r="S29" s="38">
        <f t="shared" si="2"/>
        <v>1.008</v>
      </c>
      <c r="T29" s="12"/>
      <c r="U29" s="13">
        <f t="shared" si="8"/>
        <v>0</v>
      </c>
      <c r="V29" s="49">
        <f t="shared" si="9"/>
        <v>6</v>
      </c>
      <c r="W29" s="50">
        <f t="shared" si="10"/>
        <v>1.008</v>
      </c>
    </row>
    <row r="30" spans="1:23" x14ac:dyDescent="0.25">
      <c r="A30" s="42" t="s">
        <v>28</v>
      </c>
      <c r="B30" s="34">
        <v>140</v>
      </c>
      <c r="C30" s="35">
        <v>240</v>
      </c>
      <c r="D30" s="35">
        <v>10</v>
      </c>
      <c r="E30" s="19">
        <f t="shared" si="3"/>
        <v>0.33600000000000002</v>
      </c>
      <c r="F30" s="23">
        <f>'EKİM 4 HAFTA '!V30</f>
        <v>11</v>
      </c>
      <c r="G30" s="26">
        <f t="shared" si="4"/>
        <v>3.6960000000000002</v>
      </c>
      <c r="H30" s="21">
        <v>0</v>
      </c>
      <c r="I30" s="11">
        <f t="shared" si="5"/>
        <v>0</v>
      </c>
      <c r="J30" s="21">
        <v>0</v>
      </c>
      <c r="K30" s="10">
        <f t="shared" si="0"/>
        <v>0</v>
      </c>
      <c r="L30" s="21">
        <v>0</v>
      </c>
      <c r="M30" s="11">
        <f t="shared" si="1"/>
        <v>0</v>
      </c>
      <c r="N30" s="21">
        <v>0</v>
      </c>
      <c r="O30" s="10">
        <f t="shared" si="6"/>
        <v>0</v>
      </c>
      <c r="P30" s="21">
        <v>0</v>
      </c>
      <c r="Q30" s="11">
        <f t="shared" si="7"/>
        <v>0</v>
      </c>
      <c r="R30" s="39">
        <f t="shared" si="11"/>
        <v>11</v>
      </c>
      <c r="S30" s="38">
        <f t="shared" si="2"/>
        <v>3.6960000000000002</v>
      </c>
      <c r="T30" s="12"/>
      <c r="U30" s="13">
        <f t="shared" si="8"/>
        <v>0</v>
      </c>
      <c r="V30" s="49">
        <f t="shared" si="9"/>
        <v>11</v>
      </c>
      <c r="W30" s="50">
        <f t="shared" si="10"/>
        <v>3.6960000000000002</v>
      </c>
    </row>
    <row r="31" spans="1:23" x14ac:dyDescent="0.25">
      <c r="A31" s="42" t="s">
        <v>29</v>
      </c>
      <c r="B31" s="34">
        <v>140</v>
      </c>
      <c r="C31" s="35">
        <v>240</v>
      </c>
      <c r="D31" s="35">
        <v>3</v>
      </c>
      <c r="E31" s="19">
        <f t="shared" si="3"/>
        <v>0.1008</v>
      </c>
      <c r="F31" s="23">
        <f>'EKİM 4 HAFTA '!V31</f>
        <v>26</v>
      </c>
      <c r="G31" s="26">
        <f t="shared" si="4"/>
        <v>2.6208</v>
      </c>
      <c r="H31" s="21">
        <v>0</v>
      </c>
      <c r="I31" s="11">
        <f t="shared" si="5"/>
        <v>0</v>
      </c>
      <c r="J31" s="21">
        <v>0</v>
      </c>
      <c r="K31" s="10">
        <f t="shared" si="0"/>
        <v>0</v>
      </c>
      <c r="L31" s="21">
        <v>0</v>
      </c>
      <c r="M31" s="11">
        <f t="shared" si="1"/>
        <v>0</v>
      </c>
      <c r="N31" s="21">
        <v>0</v>
      </c>
      <c r="O31" s="10">
        <f t="shared" si="6"/>
        <v>0</v>
      </c>
      <c r="P31" s="21">
        <v>0</v>
      </c>
      <c r="Q31" s="11">
        <f t="shared" si="7"/>
        <v>0</v>
      </c>
      <c r="R31" s="39">
        <f t="shared" si="11"/>
        <v>26</v>
      </c>
      <c r="S31" s="38">
        <f t="shared" si="2"/>
        <v>2.6208</v>
      </c>
      <c r="T31" s="12"/>
      <c r="U31" s="13">
        <f t="shared" si="8"/>
        <v>0</v>
      </c>
      <c r="V31" s="49">
        <f t="shared" si="9"/>
        <v>26</v>
      </c>
      <c r="W31" s="50">
        <f t="shared" si="10"/>
        <v>2.6208</v>
      </c>
    </row>
    <row r="32" spans="1:23" x14ac:dyDescent="0.25">
      <c r="A32" s="42" t="s">
        <v>30</v>
      </c>
      <c r="B32" s="34">
        <v>90</v>
      </c>
      <c r="C32" s="35">
        <v>80</v>
      </c>
      <c r="D32" s="35">
        <v>8</v>
      </c>
      <c r="E32" s="19">
        <f t="shared" si="3"/>
        <v>5.7599999999999998E-2</v>
      </c>
      <c r="F32" s="23">
        <f>'EKİM 4 HAFTA '!V32</f>
        <v>0</v>
      </c>
      <c r="G32" s="26">
        <f t="shared" si="4"/>
        <v>0</v>
      </c>
      <c r="H32" s="21">
        <v>0</v>
      </c>
      <c r="I32" s="11">
        <f t="shared" si="5"/>
        <v>0</v>
      </c>
      <c r="J32" s="21">
        <v>0</v>
      </c>
      <c r="K32" s="10">
        <f t="shared" si="0"/>
        <v>0</v>
      </c>
      <c r="L32" s="21">
        <v>0</v>
      </c>
      <c r="M32" s="11">
        <f t="shared" si="1"/>
        <v>0</v>
      </c>
      <c r="N32" s="21">
        <v>0</v>
      </c>
      <c r="O32" s="10">
        <f t="shared" si="6"/>
        <v>0</v>
      </c>
      <c r="P32" s="21">
        <v>0</v>
      </c>
      <c r="Q32" s="11">
        <f t="shared" si="7"/>
        <v>0</v>
      </c>
      <c r="R32" s="39">
        <f t="shared" si="11"/>
        <v>0</v>
      </c>
      <c r="S32" s="38">
        <f t="shared" si="2"/>
        <v>0</v>
      </c>
      <c r="T32" s="12"/>
      <c r="U32" s="13">
        <f t="shared" si="8"/>
        <v>0</v>
      </c>
      <c r="V32" s="49">
        <f t="shared" si="9"/>
        <v>0</v>
      </c>
      <c r="W32" s="50">
        <f t="shared" si="10"/>
        <v>0</v>
      </c>
    </row>
    <row r="33" spans="1:23" x14ac:dyDescent="0.25">
      <c r="A33" s="42" t="s">
        <v>31</v>
      </c>
      <c r="B33" s="34">
        <v>90</v>
      </c>
      <c r="C33" s="35">
        <v>80</v>
      </c>
      <c r="D33" s="35">
        <v>8</v>
      </c>
      <c r="E33" s="19">
        <f t="shared" si="3"/>
        <v>5.7599999999999998E-2</v>
      </c>
      <c r="F33" s="23">
        <f>'EKİM 4 HAFTA '!V33</f>
        <v>0</v>
      </c>
      <c r="G33" s="26">
        <f t="shared" si="4"/>
        <v>0</v>
      </c>
      <c r="H33" s="21">
        <v>0</v>
      </c>
      <c r="I33" s="11">
        <f t="shared" si="5"/>
        <v>0</v>
      </c>
      <c r="J33" s="21">
        <v>0</v>
      </c>
      <c r="K33" s="10">
        <f t="shared" si="0"/>
        <v>0</v>
      </c>
      <c r="L33" s="21">
        <v>0</v>
      </c>
      <c r="M33" s="11">
        <f t="shared" si="1"/>
        <v>0</v>
      </c>
      <c r="N33" s="21">
        <v>0</v>
      </c>
      <c r="O33" s="10">
        <f t="shared" si="6"/>
        <v>0</v>
      </c>
      <c r="P33" s="21">
        <v>0</v>
      </c>
      <c r="Q33" s="11">
        <f t="shared" si="7"/>
        <v>0</v>
      </c>
      <c r="R33" s="39">
        <f t="shared" si="11"/>
        <v>0</v>
      </c>
      <c r="S33" s="38">
        <f t="shared" si="2"/>
        <v>0</v>
      </c>
      <c r="T33" s="12"/>
      <c r="U33" s="13">
        <f t="shared" si="8"/>
        <v>0</v>
      </c>
      <c r="V33" s="49">
        <f t="shared" si="9"/>
        <v>0</v>
      </c>
      <c r="W33" s="50">
        <f t="shared" si="10"/>
        <v>0</v>
      </c>
    </row>
    <row r="34" spans="1:23" x14ac:dyDescent="0.25">
      <c r="A34" s="42" t="s">
        <v>32</v>
      </c>
      <c r="B34" s="34"/>
      <c r="C34" s="35"/>
      <c r="D34" s="35"/>
      <c r="E34" s="19">
        <f t="shared" si="3"/>
        <v>0</v>
      </c>
      <c r="F34" s="23">
        <f>'EKİM 4 HAFTA '!V34</f>
        <v>300</v>
      </c>
      <c r="G34" s="26">
        <f t="shared" si="4"/>
        <v>0</v>
      </c>
      <c r="H34" s="21">
        <v>0</v>
      </c>
      <c r="I34" s="11">
        <f t="shared" si="5"/>
        <v>0</v>
      </c>
      <c r="J34" s="21">
        <v>0</v>
      </c>
      <c r="K34" s="10">
        <f t="shared" si="0"/>
        <v>0</v>
      </c>
      <c r="L34" s="21">
        <v>0</v>
      </c>
      <c r="M34" s="11">
        <f t="shared" si="1"/>
        <v>0</v>
      </c>
      <c r="N34" s="21">
        <v>0</v>
      </c>
      <c r="O34" s="10">
        <f t="shared" si="6"/>
        <v>0</v>
      </c>
      <c r="P34" s="21">
        <v>0</v>
      </c>
      <c r="Q34" s="11">
        <f t="shared" si="7"/>
        <v>0</v>
      </c>
      <c r="R34" s="39">
        <f t="shared" si="11"/>
        <v>300</v>
      </c>
      <c r="S34" s="38">
        <f t="shared" si="2"/>
        <v>0</v>
      </c>
      <c r="T34" s="12"/>
      <c r="U34" s="13">
        <f t="shared" si="8"/>
        <v>0</v>
      </c>
      <c r="V34" s="49">
        <f t="shared" si="9"/>
        <v>300</v>
      </c>
      <c r="W34" s="50">
        <f t="shared" si="10"/>
        <v>0</v>
      </c>
    </row>
    <row r="35" spans="1:23" x14ac:dyDescent="0.25">
      <c r="A35" s="42" t="s">
        <v>33</v>
      </c>
      <c r="B35" s="34">
        <v>80</v>
      </c>
      <c r="C35" s="35">
        <v>66</v>
      </c>
      <c r="D35" s="35">
        <v>5</v>
      </c>
      <c r="E35" s="19">
        <f t="shared" si="3"/>
        <v>2.64E-2</v>
      </c>
      <c r="F35" s="23">
        <f>'EKİM 4 HAFTA '!V35</f>
        <v>56</v>
      </c>
      <c r="G35" s="26">
        <f t="shared" si="4"/>
        <v>1.4783999999999999</v>
      </c>
      <c r="H35" s="21">
        <v>0</v>
      </c>
      <c r="I35" s="11">
        <f t="shared" si="5"/>
        <v>0</v>
      </c>
      <c r="J35" s="21">
        <v>0</v>
      </c>
      <c r="K35" s="10">
        <f t="shared" si="0"/>
        <v>0</v>
      </c>
      <c r="L35" s="21">
        <v>0</v>
      </c>
      <c r="M35" s="11">
        <f t="shared" si="1"/>
        <v>0</v>
      </c>
      <c r="N35" s="21">
        <v>0</v>
      </c>
      <c r="O35" s="10">
        <f t="shared" si="6"/>
        <v>0</v>
      </c>
      <c r="P35" s="21">
        <v>0</v>
      </c>
      <c r="Q35" s="11">
        <f t="shared" si="7"/>
        <v>0</v>
      </c>
      <c r="R35" s="39">
        <f t="shared" si="11"/>
        <v>56</v>
      </c>
      <c r="S35" s="38">
        <f t="shared" si="2"/>
        <v>1.4783999999999999</v>
      </c>
      <c r="T35" s="12"/>
      <c r="U35" s="13">
        <f t="shared" si="8"/>
        <v>0</v>
      </c>
      <c r="V35" s="49">
        <f t="shared" si="9"/>
        <v>56</v>
      </c>
      <c r="W35" s="50">
        <f t="shared" si="10"/>
        <v>1.4783999999999999</v>
      </c>
    </row>
    <row r="36" spans="1:23" x14ac:dyDescent="0.25">
      <c r="A36" s="42" t="s">
        <v>34</v>
      </c>
      <c r="B36" s="34">
        <v>60</v>
      </c>
      <c r="C36" s="35">
        <v>62</v>
      </c>
      <c r="D36" s="35">
        <v>5</v>
      </c>
      <c r="E36" s="19">
        <f t="shared" si="3"/>
        <v>1.8599999999999998E-2</v>
      </c>
      <c r="F36" s="23">
        <f>'EKİM 4 HAFTA '!V36</f>
        <v>4</v>
      </c>
      <c r="G36" s="26">
        <f t="shared" si="4"/>
        <v>7.4399999999999994E-2</v>
      </c>
      <c r="H36" s="21">
        <v>0</v>
      </c>
      <c r="I36" s="11">
        <f t="shared" si="5"/>
        <v>0</v>
      </c>
      <c r="J36" s="21">
        <v>0</v>
      </c>
      <c r="K36" s="10">
        <f t="shared" si="0"/>
        <v>0</v>
      </c>
      <c r="L36" s="21">
        <v>0</v>
      </c>
      <c r="M36" s="11">
        <f t="shared" si="1"/>
        <v>0</v>
      </c>
      <c r="N36" s="21">
        <v>0</v>
      </c>
      <c r="O36" s="10">
        <f t="shared" si="6"/>
        <v>0</v>
      </c>
      <c r="P36" s="21">
        <v>0</v>
      </c>
      <c r="Q36" s="11">
        <f t="shared" si="7"/>
        <v>0</v>
      </c>
      <c r="R36" s="39">
        <f t="shared" si="11"/>
        <v>4</v>
      </c>
      <c r="S36" s="38">
        <f t="shared" si="2"/>
        <v>7.4399999999999994E-2</v>
      </c>
      <c r="T36" s="12"/>
      <c r="U36" s="13">
        <f t="shared" si="8"/>
        <v>0</v>
      </c>
      <c r="V36" s="49">
        <f t="shared" si="9"/>
        <v>4</v>
      </c>
      <c r="W36" s="50">
        <f t="shared" si="10"/>
        <v>7.4399999999999994E-2</v>
      </c>
    </row>
    <row r="37" spans="1:23" x14ac:dyDescent="0.25">
      <c r="A37" s="42" t="s">
        <v>41</v>
      </c>
      <c r="B37" s="34">
        <v>60</v>
      </c>
      <c r="C37" s="35">
        <v>67</v>
      </c>
      <c r="D37" s="35">
        <v>3</v>
      </c>
      <c r="E37" s="19">
        <f t="shared" si="3"/>
        <v>1.206E-2</v>
      </c>
      <c r="F37" s="23">
        <f>'EKİM 4 HAFTA '!V37</f>
        <v>12</v>
      </c>
      <c r="G37" s="26">
        <f t="shared" si="4"/>
        <v>0.14471999999999999</v>
      </c>
      <c r="H37" s="21">
        <v>0</v>
      </c>
      <c r="I37" s="11">
        <f t="shared" si="5"/>
        <v>0</v>
      </c>
      <c r="J37" s="21">
        <v>0</v>
      </c>
      <c r="K37" s="10">
        <f t="shared" si="0"/>
        <v>0</v>
      </c>
      <c r="L37" s="21">
        <v>0</v>
      </c>
      <c r="M37" s="11">
        <f t="shared" si="1"/>
        <v>0</v>
      </c>
      <c r="N37" s="21">
        <v>0</v>
      </c>
      <c r="O37" s="10">
        <f t="shared" si="6"/>
        <v>0</v>
      </c>
      <c r="P37" s="21">
        <v>0</v>
      </c>
      <c r="Q37" s="11">
        <f t="shared" si="7"/>
        <v>0</v>
      </c>
      <c r="R37" s="39">
        <f t="shared" si="11"/>
        <v>12</v>
      </c>
      <c r="S37" s="38">
        <f t="shared" si="2"/>
        <v>0.14471999999999999</v>
      </c>
      <c r="T37" s="12"/>
      <c r="U37" s="13">
        <f t="shared" si="8"/>
        <v>0</v>
      </c>
      <c r="V37" s="49">
        <f t="shared" si="9"/>
        <v>12</v>
      </c>
      <c r="W37" s="50">
        <f t="shared" si="10"/>
        <v>0.14471999999999999</v>
      </c>
    </row>
    <row r="38" spans="1:23" x14ac:dyDescent="0.25">
      <c r="A38" s="42" t="s">
        <v>35</v>
      </c>
      <c r="B38" s="34">
        <v>140</v>
      </c>
      <c r="C38" s="35">
        <v>240</v>
      </c>
      <c r="D38" s="35">
        <v>7</v>
      </c>
      <c r="E38" s="19">
        <f t="shared" si="3"/>
        <v>0.23519999999999999</v>
      </c>
      <c r="F38" s="23">
        <f>'EKİM 4 HAFTA '!V38</f>
        <v>4</v>
      </c>
      <c r="G38" s="26">
        <f t="shared" si="4"/>
        <v>0.94079999999999997</v>
      </c>
      <c r="H38" s="21">
        <v>0</v>
      </c>
      <c r="I38" s="11">
        <f t="shared" si="5"/>
        <v>0</v>
      </c>
      <c r="J38" s="21">
        <v>0</v>
      </c>
      <c r="K38" s="10">
        <f t="shared" si="0"/>
        <v>0</v>
      </c>
      <c r="L38" s="21">
        <v>0</v>
      </c>
      <c r="M38" s="11">
        <f t="shared" si="1"/>
        <v>0</v>
      </c>
      <c r="N38" s="21">
        <v>0</v>
      </c>
      <c r="O38" s="10">
        <f t="shared" si="6"/>
        <v>0</v>
      </c>
      <c r="P38" s="21">
        <v>0</v>
      </c>
      <c r="Q38" s="11">
        <f t="shared" si="7"/>
        <v>0</v>
      </c>
      <c r="R38" s="39">
        <f t="shared" si="11"/>
        <v>4</v>
      </c>
      <c r="S38" s="38">
        <f t="shared" si="2"/>
        <v>0.94079999999999997</v>
      </c>
      <c r="T38" s="12"/>
      <c r="U38" s="13">
        <f t="shared" si="8"/>
        <v>0</v>
      </c>
      <c r="V38" s="49">
        <f t="shared" si="9"/>
        <v>4</v>
      </c>
      <c r="W38" s="50">
        <f t="shared" si="10"/>
        <v>0.94079999999999997</v>
      </c>
    </row>
    <row r="39" spans="1:23" x14ac:dyDescent="0.25">
      <c r="A39" s="42" t="s">
        <v>36</v>
      </c>
      <c r="B39" s="34">
        <v>60</v>
      </c>
      <c r="C39" s="35">
        <v>56</v>
      </c>
      <c r="D39" s="35">
        <v>10</v>
      </c>
      <c r="E39" s="19">
        <f t="shared" si="3"/>
        <v>3.3599999999999998E-2</v>
      </c>
      <c r="F39" s="23">
        <f>'EKİM 4 HAFTA '!V39</f>
        <v>0</v>
      </c>
      <c r="G39" s="26">
        <f t="shared" si="4"/>
        <v>0</v>
      </c>
      <c r="H39" s="21">
        <v>0</v>
      </c>
      <c r="I39" s="11">
        <f t="shared" si="5"/>
        <v>0</v>
      </c>
      <c r="J39" s="21">
        <v>0</v>
      </c>
      <c r="K39" s="10">
        <f t="shared" si="0"/>
        <v>0</v>
      </c>
      <c r="L39" s="21">
        <v>0</v>
      </c>
      <c r="M39" s="11">
        <f t="shared" si="1"/>
        <v>0</v>
      </c>
      <c r="N39" s="21">
        <v>0</v>
      </c>
      <c r="O39" s="10">
        <f t="shared" si="6"/>
        <v>0</v>
      </c>
      <c r="P39" s="21">
        <v>0</v>
      </c>
      <c r="Q39" s="11">
        <f t="shared" si="7"/>
        <v>0</v>
      </c>
      <c r="R39" s="39">
        <f t="shared" si="11"/>
        <v>0</v>
      </c>
      <c r="S39" s="38">
        <f t="shared" si="2"/>
        <v>0</v>
      </c>
      <c r="T39" s="12"/>
      <c r="U39" s="13">
        <f t="shared" si="8"/>
        <v>0</v>
      </c>
      <c r="V39" s="49">
        <f t="shared" si="9"/>
        <v>0</v>
      </c>
      <c r="W39" s="50">
        <f t="shared" si="10"/>
        <v>0</v>
      </c>
    </row>
    <row r="40" spans="1:23" x14ac:dyDescent="0.25">
      <c r="A40" s="42" t="s">
        <v>37</v>
      </c>
      <c r="B40" s="34">
        <v>58</v>
      </c>
      <c r="C40" s="35">
        <v>55</v>
      </c>
      <c r="D40" s="35">
        <v>10</v>
      </c>
      <c r="E40" s="19">
        <f t="shared" si="3"/>
        <v>3.1899999999999998E-2</v>
      </c>
      <c r="F40" s="23">
        <f>'EKİM 4 HAFTA '!V40</f>
        <v>0</v>
      </c>
      <c r="G40" s="26">
        <f t="shared" si="4"/>
        <v>0</v>
      </c>
      <c r="H40" s="21">
        <v>0</v>
      </c>
      <c r="I40" s="11">
        <f t="shared" si="5"/>
        <v>0</v>
      </c>
      <c r="J40" s="21">
        <v>0</v>
      </c>
      <c r="K40" s="10">
        <f t="shared" si="0"/>
        <v>0</v>
      </c>
      <c r="L40" s="21">
        <v>0</v>
      </c>
      <c r="M40" s="11">
        <f t="shared" si="1"/>
        <v>0</v>
      </c>
      <c r="N40" s="21">
        <v>0</v>
      </c>
      <c r="O40" s="10">
        <f t="shared" si="6"/>
        <v>0</v>
      </c>
      <c r="P40" s="21">
        <v>0</v>
      </c>
      <c r="Q40" s="11">
        <f t="shared" si="7"/>
        <v>0</v>
      </c>
      <c r="R40" s="39">
        <f t="shared" si="11"/>
        <v>0</v>
      </c>
      <c r="S40" s="38">
        <f t="shared" si="2"/>
        <v>0</v>
      </c>
      <c r="T40" s="12"/>
      <c r="U40" s="13">
        <f t="shared" si="8"/>
        <v>0</v>
      </c>
      <c r="V40" s="49">
        <f t="shared" si="9"/>
        <v>0</v>
      </c>
      <c r="W40" s="50">
        <f t="shared" si="10"/>
        <v>0</v>
      </c>
    </row>
    <row r="41" spans="1:23" x14ac:dyDescent="0.25">
      <c r="A41" s="42" t="s">
        <v>38</v>
      </c>
      <c r="B41" s="34">
        <v>63</v>
      </c>
      <c r="C41" s="35">
        <v>55</v>
      </c>
      <c r="D41" s="35">
        <v>5</v>
      </c>
      <c r="E41" s="19">
        <f t="shared" si="3"/>
        <v>1.7325E-2</v>
      </c>
      <c r="F41" s="23">
        <f>'EKİM 4 HAFTA '!V41</f>
        <v>10</v>
      </c>
      <c r="G41" s="26">
        <f t="shared" si="4"/>
        <v>0.17325000000000002</v>
      </c>
      <c r="H41" s="21">
        <v>0</v>
      </c>
      <c r="I41" s="11">
        <f t="shared" si="5"/>
        <v>0</v>
      </c>
      <c r="J41" s="21">
        <v>0</v>
      </c>
      <c r="K41" s="10">
        <f t="shared" si="0"/>
        <v>0</v>
      </c>
      <c r="L41" s="21">
        <v>0</v>
      </c>
      <c r="M41" s="11">
        <f t="shared" si="1"/>
        <v>0</v>
      </c>
      <c r="N41" s="21">
        <v>0</v>
      </c>
      <c r="O41" s="10">
        <f t="shared" si="6"/>
        <v>0</v>
      </c>
      <c r="P41" s="21">
        <v>0</v>
      </c>
      <c r="Q41" s="11">
        <f t="shared" si="7"/>
        <v>0</v>
      </c>
      <c r="R41" s="39">
        <f t="shared" si="11"/>
        <v>10</v>
      </c>
      <c r="S41" s="38">
        <f t="shared" si="2"/>
        <v>0.17325000000000002</v>
      </c>
      <c r="T41" s="12"/>
      <c r="U41" s="13">
        <f t="shared" si="8"/>
        <v>0</v>
      </c>
      <c r="V41" s="49">
        <f t="shared" si="9"/>
        <v>10</v>
      </c>
      <c r="W41" s="50">
        <f t="shared" si="10"/>
        <v>0.17325000000000002</v>
      </c>
    </row>
    <row r="42" spans="1:23" x14ac:dyDescent="0.25">
      <c r="A42" s="42" t="s">
        <v>39</v>
      </c>
      <c r="B42" s="34">
        <v>52</v>
      </c>
      <c r="C42" s="35">
        <v>52</v>
      </c>
      <c r="D42" s="35">
        <v>5</v>
      </c>
      <c r="E42" s="19">
        <f t="shared" si="3"/>
        <v>1.3520000000000001E-2</v>
      </c>
      <c r="F42" s="23">
        <f>'EKİM 4 HAFTA '!V42</f>
        <v>0</v>
      </c>
      <c r="G42" s="26">
        <f t="shared" si="4"/>
        <v>0</v>
      </c>
      <c r="H42" s="21">
        <v>0</v>
      </c>
      <c r="I42" s="11">
        <f t="shared" si="5"/>
        <v>0</v>
      </c>
      <c r="J42" s="21">
        <v>0</v>
      </c>
      <c r="K42" s="10">
        <f t="shared" si="0"/>
        <v>0</v>
      </c>
      <c r="L42" s="21">
        <v>0</v>
      </c>
      <c r="M42" s="11">
        <f t="shared" si="1"/>
        <v>0</v>
      </c>
      <c r="N42" s="21">
        <v>0</v>
      </c>
      <c r="O42" s="10">
        <f t="shared" si="6"/>
        <v>0</v>
      </c>
      <c r="P42" s="21">
        <v>0</v>
      </c>
      <c r="Q42" s="11">
        <f t="shared" si="7"/>
        <v>0</v>
      </c>
      <c r="R42" s="39">
        <f t="shared" si="11"/>
        <v>0</v>
      </c>
      <c r="S42" s="38">
        <f t="shared" si="2"/>
        <v>0</v>
      </c>
      <c r="T42" s="12"/>
      <c r="U42" s="13">
        <f t="shared" si="8"/>
        <v>0</v>
      </c>
      <c r="V42" s="49">
        <f t="shared" si="9"/>
        <v>0</v>
      </c>
      <c r="W42" s="50">
        <f t="shared" si="10"/>
        <v>0</v>
      </c>
    </row>
    <row r="43" spans="1:23" x14ac:dyDescent="0.25">
      <c r="A43" s="42" t="s">
        <v>40</v>
      </c>
      <c r="B43" s="34">
        <v>80</v>
      </c>
      <c r="C43" s="35">
        <v>70</v>
      </c>
      <c r="D43" s="35">
        <v>8</v>
      </c>
      <c r="E43" s="19">
        <f t="shared" si="3"/>
        <v>4.48E-2</v>
      </c>
      <c r="F43" s="23">
        <f>'EKİM 4 HAFTA '!V43</f>
        <v>359</v>
      </c>
      <c r="G43" s="26">
        <f t="shared" si="4"/>
        <v>16.083200000000001</v>
      </c>
      <c r="H43" s="21">
        <v>0</v>
      </c>
      <c r="I43" s="11">
        <f t="shared" si="5"/>
        <v>0</v>
      </c>
      <c r="J43" s="21">
        <v>0</v>
      </c>
      <c r="K43" s="10">
        <f t="shared" si="0"/>
        <v>0</v>
      </c>
      <c r="L43" s="21">
        <v>0</v>
      </c>
      <c r="M43" s="11">
        <f t="shared" si="1"/>
        <v>0</v>
      </c>
      <c r="N43" s="21">
        <v>0</v>
      </c>
      <c r="O43" s="10">
        <f t="shared" si="6"/>
        <v>0</v>
      </c>
      <c r="P43" s="21">
        <v>0</v>
      </c>
      <c r="Q43" s="11">
        <f t="shared" si="7"/>
        <v>0</v>
      </c>
      <c r="R43" s="39">
        <f t="shared" si="11"/>
        <v>359</v>
      </c>
      <c r="S43" s="38">
        <f t="shared" si="2"/>
        <v>16.083200000000001</v>
      </c>
      <c r="T43" s="12"/>
      <c r="U43" s="13">
        <f t="shared" si="8"/>
        <v>0</v>
      </c>
      <c r="V43" s="49">
        <f t="shared" si="9"/>
        <v>359</v>
      </c>
      <c r="W43" s="50">
        <f t="shared" si="10"/>
        <v>16.083200000000001</v>
      </c>
    </row>
    <row r="44" spans="1:23" x14ac:dyDescent="0.25">
      <c r="A44" s="42" t="s">
        <v>42</v>
      </c>
      <c r="B44" s="34">
        <v>70</v>
      </c>
      <c r="C44" s="35">
        <v>64</v>
      </c>
      <c r="D44" s="35">
        <v>8</v>
      </c>
      <c r="E44" s="19">
        <f t="shared" si="3"/>
        <v>3.5839999999999997E-2</v>
      </c>
      <c r="F44" s="23">
        <f>'EKİM 4 HAFTA '!V44</f>
        <v>390</v>
      </c>
      <c r="G44" s="26">
        <f t="shared" si="4"/>
        <v>13.977599999999999</v>
      </c>
      <c r="H44" s="21">
        <v>0</v>
      </c>
      <c r="I44" s="11">
        <f t="shared" si="5"/>
        <v>0</v>
      </c>
      <c r="J44" s="21">
        <v>0</v>
      </c>
      <c r="K44" s="10">
        <f t="shared" si="0"/>
        <v>0</v>
      </c>
      <c r="L44" s="21">
        <v>0</v>
      </c>
      <c r="M44" s="11">
        <f t="shared" si="1"/>
        <v>0</v>
      </c>
      <c r="N44" s="21">
        <v>0</v>
      </c>
      <c r="O44" s="10">
        <f t="shared" si="6"/>
        <v>0</v>
      </c>
      <c r="P44" s="21">
        <v>0</v>
      </c>
      <c r="Q44" s="11">
        <f t="shared" si="7"/>
        <v>0</v>
      </c>
      <c r="R44" s="39">
        <f t="shared" si="11"/>
        <v>390</v>
      </c>
      <c r="S44" s="38">
        <f t="shared" si="2"/>
        <v>13.977599999999999</v>
      </c>
      <c r="T44" s="12"/>
      <c r="U44" s="13">
        <f t="shared" si="8"/>
        <v>0</v>
      </c>
      <c r="V44" s="49">
        <f t="shared" si="9"/>
        <v>390</v>
      </c>
      <c r="W44" s="50">
        <f t="shared" si="10"/>
        <v>13.977599999999999</v>
      </c>
    </row>
    <row r="45" spans="1:23" x14ac:dyDescent="0.25">
      <c r="A45" s="42" t="s">
        <v>43</v>
      </c>
      <c r="B45" s="34">
        <v>75</v>
      </c>
      <c r="C45" s="35">
        <v>70</v>
      </c>
      <c r="D45" s="35">
        <v>8</v>
      </c>
      <c r="E45" s="19">
        <f t="shared" si="3"/>
        <v>4.2000000000000003E-2</v>
      </c>
      <c r="F45" s="23">
        <f>'EKİM 4 HAFTA '!V45</f>
        <v>258</v>
      </c>
      <c r="G45" s="26">
        <f t="shared" si="4"/>
        <v>10.836</v>
      </c>
      <c r="H45" s="21">
        <v>0</v>
      </c>
      <c r="I45" s="11">
        <f t="shared" si="5"/>
        <v>0</v>
      </c>
      <c r="J45" s="21">
        <v>0</v>
      </c>
      <c r="K45" s="10">
        <f t="shared" si="0"/>
        <v>0</v>
      </c>
      <c r="L45" s="21">
        <v>0</v>
      </c>
      <c r="M45" s="11">
        <f t="shared" si="1"/>
        <v>0</v>
      </c>
      <c r="N45" s="21">
        <v>0</v>
      </c>
      <c r="O45" s="10">
        <f t="shared" si="6"/>
        <v>0</v>
      </c>
      <c r="P45" s="21">
        <v>0</v>
      </c>
      <c r="Q45" s="11">
        <f t="shared" si="7"/>
        <v>0</v>
      </c>
      <c r="R45" s="39">
        <f t="shared" si="11"/>
        <v>258</v>
      </c>
      <c r="S45" s="38">
        <f t="shared" si="2"/>
        <v>10.836</v>
      </c>
      <c r="T45" s="12"/>
      <c r="U45" s="13">
        <f t="shared" si="8"/>
        <v>0</v>
      </c>
      <c r="V45" s="49">
        <f t="shared" si="9"/>
        <v>258</v>
      </c>
      <c r="W45" s="50">
        <f t="shared" si="10"/>
        <v>10.836</v>
      </c>
    </row>
    <row r="46" spans="1:23" x14ac:dyDescent="0.25">
      <c r="A46" s="42" t="s">
        <v>77</v>
      </c>
      <c r="B46" s="34">
        <v>140</v>
      </c>
      <c r="C46" s="35">
        <v>67</v>
      </c>
      <c r="D46" s="35">
        <v>5</v>
      </c>
      <c r="E46" s="19">
        <f t="shared" si="3"/>
        <v>4.6899999999999997E-2</v>
      </c>
      <c r="F46" s="23">
        <f>'EKİM 4 HAFTA '!V46</f>
        <v>500</v>
      </c>
      <c r="G46" s="26">
        <f t="shared" si="4"/>
        <v>23.45</v>
      </c>
      <c r="H46" s="21">
        <v>0</v>
      </c>
      <c r="I46" s="11">
        <f t="shared" si="5"/>
        <v>0</v>
      </c>
      <c r="J46" s="21">
        <v>0</v>
      </c>
      <c r="K46" s="10">
        <f t="shared" si="0"/>
        <v>0</v>
      </c>
      <c r="L46" s="21">
        <v>0</v>
      </c>
      <c r="M46" s="11">
        <f t="shared" si="1"/>
        <v>0</v>
      </c>
      <c r="N46" s="21">
        <v>0</v>
      </c>
      <c r="O46" s="10">
        <f t="shared" si="6"/>
        <v>0</v>
      </c>
      <c r="P46" s="21">
        <v>0</v>
      </c>
      <c r="Q46" s="11">
        <f t="shared" si="7"/>
        <v>0</v>
      </c>
      <c r="R46" s="39">
        <f t="shared" si="11"/>
        <v>500</v>
      </c>
      <c r="S46" s="38">
        <f t="shared" si="2"/>
        <v>23.45</v>
      </c>
      <c r="T46" s="12"/>
      <c r="U46" s="13">
        <f t="shared" si="8"/>
        <v>0</v>
      </c>
      <c r="V46" s="49">
        <f t="shared" si="9"/>
        <v>500</v>
      </c>
      <c r="W46" s="50">
        <f t="shared" si="10"/>
        <v>23.45</v>
      </c>
    </row>
    <row r="47" spans="1:23" x14ac:dyDescent="0.25">
      <c r="A47" s="42" t="s">
        <v>45</v>
      </c>
      <c r="B47" s="34">
        <v>80</v>
      </c>
      <c r="C47" s="35">
        <v>63</v>
      </c>
      <c r="D47" s="35">
        <v>5</v>
      </c>
      <c r="E47" s="19">
        <f t="shared" si="3"/>
        <v>2.52E-2</v>
      </c>
      <c r="F47" s="23">
        <f>'EKİM 4 HAFTA '!V47</f>
        <v>315</v>
      </c>
      <c r="G47" s="26">
        <f t="shared" si="4"/>
        <v>7.9379999999999997</v>
      </c>
      <c r="H47" s="21">
        <v>0</v>
      </c>
      <c r="I47" s="11">
        <f t="shared" si="5"/>
        <v>0</v>
      </c>
      <c r="J47" s="21">
        <v>0</v>
      </c>
      <c r="K47" s="10">
        <f t="shared" si="0"/>
        <v>0</v>
      </c>
      <c r="L47" s="21">
        <v>0</v>
      </c>
      <c r="M47" s="11">
        <f t="shared" si="1"/>
        <v>0</v>
      </c>
      <c r="N47" s="21">
        <v>0</v>
      </c>
      <c r="O47" s="10">
        <f t="shared" si="6"/>
        <v>0</v>
      </c>
      <c r="P47" s="21">
        <v>0</v>
      </c>
      <c r="Q47" s="11">
        <f t="shared" si="7"/>
        <v>0</v>
      </c>
      <c r="R47" s="39">
        <f t="shared" si="11"/>
        <v>315</v>
      </c>
      <c r="S47" s="38">
        <f t="shared" si="2"/>
        <v>7.9379999999999997</v>
      </c>
      <c r="T47" s="12"/>
      <c r="U47" s="13">
        <f t="shared" si="8"/>
        <v>0</v>
      </c>
      <c r="V47" s="49">
        <f t="shared" si="9"/>
        <v>315</v>
      </c>
      <c r="W47" s="50">
        <f t="shared" si="10"/>
        <v>7.9379999999999997</v>
      </c>
    </row>
    <row r="48" spans="1:23" x14ac:dyDescent="0.25">
      <c r="A48" s="42" t="s">
        <v>46</v>
      </c>
      <c r="B48" s="34">
        <v>77</v>
      </c>
      <c r="C48" s="35">
        <v>68</v>
      </c>
      <c r="D48" s="35">
        <v>8</v>
      </c>
      <c r="E48" s="19">
        <f t="shared" si="3"/>
        <v>4.1888000000000002E-2</v>
      </c>
      <c r="F48" s="23">
        <f>'EKİM 4 HAFTA '!V48</f>
        <v>171</v>
      </c>
      <c r="G48" s="26">
        <f t="shared" si="4"/>
        <v>7.1628480000000003</v>
      </c>
      <c r="H48" s="21">
        <v>0</v>
      </c>
      <c r="I48" s="11">
        <f t="shared" si="5"/>
        <v>0</v>
      </c>
      <c r="J48" s="21">
        <v>0</v>
      </c>
      <c r="K48" s="10">
        <f t="shared" si="0"/>
        <v>0</v>
      </c>
      <c r="L48" s="21">
        <v>0</v>
      </c>
      <c r="M48" s="11">
        <f t="shared" si="1"/>
        <v>0</v>
      </c>
      <c r="N48" s="21">
        <v>0</v>
      </c>
      <c r="O48" s="10">
        <f t="shared" si="6"/>
        <v>0</v>
      </c>
      <c r="P48" s="21">
        <v>0</v>
      </c>
      <c r="Q48" s="11">
        <f t="shared" si="7"/>
        <v>0</v>
      </c>
      <c r="R48" s="39">
        <f t="shared" si="11"/>
        <v>171</v>
      </c>
      <c r="S48" s="38">
        <f t="shared" si="2"/>
        <v>7.1628480000000003</v>
      </c>
      <c r="T48" s="12"/>
      <c r="U48" s="13">
        <f t="shared" si="8"/>
        <v>0</v>
      </c>
      <c r="V48" s="49">
        <f t="shared" si="9"/>
        <v>171</v>
      </c>
      <c r="W48" s="50">
        <f t="shared" si="10"/>
        <v>7.1628480000000003</v>
      </c>
    </row>
    <row r="49" spans="1:23" x14ac:dyDescent="0.25">
      <c r="A49" s="42" t="s">
        <v>47</v>
      </c>
      <c r="B49" s="34">
        <v>79</v>
      </c>
      <c r="C49" s="35">
        <v>79</v>
      </c>
      <c r="D49" s="35">
        <v>2</v>
      </c>
      <c r="E49" s="19">
        <f t="shared" si="3"/>
        <v>1.2482E-2</v>
      </c>
      <c r="F49" s="23">
        <f>'EKİM 4 HAFTA '!V49</f>
        <v>33</v>
      </c>
      <c r="G49" s="26">
        <f t="shared" si="4"/>
        <v>0.41190599999999999</v>
      </c>
      <c r="H49" s="21">
        <v>0</v>
      </c>
      <c r="I49" s="11">
        <f t="shared" si="5"/>
        <v>0</v>
      </c>
      <c r="J49" s="21">
        <v>0</v>
      </c>
      <c r="K49" s="10">
        <f t="shared" si="0"/>
        <v>0</v>
      </c>
      <c r="L49" s="21">
        <v>0</v>
      </c>
      <c r="M49" s="11">
        <f t="shared" si="1"/>
        <v>0</v>
      </c>
      <c r="N49" s="21">
        <v>0</v>
      </c>
      <c r="O49" s="10">
        <f t="shared" si="6"/>
        <v>0</v>
      </c>
      <c r="P49" s="21">
        <v>0</v>
      </c>
      <c r="Q49" s="11">
        <f t="shared" si="7"/>
        <v>0</v>
      </c>
      <c r="R49" s="39">
        <f t="shared" si="11"/>
        <v>33</v>
      </c>
      <c r="S49" s="38">
        <f t="shared" si="2"/>
        <v>0.41190599999999999</v>
      </c>
      <c r="T49" s="12"/>
      <c r="U49" s="13">
        <f t="shared" si="8"/>
        <v>0</v>
      </c>
      <c r="V49" s="49">
        <f t="shared" si="9"/>
        <v>33</v>
      </c>
      <c r="W49" s="50">
        <f t="shared" si="10"/>
        <v>0.41190599999999999</v>
      </c>
    </row>
    <row r="50" spans="1:23" x14ac:dyDescent="0.25">
      <c r="A50" s="42" t="s">
        <v>48</v>
      </c>
      <c r="B50" s="34">
        <v>61</v>
      </c>
      <c r="C50" s="35">
        <v>56</v>
      </c>
      <c r="D50" s="35">
        <v>10</v>
      </c>
      <c r="E50" s="19">
        <f t="shared" si="3"/>
        <v>3.4160000000000003E-2</v>
      </c>
      <c r="F50" s="23">
        <f>'EKİM 4 HAFTA '!V50</f>
        <v>385</v>
      </c>
      <c r="G50" s="26">
        <f t="shared" si="4"/>
        <v>13.151600000000002</v>
      </c>
      <c r="H50" s="21">
        <v>0</v>
      </c>
      <c r="I50" s="11">
        <f t="shared" si="5"/>
        <v>0</v>
      </c>
      <c r="J50" s="21">
        <v>0</v>
      </c>
      <c r="K50" s="10">
        <f t="shared" si="0"/>
        <v>0</v>
      </c>
      <c r="L50" s="21">
        <v>0</v>
      </c>
      <c r="M50" s="11">
        <f t="shared" si="1"/>
        <v>0</v>
      </c>
      <c r="N50" s="21">
        <v>0</v>
      </c>
      <c r="O50" s="10">
        <f t="shared" si="6"/>
        <v>0</v>
      </c>
      <c r="P50" s="21">
        <v>0</v>
      </c>
      <c r="Q50" s="11">
        <f t="shared" si="7"/>
        <v>0</v>
      </c>
      <c r="R50" s="39">
        <f t="shared" si="11"/>
        <v>385</v>
      </c>
      <c r="S50" s="38">
        <f t="shared" si="2"/>
        <v>13.151600000000002</v>
      </c>
      <c r="T50" s="12"/>
      <c r="U50" s="13">
        <f t="shared" si="8"/>
        <v>0</v>
      </c>
      <c r="V50" s="49">
        <f t="shared" si="9"/>
        <v>385</v>
      </c>
      <c r="W50" s="50">
        <f t="shared" si="10"/>
        <v>13.151600000000002</v>
      </c>
    </row>
    <row r="51" spans="1:23" x14ac:dyDescent="0.25">
      <c r="A51" s="42" t="s">
        <v>49</v>
      </c>
      <c r="B51" s="34">
        <v>66</v>
      </c>
      <c r="C51" s="35">
        <v>61</v>
      </c>
      <c r="D51" s="35">
        <v>10</v>
      </c>
      <c r="E51" s="19">
        <f t="shared" si="3"/>
        <v>4.0259999999999997E-2</v>
      </c>
      <c r="F51" s="23">
        <f>'EKİM 4 HAFTA '!V51</f>
        <v>386</v>
      </c>
      <c r="G51" s="26">
        <f t="shared" si="4"/>
        <v>15.54036</v>
      </c>
      <c r="H51" s="21">
        <v>0</v>
      </c>
      <c r="I51" s="11">
        <f t="shared" si="5"/>
        <v>0</v>
      </c>
      <c r="J51" s="21">
        <v>0</v>
      </c>
      <c r="K51" s="10">
        <f t="shared" si="0"/>
        <v>0</v>
      </c>
      <c r="L51" s="21">
        <v>0</v>
      </c>
      <c r="M51" s="11">
        <f t="shared" si="1"/>
        <v>0</v>
      </c>
      <c r="N51" s="21">
        <v>0</v>
      </c>
      <c r="O51" s="10">
        <f t="shared" si="6"/>
        <v>0</v>
      </c>
      <c r="P51" s="21">
        <v>0</v>
      </c>
      <c r="Q51" s="11">
        <f t="shared" si="7"/>
        <v>0</v>
      </c>
      <c r="R51" s="39">
        <f t="shared" si="11"/>
        <v>386</v>
      </c>
      <c r="S51" s="38">
        <f t="shared" si="2"/>
        <v>15.54036</v>
      </c>
      <c r="T51" s="12"/>
      <c r="U51" s="13">
        <f t="shared" si="8"/>
        <v>0</v>
      </c>
      <c r="V51" s="49">
        <f t="shared" si="9"/>
        <v>386</v>
      </c>
      <c r="W51" s="50">
        <f t="shared" si="10"/>
        <v>15.54036</v>
      </c>
    </row>
    <row r="52" spans="1:23" x14ac:dyDescent="0.25">
      <c r="A52" s="42" t="s">
        <v>50</v>
      </c>
      <c r="B52" s="34">
        <v>63</v>
      </c>
      <c r="C52" s="35">
        <v>61</v>
      </c>
      <c r="D52" s="35">
        <v>10</v>
      </c>
      <c r="E52" s="19">
        <f t="shared" si="3"/>
        <v>3.8429999999999999E-2</v>
      </c>
      <c r="F52" s="23">
        <f>'EKİM 4 HAFTA '!V52</f>
        <v>406</v>
      </c>
      <c r="G52" s="26">
        <f t="shared" si="4"/>
        <v>15.60258</v>
      </c>
      <c r="H52" s="21">
        <v>0</v>
      </c>
      <c r="I52" s="11">
        <f t="shared" si="5"/>
        <v>0</v>
      </c>
      <c r="J52" s="21">
        <v>0</v>
      </c>
      <c r="K52" s="10">
        <f t="shared" si="0"/>
        <v>0</v>
      </c>
      <c r="L52" s="21">
        <v>0</v>
      </c>
      <c r="M52" s="11">
        <f t="shared" si="1"/>
        <v>0</v>
      </c>
      <c r="N52" s="21">
        <v>0</v>
      </c>
      <c r="O52" s="10">
        <f t="shared" si="6"/>
        <v>0</v>
      </c>
      <c r="P52" s="21">
        <v>0</v>
      </c>
      <c r="Q52" s="11">
        <f t="shared" si="7"/>
        <v>0</v>
      </c>
      <c r="R52" s="39">
        <f t="shared" si="11"/>
        <v>406</v>
      </c>
      <c r="S52" s="38">
        <f t="shared" si="2"/>
        <v>15.60258</v>
      </c>
      <c r="T52" s="12"/>
      <c r="U52" s="13">
        <f t="shared" si="8"/>
        <v>0</v>
      </c>
      <c r="V52" s="49">
        <f t="shared" si="9"/>
        <v>406</v>
      </c>
      <c r="W52" s="50">
        <f t="shared" si="10"/>
        <v>15.60258</v>
      </c>
    </row>
    <row r="53" spans="1:23" x14ac:dyDescent="0.25">
      <c r="A53" s="42" t="s">
        <v>51</v>
      </c>
      <c r="B53" s="34">
        <v>58</v>
      </c>
      <c r="C53" s="35">
        <v>58</v>
      </c>
      <c r="D53" s="35">
        <v>2.2999999999999998</v>
      </c>
      <c r="E53" s="19">
        <f t="shared" si="3"/>
        <v>7.7371999999999996E-3</v>
      </c>
      <c r="F53" s="23">
        <f>'EKİM 4 HAFTA '!V53</f>
        <v>3800</v>
      </c>
      <c r="G53" s="26">
        <f t="shared" si="4"/>
        <v>29.401359999999997</v>
      </c>
      <c r="H53" s="21">
        <v>0</v>
      </c>
      <c r="I53" s="11">
        <f t="shared" si="5"/>
        <v>0</v>
      </c>
      <c r="J53" s="21">
        <v>0</v>
      </c>
      <c r="K53" s="10">
        <f t="shared" si="0"/>
        <v>0</v>
      </c>
      <c r="L53" s="21">
        <v>0</v>
      </c>
      <c r="M53" s="11">
        <f t="shared" si="1"/>
        <v>0</v>
      </c>
      <c r="N53" s="21">
        <v>0</v>
      </c>
      <c r="O53" s="10">
        <f t="shared" si="6"/>
        <v>0</v>
      </c>
      <c r="P53" s="21">
        <v>0</v>
      </c>
      <c r="Q53" s="11">
        <f t="shared" si="7"/>
        <v>0</v>
      </c>
      <c r="R53" s="39">
        <f t="shared" si="11"/>
        <v>3800</v>
      </c>
      <c r="S53" s="38">
        <f t="shared" si="2"/>
        <v>29.401359999999997</v>
      </c>
      <c r="T53" s="12"/>
      <c r="U53" s="13">
        <f t="shared" si="8"/>
        <v>0</v>
      </c>
      <c r="V53" s="49">
        <f t="shared" si="9"/>
        <v>3800</v>
      </c>
      <c r="W53" s="50">
        <f t="shared" si="10"/>
        <v>29.401359999999997</v>
      </c>
    </row>
    <row r="54" spans="1:23" x14ac:dyDescent="0.25">
      <c r="A54" s="42" t="s">
        <v>52</v>
      </c>
      <c r="B54" s="34">
        <v>79</v>
      </c>
      <c r="C54" s="35">
        <v>62</v>
      </c>
      <c r="D54" s="35">
        <v>2.2999999999999998</v>
      </c>
      <c r="E54" s="19">
        <f t="shared" si="3"/>
        <v>1.12654E-2</v>
      </c>
      <c r="F54" s="23">
        <f>'EKİM 4 HAFTA '!V54</f>
        <v>3537</v>
      </c>
      <c r="G54" s="26">
        <f t="shared" si="4"/>
        <v>39.845719799999998</v>
      </c>
      <c r="H54" s="21">
        <v>0</v>
      </c>
      <c r="I54" s="11">
        <f t="shared" si="5"/>
        <v>0</v>
      </c>
      <c r="J54" s="21">
        <v>0</v>
      </c>
      <c r="K54" s="10">
        <f t="shared" si="0"/>
        <v>0</v>
      </c>
      <c r="L54" s="21">
        <v>0</v>
      </c>
      <c r="M54" s="11">
        <f t="shared" si="1"/>
        <v>0</v>
      </c>
      <c r="N54" s="21">
        <v>0</v>
      </c>
      <c r="O54" s="10">
        <f t="shared" si="6"/>
        <v>0</v>
      </c>
      <c r="P54" s="21">
        <v>0</v>
      </c>
      <c r="Q54" s="11">
        <f t="shared" si="7"/>
        <v>0</v>
      </c>
      <c r="R54" s="39">
        <f t="shared" si="11"/>
        <v>3537</v>
      </c>
      <c r="S54" s="38">
        <f t="shared" si="2"/>
        <v>39.845719799999998</v>
      </c>
      <c r="T54" s="12"/>
      <c r="U54" s="13">
        <f t="shared" si="8"/>
        <v>0</v>
      </c>
      <c r="V54" s="49">
        <f t="shared" si="9"/>
        <v>3537</v>
      </c>
      <c r="W54" s="50">
        <f t="shared" si="10"/>
        <v>39.845719799999998</v>
      </c>
    </row>
    <row r="55" spans="1:23" x14ac:dyDescent="0.25">
      <c r="A55" s="42" t="s">
        <v>53</v>
      </c>
      <c r="B55" s="34">
        <v>200</v>
      </c>
      <c r="C55" s="35">
        <v>176</v>
      </c>
      <c r="D55" s="35">
        <v>2.2999999999999998</v>
      </c>
      <c r="E55" s="19">
        <f t="shared" si="3"/>
        <v>8.0960000000000004E-2</v>
      </c>
      <c r="F55" s="23">
        <f>'EKİM 4 HAFTA '!V55</f>
        <v>1</v>
      </c>
      <c r="G55" s="26">
        <f t="shared" si="4"/>
        <v>8.0960000000000004E-2</v>
      </c>
      <c r="H55" s="21">
        <v>0</v>
      </c>
      <c r="I55" s="11">
        <f t="shared" si="5"/>
        <v>0</v>
      </c>
      <c r="J55" s="21">
        <v>0</v>
      </c>
      <c r="K55" s="10">
        <f t="shared" si="0"/>
        <v>0</v>
      </c>
      <c r="L55" s="21">
        <v>0</v>
      </c>
      <c r="M55" s="11">
        <f t="shared" si="1"/>
        <v>0</v>
      </c>
      <c r="N55" s="21">
        <v>0</v>
      </c>
      <c r="O55" s="10">
        <f t="shared" si="6"/>
        <v>0</v>
      </c>
      <c r="P55" s="21">
        <v>0</v>
      </c>
      <c r="Q55" s="11">
        <f t="shared" si="7"/>
        <v>0</v>
      </c>
      <c r="R55" s="39">
        <f t="shared" si="11"/>
        <v>1</v>
      </c>
      <c r="S55" s="38">
        <f t="shared" si="2"/>
        <v>8.0960000000000004E-2</v>
      </c>
      <c r="T55" s="12"/>
      <c r="U55" s="13">
        <f t="shared" si="8"/>
        <v>0</v>
      </c>
      <c r="V55" s="49">
        <f t="shared" si="9"/>
        <v>1</v>
      </c>
      <c r="W55" s="50">
        <f t="shared" si="10"/>
        <v>8.0960000000000004E-2</v>
      </c>
    </row>
    <row r="56" spans="1:23" x14ac:dyDescent="0.25">
      <c r="A56" s="42" t="s">
        <v>54</v>
      </c>
      <c r="B56" s="34">
        <v>79</v>
      </c>
      <c r="C56" s="35">
        <v>79</v>
      </c>
      <c r="D56" s="35">
        <v>2.2999999999999998</v>
      </c>
      <c r="E56" s="19">
        <f t="shared" si="3"/>
        <v>1.4354299999999999E-2</v>
      </c>
      <c r="F56" s="23">
        <f>'EKİM 4 HAFTA '!V56</f>
        <v>241</v>
      </c>
      <c r="G56" s="26">
        <f t="shared" si="4"/>
        <v>3.4593862999999998</v>
      </c>
      <c r="H56" s="21">
        <v>0</v>
      </c>
      <c r="I56" s="11">
        <f t="shared" si="5"/>
        <v>0</v>
      </c>
      <c r="J56" s="21">
        <v>0</v>
      </c>
      <c r="K56" s="10">
        <f t="shared" si="0"/>
        <v>0</v>
      </c>
      <c r="L56" s="21">
        <v>0</v>
      </c>
      <c r="M56" s="11">
        <f t="shared" si="1"/>
        <v>0</v>
      </c>
      <c r="N56" s="21">
        <v>0</v>
      </c>
      <c r="O56" s="10">
        <f t="shared" si="6"/>
        <v>0</v>
      </c>
      <c r="P56" s="21">
        <v>0</v>
      </c>
      <c r="Q56" s="11">
        <f t="shared" si="7"/>
        <v>0</v>
      </c>
      <c r="R56" s="39">
        <f t="shared" si="11"/>
        <v>241</v>
      </c>
      <c r="S56" s="38">
        <f t="shared" si="2"/>
        <v>3.4593862999999998</v>
      </c>
      <c r="T56" s="12"/>
      <c r="U56" s="13">
        <f t="shared" si="8"/>
        <v>0</v>
      </c>
      <c r="V56" s="49">
        <f t="shared" si="9"/>
        <v>241</v>
      </c>
      <c r="W56" s="50">
        <f t="shared" si="10"/>
        <v>3.4593862999999998</v>
      </c>
    </row>
    <row r="57" spans="1:23" ht="15.75" x14ac:dyDescent="0.25">
      <c r="A57" s="42" t="s">
        <v>55</v>
      </c>
      <c r="B57" s="111">
        <v>50</v>
      </c>
      <c r="C57" s="112">
        <v>45</v>
      </c>
      <c r="D57" s="112">
        <v>4</v>
      </c>
      <c r="E57" s="19">
        <f t="shared" si="3"/>
        <v>8.9999999999999993E-3</v>
      </c>
      <c r="F57" s="23">
        <f>'EKİM 4 HAFTA '!V57</f>
        <v>639</v>
      </c>
      <c r="G57" s="26">
        <f t="shared" si="4"/>
        <v>5.7509999999999994</v>
      </c>
      <c r="H57" s="21">
        <v>0</v>
      </c>
      <c r="I57" s="11">
        <f t="shared" si="5"/>
        <v>0</v>
      </c>
      <c r="J57" s="21">
        <v>0</v>
      </c>
      <c r="K57" s="10">
        <f t="shared" si="0"/>
        <v>0</v>
      </c>
      <c r="L57" s="21">
        <v>0</v>
      </c>
      <c r="M57" s="11">
        <f t="shared" si="1"/>
        <v>0</v>
      </c>
      <c r="N57" s="21">
        <v>0</v>
      </c>
      <c r="O57" s="10">
        <f t="shared" si="6"/>
        <v>0</v>
      </c>
      <c r="P57" s="21">
        <v>0</v>
      </c>
      <c r="Q57" s="11">
        <f t="shared" si="7"/>
        <v>0</v>
      </c>
      <c r="R57" s="39">
        <f t="shared" si="11"/>
        <v>639</v>
      </c>
      <c r="S57" s="38">
        <f t="shared" si="2"/>
        <v>5.7509999999999994</v>
      </c>
      <c r="T57" s="12"/>
      <c r="U57" s="13">
        <f t="shared" si="8"/>
        <v>0</v>
      </c>
      <c r="V57" s="49">
        <f t="shared" si="9"/>
        <v>639</v>
      </c>
      <c r="W57" s="50">
        <f t="shared" si="10"/>
        <v>5.7509999999999994</v>
      </c>
    </row>
    <row r="58" spans="1:23" ht="15.75" x14ac:dyDescent="0.25">
      <c r="A58" s="42" t="s">
        <v>56</v>
      </c>
      <c r="B58" s="111">
        <v>50</v>
      </c>
      <c r="C58" s="112">
        <v>35</v>
      </c>
      <c r="D58" s="112">
        <v>4</v>
      </c>
      <c r="E58" s="19">
        <f t="shared" si="3"/>
        <v>7.0000000000000001E-3</v>
      </c>
      <c r="F58" s="23">
        <f>'EKİM 4 HAFTA '!V58</f>
        <v>725</v>
      </c>
      <c r="G58" s="26">
        <f t="shared" si="4"/>
        <v>5.0750000000000002</v>
      </c>
      <c r="H58" s="21">
        <v>0</v>
      </c>
      <c r="I58" s="11">
        <f t="shared" si="5"/>
        <v>0</v>
      </c>
      <c r="J58" s="21">
        <v>0</v>
      </c>
      <c r="K58" s="10">
        <f t="shared" si="0"/>
        <v>0</v>
      </c>
      <c r="L58" s="21">
        <v>0</v>
      </c>
      <c r="M58" s="11">
        <f t="shared" si="1"/>
        <v>0</v>
      </c>
      <c r="N58" s="21">
        <v>0</v>
      </c>
      <c r="O58" s="10">
        <f t="shared" si="6"/>
        <v>0</v>
      </c>
      <c r="P58" s="21">
        <v>0</v>
      </c>
      <c r="Q58" s="11">
        <f t="shared" si="7"/>
        <v>0</v>
      </c>
      <c r="R58" s="39">
        <f t="shared" si="11"/>
        <v>725</v>
      </c>
      <c r="S58" s="38">
        <f t="shared" si="2"/>
        <v>5.0750000000000002</v>
      </c>
      <c r="T58" s="12"/>
      <c r="U58" s="13">
        <f t="shared" si="8"/>
        <v>0</v>
      </c>
      <c r="V58" s="49">
        <f t="shared" si="9"/>
        <v>725</v>
      </c>
      <c r="W58" s="50">
        <f t="shared" si="10"/>
        <v>5.0750000000000002</v>
      </c>
    </row>
    <row r="59" spans="1:23" ht="15.75" x14ac:dyDescent="0.25">
      <c r="A59" s="42" t="s">
        <v>57</v>
      </c>
      <c r="B59" s="111">
        <v>45</v>
      </c>
      <c r="C59" s="112">
        <v>50</v>
      </c>
      <c r="D59" s="112">
        <v>3</v>
      </c>
      <c r="E59" s="19">
        <f t="shared" si="3"/>
        <v>6.7499999999999999E-3</v>
      </c>
      <c r="F59" s="23">
        <f>'EKİM 4 HAFTA '!V59</f>
        <v>0</v>
      </c>
      <c r="G59" s="26">
        <f t="shared" si="4"/>
        <v>0</v>
      </c>
      <c r="H59" s="21">
        <v>0</v>
      </c>
      <c r="I59" s="11">
        <f t="shared" si="5"/>
        <v>0</v>
      </c>
      <c r="J59" s="21">
        <v>0</v>
      </c>
      <c r="K59" s="10">
        <f t="shared" si="0"/>
        <v>0</v>
      </c>
      <c r="L59" s="21">
        <v>0</v>
      </c>
      <c r="M59" s="11">
        <f t="shared" si="1"/>
        <v>0</v>
      </c>
      <c r="N59" s="21">
        <v>0</v>
      </c>
      <c r="O59" s="10">
        <f t="shared" si="6"/>
        <v>0</v>
      </c>
      <c r="P59" s="21">
        <v>0</v>
      </c>
      <c r="Q59" s="11">
        <f t="shared" si="7"/>
        <v>0</v>
      </c>
      <c r="R59" s="39">
        <f t="shared" si="11"/>
        <v>0</v>
      </c>
      <c r="S59" s="38">
        <f t="shared" si="2"/>
        <v>0</v>
      </c>
      <c r="T59" s="12"/>
      <c r="U59" s="13">
        <f t="shared" si="8"/>
        <v>0</v>
      </c>
      <c r="V59" s="49">
        <f t="shared" si="9"/>
        <v>0</v>
      </c>
      <c r="W59" s="50">
        <f t="shared" si="10"/>
        <v>0</v>
      </c>
    </row>
    <row r="60" spans="1:23" ht="15.75" x14ac:dyDescent="0.25">
      <c r="A60" s="42" t="s">
        <v>58</v>
      </c>
      <c r="B60" s="111">
        <v>50</v>
      </c>
      <c r="C60" s="112">
        <v>35</v>
      </c>
      <c r="D60" s="112">
        <v>3</v>
      </c>
      <c r="E60" s="19">
        <f t="shared" si="3"/>
        <v>5.2500000000000003E-3</v>
      </c>
      <c r="F60" s="23">
        <f>'EKİM 4 HAFTA '!V60</f>
        <v>0</v>
      </c>
      <c r="G60" s="26">
        <f t="shared" si="4"/>
        <v>0</v>
      </c>
      <c r="H60" s="21">
        <v>0</v>
      </c>
      <c r="I60" s="11">
        <f t="shared" si="5"/>
        <v>0</v>
      </c>
      <c r="J60" s="21">
        <v>0</v>
      </c>
      <c r="K60" s="10">
        <f t="shared" si="0"/>
        <v>0</v>
      </c>
      <c r="L60" s="21">
        <v>0</v>
      </c>
      <c r="M60" s="11">
        <f t="shared" si="1"/>
        <v>0</v>
      </c>
      <c r="N60" s="21">
        <v>0</v>
      </c>
      <c r="O60" s="10">
        <f t="shared" si="6"/>
        <v>0</v>
      </c>
      <c r="P60" s="21">
        <v>0</v>
      </c>
      <c r="Q60" s="11">
        <f t="shared" si="7"/>
        <v>0</v>
      </c>
      <c r="R60" s="39">
        <f t="shared" si="11"/>
        <v>0</v>
      </c>
      <c r="S60" s="38">
        <f t="shared" si="2"/>
        <v>0</v>
      </c>
      <c r="T60" s="12"/>
      <c r="U60" s="13">
        <f t="shared" si="8"/>
        <v>0</v>
      </c>
      <c r="V60" s="49">
        <f t="shared" si="9"/>
        <v>0</v>
      </c>
      <c r="W60" s="50">
        <f t="shared" si="10"/>
        <v>0</v>
      </c>
    </row>
    <row r="61" spans="1:23" ht="15.75" x14ac:dyDescent="0.25">
      <c r="A61" s="42" t="s">
        <v>59</v>
      </c>
      <c r="B61" s="111">
        <v>42</v>
      </c>
      <c r="C61" s="112">
        <v>36</v>
      </c>
      <c r="D61" s="112">
        <v>4</v>
      </c>
      <c r="E61" s="19">
        <f t="shared" si="3"/>
        <v>6.0480000000000004E-3</v>
      </c>
      <c r="F61" s="23">
        <f>'EKİM 4 HAFTA '!V61</f>
        <v>0</v>
      </c>
      <c r="G61" s="26">
        <f t="shared" si="4"/>
        <v>0</v>
      </c>
      <c r="H61" s="21">
        <v>0</v>
      </c>
      <c r="I61" s="11">
        <f t="shared" si="5"/>
        <v>0</v>
      </c>
      <c r="J61" s="21">
        <v>0</v>
      </c>
      <c r="K61" s="10">
        <f t="shared" si="0"/>
        <v>0</v>
      </c>
      <c r="L61" s="21">
        <v>0</v>
      </c>
      <c r="M61" s="11">
        <f t="shared" si="1"/>
        <v>0</v>
      </c>
      <c r="N61" s="21">
        <v>0</v>
      </c>
      <c r="O61" s="10">
        <f t="shared" si="6"/>
        <v>0</v>
      </c>
      <c r="P61" s="21">
        <v>0</v>
      </c>
      <c r="Q61" s="11">
        <f t="shared" si="7"/>
        <v>0</v>
      </c>
      <c r="R61" s="39">
        <f t="shared" si="11"/>
        <v>0</v>
      </c>
      <c r="S61" s="38">
        <f t="shared" si="2"/>
        <v>0</v>
      </c>
      <c r="T61" s="12"/>
      <c r="U61" s="13">
        <f t="shared" si="8"/>
        <v>0</v>
      </c>
      <c r="V61" s="49">
        <f t="shared" si="9"/>
        <v>0</v>
      </c>
      <c r="W61" s="50">
        <f t="shared" si="10"/>
        <v>0</v>
      </c>
    </row>
    <row r="62" spans="1:23" ht="15.75" x14ac:dyDescent="0.25">
      <c r="A62" s="42" t="s">
        <v>60</v>
      </c>
      <c r="B62" s="111">
        <v>50</v>
      </c>
      <c r="C62" s="112">
        <v>35</v>
      </c>
      <c r="D62" s="112">
        <v>3</v>
      </c>
      <c r="E62" s="19">
        <f t="shared" si="3"/>
        <v>5.2500000000000003E-3</v>
      </c>
      <c r="F62" s="23">
        <f>'EKİM 4 HAFTA '!V62</f>
        <v>1532</v>
      </c>
      <c r="G62" s="26">
        <f t="shared" si="4"/>
        <v>8.043000000000001</v>
      </c>
      <c r="H62" s="21">
        <v>0</v>
      </c>
      <c r="I62" s="11">
        <f t="shared" si="5"/>
        <v>0</v>
      </c>
      <c r="J62" s="21">
        <v>0</v>
      </c>
      <c r="K62" s="10">
        <f t="shared" si="0"/>
        <v>0</v>
      </c>
      <c r="L62" s="21">
        <v>0</v>
      </c>
      <c r="M62" s="11">
        <f t="shared" si="1"/>
        <v>0</v>
      </c>
      <c r="N62" s="21">
        <v>0</v>
      </c>
      <c r="O62" s="10">
        <f t="shared" si="6"/>
        <v>0</v>
      </c>
      <c r="P62" s="21">
        <v>0</v>
      </c>
      <c r="Q62" s="11">
        <f t="shared" si="7"/>
        <v>0</v>
      </c>
      <c r="R62" s="39">
        <f t="shared" si="11"/>
        <v>1532</v>
      </c>
      <c r="S62" s="38">
        <f t="shared" si="2"/>
        <v>8.043000000000001</v>
      </c>
      <c r="T62" s="12"/>
      <c r="U62" s="13">
        <f t="shared" si="8"/>
        <v>0</v>
      </c>
      <c r="V62" s="49">
        <f t="shared" si="9"/>
        <v>1532</v>
      </c>
      <c r="W62" s="50">
        <f t="shared" si="10"/>
        <v>8.043000000000001</v>
      </c>
    </row>
    <row r="63" spans="1:23" ht="15.75" x14ac:dyDescent="0.25">
      <c r="A63" s="43" t="s">
        <v>61</v>
      </c>
      <c r="B63" s="111">
        <v>45</v>
      </c>
      <c r="C63" s="112">
        <v>50</v>
      </c>
      <c r="D63" s="112">
        <v>3</v>
      </c>
      <c r="E63" s="19">
        <f t="shared" si="3"/>
        <v>6.7499999999999999E-3</v>
      </c>
      <c r="F63" s="23">
        <f>'EKİM 4 HAFTA '!V63</f>
        <v>1050</v>
      </c>
      <c r="G63" s="26">
        <f t="shared" si="4"/>
        <v>7.0875000000000004</v>
      </c>
      <c r="H63" s="21">
        <v>0</v>
      </c>
      <c r="I63" s="11">
        <f t="shared" si="5"/>
        <v>0</v>
      </c>
      <c r="J63" s="21">
        <v>0</v>
      </c>
      <c r="K63" s="10">
        <f t="shared" si="0"/>
        <v>0</v>
      </c>
      <c r="L63" s="21">
        <v>0</v>
      </c>
      <c r="M63" s="11">
        <f t="shared" si="1"/>
        <v>0</v>
      </c>
      <c r="N63" s="21">
        <v>0</v>
      </c>
      <c r="O63" s="10">
        <f t="shared" si="6"/>
        <v>0</v>
      </c>
      <c r="P63" s="21">
        <v>0</v>
      </c>
      <c r="Q63" s="11">
        <f t="shared" si="7"/>
        <v>0</v>
      </c>
      <c r="R63" s="39">
        <f t="shared" si="11"/>
        <v>1050</v>
      </c>
      <c r="S63" s="38">
        <f t="shared" si="2"/>
        <v>7.0875000000000004</v>
      </c>
      <c r="T63" s="12"/>
      <c r="U63" s="13">
        <f t="shared" si="8"/>
        <v>0</v>
      </c>
      <c r="V63" s="49">
        <f t="shared" si="9"/>
        <v>1050</v>
      </c>
      <c r="W63" s="50">
        <f t="shared" si="10"/>
        <v>7.0875000000000004</v>
      </c>
    </row>
    <row r="64" spans="1:23" ht="15.75" thickBot="1" x14ac:dyDescent="0.3">
      <c r="A64" s="44" t="s">
        <v>90</v>
      </c>
      <c r="B64" s="36">
        <v>140</v>
      </c>
      <c r="C64" s="37">
        <v>9.5</v>
      </c>
      <c r="D64" s="37">
        <v>6.5</v>
      </c>
      <c r="E64" s="20">
        <f t="shared" si="3"/>
        <v>8.6449999999999999E-3</v>
      </c>
      <c r="F64" s="23">
        <f>'EKİM 4 HAFTA '!V64</f>
        <v>0</v>
      </c>
      <c r="G64" s="27">
        <f t="shared" si="4"/>
        <v>0</v>
      </c>
      <c r="H64" s="21">
        <v>0</v>
      </c>
      <c r="I64" s="100">
        <f t="shared" si="5"/>
        <v>0</v>
      </c>
      <c r="J64" s="21">
        <v>0</v>
      </c>
      <c r="K64" s="48">
        <f t="shared" si="0"/>
        <v>0</v>
      </c>
      <c r="L64" s="21">
        <v>0</v>
      </c>
      <c r="M64" s="46">
        <f t="shared" si="1"/>
        <v>0</v>
      </c>
      <c r="N64" s="21">
        <v>0</v>
      </c>
      <c r="O64" s="48">
        <f t="shared" si="6"/>
        <v>0</v>
      </c>
      <c r="P64" s="21">
        <v>0</v>
      </c>
      <c r="Q64" s="46">
        <f t="shared" si="7"/>
        <v>0</v>
      </c>
      <c r="R64" s="40">
        <f t="shared" si="11"/>
        <v>0</v>
      </c>
      <c r="S64" s="41">
        <f t="shared" si="2"/>
        <v>0</v>
      </c>
      <c r="T64" s="51"/>
      <c r="U64" s="13">
        <f t="shared" si="8"/>
        <v>0</v>
      </c>
      <c r="V64" s="49">
        <f t="shared" si="9"/>
        <v>0</v>
      </c>
      <c r="W64" s="50">
        <f t="shared" si="10"/>
        <v>0</v>
      </c>
    </row>
    <row r="65" spans="1:23" ht="16.5" thickBot="1" x14ac:dyDescent="0.3">
      <c r="A65" s="91" t="s">
        <v>79</v>
      </c>
      <c r="B65" s="112">
        <v>90</v>
      </c>
      <c r="C65" s="112">
        <v>83</v>
      </c>
      <c r="D65" s="112">
        <v>2</v>
      </c>
      <c r="E65" s="114">
        <f t="shared" si="3"/>
        <v>1.494E-2</v>
      </c>
      <c r="F65" s="23">
        <f>'EKİM 4 HAFTA '!V65</f>
        <v>274</v>
      </c>
      <c r="G65" s="116">
        <f t="shared" si="4"/>
        <v>4.0935600000000001</v>
      </c>
      <c r="H65" s="21">
        <v>0</v>
      </c>
      <c r="I65" s="127">
        <f t="shared" si="5"/>
        <v>0</v>
      </c>
      <c r="J65" s="21">
        <v>0</v>
      </c>
      <c r="K65" s="119">
        <f t="shared" si="0"/>
        <v>0</v>
      </c>
      <c r="L65" s="21">
        <v>0</v>
      </c>
      <c r="M65" s="120">
        <f t="shared" si="1"/>
        <v>0</v>
      </c>
      <c r="N65" s="21">
        <v>0</v>
      </c>
      <c r="O65" s="121">
        <f t="shared" si="6"/>
        <v>0</v>
      </c>
      <c r="P65" s="21">
        <v>0</v>
      </c>
      <c r="Q65" s="46">
        <f t="shared" si="7"/>
        <v>0</v>
      </c>
      <c r="R65" s="122">
        <f t="shared" si="11"/>
        <v>274</v>
      </c>
      <c r="S65" s="123">
        <f t="shared" si="2"/>
        <v>4.0935600000000001</v>
      </c>
      <c r="T65" s="138">
        <v>0</v>
      </c>
      <c r="U65" s="139">
        <f t="shared" si="8"/>
        <v>0</v>
      </c>
      <c r="V65" s="141">
        <f t="shared" si="9"/>
        <v>274</v>
      </c>
      <c r="W65" s="50">
        <f t="shared" si="10"/>
        <v>4.0935600000000001</v>
      </c>
    </row>
    <row r="66" spans="1:23" ht="16.5" thickBot="1" x14ac:dyDescent="0.3">
      <c r="A66" s="102" t="s">
        <v>80</v>
      </c>
      <c r="B66" s="113">
        <v>92</v>
      </c>
      <c r="C66" s="113">
        <v>82</v>
      </c>
      <c r="D66" s="113">
        <v>2</v>
      </c>
      <c r="E66" s="124">
        <f t="shared" si="3"/>
        <v>1.5088000000000001E-2</v>
      </c>
      <c r="F66" s="23">
        <f>'EKİM 4 HAFTA '!V66</f>
        <v>262</v>
      </c>
      <c r="G66" s="125">
        <f t="shared" si="4"/>
        <v>3.9530560000000001</v>
      </c>
      <c r="H66" s="21">
        <v>0</v>
      </c>
      <c r="I66" s="127">
        <f t="shared" si="5"/>
        <v>0</v>
      </c>
      <c r="J66" s="21">
        <v>0</v>
      </c>
      <c r="K66" s="119">
        <f t="shared" si="0"/>
        <v>0</v>
      </c>
      <c r="L66" s="21">
        <v>0</v>
      </c>
      <c r="M66" s="120">
        <f t="shared" si="1"/>
        <v>0</v>
      </c>
      <c r="N66" s="21">
        <v>0</v>
      </c>
      <c r="O66" s="121">
        <f t="shared" si="6"/>
        <v>0</v>
      </c>
      <c r="P66" s="21">
        <v>0</v>
      </c>
      <c r="Q66" s="46">
        <f t="shared" si="7"/>
        <v>0</v>
      </c>
      <c r="R66" s="122">
        <f t="shared" si="11"/>
        <v>262</v>
      </c>
      <c r="S66" s="123">
        <f t="shared" si="2"/>
        <v>3.9530560000000001</v>
      </c>
      <c r="T66" s="172">
        <v>0</v>
      </c>
      <c r="U66" s="139">
        <f t="shared" si="8"/>
        <v>0</v>
      </c>
      <c r="V66" s="141">
        <f t="shared" si="9"/>
        <v>262</v>
      </c>
      <c r="W66" s="107">
        <f t="shared" si="10"/>
        <v>3.9530560000000001</v>
      </c>
    </row>
    <row r="67" spans="1:23" ht="15.75" thickBot="1" x14ac:dyDescent="0.3">
      <c r="A67" s="108" t="s">
        <v>82</v>
      </c>
      <c r="B67" s="35">
        <v>82</v>
      </c>
      <c r="C67" s="35">
        <v>80</v>
      </c>
      <c r="D67" s="35">
        <v>2</v>
      </c>
      <c r="E67" s="114">
        <f t="shared" si="3"/>
        <v>1.312E-2</v>
      </c>
      <c r="F67" s="23">
        <f>'EKİM 4 HAFTA '!V67</f>
        <v>175</v>
      </c>
      <c r="G67" s="110">
        <f t="shared" si="4"/>
        <v>2.2959999999999998</v>
      </c>
      <c r="H67" s="21">
        <v>0</v>
      </c>
      <c r="I67" s="115">
        <f t="shared" si="5"/>
        <v>0</v>
      </c>
      <c r="J67" s="21">
        <v>0</v>
      </c>
      <c r="K67" s="48">
        <f t="shared" si="0"/>
        <v>0</v>
      </c>
      <c r="L67" s="21">
        <v>0</v>
      </c>
      <c r="M67" s="11">
        <f t="shared" si="1"/>
        <v>0</v>
      </c>
      <c r="N67" s="21">
        <v>0</v>
      </c>
      <c r="O67" s="10">
        <f t="shared" si="6"/>
        <v>0</v>
      </c>
      <c r="P67" s="21">
        <v>0</v>
      </c>
      <c r="Q67" s="46">
        <f t="shared" si="7"/>
        <v>0</v>
      </c>
      <c r="R67" s="86">
        <f t="shared" si="11"/>
        <v>175</v>
      </c>
      <c r="S67" s="87">
        <f t="shared" si="2"/>
        <v>2.2959999999999998</v>
      </c>
      <c r="T67" s="138"/>
      <c r="U67" s="139">
        <f t="shared" si="5"/>
        <v>0</v>
      </c>
      <c r="V67" s="141">
        <f t="shared" si="9"/>
        <v>175</v>
      </c>
      <c r="W67" s="107">
        <f t="shared" si="10"/>
        <v>2.2959999999999998</v>
      </c>
    </row>
    <row r="68" spans="1:23" ht="15.75" thickBot="1" x14ac:dyDescent="0.3">
      <c r="A68" s="108" t="s">
        <v>83</v>
      </c>
      <c r="B68" s="35">
        <v>86</v>
      </c>
      <c r="C68" s="35">
        <v>77</v>
      </c>
      <c r="D68" s="35">
        <v>8</v>
      </c>
      <c r="E68" s="114">
        <f t="shared" si="3"/>
        <v>5.2976000000000002E-2</v>
      </c>
      <c r="F68" s="23">
        <f>'EKİM 4 HAFTA '!V68</f>
        <v>32</v>
      </c>
      <c r="G68" s="110">
        <f t="shared" si="4"/>
        <v>1.6952320000000001</v>
      </c>
      <c r="H68" s="21">
        <v>0</v>
      </c>
      <c r="I68" s="115">
        <f t="shared" ref="I68:U72" si="12">E68*H68</f>
        <v>0</v>
      </c>
      <c r="J68" s="21">
        <v>0</v>
      </c>
      <c r="K68" s="48">
        <f t="shared" si="0"/>
        <v>0</v>
      </c>
      <c r="L68" s="21">
        <v>0</v>
      </c>
      <c r="M68" s="11">
        <v>0</v>
      </c>
      <c r="N68" s="21">
        <v>0</v>
      </c>
      <c r="O68" s="10">
        <f t="shared" si="6"/>
        <v>0</v>
      </c>
      <c r="P68" s="21">
        <v>0</v>
      </c>
      <c r="Q68" s="46">
        <f t="shared" si="7"/>
        <v>0</v>
      </c>
      <c r="R68" s="86">
        <f t="shared" si="11"/>
        <v>32</v>
      </c>
      <c r="S68" s="87">
        <f t="shared" si="2"/>
        <v>1.6952320000000001</v>
      </c>
      <c r="T68" s="138"/>
      <c r="U68" s="139">
        <f t="shared" si="12"/>
        <v>0</v>
      </c>
      <c r="V68" s="141">
        <f t="shared" si="9"/>
        <v>32</v>
      </c>
      <c r="W68" s="107">
        <f t="shared" si="10"/>
        <v>1.6952320000000001</v>
      </c>
    </row>
    <row r="69" spans="1:23" ht="15.75" thickBot="1" x14ac:dyDescent="0.3">
      <c r="A69" s="108" t="s">
        <v>84</v>
      </c>
      <c r="B69" s="35">
        <v>76</v>
      </c>
      <c r="C69" s="35">
        <v>75</v>
      </c>
      <c r="D69" s="35">
        <v>8</v>
      </c>
      <c r="E69" s="114">
        <f t="shared" si="3"/>
        <v>4.5600000000000002E-2</v>
      </c>
      <c r="F69" s="23">
        <f>'EKİM 4 HAFTA '!V69</f>
        <v>50</v>
      </c>
      <c r="G69" s="110">
        <f t="shared" si="4"/>
        <v>2.2800000000000002</v>
      </c>
      <c r="H69" s="21">
        <v>0</v>
      </c>
      <c r="I69" s="115">
        <f t="shared" si="12"/>
        <v>0</v>
      </c>
      <c r="J69" s="21">
        <v>0</v>
      </c>
      <c r="K69" s="48">
        <f t="shared" ref="K69:K72" si="13">E69*J69</f>
        <v>0</v>
      </c>
      <c r="L69" s="21">
        <v>0</v>
      </c>
      <c r="M69" s="11">
        <f t="shared" ref="M69" si="14">E69*L69</f>
        <v>0</v>
      </c>
      <c r="N69" s="21">
        <v>0</v>
      </c>
      <c r="O69" s="10">
        <f t="shared" si="6"/>
        <v>0</v>
      </c>
      <c r="P69" s="21">
        <v>0</v>
      </c>
      <c r="Q69" s="46">
        <f t="shared" si="7"/>
        <v>0</v>
      </c>
      <c r="R69" s="86">
        <f t="shared" si="11"/>
        <v>50</v>
      </c>
      <c r="S69" s="87">
        <f t="shared" ref="S69:S72" si="15">E69*R69</f>
        <v>2.2800000000000002</v>
      </c>
      <c r="T69" s="138"/>
      <c r="U69" s="139">
        <f t="shared" si="12"/>
        <v>0</v>
      </c>
      <c r="V69" s="141">
        <f t="shared" si="9"/>
        <v>50</v>
      </c>
      <c r="W69" s="107">
        <f t="shared" si="10"/>
        <v>2.2800000000000002</v>
      </c>
    </row>
    <row r="70" spans="1:23" ht="15.75" thickBot="1" x14ac:dyDescent="0.3">
      <c r="A70" s="108" t="s">
        <v>85</v>
      </c>
      <c r="B70" s="35">
        <v>140</v>
      </c>
      <c r="C70" s="35">
        <v>240</v>
      </c>
      <c r="D70" s="35">
        <v>12</v>
      </c>
      <c r="E70" s="114">
        <f t="shared" ref="E70:E72" si="16">(B70*C70*D70)/1000000</f>
        <v>0.4032</v>
      </c>
      <c r="F70" s="23">
        <f>'EKİM 4 HAFTA '!V70</f>
        <v>4</v>
      </c>
      <c r="G70" s="110">
        <f t="shared" ref="G70:G72" si="17">E70*F70</f>
        <v>1.6128</v>
      </c>
      <c r="H70" s="21">
        <v>0</v>
      </c>
      <c r="I70" s="115">
        <f t="shared" si="12"/>
        <v>0</v>
      </c>
      <c r="J70" s="21">
        <v>0</v>
      </c>
      <c r="K70" s="48">
        <f t="shared" si="13"/>
        <v>0</v>
      </c>
      <c r="L70" s="21">
        <v>0</v>
      </c>
      <c r="M70" s="100">
        <f t="shared" ref="M70" si="18">I70*L70</f>
        <v>0</v>
      </c>
      <c r="N70" s="21">
        <v>0</v>
      </c>
      <c r="O70" s="10">
        <f t="shared" ref="O70:O72" si="19">E70*N70</f>
        <v>0</v>
      </c>
      <c r="P70" s="21">
        <v>0</v>
      </c>
      <c r="Q70" s="46">
        <f t="shared" ref="Q70:Q72" si="20">E70*P70</f>
        <v>0</v>
      </c>
      <c r="R70" s="86">
        <f t="shared" si="11"/>
        <v>4</v>
      </c>
      <c r="S70" s="87">
        <f t="shared" si="15"/>
        <v>1.6128</v>
      </c>
      <c r="T70" s="138"/>
      <c r="U70" s="139">
        <f t="shared" si="12"/>
        <v>0</v>
      </c>
      <c r="V70" s="141">
        <f t="shared" ref="V70:V72" si="21">R70+T70</f>
        <v>4</v>
      </c>
      <c r="W70" s="107">
        <f t="shared" ref="W70:W72" si="22">E70*V70</f>
        <v>1.6128</v>
      </c>
    </row>
    <row r="71" spans="1:23" x14ac:dyDescent="0.25">
      <c r="A71" s="108" t="s">
        <v>96</v>
      </c>
      <c r="B71" s="130">
        <v>140</v>
      </c>
      <c r="C71" s="130">
        <v>240</v>
      </c>
      <c r="D71" s="130">
        <v>2</v>
      </c>
      <c r="E71" s="131">
        <f t="shared" si="16"/>
        <v>6.7199999999999996E-2</v>
      </c>
      <c r="F71" s="23">
        <f>'EKİM 4 HAFTA '!V71</f>
        <v>82</v>
      </c>
      <c r="G71" s="135">
        <f t="shared" si="17"/>
        <v>5.5103999999999997</v>
      </c>
      <c r="H71" s="21">
        <v>0</v>
      </c>
      <c r="I71" s="115">
        <f t="shared" si="12"/>
        <v>0</v>
      </c>
      <c r="J71" s="21">
        <v>0</v>
      </c>
      <c r="K71" s="173">
        <f t="shared" si="13"/>
        <v>0</v>
      </c>
      <c r="L71" s="21">
        <v>0</v>
      </c>
      <c r="M71" s="11">
        <f t="shared" ref="M71:M72" si="23">E71*L71</f>
        <v>0</v>
      </c>
      <c r="N71" s="21">
        <v>0</v>
      </c>
      <c r="O71" s="173">
        <f t="shared" si="19"/>
        <v>0</v>
      </c>
      <c r="P71" s="21">
        <v>0</v>
      </c>
      <c r="Q71" s="154">
        <f t="shared" si="20"/>
        <v>0</v>
      </c>
      <c r="R71" s="86">
        <f t="shared" ref="R71:R72" si="24">F71-H71-J71-L71-N71-P71</f>
        <v>82</v>
      </c>
      <c r="S71" s="97">
        <f t="shared" si="15"/>
        <v>5.5103999999999997</v>
      </c>
      <c r="T71" s="138">
        <v>0</v>
      </c>
      <c r="U71" s="139">
        <f t="shared" ref="U71:U72" si="25">E71*T71</f>
        <v>0</v>
      </c>
      <c r="V71" s="141">
        <f t="shared" si="21"/>
        <v>82</v>
      </c>
      <c r="W71" s="141">
        <f t="shared" si="22"/>
        <v>5.5103999999999997</v>
      </c>
    </row>
    <row r="72" spans="1:23" x14ac:dyDescent="0.25">
      <c r="A72" s="108" t="s">
        <v>95</v>
      </c>
      <c r="B72" s="132">
        <v>61</v>
      </c>
      <c r="C72" s="132">
        <v>61</v>
      </c>
      <c r="D72" s="132">
        <v>3</v>
      </c>
      <c r="E72" s="133">
        <f t="shared" si="16"/>
        <v>1.1162999999999999E-2</v>
      </c>
      <c r="F72" s="23">
        <f>'EKİM 4 HAFTA '!V72</f>
        <v>292</v>
      </c>
      <c r="G72" s="136">
        <f t="shared" si="17"/>
        <v>3.2595959999999997</v>
      </c>
      <c r="H72" s="21">
        <v>0</v>
      </c>
      <c r="I72" s="115">
        <f t="shared" si="12"/>
        <v>0</v>
      </c>
      <c r="J72" s="21">
        <v>0</v>
      </c>
      <c r="K72" s="174">
        <f t="shared" si="13"/>
        <v>0</v>
      </c>
      <c r="L72" s="21">
        <v>0</v>
      </c>
      <c r="M72" s="11">
        <f t="shared" si="23"/>
        <v>0</v>
      </c>
      <c r="N72" s="21">
        <v>0</v>
      </c>
      <c r="O72" s="174">
        <f t="shared" si="19"/>
        <v>0</v>
      </c>
      <c r="P72" s="21">
        <v>0</v>
      </c>
      <c r="Q72" s="115">
        <f t="shared" si="20"/>
        <v>0</v>
      </c>
      <c r="R72" s="86">
        <f t="shared" si="24"/>
        <v>292</v>
      </c>
      <c r="S72" s="97">
        <f t="shared" si="15"/>
        <v>3.2595959999999997</v>
      </c>
      <c r="T72" s="138">
        <v>0</v>
      </c>
      <c r="U72" s="139">
        <f t="shared" si="25"/>
        <v>0</v>
      </c>
      <c r="V72" s="141">
        <f t="shared" si="21"/>
        <v>292</v>
      </c>
      <c r="W72" s="141">
        <f t="shared" si="22"/>
        <v>3.2595959999999997</v>
      </c>
    </row>
  </sheetData>
  <mergeCells count="24">
    <mergeCell ref="R4:S4"/>
    <mergeCell ref="T4:U4"/>
    <mergeCell ref="V4:W4"/>
    <mergeCell ref="F4:G4"/>
    <mergeCell ref="H4:I4"/>
    <mergeCell ref="J4:K4"/>
    <mergeCell ref="L4:M4"/>
    <mergeCell ref="N4:O4"/>
    <mergeCell ref="P4:Q4"/>
    <mergeCell ref="P2:Q2"/>
    <mergeCell ref="R2:S3"/>
    <mergeCell ref="T2:U3"/>
    <mergeCell ref="V2:W3"/>
    <mergeCell ref="H3:I3"/>
    <mergeCell ref="J3:K3"/>
    <mergeCell ref="L3:M3"/>
    <mergeCell ref="N3:O3"/>
    <mergeCell ref="P3:Q3"/>
    <mergeCell ref="N2:O2"/>
    <mergeCell ref="B1:G1"/>
    <mergeCell ref="F2:G3"/>
    <mergeCell ref="H2:I2"/>
    <mergeCell ref="J2:K2"/>
    <mergeCell ref="L2:M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67"/>
  <sheetViews>
    <sheetView zoomScale="90" zoomScaleNormal="90" workbookViewId="0">
      <selection activeCell="S7" sqref="S7"/>
    </sheetView>
  </sheetViews>
  <sheetFormatPr defaultRowHeight="15.75" x14ac:dyDescent="0.25"/>
  <cols>
    <col min="1" max="1" width="24.7109375" style="60" customWidth="1"/>
    <col min="2" max="2" width="13.5703125" style="70" hidden="1" customWidth="1"/>
    <col min="3" max="3" width="8.85546875" style="70" hidden="1" customWidth="1"/>
    <col min="4" max="4" width="12.7109375" style="70" hidden="1" customWidth="1"/>
    <col min="5" max="5" width="11.5703125" style="71" hidden="1" customWidth="1"/>
    <col min="6" max="7" width="9.7109375" style="57" customWidth="1"/>
    <col min="8" max="9" width="8.140625" style="72" customWidth="1"/>
    <col min="10" max="11" width="8.140625" style="2" customWidth="1"/>
    <col min="12" max="13" width="8.140625" style="72" customWidth="1"/>
    <col min="14" max="15" width="8.140625" style="2" customWidth="1"/>
    <col min="16" max="17" width="8.140625" style="72" customWidth="1"/>
    <col min="18" max="19" width="8.140625" style="2" customWidth="1"/>
    <col min="20" max="21" width="8.140625" style="72" customWidth="1"/>
    <col min="22" max="27" width="8.140625" style="2" customWidth="1"/>
  </cols>
  <sheetData>
    <row r="1" spans="1:28" ht="16.5" thickBot="1" x14ac:dyDescent="0.3">
      <c r="A1" s="56" t="s">
        <v>18</v>
      </c>
      <c r="B1" s="367" t="s">
        <v>72</v>
      </c>
      <c r="C1" s="367"/>
      <c r="D1" s="367"/>
      <c r="E1" s="367"/>
      <c r="F1" s="367"/>
      <c r="G1" s="367"/>
    </row>
    <row r="2" spans="1:28" s="1" customFormat="1" thickBot="1" x14ac:dyDescent="0.3">
      <c r="A2" s="358" t="s">
        <v>0</v>
      </c>
      <c r="B2" s="361"/>
      <c r="C2" s="362"/>
      <c r="D2" s="362"/>
      <c r="E2" s="363"/>
      <c r="F2" s="375" t="s">
        <v>1</v>
      </c>
      <c r="G2" s="376"/>
      <c r="H2" s="368">
        <v>44798</v>
      </c>
      <c r="I2" s="369"/>
      <c r="J2" s="327">
        <v>44799</v>
      </c>
      <c r="K2" s="328"/>
      <c r="L2" s="368">
        <v>44802</v>
      </c>
      <c r="M2" s="374"/>
      <c r="N2" s="327">
        <v>44803</v>
      </c>
      <c r="O2" s="346"/>
      <c r="P2" s="368">
        <v>44804</v>
      </c>
      <c r="Q2" s="374"/>
      <c r="R2" s="327">
        <v>44805</v>
      </c>
      <c r="S2" s="328"/>
      <c r="T2" s="368">
        <v>44806</v>
      </c>
      <c r="U2" s="369"/>
      <c r="V2" s="330" t="s">
        <v>69</v>
      </c>
      <c r="W2" s="331"/>
      <c r="X2" s="334" t="s">
        <v>70</v>
      </c>
      <c r="Y2" s="335"/>
      <c r="Z2" s="338" t="s">
        <v>71</v>
      </c>
      <c r="AA2" s="339"/>
    </row>
    <row r="3" spans="1:28" s="1" customFormat="1" thickBot="1" x14ac:dyDescent="0.3">
      <c r="A3" s="359"/>
      <c r="B3" s="364"/>
      <c r="C3" s="365"/>
      <c r="D3" s="365"/>
      <c r="E3" s="366"/>
      <c r="F3" s="377"/>
      <c r="G3" s="378"/>
      <c r="H3" s="370" t="s">
        <v>68</v>
      </c>
      <c r="I3" s="371"/>
      <c r="J3" s="344" t="s">
        <v>68</v>
      </c>
      <c r="K3" s="345"/>
      <c r="L3" s="370" t="s">
        <v>68</v>
      </c>
      <c r="M3" s="371"/>
      <c r="N3" s="344" t="s">
        <v>68</v>
      </c>
      <c r="O3" s="345"/>
      <c r="P3" s="370" t="s">
        <v>68</v>
      </c>
      <c r="Q3" s="371"/>
      <c r="R3" s="344" t="s">
        <v>68</v>
      </c>
      <c r="S3" s="345"/>
      <c r="T3" s="370" t="s">
        <v>68</v>
      </c>
      <c r="U3" s="371"/>
      <c r="V3" s="332"/>
      <c r="W3" s="333"/>
      <c r="X3" s="336"/>
      <c r="Y3" s="337"/>
      <c r="Z3" s="340"/>
      <c r="AA3" s="341"/>
    </row>
    <row r="4" spans="1:28" ht="16.5" thickBot="1" x14ac:dyDescent="0.3">
      <c r="A4" s="360"/>
      <c r="B4" s="61" t="s">
        <v>65</v>
      </c>
      <c r="C4" s="62" t="s">
        <v>66</v>
      </c>
      <c r="D4" s="62" t="s">
        <v>67</v>
      </c>
      <c r="E4" s="63" t="s">
        <v>64</v>
      </c>
      <c r="F4" s="377" t="s">
        <v>63</v>
      </c>
      <c r="G4" s="378"/>
      <c r="H4" s="372" t="s">
        <v>63</v>
      </c>
      <c r="I4" s="373"/>
      <c r="J4" s="355" t="s">
        <v>63</v>
      </c>
      <c r="K4" s="356"/>
      <c r="L4" s="372" t="s">
        <v>63</v>
      </c>
      <c r="M4" s="373"/>
      <c r="N4" s="355" t="s">
        <v>63</v>
      </c>
      <c r="O4" s="356"/>
      <c r="P4" s="372" t="s">
        <v>63</v>
      </c>
      <c r="Q4" s="373"/>
      <c r="R4" s="355" t="s">
        <v>63</v>
      </c>
      <c r="S4" s="356"/>
      <c r="T4" s="372" t="s">
        <v>63</v>
      </c>
      <c r="U4" s="373"/>
      <c r="V4" s="347" t="s">
        <v>63</v>
      </c>
      <c r="W4" s="348"/>
      <c r="X4" s="349" t="s">
        <v>63</v>
      </c>
      <c r="Y4" s="350"/>
      <c r="Z4" s="351" t="s">
        <v>63</v>
      </c>
      <c r="AA4" s="357"/>
    </row>
    <row r="5" spans="1:28" ht="24" customHeight="1" x14ac:dyDescent="0.25">
      <c r="A5" s="58" t="s">
        <v>2</v>
      </c>
      <c r="B5" s="64">
        <v>140</v>
      </c>
      <c r="C5" s="65">
        <v>240</v>
      </c>
      <c r="D5" s="65">
        <v>1</v>
      </c>
      <c r="E5" s="66">
        <f>(B5*C5*D5)/1000000</f>
        <v>3.3599999999999998E-2</v>
      </c>
      <c r="F5" s="52">
        <v>14</v>
      </c>
      <c r="G5" s="53">
        <f>E5*F5</f>
        <v>0.47039999999999998</v>
      </c>
      <c r="H5" s="73">
        <v>14</v>
      </c>
      <c r="I5" s="74">
        <f>E5*H5</f>
        <v>0.47039999999999998</v>
      </c>
      <c r="J5" s="9">
        <v>1</v>
      </c>
      <c r="K5" s="10">
        <f t="shared" ref="K5:K36" si="0">E5*J5</f>
        <v>3.3599999999999998E-2</v>
      </c>
      <c r="L5" s="73">
        <v>29</v>
      </c>
      <c r="M5" s="74">
        <f t="shared" ref="M5:M36" si="1">E5*L5</f>
        <v>0.97439999999999993</v>
      </c>
      <c r="N5" s="9">
        <v>27</v>
      </c>
      <c r="O5" s="10">
        <f>E5*N5</f>
        <v>0.9071999999999999</v>
      </c>
      <c r="P5" s="73">
        <v>48</v>
      </c>
      <c r="Q5" s="74">
        <f>E5*P5</f>
        <v>1.6128</v>
      </c>
      <c r="R5" s="9">
        <v>33</v>
      </c>
      <c r="S5" s="10">
        <f>E5*R5</f>
        <v>1.1088</v>
      </c>
      <c r="T5" s="73"/>
      <c r="U5" s="74">
        <f>E5*T5</f>
        <v>0</v>
      </c>
      <c r="V5" s="39">
        <f>F5-H5-J5-L5-N5-P5-R5-T5</f>
        <v>-138</v>
      </c>
      <c r="W5" s="38">
        <f>E5*V5</f>
        <v>-4.6368</v>
      </c>
      <c r="X5" s="12">
        <v>618</v>
      </c>
      <c r="Y5" s="13">
        <f>E5*X5</f>
        <v>20.764799999999997</v>
      </c>
      <c r="Z5" s="49">
        <f>V5+X5</f>
        <v>480</v>
      </c>
      <c r="AA5" s="50">
        <f>I5*Z5</f>
        <v>225.792</v>
      </c>
      <c r="AB5">
        <f>+R5+T5</f>
        <v>33</v>
      </c>
    </row>
    <row r="6" spans="1:28" ht="24" customHeight="1" x14ac:dyDescent="0.25">
      <c r="A6" s="58" t="s">
        <v>3</v>
      </c>
      <c r="B6" s="67">
        <v>140</v>
      </c>
      <c r="C6" s="68">
        <v>240</v>
      </c>
      <c r="D6" s="68">
        <v>0.8</v>
      </c>
      <c r="E6" s="69">
        <f t="shared" ref="E6:E66" si="2">(B6*C6*D6)/1000000</f>
        <v>2.6880000000000001E-2</v>
      </c>
      <c r="F6" s="54">
        <v>569</v>
      </c>
      <c r="G6" s="55">
        <f t="shared" ref="G6:G66" si="3">E6*F6</f>
        <v>15.29472</v>
      </c>
      <c r="H6" s="75"/>
      <c r="I6" s="74">
        <f t="shared" ref="I6:I66" si="4">E6*H6</f>
        <v>0</v>
      </c>
      <c r="J6" s="6"/>
      <c r="K6" s="10">
        <f t="shared" si="0"/>
        <v>0</v>
      </c>
      <c r="L6" s="75"/>
      <c r="M6" s="74">
        <f t="shared" si="1"/>
        <v>0</v>
      </c>
      <c r="N6" s="6"/>
      <c r="O6" s="10">
        <f t="shared" ref="O6:O66" si="5">E6*N6</f>
        <v>0</v>
      </c>
      <c r="P6" s="75">
        <v>6</v>
      </c>
      <c r="Q6" s="74">
        <f t="shared" ref="Q6:Q66" si="6">E6*P6</f>
        <v>0.16128000000000001</v>
      </c>
      <c r="R6" s="6">
        <v>3</v>
      </c>
      <c r="S6" s="10">
        <f t="shared" ref="S6:S66" si="7">E6*R6</f>
        <v>8.0640000000000003E-2</v>
      </c>
      <c r="T6" s="75"/>
      <c r="U6" s="74">
        <f t="shared" ref="U6:U66" si="8">E6*T6</f>
        <v>0</v>
      </c>
      <c r="V6" s="39">
        <f t="shared" ref="V6:V66" si="9">F6-H6-J6-L6-N6-P6-R6-T6</f>
        <v>560</v>
      </c>
      <c r="W6" s="38">
        <f t="shared" ref="W6:W65" si="10">E6*V6</f>
        <v>15.052800000000001</v>
      </c>
      <c r="X6" s="12"/>
      <c r="Y6" s="13">
        <f t="shared" ref="Y6:Y66" si="11">E6*X6</f>
        <v>0</v>
      </c>
      <c r="Z6" s="49">
        <f t="shared" ref="Z6:Z66" si="12">V6+X6</f>
        <v>560</v>
      </c>
      <c r="AA6" s="98">
        <f t="shared" ref="AA6:AA37" si="13">E6*Z6</f>
        <v>15.052800000000001</v>
      </c>
      <c r="AB6">
        <f>+R6+T6</f>
        <v>3</v>
      </c>
    </row>
    <row r="7" spans="1:28" ht="24" customHeight="1" x14ac:dyDescent="0.25">
      <c r="A7" s="58" t="s">
        <v>4</v>
      </c>
      <c r="B7" s="67">
        <v>140</v>
      </c>
      <c r="C7" s="68">
        <v>240</v>
      </c>
      <c r="D7" s="68">
        <v>1.4</v>
      </c>
      <c r="E7" s="69">
        <f t="shared" si="2"/>
        <v>4.7039999999999998E-2</v>
      </c>
      <c r="F7" s="54">
        <v>402</v>
      </c>
      <c r="G7" s="55">
        <f t="shared" si="3"/>
        <v>18.910080000000001</v>
      </c>
      <c r="H7" s="75">
        <v>1</v>
      </c>
      <c r="I7" s="74">
        <f t="shared" si="4"/>
        <v>4.7039999999999998E-2</v>
      </c>
      <c r="J7" s="6">
        <v>20</v>
      </c>
      <c r="K7" s="10">
        <f t="shared" si="0"/>
        <v>0.94079999999999997</v>
      </c>
      <c r="L7" s="75">
        <v>36</v>
      </c>
      <c r="M7" s="74">
        <f t="shared" si="1"/>
        <v>1.6934399999999998</v>
      </c>
      <c r="N7" s="6">
        <v>6</v>
      </c>
      <c r="O7" s="10">
        <f t="shared" si="5"/>
        <v>0.28223999999999999</v>
      </c>
      <c r="P7" s="75">
        <v>5</v>
      </c>
      <c r="Q7" s="74">
        <f t="shared" si="6"/>
        <v>0.23519999999999999</v>
      </c>
      <c r="R7" s="6">
        <v>27</v>
      </c>
      <c r="S7" s="10">
        <f t="shared" si="7"/>
        <v>1.2700799999999999</v>
      </c>
      <c r="T7" s="75"/>
      <c r="U7" s="74">
        <f t="shared" si="8"/>
        <v>0</v>
      </c>
      <c r="V7" s="39">
        <f t="shared" si="9"/>
        <v>307</v>
      </c>
      <c r="W7" s="38">
        <f t="shared" si="10"/>
        <v>14.441279999999999</v>
      </c>
      <c r="X7" s="12"/>
      <c r="Y7" s="13">
        <f t="shared" si="11"/>
        <v>0</v>
      </c>
      <c r="Z7" s="49">
        <f t="shared" si="12"/>
        <v>307</v>
      </c>
      <c r="AA7" s="98">
        <f t="shared" si="13"/>
        <v>14.441279999999999</v>
      </c>
      <c r="AB7">
        <f t="shared" ref="AB7:AB66" si="14">+R7+T7</f>
        <v>27</v>
      </c>
    </row>
    <row r="8" spans="1:28" ht="24" customHeight="1" x14ac:dyDescent="0.25">
      <c r="A8" s="58" t="s">
        <v>5</v>
      </c>
      <c r="B8" s="67">
        <v>140</v>
      </c>
      <c r="C8" s="68">
        <v>240</v>
      </c>
      <c r="D8" s="68">
        <v>4</v>
      </c>
      <c r="E8" s="69">
        <f t="shared" si="2"/>
        <v>0.13439999999999999</v>
      </c>
      <c r="F8" s="54">
        <v>59</v>
      </c>
      <c r="G8" s="55">
        <f t="shared" si="3"/>
        <v>7.9295999999999998</v>
      </c>
      <c r="H8" s="75">
        <v>1</v>
      </c>
      <c r="I8" s="74">
        <f t="shared" si="4"/>
        <v>0.13439999999999999</v>
      </c>
      <c r="J8" s="6"/>
      <c r="K8" s="10">
        <f t="shared" si="0"/>
        <v>0</v>
      </c>
      <c r="L8" s="75"/>
      <c r="M8" s="74">
        <f t="shared" si="1"/>
        <v>0</v>
      </c>
      <c r="N8" s="6"/>
      <c r="O8" s="10">
        <f t="shared" si="5"/>
        <v>0</v>
      </c>
      <c r="P8" s="75">
        <v>2</v>
      </c>
      <c r="Q8" s="74">
        <f t="shared" si="6"/>
        <v>0.26879999999999998</v>
      </c>
      <c r="R8" s="6"/>
      <c r="S8" s="10">
        <f t="shared" si="7"/>
        <v>0</v>
      </c>
      <c r="T8" s="75"/>
      <c r="U8" s="74">
        <f t="shared" si="8"/>
        <v>0</v>
      </c>
      <c r="V8" s="39">
        <f t="shared" si="9"/>
        <v>56</v>
      </c>
      <c r="W8" s="38">
        <f t="shared" si="10"/>
        <v>7.5263999999999998</v>
      </c>
      <c r="X8" s="12"/>
      <c r="Y8" s="13">
        <f t="shared" si="11"/>
        <v>0</v>
      </c>
      <c r="Z8" s="49">
        <f t="shared" si="12"/>
        <v>56</v>
      </c>
      <c r="AA8" s="98">
        <f t="shared" si="13"/>
        <v>7.5263999999999998</v>
      </c>
      <c r="AB8">
        <f t="shared" si="14"/>
        <v>0</v>
      </c>
    </row>
    <row r="9" spans="1:28" ht="24" customHeight="1" x14ac:dyDescent="0.25">
      <c r="A9" s="58" t="s">
        <v>6</v>
      </c>
      <c r="B9" s="67">
        <v>140</v>
      </c>
      <c r="C9" s="68">
        <v>240</v>
      </c>
      <c r="D9" s="68">
        <v>2</v>
      </c>
      <c r="E9" s="69">
        <f t="shared" si="2"/>
        <v>6.7199999999999996E-2</v>
      </c>
      <c r="F9" s="54">
        <v>134</v>
      </c>
      <c r="G9" s="55">
        <f t="shared" si="3"/>
        <v>9.0047999999999995</v>
      </c>
      <c r="H9" s="75">
        <v>3</v>
      </c>
      <c r="I9" s="74">
        <f t="shared" si="4"/>
        <v>0.2016</v>
      </c>
      <c r="J9" s="6"/>
      <c r="K9" s="10">
        <f t="shared" si="0"/>
        <v>0</v>
      </c>
      <c r="L9" s="75">
        <v>1</v>
      </c>
      <c r="M9" s="74">
        <f t="shared" si="1"/>
        <v>6.7199999999999996E-2</v>
      </c>
      <c r="N9" s="6"/>
      <c r="O9" s="10">
        <f t="shared" si="5"/>
        <v>0</v>
      </c>
      <c r="P9" s="75">
        <v>12</v>
      </c>
      <c r="Q9" s="74">
        <f t="shared" si="6"/>
        <v>0.80640000000000001</v>
      </c>
      <c r="R9" s="6"/>
      <c r="S9" s="10">
        <f t="shared" si="7"/>
        <v>0</v>
      </c>
      <c r="T9" s="75"/>
      <c r="U9" s="74">
        <f t="shared" si="8"/>
        <v>0</v>
      </c>
      <c r="V9" s="39">
        <f t="shared" si="9"/>
        <v>118</v>
      </c>
      <c r="W9" s="38">
        <f t="shared" si="10"/>
        <v>7.9295999999999998</v>
      </c>
      <c r="X9" s="12">
        <v>33</v>
      </c>
      <c r="Y9" s="13">
        <f t="shared" si="11"/>
        <v>2.2176</v>
      </c>
      <c r="Z9" s="49">
        <f t="shared" si="12"/>
        <v>151</v>
      </c>
      <c r="AA9" s="98">
        <f t="shared" si="13"/>
        <v>10.1472</v>
      </c>
      <c r="AB9">
        <f t="shared" si="14"/>
        <v>0</v>
      </c>
    </row>
    <row r="10" spans="1:28" ht="24" customHeight="1" x14ac:dyDescent="0.25">
      <c r="A10" s="58" t="s">
        <v>7</v>
      </c>
      <c r="B10" s="67">
        <v>140</v>
      </c>
      <c r="C10" s="68">
        <v>240</v>
      </c>
      <c r="D10" s="68">
        <v>2</v>
      </c>
      <c r="E10" s="69">
        <f t="shared" si="2"/>
        <v>6.7199999999999996E-2</v>
      </c>
      <c r="F10" s="54">
        <v>0</v>
      </c>
      <c r="G10" s="55">
        <f t="shared" si="3"/>
        <v>0</v>
      </c>
      <c r="H10" s="75">
        <v>0</v>
      </c>
      <c r="I10" s="74">
        <f t="shared" si="4"/>
        <v>0</v>
      </c>
      <c r="J10" s="6"/>
      <c r="K10" s="10">
        <f t="shared" si="0"/>
        <v>0</v>
      </c>
      <c r="L10" s="75">
        <v>26</v>
      </c>
      <c r="M10" s="74">
        <f t="shared" si="1"/>
        <v>1.7471999999999999</v>
      </c>
      <c r="N10" s="6"/>
      <c r="O10" s="10">
        <f t="shared" si="5"/>
        <v>0</v>
      </c>
      <c r="P10" s="75"/>
      <c r="Q10" s="74">
        <f t="shared" si="6"/>
        <v>0</v>
      </c>
      <c r="R10" s="6">
        <v>14</v>
      </c>
      <c r="S10" s="10">
        <f t="shared" si="7"/>
        <v>0.94079999999999997</v>
      </c>
      <c r="T10" s="75"/>
      <c r="U10" s="74">
        <f t="shared" si="8"/>
        <v>0</v>
      </c>
      <c r="V10" s="39">
        <f t="shared" si="9"/>
        <v>-40</v>
      </c>
      <c r="W10" s="38">
        <f t="shared" si="10"/>
        <v>-2.6879999999999997</v>
      </c>
      <c r="X10" s="12">
        <v>100</v>
      </c>
      <c r="Y10" s="13">
        <f t="shared" si="11"/>
        <v>6.72</v>
      </c>
      <c r="Z10" s="49">
        <f t="shared" si="12"/>
        <v>60</v>
      </c>
      <c r="AA10" s="98">
        <f t="shared" si="13"/>
        <v>4.032</v>
      </c>
      <c r="AB10">
        <f t="shared" si="14"/>
        <v>14</v>
      </c>
    </row>
    <row r="11" spans="1:28" ht="24" customHeight="1" x14ac:dyDescent="0.25">
      <c r="A11" s="58" t="s">
        <v>8</v>
      </c>
      <c r="B11" s="67">
        <v>140</v>
      </c>
      <c r="C11" s="68">
        <v>240</v>
      </c>
      <c r="D11" s="68">
        <v>7</v>
      </c>
      <c r="E11" s="69">
        <f t="shared" si="2"/>
        <v>0.23519999999999999</v>
      </c>
      <c r="F11" s="54">
        <v>9</v>
      </c>
      <c r="G11" s="55">
        <f t="shared" si="3"/>
        <v>2.1168</v>
      </c>
      <c r="H11" s="75"/>
      <c r="I11" s="74">
        <f t="shared" si="4"/>
        <v>0</v>
      </c>
      <c r="J11" s="6"/>
      <c r="K11" s="10">
        <f t="shared" si="0"/>
        <v>0</v>
      </c>
      <c r="L11" s="75"/>
      <c r="M11" s="74">
        <f t="shared" si="1"/>
        <v>0</v>
      </c>
      <c r="N11" s="6"/>
      <c r="O11" s="10">
        <f t="shared" si="5"/>
        <v>0</v>
      </c>
      <c r="P11" s="75"/>
      <c r="Q11" s="74">
        <f t="shared" si="6"/>
        <v>0</v>
      </c>
      <c r="R11" s="6"/>
      <c r="S11" s="10">
        <f t="shared" si="7"/>
        <v>0</v>
      </c>
      <c r="T11" s="75"/>
      <c r="U11" s="74">
        <f t="shared" si="8"/>
        <v>0</v>
      </c>
      <c r="V11" s="39">
        <f t="shared" si="9"/>
        <v>9</v>
      </c>
      <c r="W11" s="38">
        <f t="shared" si="10"/>
        <v>2.1168</v>
      </c>
      <c r="X11" s="12"/>
      <c r="Y11" s="13">
        <f t="shared" si="11"/>
        <v>0</v>
      </c>
      <c r="Z11" s="49">
        <f t="shared" si="12"/>
        <v>9</v>
      </c>
      <c r="AA11" s="98">
        <f t="shared" si="13"/>
        <v>2.1168</v>
      </c>
      <c r="AB11">
        <f t="shared" si="14"/>
        <v>0</v>
      </c>
    </row>
    <row r="12" spans="1:28" ht="24" customHeight="1" x14ac:dyDescent="0.25">
      <c r="A12" s="58" t="s">
        <v>9</v>
      </c>
      <c r="B12" s="67">
        <v>140</v>
      </c>
      <c r="C12" s="68">
        <v>240</v>
      </c>
      <c r="D12" s="68">
        <v>5</v>
      </c>
      <c r="E12" s="69">
        <f t="shared" si="2"/>
        <v>0.16800000000000001</v>
      </c>
      <c r="F12" s="54">
        <v>23</v>
      </c>
      <c r="G12" s="55">
        <f t="shared" si="3"/>
        <v>3.8640000000000003</v>
      </c>
      <c r="H12" s="75">
        <v>16</v>
      </c>
      <c r="I12" s="74">
        <f t="shared" si="4"/>
        <v>2.6880000000000002</v>
      </c>
      <c r="J12" s="6">
        <v>3</v>
      </c>
      <c r="K12" s="10">
        <f t="shared" si="0"/>
        <v>0.504</v>
      </c>
      <c r="L12" s="75"/>
      <c r="M12" s="74">
        <f t="shared" si="1"/>
        <v>0</v>
      </c>
      <c r="N12" s="6"/>
      <c r="O12" s="10">
        <f t="shared" si="5"/>
        <v>0</v>
      </c>
      <c r="P12" s="75">
        <v>4</v>
      </c>
      <c r="Q12" s="74">
        <f t="shared" si="6"/>
        <v>0.67200000000000004</v>
      </c>
      <c r="R12" s="6"/>
      <c r="S12" s="10">
        <f t="shared" si="7"/>
        <v>0</v>
      </c>
      <c r="T12" s="75"/>
      <c r="U12" s="74">
        <f t="shared" si="8"/>
        <v>0</v>
      </c>
      <c r="V12" s="39">
        <f t="shared" si="9"/>
        <v>0</v>
      </c>
      <c r="W12" s="38">
        <f t="shared" si="10"/>
        <v>0</v>
      </c>
      <c r="X12" s="12"/>
      <c r="Y12" s="13">
        <f t="shared" si="11"/>
        <v>0</v>
      </c>
      <c r="Z12" s="49">
        <f t="shared" si="12"/>
        <v>0</v>
      </c>
      <c r="AA12" s="98">
        <f t="shared" si="13"/>
        <v>0</v>
      </c>
      <c r="AB12">
        <f t="shared" si="14"/>
        <v>0</v>
      </c>
    </row>
    <row r="13" spans="1:28" ht="24" customHeight="1" x14ac:dyDescent="0.25">
      <c r="A13" s="58" t="s">
        <v>10</v>
      </c>
      <c r="B13" s="67">
        <v>140</v>
      </c>
      <c r="C13" s="68">
        <v>240</v>
      </c>
      <c r="D13" s="68">
        <v>5</v>
      </c>
      <c r="E13" s="69">
        <f t="shared" si="2"/>
        <v>0.16800000000000001</v>
      </c>
      <c r="F13" s="54">
        <v>52</v>
      </c>
      <c r="G13" s="55">
        <f t="shared" si="3"/>
        <v>8.7360000000000007</v>
      </c>
      <c r="H13" s="75">
        <v>1</v>
      </c>
      <c r="I13" s="74">
        <f t="shared" si="4"/>
        <v>0.16800000000000001</v>
      </c>
      <c r="J13" s="6"/>
      <c r="K13" s="10">
        <f t="shared" si="0"/>
        <v>0</v>
      </c>
      <c r="L13" s="75"/>
      <c r="M13" s="74">
        <f t="shared" si="1"/>
        <v>0</v>
      </c>
      <c r="N13" s="6"/>
      <c r="O13" s="10">
        <f t="shared" si="5"/>
        <v>0</v>
      </c>
      <c r="P13" s="75"/>
      <c r="Q13" s="74">
        <f t="shared" si="6"/>
        <v>0</v>
      </c>
      <c r="R13" s="6"/>
      <c r="S13" s="10">
        <f t="shared" si="7"/>
        <v>0</v>
      </c>
      <c r="T13" s="75"/>
      <c r="U13" s="74">
        <f t="shared" si="8"/>
        <v>0</v>
      </c>
      <c r="V13" s="39">
        <f t="shared" si="9"/>
        <v>51</v>
      </c>
      <c r="W13" s="38">
        <f t="shared" si="10"/>
        <v>8.5680000000000014</v>
      </c>
      <c r="X13" s="12"/>
      <c r="Y13" s="13">
        <f t="shared" si="11"/>
        <v>0</v>
      </c>
      <c r="Z13" s="49">
        <f t="shared" si="12"/>
        <v>51</v>
      </c>
      <c r="AA13" s="98">
        <f t="shared" si="13"/>
        <v>8.5680000000000014</v>
      </c>
      <c r="AB13">
        <f t="shared" si="14"/>
        <v>0</v>
      </c>
    </row>
    <row r="14" spans="1:28" ht="24" customHeight="1" x14ac:dyDescent="0.25">
      <c r="A14" s="58" t="s">
        <v>11</v>
      </c>
      <c r="B14" s="67">
        <v>140</v>
      </c>
      <c r="C14" s="68">
        <v>240</v>
      </c>
      <c r="D14" s="68">
        <v>5</v>
      </c>
      <c r="E14" s="69">
        <f t="shared" si="2"/>
        <v>0.16800000000000001</v>
      </c>
      <c r="F14" s="54">
        <v>10</v>
      </c>
      <c r="G14" s="55">
        <f t="shared" si="3"/>
        <v>1.6800000000000002</v>
      </c>
      <c r="H14" s="75"/>
      <c r="I14" s="74">
        <f t="shared" si="4"/>
        <v>0</v>
      </c>
      <c r="J14" s="6"/>
      <c r="K14" s="10">
        <f t="shared" si="0"/>
        <v>0</v>
      </c>
      <c r="L14" s="75"/>
      <c r="M14" s="74">
        <f t="shared" si="1"/>
        <v>0</v>
      </c>
      <c r="N14" s="6"/>
      <c r="O14" s="10">
        <f t="shared" si="5"/>
        <v>0</v>
      </c>
      <c r="P14" s="75"/>
      <c r="Q14" s="74">
        <f t="shared" si="6"/>
        <v>0</v>
      </c>
      <c r="R14" s="6">
        <v>11</v>
      </c>
      <c r="S14" s="10">
        <f t="shared" si="7"/>
        <v>1.8480000000000001</v>
      </c>
      <c r="T14" s="75"/>
      <c r="U14" s="74">
        <f t="shared" si="8"/>
        <v>0</v>
      </c>
      <c r="V14" s="39">
        <f t="shared" si="9"/>
        <v>-1</v>
      </c>
      <c r="W14" s="38">
        <f t="shared" si="10"/>
        <v>-0.16800000000000001</v>
      </c>
      <c r="X14" s="12">
        <v>100</v>
      </c>
      <c r="Y14" s="13">
        <f t="shared" si="11"/>
        <v>16.8</v>
      </c>
      <c r="Z14" s="49">
        <f t="shared" si="12"/>
        <v>99</v>
      </c>
      <c r="AA14" s="98">
        <f t="shared" si="13"/>
        <v>16.632000000000001</v>
      </c>
      <c r="AB14">
        <f t="shared" si="14"/>
        <v>11</v>
      </c>
    </row>
    <row r="15" spans="1:28" ht="24" customHeight="1" x14ac:dyDescent="0.25">
      <c r="A15" s="58" t="s">
        <v>12</v>
      </c>
      <c r="B15" s="67">
        <v>140</v>
      </c>
      <c r="C15" s="68">
        <v>240</v>
      </c>
      <c r="D15" s="68">
        <v>10</v>
      </c>
      <c r="E15" s="69">
        <f t="shared" si="2"/>
        <v>0.33600000000000002</v>
      </c>
      <c r="F15" s="54">
        <v>11</v>
      </c>
      <c r="G15" s="55">
        <f t="shared" si="3"/>
        <v>3.6960000000000002</v>
      </c>
      <c r="H15" s="75"/>
      <c r="I15" s="74">
        <f t="shared" si="4"/>
        <v>0</v>
      </c>
      <c r="J15" s="6"/>
      <c r="K15" s="10">
        <f t="shared" si="0"/>
        <v>0</v>
      </c>
      <c r="L15" s="75"/>
      <c r="M15" s="74">
        <f t="shared" si="1"/>
        <v>0</v>
      </c>
      <c r="N15" s="6"/>
      <c r="O15" s="10">
        <f t="shared" si="5"/>
        <v>0</v>
      </c>
      <c r="P15" s="75">
        <v>2</v>
      </c>
      <c r="Q15" s="74">
        <f t="shared" si="6"/>
        <v>0.67200000000000004</v>
      </c>
      <c r="R15" s="6"/>
      <c r="S15" s="10">
        <f t="shared" si="7"/>
        <v>0</v>
      </c>
      <c r="T15" s="75">
        <v>1</v>
      </c>
      <c r="U15" s="74">
        <f t="shared" si="8"/>
        <v>0.33600000000000002</v>
      </c>
      <c r="V15" s="39">
        <f t="shared" si="9"/>
        <v>8</v>
      </c>
      <c r="W15" s="38">
        <f t="shared" si="10"/>
        <v>2.6880000000000002</v>
      </c>
      <c r="X15" s="12"/>
      <c r="Y15" s="13">
        <f t="shared" si="11"/>
        <v>0</v>
      </c>
      <c r="Z15" s="49">
        <f t="shared" si="12"/>
        <v>8</v>
      </c>
      <c r="AA15" s="98">
        <f t="shared" si="13"/>
        <v>2.6880000000000002</v>
      </c>
      <c r="AB15">
        <f t="shared" si="14"/>
        <v>1</v>
      </c>
    </row>
    <row r="16" spans="1:28" ht="24" customHeight="1" x14ac:dyDescent="0.25">
      <c r="A16" s="58" t="s">
        <v>13</v>
      </c>
      <c r="B16" s="67">
        <v>140</v>
      </c>
      <c r="C16" s="68">
        <v>240</v>
      </c>
      <c r="D16" s="68">
        <v>3</v>
      </c>
      <c r="E16" s="69">
        <f t="shared" si="2"/>
        <v>0.1008</v>
      </c>
      <c r="F16" s="54">
        <v>82</v>
      </c>
      <c r="G16" s="55">
        <f t="shared" si="3"/>
        <v>8.2655999999999992</v>
      </c>
      <c r="H16" s="75">
        <v>1</v>
      </c>
      <c r="I16" s="74">
        <f t="shared" si="4"/>
        <v>0.1008</v>
      </c>
      <c r="J16" s="6"/>
      <c r="K16" s="10">
        <f t="shared" si="0"/>
        <v>0</v>
      </c>
      <c r="L16" s="75"/>
      <c r="M16" s="74">
        <f t="shared" si="1"/>
        <v>0</v>
      </c>
      <c r="N16" s="6"/>
      <c r="O16" s="10">
        <f t="shared" si="5"/>
        <v>0</v>
      </c>
      <c r="P16" s="75">
        <v>3</v>
      </c>
      <c r="Q16" s="74">
        <f t="shared" si="6"/>
        <v>0.3024</v>
      </c>
      <c r="R16" s="6"/>
      <c r="S16" s="10">
        <f t="shared" si="7"/>
        <v>0</v>
      </c>
      <c r="T16" s="75">
        <v>5</v>
      </c>
      <c r="U16" s="74">
        <f t="shared" si="8"/>
        <v>0.504</v>
      </c>
      <c r="V16" s="39">
        <f t="shared" si="9"/>
        <v>73</v>
      </c>
      <c r="W16" s="38">
        <f t="shared" si="10"/>
        <v>7.3583999999999996</v>
      </c>
      <c r="X16" s="12"/>
      <c r="Y16" s="13">
        <f t="shared" si="11"/>
        <v>0</v>
      </c>
      <c r="Z16" s="49">
        <f t="shared" si="12"/>
        <v>73</v>
      </c>
      <c r="AA16" s="98">
        <f t="shared" si="13"/>
        <v>7.3583999999999996</v>
      </c>
      <c r="AB16">
        <f t="shared" si="14"/>
        <v>5</v>
      </c>
    </row>
    <row r="17" spans="1:28" ht="24" customHeight="1" x14ac:dyDescent="0.25">
      <c r="A17" s="58" t="s">
        <v>14</v>
      </c>
      <c r="B17" s="67">
        <v>140</v>
      </c>
      <c r="C17" s="68">
        <v>240</v>
      </c>
      <c r="D17" s="68">
        <v>5</v>
      </c>
      <c r="E17" s="69">
        <f t="shared" si="2"/>
        <v>0.16800000000000001</v>
      </c>
      <c r="F17" s="54">
        <v>60</v>
      </c>
      <c r="G17" s="55">
        <f t="shared" si="3"/>
        <v>10.08</v>
      </c>
      <c r="H17" s="75"/>
      <c r="I17" s="74">
        <f t="shared" si="4"/>
        <v>0</v>
      </c>
      <c r="J17" s="6"/>
      <c r="K17" s="10">
        <f t="shared" si="0"/>
        <v>0</v>
      </c>
      <c r="L17" s="75"/>
      <c r="M17" s="74">
        <f t="shared" si="1"/>
        <v>0</v>
      </c>
      <c r="N17" s="6"/>
      <c r="O17" s="10">
        <f t="shared" si="5"/>
        <v>0</v>
      </c>
      <c r="P17" s="75">
        <v>17</v>
      </c>
      <c r="Q17" s="74">
        <f t="shared" si="6"/>
        <v>2.8560000000000003</v>
      </c>
      <c r="R17" s="6"/>
      <c r="S17" s="10">
        <f t="shared" si="7"/>
        <v>0</v>
      </c>
      <c r="T17" s="75"/>
      <c r="U17" s="74">
        <f t="shared" si="8"/>
        <v>0</v>
      </c>
      <c r="V17" s="39">
        <f t="shared" si="9"/>
        <v>43</v>
      </c>
      <c r="W17" s="38">
        <f t="shared" si="10"/>
        <v>7.2240000000000002</v>
      </c>
      <c r="X17" s="12"/>
      <c r="Y17" s="13">
        <f t="shared" si="11"/>
        <v>0</v>
      </c>
      <c r="Z17" s="49">
        <f t="shared" si="12"/>
        <v>43</v>
      </c>
      <c r="AA17" s="98">
        <f t="shared" si="13"/>
        <v>7.2240000000000002</v>
      </c>
      <c r="AB17">
        <f t="shared" si="14"/>
        <v>0</v>
      </c>
    </row>
    <row r="18" spans="1:28" ht="24" customHeight="1" x14ac:dyDescent="0.25">
      <c r="A18" s="58" t="s">
        <v>15</v>
      </c>
      <c r="B18" s="67">
        <v>140</v>
      </c>
      <c r="C18" s="68">
        <v>240</v>
      </c>
      <c r="D18" s="68">
        <v>3</v>
      </c>
      <c r="E18" s="69">
        <f t="shared" si="2"/>
        <v>0.1008</v>
      </c>
      <c r="F18" s="54">
        <v>0</v>
      </c>
      <c r="G18" s="55">
        <f t="shared" si="3"/>
        <v>0</v>
      </c>
      <c r="H18" s="75"/>
      <c r="I18" s="74">
        <f t="shared" si="4"/>
        <v>0</v>
      </c>
      <c r="J18" s="6">
        <v>0</v>
      </c>
      <c r="K18" s="10">
        <f t="shared" si="0"/>
        <v>0</v>
      </c>
      <c r="L18" s="75">
        <v>0</v>
      </c>
      <c r="M18" s="74">
        <f t="shared" si="1"/>
        <v>0</v>
      </c>
      <c r="N18" s="6">
        <v>113</v>
      </c>
      <c r="O18" s="10">
        <f t="shared" si="5"/>
        <v>11.3904</v>
      </c>
      <c r="P18" s="75"/>
      <c r="Q18" s="74">
        <f t="shared" si="6"/>
        <v>0</v>
      </c>
      <c r="R18" s="6">
        <v>16</v>
      </c>
      <c r="S18" s="10">
        <f t="shared" si="7"/>
        <v>1.6128</v>
      </c>
      <c r="T18" s="75"/>
      <c r="U18" s="74">
        <f t="shared" si="8"/>
        <v>0</v>
      </c>
      <c r="V18" s="39">
        <f t="shared" si="9"/>
        <v>-129</v>
      </c>
      <c r="W18" s="38">
        <f t="shared" si="10"/>
        <v>-13.0032</v>
      </c>
      <c r="X18" s="12">
        <v>347</v>
      </c>
      <c r="Y18" s="13">
        <f t="shared" si="11"/>
        <v>34.977600000000002</v>
      </c>
      <c r="Z18" s="49">
        <f t="shared" si="12"/>
        <v>218</v>
      </c>
      <c r="AA18" s="98">
        <f t="shared" si="13"/>
        <v>21.974399999999999</v>
      </c>
      <c r="AB18">
        <f t="shared" si="14"/>
        <v>16</v>
      </c>
    </row>
    <row r="19" spans="1:28" ht="24" customHeight="1" x14ac:dyDescent="0.25">
      <c r="A19" s="58" t="s">
        <v>78</v>
      </c>
      <c r="B19" s="67">
        <v>140</v>
      </c>
      <c r="C19" s="68">
        <v>240</v>
      </c>
      <c r="D19" s="68">
        <v>8</v>
      </c>
      <c r="E19" s="69">
        <f t="shared" si="2"/>
        <v>0.26879999999999998</v>
      </c>
      <c r="F19" s="54">
        <v>0</v>
      </c>
      <c r="G19" s="55">
        <f t="shared" si="3"/>
        <v>0</v>
      </c>
      <c r="H19" s="75"/>
      <c r="I19" s="74">
        <f t="shared" si="4"/>
        <v>0</v>
      </c>
      <c r="J19" s="6"/>
      <c r="K19" s="10">
        <f t="shared" si="0"/>
        <v>0</v>
      </c>
      <c r="L19" s="75"/>
      <c r="M19" s="74">
        <f t="shared" si="1"/>
        <v>0</v>
      </c>
      <c r="N19" s="6"/>
      <c r="O19" s="10">
        <f t="shared" si="5"/>
        <v>0</v>
      </c>
      <c r="P19" s="75">
        <v>3</v>
      </c>
      <c r="Q19" s="74">
        <f t="shared" si="6"/>
        <v>0.80640000000000001</v>
      </c>
      <c r="R19" s="6"/>
      <c r="S19" s="10">
        <f t="shared" si="7"/>
        <v>0</v>
      </c>
      <c r="T19" s="75"/>
      <c r="U19" s="74">
        <f t="shared" si="8"/>
        <v>0</v>
      </c>
      <c r="V19" s="39">
        <f t="shared" si="9"/>
        <v>-3</v>
      </c>
      <c r="W19" s="38">
        <f t="shared" si="10"/>
        <v>-0.80640000000000001</v>
      </c>
      <c r="X19" s="12">
        <v>20</v>
      </c>
      <c r="Y19" s="13">
        <f t="shared" si="11"/>
        <v>5.3759999999999994</v>
      </c>
      <c r="Z19" s="49">
        <f t="shared" si="12"/>
        <v>17</v>
      </c>
      <c r="AA19" s="98">
        <f t="shared" si="13"/>
        <v>4.5695999999999994</v>
      </c>
      <c r="AB19">
        <f t="shared" si="14"/>
        <v>0</v>
      </c>
    </row>
    <row r="20" spans="1:28" ht="24" customHeight="1" x14ac:dyDescent="0.25">
      <c r="A20" s="58" t="s">
        <v>17</v>
      </c>
      <c r="B20" s="67">
        <v>140</v>
      </c>
      <c r="C20" s="68">
        <v>240</v>
      </c>
      <c r="D20" s="68">
        <v>8</v>
      </c>
      <c r="E20" s="69">
        <f t="shared" si="2"/>
        <v>0.26879999999999998</v>
      </c>
      <c r="F20" s="54">
        <v>0</v>
      </c>
      <c r="G20" s="55">
        <f t="shared" si="3"/>
        <v>0</v>
      </c>
      <c r="H20" s="75"/>
      <c r="I20" s="74">
        <f t="shared" si="4"/>
        <v>0</v>
      </c>
      <c r="J20" s="6"/>
      <c r="K20" s="10">
        <f t="shared" si="0"/>
        <v>0</v>
      </c>
      <c r="L20" s="75"/>
      <c r="M20" s="74">
        <f t="shared" si="1"/>
        <v>0</v>
      </c>
      <c r="N20" s="6"/>
      <c r="O20" s="10">
        <f t="shared" si="5"/>
        <v>0</v>
      </c>
      <c r="P20" s="75"/>
      <c r="Q20" s="74">
        <f t="shared" si="6"/>
        <v>0</v>
      </c>
      <c r="R20" s="6"/>
      <c r="S20" s="10">
        <f t="shared" si="7"/>
        <v>0</v>
      </c>
      <c r="T20" s="75"/>
      <c r="U20" s="74">
        <f t="shared" si="8"/>
        <v>0</v>
      </c>
      <c r="V20" s="39">
        <f t="shared" si="9"/>
        <v>0</v>
      </c>
      <c r="W20" s="38">
        <f t="shared" si="10"/>
        <v>0</v>
      </c>
      <c r="X20" s="12"/>
      <c r="Y20" s="13">
        <f t="shared" si="11"/>
        <v>0</v>
      </c>
      <c r="Z20" s="49">
        <f t="shared" si="12"/>
        <v>0</v>
      </c>
      <c r="AA20" s="98">
        <f t="shared" si="13"/>
        <v>0</v>
      </c>
      <c r="AB20">
        <f t="shared" si="14"/>
        <v>0</v>
      </c>
    </row>
    <row r="21" spans="1:28" ht="24" customHeight="1" x14ac:dyDescent="0.25">
      <c r="A21" s="58" t="s">
        <v>19</v>
      </c>
      <c r="B21" s="67">
        <v>77</v>
      </c>
      <c r="C21" s="68">
        <v>55</v>
      </c>
      <c r="D21" s="68">
        <v>8</v>
      </c>
      <c r="E21" s="69">
        <f t="shared" si="2"/>
        <v>3.388E-2</v>
      </c>
      <c r="F21" s="54">
        <v>4</v>
      </c>
      <c r="G21" s="55">
        <f t="shared" si="3"/>
        <v>0.13552</v>
      </c>
      <c r="H21" s="75"/>
      <c r="I21" s="74">
        <f t="shared" si="4"/>
        <v>0</v>
      </c>
      <c r="J21" s="6"/>
      <c r="K21" s="10">
        <f t="shared" si="0"/>
        <v>0</v>
      </c>
      <c r="L21" s="75"/>
      <c r="M21" s="74">
        <f t="shared" si="1"/>
        <v>0</v>
      </c>
      <c r="N21" s="6"/>
      <c r="O21" s="10">
        <f t="shared" si="5"/>
        <v>0</v>
      </c>
      <c r="P21" s="75"/>
      <c r="Q21" s="74">
        <f t="shared" si="6"/>
        <v>0</v>
      </c>
      <c r="R21" s="6"/>
      <c r="S21" s="10">
        <f t="shared" si="7"/>
        <v>0</v>
      </c>
      <c r="T21" s="75"/>
      <c r="U21" s="74">
        <f t="shared" si="8"/>
        <v>0</v>
      </c>
      <c r="V21" s="39">
        <f t="shared" si="9"/>
        <v>4</v>
      </c>
      <c r="W21" s="38">
        <f t="shared" si="10"/>
        <v>0.13552</v>
      </c>
      <c r="X21" s="12"/>
      <c r="Y21" s="13">
        <f t="shared" si="11"/>
        <v>0</v>
      </c>
      <c r="Z21" s="49">
        <f t="shared" si="12"/>
        <v>4</v>
      </c>
      <c r="AA21" s="98">
        <f t="shared" si="13"/>
        <v>0.13552</v>
      </c>
      <c r="AB21">
        <f t="shared" si="14"/>
        <v>0</v>
      </c>
    </row>
    <row r="22" spans="1:28" ht="24" customHeight="1" x14ac:dyDescent="0.25">
      <c r="A22" s="58" t="s">
        <v>20</v>
      </c>
      <c r="B22" s="67">
        <v>65</v>
      </c>
      <c r="C22" s="68">
        <v>50</v>
      </c>
      <c r="D22" s="68">
        <v>12</v>
      </c>
      <c r="E22" s="69">
        <f t="shared" si="2"/>
        <v>3.9E-2</v>
      </c>
      <c r="F22" s="54">
        <v>26</v>
      </c>
      <c r="G22" s="55">
        <f t="shared" si="3"/>
        <v>1.014</v>
      </c>
      <c r="H22" s="75"/>
      <c r="I22" s="74">
        <f t="shared" si="4"/>
        <v>0</v>
      </c>
      <c r="J22" s="6"/>
      <c r="K22" s="10">
        <f t="shared" si="0"/>
        <v>0</v>
      </c>
      <c r="L22" s="75"/>
      <c r="M22" s="74">
        <f t="shared" si="1"/>
        <v>0</v>
      </c>
      <c r="N22" s="6"/>
      <c r="O22" s="10">
        <f t="shared" si="5"/>
        <v>0</v>
      </c>
      <c r="P22" s="75"/>
      <c r="Q22" s="74">
        <f t="shared" si="6"/>
        <v>0</v>
      </c>
      <c r="R22" s="6"/>
      <c r="S22" s="10">
        <f t="shared" si="7"/>
        <v>0</v>
      </c>
      <c r="T22" s="75"/>
      <c r="U22" s="74">
        <f t="shared" si="8"/>
        <v>0</v>
      </c>
      <c r="V22" s="39">
        <f t="shared" si="9"/>
        <v>26</v>
      </c>
      <c r="W22" s="38">
        <f t="shared" si="10"/>
        <v>1.014</v>
      </c>
      <c r="X22" s="12"/>
      <c r="Y22" s="13">
        <f t="shared" si="11"/>
        <v>0</v>
      </c>
      <c r="Z22" s="49">
        <f t="shared" si="12"/>
        <v>26</v>
      </c>
      <c r="AA22" s="98">
        <f t="shared" si="13"/>
        <v>1.014</v>
      </c>
      <c r="AB22">
        <f t="shared" si="14"/>
        <v>0</v>
      </c>
    </row>
    <row r="23" spans="1:28" ht="24" customHeight="1" x14ac:dyDescent="0.25">
      <c r="A23" s="58" t="s">
        <v>21</v>
      </c>
      <c r="B23" s="67"/>
      <c r="C23" s="68"/>
      <c r="D23" s="68"/>
      <c r="E23" s="69">
        <f t="shared" si="2"/>
        <v>0</v>
      </c>
      <c r="F23" s="54">
        <v>74</v>
      </c>
      <c r="G23" s="55">
        <f t="shared" si="3"/>
        <v>0</v>
      </c>
      <c r="H23" s="75"/>
      <c r="I23" s="74">
        <f t="shared" si="4"/>
        <v>0</v>
      </c>
      <c r="J23" s="6"/>
      <c r="K23" s="10">
        <f t="shared" si="0"/>
        <v>0</v>
      </c>
      <c r="L23" s="75"/>
      <c r="M23" s="74">
        <f t="shared" si="1"/>
        <v>0</v>
      </c>
      <c r="N23" s="6"/>
      <c r="O23" s="10">
        <f t="shared" si="5"/>
        <v>0</v>
      </c>
      <c r="P23" s="75"/>
      <c r="Q23" s="74">
        <f t="shared" si="6"/>
        <v>0</v>
      </c>
      <c r="R23" s="6"/>
      <c r="S23" s="10">
        <f t="shared" si="7"/>
        <v>0</v>
      </c>
      <c r="T23" s="75"/>
      <c r="U23" s="74">
        <f t="shared" si="8"/>
        <v>0</v>
      </c>
      <c r="V23" s="39">
        <f t="shared" si="9"/>
        <v>74</v>
      </c>
      <c r="W23" s="38">
        <f t="shared" si="10"/>
        <v>0</v>
      </c>
      <c r="X23" s="12"/>
      <c r="Y23" s="13">
        <f t="shared" si="11"/>
        <v>0</v>
      </c>
      <c r="Z23" s="49">
        <f t="shared" si="12"/>
        <v>74</v>
      </c>
      <c r="AA23" s="98">
        <f t="shared" si="13"/>
        <v>0</v>
      </c>
      <c r="AB23">
        <f t="shared" si="14"/>
        <v>0</v>
      </c>
    </row>
    <row r="24" spans="1:28" ht="24" customHeight="1" x14ac:dyDescent="0.25">
      <c r="A24" s="58" t="s">
        <v>22</v>
      </c>
      <c r="B24" s="67">
        <v>66</v>
      </c>
      <c r="C24" s="68">
        <v>56</v>
      </c>
      <c r="D24" s="68">
        <v>12</v>
      </c>
      <c r="E24" s="69">
        <f t="shared" si="2"/>
        <v>4.4352000000000003E-2</v>
      </c>
      <c r="F24" s="54">
        <v>28</v>
      </c>
      <c r="G24" s="55">
        <f t="shared" si="3"/>
        <v>1.2418560000000001</v>
      </c>
      <c r="H24" s="75"/>
      <c r="I24" s="74">
        <f t="shared" si="4"/>
        <v>0</v>
      </c>
      <c r="J24" s="6"/>
      <c r="K24" s="10">
        <f t="shared" si="0"/>
        <v>0</v>
      </c>
      <c r="L24" s="75"/>
      <c r="M24" s="74">
        <f t="shared" si="1"/>
        <v>0</v>
      </c>
      <c r="N24" s="6"/>
      <c r="O24" s="10">
        <f t="shared" si="5"/>
        <v>0</v>
      </c>
      <c r="P24" s="75"/>
      <c r="Q24" s="74">
        <f t="shared" si="6"/>
        <v>0</v>
      </c>
      <c r="R24" s="6"/>
      <c r="S24" s="10">
        <f t="shared" si="7"/>
        <v>0</v>
      </c>
      <c r="T24" s="75"/>
      <c r="U24" s="74">
        <f t="shared" si="8"/>
        <v>0</v>
      </c>
      <c r="V24" s="39">
        <f t="shared" si="9"/>
        <v>28</v>
      </c>
      <c r="W24" s="38">
        <f t="shared" si="10"/>
        <v>1.2418560000000001</v>
      </c>
      <c r="X24" s="12"/>
      <c r="Y24" s="13">
        <f t="shared" si="11"/>
        <v>0</v>
      </c>
      <c r="Z24" s="49">
        <f t="shared" si="12"/>
        <v>28</v>
      </c>
      <c r="AA24" s="98">
        <f t="shared" si="13"/>
        <v>1.2418560000000001</v>
      </c>
      <c r="AB24">
        <f t="shared" si="14"/>
        <v>0</v>
      </c>
    </row>
    <row r="25" spans="1:28" ht="24" customHeight="1" x14ac:dyDescent="0.25">
      <c r="A25" s="58" t="s">
        <v>23</v>
      </c>
      <c r="B25" s="67">
        <v>61.5</v>
      </c>
      <c r="C25" s="68">
        <v>61.5</v>
      </c>
      <c r="D25" s="68">
        <v>10</v>
      </c>
      <c r="E25" s="69">
        <f t="shared" si="2"/>
        <v>3.7822500000000002E-2</v>
      </c>
      <c r="F25" s="54">
        <v>30</v>
      </c>
      <c r="G25" s="55">
        <f t="shared" si="3"/>
        <v>1.1346750000000001</v>
      </c>
      <c r="H25" s="75"/>
      <c r="I25" s="74">
        <f t="shared" si="4"/>
        <v>0</v>
      </c>
      <c r="J25" s="6"/>
      <c r="K25" s="10">
        <f t="shared" si="0"/>
        <v>0</v>
      </c>
      <c r="L25" s="75"/>
      <c r="M25" s="74">
        <f t="shared" si="1"/>
        <v>0</v>
      </c>
      <c r="N25" s="6"/>
      <c r="O25" s="10">
        <f t="shared" si="5"/>
        <v>0</v>
      </c>
      <c r="P25" s="75">
        <v>30</v>
      </c>
      <c r="Q25" s="74">
        <f t="shared" si="6"/>
        <v>1.1346750000000001</v>
      </c>
      <c r="R25" s="6"/>
      <c r="S25" s="10">
        <f t="shared" si="7"/>
        <v>0</v>
      </c>
      <c r="T25" s="75"/>
      <c r="U25" s="74">
        <f t="shared" si="8"/>
        <v>0</v>
      </c>
      <c r="V25" s="39">
        <f t="shared" si="9"/>
        <v>0</v>
      </c>
      <c r="W25" s="38">
        <f t="shared" si="10"/>
        <v>0</v>
      </c>
      <c r="X25" s="12"/>
      <c r="Y25" s="13">
        <f t="shared" si="11"/>
        <v>0</v>
      </c>
      <c r="Z25" s="49">
        <f t="shared" si="12"/>
        <v>0</v>
      </c>
      <c r="AA25" s="98">
        <f t="shared" si="13"/>
        <v>0</v>
      </c>
      <c r="AB25">
        <f t="shared" si="14"/>
        <v>0</v>
      </c>
    </row>
    <row r="26" spans="1:28" ht="24" customHeight="1" x14ac:dyDescent="0.25">
      <c r="A26" s="58" t="s">
        <v>24</v>
      </c>
      <c r="B26" s="67">
        <v>82</v>
      </c>
      <c r="C26" s="68">
        <v>67</v>
      </c>
      <c r="D26" s="68">
        <v>5</v>
      </c>
      <c r="E26" s="69">
        <f t="shared" si="2"/>
        <v>2.7470000000000001E-2</v>
      </c>
      <c r="F26" s="54">
        <v>30</v>
      </c>
      <c r="G26" s="55">
        <f t="shared" si="3"/>
        <v>0.82410000000000005</v>
      </c>
      <c r="H26" s="75"/>
      <c r="I26" s="74">
        <f t="shared" si="4"/>
        <v>0</v>
      </c>
      <c r="J26" s="6"/>
      <c r="K26" s="10">
        <f t="shared" si="0"/>
        <v>0</v>
      </c>
      <c r="L26" s="75"/>
      <c r="M26" s="74">
        <f t="shared" si="1"/>
        <v>0</v>
      </c>
      <c r="N26" s="6"/>
      <c r="O26" s="10">
        <f t="shared" si="5"/>
        <v>0</v>
      </c>
      <c r="P26" s="75"/>
      <c r="Q26" s="74">
        <f t="shared" si="6"/>
        <v>0</v>
      </c>
      <c r="R26" s="6"/>
      <c r="S26" s="10">
        <f t="shared" si="7"/>
        <v>0</v>
      </c>
      <c r="T26" s="75"/>
      <c r="U26" s="74">
        <f t="shared" si="8"/>
        <v>0</v>
      </c>
      <c r="V26" s="39">
        <f t="shared" si="9"/>
        <v>30</v>
      </c>
      <c r="W26" s="38">
        <f t="shared" si="10"/>
        <v>0.82410000000000005</v>
      </c>
      <c r="X26" s="12"/>
      <c r="Y26" s="13">
        <f t="shared" si="11"/>
        <v>0</v>
      </c>
      <c r="Z26" s="49">
        <f t="shared" si="12"/>
        <v>30</v>
      </c>
      <c r="AA26" s="98">
        <f t="shared" si="13"/>
        <v>0.82410000000000005</v>
      </c>
      <c r="AB26">
        <f t="shared" si="14"/>
        <v>0</v>
      </c>
    </row>
    <row r="27" spans="1:28" ht="24" customHeight="1" x14ac:dyDescent="0.25">
      <c r="A27" s="58" t="s">
        <v>25</v>
      </c>
      <c r="B27" s="67">
        <v>80</v>
      </c>
      <c r="C27" s="68">
        <v>62</v>
      </c>
      <c r="D27" s="68">
        <v>2</v>
      </c>
      <c r="E27" s="69">
        <f t="shared" si="2"/>
        <v>9.92E-3</v>
      </c>
      <c r="F27" s="54">
        <v>36</v>
      </c>
      <c r="G27" s="55">
        <f t="shared" si="3"/>
        <v>0.35711999999999999</v>
      </c>
      <c r="H27" s="75"/>
      <c r="I27" s="74">
        <f t="shared" si="4"/>
        <v>0</v>
      </c>
      <c r="J27" s="6"/>
      <c r="K27" s="10">
        <f t="shared" si="0"/>
        <v>0</v>
      </c>
      <c r="L27" s="75"/>
      <c r="M27" s="74">
        <f t="shared" si="1"/>
        <v>0</v>
      </c>
      <c r="N27" s="6"/>
      <c r="O27" s="10">
        <f t="shared" si="5"/>
        <v>0</v>
      </c>
      <c r="P27" s="75"/>
      <c r="Q27" s="74">
        <f t="shared" si="6"/>
        <v>0</v>
      </c>
      <c r="R27" s="6"/>
      <c r="S27" s="10">
        <f t="shared" si="7"/>
        <v>0</v>
      </c>
      <c r="T27" s="75"/>
      <c r="U27" s="74">
        <f t="shared" si="8"/>
        <v>0</v>
      </c>
      <c r="V27" s="39">
        <f t="shared" si="9"/>
        <v>36</v>
      </c>
      <c r="W27" s="38">
        <f t="shared" si="10"/>
        <v>0.35711999999999999</v>
      </c>
      <c r="X27" s="12"/>
      <c r="Y27" s="13">
        <f t="shared" si="11"/>
        <v>0</v>
      </c>
      <c r="Z27" s="49">
        <f t="shared" si="12"/>
        <v>36</v>
      </c>
      <c r="AA27" s="98">
        <f t="shared" si="13"/>
        <v>0.35711999999999999</v>
      </c>
      <c r="AB27">
        <f t="shared" si="14"/>
        <v>0</v>
      </c>
    </row>
    <row r="28" spans="1:28" ht="24" customHeight="1" x14ac:dyDescent="0.25">
      <c r="A28" s="58" t="s">
        <v>26</v>
      </c>
      <c r="B28" s="67">
        <v>63</v>
      </c>
      <c r="C28" s="68">
        <v>55</v>
      </c>
      <c r="D28" s="68">
        <v>5</v>
      </c>
      <c r="E28" s="69">
        <f t="shared" si="2"/>
        <v>1.7325E-2</v>
      </c>
      <c r="F28" s="54">
        <v>19</v>
      </c>
      <c r="G28" s="55">
        <f t="shared" si="3"/>
        <v>0.329175</v>
      </c>
      <c r="H28" s="75"/>
      <c r="I28" s="74">
        <f t="shared" si="4"/>
        <v>0</v>
      </c>
      <c r="J28" s="6"/>
      <c r="K28" s="10">
        <f t="shared" si="0"/>
        <v>0</v>
      </c>
      <c r="L28" s="75"/>
      <c r="M28" s="74">
        <f t="shared" si="1"/>
        <v>0</v>
      </c>
      <c r="N28" s="6"/>
      <c r="O28" s="10">
        <f t="shared" si="5"/>
        <v>0</v>
      </c>
      <c r="P28" s="75"/>
      <c r="Q28" s="74">
        <f t="shared" si="6"/>
        <v>0</v>
      </c>
      <c r="R28" s="6"/>
      <c r="S28" s="10">
        <f t="shared" si="7"/>
        <v>0</v>
      </c>
      <c r="T28" s="75"/>
      <c r="U28" s="74">
        <f t="shared" si="8"/>
        <v>0</v>
      </c>
      <c r="V28" s="39">
        <f t="shared" si="9"/>
        <v>19</v>
      </c>
      <c r="W28" s="38">
        <f t="shared" si="10"/>
        <v>0.329175</v>
      </c>
      <c r="X28" s="12"/>
      <c r="Y28" s="13">
        <f t="shared" si="11"/>
        <v>0</v>
      </c>
      <c r="Z28" s="49">
        <f t="shared" si="12"/>
        <v>19</v>
      </c>
      <c r="AA28" s="98">
        <f t="shared" si="13"/>
        <v>0.329175</v>
      </c>
      <c r="AB28">
        <f t="shared" si="14"/>
        <v>0</v>
      </c>
    </row>
    <row r="29" spans="1:28" ht="24" customHeight="1" x14ac:dyDescent="0.25">
      <c r="A29" s="58" t="s">
        <v>27</v>
      </c>
      <c r="B29" s="67">
        <v>140</v>
      </c>
      <c r="C29" s="68">
        <v>240</v>
      </c>
      <c r="D29" s="68">
        <v>5</v>
      </c>
      <c r="E29" s="69">
        <f t="shared" si="2"/>
        <v>0.16800000000000001</v>
      </c>
      <c r="F29" s="54">
        <v>7</v>
      </c>
      <c r="G29" s="55">
        <f t="shared" si="3"/>
        <v>1.1760000000000002</v>
      </c>
      <c r="H29" s="75"/>
      <c r="I29" s="74">
        <f t="shared" si="4"/>
        <v>0</v>
      </c>
      <c r="J29" s="6"/>
      <c r="K29" s="10">
        <f t="shared" si="0"/>
        <v>0</v>
      </c>
      <c r="L29" s="75"/>
      <c r="M29" s="74">
        <f t="shared" si="1"/>
        <v>0</v>
      </c>
      <c r="N29" s="6"/>
      <c r="O29" s="10">
        <f t="shared" si="5"/>
        <v>0</v>
      </c>
      <c r="P29" s="75">
        <v>1</v>
      </c>
      <c r="Q29" s="74">
        <f t="shared" si="6"/>
        <v>0.16800000000000001</v>
      </c>
      <c r="R29" s="6"/>
      <c r="S29" s="10">
        <f t="shared" si="7"/>
        <v>0</v>
      </c>
      <c r="T29" s="75"/>
      <c r="U29" s="74">
        <f t="shared" si="8"/>
        <v>0</v>
      </c>
      <c r="V29" s="39">
        <f t="shared" si="9"/>
        <v>6</v>
      </c>
      <c r="W29" s="38">
        <f t="shared" si="10"/>
        <v>1.008</v>
      </c>
      <c r="X29" s="12"/>
      <c r="Y29" s="13">
        <f t="shared" si="11"/>
        <v>0</v>
      </c>
      <c r="Z29" s="49">
        <f t="shared" si="12"/>
        <v>6</v>
      </c>
      <c r="AA29" s="98">
        <f t="shared" si="13"/>
        <v>1.008</v>
      </c>
      <c r="AB29">
        <f t="shared" si="14"/>
        <v>0</v>
      </c>
    </row>
    <row r="30" spans="1:28" ht="24" customHeight="1" x14ac:dyDescent="0.25">
      <c r="A30" s="58" t="s">
        <v>28</v>
      </c>
      <c r="B30" s="67">
        <v>140</v>
      </c>
      <c r="C30" s="68">
        <v>240</v>
      </c>
      <c r="D30" s="68">
        <v>10</v>
      </c>
      <c r="E30" s="69">
        <f t="shared" si="2"/>
        <v>0.33600000000000002</v>
      </c>
      <c r="F30" s="54">
        <v>11</v>
      </c>
      <c r="G30" s="55">
        <f t="shared" si="3"/>
        <v>3.6960000000000002</v>
      </c>
      <c r="H30" s="75"/>
      <c r="I30" s="74">
        <f t="shared" si="4"/>
        <v>0</v>
      </c>
      <c r="J30" s="6"/>
      <c r="K30" s="10">
        <f t="shared" si="0"/>
        <v>0</v>
      </c>
      <c r="L30" s="75"/>
      <c r="M30" s="74">
        <f t="shared" si="1"/>
        <v>0</v>
      </c>
      <c r="N30" s="6"/>
      <c r="O30" s="10">
        <f t="shared" si="5"/>
        <v>0</v>
      </c>
      <c r="P30" s="75"/>
      <c r="Q30" s="74">
        <f t="shared" si="6"/>
        <v>0</v>
      </c>
      <c r="R30" s="6"/>
      <c r="S30" s="10">
        <f t="shared" si="7"/>
        <v>0</v>
      </c>
      <c r="T30" s="75"/>
      <c r="U30" s="74">
        <f t="shared" si="8"/>
        <v>0</v>
      </c>
      <c r="V30" s="39">
        <f t="shared" si="9"/>
        <v>11</v>
      </c>
      <c r="W30" s="38">
        <f t="shared" si="10"/>
        <v>3.6960000000000002</v>
      </c>
      <c r="X30" s="12"/>
      <c r="Y30" s="13">
        <f t="shared" si="11"/>
        <v>0</v>
      </c>
      <c r="Z30" s="49">
        <f t="shared" si="12"/>
        <v>11</v>
      </c>
      <c r="AA30" s="98">
        <f t="shared" si="13"/>
        <v>3.6960000000000002</v>
      </c>
      <c r="AB30">
        <f t="shared" si="14"/>
        <v>0</v>
      </c>
    </row>
    <row r="31" spans="1:28" ht="24" customHeight="1" x14ac:dyDescent="0.25">
      <c r="A31" s="58" t="s">
        <v>29</v>
      </c>
      <c r="B31" s="67">
        <v>140</v>
      </c>
      <c r="C31" s="68">
        <v>240</v>
      </c>
      <c r="D31" s="68">
        <v>3</v>
      </c>
      <c r="E31" s="69">
        <f t="shared" si="2"/>
        <v>0.1008</v>
      </c>
      <c r="F31" s="54">
        <v>40</v>
      </c>
      <c r="G31" s="55">
        <f t="shared" si="3"/>
        <v>4.032</v>
      </c>
      <c r="H31" s="75"/>
      <c r="I31" s="74">
        <f t="shared" si="4"/>
        <v>0</v>
      </c>
      <c r="J31" s="6"/>
      <c r="K31" s="10">
        <f t="shared" si="0"/>
        <v>0</v>
      </c>
      <c r="L31" s="75"/>
      <c r="M31" s="74">
        <f t="shared" si="1"/>
        <v>0</v>
      </c>
      <c r="N31" s="6">
        <v>2</v>
      </c>
      <c r="O31" s="10">
        <f t="shared" si="5"/>
        <v>0.2016</v>
      </c>
      <c r="P31" s="75"/>
      <c r="Q31" s="74">
        <f t="shared" si="6"/>
        <v>0</v>
      </c>
      <c r="R31" s="6"/>
      <c r="S31" s="10">
        <f t="shared" si="7"/>
        <v>0</v>
      </c>
      <c r="T31" s="75"/>
      <c r="U31" s="74">
        <f t="shared" si="8"/>
        <v>0</v>
      </c>
      <c r="V31" s="39">
        <f t="shared" si="9"/>
        <v>38</v>
      </c>
      <c r="W31" s="38">
        <f t="shared" si="10"/>
        <v>3.8304</v>
      </c>
      <c r="X31" s="12"/>
      <c r="Y31" s="13">
        <f t="shared" si="11"/>
        <v>0</v>
      </c>
      <c r="Z31" s="49">
        <f t="shared" si="12"/>
        <v>38</v>
      </c>
      <c r="AA31" s="98">
        <f t="shared" si="13"/>
        <v>3.8304</v>
      </c>
      <c r="AB31">
        <f t="shared" si="14"/>
        <v>0</v>
      </c>
    </row>
    <row r="32" spans="1:28" ht="24" customHeight="1" x14ac:dyDescent="0.25">
      <c r="A32" s="58" t="s">
        <v>30</v>
      </c>
      <c r="B32" s="67">
        <v>90</v>
      </c>
      <c r="C32" s="68">
        <v>80</v>
      </c>
      <c r="D32" s="68">
        <v>8</v>
      </c>
      <c r="E32" s="69">
        <f t="shared" si="2"/>
        <v>5.7599999999999998E-2</v>
      </c>
      <c r="F32" s="54">
        <v>24</v>
      </c>
      <c r="G32" s="55">
        <f t="shared" si="3"/>
        <v>1.3824000000000001</v>
      </c>
      <c r="H32" s="75"/>
      <c r="I32" s="74">
        <f t="shared" si="4"/>
        <v>0</v>
      </c>
      <c r="J32" s="6"/>
      <c r="K32" s="10">
        <f t="shared" si="0"/>
        <v>0</v>
      </c>
      <c r="L32" s="75"/>
      <c r="M32" s="74">
        <f t="shared" si="1"/>
        <v>0</v>
      </c>
      <c r="N32" s="6"/>
      <c r="O32" s="10">
        <f t="shared" si="5"/>
        <v>0</v>
      </c>
      <c r="P32" s="75"/>
      <c r="Q32" s="74">
        <f t="shared" si="6"/>
        <v>0</v>
      </c>
      <c r="R32" s="6"/>
      <c r="S32" s="10">
        <f t="shared" si="7"/>
        <v>0</v>
      </c>
      <c r="T32" s="75"/>
      <c r="U32" s="74">
        <f t="shared" si="8"/>
        <v>0</v>
      </c>
      <c r="V32" s="39">
        <f t="shared" si="9"/>
        <v>24</v>
      </c>
      <c r="W32" s="38">
        <f t="shared" si="10"/>
        <v>1.3824000000000001</v>
      </c>
      <c r="X32" s="12"/>
      <c r="Y32" s="13">
        <f t="shared" si="11"/>
        <v>0</v>
      </c>
      <c r="Z32" s="49">
        <f t="shared" si="12"/>
        <v>24</v>
      </c>
      <c r="AA32" s="98">
        <f t="shared" si="13"/>
        <v>1.3824000000000001</v>
      </c>
      <c r="AB32">
        <f t="shared" si="14"/>
        <v>0</v>
      </c>
    </row>
    <row r="33" spans="1:28" ht="24" customHeight="1" x14ac:dyDescent="0.25">
      <c r="A33" s="58" t="s">
        <v>31</v>
      </c>
      <c r="B33" s="67">
        <v>90</v>
      </c>
      <c r="C33" s="68">
        <v>80</v>
      </c>
      <c r="D33" s="68">
        <v>8</v>
      </c>
      <c r="E33" s="69">
        <f t="shared" si="2"/>
        <v>5.7599999999999998E-2</v>
      </c>
      <c r="F33" s="54">
        <v>7</v>
      </c>
      <c r="G33" s="55">
        <f t="shared" si="3"/>
        <v>0.4032</v>
      </c>
      <c r="H33" s="75"/>
      <c r="I33" s="74">
        <f t="shared" si="4"/>
        <v>0</v>
      </c>
      <c r="J33" s="6"/>
      <c r="K33" s="10">
        <f t="shared" si="0"/>
        <v>0</v>
      </c>
      <c r="L33" s="75"/>
      <c r="M33" s="74">
        <f t="shared" si="1"/>
        <v>0</v>
      </c>
      <c r="N33" s="6"/>
      <c r="O33" s="10">
        <f t="shared" si="5"/>
        <v>0</v>
      </c>
      <c r="P33" s="75"/>
      <c r="Q33" s="74">
        <f t="shared" si="6"/>
        <v>0</v>
      </c>
      <c r="R33" s="6"/>
      <c r="S33" s="10">
        <f t="shared" si="7"/>
        <v>0</v>
      </c>
      <c r="T33" s="75"/>
      <c r="U33" s="74">
        <f t="shared" si="8"/>
        <v>0</v>
      </c>
      <c r="V33" s="39">
        <f t="shared" si="9"/>
        <v>7</v>
      </c>
      <c r="W33" s="38">
        <f t="shared" si="10"/>
        <v>0.4032</v>
      </c>
      <c r="X33" s="12"/>
      <c r="Y33" s="13">
        <f t="shared" si="11"/>
        <v>0</v>
      </c>
      <c r="Z33" s="49">
        <f t="shared" si="12"/>
        <v>7</v>
      </c>
      <c r="AA33" s="98">
        <f t="shared" si="13"/>
        <v>0.4032</v>
      </c>
      <c r="AB33">
        <f t="shared" si="14"/>
        <v>0</v>
      </c>
    </row>
    <row r="34" spans="1:28" ht="24" customHeight="1" x14ac:dyDescent="0.25">
      <c r="A34" s="58" t="s">
        <v>32</v>
      </c>
      <c r="B34" s="67"/>
      <c r="C34" s="68"/>
      <c r="D34" s="68"/>
      <c r="E34" s="69">
        <f t="shared" si="2"/>
        <v>0</v>
      </c>
      <c r="F34" s="54">
        <v>300</v>
      </c>
      <c r="G34" s="55">
        <f t="shared" si="3"/>
        <v>0</v>
      </c>
      <c r="H34" s="75"/>
      <c r="I34" s="74">
        <f t="shared" si="4"/>
        <v>0</v>
      </c>
      <c r="J34" s="6"/>
      <c r="K34" s="10">
        <f t="shared" si="0"/>
        <v>0</v>
      </c>
      <c r="L34" s="75"/>
      <c r="M34" s="74">
        <f t="shared" si="1"/>
        <v>0</v>
      </c>
      <c r="N34" s="6"/>
      <c r="O34" s="10">
        <f t="shared" si="5"/>
        <v>0</v>
      </c>
      <c r="P34" s="75"/>
      <c r="Q34" s="74">
        <f t="shared" si="6"/>
        <v>0</v>
      </c>
      <c r="R34" s="6"/>
      <c r="S34" s="10">
        <f t="shared" si="7"/>
        <v>0</v>
      </c>
      <c r="T34" s="75"/>
      <c r="U34" s="74">
        <f t="shared" si="8"/>
        <v>0</v>
      </c>
      <c r="V34" s="39">
        <f t="shared" si="9"/>
        <v>300</v>
      </c>
      <c r="W34" s="38">
        <f t="shared" si="10"/>
        <v>0</v>
      </c>
      <c r="X34" s="12"/>
      <c r="Y34" s="13">
        <f t="shared" si="11"/>
        <v>0</v>
      </c>
      <c r="Z34" s="49">
        <f t="shared" si="12"/>
        <v>300</v>
      </c>
      <c r="AA34" s="98">
        <f t="shared" si="13"/>
        <v>0</v>
      </c>
      <c r="AB34">
        <f t="shared" si="14"/>
        <v>0</v>
      </c>
    </row>
    <row r="35" spans="1:28" ht="24" customHeight="1" x14ac:dyDescent="0.25">
      <c r="A35" s="58" t="s">
        <v>33</v>
      </c>
      <c r="B35" s="67">
        <v>80</v>
      </c>
      <c r="C35" s="68">
        <v>66</v>
      </c>
      <c r="D35" s="68">
        <v>5</v>
      </c>
      <c r="E35" s="69">
        <f t="shared" si="2"/>
        <v>2.64E-2</v>
      </c>
      <c r="F35" s="54">
        <v>56</v>
      </c>
      <c r="G35" s="55">
        <f t="shared" si="3"/>
        <v>1.4783999999999999</v>
      </c>
      <c r="H35" s="75"/>
      <c r="I35" s="74">
        <f t="shared" si="4"/>
        <v>0</v>
      </c>
      <c r="J35" s="6"/>
      <c r="K35" s="10">
        <f t="shared" si="0"/>
        <v>0</v>
      </c>
      <c r="L35" s="75"/>
      <c r="M35" s="74">
        <f t="shared" si="1"/>
        <v>0</v>
      </c>
      <c r="N35" s="6"/>
      <c r="O35" s="10">
        <f t="shared" si="5"/>
        <v>0</v>
      </c>
      <c r="P35" s="75"/>
      <c r="Q35" s="74">
        <f t="shared" si="6"/>
        <v>0</v>
      </c>
      <c r="R35" s="6"/>
      <c r="S35" s="10">
        <f t="shared" si="7"/>
        <v>0</v>
      </c>
      <c r="T35" s="75"/>
      <c r="U35" s="74">
        <f t="shared" si="8"/>
        <v>0</v>
      </c>
      <c r="V35" s="39">
        <f t="shared" si="9"/>
        <v>56</v>
      </c>
      <c r="W35" s="38">
        <f t="shared" si="10"/>
        <v>1.4783999999999999</v>
      </c>
      <c r="X35" s="12"/>
      <c r="Y35" s="13">
        <f t="shared" si="11"/>
        <v>0</v>
      </c>
      <c r="Z35" s="49">
        <f t="shared" si="12"/>
        <v>56</v>
      </c>
      <c r="AA35" s="98">
        <f t="shared" si="13"/>
        <v>1.4783999999999999</v>
      </c>
      <c r="AB35">
        <f t="shared" si="14"/>
        <v>0</v>
      </c>
    </row>
    <row r="36" spans="1:28" ht="24" customHeight="1" x14ac:dyDescent="0.25">
      <c r="A36" s="58" t="s">
        <v>34</v>
      </c>
      <c r="B36" s="67">
        <v>60</v>
      </c>
      <c r="C36" s="68">
        <v>62</v>
      </c>
      <c r="D36" s="68">
        <v>5</v>
      </c>
      <c r="E36" s="69">
        <f t="shared" si="2"/>
        <v>1.8599999999999998E-2</v>
      </c>
      <c r="F36" s="54">
        <v>17</v>
      </c>
      <c r="G36" s="55">
        <f t="shared" si="3"/>
        <v>0.31619999999999998</v>
      </c>
      <c r="H36" s="75"/>
      <c r="I36" s="74">
        <f t="shared" si="4"/>
        <v>0</v>
      </c>
      <c r="J36" s="6"/>
      <c r="K36" s="10">
        <f t="shared" si="0"/>
        <v>0</v>
      </c>
      <c r="L36" s="75"/>
      <c r="M36" s="74">
        <f t="shared" si="1"/>
        <v>0</v>
      </c>
      <c r="N36" s="6"/>
      <c r="O36" s="10">
        <f t="shared" si="5"/>
        <v>0</v>
      </c>
      <c r="P36" s="75"/>
      <c r="Q36" s="74">
        <f t="shared" si="6"/>
        <v>0</v>
      </c>
      <c r="R36" s="6"/>
      <c r="S36" s="10">
        <f t="shared" si="7"/>
        <v>0</v>
      </c>
      <c r="T36" s="75"/>
      <c r="U36" s="74">
        <f t="shared" si="8"/>
        <v>0</v>
      </c>
      <c r="V36" s="39">
        <f t="shared" si="9"/>
        <v>17</v>
      </c>
      <c r="W36" s="38">
        <f t="shared" si="10"/>
        <v>0.31619999999999998</v>
      </c>
      <c r="X36" s="12"/>
      <c r="Y36" s="13">
        <f t="shared" si="11"/>
        <v>0</v>
      </c>
      <c r="Z36" s="49">
        <f t="shared" si="12"/>
        <v>17</v>
      </c>
      <c r="AA36" s="98">
        <f t="shared" si="13"/>
        <v>0.31619999999999998</v>
      </c>
      <c r="AB36">
        <f t="shared" si="14"/>
        <v>0</v>
      </c>
    </row>
    <row r="37" spans="1:28" ht="24" customHeight="1" x14ac:dyDescent="0.25">
      <c r="A37" s="58" t="s">
        <v>41</v>
      </c>
      <c r="B37" s="67">
        <v>60</v>
      </c>
      <c r="C37" s="68">
        <v>67</v>
      </c>
      <c r="D37" s="68">
        <v>3</v>
      </c>
      <c r="E37" s="69">
        <f t="shared" si="2"/>
        <v>1.206E-2</v>
      </c>
      <c r="F37" s="54">
        <v>62</v>
      </c>
      <c r="G37" s="55">
        <f t="shared" si="3"/>
        <v>0.74771999999999994</v>
      </c>
      <c r="H37" s="75"/>
      <c r="I37" s="74">
        <f t="shared" si="4"/>
        <v>0</v>
      </c>
      <c r="J37" s="6"/>
      <c r="K37" s="10">
        <f t="shared" ref="K37:K64" si="15">E37*J37</f>
        <v>0</v>
      </c>
      <c r="L37" s="75"/>
      <c r="M37" s="74">
        <f t="shared" ref="M37:M66" si="16">E37*L37</f>
        <v>0</v>
      </c>
      <c r="N37" s="6"/>
      <c r="O37" s="10">
        <f t="shared" si="5"/>
        <v>0</v>
      </c>
      <c r="P37" s="75">
        <v>50</v>
      </c>
      <c r="Q37" s="74">
        <f t="shared" si="6"/>
        <v>0.60299999999999998</v>
      </c>
      <c r="R37" s="6"/>
      <c r="S37" s="10">
        <f t="shared" si="7"/>
        <v>0</v>
      </c>
      <c r="T37" s="75"/>
      <c r="U37" s="74">
        <f t="shared" si="8"/>
        <v>0</v>
      </c>
      <c r="V37" s="39">
        <f t="shared" si="9"/>
        <v>12</v>
      </c>
      <c r="W37" s="38">
        <f t="shared" si="10"/>
        <v>0.14471999999999999</v>
      </c>
      <c r="X37" s="12"/>
      <c r="Y37" s="13">
        <f t="shared" si="11"/>
        <v>0</v>
      </c>
      <c r="Z37" s="49">
        <f t="shared" si="12"/>
        <v>12</v>
      </c>
      <c r="AA37" s="98">
        <f t="shared" si="13"/>
        <v>0.14471999999999999</v>
      </c>
      <c r="AB37">
        <f t="shared" si="14"/>
        <v>0</v>
      </c>
    </row>
    <row r="38" spans="1:28" ht="24" customHeight="1" x14ac:dyDescent="0.25">
      <c r="A38" s="58" t="s">
        <v>35</v>
      </c>
      <c r="B38" s="67">
        <v>140</v>
      </c>
      <c r="C38" s="68">
        <v>240</v>
      </c>
      <c r="D38" s="68">
        <v>7</v>
      </c>
      <c r="E38" s="69">
        <f t="shared" si="2"/>
        <v>0.23519999999999999</v>
      </c>
      <c r="F38" s="54">
        <v>6</v>
      </c>
      <c r="G38" s="55">
        <f t="shared" si="3"/>
        <v>1.4112</v>
      </c>
      <c r="H38" s="75"/>
      <c r="I38" s="74">
        <f t="shared" si="4"/>
        <v>0</v>
      </c>
      <c r="J38" s="6"/>
      <c r="K38" s="10">
        <f t="shared" si="15"/>
        <v>0</v>
      </c>
      <c r="L38" s="75"/>
      <c r="M38" s="74">
        <f t="shared" si="16"/>
        <v>0</v>
      </c>
      <c r="N38" s="6"/>
      <c r="O38" s="10">
        <f t="shared" si="5"/>
        <v>0</v>
      </c>
      <c r="P38" s="75">
        <v>1</v>
      </c>
      <c r="Q38" s="74">
        <f t="shared" si="6"/>
        <v>0.23519999999999999</v>
      </c>
      <c r="R38" s="6"/>
      <c r="S38" s="10">
        <f t="shared" si="7"/>
        <v>0</v>
      </c>
      <c r="T38" s="75"/>
      <c r="U38" s="74">
        <f t="shared" si="8"/>
        <v>0</v>
      </c>
      <c r="V38" s="39">
        <f t="shared" si="9"/>
        <v>5</v>
      </c>
      <c r="W38" s="38">
        <f t="shared" si="10"/>
        <v>1.1759999999999999</v>
      </c>
      <c r="X38" s="12"/>
      <c r="Y38" s="13">
        <f t="shared" si="11"/>
        <v>0</v>
      </c>
      <c r="Z38" s="49">
        <f t="shared" si="12"/>
        <v>5</v>
      </c>
      <c r="AA38" s="98">
        <f t="shared" ref="AA38:AA66" si="17">E38*Z38</f>
        <v>1.1759999999999999</v>
      </c>
      <c r="AB38">
        <f t="shared" si="14"/>
        <v>0</v>
      </c>
    </row>
    <row r="39" spans="1:28" ht="24" customHeight="1" x14ac:dyDescent="0.25">
      <c r="A39" s="58" t="s">
        <v>36</v>
      </c>
      <c r="B39" s="67">
        <v>60</v>
      </c>
      <c r="C39" s="68">
        <v>56</v>
      </c>
      <c r="D39" s="68">
        <v>10</v>
      </c>
      <c r="E39" s="69">
        <f t="shared" si="2"/>
        <v>3.3599999999999998E-2</v>
      </c>
      <c r="F39" s="54">
        <v>30</v>
      </c>
      <c r="G39" s="55">
        <f t="shared" si="3"/>
        <v>1.008</v>
      </c>
      <c r="H39" s="75"/>
      <c r="I39" s="74">
        <f t="shared" si="4"/>
        <v>0</v>
      </c>
      <c r="J39" s="6"/>
      <c r="K39" s="10">
        <f t="shared" si="15"/>
        <v>0</v>
      </c>
      <c r="L39" s="75"/>
      <c r="M39" s="74">
        <f t="shared" si="16"/>
        <v>0</v>
      </c>
      <c r="N39" s="6"/>
      <c r="O39" s="10">
        <f t="shared" si="5"/>
        <v>0</v>
      </c>
      <c r="P39" s="75"/>
      <c r="Q39" s="74">
        <f t="shared" si="6"/>
        <v>0</v>
      </c>
      <c r="R39" s="6"/>
      <c r="S39" s="10">
        <f t="shared" si="7"/>
        <v>0</v>
      </c>
      <c r="T39" s="75"/>
      <c r="U39" s="74">
        <f t="shared" si="8"/>
        <v>0</v>
      </c>
      <c r="V39" s="39">
        <f t="shared" si="9"/>
        <v>30</v>
      </c>
      <c r="W39" s="38">
        <f t="shared" si="10"/>
        <v>1.008</v>
      </c>
      <c r="X39" s="12"/>
      <c r="Y39" s="13">
        <f t="shared" si="11"/>
        <v>0</v>
      </c>
      <c r="Z39" s="49">
        <f t="shared" si="12"/>
        <v>30</v>
      </c>
      <c r="AA39" s="98">
        <f t="shared" si="17"/>
        <v>1.008</v>
      </c>
      <c r="AB39">
        <f t="shared" si="14"/>
        <v>0</v>
      </c>
    </row>
    <row r="40" spans="1:28" ht="24" customHeight="1" x14ac:dyDescent="0.25">
      <c r="A40" s="58" t="s">
        <v>37</v>
      </c>
      <c r="B40" s="67">
        <v>58</v>
      </c>
      <c r="C40" s="68">
        <v>55</v>
      </c>
      <c r="D40" s="68">
        <v>10</v>
      </c>
      <c r="E40" s="69">
        <f t="shared" si="2"/>
        <v>3.1899999999999998E-2</v>
      </c>
      <c r="F40" s="54">
        <v>66</v>
      </c>
      <c r="G40" s="55">
        <f t="shared" si="3"/>
        <v>2.1053999999999999</v>
      </c>
      <c r="H40" s="75"/>
      <c r="I40" s="74">
        <f t="shared" si="4"/>
        <v>0</v>
      </c>
      <c r="J40" s="6"/>
      <c r="K40" s="10">
        <f t="shared" si="15"/>
        <v>0</v>
      </c>
      <c r="L40" s="75"/>
      <c r="M40" s="74">
        <f t="shared" si="16"/>
        <v>0</v>
      </c>
      <c r="N40" s="6"/>
      <c r="O40" s="10">
        <f t="shared" si="5"/>
        <v>0</v>
      </c>
      <c r="P40" s="75"/>
      <c r="Q40" s="74">
        <f t="shared" si="6"/>
        <v>0</v>
      </c>
      <c r="R40" s="6"/>
      <c r="S40" s="10">
        <f t="shared" si="7"/>
        <v>0</v>
      </c>
      <c r="T40" s="75"/>
      <c r="U40" s="74">
        <f t="shared" si="8"/>
        <v>0</v>
      </c>
      <c r="V40" s="39">
        <f t="shared" si="9"/>
        <v>66</v>
      </c>
      <c r="W40" s="38">
        <f t="shared" si="10"/>
        <v>2.1053999999999999</v>
      </c>
      <c r="X40" s="12"/>
      <c r="Y40" s="13">
        <f t="shared" si="11"/>
        <v>0</v>
      </c>
      <c r="Z40" s="49">
        <f t="shared" si="12"/>
        <v>66</v>
      </c>
      <c r="AA40" s="98">
        <f t="shared" si="17"/>
        <v>2.1053999999999999</v>
      </c>
      <c r="AB40">
        <f t="shared" si="14"/>
        <v>0</v>
      </c>
    </row>
    <row r="41" spans="1:28" ht="24" customHeight="1" x14ac:dyDescent="0.25">
      <c r="A41" s="58" t="s">
        <v>38</v>
      </c>
      <c r="B41" s="67">
        <v>63</v>
      </c>
      <c r="C41" s="68">
        <v>55</v>
      </c>
      <c r="D41" s="68">
        <v>5</v>
      </c>
      <c r="E41" s="69">
        <f t="shared" si="2"/>
        <v>1.7325E-2</v>
      </c>
      <c r="F41" s="54">
        <v>10</v>
      </c>
      <c r="G41" s="55">
        <f t="shared" si="3"/>
        <v>0.17325000000000002</v>
      </c>
      <c r="H41" s="75"/>
      <c r="I41" s="74">
        <f t="shared" si="4"/>
        <v>0</v>
      </c>
      <c r="J41" s="6"/>
      <c r="K41" s="10">
        <f t="shared" si="15"/>
        <v>0</v>
      </c>
      <c r="L41" s="75"/>
      <c r="M41" s="74">
        <f t="shared" si="16"/>
        <v>0</v>
      </c>
      <c r="N41" s="6"/>
      <c r="O41" s="10">
        <f t="shared" si="5"/>
        <v>0</v>
      </c>
      <c r="P41" s="75"/>
      <c r="Q41" s="74">
        <f t="shared" si="6"/>
        <v>0</v>
      </c>
      <c r="R41" s="6"/>
      <c r="S41" s="10">
        <f t="shared" si="7"/>
        <v>0</v>
      </c>
      <c r="T41" s="75"/>
      <c r="U41" s="74">
        <f t="shared" si="8"/>
        <v>0</v>
      </c>
      <c r="V41" s="39">
        <f t="shared" si="9"/>
        <v>10</v>
      </c>
      <c r="W41" s="38">
        <f t="shared" si="10"/>
        <v>0.17325000000000002</v>
      </c>
      <c r="X41" s="12"/>
      <c r="Y41" s="13">
        <f t="shared" si="11"/>
        <v>0</v>
      </c>
      <c r="Z41" s="49">
        <f t="shared" si="12"/>
        <v>10</v>
      </c>
      <c r="AA41" s="98">
        <f t="shared" si="17"/>
        <v>0.17325000000000002</v>
      </c>
      <c r="AB41">
        <f t="shared" si="14"/>
        <v>0</v>
      </c>
    </row>
    <row r="42" spans="1:28" ht="24" customHeight="1" x14ac:dyDescent="0.25">
      <c r="A42" s="58" t="s">
        <v>39</v>
      </c>
      <c r="B42" s="67">
        <v>52</v>
      </c>
      <c r="C42" s="68">
        <v>52</v>
      </c>
      <c r="D42" s="68">
        <v>5</v>
      </c>
      <c r="E42" s="69">
        <f t="shared" si="2"/>
        <v>1.3520000000000001E-2</v>
      </c>
      <c r="F42" s="54">
        <v>143</v>
      </c>
      <c r="G42" s="55">
        <f t="shared" si="3"/>
        <v>1.9333600000000002</v>
      </c>
      <c r="H42" s="75"/>
      <c r="I42" s="74">
        <f t="shared" si="4"/>
        <v>0</v>
      </c>
      <c r="J42" s="6"/>
      <c r="K42" s="10">
        <f t="shared" si="15"/>
        <v>0</v>
      </c>
      <c r="L42" s="75">
        <v>16</v>
      </c>
      <c r="M42" s="74">
        <f t="shared" si="16"/>
        <v>0.21632000000000001</v>
      </c>
      <c r="N42" s="6"/>
      <c r="O42" s="10">
        <f t="shared" si="5"/>
        <v>0</v>
      </c>
      <c r="P42" s="75"/>
      <c r="Q42" s="74">
        <f t="shared" si="6"/>
        <v>0</v>
      </c>
      <c r="R42" s="6"/>
      <c r="S42" s="10">
        <f t="shared" si="7"/>
        <v>0</v>
      </c>
      <c r="T42" s="75"/>
      <c r="U42" s="74">
        <f t="shared" si="8"/>
        <v>0</v>
      </c>
      <c r="V42" s="39">
        <f t="shared" si="9"/>
        <v>127</v>
      </c>
      <c r="W42" s="38">
        <f t="shared" si="10"/>
        <v>1.7170400000000001</v>
      </c>
      <c r="X42" s="12"/>
      <c r="Y42" s="13">
        <f t="shared" si="11"/>
        <v>0</v>
      </c>
      <c r="Z42" s="49">
        <f t="shared" si="12"/>
        <v>127</v>
      </c>
      <c r="AA42" s="98">
        <f t="shared" si="17"/>
        <v>1.7170400000000001</v>
      </c>
      <c r="AB42">
        <f t="shared" si="14"/>
        <v>0</v>
      </c>
    </row>
    <row r="43" spans="1:28" ht="24" customHeight="1" x14ac:dyDescent="0.25">
      <c r="A43" s="58" t="s">
        <v>40</v>
      </c>
      <c r="B43" s="67">
        <v>80</v>
      </c>
      <c r="C43" s="68">
        <v>70</v>
      </c>
      <c r="D43" s="68">
        <v>8</v>
      </c>
      <c r="E43" s="69">
        <f t="shared" si="2"/>
        <v>4.48E-2</v>
      </c>
      <c r="F43" s="54">
        <v>138</v>
      </c>
      <c r="G43" s="55">
        <f t="shared" si="3"/>
        <v>6.1824000000000003</v>
      </c>
      <c r="H43" s="75"/>
      <c r="I43" s="74">
        <f t="shared" si="4"/>
        <v>0</v>
      </c>
      <c r="J43" s="6"/>
      <c r="K43" s="10">
        <f t="shared" si="15"/>
        <v>0</v>
      </c>
      <c r="L43" s="75"/>
      <c r="M43" s="74">
        <f t="shared" si="16"/>
        <v>0</v>
      </c>
      <c r="N43" s="6"/>
      <c r="O43" s="10">
        <f t="shared" si="5"/>
        <v>0</v>
      </c>
      <c r="P43" s="75">
        <v>6</v>
      </c>
      <c r="Q43" s="74">
        <f t="shared" si="6"/>
        <v>0.26879999999999998</v>
      </c>
      <c r="R43" s="6"/>
      <c r="S43" s="10">
        <f t="shared" si="7"/>
        <v>0</v>
      </c>
      <c r="T43" s="75"/>
      <c r="U43" s="74">
        <f t="shared" si="8"/>
        <v>0</v>
      </c>
      <c r="V43" s="39">
        <f t="shared" si="9"/>
        <v>132</v>
      </c>
      <c r="W43" s="38">
        <f t="shared" si="10"/>
        <v>5.9135999999999997</v>
      </c>
      <c r="X43" s="12"/>
      <c r="Y43" s="13">
        <f t="shared" si="11"/>
        <v>0</v>
      </c>
      <c r="Z43" s="49">
        <f t="shared" si="12"/>
        <v>132</v>
      </c>
      <c r="AA43" s="98">
        <f t="shared" si="17"/>
        <v>5.9135999999999997</v>
      </c>
      <c r="AB43">
        <f t="shared" si="14"/>
        <v>0</v>
      </c>
    </row>
    <row r="44" spans="1:28" ht="24" customHeight="1" x14ac:dyDescent="0.25">
      <c r="A44" s="58" t="s">
        <v>42</v>
      </c>
      <c r="B44" s="67">
        <v>70</v>
      </c>
      <c r="C44" s="68">
        <v>64</v>
      </c>
      <c r="D44" s="68">
        <v>8</v>
      </c>
      <c r="E44" s="69">
        <f t="shared" si="2"/>
        <v>3.5839999999999997E-2</v>
      </c>
      <c r="F44" s="54">
        <v>216</v>
      </c>
      <c r="G44" s="55">
        <f t="shared" si="3"/>
        <v>7.741439999999999</v>
      </c>
      <c r="H44" s="75"/>
      <c r="I44" s="74">
        <f t="shared" si="4"/>
        <v>0</v>
      </c>
      <c r="J44" s="6"/>
      <c r="K44" s="10">
        <f t="shared" si="15"/>
        <v>0</v>
      </c>
      <c r="L44" s="75"/>
      <c r="M44" s="74">
        <f t="shared" si="16"/>
        <v>0</v>
      </c>
      <c r="N44" s="6"/>
      <c r="O44" s="10">
        <f t="shared" si="5"/>
        <v>0</v>
      </c>
      <c r="P44" s="75"/>
      <c r="Q44" s="74">
        <f t="shared" si="6"/>
        <v>0</v>
      </c>
      <c r="R44" s="6"/>
      <c r="S44" s="10">
        <f t="shared" si="7"/>
        <v>0</v>
      </c>
      <c r="T44" s="75"/>
      <c r="U44" s="74">
        <f t="shared" si="8"/>
        <v>0</v>
      </c>
      <c r="V44" s="39">
        <f t="shared" si="9"/>
        <v>216</v>
      </c>
      <c r="W44" s="38">
        <f t="shared" si="10"/>
        <v>7.741439999999999</v>
      </c>
      <c r="X44" s="12"/>
      <c r="Y44" s="13">
        <f t="shared" si="11"/>
        <v>0</v>
      </c>
      <c r="Z44" s="49">
        <f t="shared" si="12"/>
        <v>216</v>
      </c>
      <c r="AA44" s="98">
        <f t="shared" si="17"/>
        <v>7.741439999999999</v>
      </c>
      <c r="AB44">
        <f t="shared" si="14"/>
        <v>0</v>
      </c>
    </row>
    <row r="45" spans="1:28" ht="24" customHeight="1" x14ac:dyDescent="0.25">
      <c r="A45" s="58" t="s">
        <v>43</v>
      </c>
      <c r="B45" s="67">
        <v>75</v>
      </c>
      <c r="C45" s="68">
        <v>70</v>
      </c>
      <c r="D45" s="68">
        <v>8</v>
      </c>
      <c r="E45" s="69">
        <f t="shared" si="2"/>
        <v>4.2000000000000003E-2</v>
      </c>
      <c r="F45" s="54">
        <v>76</v>
      </c>
      <c r="G45" s="55">
        <f t="shared" si="3"/>
        <v>3.1920000000000002</v>
      </c>
      <c r="H45" s="75"/>
      <c r="I45" s="74">
        <f t="shared" si="4"/>
        <v>0</v>
      </c>
      <c r="J45" s="6"/>
      <c r="K45" s="10">
        <f t="shared" si="15"/>
        <v>0</v>
      </c>
      <c r="L45" s="75"/>
      <c r="M45" s="74">
        <f t="shared" si="16"/>
        <v>0</v>
      </c>
      <c r="N45" s="6"/>
      <c r="O45" s="10">
        <f t="shared" si="5"/>
        <v>0</v>
      </c>
      <c r="P45" s="75">
        <v>8</v>
      </c>
      <c r="Q45" s="74">
        <f t="shared" si="6"/>
        <v>0.33600000000000002</v>
      </c>
      <c r="R45" s="6"/>
      <c r="S45" s="10">
        <f t="shared" si="7"/>
        <v>0</v>
      </c>
      <c r="T45" s="75"/>
      <c r="U45" s="74">
        <f t="shared" si="8"/>
        <v>0</v>
      </c>
      <c r="V45" s="39">
        <f t="shared" si="9"/>
        <v>68</v>
      </c>
      <c r="W45" s="38">
        <f t="shared" si="10"/>
        <v>2.8560000000000003</v>
      </c>
      <c r="X45" s="12"/>
      <c r="Y45" s="13">
        <f t="shared" si="11"/>
        <v>0</v>
      </c>
      <c r="Z45" s="49">
        <f t="shared" si="12"/>
        <v>68</v>
      </c>
      <c r="AA45" s="98">
        <f t="shared" si="17"/>
        <v>2.8560000000000003</v>
      </c>
      <c r="AB45">
        <f t="shared" si="14"/>
        <v>0</v>
      </c>
    </row>
    <row r="46" spans="1:28" ht="24" customHeight="1" x14ac:dyDescent="0.25">
      <c r="A46" s="58" t="s">
        <v>77</v>
      </c>
      <c r="B46" s="67">
        <v>142</v>
      </c>
      <c r="C46" s="68">
        <v>67</v>
      </c>
      <c r="D46" s="68">
        <v>5</v>
      </c>
      <c r="E46" s="69">
        <f t="shared" si="2"/>
        <v>4.7570000000000001E-2</v>
      </c>
      <c r="F46" s="54">
        <v>756</v>
      </c>
      <c r="G46" s="55">
        <f t="shared" si="3"/>
        <v>35.962920000000004</v>
      </c>
      <c r="H46" s="75">
        <v>0</v>
      </c>
      <c r="I46" s="74">
        <f t="shared" si="4"/>
        <v>0</v>
      </c>
      <c r="J46" s="6">
        <v>2</v>
      </c>
      <c r="K46" s="10">
        <f t="shared" si="15"/>
        <v>9.5140000000000002E-2</v>
      </c>
      <c r="L46" s="75"/>
      <c r="M46" s="74">
        <f t="shared" si="16"/>
        <v>0</v>
      </c>
      <c r="N46" s="6"/>
      <c r="O46" s="10">
        <f t="shared" si="5"/>
        <v>0</v>
      </c>
      <c r="P46" s="75"/>
      <c r="Q46" s="74">
        <f t="shared" si="6"/>
        <v>0</v>
      </c>
      <c r="R46" s="6"/>
      <c r="S46" s="10">
        <f t="shared" si="7"/>
        <v>0</v>
      </c>
      <c r="T46" s="75"/>
      <c r="U46" s="74">
        <f t="shared" si="8"/>
        <v>0</v>
      </c>
      <c r="V46" s="39">
        <f t="shared" si="9"/>
        <v>754</v>
      </c>
      <c r="W46" s="38">
        <f t="shared" si="10"/>
        <v>35.867780000000003</v>
      </c>
      <c r="X46" s="12"/>
      <c r="Y46" s="13">
        <f t="shared" si="11"/>
        <v>0</v>
      </c>
      <c r="Z46" s="49">
        <f t="shared" si="12"/>
        <v>754</v>
      </c>
      <c r="AA46" s="98">
        <f t="shared" si="17"/>
        <v>35.867780000000003</v>
      </c>
      <c r="AB46">
        <f t="shared" si="14"/>
        <v>0</v>
      </c>
    </row>
    <row r="47" spans="1:28" ht="24" customHeight="1" x14ac:dyDescent="0.25">
      <c r="A47" s="58" t="s">
        <v>45</v>
      </c>
      <c r="B47" s="67">
        <v>80</v>
      </c>
      <c r="C47" s="68">
        <v>63</v>
      </c>
      <c r="D47" s="68">
        <v>5</v>
      </c>
      <c r="E47" s="69">
        <f t="shared" si="2"/>
        <v>2.52E-2</v>
      </c>
      <c r="F47" s="54">
        <v>315</v>
      </c>
      <c r="G47" s="55">
        <f t="shared" si="3"/>
        <v>7.9379999999999997</v>
      </c>
      <c r="H47" s="75"/>
      <c r="I47" s="74">
        <f t="shared" si="4"/>
        <v>0</v>
      </c>
      <c r="J47" s="6"/>
      <c r="K47" s="10">
        <f t="shared" si="15"/>
        <v>0</v>
      </c>
      <c r="L47" s="75"/>
      <c r="M47" s="74">
        <f t="shared" si="16"/>
        <v>0</v>
      </c>
      <c r="N47" s="6"/>
      <c r="O47" s="10">
        <f t="shared" si="5"/>
        <v>0</v>
      </c>
      <c r="P47" s="75"/>
      <c r="Q47" s="74">
        <f t="shared" si="6"/>
        <v>0</v>
      </c>
      <c r="R47" s="6"/>
      <c r="S47" s="10">
        <f t="shared" si="7"/>
        <v>0</v>
      </c>
      <c r="T47" s="75"/>
      <c r="U47" s="74">
        <f t="shared" si="8"/>
        <v>0</v>
      </c>
      <c r="V47" s="39">
        <f t="shared" si="9"/>
        <v>315</v>
      </c>
      <c r="W47" s="38">
        <f t="shared" si="10"/>
        <v>7.9379999999999997</v>
      </c>
      <c r="X47" s="12"/>
      <c r="Y47" s="13">
        <f t="shared" si="11"/>
        <v>0</v>
      </c>
      <c r="Z47" s="49">
        <f t="shared" si="12"/>
        <v>315</v>
      </c>
      <c r="AA47" s="98">
        <f t="shared" si="17"/>
        <v>7.9379999999999997</v>
      </c>
      <c r="AB47">
        <f t="shared" si="14"/>
        <v>0</v>
      </c>
    </row>
    <row r="48" spans="1:28" ht="24" customHeight="1" x14ac:dyDescent="0.25">
      <c r="A48" s="58" t="s">
        <v>46</v>
      </c>
      <c r="B48" s="67">
        <v>77</v>
      </c>
      <c r="C48" s="68">
        <v>68</v>
      </c>
      <c r="D48" s="68">
        <v>8</v>
      </c>
      <c r="E48" s="69">
        <f t="shared" si="2"/>
        <v>4.1888000000000002E-2</v>
      </c>
      <c r="F48" s="54">
        <v>103</v>
      </c>
      <c r="G48" s="55">
        <f t="shared" si="3"/>
        <v>4.3144640000000001</v>
      </c>
      <c r="H48" s="75"/>
      <c r="I48" s="74">
        <f t="shared" si="4"/>
        <v>0</v>
      </c>
      <c r="J48" s="6"/>
      <c r="K48" s="10">
        <f t="shared" si="15"/>
        <v>0</v>
      </c>
      <c r="L48" s="75"/>
      <c r="M48" s="74">
        <f t="shared" si="16"/>
        <v>0</v>
      </c>
      <c r="N48" s="6"/>
      <c r="O48" s="10">
        <f t="shared" si="5"/>
        <v>0</v>
      </c>
      <c r="P48" s="75"/>
      <c r="Q48" s="74">
        <f t="shared" si="6"/>
        <v>0</v>
      </c>
      <c r="R48" s="6"/>
      <c r="S48" s="10">
        <f t="shared" si="7"/>
        <v>0</v>
      </c>
      <c r="T48" s="75"/>
      <c r="U48" s="74">
        <f t="shared" si="8"/>
        <v>0</v>
      </c>
      <c r="V48" s="39">
        <f t="shared" si="9"/>
        <v>103</v>
      </c>
      <c r="W48" s="38">
        <f t="shared" si="10"/>
        <v>4.3144640000000001</v>
      </c>
      <c r="X48" s="12"/>
      <c r="Y48" s="13">
        <f t="shared" si="11"/>
        <v>0</v>
      </c>
      <c r="Z48" s="49">
        <f t="shared" si="12"/>
        <v>103</v>
      </c>
      <c r="AA48" s="98">
        <f t="shared" si="17"/>
        <v>4.3144640000000001</v>
      </c>
      <c r="AB48">
        <f t="shared" si="14"/>
        <v>0</v>
      </c>
    </row>
    <row r="49" spans="1:28" ht="24" customHeight="1" x14ac:dyDescent="0.25">
      <c r="A49" s="58" t="s">
        <v>47</v>
      </c>
      <c r="B49" s="67">
        <v>79</v>
      </c>
      <c r="C49" s="68">
        <v>79</v>
      </c>
      <c r="D49" s="68">
        <v>2</v>
      </c>
      <c r="E49" s="69">
        <f t="shared" si="2"/>
        <v>1.2482E-2</v>
      </c>
      <c r="F49" s="54">
        <v>48</v>
      </c>
      <c r="G49" s="55">
        <f t="shared" si="3"/>
        <v>0.599136</v>
      </c>
      <c r="H49" s="75">
        <v>6</v>
      </c>
      <c r="I49" s="74">
        <f t="shared" si="4"/>
        <v>7.4892E-2</v>
      </c>
      <c r="J49" s="6"/>
      <c r="K49" s="10">
        <f t="shared" si="15"/>
        <v>0</v>
      </c>
      <c r="L49" s="75">
        <v>3</v>
      </c>
      <c r="M49" s="74">
        <f t="shared" si="16"/>
        <v>3.7446E-2</v>
      </c>
      <c r="N49" s="6"/>
      <c r="O49" s="10">
        <f t="shared" si="5"/>
        <v>0</v>
      </c>
      <c r="P49" s="75"/>
      <c r="Q49" s="74">
        <f t="shared" si="6"/>
        <v>0</v>
      </c>
      <c r="R49" s="6"/>
      <c r="S49" s="10">
        <f t="shared" si="7"/>
        <v>0</v>
      </c>
      <c r="T49" s="75"/>
      <c r="U49" s="74">
        <f t="shared" si="8"/>
        <v>0</v>
      </c>
      <c r="V49" s="39">
        <f t="shared" si="9"/>
        <v>39</v>
      </c>
      <c r="W49" s="38">
        <f t="shared" si="10"/>
        <v>0.48679800000000001</v>
      </c>
      <c r="X49" s="12"/>
      <c r="Y49" s="13">
        <f t="shared" si="11"/>
        <v>0</v>
      </c>
      <c r="Z49" s="49">
        <f t="shared" si="12"/>
        <v>39</v>
      </c>
      <c r="AA49" s="98">
        <f t="shared" si="17"/>
        <v>0.48679800000000001</v>
      </c>
      <c r="AB49">
        <f t="shared" si="14"/>
        <v>0</v>
      </c>
    </row>
    <row r="50" spans="1:28" ht="24" customHeight="1" x14ac:dyDescent="0.25">
      <c r="A50" s="58" t="s">
        <v>48</v>
      </c>
      <c r="B50" s="67">
        <v>61</v>
      </c>
      <c r="C50" s="68">
        <v>56</v>
      </c>
      <c r="D50" s="68">
        <v>10</v>
      </c>
      <c r="E50" s="69">
        <f t="shared" si="2"/>
        <v>3.4160000000000003E-2</v>
      </c>
      <c r="F50" s="54">
        <v>30</v>
      </c>
      <c r="G50" s="55">
        <f t="shared" si="3"/>
        <v>1.0248000000000002</v>
      </c>
      <c r="H50" s="75"/>
      <c r="I50" s="74">
        <f t="shared" si="4"/>
        <v>0</v>
      </c>
      <c r="J50" s="6"/>
      <c r="K50" s="10">
        <f t="shared" si="15"/>
        <v>0</v>
      </c>
      <c r="L50" s="75">
        <v>1</v>
      </c>
      <c r="M50" s="74">
        <f t="shared" si="16"/>
        <v>3.4160000000000003E-2</v>
      </c>
      <c r="N50" s="6"/>
      <c r="O50" s="10">
        <f t="shared" si="5"/>
        <v>0</v>
      </c>
      <c r="P50" s="75">
        <v>29</v>
      </c>
      <c r="Q50" s="74">
        <f t="shared" si="6"/>
        <v>0.99064000000000008</v>
      </c>
      <c r="R50" s="6"/>
      <c r="S50" s="10">
        <f t="shared" si="7"/>
        <v>0</v>
      </c>
      <c r="T50" s="75"/>
      <c r="U50" s="74">
        <f t="shared" si="8"/>
        <v>0</v>
      </c>
      <c r="V50" s="39">
        <f t="shared" si="9"/>
        <v>0</v>
      </c>
      <c r="W50" s="38">
        <f t="shared" si="10"/>
        <v>0</v>
      </c>
      <c r="X50" s="12"/>
      <c r="Y50" s="13">
        <f t="shared" si="11"/>
        <v>0</v>
      </c>
      <c r="Z50" s="49">
        <f t="shared" si="12"/>
        <v>0</v>
      </c>
      <c r="AA50" s="98">
        <f t="shared" si="17"/>
        <v>0</v>
      </c>
      <c r="AB50">
        <f t="shared" si="14"/>
        <v>0</v>
      </c>
    </row>
    <row r="51" spans="1:28" ht="24" customHeight="1" x14ac:dyDescent="0.25">
      <c r="A51" s="58" t="s">
        <v>49</v>
      </c>
      <c r="B51" s="67">
        <v>66</v>
      </c>
      <c r="C51" s="68">
        <v>61</v>
      </c>
      <c r="D51" s="68">
        <v>10</v>
      </c>
      <c r="E51" s="69">
        <f t="shared" si="2"/>
        <v>4.0259999999999997E-2</v>
      </c>
      <c r="F51" s="54">
        <v>27</v>
      </c>
      <c r="G51" s="55">
        <f t="shared" si="3"/>
        <v>1.0870199999999999</v>
      </c>
      <c r="H51" s="75"/>
      <c r="I51" s="74">
        <f t="shared" si="4"/>
        <v>0</v>
      </c>
      <c r="J51" s="6"/>
      <c r="K51" s="10">
        <f t="shared" si="15"/>
        <v>0</v>
      </c>
      <c r="L51" s="75">
        <v>1</v>
      </c>
      <c r="M51" s="74">
        <f t="shared" si="16"/>
        <v>4.0259999999999997E-2</v>
      </c>
      <c r="N51" s="6"/>
      <c r="O51" s="10">
        <f t="shared" si="5"/>
        <v>0</v>
      </c>
      <c r="P51" s="75">
        <v>26</v>
      </c>
      <c r="Q51" s="74">
        <f t="shared" si="6"/>
        <v>1.0467599999999999</v>
      </c>
      <c r="R51" s="6"/>
      <c r="S51" s="10">
        <f t="shared" si="7"/>
        <v>0</v>
      </c>
      <c r="T51" s="75"/>
      <c r="U51" s="74">
        <f t="shared" si="8"/>
        <v>0</v>
      </c>
      <c r="V51" s="39">
        <f t="shared" si="9"/>
        <v>0</v>
      </c>
      <c r="W51" s="38">
        <f t="shared" si="10"/>
        <v>0</v>
      </c>
      <c r="X51" s="12"/>
      <c r="Y51" s="13">
        <f t="shared" si="11"/>
        <v>0</v>
      </c>
      <c r="Z51" s="49">
        <f t="shared" si="12"/>
        <v>0</v>
      </c>
      <c r="AA51" s="98">
        <f t="shared" si="17"/>
        <v>0</v>
      </c>
      <c r="AB51">
        <f t="shared" si="14"/>
        <v>0</v>
      </c>
    </row>
    <row r="52" spans="1:28" ht="24" customHeight="1" x14ac:dyDescent="0.25">
      <c r="A52" s="58" t="s">
        <v>50</v>
      </c>
      <c r="B52" s="67">
        <v>63</v>
      </c>
      <c r="C52" s="68">
        <v>61</v>
      </c>
      <c r="D52" s="68">
        <v>10</v>
      </c>
      <c r="E52" s="69">
        <f t="shared" si="2"/>
        <v>3.8429999999999999E-2</v>
      </c>
      <c r="F52" s="54">
        <v>36</v>
      </c>
      <c r="G52" s="55">
        <f t="shared" si="3"/>
        <v>1.38348</v>
      </c>
      <c r="H52" s="75"/>
      <c r="I52" s="74">
        <f t="shared" si="4"/>
        <v>0</v>
      </c>
      <c r="J52" s="6"/>
      <c r="K52" s="10">
        <f t="shared" si="15"/>
        <v>0</v>
      </c>
      <c r="L52" s="75">
        <v>1</v>
      </c>
      <c r="M52" s="74">
        <f t="shared" si="16"/>
        <v>3.8429999999999999E-2</v>
      </c>
      <c r="N52" s="6"/>
      <c r="O52" s="10">
        <f t="shared" si="5"/>
        <v>0</v>
      </c>
      <c r="P52" s="75">
        <v>35</v>
      </c>
      <c r="Q52" s="74">
        <f t="shared" si="6"/>
        <v>1.3450499999999999</v>
      </c>
      <c r="R52" s="6"/>
      <c r="S52" s="10">
        <f t="shared" si="7"/>
        <v>0</v>
      </c>
      <c r="T52" s="75"/>
      <c r="U52" s="74">
        <f t="shared" si="8"/>
        <v>0</v>
      </c>
      <c r="V52" s="39">
        <f t="shared" si="9"/>
        <v>0</v>
      </c>
      <c r="W52" s="38">
        <f t="shared" si="10"/>
        <v>0</v>
      </c>
      <c r="X52" s="12"/>
      <c r="Y52" s="13">
        <f t="shared" si="11"/>
        <v>0</v>
      </c>
      <c r="Z52" s="49">
        <f t="shared" si="12"/>
        <v>0</v>
      </c>
      <c r="AA52" s="98">
        <f t="shared" si="17"/>
        <v>0</v>
      </c>
      <c r="AB52">
        <f t="shared" si="14"/>
        <v>0</v>
      </c>
    </row>
    <row r="53" spans="1:28" ht="24" customHeight="1" x14ac:dyDescent="0.25">
      <c r="A53" s="58" t="s">
        <v>51</v>
      </c>
      <c r="B53" s="67">
        <v>58</v>
      </c>
      <c r="C53" s="68">
        <v>58</v>
      </c>
      <c r="D53" s="68">
        <v>2.2999999999999998</v>
      </c>
      <c r="E53" s="69">
        <f t="shared" si="2"/>
        <v>7.7371999999999996E-3</v>
      </c>
      <c r="F53" s="54">
        <v>4016</v>
      </c>
      <c r="G53" s="55">
        <f t="shared" si="3"/>
        <v>31.072595199999999</v>
      </c>
      <c r="H53" s="75"/>
      <c r="I53" s="74">
        <f t="shared" si="4"/>
        <v>0</v>
      </c>
      <c r="J53" s="6"/>
      <c r="K53" s="10">
        <f t="shared" si="15"/>
        <v>0</v>
      </c>
      <c r="L53" s="75"/>
      <c r="M53" s="74">
        <f t="shared" si="16"/>
        <v>0</v>
      </c>
      <c r="N53" s="6"/>
      <c r="O53" s="10">
        <f t="shared" si="5"/>
        <v>0</v>
      </c>
      <c r="P53" s="75"/>
      <c r="Q53" s="74">
        <f t="shared" si="6"/>
        <v>0</v>
      </c>
      <c r="R53" s="6"/>
      <c r="S53" s="10">
        <f t="shared" si="7"/>
        <v>0</v>
      </c>
      <c r="T53" s="75"/>
      <c r="U53" s="74">
        <f t="shared" si="8"/>
        <v>0</v>
      </c>
      <c r="V53" s="39">
        <f t="shared" si="9"/>
        <v>4016</v>
      </c>
      <c r="W53" s="38">
        <f t="shared" si="10"/>
        <v>31.072595199999999</v>
      </c>
      <c r="X53" s="12"/>
      <c r="Y53" s="13">
        <f t="shared" si="11"/>
        <v>0</v>
      </c>
      <c r="Z53" s="49">
        <f t="shared" si="12"/>
        <v>4016</v>
      </c>
      <c r="AA53" s="98">
        <f t="shared" si="17"/>
        <v>31.072595199999999</v>
      </c>
      <c r="AB53">
        <f t="shared" si="14"/>
        <v>0</v>
      </c>
    </row>
    <row r="54" spans="1:28" ht="24" customHeight="1" x14ac:dyDescent="0.25">
      <c r="A54" s="58" t="s">
        <v>52</v>
      </c>
      <c r="B54" s="67">
        <v>79</v>
      </c>
      <c r="C54" s="68">
        <v>62</v>
      </c>
      <c r="D54" s="68">
        <v>2.2999999999999998</v>
      </c>
      <c r="E54" s="69">
        <f t="shared" si="2"/>
        <v>1.12654E-2</v>
      </c>
      <c r="F54" s="54">
        <v>3595</v>
      </c>
      <c r="G54" s="55">
        <f t="shared" si="3"/>
        <v>40.499113000000001</v>
      </c>
      <c r="H54" s="75"/>
      <c r="I54" s="74">
        <f t="shared" si="4"/>
        <v>0</v>
      </c>
      <c r="J54" s="6"/>
      <c r="K54" s="10">
        <f t="shared" si="15"/>
        <v>0</v>
      </c>
      <c r="L54" s="75"/>
      <c r="M54" s="74">
        <f t="shared" si="16"/>
        <v>0</v>
      </c>
      <c r="N54" s="6"/>
      <c r="O54" s="10">
        <f t="shared" si="5"/>
        <v>0</v>
      </c>
      <c r="P54" s="75"/>
      <c r="Q54" s="74">
        <f t="shared" si="6"/>
        <v>0</v>
      </c>
      <c r="R54" s="6"/>
      <c r="S54" s="10">
        <f t="shared" si="7"/>
        <v>0</v>
      </c>
      <c r="T54" s="75"/>
      <c r="U54" s="74">
        <f t="shared" si="8"/>
        <v>0</v>
      </c>
      <c r="V54" s="39">
        <f t="shared" si="9"/>
        <v>3595</v>
      </c>
      <c r="W54" s="38">
        <f t="shared" si="10"/>
        <v>40.499113000000001</v>
      </c>
      <c r="X54" s="12"/>
      <c r="Y54" s="13">
        <f t="shared" si="11"/>
        <v>0</v>
      </c>
      <c r="Z54" s="49">
        <f t="shared" si="12"/>
        <v>3595</v>
      </c>
      <c r="AA54" s="98">
        <f t="shared" si="17"/>
        <v>40.499113000000001</v>
      </c>
      <c r="AB54">
        <f t="shared" si="14"/>
        <v>0</v>
      </c>
    </row>
    <row r="55" spans="1:28" ht="24" customHeight="1" x14ac:dyDescent="0.25">
      <c r="A55" s="58" t="s">
        <v>53</v>
      </c>
      <c r="B55" s="67">
        <v>200</v>
      </c>
      <c r="C55" s="68">
        <v>176</v>
      </c>
      <c r="D55" s="68">
        <v>2.2999999999999998</v>
      </c>
      <c r="E55" s="69">
        <f t="shared" si="2"/>
        <v>8.0960000000000004E-2</v>
      </c>
      <c r="F55" s="54">
        <v>0</v>
      </c>
      <c r="G55" s="55">
        <f t="shared" si="3"/>
        <v>0</v>
      </c>
      <c r="H55" s="75"/>
      <c r="I55" s="74">
        <f t="shared" si="4"/>
        <v>0</v>
      </c>
      <c r="J55" s="6"/>
      <c r="K55" s="10">
        <f t="shared" si="15"/>
        <v>0</v>
      </c>
      <c r="L55" s="75"/>
      <c r="M55" s="74">
        <f t="shared" si="16"/>
        <v>0</v>
      </c>
      <c r="N55" s="6"/>
      <c r="O55" s="10">
        <f t="shared" si="5"/>
        <v>0</v>
      </c>
      <c r="P55" s="75"/>
      <c r="Q55" s="74">
        <f t="shared" si="6"/>
        <v>0</v>
      </c>
      <c r="R55" s="6"/>
      <c r="S55" s="10">
        <f t="shared" si="7"/>
        <v>0</v>
      </c>
      <c r="T55" s="75"/>
      <c r="U55" s="74">
        <f t="shared" si="8"/>
        <v>0</v>
      </c>
      <c r="V55" s="39">
        <f t="shared" si="9"/>
        <v>0</v>
      </c>
      <c r="W55" s="38">
        <f t="shared" si="10"/>
        <v>0</v>
      </c>
      <c r="X55" s="12">
        <v>1</v>
      </c>
      <c r="Y55" s="13">
        <f t="shared" si="11"/>
        <v>8.0960000000000004E-2</v>
      </c>
      <c r="Z55" s="49">
        <f t="shared" si="12"/>
        <v>1</v>
      </c>
      <c r="AA55" s="98">
        <f t="shared" si="17"/>
        <v>8.0960000000000004E-2</v>
      </c>
      <c r="AB55">
        <f t="shared" si="14"/>
        <v>0</v>
      </c>
    </row>
    <row r="56" spans="1:28" ht="24" customHeight="1" x14ac:dyDescent="0.25">
      <c r="A56" s="58" t="s">
        <v>54</v>
      </c>
      <c r="B56" s="67">
        <v>79</v>
      </c>
      <c r="C56" s="68">
        <v>79</v>
      </c>
      <c r="D56" s="68">
        <v>2.2999999999999998</v>
      </c>
      <c r="E56" s="69">
        <f t="shared" si="2"/>
        <v>1.4354299999999999E-2</v>
      </c>
      <c r="F56" s="54">
        <v>241</v>
      </c>
      <c r="G56" s="55">
        <f t="shared" si="3"/>
        <v>3.4593862999999998</v>
      </c>
      <c r="H56" s="75"/>
      <c r="I56" s="74">
        <f t="shared" si="4"/>
        <v>0</v>
      </c>
      <c r="J56" s="6"/>
      <c r="K56" s="10">
        <f t="shared" si="15"/>
        <v>0</v>
      </c>
      <c r="L56" s="75"/>
      <c r="M56" s="74">
        <f t="shared" si="16"/>
        <v>0</v>
      </c>
      <c r="N56" s="6"/>
      <c r="O56" s="10">
        <f t="shared" si="5"/>
        <v>0</v>
      </c>
      <c r="P56" s="75"/>
      <c r="Q56" s="74">
        <f t="shared" si="6"/>
        <v>0</v>
      </c>
      <c r="R56" s="6"/>
      <c r="S56" s="10">
        <f t="shared" si="7"/>
        <v>0</v>
      </c>
      <c r="T56" s="75"/>
      <c r="U56" s="74">
        <f t="shared" si="8"/>
        <v>0</v>
      </c>
      <c r="V56" s="39">
        <f t="shared" si="9"/>
        <v>241</v>
      </c>
      <c r="W56" s="38">
        <f t="shared" si="10"/>
        <v>3.4593862999999998</v>
      </c>
      <c r="X56" s="12"/>
      <c r="Y56" s="13">
        <f t="shared" si="11"/>
        <v>0</v>
      </c>
      <c r="Z56" s="49">
        <f t="shared" si="12"/>
        <v>241</v>
      </c>
      <c r="AA56" s="98">
        <f t="shared" si="17"/>
        <v>3.4593862999999998</v>
      </c>
      <c r="AB56">
        <f t="shared" si="14"/>
        <v>0</v>
      </c>
    </row>
    <row r="57" spans="1:28" ht="24" customHeight="1" x14ac:dyDescent="0.25">
      <c r="A57" s="58" t="s">
        <v>55</v>
      </c>
      <c r="B57" s="67">
        <v>50</v>
      </c>
      <c r="C57" s="68">
        <v>45</v>
      </c>
      <c r="D57" s="68">
        <v>4</v>
      </c>
      <c r="E57" s="69">
        <f t="shared" si="2"/>
        <v>8.9999999999999993E-3</v>
      </c>
      <c r="F57" s="54">
        <v>1000</v>
      </c>
      <c r="G57" s="55">
        <f t="shared" si="3"/>
        <v>9</v>
      </c>
      <c r="H57" s="75"/>
      <c r="I57" s="74">
        <f t="shared" si="4"/>
        <v>0</v>
      </c>
      <c r="J57" s="6">
        <v>50</v>
      </c>
      <c r="K57" s="10">
        <f t="shared" si="15"/>
        <v>0.44999999999999996</v>
      </c>
      <c r="L57" s="75">
        <v>12</v>
      </c>
      <c r="M57" s="74">
        <f t="shared" si="16"/>
        <v>0.10799999999999998</v>
      </c>
      <c r="N57" s="6"/>
      <c r="O57" s="10">
        <f t="shared" si="5"/>
        <v>0</v>
      </c>
      <c r="P57" s="75"/>
      <c r="Q57" s="74">
        <f t="shared" si="6"/>
        <v>0</v>
      </c>
      <c r="R57" s="6"/>
      <c r="S57" s="10">
        <f t="shared" si="7"/>
        <v>0</v>
      </c>
      <c r="T57" s="75"/>
      <c r="U57" s="74">
        <f t="shared" si="8"/>
        <v>0</v>
      </c>
      <c r="V57" s="39">
        <f t="shared" si="9"/>
        <v>938</v>
      </c>
      <c r="W57" s="38">
        <f t="shared" si="10"/>
        <v>8.4420000000000002</v>
      </c>
      <c r="X57" s="12"/>
      <c r="Y57" s="13">
        <f t="shared" si="11"/>
        <v>0</v>
      </c>
      <c r="Z57" s="49">
        <f t="shared" si="12"/>
        <v>938</v>
      </c>
      <c r="AA57" s="98">
        <f t="shared" si="17"/>
        <v>8.4420000000000002</v>
      </c>
      <c r="AB57">
        <f t="shared" si="14"/>
        <v>0</v>
      </c>
    </row>
    <row r="58" spans="1:28" ht="24" customHeight="1" x14ac:dyDescent="0.25">
      <c r="A58" s="58" t="s">
        <v>56</v>
      </c>
      <c r="B58" s="67">
        <v>50</v>
      </c>
      <c r="C58" s="68">
        <v>35</v>
      </c>
      <c r="D58" s="68">
        <v>4</v>
      </c>
      <c r="E58" s="69">
        <f t="shared" si="2"/>
        <v>7.0000000000000001E-3</v>
      </c>
      <c r="F58" s="54">
        <v>1000</v>
      </c>
      <c r="G58" s="55">
        <f t="shared" si="3"/>
        <v>7</v>
      </c>
      <c r="H58" s="75"/>
      <c r="I58" s="74">
        <f t="shared" si="4"/>
        <v>0</v>
      </c>
      <c r="J58" s="6">
        <v>50</v>
      </c>
      <c r="K58" s="10">
        <f t="shared" si="15"/>
        <v>0.35000000000000003</v>
      </c>
      <c r="L58" s="75">
        <v>12</v>
      </c>
      <c r="M58" s="74">
        <f t="shared" si="16"/>
        <v>8.4000000000000005E-2</v>
      </c>
      <c r="N58" s="6"/>
      <c r="O58" s="10">
        <f t="shared" si="5"/>
        <v>0</v>
      </c>
      <c r="P58" s="75"/>
      <c r="Q58" s="74">
        <f t="shared" si="6"/>
        <v>0</v>
      </c>
      <c r="R58" s="6"/>
      <c r="S58" s="10">
        <f t="shared" si="7"/>
        <v>0</v>
      </c>
      <c r="T58" s="75"/>
      <c r="U58" s="74">
        <f t="shared" si="8"/>
        <v>0</v>
      </c>
      <c r="V58" s="39">
        <f t="shared" si="9"/>
        <v>938</v>
      </c>
      <c r="W58" s="38">
        <f t="shared" si="10"/>
        <v>6.5659999999999998</v>
      </c>
      <c r="X58" s="12"/>
      <c r="Y58" s="13">
        <f t="shared" si="11"/>
        <v>0</v>
      </c>
      <c r="Z58" s="49">
        <f t="shared" si="12"/>
        <v>938</v>
      </c>
      <c r="AA58" s="98">
        <f t="shared" si="17"/>
        <v>6.5659999999999998</v>
      </c>
      <c r="AB58">
        <f t="shared" si="14"/>
        <v>0</v>
      </c>
    </row>
    <row r="59" spans="1:28" ht="24" customHeight="1" x14ac:dyDescent="0.25">
      <c r="A59" s="58" t="s">
        <v>57</v>
      </c>
      <c r="B59" s="67">
        <v>45</v>
      </c>
      <c r="C59" s="68">
        <v>50</v>
      </c>
      <c r="D59" s="68">
        <v>3</v>
      </c>
      <c r="E59" s="69">
        <f t="shared" si="2"/>
        <v>6.7499999999999999E-3</v>
      </c>
      <c r="F59" s="54">
        <v>1200</v>
      </c>
      <c r="G59" s="55">
        <f t="shared" si="3"/>
        <v>8.1</v>
      </c>
      <c r="H59" s="75"/>
      <c r="I59" s="74">
        <f t="shared" si="4"/>
        <v>0</v>
      </c>
      <c r="J59" s="6"/>
      <c r="K59" s="10">
        <f t="shared" si="15"/>
        <v>0</v>
      </c>
      <c r="L59" s="75"/>
      <c r="M59" s="74">
        <f t="shared" si="16"/>
        <v>0</v>
      </c>
      <c r="N59" s="6"/>
      <c r="O59" s="10">
        <f t="shared" si="5"/>
        <v>0</v>
      </c>
      <c r="P59" s="75"/>
      <c r="Q59" s="74">
        <f t="shared" si="6"/>
        <v>0</v>
      </c>
      <c r="R59" s="6"/>
      <c r="S59" s="10">
        <f t="shared" si="7"/>
        <v>0</v>
      </c>
      <c r="T59" s="75"/>
      <c r="U59" s="74">
        <f t="shared" si="8"/>
        <v>0</v>
      </c>
      <c r="V59" s="39">
        <f t="shared" si="9"/>
        <v>1200</v>
      </c>
      <c r="W59" s="38">
        <f t="shared" si="10"/>
        <v>8.1</v>
      </c>
      <c r="X59" s="12"/>
      <c r="Y59" s="13">
        <f t="shared" si="11"/>
        <v>0</v>
      </c>
      <c r="Z59" s="49">
        <f t="shared" si="12"/>
        <v>1200</v>
      </c>
      <c r="AA59" s="98">
        <f t="shared" si="17"/>
        <v>8.1</v>
      </c>
      <c r="AB59">
        <f t="shared" si="14"/>
        <v>0</v>
      </c>
    </row>
    <row r="60" spans="1:28" ht="24" customHeight="1" x14ac:dyDescent="0.25">
      <c r="A60" s="58" t="s">
        <v>58</v>
      </c>
      <c r="B60" s="67">
        <v>50</v>
      </c>
      <c r="C60" s="68">
        <v>35</v>
      </c>
      <c r="D60" s="68">
        <v>3</v>
      </c>
      <c r="E60" s="69">
        <f t="shared" si="2"/>
        <v>5.2500000000000003E-3</v>
      </c>
      <c r="F60" s="54">
        <v>1344</v>
      </c>
      <c r="G60" s="55">
        <f t="shared" si="3"/>
        <v>7.056</v>
      </c>
      <c r="H60" s="75"/>
      <c r="I60" s="74">
        <f t="shared" si="4"/>
        <v>0</v>
      </c>
      <c r="J60" s="6"/>
      <c r="K60" s="10">
        <f t="shared" si="15"/>
        <v>0</v>
      </c>
      <c r="L60" s="75"/>
      <c r="M60" s="74">
        <f t="shared" si="16"/>
        <v>0</v>
      </c>
      <c r="N60" s="6"/>
      <c r="O60" s="10">
        <f t="shared" si="5"/>
        <v>0</v>
      </c>
      <c r="P60" s="75"/>
      <c r="Q60" s="74">
        <f t="shared" si="6"/>
        <v>0</v>
      </c>
      <c r="R60" s="6"/>
      <c r="S60" s="10">
        <f t="shared" si="7"/>
        <v>0</v>
      </c>
      <c r="T60" s="75"/>
      <c r="U60" s="74">
        <f t="shared" si="8"/>
        <v>0</v>
      </c>
      <c r="V60" s="39">
        <f t="shared" si="9"/>
        <v>1344</v>
      </c>
      <c r="W60" s="38">
        <f t="shared" si="10"/>
        <v>7.056</v>
      </c>
      <c r="X60" s="12"/>
      <c r="Y60" s="13">
        <f t="shared" si="11"/>
        <v>0</v>
      </c>
      <c r="Z60" s="49">
        <f t="shared" si="12"/>
        <v>1344</v>
      </c>
      <c r="AA60" s="98">
        <f t="shared" si="17"/>
        <v>7.056</v>
      </c>
      <c r="AB60">
        <f t="shared" si="14"/>
        <v>0</v>
      </c>
    </row>
    <row r="61" spans="1:28" ht="24" customHeight="1" x14ac:dyDescent="0.25">
      <c r="A61" s="58" t="s">
        <v>59</v>
      </c>
      <c r="B61" s="67">
        <v>42</v>
      </c>
      <c r="C61" s="68">
        <v>36</v>
      </c>
      <c r="D61" s="68">
        <v>4</v>
      </c>
      <c r="E61" s="69">
        <f t="shared" si="2"/>
        <v>6.0480000000000004E-3</v>
      </c>
      <c r="F61" s="54">
        <v>105</v>
      </c>
      <c r="G61" s="55">
        <f t="shared" si="3"/>
        <v>0.63504000000000005</v>
      </c>
      <c r="H61" s="75"/>
      <c r="I61" s="74">
        <f t="shared" si="4"/>
        <v>0</v>
      </c>
      <c r="J61" s="6"/>
      <c r="K61" s="10">
        <f t="shared" si="15"/>
        <v>0</v>
      </c>
      <c r="L61" s="75"/>
      <c r="M61" s="74">
        <f t="shared" si="16"/>
        <v>0</v>
      </c>
      <c r="N61" s="6"/>
      <c r="O61" s="10">
        <f t="shared" si="5"/>
        <v>0</v>
      </c>
      <c r="P61" s="75">
        <v>8</v>
      </c>
      <c r="Q61" s="74">
        <f t="shared" si="6"/>
        <v>4.8384000000000003E-2</v>
      </c>
      <c r="R61" s="6"/>
      <c r="S61" s="10">
        <f t="shared" si="7"/>
        <v>0</v>
      </c>
      <c r="T61" s="75"/>
      <c r="U61" s="74">
        <f t="shared" si="8"/>
        <v>0</v>
      </c>
      <c r="V61" s="39">
        <f t="shared" si="9"/>
        <v>97</v>
      </c>
      <c r="W61" s="38">
        <f t="shared" si="10"/>
        <v>0.58665600000000007</v>
      </c>
      <c r="X61" s="12"/>
      <c r="Y61" s="13">
        <f t="shared" si="11"/>
        <v>0</v>
      </c>
      <c r="Z61" s="49">
        <f t="shared" si="12"/>
        <v>97</v>
      </c>
      <c r="AA61" s="98">
        <f t="shared" si="17"/>
        <v>0.58665600000000007</v>
      </c>
      <c r="AB61">
        <f t="shared" si="14"/>
        <v>0</v>
      </c>
    </row>
    <row r="62" spans="1:28" ht="24" customHeight="1" x14ac:dyDescent="0.25">
      <c r="A62" s="58" t="s">
        <v>60</v>
      </c>
      <c r="B62" s="67">
        <v>50</v>
      </c>
      <c r="C62" s="68">
        <v>35</v>
      </c>
      <c r="D62" s="68">
        <v>3</v>
      </c>
      <c r="E62" s="69">
        <f t="shared" si="2"/>
        <v>5.2500000000000003E-3</v>
      </c>
      <c r="F62" s="54">
        <v>1950</v>
      </c>
      <c r="G62" s="55">
        <f t="shared" si="3"/>
        <v>10.237500000000001</v>
      </c>
      <c r="H62" s="75"/>
      <c r="I62" s="74">
        <f t="shared" si="4"/>
        <v>0</v>
      </c>
      <c r="J62" s="6"/>
      <c r="K62" s="10">
        <f t="shared" si="15"/>
        <v>0</v>
      </c>
      <c r="L62" s="75"/>
      <c r="M62" s="74">
        <f t="shared" si="16"/>
        <v>0</v>
      </c>
      <c r="N62" s="6"/>
      <c r="O62" s="10">
        <f t="shared" si="5"/>
        <v>0</v>
      </c>
      <c r="P62" s="75"/>
      <c r="Q62" s="74">
        <f t="shared" si="6"/>
        <v>0</v>
      </c>
      <c r="R62" s="6"/>
      <c r="S62" s="10">
        <f t="shared" si="7"/>
        <v>0</v>
      </c>
      <c r="T62" s="75"/>
      <c r="U62" s="74">
        <f t="shared" si="8"/>
        <v>0</v>
      </c>
      <c r="V62" s="39">
        <f t="shared" si="9"/>
        <v>1950</v>
      </c>
      <c r="W62" s="38">
        <f t="shared" si="10"/>
        <v>10.237500000000001</v>
      </c>
      <c r="X62" s="12"/>
      <c r="Y62" s="13">
        <f t="shared" si="11"/>
        <v>0</v>
      </c>
      <c r="Z62" s="49">
        <f t="shared" si="12"/>
        <v>1950</v>
      </c>
      <c r="AA62" s="98">
        <f t="shared" si="17"/>
        <v>10.237500000000001</v>
      </c>
      <c r="AB62">
        <f t="shared" si="14"/>
        <v>0</v>
      </c>
    </row>
    <row r="63" spans="1:28" ht="24" customHeight="1" x14ac:dyDescent="0.25">
      <c r="A63" s="59" t="s">
        <v>61</v>
      </c>
      <c r="B63" s="67">
        <v>45</v>
      </c>
      <c r="C63" s="68">
        <v>50</v>
      </c>
      <c r="D63" s="68">
        <v>3</v>
      </c>
      <c r="E63" s="69">
        <f t="shared" si="2"/>
        <v>6.7499999999999999E-3</v>
      </c>
      <c r="F63" s="54">
        <v>1500</v>
      </c>
      <c r="G63" s="55">
        <f t="shared" si="3"/>
        <v>10.125</v>
      </c>
      <c r="H63" s="75"/>
      <c r="I63" s="74">
        <f t="shared" si="4"/>
        <v>0</v>
      </c>
      <c r="J63" s="6"/>
      <c r="K63" s="10">
        <f t="shared" si="15"/>
        <v>0</v>
      </c>
      <c r="L63" s="75"/>
      <c r="M63" s="74">
        <f t="shared" si="16"/>
        <v>0</v>
      </c>
      <c r="N63" s="6"/>
      <c r="O63" s="10">
        <f t="shared" si="5"/>
        <v>0</v>
      </c>
      <c r="P63" s="75"/>
      <c r="Q63" s="74">
        <f t="shared" si="6"/>
        <v>0</v>
      </c>
      <c r="R63" s="6"/>
      <c r="S63" s="10">
        <f t="shared" si="7"/>
        <v>0</v>
      </c>
      <c r="T63" s="75"/>
      <c r="U63" s="74">
        <f t="shared" si="8"/>
        <v>0</v>
      </c>
      <c r="V63" s="39">
        <f t="shared" si="9"/>
        <v>1500</v>
      </c>
      <c r="W63" s="38">
        <f t="shared" si="10"/>
        <v>10.125</v>
      </c>
      <c r="X63" s="12"/>
      <c r="Y63" s="13">
        <f t="shared" si="11"/>
        <v>0</v>
      </c>
      <c r="Z63" s="49">
        <f t="shared" si="12"/>
        <v>1500</v>
      </c>
      <c r="AA63" s="98">
        <f t="shared" si="17"/>
        <v>10.125</v>
      </c>
      <c r="AB63">
        <f t="shared" si="14"/>
        <v>0</v>
      </c>
    </row>
    <row r="64" spans="1:28" ht="24" customHeight="1" x14ac:dyDescent="0.25">
      <c r="A64" s="76" t="s">
        <v>62</v>
      </c>
      <c r="B64" s="77">
        <v>140</v>
      </c>
      <c r="C64" s="78">
        <v>9.5</v>
      </c>
      <c r="D64" s="78">
        <v>6.5</v>
      </c>
      <c r="E64" s="79">
        <f t="shared" si="2"/>
        <v>8.6449999999999999E-3</v>
      </c>
      <c r="F64" s="80">
        <v>766</v>
      </c>
      <c r="G64" s="81">
        <f t="shared" si="3"/>
        <v>6.6220699999999999</v>
      </c>
      <c r="H64" s="82"/>
      <c r="I64" s="83">
        <f t="shared" si="4"/>
        <v>0</v>
      </c>
      <c r="J64" s="84"/>
      <c r="K64" s="85">
        <f t="shared" si="15"/>
        <v>0</v>
      </c>
      <c r="L64" s="82"/>
      <c r="M64" s="83">
        <f t="shared" si="16"/>
        <v>0</v>
      </c>
      <c r="N64" s="84">
        <v>52</v>
      </c>
      <c r="O64" s="85">
        <f t="shared" si="5"/>
        <v>0.44954</v>
      </c>
      <c r="P64" s="82"/>
      <c r="Q64" s="83">
        <f t="shared" si="6"/>
        <v>0</v>
      </c>
      <c r="R64" s="84"/>
      <c r="S64" s="85">
        <f t="shared" si="7"/>
        <v>0</v>
      </c>
      <c r="T64" s="82"/>
      <c r="U64" s="83">
        <f t="shared" si="8"/>
        <v>0</v>
      </c>
      <c r="V64" s="86">
        <f t="shared" si="9"/>
        <v>714</v>
      </c>
      <c r="W64" s="87">
        <f t="shared" si="10"/>
        <v>6.1725300000000001</v>
      </c>
      <c r="X64" s="88"/>
      <c r="Y64" s="89">
        <f t="shared" si="11"/>
        <v>0</v>
      </c>
      <c r="Z64" s="90">
        <f t="shared" si="12"/>
        <v>714</v>
      </c>
      <c r="AA64" s="98">
        <f t="shared" si="17"/>
        <v>6.1725300000000001</v>
      </c>
      <c r="AB64">
        <f t="shared" si="14"/>
        <v>0</v>
      </c>
    </row>
    <row r="65" spans="1:28" x14ac:dyDescent="0.25">
      <c r="A65" s="91" t="s">
        <v>79</v>
      </c>
      <c r="B65" s="68">
        <v>90</v>
      </c>
      <c r="C65" s="68">
        <v>83</v>
      </c>
      <c r="D65" s="68">
        <v>2</v>
      </c>
      <c r="E65" s="92">
        <f t="shared" si="2"/>
        <v>1.494E-2</v>
      </c>
      <c r="F65" s="93">
        <v>0</v>
      </c>
      <c r="G65" s="94">
        <f t="shared" si="3"/>
        <v>0</v>
      </c>
      <c r="H65" s="95">
        <v>0</v>
      </c>
      <c r="I65" s="95">
        <f t="shared" si="4"/>
        <v>0</v>
      </c>
      <c r="J65" s="96">
        <v>0</v>
      </c>
      <c r="K65" s="96">
        <v>0</v>
      </c>
      <c r="L65" s="95">
        <v>0</v>
      </c>
      <c r="M65" s="95">
        <f t="shared" si="16"/>
        <v>0</v>
      </c>
      <c r="N65" s="96">
        <v>0</v>
      </c>
      <c r="O65" s="96">
        <f t="shared" si="5"/>
        <v>0</v>
      </c>
      <c r="P65" s="95">
        <v>0</v>
      </c>
      <c r="Q65" s="95">
        <f t="shared" si="6"/>
        <v>0</v>
      </c>
      <c r="R65" s="96">
        <v>0</v>
      </c>
      <c r="S65" s="96">
        <f t="shared" si="7"/>
        <v>0</v>
      </c>
      <c r="T65" s="95">
        <v>0</v>
      </c>
      <c r="U65" s="95">
        <f t="shared" si="8"/>
        <v>0</v>
      </c>
      <c r="V65" s="97">
        <f t="shared" si="9"/>
        <v>0</v>
      </c>
      <c r="W65" s="96">
        <f t="shared" si="10"/>
        <v>0</v>
      </c>
      <c r="X65" s="96">
        <v>48</v>
      </c>
      <c r="Y65" s="96">
        <f t="shared" si="11"/>
        <v>0.71711999999999998</v>
      </c>
      <c r="Z65" s="96">
        <f t="shared" si="12"/>
        <v>48</v>
      </c>
      <c r="AA65" s="98">
        <f t="shared" si="17"/>
        <v>0.71711999999999998</v>
      </c>
      <c r="AB65">
        <f t="shared" si="14"/>
        <v>0</v>
      </c>
    </row>
    <row r="66" spans="1:28" x14ac:dyDescent="0.25">
      <c r="A66" s="91" t="s">
        <v>80</v>
      </c>
      <c r="B66" s="68">
        <v>92</v>
      </c>
      <c r="C66" s="68">
        <v>82</v>
      </c>
      <c r="D66" s="68">
        <v>2</v>
      </c>
      <c r="E66" s="92">
        <f t="shared" si="2"/>
        <v>1.5088000000000001E-2</v>
      </c>
      <c r="F66" s="93">
        <v>0</v>
      </c>
      <c r="G66" s="93">
        <f t="shared" si="3"/>
        <v>0</v>
      </c>
      <c r="H66" s="95"/>
      <c r="I66" s="95">
        <f t="shared" si="4"/>
        <v>0</v>
      </c>
      <c r="J66" s="96"/>
      <c r="K66" s="96"/>
      <c r="L66" s="95"/>
      <c r="M66" s="95">
        <f t="shared" si="16"/>
        <v>0</v>
      </c>
      <c r="N66" s="96"/>
      <c r="O66" s="96">
        <f t="shared" si="5"/>
        <v>0</v>
      </c>
      <c r="P66" s="95"/>
      <c r="Q66" s="95">
        <f t="shared" si="6"/>
        <v>0</v>
      </c>
      <c r="R66" s="96"/>
      <c r="S66" s="96">
        <f t="shared" si="7"/>
        <v>0</v>
      </c>
      <c r="T66" s="95">
        <v>0</v>
      </c>
      <c r="U66" s="95">
        <f t="shared" si="8"/>
        <v>0</v>
      </c>
      <c r="V66" s="97">
        <f t="shared" si="9"/>
        <v>0</v>
      </c>
      <c r="W66" s="96"/>
      <c r="X66" s="96">
        <v>333</v>
      </c>
      <c r="Y66" s="96">
        <f t="shared" si="11"/>
        <v>5.0243039999999999</v>
      </c>
      <c r="Z66" s="96">
        <f t="shared" si="12"/>
        <v>333</v>
      </c>
      <c r="AA66" s="98">
        <f t="shared" si="17"/>
        <v>5.0243039999999999</v>
      </c>
      <c r="AB66">
        <f t="shared" si="14"/>
        <v>0</v>
      </c>
    </row>
    <row r="67" spans="1:28" x14ac:dyDescent="0.25">
      <c r="R67" s="2">
        <f>SUM(R5:R66)</f>
        <v>104</v>
      </c>
      <c r="T67" s="2">
        <f>SUM(T5:T66)</f>
        <v>6</v>
      </c>
      <c r="AB67">
        <f>SUM(AB5:AB66)</f>
        <v>110</v>
      </c>
    </row>
  </sheetData>
  <mergeCells count="32">
    <mergeCell ref="P2:Q2"/>
    <mergeCell ref="P3:Q3"/>
    <mergeCell ref="P4:Q4"/>
    <mergeCell ref="F2:G3"/>
    <mergeCell ref="H2:I2"/>
    <mergeCell ref="J2:K2"/>
    <mergeCell ref="J3:K3"/>
    <mergeCell ref="J4:K4"/>
    <mergeCell ref="F4:G4"/>
    <mergeCell ref="H4:I4"/>
    <mergeCell ref="H3:I3"/>
    <mergeCell ref="L3:M3"/>
    <mergeCell ref="N3:O3"/>
    <mergeCell ref="L4:M4"/>
    <mergeCell ref="N4:O4"/>
    <mergeCell ref="N2:O2"/>
    <mergeCell ref="Z2:AA3"/>
    <mergeCell ref="Z4:AA4"/>
    <mergeCell ref="A2:A4"/>
    <mergeCell ref="B2:E3"/>
    <mergeCell ref="B1:G1"/>
    <mergeCell ref="V4:W4"/>
    <mergeCell ref="X4:Y4"/>
    <mergeCell ref="V2:W3"/>
    <mergeCell ref="X2:Y3"/>
    <mergeCell ref="R2:S2"/>
    <mergeCell ref="R3:S3"/>
    <mergeCell ref="R4:S4"/>
    <mergeCell ref="T2:U2"/>
    <mergeCell ref="T3:U3"/>
    <mergeCell ref="T4:U4"/>
    <mergeCell ref="L2:M2"/>
  </mergeCells>
  <pageMargins left="0" right="0" top="0" bottom="0" header="0.31496062992125984" footer="0.31496062992125984"/>
  <pageSetup paperSize="9" scale="5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71"/>
  <sheetViews>
    <sheetView workbookViewId="0">
      <selection activeCell="B1" sqref="B1:G1"/>
    </sheetView>
  </sheetViews>
  <sheetFormatPr defaultRowHeight="15" x14ac:dyDescent="0.25"/>
  <cols>
    <col min="1" max="1" width="24" style="3" customWidth="1"/>
    <col min="2" max="2" width="7.7109375" style="2" hidden="1" customWidth="1"/>
    <col min="3" max="3" width="7.28515625" style="2" hidden="1" customWidth="1"/>
    <col min="4" max="4" width="9.42578125" style="2" hidden="1" customWidth="1"/>
    <col min="5" max="5" width="9.85546875" style="4" hidden="1" customWidth="1"/>
    <col min="6" max="7" width="9" style="5" customWidth="1"/>
    <col min="8" max="19" width="8.140625" style="2" customWidth="1"/>
  </cols>
  <sheetData>
    <row r="1" spans="1:24" ht="15.75" thickBot="1" x14ac:dyDescent="0.3">
      <c r="A1" s="4" t="s">
        <v>18</v>
      </c>
      <c r="B1" s="320" t="s">
        <v>73</v>
      </c>
      <c r="C1" s="320"/>
      <c r="D1" s="320"/>
      <c r="E1" s="320"/>
      <c r="F1" s="320"/>
      <c r="G1" s="320"/>
    </row>
    <row r="2" spans="1:24" s="1" customFormat="1" ht="15.75" thickBot="1" x14ac:dyDescent="0.3">
      <c r="A2" s="8" t="s">
        <v>0</v>
      </c>
      <c r="B2" s="28"/>
      <c r="C2" s="29"/>
      <c r="D2" s="29"/>
      <c r="E2" s="14"/>
      <c r="F2" s="321" t="s">
        <v>1</v>
      </c>
      <c r="G2" s="322"/>
      <c r="H2" s="325">
        <v>44809</v>
      </c>
      <c r="I2" s="326"/>
      <c r="J2" s="327">
        <v>44810</v>
      </c>
      <c r="K2" s="328"/>
      <c r="L2" s="325">
        <v>44811</v>
      </c>
      <c r="M2" s="329"/>
      <c r="N2" s="327">
        <v>44812</v>
      </c>
      <c r="O2" s="346"/>
      <c r="P2" s="325">
        <v>44813</v>
      </c>
      <c r="Q2" s="329"/>
      <c r="R2" s="330" t="s">
        <v>69</v>
      </c>
      <c r="S2" s="331"/>
      <c r="T2" s="334" t="s">
        <v>70</v>
      </c>
      <c r="U2" s="335"/>
      <c r="V2" s="338" t="s">
        <v>71</v>
      </c>
      <c r="W2" s="339"/>
    </row>
    <row r="3" spans="1:24" s="1" customFormat="1" ht="15.75" thickBot="1" x14ac:dyDescent="0.3">
      <c r="A3" s="7"/>
      <c r="B3" s="30"/>
      <c r="C3" s="31"/>
      <c r="D3" s="31"/>
      <c r="E3" s="15"/>
      <c r="F3" s="323"/>
      <c r="G3" s="324"/>
      <c r="H3" s="342" t="s">
        <v>68</v>
      </c>
      <c r="I3" s="343"/>
      <c r="J3" s="344" t="s">
        <v>68</v>
      </c>
      <c r="K3" s="345"/>
      <c r="L3" s="342" t="s">
        <v>68</v>
      </c>
      <c r="M3" s="343"/>
      <c r="N3" s="344" t="s">
        <v>68</v>
      </c>
      <c r="O3" s="345"/>
      <c r="P3" s="342" t="s">
        <v>68</v>
      </c>
      <c r="Q3" s="343"/>
      <c r="R3" s="332"/>
      <c r="S3" s="333"/>
      <c r="T3" s="336"/>
      <c r="U3" s="337"/>
      <c r="V3" s="340"/>
      <c r="W3" s="341"/>
    </row>
    <row r="4" spans="1:24" ht="15.75" thickBot="1" x14ac:dyDescent="0.3">
      <c r="A4" s="42"/>
      <c r="B4" s="16" t="s">
        <v>65</v>
      </c>
      <c r="C4" s="17" t="s">
        <v>66</v>
      </c>
      <c r="D4" s="17" t="s">
        <v>67</v>
      </c>
      <c r="E4" s="18" t="s">
        <v>64</v>
      </c>
      <c r="F4" s="323" t="s">
        <v>63</v>
      </c>
      <c r="G4" s="324"/>
      <c r="H4" s="353" t="s">
        <v>63</v>
      </c>
      <c r="I4" s="354"/>
      <c r="J4" s="355" t="s">
        <v>63</v>
      </c>
      <c r="K4" s="356"/>
      <c r="L4" s="353" t="s">
        <v>63</v>
      </c>
      <c r="M4" s="354"/>
      <c r="N4" s="355" t="s">
        <v>63</v>
      </c>
      <c r="O4" s="356"/>
      <c r="P4" s="353" t="s">
        <v>63</v>
      </c>
      <c r="Q4" s="354"/>
      <c r="R4" s="347" t="s">
        <v>63</v>
      </c>
      <c r="S4" s="348"/>
      <c r="T4" s="349" t="s">
        <v>63</v>
      </c>
      <c r="U4" s="350"/>
      <c r="V4" s="351" t="s">
        <v>63</v>
      </c>
      <c r="W4" s="357"/>
    </row>
    <row r="5" spans="1:24" x14ac:dyDescent="0.25">
      <c r="A5" s="42" t="s">
        <v>2</v>
      </c>
      <c r="B5" s="32">
        <v>140</v>
      </c>
      <c r="C5" s="33">
        <v>240</v>
      </c>
      <c r="D5" s="33">
        <v>1</v>
      </c>
      <c r="E5" s="15">
        <f>(B5*C5*D5)/1000000</f>
        <v>3.3599999999999998E-2</v>
      </c>
      <c r="F5" s="23">
        <f>'AĞUSTOS 5. HAFTA'!Z5</f>
        <v>480</v>
      </c>
      <c r="G5" s="24">
        <f>E5*F5</f>
        <v>16.128</v>
      </c>
      <c r="H5" s="21">
        <v>0</v>
      </c>
      <c r="I5" s="11">
        <f>E5*H5</f>
        <v>0</v>
      </c>
      <c r="J5" s="9"/>
      <c r="K5" s="10">
        <f t="shared" ref="K5:K36" si="0">E5*J5</f>
        <v>0</v>
      </c>
      <c r="L5" s="21">
        <v>5</v>
      </c>
      <c r="M5" s="11">
        <v>0.16800000000000001</v>
      </c>
      <c r="N5" s="9">
        <v>37</v>
      </c>
      <c r="O5" s="10">
        <f>E5*N5</f>
        <v>1.2431999999999999</v>
      </c>
      <c r="P5" s="21">
        <v>19</v>
      </c>
      <c r="Q5" s="11">
        <f>E5*P5</f>
        <v>0.63839999999999997</v>
      </c>
      <c r="R5" s="39">
        <f>F5-H5-J5-L5-N5-P5</f>
        <v>419</v>
      </c>
      <c r="S5" s="38">
        <f t="shared" ref="S5:S36" si="1">E5*R5</f>
        <v>14.078399999999998</v>
      </c>
      <c r="T5" s="12"/>
      <c r="U5" s="13">
        <f>E5*T5</f>
        <v>0</v>
      </c>
      <c r="V5" s="49">
        <f>R5+T5</f>
        <v>419</v>
      </c>
      <c r="W5" s="50">
        <f>E5*V5</f>
        <v>14.078399999999998</v>
      </c>
      <c r="X5">
        <f>+H5+J5+L5+N5+P5</f>
        <v>61</v>
      </c>
    </row>
    <row r="6" spans="1:24" x14ac:dyDescent="0.25">
      <c r="A6" s="42" t="s">
        <v>3</v>
      </c>
      <c r="B6" s="34">
        <v>140</v>
      </c>
      <c r="C6" s="35">
        <v>240</v>
      </c>
      <c r="D6" s="35">
        <v>0.8</v>
      </c>
      <c r="E6" s="19">
        <f t="shared" ref="E6:E69" si="2">(B6*C6*D6)/1000000</f>
        <v>2.6880000000000001E-2</v>
      </c>
      <c r="F6" s="25">
        <f>'AĞUSTOS 5. HAFTA'!Z6</f>
        <v>560</v>
      </c>
      <c r="G6" s="26">
        <f t="shared" ref="G6:G69" si="3">E6*F6</f>
        <v>15.052800000000001</v>
      </c>
      <c r="H6" s="22">
        <v>36</v>
      </c>
      <c r="I6" s="11">
        <f t="shared" ref="I6:I69" si="4">E6*H6</f>
        <v>0.9676800000000001</v>
      </c>
      <c r="J6" s="6">
        <v>2</v>
      </c>
      <c r="K6" s="10">
        <f t="shared" si="0"/>
        <v>5.3760000000000002E-2</v>
      </c>
      <c r="L6" s="22">
        <v>2</v>
      </c>
      <c r="M6" s="11">
        <f t="shared" ref="M6:M36" si="5">E6*L6</f>
        <v>5.3760000000000002E-2</v>
      </c>
      <c r="N6" s="6">
        <v>18</v>
      </c>
      <c r="O6" s="10">
        <f t="shared" ref="O6:O64" si="6">E6*N6</f>
        <v>0.48384000000000005</v>
      </c>
      <c r="P6" s="22">
        <v>20</v>
      </c>
      <c r="Q6" s="11">
        <f t="shared" ref="Q6:Q69" si="7">E6*P6</f>
        <v>0.53760000000000008</v>
      </c>
      <c r="R6" s="39">
        <f>F6-H6-J6-L6-N6-P6</f>
        <v>482</v>
      </c>
      <c r="S6" s="38">
        <f t="shared" si="1"/>
        <v>12.956160000000001</v>
      </c>
      <c r="T6" s="12"/>
      <c r="U6" s="13">
        <f>E6*T6</f>
        <v>0</v>
      </c>
      <c r="V6" s="49">
        <f t="shared" ref="V6:V69" si="8">R6+T6</f>
        <v>482</v>
      </c>
      <c r="W6" s="50">
        <f t="shared" ref="W6:W69" si="9">E6*V6</f>
        <v>12.956160000000001</v>
      </c>
      <c r="X6">
        <f t="shared" ref="X6:X69" si="10">+H6+J6+L6+N6+P6</f>
        <v>78</v>
      </c>
    </row>
    <row r="7" spans="1:24" x14ac:dyDescent="0.25">
      <c r="A7" s="42" t="s">
        <v>4</v>
      </c>
      <c r="B7" s="34">
        <v>140</v>
      </c>
      <c r="C7" s="35">
        <v>240</v>
      </c>
      <c r="D7" s="35">
        <v>1.4</v>
      </c>
      <c r="E7" s="19">
        <f t="shared" si="2"/>
        <v>4.7039999999999998E-2</v>
      </c>
      <c r="F7" s="25">
        <f>'AĞUSTOS 5. HAFTA'!Z7</f>
        <v>307</v>
      </c>
      <c r="G7" s="26">
        <f t="shared" si="3"/>
        <v>14.441279999999999</v>
      </c>
      <c r="H7" s="22">
        <v>21</v>
      </c>
      <c r="I7" s="11">
        <f t="shared" si="4"/>
        <v>0.98783999999999994</v>
      </c>
      <c r="J7" s="6">
        <v>111</v>
      </c>
      <c r="K7" s="10">
        <f t="shared" si="0"/>
        <v>5.2214399999999994</v>
      </c>
      <c r="L7" s="22">
        <v>58</v>
      </c>
      <c r="M7" s="11">
        <f t="shared" si="5"/>
        <v>2.7283200000000001</v>
      </c>
      <c r="N7" s="6">
        <v>18</v>
      </c>
      <c r="O7" s="10">
        <f t="shared" si="6"/>
        <v>0.84671999999999992</v>
      </c>
      <c r="P7" s="22">
        <v>7</v>
      </c>
      <c r="Q7" s="11">
        <f t="shared" si="7"/>
        <v>0.32928000000000002</v>
      </c>
      <c r="R7" s="39">
        <f t="shared" ref="R7:R70" si="11">F7-H7-J7-L7-N7-P7</f>
        <v>92</v>
      </c>
      <c r="S7" s="38">
        <f t="shared" si="1"/>
        <v>4.32768</v>
      </c>
      <c r="T7" s="12"/>
      <c r="U7" s="13">
        <f t="shared" ref="U7:U70" si="12">E7*T7</f>
        <v>0</v>
      </c>
      <c r="V7" s="49">
        <f t="shared" si="8"/>
        <v>92</v>
      </c>
      <c r="W7" s="50">
        <f t="shared" si="9"/>
        <v>4.32768</v>
      </c>
      <c r="X7">
        <f t="shared" si="10"/>
        <v>215</v>
      </c>
    </row>
    <row r="8" spans="1:24" x14ac:dyDescent="0.25">
      <c r="A8" s="42" t="s">
        <v>5</v>
      </c>
      <c r="B8" s="34">
        <v>140</v>
      </c>
      <c r="C8" s="35">
        <v>240</v>
      </c>
      <c r="D8" s="35">
        <v>4</v>
      </c>
      <c r="E8" s="19">
        <f t="shared" si="2"/>
        <v>0.13439999999999999</v>
      </c>
      <c r="F8" s="25">
        <f>'AĞUSTOS 5. HAFTA'!Z8</f>
        <v>56</v>
      </c>
      <c r="G8" s="26">
        <f t="shared" si="3"/>
        <v>7.5263999999999998</v>
      </c>
      <c r="H8" s="22"/>
      <c r="I8" s="11">
        <f t="shared" si="4"/>
        <v>0</v>
      </c>
      <c r="J8" s="6"/>
      <c r="K8" s="10">
        <f t="shared" si="0"/>
        <v>0</v>
      </c>
      <c r="L8" s="22">
        <v>2</v>
      </c>
      <c r="M8" s="11">
        <f t="shared" si="5"/>
        <v>0.26879999999999998</v>
      </c>
      <c r="N8" s="6">
        <v>10</v>
      </c>
      <c r="O8" s="10">
        <f t="shared" si="6"/>
        <v>1.3439999999999999</v>
      </c>
      <c r="P8" s="22"/>
      <c r="Q8" s="11">
        <f t="shared" si="7"/>
        <v>0</v>
      </c>
      <c r="R8" s="39">
        <f t="shared" si="11"/>
        <v>44</v>
      </c>
      <c r="S8" s="38">
        <f t="shared" si="1"/>
        <v>5.9135999999999997</v>
      </c>
      <c r="T8" s="12"/>
      <c r="U8" s="13">
        <f t="shared" si="12"/>
        <v>0</v>
      </c>
      <c r="V8" s="49">
        <f t="shared" si="8"/>
        <v>44</v>
      </c>
      <c r="W8" s="50">
        <f t="shared" si="9"/>
        <v>5.9135999999999997</v>
      </c>
      <c r="X8">
        <f t="shared" si="10"/>
        <v>12</v>
      </c>
    </row>
    <row r="9" spans="1:24" x14ac:dyDescent="0.25">
      <c r="A9" s="42" t="s">
        <v>6</v>
      </c>
      <c r="B9" s="34">
        <v>140</v>
      </c>
      <c r="C9" s="35">
        <v>240</v>
      </c>
      <c r="D9" s="35">
        <v>2</v>
      </c>
      <c r="E9" s="19">
        <f t="shared" si="2"/>
        <v>6.7199999999999996E-2</v>
      </c>
      <c r="F9" s="25">
        <f>'AĞUSTOS 5. HAFTA'!Z9</f>
        <v>151</v>
      </c>
      <c r="G9" s="26">
        <f t="shared" si="3"/>
        <v>10.1472</v>
      </c>
      <c r="H9" s="22">
        <v>151</v>
      </c>
      <c r="I9" s="11">
        <f t="shared" si="4"/>
        <v>10.1472</v>
      </c>
      <c r="J9" s="6"/>
      <c r="K9" s="10">
        <f t="shared" si="0"/>
        <v>0</v>
      </c>
      <c r="L9" s="22">
        <v>3</v>
      </c>
      <c r="M9" s="11">
        <f t="shared" si="5"/>
        <v>0.2016</v>
      </c>
      <c r="N9" s="6">
        <v>5</v>
      </c>
      <c r="O9" s="10">
        <f t="shared" si="6"/>
        <v>0.33599999999999997</v>
      </c>
      <c r="P9" s="22">
        <v>13</v>
      </c>
      <c r="Q9" s="11">
        <f t="shared" si="7"/>
        <v>0.87359999999999993</v>
      </c>
      <c r="R9" s="39">
        <f t="shared" si="11"/>
        <v>-21</v>
      </c>
      <c r="S9" s="38">
        <f t="shared" si="1"/>
        <v>-1.4112</v>
      </c>
      <c r="T9" s="12">
        <v>131</v>
      </c>
      <c r="U9" s="13">
        <f t="shared" si="12"/>
        <v>8.8031999999999986</v>
      </c>
      <c r="V9" s="49">
        <f t="shared" si="8"/>
        <v>110</v>
      </c>
      <c r="W9" s="50">
        <f t="shared" si="9"/>
        <v>7.3919999999999995</v>
      </c>
      <c r="X9">
        <f t="shared" si="10"/>
        <v>172</v>
      </c>
    </row>
    <row r="10" spans="1:24" x14ac:dyDescent="0.25">
      <c r="A10" s="42" t="s">
        <v>7</v>
      </c>
      <c r="B10" s="34">
        <v>140</v>
      </c>
      <c r="C10" s="35">
        <v>240</v>
      </c>
      <c r="D10" s="35">
        <v>2</v>
      </c>
      <c r="E10" s="19">
        <f t="shared" si="2"/>
        <v>6.7199999999999996E-2</v>
      </c>
      <c r="F10" s="25">
        <f>'AĞUSTOS 5. HAFTA'!Z10</f>
        <v>60</v>
      </c>
      <c r="G10" s="26">
        <f t="shared" si="3"/>
        <v>4.032</v>
      </c>
      <c r="H10" s="22"/>
      <c r="I10" s="11">
        <f t="shared" si="4"/>
        <v>0</v>
      </c>
      <c r="J10" s="6"/>
      <c r="K10" s="10">
        <f t="shared" si="0"/>
        <v>0</v>
      </c>
      <c r="L10" s="22"/>
      <c r="M10" s="11">
        <f t="shared" si="5"/>
        <v>0</v>
      </c>
      <c r="N10" s="6"/>
      <c r="O10" s="10">
        <f t="shared" si="6"/>
        <v>0</v>
      </c>
      <c r="P10" s="22">
        <v>1</v>
      </c>
      <c r="Q10" s="11">
        <f t="shared" si="7"/>
        <v>6.7199999999999996E-2</v>
      </c>
      <c r="R10" s="39">
        <v>45</v>
      </c>
      <c r="S10" s="38">
        <f t="shared" si="1"/>
        <v>3.024</v>
      </c>
      <c r="T10" s="12"/>
      <c r="U10" s="13">
        <f t="shared" si="12"/>
        <v>0</v>
      </c>
      <c r="V10" s="49">
        <f t="shared" si="8"/>
        <v>45</v>
      </c>
      <c r="W10" s="50">
        <f t="shared" si="9"/>
        <v>3.024</v>
      </c>
      <c r="X10">
        <f t="shared" si="10"/>
        <v>1</v>
      </c>
    </row>
    <row r="11" spans="1:24" x14ac:dyDescent="0.25">
      <c r="A11" s="42" t="s">
        <v>8</v>
      </c>
      <c r="B11" s="34">
        <v>140</v>
      </c>
      <c r="C11" s="35">
        <v>240</v>
      </c>
      <c r="D11" s="35">
        <v>7</v>
      </c>
      <c r="E11" s="19">
        <f t="shared" si="2"/>
        <v>0.23519999999999999</v>
      </c>
      <c r="F11" s="25">
        <f>'AĞUSTOS 5. HAFTA'!Z11</f>
        <v>9</v>
      </c>
      <c r="G11" s="26">
        <f t="shared" si="3"/>
        <v>2.1168</v>
      </c>
      <c r="H11" s="22"/>
      <c r="I11" s="11">
        <f t="shared" si="4"/>
        <v>0</v>
      </c>
      <c r="J11" s="6"/>
      <c r="K11" s="10">
        <f t="shared" si="0"/>
        <v>0</v>
      </c>
      <c r="L11" s="22"/>
      <c r="M11" s="11">
        <f t="shared" si="5"/>
        <v>0</v>
      </c>
      <c r="N11" s="6"/>
      <c r="O11" s="10">
        <f t="shared" si="6"/>
        <v>0</v>
      </c>
      <c r="P11" s="22"/>
      <c r="Q11" s="11">
        <f t="shared" si="7"/>
        <v>0</v>
      </c>
      <c r="R11" s="39">
        <f t="shared" si="11"/>
        <v>9</v>
      </c>
      <c r="S11" s="38">
        <f t="shared" si="1"/>
        <v>2.1168</v>
      </c>
      <c r="T11" s="12"/>
      <c r="U11" s="13">
        <f t="shared" si="12"/>
        <v>0</v>
      </c>
      <c r="V11" s="49">
        <f t="shared" si="8"/>
        <v>9</v>
      </c>
      <c r="W11" s="50">
        <f t="shared" si="9"/>
        <v>2.1168</v>
      </c>
      <c r="X11">
        <f t="shared" si="10"/>
        <v>0</v>
      </c>
    </row>
    <row r="12" spans="1:24" x14ac:dyDescent="0.25">
      <c r="A12" s="42" t="s">
        <v>9</v>
      </c>
      <c r="B12" s="34">
        <v>140</v>
      </c>
      <c r="C12" s="35">
        <v>240</v>
      </c>
      <c r="D12" s="35">
        <v>5</v>
      </c>
      <c r="E12" s="19">
        <f t="shared" si="2"/>
        <v>0.16800000000000001</v>
      </c>
      <c r="F12" s="25">
        <f>'AĞUSTOS 5. HAFTA'!Z12</f>
        <v>0</v>
      </c>
      <c r="G12" s="26">
        <f t="shared" si="3"/>
        <v>0</v>
      </c>
      <c r="H12" s="22"/>
      <c r="I12" s="11">
        <f t="shared" si="4"/>
        <v>0</v>
      </c>
      <c r="J12" s="6"/>
      <c r="K12" s="10">
        <f t="shared" si="0"/>
        <v>0</v>
      </c>
      <c r="L12" s="22">
        <v>2</v>
      </c>
      <c r="M12" s="11">
        <f t="shared" si="5"/>
        <v>0.33600000000000002</v>
      </c>
      <c r="N12" s="6">
        <v>8</v>
      </c>
      <c r="O12" s="10">
        <f t="shared" si="6"/>
        <v>1.3440000000000001</v>
      </c>
      <c r="P12" s="22">
        <v>1</v>
      </c>
      <c r="Q12" s="11">
        <f t="shared" si="7"/>
        <v>0.16800000000000001</v>
      </c>
      <c r="R12" s="39">
        <f t="shared" si="11"/>
        <v>-11</v>
      </c>
      <c r="S12" s="38">
        <f t="shared" si="1"/>
        <v>-1.8480000000000001</v>
      </c>
      <c r="T12" s="12">
        <v>394</v>
      </c>
      <c r="U12" s="13">
        <f t="shared" si="12"/>
        <v>66.192000000000007</v>
      </c>
      <c r="V12" s="49">
        <f t="shared" si="8"/>
        <v>383</v>
      </c>
      <c r="W12" s="50">
        <f t="shared" si="9"/>
        <v>64.344000000000008</v>
      </c>
      <c r="X12">
        <f t="shared" si="10"/>
        <v>11</v>
      </c>
    </row>
    <row r="13" spans="1:24" x14ac:dyDescent="0.25">
      <c r="A13" s="42" t="s">
        <v>10</v>
      </c>
      <c r="B13" s="34">
        <v>140</v>
      </c>
      <c r="C13" s="35">
        <v>240</v>
      </c>
      <c r="D13" s="35">
        <v>5</v>
      </c>
      <c r="E13" s="19">
        <f t="shared" si="2"/>
        <v>0.16800000000000001</v>
      </c>
      <c r="F13" s="25">
        <f>'AĞUSTOS 5. HAFTA'!Z13</f>
        <v>51</v>
      </c>
      <c r="G13" s="26">
        <f t="shared" si="3"/>
        <v>8.5680000000000014</v>
      </c>
      <c r="H13" s="22"/>
      <c r="I13" s="11">
        <f t="shared" si="4"/>
        <v>0</v>
      </c>
      <c r="J13" s="6"/>
      <c r="K13" s="10">
        <f t="shared" si="0"/>
        <v>0</v>
      </c>
      <c r="L13" s="22"/>
      <c r="M13" s="11">
        <f t="shared" si="5"/>
        <v>0</v>
      </c>
      <c r="N13" s="6"/>
      <c r="O13" s="10">
        <f t="shared" si="6"/>
        <v>0</v>
      </c>
      <c r="P13" s="22"/>
      <c r="Q13" s="11">
        <f t="shared" si="7"/>
        <v>0</v>
      </c>
      <c r="R13" s="39">
        <f t="shared" si="11"/>
        <v>51</v>
      </c>
      <c r="S13" s="38">
        <f t="shared" si="1"/>
        <v>8.5680000000000014</v>
      </c>
      <c r="T13" s="12"/>
      <c r="U13" s="13">
        <f t="shared" si="12"/>
        <v>0</v>
      </c>
      <c r="V13" s="49">
        <f t="shared" si="8"/>
        <v>51</v>
      </c>
      <c r="W13" s="50">
        <f t="shared" si="9"/>
        <v>8.5680000000000014</v>
      </c>
      <c r="X13">
        <f t="shared" si="10"/>
        <v>0</v>
      </c>
    </row>
    <row r="14" spans="1:24" x14ac:dyDescent="0.25">
      <c r="A14" s="42" t="s">
        <v>11</v>
      </c>
      <c r="B14" s="34">
        <v>140</v>
      </c>
      <c r="C14" s="35">
        <v>240</v>
      </c>
      <c r="D14" s="35">
        <v>5</v>
      </c>
      <c r="E14" s="19">
        <f t="shared" si="2"/>
        <v>0.16800000000000001</v>
      </c>
      <c r="F14" s="25">
        <f>'AĞUSTOS 5. HAFTA'!Z14</f>
        <v>99</v>
      </c>
      <c r="G14" s="26">
        <f t="shared" si="3"/>
        <v>16.632000000000001</v>
      </c>
      <c r="H14" s="22">
        <v>1</v>
      </c>
      <c r="I14" s="11">
        <f t="shared" si="4"/>
        <v>0.16800000000000001</v>
      </c>
      <c r="J14" s="6">
        <v>1</v>
      </c>
      <c r="K14" s="10">
        <f t="shared" si="0"/>
        <v>0.16800000000000001</v>
      </c>
      <c r="L14" s="22"/>
      <c r="M14" s="11">
        <f t="shared" si="5"/>
        <v>0</v>
      </c>
      <c r="N14" s="6">
        <v>1</v>
      </c>
      <c r="O14" s="10">
        <f t="shared" si="6"/>
        <v>0.16800000000000001</v>
      </c>
      <c r="P14" s="22">
        <v>1</v>
      </c>
      <c r="Q14" s="11">
        <f t="shared" si="7"/>
        <v>0.16800000000000001</v>
      </c>
      <c r="R14" s="39">
        <f t="shared" si="11"/>
        <v>95</v>
      </c>
      <c r="S14" s="38">
        <f t="shared" si="1"/>
        <v>15.96</v>
      </c>
      <c r="T14" s="12"/>
      <c r="U14" s="13">
        <f t="shared" si="12"/>
        <v>0</v>
      </c>
      <c r="V14" s="49">
        <f t="shared" si="8"/>
        <v>95</v>
      </c>
      <c r="W14" s="50">
        <f t="shared" si="9"/>
        <v>15.96</v>
      </c>
      <c r="X14">
        <f t="shared" si="10"/>
        <v>4</v>
      </c>
    </row>
    <row r="15" spans="1:24" x14ac:dyDescent="0.25">
      <c r="A15" s="42" t="s">
        <v>12</v>
      </c>
      <c r="B15" s="34">
        <v>140</v>
      </c>
      <c r="C15" s="35">
        <v>240</v>
      </c>
      <c r="D15" s="35">
        <v>10</v>
      </c>
      <c r="E15" s="19">
        <f t="shared" si="2"/>
        <v>0.33600000000000002</v>
      </c>
      <c r="F15" s="25">
        <f>'AĞUSTOS 5. HAFTA'!Z15</f>
        <v>8</v>
      </c>
      <c r="G15" s="26">
        <f t="shared" si="3"/>
        <v>2.6880000000000002</v>
      </c>
      <c r="H15" s="22">
        <v>1</v>
      </c>
      <c r="I15" s="11">
        <f t="shared" si="4"/>
        <v>0.33600000000000002</v>
      </c>
      <c r="J15" s="6"/>
      <c r="K15" s="10">
        <f t="shared" si="0"/>
        <v>0</v>
      </c>
      <c r="L15" s="22"/>
      <c r="M15" s="11">
        <f t="shared" si="5"/>
        <v>0</v>
      </c>
      <c r="N15" s="6">
        <v>2</v>
      </c>
      <c r="O15" s="10">
        <f t="shared" si="6"/>
        <v>0.67200000000000004</v>
      </c>
      <c r="P15" s="22">
        <v>3</v>
      </c>
      <c r="Q15" s="11">
        <f t="shared" si="7"/>
        <v>1.008</v>
      </c>
      <c r="R15" s="39">
        <f t="shared" si="11"/>
        <v>2</v>
      </c>
      <c r="S15" s="38">
        <f t="shared" si="1"/>
        <v>0.67200000000000004</v>
      </c>
      <c r="T15" s="12">
        <v>50</v>
      </c>
      <c r="U15" s="13">
        <f t="shared" si="12"/>
        <v>16.8</v>
      </c>
      <c r="V15" s="49">
        <f t="shared" si="8"/>
        <v>52</v>
      </c>
      <c r="W15" s="50">
        <f t="shared" si="9"/>
        <v>17.472000000000001</v>
      </c>
      <c r="X15">
        <f t="shared" si="10"/>
        <v>6</v>
      </c>
    </row>
    <row r="16" spans="1:24" x14ac:dyDescent="0.25">
      <c r="A16" s="42" t="s">
        <v>13</v>
      </c>
      <c r="B16" s="34">
        <v>140</v>
      </c>
      <c r="C16" s="35">
        <v>240</v>
      </c>
      <c r="D16" s="35">
        <v>3</v>
      </c>
      <c r="E16" s="19">
        <f t="shared" si="2"/>
        <v>0.1008</v>
      </c>
      <c r="F16" s="25">
        <f>'AĞUSTOS 5. HAFTA'!Z16</f>
        <v>73</v>
      </c>
      <c r="G16" s="26">
        <f t="shared" si="3"/>
        <v>7.3583999999999996</v>
      </c>
      <c r="H16" s="22"/>
      <c r="I16" s="11">
        <f t="shared" si="4"/>
        <v>0</v>
      </c>
      <c r="J16" s="6">
        <v>6</v>
      </c>
      <c r="K16" s="10">
        <f t="shared" si="0"/>
        <v>0.6048</v>
      </c>
      <c r="L16" s="22"/>
      <c r="M16" s="11">
        <f t="shared" si="5"/>
        <v>0</v>
      </c>
      <c r="N16" s="6">
        <v>4</v>
      </c>
      <c r="O16" s="10">
        <f t="shared" si="6"/>
        <v>0.4032</v>
      </c>
      <c r="P16" s="22">
        <v>6</v>
      </c>
      <c r="Q16" s="11">
        <f t="shared" si="7"/>
        <v>0.6048</v>
      </c>
      <c r="R16" s="39">
        <f t="shared" si="11"/>
        <v>57</v>
      </c>
      <c r="S16" s="38">
        <f t="shared" si="1"/>
        <v>5.7455999999999996</v>
      </c>
      <c r="T16" s="12">
        <v>150</v>
      </c>
      <c r="U16" s="13">
        <f t="shared" si="12"/>
        <v>15.120000000000001</v>
      </c>
      <c r="V16" s="49">
        <f t="shared" si="8"/>
        <v>207</v>
      </c>
      <c r="W16" s="50">
        <f t="shared" si="9"/>
        <v>20.865600000000001</v>
      </c>
      <c r="X16">
        <f t="shared" si="10"/>
        <v>16</v>
      </c>
    </row>
    <row r="17" spans="1:24" x14ac:dyDescent="0.25">
      <c r="A17" s="42" t="s">
        <v>14</v>
      </c>
      <c r="B17" s="34">
        <v>140</v>
      </c>
      <c r="C17" s="35">
        <v>240</v>
      </c>
      <c r="D17" s="35">
        <v>5</v>
      </c>
      <c r="E17" s="19">
        <f t="shared" si="2"/>
        <v>0.16800000000000001</v>
      </c>
      <c r="F17" s="25">
        <f>'AĞUSTOS 5. HAFTA'!Z17</f>
        <v>43</v>
      </c>
      <c r="G17" s="26">
        <f t="shared" si="3"/>
        <v>7.2240000000000002</v>
      </c>
      <c r="H17" s="22"/>
      <c r="I17" s="11">
        <f t="shared" si="4"/>
        <v>0</v>
      </c>
      <c r="J17" s="6"/>
      <c r="K17" s="10">
        <f t="shared" si="0"/>
        <v>0</v>
      </c>
      <c r="L17" s="22"/>
      <c r="M17" s="11">
        <f t="shared" si="5"/>
        <v>0</v>
      </c>
      <c r="N17" s="6">
        <v>3</v>
      </c>
      <c r="O17" s="10">
        <f t="shared" si="6"/>
        <v>0.504</v>
      </c>
      <c r="P17" s="22">
        <v>9</v>
      </c>
      <c r="Q17" s="11">
        <f t="shared" si="7"/>
        <v>1.512</v>
      </c>
      <c r="R17" s="39">
        <f t="shared" si="11"/>
        <v>31</v>
      </c>
      <c r="S17" s="38">
        <f t="shared" si="1"/>
        <v>5.2080000000000002</v>
      </c>
      <c r="T17" s="12"/>
      <c r="U17" s="13">
        <f t="shared" si="12"/>
        <v>0</v>
      </c>
      <c r="V17" s="49">
        <f t="shared" si="8"/>
        <v>31</v>
      </c>
      <c r="W17" s="50">
        <f t="shared" si="9"/>
        <v>5.2080000000000002</v>
      </c>
      <c r="X17">
        <f t="shared" si="10"/>
        <v>12</v>
      </c>
    </row>
    <row r="18" spans="1:24" x14ac:dyDescent="0.25">
      <c r="A18" s="42" t="s">
        <v>15</v>
      </c>
      <c r="B18" s="34">
        <v>140</v>
      </c>
      <c r="C18" s="35">
        <v>240</v>
      </c>
      <c r="D18" s="35">
        <v>3</v>
      </c>
      <c r="E18" s="19">
        <f t="shared" si="2"/>
        <v>0.1008</v>
      </c>
      <c r="F18" s="25">
        <f>'AĞUSTOS 5. HAFTA'!Z18</f>
        <v>218</v>
      </c>
      <c r="G18" s="26">
        <f t="shared" si="3"/>
        <v>21.974399999999999</v>
      </c>
      <c r="H18" s="22"/>
      <c r="I18" s="11">
        <f t="shared" si="4"/>
        <v>0</v>
      </c>
      <c r="J18" s="6"/>
      <c r="K18" s="10">
        <f t="shared" si="0"/>
        <v>0</v>
      </c>
      <c r="L18" s="22"/>
      <c r="M18" s="11">
        <f t="shared" si="5"/>
        <v>0</v>
      </c>
      <c r="N18" s="6"/>
      <c r="O18" s="10">
        <f t="shared" si="6"/>
        <v>0</v>
      </c>
      <c r="P18" s="22">
        <v>1</v>
      </c>
      <c r="Q18" s="11">
        <f t="shared" si="7"/>
        <v>0.1008</v>
      </c>
      <c r="R18" s="39">
        <f t="shared" si="11"/>
        <v>217</v>
      </c>
      <c r="S18" s="38">
        <f t="shared" si="1"/>
        <v>21.8736</v>
      </c>
      <c r="T18" s="12"/>
      <c r="U18" s="13">
        <f t="shared" si="12"/>
        <v>0</v>
      </c>
      <c r="V18" s="49">
        <f t="shared" si="8"/>
        <v>217</v>
      </c>
      <c r="W18" s="50">
        <f t="shared" si="9"/>
        <v>21.8736</v>
      </c>
      <c r="X18">
        <f t="shared" si="10"/>
        <v>1</v>
      </c>
    </row>
    <row r="19" spans="1:24" x14ac:dyDescent="0.25">
      <c r="A19" s="42" t="s">
        <v>16</v>
      </c>
      <c r="B19" s="34">
        <v>140</v>
      </c>
      <c r="C19" s="35">
        <v>240</v>
      </c>
      <c r="D19" s="35">
        <v>8</v>
      </c>
      <c r="E19" s="19">
        <f t="shared" si="2"/>
        <v>0.26879999999999998</v>
      </c>
      <c r="F19" s="25">
        <f>'AĞUSTOS 5. HAFTA'!Z19</f>
        <v>17</v>
      </c>
      <c r="G19" s="26">
        <f t="shared" si="3"/>
        <v>4.5695999999999994</v>
      </c>
      <c r="H19" s="22"/>
      <c r="I19" s="11">
        <f t="shared" si="4"/>
        <v>0</v>
      </c>
      <c r="J19" s="6"/>
      <c r="K19" s="10">
        <f t="shared" si="0"/>
        <v>0</v>
      </c>
      <c r="L19" s="22"/>
      <c r="M19" s="11">
        <f t="shared" si="5"/>
        <v>0</v>
      </c>
      <c r="N19" s="6"/>
      <c r="O19" s="10">
        <f t="shared" si="6"/>
        <v>0</v>
      </c>
      <c r="P19" s="22"/>
      <c r="Q19" s="11">
        <f t="shared" si="7"/>
        <v>0</v>
      </c>
      <c r="R19" s="39">
        <f t="shared" si="11"/>
        <v>17</v>
      </c>
      <c r="S19" s="38">
        <f t="shared" si="1"/>
        <v>4.5695999999999994</v>
      </c>
      <c r="T19" s="12"/>
      <c r="U19" s="13">
        <f t="shared" si="12"/>
        <v>0</v>
      </c>
      <c r="V19" s="49">
        <f t="shared" si="8"/>
        <v>17</v>
      </c>
      <c r="W19" s="50">
        <f t="shared" si="9"/>
        <v>4.5695999999999994</v>
      </c>
      <c r="X19">
        <f t="shared" si="10"/>
        <v>0</v>
      </c>
    </row>
    <row r="20" spans="1:24" x14ac:dyDescent="0.25">
      <c r="A20" s="42" t="s">
        <v>17</v>
      </c>
      <c r="B20" s="34">
        <v>140</v>
      </c>
      <c r="C20" s="35">
        <v>240</v>
      </c>
      <c r="D20" s="35">
        <v>8</v>
      </c>
      <c r="E20" s="19">
        <f t="shared" si="2"/>
        <v>0.26879999999999998</v>
      </c>
      <c r="F20" s="25">
        <f>'AĞUSTOS 5. HAFTA'!Z20</f>
        <v>0</v>
      </c>
      <c r="G20" s="26">
        <f t="shared" si="3"/>
        <v>0</v>
      </c>
      <c r="H20" s="22"/>
      <c r="I20" s="11">
        <f t="shared" si="4"/>
        <v>0</v>
      </c>
      <c r="J20" s="6"/>
      <c r="K20" s="10">
        <f t="shared" si="0"/>
        <v>0</v>
      </c>
      <c r="L20" s="22"/>
      <c r="M20" s="11">
        <f t="shared" si="5"/>
        <v>0</v>
      </c>
      <c r="N20" s="6"/>
      <c r="O20" s="10">
        <f t="shared" si="6"/>
        <v>0</v>
      </c>
      <c r="P20" s="22"/>
      <c r="Q20" s="11">
        <f t="shared" si="7"/>
        <v>0</v>
      </c>
      <c r="R20" s="39">
        <f t="shared" si="11"/>
        <v>0</v>
      </c>
      <c r="S20" s="38">
        <f t="shared" si="1"/>
        <v>0</v>
      </c>
      <c r="T20" s="12"/>
      <c r="U20" s="13">
        <f t="shared" si="12"/>
        <v>0</v>
      </c>
      <c r="V20" s="49">
        <f t="shared" si="8"/>
        <v>0</v>
      </c>
      <c r="W20" s="50">
        <f t="shared" si="9"/>
        <v>0</v>
      </c>
      <c r="X20">
        <f t="shared" si="10"/>
        <v>0</v>
      </c>
    </row>
    <row r="21" spans="1:24" x14ac:dyDescent="0.25">
      <c r="A21" s="42" t="s">
        <v>19</v>
      </c>
      <c r="B21" s="34">
        <v>77</v>
      </c>
      <c r="C21" s="35">
        <v>55</v>
      </c>
      <c r="D21" s="35">
        <v>8</v>
      </c>
      <c r="E21" s="19">
        <f t="shared" si="2"/>
        <v>3.388E-2</v>
      </c>
      <c r="F21" s="25">
        <f>'AĞUSTOS 5. HAFTA'!Z21</f>
        <v>4</v>
      </c>
      <c r="G21" s="26">
        <f t="shared" si="3"/>
        <v>0.13552</v>
      </c>
      <c r="H21" s="22"/>
      <c r="I21" s="11">
        <f t="shared" si="4"/>
        <v>0</v>
      </c>
      <c r="J21" s="6"/>
      <c r="K21" s="10">
        <f t="shared" si="0"/>
        <v>0</v>
      </c>
      <c r="L21" s="22"/>
      <c r="M21" s="11">
        <f t="shared" si="5"/>
        <v>0</v>
      </c>
      <c r="N21" s="6"/>
      <c r="O21" s="10">
        <f t="shared" si="6"/>
        <v>0</v>
      </c>
      <c r="P21" s="22"/>
      <c r="Q21" s="11">
        <f t="shared" si="7"/>
        <v>0</v>
      </c>
      <c r="R21" s="39">
        <f t="shared" si="11"/>
        <v>4</v>
      </c>
      <c r="S21" s="38">
        <f t="shared" si="1"/>
        <v>0.13552</v>
      </c>
      <c r="T21" s="12"/>
      <c r="U21" s="13">
        <f t="shared" si="12"/>
        <v>0</v>
      </c>
      <c r="V21" s="49">
        <f t="shared" si="8"/>
        <v>4</v>
      </c>
      <c r="W21" s="50">
        <f t="shared" si="9"/>
        <v>0.13552</v>
      </c>
      <c r="X21">
        <f t="shared" si="10"/>
        <v>0</v>
      </c>
    </row>
    <row r="22" spans="1:24" x14ac:dyDescent="0.25">
      <c r="A22" s="42" t="s">
        <v>20</v>
      </c>
      <c r="B22" s="34">
        <v>65</v>
      </c>
      <c r="C22" s="35">
        <v>50</v>
      </c>
      <c r="D22" s="35">
        <v>12</v>
      </c>
      <c r="E22" s="19">
        <f t="shared" si="2"/>
        <v>3.9E-2</v>
      </c>
      <c r="F22" s="25">
        <f>'AĞUSTOS 5. HAFTA'!Z22</f>
        <v>26</v>
      </c>
      <c r="G22" s="26">
        <f t="shared" si="3"/>
        <v>1.014</v>
      </c>
      <c r="H22" s="22"/>
      <c r="I22" s="11">
        <f t="shared" si="4"/>
        <v>0</v>
      </c>
      <c r="J22" s="6"/>
      <c r="K22" s="10">
        <f t="shared" si="0"/>
        <v>0</v>
      </c>
      <c r="L22" s="22"/>
      <c r="M22" s="11">
        <f t="shared" si="5"/>
        <v>0</v>
      </c>
      <c r="N22" s="6"/>
      <c r="O22" s="10">
        <f t="shared" si="6"/>
        <v>0</v>
      </c>
      <c r="P22" s="22"/>
      <c r="Q22" s="11">
        <f t="shared" si="7"/>
        <v>0</v>
      </c>
      <c r="R22" s="39">
        <f t="shared" si="11"/>
        <v>26</v>
      </c>
      <c r="S22" s="38">
        <f t="shared" si="1"/>
        <v>1.014</v>
      </c>
      <c r="T22" s="12"/>
      <c r="U22" s="13">
        <f t="shared" si="12"/>
        <v>0</v>
      </c>
      <c r="V22" s="49">
        <f t="shared" si="8"/>
        <v>26</v>
      </c>
      <c r="W22" s="50">
        <f t="shared" si="9"/>
        <v>1.014</v>
      </c>
      <c r="X22">
        <f t="shared" si="10"/>
        <v>0</v>
      </c>
    </row>
    <row r="23" spans="1:24" x14ac:dyDescent="0.25">
      <c r="A23" s="42" t="s">
        <v>21</v>
      </c>
      <c r="B23" s="34"/>
      <c r="C23" s="35"/>
      <c r="D23" s="35"/>
      <c r="E23" s="19">
        <f t="shared" si="2"/>
        <v>0</v>
      </c>
      <c r="F23" s="25">
        <f>'AĞUSTOS 5. HAFTA'!Z23</f>
        <v>74</v>
      </c>
      <c r="G23" s="26">
        <f t="shared" si="3"/>
        <v>0</v>
      </c>
      <c r="H23" s="22"/>
      <c r="I23" s="11">
        <f t="shared" si="4"/>
        <v>0</v>
      </c>
      <c r="J23" s="6"/>
      <c r="K23" s="10">
        <f t="shared" si="0"/>
        <v>0</v>
      </c>
      <c r="L23" s="22"/>
      <c r="M23" s="11">
        <f t="shared" si="5"/>
        <v>0</v>
      </c>
      <c r="N23" s="6"/>
      <c r="O23" s="10">
        <f t="shared" si="6"/>
        <v>0</v>
      </c>
      <c r="P23" s="22"/>
      <c r="Q23" s="11">
        <f t="shared" si="7"/>
        <v>0</v>
      </c>
      <c r="R23" s="39">
        <f t="shared" si="11"/>
        <v>74</v>
      </c>
      <c r="S23" s="38">
        <f t="shared" si="1"/>
        <v>0</v>
      </c>
      <c r="T23" s="12"/>
      <c r="U23" s="13">
        <f t="shared" si="12"/>
        <v>0</v>
      </c>
      <c r="V23" s="49">
        <f t="shared" si="8"/>
        <v>74</v>
      </c>
      <c r="W23" s="50">
        <f t="shared" si="9"/>
        <v>0</v>
      </c>
      <c r="X23">
        <f t="shared" si="10"/>
        <v>0</v>
      </c>
    </row>
    <row r="24" spans="1:24" x14ac:dyDescent="0.25">
      <c r="A24" s="42" t="s">
        <v>22</v>
      </c>
      <c r="B24" s="34">
        <v>66</v>
      </c>
      <c r="C24" s="35">
        <v>56</v>
      </c>
      <c r="D24" s="35">
        <v>12</v>
      </c>
      <c r="E24" s="19">
        <f t="shared" si="2"/>
        <v>4.4352000000000003E-2</v>
      </c>
      <c r="F24" s="25">
        <f>'AĞUSTOS 5. HAFTA'!Z24</f>
        <v>28</v>
      </c>
      <c r="G24" s="26">
        <f t="shared" si="3"/>
        <v>1.2418560000000001</v>
      </c>
      <c r="H24" s="22"/>
      <c r="I24" s="11">
        <f t="shared" si="4"/>
        <v>0</v>
      </c>
      <c r="J24" s="6"/>
      <c r="K24" s="10">
        <f t="shared" si="0"/>
        <v>0</v>
      </c>
      <c r="L24" s="22"/>
      <c r="M24" s="11">
        <f t="shared" si="5"/>
        <v>0</v>
      </c>
      <c r="N24" s="6"/>
      <c r="O24" s="10">
        <f t="shared" si="6"/>
        <v>0</v>
      </c>
      <c r="P24" s="22"/>
      <c r="Q24" s="11">
        <f t="shared" si="7"/>
        <v>0</v>
      </c>
      <c r="R24" s="39">
        <f t="shared" si="11"/>
        <v>28</v>
      </c>
      <c r="S24" s="38">
        <f t="shared" si="1"/>
        <v>1.2418560000000001</v>
      </c>
      <c r="T24" s="12"/>
      <c r="U24" s="13">
        <f t="shared" si="12"/>
        <v>0</v>
      </c>
      <c r="V24" s="49">
        <f t="shared" si="8"/>
        <v>28</v>
      </c>
      <c r="W24" s="50">
        <f t="shared" si="9"/>
        <v>1.2418560000000001</v>
      </c>
      <c r="X24">
        <f t="shared" si="10"/>
        <v>0</v>
      </c>
    </row>
    <row r="25" spans="1:24" x14ac:dyDescent="0.25">
      <c r="A25" s="42" t="s">
        <v>23</v>
      </c>
      <c r="B25" s="34">
        <v>61.5</v>
      </c>
      <c r="C25" s="35">
        <v>61.5</v>
      </c>
      <c r="D25" s="35">
        <v>10</v>
      </c>
      <c r="E25" s="19">
        <f t="shared" si="2"/>
        <v>3.7822500000000002E-2</v>
      </c>
      <c r="F25" s="25">
        <f>'AĞUSTOS 5. HAFTA'!Z25</f>
        <v>0</v>
      </c>
      <c r="G25" s="26">
        <f t="shared" si="3"/>
        <v>0</v>
      </c>
      <c r="H25" s="22"/>
      <c r="I25" s="11">
        <f t="shared" si="4"/>
        <v>0</v>
      </c>
      <c r="J25" s="6"/>
      <c r="K25" s="10">
        <f t="shared" si="0"/>
        <v>0</v>
      </c>
      <c r="L25" s="22"/>
      <c r="M25" s="11">
        <f t="shared" si="5"/>
        <v>0</v>
      </c>
      <c r="N25" s="6"/>
      <c r="O25" s="10">
        <f t="shared" si="6"/>
        <v>0</v>
      </c>
      <c r="P25" s="22"/>
      <c r="Q25" s="11">
        <f t="shared" si="7"/>
        <v>0</v>
      </c>
      <c r="R25" s="39">
        <f t="shared" si="11"/>
        <v>0</v>
      </c>
      <c r="S25" s="38">
        <f t="shared" si="1"/>
        <v>0</v>
      </c>
      <c r="T25" s="12"/>
      <c r="U25" s="13">
        <f t="shared" si="12"/>
        <v>0</v>
      </c>
      <c r="V25" s="49">
        <f t="shared" si="8"/>
        <v>0</v>
      </c>
      <c r="W25" s="50">
        <f t="shared" si="9"/>
        <v>0</v>
      </c>
      <c r="X25">
        <f t="shared" si="10"/>
        <v>0</v>
      </c>
    </row>
    <row r="26" spans="1:24" x14ac:dyDescent="0.25">
      <c r="A26" s="42" t="s">
        <v>24</v>
      </c>
      <c r="B26" s="34">
        <v>82</v>
      </c>
      <c r="C26" s="35">
        <v>67</v>
      </c>
      <c r="D26" s="35">
        <v>5</v>
      </c>
      <c r="E26" s="19">
        <f t="shared" si="2"/>
        <v>2.7470000000000001E-2</v>
      </c>
      <c r="F26" s="25">
        <f>'AĞUSTOS 5. HAFTA'!Z26</f>
        <v>30</v>
      </c>
      <c r="G26" s="26">
        <f t="shared" si="3"/>
        <v>0.82410000000000005</v>
      </c>
      <c r="H26" s="22"/>
      <c r="I26" s="11">
        <f t="shared" si="4"/>
        <v>0</v>
      </c>
      <c r="J26" s="6"/>
      <c r="K26" s="10">
        <f t="shared" si="0"/>
        <v>0</v>
      </c>
      <c r="L26" s="22"/>
      <c r="M26" s="11">
        <f t="shared" si="5"/>
        <v>0</v>
      </c>
      <c r="N26" s="6"/>
      <c r="O26" s="10">
        <f t="shared" si="6"/>
        <v>0</v>
      </c>
      <c r="P26" s="22"/>
      <c r="Q26" s="11">
        <f t="shared" si="7"/>
        <v>0</v>
      </c>
      <c r="R26" s="39">
        <f t="shared" si="11"/>
        <v>30</v>
      </c>
      <c r="S26" s="38">
        <f t="shared" si="1"/>
        <v>0.82410000000000005</v>
      </c>
      <c r="T26" s="12"/>
      <c r="U26" s="13">
        <f t="shared" si="12"/>
        <v>0</v>
      </c>
      <c r="V26" s="49">
        <f t="shared" si="8"/>
        <v>30</v>
      </c>
      <c r="W26" s="50">
        <f t="shared" si="9"/>
        <v>0.82410000000000005</v>
      </c>
      <c r="X26">
        <f t="shared" si="10"/>
        <v>0</v>
      </c>
    </row>
    <row r="27" spans="1:24" x14ac:dyDescent="0.25">
      <c r="A27" s="42" t="s">
        <v>25</v>
      </c>
      <c r="B27" s="34">
        <v>80</v>
      </c>
      <c r="C27" s="35">
        <v>62</v>
      </c>
      <c r="D27" s="35">
        <v>2</v>
      </c>
      <c r="E27" s="19">
        <f t="shared" si="2"/>
        <v>9.92E-3</v>
      </c>
      <c r="F27" s="25">
        <f>'AĞUSTOS 5. HAFTA'!Z27</f>
        <v>36</v>
      </c>
      <c r="G27" s="26">
        <f t="shared" si="3"/>
        <v>0.35711999999999999</v>
      </c>
      <c r="H27" s="22"/>
      <c r="I27" s="11">
        <f t="shared" si="4"/>
        <v>0</v>
      </c>
      <c r="J27" s="6"/>
      <c r="K27" s="10">
        <f t="shared" si="0"/>
        <v>0</v>
      </c>
      <c r="L27" s="22"/>
      <c r="M27" s="11">
        <f t="shared" si="5"/>
        <v>0</v>
      </c>
      <c r="N27" s="6"/>
      <c r="O27" s="10">
        <f t="shared" si="6"/>
        <v>0</v>
      </c>
      <c r="P27" s="22"/>
      <c r="Q27" s="11">
        <f t="shared" si="7"/>
        <v>0</v>
      </c>
      <c r="R27" s="39">
        <f t="shared" si="11"/>
        <v>36</v>
      </c>
      <c r="S27" s="38">
        <f t="shared" si="1"/>
        <v>0.35711999999999999</v>
      </c>
      <c r="T27" s="12"/>
      <c r="U27" s="13">
        <f t="shared" si="12"/>
        <v>0</v>
      </c>
      <c r="V27" s="49">
        <f t="shared" si="8"/>
        <v>36</v>
      </c>
      <c r="W27" s="50">
        <f t="shared" si="9"/>
        <v>0.35711999999999999</v>
      </c>
      <c r="X27">
        <f t="shared" si="10"/>
        <v>0</v>
      </c>
    </row>
    <row r="28" spans="1:24" x14ac:dyDescent="0.25">
      <c r="A28" s="42" t="s">
        <v>26</v>
      </c>
      <c r="B28" s="34">
        <v>63</v>
      </c>
      <c r="C28" s="35">
        <v>55</v>
      </c>
      <c r="D28" s="35">
        <v>5</v>
      </c>
      <c r="E28" s="19">
        <f t="shared" si="2"/>
        <v>1.7325E-2</v>
      </c>
      <c r="F28" s="25">
        <f>'AĞUSTOS 5. HAFTA'!Z28</f>
        <v>19</v>
      </c>
      <c r="G28" s="26">
        <f t="shared" si="3"/>
        <v>0.329175</v>
      </c>
      <c r="H28" s="22"/>
      <c r="I28" s="11">
        <f t="shared" si="4"/>
        <v>0</v>
      </c>
      <c r="J28" s="6"/>
      <c r="K28" s="10">
        <f t="shared" si="0"/>
        <v>0</v>
      </c>
      <c r="L28" s="22"/>
      <c r="M28" s="11">
        <f t="shared" si="5"/>
        <v>0</v>
      </c>
      <c r="N28" s="6"/>
      <c r="O28" s="10">
        <f t="shared" si="6"/>
        <v>0</v>
      </c>
      <c r="P28" s="22"/>
      <c r="Q28" s="11">
        <f t="shared" si="7"/>
        <v>0</v>
      </c>
      <c r="R28" s="39">
        <f t="shared" si="11"/>
        <v>19</v>
      </c>
      <c r="S28" s="38">
        <f t="shared" si="1"/>
        <v>0.329175</v>
      </c>
      <c r="T28" s="12"/>
      <c r="U28" s="13">
        <f t="shared" si="12"/>
        <v>0</v>
      </c>
      <c r="V28" s="49">
        <f t="shared" si="8"/>
        <v>19</v>
      </c>
      <c r="W28" s="50">
        <f t="shared" si="9"/>
        <v>0.329175</v>
      </c>
      <c r="X28">
        <f t="shared" si="10"/>
        <v>0</v>
      </c>
    </row>
    <row r="29" spans="1:24" x14ac:dyDescent="0.25">
      <c r="A29" s="42" t="s">
        <v>27</v>
      </c>
      <c r="B29" s="34">
        <v>140</v>
      </c>
      <c r="C29" s="35">
        <v>240</v>
      </c>
      <c r="D29" s="35">
        <v>5</v>
      </c>
      <c r="E29" s="19">
        <f t="shared" si="2"/>
        <v>0.16800000000000001</v>
      </c>
      <c r="F29" s="25">
        <f>'AĞUSTOS 5. HAFTA'!Z29</f>
        <v>6</v>
      </c>
      <c r="G29" s="26">
        <f t="shared" si="3"/>
        <v>1.008</v>
      </c>
      <c r="H29" s="22"/>
      <c r="I29" s="11">
        <f t="shared" si="4"/>
        <v>0</v>
      </c>
      <c r="J29" s="6"/>
      <c r="K29" s="10">
        <f t="shared" si="0"/>
        <v>0</v>
      </c>
      <c r="L29" s="22"/>
      <c r="M29" s="11">
        <f t="shared" si="5"/>
        <v>0</v>
      </c>
      <c r="N29" s="6"/>
      <c r="O29" s="10">
        <f t="shared" si="6"/>
        <v>0</v>
      </c>
      <c r="P29" s="22"/>
      <c r="Q29" s="11">
        <f t="shared" si="7"/>
        <v>0</v>
      </c>
      <c r="R29" s="39">
        <f t="shared" si="11"/>
        <v>6</v>
      </c>
      <c r="S29" s="38">
        <f t="shared" si="1"/>
        <v>1.008</v>
      </c>
      <c r="T29" s="12"/>
      <c r="U29" s="13">
        <f t="shared" si="12"/>
        <v>0</v>
      </c>
      <c r="V29" s="49">
        <f t="shared" si="8"/>
        <v>6</v>
      </c>
      <c r="W29" s="50">
        <f t="shared" si="9"/>
        <v>1.008</v>
      </c>
      <c r="X29">
        <f t="shared" si="10"/>
        <v>0</v>
      </c>
    </row>
    <row r="30" spans="1:24" x14ac:dyDescent="0.25">
      <c r="A30" s="42" t="s">
        <v>28</v>
      </c>
      <c r="B30" s="34">
        <v>140</v>
      </c>
      <c r="C30" s="35">
        <v>240</v>
      </c>
      <c r="D30" s="35">
        <v>10</v>
      </c>
      <c r="E30" s="19">
        <f t="shared" si="2"/>
        <v>0.33600000000000002</v>
      </c>
      <c r="F30" s="25">
        <f>'AĞUSTOS 5. HAFTA'!Z30</f>
        <v>11</v>
      </c>
      <c r="G30" s="26">
        <f t="shared" si="3"/>
        <v>3.6960000000000002</v>
      </c>
      <c r="H30" s="22"/>
      <c r="I30" s="11">
        <f t="shared" si="4"/>
        <v>0</v>
      </c>
      <c r="J30" s="6"/>
      <c r="K30" s="10">
        <f t="shared" si="0"/>
        <v>0</v>
      </c>
      <c r="L30" s="22"/>
      <c r="M30" s="11">
        <f t="shared" si="5"/>
        <v>0</v>
      </c>
      <c r="N30" s="6"/>
      <c r="O30" s="10">
        <f t="shared" si="6"/>
        <v>0</v>
      </c>
      <c r="P30" s="22"/>
      <c r="Q30" s="11">
        <f t="shared" si="7"/>
        <v>0</v>
      </c>
      <c r="R30" s="39">
        <f t="shared" si="11"/>
        <v>11</v>
      </c>
      <c r="S30" s="38">
        <f t="shared" si="1"/>
        <v>3.6960000000000002</v>
      </c>
      <c r="T30" s="12"/>
      <c r="U30" s="13">
        <f t="shared" si="12"/>
        <v>0</v>
      </c>
      <c r="V30" s="49">
        <f t="shared" si="8"/>
        <v>11</v>
      </c>
      <c r="W30" s="50">
        <f t="shared" si="9"/>
        <v>3.6960000000000002</v>
      </c>
      <c r="X30">
        <f t="shared" si="10"/>
        <v>0</v>
      </c>
    </row>
    <row r="31" spans="1:24" x14ac:dyDescent="0.25">
      <c r="A31" s="42" t="s">
        <v>29</v>
      </c>
      <c r="B31" s="34">
        <v>140</v>
      </c>
      <c r="C31" s="35">
        <v>240</v>
      </c>
      <c r="D31" s="35">
        <v>3</v>
      </c>
      <c r="E31" s="19">
        <f t="shared" si="2"/>
        <v>0.1008</v>
      </c>
      <c r="F31" s="25">
        <f>'AĞUSTOS 5. HAFTA'!Z31</f>
        <v>38</v>
      </c>
      <c r="G31" s="26">
        <f t="shared" si="3"/>
        <v>3.8304</v>
      </c>
      <c r="H31" s="22"/>
      <c r="I31" s="11">
        <f t="shared" si="4"/>
        <v>0</v>
      </c>
      <c r="J31" s="6"/>
      <c r="K31" s="10">
        <f t="shared" si="0"/>
        <v>0</v>
      </c>
      <c r="L31" s="22"/>
      <c r="M31" s="11">
        <f t="shared" si="5"/>
        <v>0</v>
      </c>
      <c r="N31" s="6"/>
      <c r="O31" s="10">
        <f t="shared" si="6"/>
        <v>0</v>
      </c>
      <c r="P31" s="22"/>
      <c r="Q31" s="11">
        <f t="shared" si="7"/>
        <v>0</v>
      </c>
      <c r="R31" s="39">
        <f t="shared" si="11"/>
        <v>38</v>
      </c>
      <c r="S31" s="38">
        <f t="shared" si="1"/>
        <v>3.8304</v>
      </c>
      <c r="T31" s="12"/>
      <c r="U31" s="13">
        <f t="shared" si="12"/>
        <v>0</v>
      </c>
      <c r="V31" s="49">
        <f t="shared" si="8"/>
        <v>38</v>
      </c>
      <c r="W31" s="50">
        <f t="shared" si="9"/>
        <v>3.8304</v>
      </c>
      <c r="X31">
        <f t="shared" si="10"/>
        <v>0</v>
      </c>
    </row>
    <row r="32" spans="1:24" x14ac:dyDescent="0.25">
      <c r="A32" s="42" t="s">
        <v>30</v>
      </c>
      <c r="B32" s="34">
        <v>90</v>
      </c>
      <c r="C32" s="35">
        <v>80</v>
      </c>
      <c r="D32" s="35">
        <v>8</v>
      </c>
      <c r="E32" s="19">
        <f t="shared" si="2"/>
        <v>5.7599999999999998E-2</v>
      </c>
      <c r="F32" s="25">
        <f>'AĞUSTOS 5. HAFTA'!Z32</f>
        <v>24</v>
      </c>
      <c r="G32" s="26">
        <f t="shared" si="3"/>
        <v>1.3824000000000001</v>
      </c>
      <c r="H32" s="22"/>
      <c r="I32" s="11">
        <f t="shared" si="4"/>
        <v>0</v>
      </c>
      <c r="J32" s="6"/>
      <c r="K32" s="10">
        <f t="shared" si="0"/>
        <v>0</v>
      </c>
      <c r="L32" s="22"/>
      <c r="M32" s="11">
        <f t="shared" si="5"/>
        <v>0</v>
      </c>
      <c r="N32" s="6"/>
      <c r="O32" s="10">
        <f t="shared" si="6"/>
        <v>0</v>
      </c>
      <c r="P32" s="22"/>
      <c r="Q32" s="11">
        <f t="shared" si="7"/>
        <v>0</v>
      </c>
      <c r="R32" s="39">
        <f t="shared" si="11"/>
        <v>24</v>
      </c>
      <c r="S32" s="38">
        <f t="shared" si="1"/>
        <v>1.3824000000000001</v>
      </c>
      <c r="T32" s="12"/>
      <c r="U32" s="13">
        <f t="shared" si="12"/>
        <v>0</v>
      </c>
      <c r="V32" s="49">
        <f t="shared" si="8"/>
        <v>24</v>
      </c>
      <c r="W32" s="50">
        <f t="shared" si="9"/>
        <v>1.3824000000000001</v>
      </c>
      <c r="X32">
        <f t="shared" si="10"/>
        <v>0</v>
      </c>
    </row>
    <row r="33" spans="1:24" x14ac:dyDescent="0.25">
      <c r="A33" s="42" t="s">
        <v>31</v>
      </c>
      <c r="B33" s="34">
        <v>90</v>
      </c>
      <c r="C33" s="35">
        <v>80</v>
      </c>
      <c r="D33" s="35">
        <v>8</v>
      </c>
      <c r="E33" s="19">
        <f t="shared" si="2"/>
        <v>5.7599999999999998E-2</v>
      </c>
      <c r="F33" s="25">
        <f>'AĞUSTOS 5. HAFTA'!Z33</f>
        <v>7</v>
      </c>
      <c r="G33" s="26">
        <f t="shared" si="3"/>
        <v>0.4032</v>
      </c>
      <c r="H33" s="22"/>
      <c r="I33" s="11">
        <f t="shared" si="4"/>
        <v>0</v>
      </c>
      <c r="J33" s="6"/>
      <c r="K33" s="10">
        <f t="shared" si="0"/>
        <v>0</v>
      </c>
      <c r="L33" s="22"/>
      <c r="M33" s="11">
        <f t="shared" si="5"/>
        <v>0</v>
      </c>
      <c r="N33" s="6">
        <v>7</v>
      </c>
      <c r="O33" s="10">
        <f t="shared" si="6"/>
        <v>0.4032</v>
      </c>
      <c r="P33" s="22"/>
      <c r="Q33" s="11">
        <f t="shared" si="7"/>
        <v>0</v>
      </c>
      <c r="R33" s="39">
        <f t="shared" si="11"/>
        <v>0</v>
      </c>
      <c r="S33" s="38">
        <f t="shared" si="1"/>
        <v>0</v>
      </c>
      <c r="T33" s="12"/>
      <c r="U33" s="13">
        <f t="shared" si="12"/>
        <v>0</v>
      </c>
      <c r="V33" s="49">
        <f t="shared" si="8"/>
        <v>0</v>
      </c>
      <c r="W33" s="50">
        <f t="shared" si="9"/>
        <v>0</v>
      </c>
      <c r="X33">
        <f t="shared" si="10"/>
        <v>7</v>
      </c>
    </row>
    <row r="34" spans="1:24" x14ac:dyDescent="0.25">
      <c r="A34" s="42" t="s">
        <v>32</v>
      </c>
      <c r="B34" s="34"/>
      <c r="C34" s="35"/>
      <c r="D34" s="35"/>
      <c r="E34" s="19">
        <f t="shared" si="2"/>
        <v>0</v>
      </c>
      <c r="F34" s="25">
        <f>'AĞUSTOS 5. HAFTA'!Z34</f>
        <v>300</v>
      </c>
      <c r="G34" s="26">
        <f t="shared" si="3"/>
        <v>0</v>
      </c>
      <c r="H34" s="22"/>
      <c r="I34" s="11">
        <f t="shared" si="4"/>
        <v>0</v>
      </c>
      <c r="J34" s="6"/>
      <c r="K34" s="10">
        <f t="shared" si="0"/>
        <v>0</v>
      </c>
      <c r="L34" s="22"/>
      <c r="M34" s="11">
        <f t="shared" si="5"/>
        <v>0</v>
      </c>
      <c r="N34" s="6"/>
      <c r="O34" s="10">
        <f t="shared" si="6"/>
        <v>0</v>
      </c>
      <c r="P34" s="22"/>
      <c r="Q34" s="11">
        <f t="shared" si="7"/>
        <v>0</v>
      </c>
      <c r="R34" s="39">
        <f t="shared" si="11"/>
        <v>300</v>
      </c>
      <c r="S34" s="38">
        <f t="shared" si="1"/>
        <v>0</v>
      </c>
      <c r="T34" s="12"/>
      <c r="U34" s="13">
        <f t="shared" si="12"/>
        <v>0</v>
      </c>
      <c r="V34" s="49">
        <f t="shared" si="8"/>
        <v>300</v>
      </c>
      <c r="W34" s="50">
        <f t="shared" si="9"/>
        <v>0</v>
      </c>
      <c r="X34">
        <f t="shared" si="10"/>
        <v>0</v>
      </c>
    </row>
    <row r="35" spans="1:24" x14ac:dyDescent="0.25">
      <c r="A35" s="42" t="s">
        <v>33</v>
      </c>
      <c r="B35" s="34">
        <v>80</v>
      </c>
      <c r="C35" s="35">
        <v>66</v>
      </c>
      <c r="D35" s="35">
        <v>5</v>
      </c>
      <c r="E35" s="19">
        <f t="shared" si="2"/>
        <v>2.64E-2</v>
      </c>
      <c r="F35" s="25">
        <f>'AĞUSTOS 5. HAFTA'!Z35</f>
        <v>56</v>
      </c>
      <c r="G35" s="26">
        <f t="shared" si="3"/>
        <v>1.4783999999999999</v>
      </c>
      <c r="H35" s="22"/>
      <c r="I35" s="11">
        <f t="shared" si="4"/>
        <v>0</v>
      </c>
      <c r="J35" s="6"/>
      <c r="K35" s="10">
        <f t="shared" si="0"/>
        <v>0</v>
      </c>
      <c r="L35" s="22"/>
      <c r="M35" s="11">
        <f t="shared" si="5"/>
        <v>0</v>
      </c>
      <c r="N35" s="6"/>
      <c r="O35" s="10">
        <f t="shared" si="6"/>
        <v>0</v>
      </c>
      <c r="P35" s="22"/>
      <c r="Q35" s="11">
        <f t="shared" si="7"/>
        <v>0</v>
      </c>
      <c r="R35" s="39">
        <f t="shared" si="11"/>
        <v>56</v>
      </c>
      <c r="S35" s="38">
        <f t="shared" si="1"/>
        <v>1.4783999999999999</v>
      </c>
      <c r="T35" s="12"/>
      <c r="U35" s="13">
        <f t="shared" si="12"/>
        <v>0</v>
      </c>
      <c r="V35" s="49">
        <f t="shared" si="8"/>
        <v>56</v>
      </c>
      <c r="W35" s="50">
        <f t="shared" si="9"/>
        <v>1.4783999999999999</v>
      </c>
      <c r="X35">
        <f t="shared" si="10"/>
        <v>0</v>
      </c>
    </row>
    <row r="36" spans="1:24" x14ac:dyDescent="0.25">
      <c r="A36" s="42" t="s">
        <v>34</v>
      </c>
      <c r="B36" s="34">
        <v>60</v>
      </c>
      <c r="C36" s="35">
        <v>62</v>
      </c>
      <c r="D36" s="35">
        <v>5</v>
      </c>
      <c r="E36" s="19">
        <f t="shared" si="2"/>
        <v>1.8599999999999998E-2</v>
      </c>
      <c r="F36" s="25">
        <f>'AĞUSTOS 5. HAFTA'!Z36</f>
        <v>17</v>
      </c>
      <c r="G36" s="26">
        <f t="shared" si="3"/>
        <v>0.31619999999999998</v>
      </c>
      <c r="H36" s="22"/>
      <c r="I36" s="11">
        <f t="shared" si="4"/>
        <v>0</v>
      </c>
      <c r="J36" s="6"/>
      <c r="K36" s="10">
        <f t="shared" si="0"/>
        <v>0</v>
      </c>
      <c r="L36" s="22"/>
      <c r="M36" s="11">
        <f t="shared" si="5"/>
        <v>0</v>
      </c>
      <c r="N36" s="6"/>
      <c r="O36" s="10">
        <f t="shared" si="6"/>
        <v>0</v>
      </c>
      <c r="P36" s="22"/>
      <c r="Q36" s="11">
        <f t="shared" si="7"/>
        <v>0</v>
      </c>
      <c r="R36" s="39">
        <f t="shared" si="11"/>
        <v>17</v>
      </c>
      <c r="S36" s="38">
        <f t="shared" si="1"/>
        <v>0.31619999999999998</v>
      </c>
      <c r="T36" s="12"/>
      <c r="U36" s="13">
        <f t="shared" si="12"/>
        <v>0</v>
      </c>
      <c r="V36" s="49">
        <f t="shared" si="8"/>
        <v>17</v>
      </c>
      <c r="W36" s="50">
        <f t="shared" si="9"/>
        <v>0.31619999999999998</v>
      </c>
      <c r="X36">
        <f t="shared" si="10"/>
        <v>0</v>
      </c>
    </row>
    <row r="37" spans="1:24" x14ac:dyDescent="0.25">
      <c r="A37" s="42" t="s">
        <v>41</v>
      </c>
      <c r="B37" s="34">
        <v>60</v>
      </c>
      <c r="C37" s="35">
        <v>67</v>
      </c>
      <c r="D37" s="35">
        <v>3</v>
      </c>
      <c r="E37" s="19">
        <f t="shared" si="2"/>
        <v>1.206E-2</v>
      </c>
      <c r="F37" s="25">
        <f>'AĞUSTOS 5. HAFTA'!Z37</f>
        <v>12</v>
      </c>
      <c r="G37" s="26">
        <f t="shared" si="3"/>
        <v>0.14471999999999999</v>
      </c>
      <c r="H37" s="22"/>
      <c r="I37" s="11">
        <f t="shared" si="4"/>
        <v>0</v>
      </c>
      <c r="J37" s="6"/>
      <c r="K37" s="10">
        <f t="shared" ref="K37:K70" si="13">E37*J37</f>
        <v>0</v>
      </c>
      <c r="L37" s="22"/>
      <c r="M37" s="11">
        <f t="shared" ref="M37:O70" si="14">E37*L37</f>
        <v>0</v>
      </c>
      <c r="N37" s="6"/>
      <c r="O37" s="10">
        <f t="shared" si="6"/>
        <v>0</v>
      </c>
      <c r="P37" s="22"/>
      <c r="Q37" s="11">
        <f t="shared" si="7"/>
        <v>0</v>
      </c>
      <c r="R37" s="39">
        <f t="shared" si="11"/>
        <v>12</v>
      </c>
      <c r="S37" s="38">
        <f t="shared" ref="S37:S70" si="15">E37*R37</f>
        <v>0.14471999999999999</v>
      </c>
      <c r="T37" s="12"/>
      <c r="U37" s="13">
        <f t="shared" si="12"/>
        <v>0</v>
      </c>
      <c r="V37" s="49">
        <f t="shared" si="8"/>
        <v>12</v>
      </c>
      <c r="W37" s="50">
        <f t="shared" si="9"/>
        <v>0.14471999999999999</v>
      </c>
      <c r="X37">
        <f t="shared" si="10"/>
        <v>0</v>
      </c>
    </row>
    <row r="38" spans="1:24" x14ac:dyDescent="0.25">
      <c r="A38" s="42" t="s">
        <v>35</v>
      </c>
      <c r="B38" s="34">
        <v>140</v>
      </c>
      <c r="C38" s="35">
        <v>240</v>
      </c>
      <c r="D38" s="35">
        <v>7</v>
      </c>
      <c r="E38" s="19">
        <f t="shared" si="2"/>
        <v>0.23519999999999999</v>
      </c>
      <c r="F38" s="25">
        <f>'AĞUSTOS 5. HAFTA'!Z38</f>
        <v>5</v>
      </c>
      <c r="G38" s="26">
        <f t="shared" si="3"/>
        <v>1.1759999999999999</v>
      </c>
      <c r="H38" s="22"/>
      <c r="I38" s="11">
        <f t="shared" si="4"/>
        <v>0</v>
      </c>
      <c r="J38" s="6"/>
      <c r="K38" s="10">
        <f t="shared" si="13"/>
        <v>0</v>
      </c>
      <c r="L38" s="22"/>
      <c r="M38" s="11">
        <f t="shared" si="14"/>
        <v>0</v>
      </c>
      <c r="N38" s="6"/>
      <c r="O38" s="10">
        <f t="shared" si="6"/>
        <v>0</v>
      </c>
      <c r="P38" s="22"/>
      <c r="Q38" s="11">
        <f t="shared" si="7"/>
        <v>0</v>
      </c>
      <c r="R38" s="39">
        <f t="shared" si="11"/>
        <v>5</v>
      </c>
      <c r="S38" s="38">
        <f t="shared" si="15"/>
        <v>1.1759999999999999</v>
      </c>
      <c r="T38" s="12"/>
      <c r="U38" s="13">
        <f t="shared" si="12"/>
        <v>0</v>
      </c>
      <c r="V38" s="49">
        <f t="shared" si="8"/>
        <v>5</v>
      </c>
      <c r="W38" s="50">
        <f t="shared" si="9"/>
        <v>1.1759999999999999</v>
      </c>
      <c r="X38">
        <f t="shared" si="10"/>
        <v>0</v>
      </c>
    </row>
    <row r="39" spans="1:24" x14ac:dyDescent="0.25">
      <c r="A39" s="42" t="s">
        <v>36</v>
      </c>
      <c r="B39" s="34">
        <v>60</v>
      </c>
      <c r="C39" s="35">
        <v>56</v>
      </c>
      <c r="D39" s="35">
        <v>10</v>
      </c>
      <c r="E39" s="19">
        <f t="shared" si="2"/>
        <v>3.3599999999999998E-2</v>
      </c>
      <c r="F39" s="25">
        <f>'AĞUSTOS 5. HAFTA'!Z39</f>
        <v>30</v>
      </c>
      <c r="G39" s="26">
        <f t="shared" si="3"/>
        <v>1.008</v>
      </c>
      <c r="H39" s="22"/>
      <c r="I39" s="11">
        <f t="shared" si="4"/>
        <v>0</v>
      </c>
      <c r="J39" s="6"/>
      <c r="K39" s="10">
        <f t="shared" si="13"/>
        <v>0</v>
      </c>
      <c r="L39" s="22"/>
      <c r="M39" s="11">
        <f t="shared" si="14"/>
        <v>0</v>
      </c>
      <c r="N39" s="6"/>
      <c r="O39" s="10">
        <f t="shared" si="6"/>
        <v>0</v>
      </c>
      <c r="P39" s="22"/>
      <c r="Q39" s="11">
        <f t="shared" si="7"/>
        <v>0</v>
      </c>
      <c r="R39" s="39">
        <f t="shared" si="11"/>
        <v>30</v>
      </c>
      <c r="S39" s="38">
        <f t="shared" si="15"/>
        <v>1.008</v>
      </c>
      <c r="T39" s="12"/>
      <c r="U39" s="13">
        <f t="shared" si="12"/>
        <v>0</v>
      </c>
      <c r="V39" s="49">
        <f t="shared" si="8"/>
        <v>30</v>
      </c>
      <c r="W39" s="50">
        <f t="shared" si="9"/>
        <v>1.008</v>
      </c>
      <c r="X39">
        <f t="shared" si="10"/>
        <v>0</v>
      </c>
    </row>
    <row r="40" spans="1:24" x14ac:dyDescent="0.25">
      <c r="A40" s="42" t="s">
        <v>37</v>
      </c>
      <c r="B40" s="34">
        <v>58</v>
      </c>
      <c r="C40" s="35">
        <v>55</v>
      </c>
      <c r="D40" s="35">
        <v>10</v>
      </c>
      <c r="E40" s="19">
        <f t="shared" si="2"/>
        <v>3.1899999999999998E-2</v>
      </c>
      <c r="F40" s="25">
        <f>'AĞUSTOS 5. HAFTA'!Z40</f>
        <v>66</v>
      </c>
      <c r="G40" s="26">
        <f t="shared" si="3"/>
        <v>2.1053999999999999</v>
      </c>
      <c r="H40" s="22"/>
      <c r="I40" s="11">
        <f t="shared" si="4"/>
        <v>0</v>
      </c>
      <c r="J40" s="6"/>
      <c r="K40" s="10">
        <f t="shared" si="13"/>
        <v>0</v>
      </c>
      <c r="L40" s="22"/>
      <c r="M40" s="11">
        <f t="shared" si="14"/>
        <v>0</v>
      </c>
      <c r="N40" s="6"/>
      <c r="O40" s="10">
        <f t="shared" si="6"/>
        <v>0</v>
      </c>
      <c r="P40" s="22"/>
      <c r="Q40" s="11">
        <f t="shared" si="7"/>
        <v>0</v>
      </c>
      <c r="R40" s="39">
        <f t="shared" si="11"/>
        <v>66</v>
      </c>
      <c r="S40" s="38">
        <f t="shared" si="15"/>
        <v>2.1053999999999999</v>
      </c>
      <c r="T40" s="12"/>
      <c r="U40" s="13">
        <f t="shared" si="12"/>
        <v>0</v>
      </c>
      <c r="V40" s="49">
        <f t="shared" si="8"/>
        <v>66</v>
      </c>
      <c r="W40" s="50">
        <f t="shared" si="9"/>
        <v>2.1053999999999999</v>
      </c>
      <c r="X40">
        <f t="shared" si="10"/>
        <v>0</v>
      </c>
    </row>
    <row r="41" spans="1:24" x14ac:dyDescent="0.25">
      <c r="A41" s="42" t="s">
        <v>38</v>
      </c>
      <c r="B41" s="34">
        <v>63</v>
      </c>
      <c r="C41" s="35">
        <v>55</v>
      </c>
      <c r="D41" s="35">
        <v>5</v>
      </c>
      <c r="E41" s="19">
        <f t="shared" si="2"/>
        <v>1.7325E-2</v>
      </c>
      <c r="F41" s="25">
        <f>'AĞUSTOS 5. HAFTA'!Z41</f>
        <v>10</v>
      </c>
      <c r="G41" s="26">
        <f t="shared" si="3"/>
        <v>0.17325000000000002</v>
      </c>
      <c r="H41" s="22"/>
      <c r="I41" s="11">
        <f t="shared" si="4"/>
        <v>0</v>
      </c>
      <c r="J41" s="6"/>
      <c r="K41" s="10">
        <f t="shared" si="13"/>
        <v>0</v>
      </c>
      <c r="L41" s="22"/>
      <c r="M41" s="11">
        <f t="shared" si="14"/>
        <v>0</v>
      </c>
      <c r="N41" s="6"/>
      <c r="O41" s="10">
        <f t="shared" si="6"/>
        <v>0</v>
      </c>
      <c r="P41" s="22"/>
      <c r="Q41" s="11">
        <f t="shared" si="7"/>
        <v>0</v>
      </c>
      <c r="R41" s="39">
        <f t="shared" si="11"/>
        <v>10</v>
      </c>
      <c r="S41" s="38">
        <f t="shared" si="15"/>
        <v>0.17325000000000002</v>
      </c>
      <c r="T41" s="12"/>
      <c r="U41" s="13">
        <f t="shared" si="12"/>
        <v>0</v>
      </c>
      <c r="V41" s="49">
        <f t="shared" si="8"/>
        <v>10</v>
      </c>
      <c r="W41" s="50">
        <f t="shared" si="9"/>
        <v>0.17325000000000002</v>
      </c>
      <c r="X41">
        <f t="shared" si="10"/>
        <v>0</v>
      </c>
    </row>
    <row r="42" spans="1:24" x14ac:dyDescent="0.25">
      <c r="A42" s="42" t="s">
        <v>39</v>
      </c>
      <c r="B42" s="34">
        <v>52</v>
      </c>
      <c r="C42" s="35">
        <v>52</v>
      </c>
      <c r="D42" s="35">
        <v>5</v>
      </c>
      <c r="E42" s="19">
        <f t="shared" si="2"/>
        <v>1.3520000000000001E-2</v>
      </c>
      <c r="F42" s="25">
        <f>'AĞUSTOS 5. HAFTA'!Z42</f>
        <v>127</v>
      </c>
      <c r="G42" s="26">
        <f t="shared" si="3"/>
        <v>1.7170400000000001</v>
      </c>
      <c r="H42" s="22"/>
      <c r="I42" s="11">
        <f t="shared" si="4"/>
        <v>0</v>
      </c>
      <c r="J42" s="6"/>
      <c r="K42" s="10">
        <f t="shared" si="13"/>
        <v>0</v>
      </c>
      <c r="L42" s="22"/>
      <c r="M42" s="11">
        <f t="shared" si="14"/>
        <v>0</v>
      </c>
      <c r="N42" s="6"/>
      <c r="O42" s="10">
        <f t="shared" si="6"/>
        <v>0</v>
      </c>
      <c r="P42" s="22">
        <v>4</v>
      </c>
      <c r="Q42" s="11">
        <f t="shared" si="7"/>
        <v>5.4080000000000003E-2</v>
      </c>
      <c r="R42" s="39">
        <f t="shared" si="11"/>
        <v>123</v>
      </c>
      <c r="S42" s="38">
        <f t="shared" si="15"/>
        <v>1.66296</v>
      </c>
      <c r="T42" s="12"/>
      <c r="U42" s="13">
        <f t="shared" si="12"/>
        <v>0</v>
      </c>
      <c r="V42" s="49">
        <f t="shared" si="8"/>
        <v>123</v>
      </c>
      <c r="W42" s="50">
        <f t="shared" si="9"/>
        <v>1.66296</v>
      </c>
      <c r="X42">
        <f t="shared" si="10"/>
        <v>4</v>
      </c>
    </row>
    <row r="43" spans="1:24" x14ac:dyDescent="0.25">
      <c r="A43" s="42" t="s">
        <v>40</v>
      </c>
      <c r="B43" s="34">
        <v>80</v>
      </c>
      <c r="C43" s="35">
        <v>70</v>
      </c>
      <c r="D43" s="35">
        <v>8</v>
      </c>
      <c r="E43" s="19">
        <f t="shared" si="2"/>
        <v>4.48E-2</v>
      </c>
      <c r="F43" s="25">
        <f>'AĞUSTOS 5. HAFTA'!Z43</f>
        <v>132</v>
      </c>
      <c r="G43" s="26">
        <f t="shared" si="3"/>
        <v>5.9135999999999997</v>
      </c>
      <c r="H43" s="22"/>
      <c r="I43" s="11">
        <f t="shared" si="4"/>
        <v>0</v>
      </c>
      <c r="J43" s="6"/>
      <c r="K43" s="10">
        <f t="shared" si="13"/>
        <v>0</v>
      </c>
      <c r="L43" s="22"/>
      <c r="M43" s="11">
        <f t="shared" si="14"/>
        <v>0</v>
      </c>
      <c r="N43" s="6">
        <v>8</v>
      </c>
      <c r="O43" s="10">
        <f t="shared" si="6"/>
        <v>0.3584</v>
      </c>
      <c r="P43" s="22"/>
      <c r="Q43" s="11">
        <f t="shared" si="7"/>
        <v>0</v>
      </c>
      <c r="R43" s="39">
        <f t="shared" si="11"/>
        <v>124</v>
      </c>
      <c r="S43" s="38">
        <f t="shared" si="15"/>
        <v>5.5552000000000001</v>
      </c>
      <c r="T43" s="12">
        <v>281</v>
      </c>
      <c r="U43" s="13">
        <f t="shared" si="12"/>
        <v>12.588799999999999</v>
      </c>
      <c r="V43" s="49">
        <f t="shared" si="8"/>
        <v>405</v>
      </c>
      <c r="W43" s="50">
        <f t="shared" si="9"/>
        <v>18.143999999999998</v>
      </c>
      <c r="X43">
        <f t="shared" si="10"/>
        <v>8</v>
      </c>
    </row>
    <row r="44" spans="1:24" x14ac:dyDescent="0.25">
      <c r="A44" s="42" t="s">
        <v>42</v>
      </c>
      <c r="B44" s="34">
        <v>70</v>
      </c>
      <c r="C44" s="35">
        <v>64</v>
      </c>
      <c r="D44" s="35">
        <v>8</v>
      </c>
      <c r="E44" s="19">
        <f t="shared" si="2"/>
        <v>3.5839999999999997E-2</v>
      </c>
      <c r="F44" s="25">
        <f>'AĞUSTOS 5. HAFTA'!Z44</f>
        <v>216</v>
      </c>
      <c r="G44" s="26">
        <f t="shared" si="3"/>
        <v>7.741439999999999</v>
      </c>
      <c r="H44" s="22"/>
      <c r="I44" s="11">
        <f t="shared" si="4"/>
        <v>0</v>
      </c>
      <c r="J44" s="6"/>
      <c r="K44" s="10">
        <f t="shared" si="13"/>
        <v>0</v>
      </c>
      <c r="L44" s="22"/>
      <c r="M44" s="11">
        <f t="shared" si="14"/>
        <v>0</v>
      </c>
      <c r="N44" s="6"/>
      <c r="O44" s="10">
        <f t="shared" si="6"/>
        <v>0</v>
      </c>
      <c r="P44" s="22"/>
      <c r="Q44" s="11">
        <f t="shared" si="7"/>
        <v>0</v>
      </c>
      <c r="R44" s="39">
        <f t="shared" si="11"/>
        <v>216</v>
      </c>
      <c r="S44" s="38">
        <f t="shared" si="15"/>
        <v>7.741439999999999</v>
      </c>
      <c r="T44" s="12">
        <v>261</v>
      </c>
      <c r="U44" s="13">
        <f t="shared" si="12"/>
        <v>9.354239999999999</v>
      </c>
      <c r="V44" s="49">
        <f t="shared" si="8"/>
        <v>477</v>
      </c>
      <c r="W44" s="50">
        <f t="shared" si="9"/>
        <v>17.095679999999998</v>
      </c>
      <c r="X44">
        <f t="shared" si="10"/>
        <v>0</v>
      </c>
    </row>
    <row r="45" spans="1:24" x14ac:dyDescent="0.25">
      <c r="A45" s="42" t="s">
        <v>43</v>
      </c>
      <c r="B45" s="34">
        <v>75</v>
      </c>
      <c r="C45" s="35">
        <v>70</v>
      </c>
      <c r="D45" s="35">
        <v>8</v>
      </c>
      <c r="E45" s="19">
        <f t="shared" si="2"/>
        <v>4.2000000000000003E-2</v>
      </c>
      <c r="F45" s="25">
        <f>'AĞUSTOS 5. HAFTA'!Z45</f>
        <v>68</v>
      </c>
      <c r="G45" s="26">
        <f t="shared" si="3"/>
        <v>2.8560000000000003</v>
      </c>
      <c r="H45" s="22"/>
      <c r="I45" s="11">
        <f t="shared" si="4"/>
        <v>0</v>
      </c>
      <c r="J45" s="6"/>
      <c r="K45" s="10">
        <f t="shared" si="13"/>
        <v>0</v>
      </c>
      <c r="L45" s="22"/>
      <c r="M45" s="11">
        <f t="shared" si="14"/>
        <v>0</v>
      </c>
      <c r="N45" s="6">
        <v>31</v>
      </c>
      <c r="O45" s="10">
        <f t="shared" si="6"/>
        <v>1.302</v>
      </c>
      <c r="P45" s="22"/>
      <c r="Q45" s="11">
        <f t="shared" si="7"/>
        <v>0</v>
      </c>
      <c r="R45" s="39">
        <f t="shared" si="11"/>
        <v>37</v>
      </c>
      <c r="S45" s="38">
        <f t="shared" si="15"/>
        <v>1.554</v>
      </c>
      <c r="T45" s="12">
        <v>315</v>
      </c>
      <c r="U45" s="13">
        <f t="shared" si="12"/>
        <v>13.23</v>
      </c>
      <c r="V45" s="49">
        <f t="shared" si="8"/>
        <v>352</v>
      </c>
      <c r="W45" s="50">
        <f t="shared" si="9"/>
        <v>14.784000000000001</v>
      </c>
      <c r="X45">
        <f t="shared" si="10"/>
        <v>31</v>
      </c>
    </row>
    <row r="46" spans="1:24" x14ac:dyDescent="0.25">
      <c r="A46" s="42" t="s">
        <v>86</v>
      </c>
      <c r="B46" s="34">
        <v>142</v>
      </c>
      <c r="C46" s="35">
        <v>57</v>
      </c>
      <c r="D46" s="35">
        <v>5</v>
      </c>
      <c r="E46" s="19">
        <f t="shared" si="2"/>
        <v>4.0469999999999999E-2</v>
      </c>
      <c r="F46" s="25">
        <f>'AĞUSTOS 5. HAFTA'!Z46</f>
        <v>754</v>
      </c>
      <c r="G46" s="26">
        <f t="shared" si="3"/>
        <v>30.514379999999999</v>
      </c>
      <c r="H46" s="22">
        <v>0</v>
      </c>
      <c r="I46" s="11">
        <f t="shared" si="4"/>
        <v>0</v>
      </c>
      <c r="J46" s="6"/>
      <c r="K46" s="10">
        <f t="shared" si="13"/>
        <v>0</v>
      </c>
      <c r="L46" s="22">
        <v>2</v>
      </c>
      <c r="M46" s="11">
        <f t="shared" si="14"/>
        <v>8.0939999999999998E-2</v>
      </c>
      <c r="N46" s="6">
        <v>11</v>
      </c>
      <c r="O46" s="10">
        <f t="shared" si="6"/>
        <v>0.44517000000000001</v>
      </c>
      <c r="P46" s="22">
        <v>11</v>
      </c>
      <c r="Q46" s="11">
        <f t="shared" si="7"/>
        <v>0.44517000000000001</v>
      </c>
      <c r="R46" s="39">
        <f t="shared" si="11"/>
        <v>730</v>
      </c>
      <c r="S46" s="38">
        <f t="shared" si="15"/>
        <v>29.543099999999999</v>
      </c>
      <c r="T46" s="12"/>
      <c r="U46" s="13">
        <f t="shared" si="12"/>
        <v>0</v>
      </c>
      <c r="V46" s="49">
        <f t="shared" si="8"/>
        <v>730</v>
      </c>
      <c r="W46" s="50">
        <f t="shared" si="9"/>
        <v>29.543099999999999</v>
      </c>
      <c r="X46">
        <f t="shared" si="10"/>
        <v>24</v>
      </c>
    </row>
    <row r="47" spans="1:24" x14ac:dyDescent="0.25">
      <c r="A47" s="42" t="s">
        <v>45</v>
      </c>
      <c r="B47" s="34">
        <v>80</v>
      </c>
      <c r="C47" s="35">
        <v>63</v>
      </c>
      <c r="D47" s="35">
        <v>5</v>
      </c>
      <c r="E47" s="19">
        <f t="shared" si="2"/>
        <v>2.52E-2</v>
      </c>
      <c r="F47" s="25">
        <f>'AĞUSTOS 5. HAFTA'!Z47</f>
        <v>315</v>
      </c>
      <c r="G47" s="26">
        <f t="shared" si="3"/>
        <v>7.9379999999999997</v>
      </c>
      <c r="H47" s="22"/>
      <c r="I47" s="11">
        <f t="shared" si="4"/>
        <v>0</v>
      </c>
      <c r="J47" s="6"/>
      <c r="K47" s="10">
        <f t="shared" si="13"/>
        <v>0</v>
      </c>
      <c r="L47" s="22"/>
      <c r="M47" s="11">
        <f t="shared" si="14"/>
        <v>0</v>
      </c>
      <c r="N47" s="6"/>
      <c r="O47" s="10">
        <f t="shared" si="6"/>
        <v>0</v>
      </c>
      <c r="P47" s="22"/>
      <c r="Q47" s="11">
        <f t="shared" si="7"/>
        <v>0</v>
      </c>
      <c r="R47" s="39">
        <f t="shared" si="11"/>
        <v>315</v>
      </c>
      <c r="S47" s="38">
        <f t="shared" si="15"/>
        <v>7.9379999999999997</v>
      </c>
      <c r="T47" s="12"/>
      <c r="U47" s="13">
        <f t="shared" si="12"/>
        <v>0</v>
      </c>
      <c r="V47" s="49">
        <f t="shared" si="8"/>
        <v>315</v>
      </c>
      <c r="W47" s="50">
        <f t="shared" si="9"/>
        <v>7.9379999999999997</v>
      </c>
      <c r="X47">
        <f t="shared" si="10"/>
        <v>0</v>
      </c>
    </row>
    <row r="48" spans="1:24" x14ac:dyDescent="0.25">
      <c r="A48" s="42" t="s">
        <v>46</v>
      </c>
      <c r="B48" s="34">
        <v>77</v>
      </c>
      <c r="C48" s="35">
        <v>68</v>
      </c>
      <c r="D48" s="35">
        <v>8</v>
      </c>
      <c r="E48" s="19">
        <f t="shared" si="2"/>
        <v>4.1888000000000002E-2</v>
      </c>
      <c r="F48" s="25">
        <f>'AĞUSTOS 5. HAFTA'!Z48</f>
        <v>103</v>
      </c>
      <c r="G48" s="26">
        <f t="shared" si="3"/>
        <v>4.3144640000000001</v>
      </c>
      <c r="H48" s="22"/>
      <c r="I48" s="11">
        <f t="shared" si="4"/>
        <v>0</v>
      </c>
      <c r="J48" s="6"/>
      <c r="K48" s="10">
        <f t="shared" si="13"/>
        <v>0</v>
      </c>
      <c r="L48" s="22"/>
      <c r="M48" s="11">
        <f t="shared" si="14"/>
        <v>0</v>
      </c>
      <c r="N48" s="6">
        <v>21</v>
      </c>
      <c r="O48" s="10">
        <f t="shared" si="6"/>
        <v>0.87964799999999999</v>
      </c>
      <c r="P48" s="22"/>
      <c r="Q48" s="11">
        <f t="shared" si="7"/>
        <v>0</v>
      </c>
      <c r="R48" s="39">
        <f t="shared" si="11"/>
        <v>82</v>
      </c>
      <c r="S48" s="38">
        <f t="shared" si="15"/>
        <v>3.4348160000000001</v>
      </c>
      <c r="T48" s="12">
        <v>115</v>
      </c>
      <c r="U48" s="13">
        <f t="shared" si="12"/>
        <v>4.8171200000000001</v>
      </c>
      <c r="V48" s="49">
        <f t="shared" si="8"/>
        <v>197</v>
      </c>
      <c r="W48" s="50">
        <f t="shared" si="9"/>
        <v>8.2519360000000006</v>
      </c>
      <c r="X48">
        <f t="shared" si="10"/>
        <v>21</v>
      </c>
    </row>
    <row r="49" spans="1:24" x14ac:dyDescent="0.25">
      <c r="A49" s="42" t="s">
        <v>47</v>
      </c>
      <c r="B49" s="34">
        <v>79</v>
      </c>
      <c r="C49" s="35">
        <v>79</v>
      </c>
      <c r="D49" s="35">
        <v>2</v>
      </c>
      <c r="E49" s="19">
        <f t="shared" si="2"/>
        <v>1.2482E-2</v>
      </c>
      <c r="F49" s="25">
        <f>'AĞUSTOS 5. HAFTA'!Z49</f>
        <v>39</v>
      </c>
      <c r="G49" s="26">
        <f t="shared" si="3"/>
        <v>0.48679800000000001</v>
      </c>
      <c r="H49" s="22"/>
      <c r="I49" s="11">
        <f t="shared" si="4"/>
        <v>0</v>
      </c>
      <c r="J49" s="6"/>
      <c r="K49" s="10">
        <f t="shared" si="13"/>
        <v>0</v>
      </c>
      <c r="L49" s="22"/>
      <c r="M49" s="11">
        <f t="shared" si="14"/>
        <v>0</v>
      </c>
      <c r="N49" s="6"/>
      <c r="O49" s="10">
        <f t="shared" si="6"/>
        <v>0</v>
      </c>
      <c r="P49" s="22"/>
      <c r="Q49" s="11">
        <f t="shared" si="7"/>
        <v>0</v>
      </c>
      <c r="R49" s="39">
        <f t="shared" si="11"/>
        <v>39</v>
      </c>
      <c r="S49" s="38">
        <f t="shared" si="15"/>
        <v>0.48679800000000001</v>
      </c>
      <c r="T49" s="12"/>
      <c r="U49" s="13">
        <f t="shared" si="12"/>
        <v>0</v>
      </c>
      <c r="V49" s="49">
        <f t="shared" si="8"/>
        <v>39</v>
      </c>
      <c r="W49" s="50">
        <f t="shared" si="9"/>
        <v>0.48679800000000001</v>
      </c>
      <c r="X49">
        <f t="shared" si="10"/>
        <v>0</v>
      </c>
    </row>
    <row r="50" spans="1:24" x14ac:dyDescent="0.25">
      <c r="A50" s="42" t="s">
        <v>48</v>
      </c>
      <c r="B50" s="34">
        <v>61</v>
      </c>
      <c r="C50" s="35">
        <v>56</v>
      </c>
      <c r="D50" s="35">
        <v>10</v>
      </c>
      <c r="E50" s="19">
        <f t="shared" si="2"/>
        <v>3.4160000000000003E-2</v>
      </c>
      <c r="F50" s="25">
        <f>'AĞUSTOS 5. HAFTA'!Z50</f>
        <v>0</v>
      </c>
      <c r="G50" s="26">
        <f t="shared" si="3"/>
        <v>0</v>
      </c>
      <c r="H50" s="22"/>
      <c r="I50" s="11">
        <f t="shared" si="4"/>
        <v>0</v>
      </c>
      <c r="J50" s="6"/>
      <c r="K50" s="10">
        <f t="shared" si="13"/>
        <v>0</v>
      </c>
      <c r="L50" s="22"/>
      <c r="M50" s="11">
        <f t="shared" si="14"/>
        <v>0</v>
      </c>
      <c r="N50" s="6"/>
      <c r="O50" s="10">
        <f t="shared" si="6"/>
        <v>0</v>
      </c>
      <c r="P50" s="22"/>
      <c r="Q50" s="11">
        <f t="shared" si="7"/>
        <v>0</v>
      </c>
      <c r="R50" s="39">
        <f t="shared" si="11"/>
        <v>0</v>
      </c>
      <c r="S50" s="38">
        <f t="shared" si="15"/>
        <v>0</v>
      </c>
      <c r="T50" s="12"/>
      <c r="U50" s="13">
        <f t="shared" si="12"/>
        <v>0</v>
      </c>
      <c r="V50" s="49">
        <f t="shared" si="8"/>
        <v>0</v>
      </c>
      <c r="W50" s="50">
        <f t="shared" si="9"/>
        <v>0</v>
      </c>
      <c r="X50">
        <f t="shared" si="10"/>
        <v>0</v>
      </c>
    </row>
    <row r="51" spans="1:24" x14ac:dyDescent="0.25">
      <c r="A51" s="42" t="s">
        <v>49</v>
      </c>
      <c r="B51" s="34">
        <v>66</v>
      </c>
      <c r="C51" s="35">
        <v>61</v>
      </c>
      <c r="D51" s="35">
        <v>10</v>
      </c>
      <c r="E51" s="19">
        <f t="shared" si="2"/>
        <v>4.0259999999999997E-2</v>
      </c>
      <c r="F51" s="25">
        <f>'AĞUSTOS 5. HAFTA'!Z51</f>
        <v>0</v>
      </c>
      <c r="G51" s="26">
        <f t="shared" si="3"/>
        <v>0</v>
      </c>
      <c r="H51" s="22"/>
      <c r="I51" s="11">
        <f t="shared" si="4"/>
        <v>0</v>
      </c>
      <c r="J51" s="6"/>
      <c r="K51" s="10">
        <f t="shared" si="13"/>
        <v>0</v>
      </c>
      <c r="L51" s="22"/>
      <c r="M51" s="11">
        <f t="shared" si="14"/>
        <v>0</v>
      </c>
      <c r="N51" s="6"/>
      <c r="O51" s="10">
        <f t="shared" si="6"/>
        <v>0</v>
      </c>
      <c r="P51" s="22"/>
      <c r="Q51" s="11">
        <f t="shared" si="7"/>
        <v>0</v>
      </c>
      <c r="R51" s="39">
        <f t="shared" si="11"/>
        <v>0</v>
      </c>
      <c r="S51" s="38">
        <f t="shared" si="15"/>
        <v>0</v>
      </c>
      <c r="T51" s="12"/>
      <c r="U51" s="13">
        <f t="shared" si="12"/>
        <v>0</v>
      </c>
      <c r="V51" s="49">
        <f t="shared" si="8"/>
        <v>0</v>
      </c>
      <c r="W51" s="50">
        <f t="shared" si="9"/>
        <v>0</v>
      </c>
      <c r="X51">
        <f t="shared" si="10"/>
        <v>0</v>
      </c>
    </row>
    <row r="52" spans="1:24" x14ac:dyDescent="0.25">
      <c r="A52" s="42" t="s">
        <v>50</v>
      </c>
      <c r="B52" s="34">
        <v>63</v>
      </c>
      <c r="C52" s="35">
        <v>61</v>
      </c>
      <c r="D52" s="35">
        <v>10</v>
      </c>
      <c r="E52" s="19">
        <f t="shared" si="2"/>
        <v>3.8429999999999999E-2</v>
      </c>
      <c r="F52" s="25">
        <f>'AĞUSTOS 5. HAFTA'!Z52</f>
        <v>0</v>
      </c>
      <c r="G52" s="26">
        <f t="shared" si="3"/>
        <v>0</v>
      </c>
      <c r="H52" s="22"/>
      <c r="I52" s="11">
        <f t="shared" si="4"/>
        <v>0</v>
      </c>
      <c r="J52" s="6"/>
      <c r="K52" s="10">
        <f t="shared" si="13"/>
        <v>0</v>
      </c>
      <c r="L52" s="22"/>
      <c r="M52" s="11">
        <f t="shared" si="14"/>
        <v>0</v>
      </c>
      <c r="N52" s="6"/>
      <c r="O52" s="10">
        <f t="shared" si="6"/>
        <v>0</v>
      </c>
      <c r="P52" s="22"/>
      <c r="Q52" s="11">
        <f t="shared" si="7"/>
        <v>0</v>
      </c>
      <c r="R52" s="39">
        <f t="shared" si="11"/>
        <v>0</v>
      </c>
      <c r="S52" s="38">
        <f t="shared" si="15"/>
        <v>0</v>
      </c>
      <c r="T52" s="12"/>
      <c r="U52" s="13">
        <f t="shared" si="12"/>
        <v>0</v>
      </c>
      <c r="V52" s="49">
        <f t="shared" si="8"/>
        <v>0</v>
      </c>
      <c r="W52" s="50">
        <f t="shared" si="9"/>
        <v>0</v>
      </c>
      <c r="X52">
        <f t="shared" si="10"/>
        <v>0</v>
      </c>
    </row>
    <row r="53" spans="1:24" x14ac:dyDescent="0.25">
      <c r="A53" s="42" t="s">
        <v>51</v>
      </c>
      <c r="B53" s="34">
        <v>58</v>
      </c>
      <c r="C53" s="35">
        <v>58</v>
      </c>
      <c r="D53" s="35">
        <v>2.2999999999999998</v>
      </c>
      <c r="E53" s="19">
        <f t="shared" si="2"/>
        <v>7.7371999999999996E-3</v>
      </c>
      <c r="F53" s="25">
        <f>'AĞUSTOS 5. HAFTA'!Z53</f>
        <v>4016</v>
      </c>
      <c r="G53" s="26">
        <f t="shared" si="3"/>
        <v>31.072595199999999</v>
      </c>
      <c r="H53" s="22"/>
      <c r="I53" s="11">
        <f t="shared" si="4"/>
        <v>0</v>
      </c>
      <c r="J53" s="6"/>
      <c r="K53" s="10">
        <f t="shared" si="13"/>
        <v>0</v>
      </c>
      <c r="L53" s="22">
        <v>18</v>
      </c>
      <c r="M53" s="11">
        <f t="shared" si="14"/>
        <v>0.13926959999999999</v>
      </c>
      <c r="N53" s="6">
        <v>12</v>
      </c>
      <c r="O53" s="10">
        <f t="shared" si="6"/>
        <v>9.2846399999999996E-2</v>
      </c>
      <c r="P53" s="22"/>
      <c r="Q53" s="11">
        <f t="shared" si="7"/>
        <v>0</v>
      </c>
      <c r="R53" s="39">
        <f t="shared" si="11"/>
        <v>3986</v>
      </c>
      <c r="S53" s="38">
        <f t="shared" si="15"/>
        <v>30.840479199999997</v>
      </c>
      <c r="T53" s="12"/>
      <c r="U53" s="13">
        <f t="shared" si="12"/>
        <v>0</v>
      </c>
      <c r="V53" s="49">
        <f t="shared" si="8"/>
        <v>3986</v>
      </c>
      <c r="W53" s="50">
        <f t="shared" si="9"/>
        <v>30.840479199999997</v>
      </c>
      <c r="X53">
        <f t="shared" si="10"/>
        <v>30</v>
      </c>
    </row>
    <row r="54" spans="1:24" x14ac:dyDescent="0.25">
      <c r="A54" s="42" t="s">
        <v>52</v>
      </c>
      <c r="B54" s="34">
        <v>79</v>
      </c>
      <c r="C54" s="35">
        <v>62</v>
      </c>
      <c r="D54" s="35">
        <v>2.2999999999999998</v>
      </c>
      <c r="E54" s="19">
        <f t="shared" si="2"/>
        <v>1.12654E-2</v>
      </c>
      <c r="F54" s="25">
        <f>'AĞUSTOS 5. HAFTA'!Z54</f>
        <v>3595</v>
      </c>
      <c r="G54" s="26">
        <f t="shared" si="3"/>
        <v>40.499113000000001</v>
      </c>
      <c r="H54" s="22"/>
      <c r="I54" s="11">
        <f t="shared" si="4"/>
        <v>0</v>
      </c>
      <c r="J54" s="6"/>
      <c r="K54" s="10">
        <f t="shared" si="13"/>
        <v>0</v>
      </c>
      <c r="L54" s="22">
        <v>7</v>
      </c>
      <c r="M54" s="11">
        <f t="shared" si="14"/>
        <v>7.8857800000000006E-2</v>
      </c>
      <c r="N54" s="6"/>
      <c r="O54" s="10">
        <f t="shared" si="6"/>
        <v>0</v>
      </c>
      <c r="P54" s="22"/>
      <c r="Q54" s="11">
        <f t="shared" si="7"/>
        <v>0</v>
      </c>
      <c r="R54" s="39">
        <f t="shared" si="11"/>
        <v>3588</v>
      </c>
      <c r="S54" s="38">
        <f t="shared" si="15"/>
        <v>40.4202552</v>
      </c>
      <c r="T54" s="12"/>
      <c r="U54" s="13">
        <f t="shared" si="12"/>
        <v>0</v>
      </c>
      <c r="V54" s="49">
        <f t="shared" si="8"/>
        <v>3588</v>
      </c>
      <c r="W54" s="50">
        <f t="shared" si="9"/>
        <v>40.4202552</v>
      </c>
      <c r="X54">
        <f t="shared" si="10"/>
        <v>7</v>
      </c>
    </row>
    <row r="55" spans="1:24" x14ac:dyDescent="0.25">
      <c r="A55" s="42" t="s">
        <v>53</v>
      </c>
      <c r="B55" s="34">
        <v>200</v>
      </c>
      <c r="C55" s="35">
        <v>176</v>
      </c>
      <c r="D55" s="35">
        <v>2.2999999999999998</v>
      </c>
      <c r="E55" s="19">
        <f t="shared" si="2"/>
        <v>8.0960000000000004E-2</v>
      </c>
      <c r="F55" s="25">
        <f>'AĞUSTOS 5. HAFTA'!Z55</f>
        <v>1</v>
      </c>
      <c r="G55" s="26">
        <f t="shared" si="3"/>
        <v>8.0960000000000004E-2</v>
      </c>
      <c r="H55" s="22"/>
      <c r="I55" s="11">
        <f t="shared" si="4"/>
        <v>0</v>
      </c>
      <c r="J55" s="6"/>
      <c r="K55" s="10">
        <f t="shared" si="13"/>
        <v>0</v>
      </c>
      <c r="L55" s="22"/>
      <c r="M55" s="11">
        <f t="shared" si="14"/>
        <v>0</v>
      </c>
      <c r="N55" s="6"/>
      <c r="O55" s="10">
        <f t="shared" si="6"/>
        <v>0</v>
      </c>
      <c r="P55" s="22"/>
      <c r="Q55" s="11">
        <f t="shared" si="7"/>
        <v>0</v>
      </c>
      <c r="R55" s="39">
        <f t="shared" si="11"/>
        <v>1</v>
      </c>
      <c r="S55" s="38">
        <f t="shared" si="15"/>
        <v>8.0960000000000004E-2</v>
      </c>
      <c r="T55" s="12"/>
      <c r="U55" s="13">
        <f t="shared" si="12"/>
        <v>0</v>
      </c>
      <c r="V55" s="49">
        <f t="shared" si="8"/>
        <v>1</v>
      </c>
      <c r="W55" s="50">
        <f t="shared" si="9"/>
        <v>8.0960000000000004E-2</v>
      </c>
      <c r="X55">
        <f t="shared" si="10"/>
        <v>0</v>
      </c>
    </row>
    <row r="56" spans="1:24" x14ac:dyDescent="0.25">
      <c r="A56" s="42" t="s">
        <v>54</v>
      </c>
      <c r="B56" s="34">
        <v>79</v>
      </c>
      <c r="C56" s="35">
        <v>79</v>
      </c>
      <c r="D56" s="35">
        <v>2.2999999999999998</v>
      </c>
      <c r="E56" s="19">
        <f t="shared" si="2"/>
        <v>1.4354299999999999E-2</v>
      </c>
      <c r="F56" s="25">
        <f>'AĞUSTOS 5. HAFTA'!Z56</f>
        <v>241</v>
      </c>
      <c r="G56" s="26">
        <f t="shared" si="3"/>
        <v>3.4593862999999998</v>
      </c>
      <c r="H56" s="22"/>
      <c r="I56" s="11">
        <f t="shared" si="4"/>
        <v>0</v>
      </c>
      <c r="J56" s="6"/>
      <c r="K56" s="10">
        <f t="shared" si="13"/>
        <v>0</v>
      </c>
      <c r="L56" s="22"/>
      <c r="M56" s="11">
        <f t="shared" si="14"/>
        <v>0</v>
      </c>
      <c r="N56" s="6"/>
      <c r="O56" s="10">
        <f t="shared" si="6"/>
        <v>0</v>
      </c>
      <c r="P56" s="22"/>
      <c r="Q56" s="11">
        <f t="shared" si="7"/>
        <v>0</v>
      </c>
      <c r="R56" s="39">
        <f t="shared" si="11"/>
        <v>241</v>
      </c>
      <c r="S56" s="38">
        <f t="shared" si="15"/>
        <v>3.4593862999999998</v>
      </c>
      <c r="T56" s="12"/>
      <c r="U56" s="13">
        <f t="shared" si="12"/>
        <v>0</v>
      </c>
      <c r="V56" s="49">
        <f t="shared" si="8"/>
        <v>241</v>
      </c>
      <c r="W56" s="50">
        <f t="shared" si="9"/>
        <v>3.4593862999999998</v>
      </c>
      <c r="X56">
        <f t="shared" si="10"/>
        <v>0</v>
      </c>
    </row>
    <row r="57" spans="1:24" x14ac:dyDescent="0.25">
      <c r="A57" s="42" t="s">
        <v>55</v>
      </c>
      <c r="B57" s="34"/>
      <c r="C57" s="35"/>
      <c r="D57" s="35"/>
      <c r="E57" s="19">
        <f t="shared" si="2"/>
        <v>0</v>
      </c>
      <c r="F57" s="25">
        <f>'AĞUSTOS 5. HAFTA'!Z57</f>
        <v>938</v>
      </c>
      <c r="G57" s="26">
        <f t="shared" si="3"/>
        <v>0</v>
      </c>
      <c r="H57" s="22"/>
      <c r="I57" s="11">
        <f t="shared" si="4"/>
        <v>0</v>
      </c>
      <c r="J57" s="6"/>
      <c r="K57" s="10">
        <f t="shared" si="13"/>
        <v>0</v>
      </c>
      <c r="L57" s="22"/>
      <c r="M57" s="11">
        <f t="shared" si="14"/>
        <v>0</v>
      </c>
      <c r="N57" s="6"/>
      <c r="O57" s="10">
        <f t="shared" si="6"/>
        <v>0</v>
      </c>
      <c r="P57" s="22"/>
      <c r="Q57" s="11">
        <f t="shared" si="7"/>
        <v>0</v>
      </c>
      <c r="R57" s="39">
        <f t="shared" si="11"/>
        <v>938</v>
      </c>
      <c r="S57" s="38">
        <f t="shared" si="15"/>
        <v>0</v>
      </c>
      <c r="T57" s="12"/>
      <c r="U57" s="13">
        <f t="shared" si="12"/>
        <v>0</v>
      </c>
      <c r="V57" s="49">
        <f t="shared" si="8"/>
        <v>938</v>
      </c>
      <c r="W57" s="50">
        <f t="shared" si="9"/>
        <v>0</v>
      </c>
      <c r="X57">
        <f t="shared" si="10"/>
        <v>0</v>
      </c>
    </row>
    <row r="58" spans="1:24" x14ac:dyDescent="0.25">
      <c r="A58" s="42" t="s">
        <v>56</v>
      </c>
      <c r="B58" s="34"/>
      <c r="C58" s="35"/>
      <c r="D58" s="35"/>
      <c r="E58" s="19">
        <f t="shared" si="2"/>
        <v>0</v>
      </c>
      <c r="F58" s="25">
        <f>'AĞUSTOS 5. HAFTA'!Z58</f>
        <v>938</v>
      </c>
      <c r="G58" s="26">
        <f t="shared" si="3"/>
        <v>0</v>
      </c>
      <c r="H58" s="22"/>
      <c r="I58" s="11">
        <f t="shared" si="4"/>
        <v>0</v>
      </c>
      <c r="J58" s="6"/>
      <c r="K58" s="10">
        <f t="shared" si="13"/>
        <v>0</v>
      </c>
      <c r="L58" s="22"/>
      <c r="M58" s="11">
        <f t="shared" si="14"/>
        <v>0</v>
      </c>
      <c r="N58" s="6"/>
      <c r="O58" s="10">
        <f t="shared" si="6"/>
        <v>0</v>
      </c>
      <c r="P58" s="22"/>
      <c r="Q58" s="11">
        <f t="shared" si="7"/>
        <v>0</v>
      </c>
      <c r="R58" s="39">
        <f t="shared" si="11"/>
        <v>938</v>
      </c>
      <c r="S58" s="38">
        <f t="shared" si="15"/>
        <v>0</v>
      </c>
      <c r="T58" s="12"/>
      <c r="U58" s="13">
        <f t="shared" si="12"/>
        <v>0</v>
      </c>
      <c r="V58" s="49">
        <f t="shared" si="8"/>
        <v>938</v>
      </c>
      <c r="W58" s="50">
        <f t="shared" si="9"/>
        <v>0</v>
      </c>
      <c r="X58">
        <f t="shared" si="10"/>
        <v>0</v>
      </c>
    </row>
    <row r="59" spans="1:24" x14ac:dyDescent="0.25">
      <c r="A59" s="42" t="s">
        <v>57</v>
      </c>
      <c r="B59" s="34"/>
      <c r="C59" s="35"/>
      <c r="D59" s="35"/>
      <c r="E59" s="19">
        <f t="shared" si="2"/>
        <v>0</v>
      </c>
      <c r="F59" s="25">
        <f>'AĞUSTOS 5. HAFTA'!Z59</f>
        <v>1200</v>
      </c>
      <c r="G59" s="26">
        <f t="shared" si="3"/>
        <v>0</v>
      </c>
      <c r="H59" s="22"/>
      <c r="I59" s="11">
        <f t="shared" si="4"/>
        <v>0</v>
      </c>
      <c r="J59" s="6"/>
      <c r="K59" s="10">
        <f t="shared" si="13"/>
        <v>0</v>
      </c>
      <c r="L59" s="22"/>
      <c r="M59" s="11">
        <f t="shared" si="14"/>
        <v>0</v>
      </c>
      <c r="N59" s="6">
        <v>100</v>
      </c>
      <c r="O59" s="10">
        <v>0.67500000000000004</v>
      </c>
      <c r="P59" s="22"/>
      <c r="Q59" s="11">
        <f t="shared" si="7"/>
        <v>0</v>
      </c>
      <c r="R59" s="39">
        <f t="shared" si="11"/>
        <v>1100</v>
      </c>
      <c r="S59" s="38">
        <f t="shared" si="15"/>
        <v>0</v>
      </c>
      <c r="T59" s="12"/>
      <c r="U59" s="13">
        <f t="shared" si="12"/>
        <v>0</v>
      </c>
      <c r="V59" s="49">
        <f t="shared" si="8"/>
        <v>1100</v>
      </c>
      <c r="W59" s="50">
        <f t="shared" si="9"/>
        <v>0</v>
      </c>
      <c r="X59">
        <f t="shared" si="10"/>
        <v>100</v>
      </c>
    </row>
    <row r="60" spans="1:24" x14ac:dyDescent="0.25">
      <c r="A60" s="42" t="s">
        <v>58</v>
      </c>
      <c r="B60" s="34"/>
      <c r="C60" s="35"/>
      <c r="D60" s="35"/>
      <c r="E60" s="19">
        <f t="shared" si="2"/>
        <v>0</v>
      </c>
      <c r="F60" s="25">
        <f>'AĞUSTOS 5. HAFTA'!Z60</f>
        <v>1344</v>
      </c>
      <c r="G60" s="26">
        <f t="shared" si="3"/>
        <v>0</v>
      </c>
      <c r="H60" s="22"/>
      <c r="I60" s="11">
        <f t="shared" si="4"/>
        <v>0</v>
      </c>
      <c r="J60" s="6"/>
      <c r="K60" s="10">
        <f t="shared" si="13"/>
        <v>0</v>
      </c>
      <c r="L60" s="22"/>
      <c r="M60" s="11">
        <f t="shared" si="14"/>
        <v>0</v>
      </c>
      <c r="N60" s="6">
        <v>100</v>
      </c>
      <c r="O60" s="10">
        <v>0.52500000000000002</v>
      </c>
      <c r="P60" s="22"/>
      <c r="Q60" s="11">
        <f t="shared" si="7"/>
        <v>0</v>
      </c>
      <c r="R60" s="39">
        <f t="shared" si="11"/>
        <v>1244</v>
      </c>
      <c r="S60" s="38">
        <f t="shared" si="15"/>
        <v>0</v>
      </c>
      <c r="T60" s="12"/>
      <c r="U60" s="13">
        <f t="shared" si="12"/>
        <v>0</v>
      </c>
      <c r="V60" s="49">
        <f t="shared" si="8"/>
        <v>1244</v>
      </c>
      <c r="W60" s="50">
        <f t="shared" si="9"/>
        <v>0</v>
      </c>
      <c r="X60">
        <f t="shared" si="10"/>
        <v>100</v>
      </c>
    </row>
    <row r="61" spans="1:24" x14ac:dyDescent="0.25">
      <c r="A61" s="42" t="s">
        <v>59</v>
      </c>
      <c r="B61" s="34"/>
      <c r="C61" s="35"/>
      <c r="D61" s="35"/>
      <c r="E61" s="19">
        <f t="shared" si="2"/>
        <v>0</v>
      </c>
      <c r="F61" s="25">
        <f>'AĞUSTOS 5. HAFTA'!Z61</f>
        <v>97</v>
      </c>
      <c r="G61" s="26">
        <f t="shared" si="3"/>
        <v>0</v>
      </c>
      <c r="H61" s="22"/>
      <c r="I61" s="11">
        <f t="shared" si="4"/>
        <v>0</v>
      </c>
      <c r="J61" s="6"/>
      <c r="K61" s="10">
        <f t="shared" si="13"/>
        <v>0</v>
      </c>
      <c r="L61" s="22"/>
      <c r="M61" s="11">
        <f t="shared" si="14"/>
        <v>0</v>
      </c>
      <c r="N61" s="6"/>
      <c r="O61" s="10">
        <f t="shared" si="6"/>
        <v>0</v>
      </c>
      <c r="P61" s="22"/>
      <c r="Q61" s="11">
        <f t="shared" si="7"/>
        <v>0</v>
      </c>
      <c r="R61" s="39">
        <f t="shared" si="11"/>
        <v>97</v>
      </c>
      <c r="S61" s="38">
        <f t="shared" si="15"/>
        <v>0</v>
      </c>
      <c r="T61" s="12"/>
      <c r="U61" s="13">
        <f t="shared" si="12"/>
        <v>0</v>
      </c>
      <c r="V61" s="49">
        <f t="shared" si="8"/>
        <v>97</v>
      </c>
      <c r="W61" s="50">
        <f t="shared" si="9"/>
        <v>0</v>
      </c>
      <c r="X61">
        <f t="shared" si="10"/>
        <v>0</v>
      </c>
    </row>
    <row r="62" spans="1:24" x14ac:dyDescent="0.25">
      <c r="A62" s="42" t="s">
        <v>60</v>
      </c>
      <c r="B62" s="34"/>
      <c r="C62" s="35"/>
      <c r="D62" s="35"/>
      <c r="E62" s="19">
        <f t="shared" si="2"/>
        <v>0</v>
      </c>
      <c r="F62" s="25">
        <f>'AĞUSTOS 5. HAFTA'!Z62</f>
        <v>1950</v>
      </c>
      <c r="G62" s="26">
        <f t="shared" si="3"/>
        <v>0</v>
      </c>
      <c r="H62" s="22"/>
      <c r="I62" s="11">
        <f t="shared" si="4"/>
        <v>0</v>
      </c>
      <c r="J62" s="6"/>
      <c r="K62" s="10">
        <f t="shared" si="13"/>
        <v>0</v>
      </c>
      <c r="L62" s="22"/>
      <c r="M62" s="11">
        <f t="shared" si="14"/>
        <v>0</v>
      </c>
      <c r="N62" s="6"/>
      <c r="O62" s="10">
        <f t="shared" si="6"/>
        <v>0</v>
      </c>
      <c r="P62" s="22"/>
      <c r="Q62" s="11">
        <f t="shared" si="7"/>
        <v>0</v>
      </c>
      <c r="R62" s="39">
        <f t="shared" si="11"/>
        <v>1950</v>
      </c>
      <c r="S62" s="38">
        <f t="shared" si="15"/>
        <v>0</v>
      </c>
      <c r="T62" s="12"/>
      <c r="U62" s="13">
        <f t="shared" si="12"/>
        <v>0</v>
      </c>
      <c r="V62" s="49">
        <f t="shared" si="8"/>
        <v>1950</v>
      </c>
      <c r="W62" s="50">
        <f t="shared" si="9"/>
        <v>0</v>
      </c>
      <c r="X62">
        <f t="shared" si="10"/>
        <v>0</v>
      </c>
    </row>
    <row r="63" spans="1:24" x14ac:dyDescent="0.25">
      <c r="A63" s="43" t="s">
        <v>61</v>
      </c>
      <c r="B63" s="34"/>
      <c r="C63" s="35"/>
      <c r="D63" s="35"/>
      <c r="E63" s="19">
        <f t="shared" si="2"/>
        <v>0</v>
      </c>
      <c r="F63" s="25">
        <f>'AĞUSTOS 5. HAFTA'!Z63</f>
        <v>1500</v>
      </c>
      <c r="G63" s="26">
        <f t="shared" si="3"/>
        <v>0</v>
      </c>
      <c r="H63" s="22"/>
      <c r="I63" s="11">
        <f t="shared" si="4"/>
        <v>0</v>
      </c>
      <c r="J63" s="6"/>
      <c r="K63" s="10">
        <f t="shared" si="13"/>
        <v>0</v>
      </c>
      <c r="L63" s="22"/>
      <c r="M63" s="11">
        <f t="shared" si="14"/>
        <v>0</v>
      </c>
      <c r="N63" s="6"/>
      <c r="O63" s="10">
        <f t="shared" si="6"/>
        <v>0</v>
      </c>
      <c r="P63" s="22"/>
      <c r="Q63" s="11">
        <f t="shared" si="7"/>
        <v>0</v>
      </c>
      <c r="R63" s="39">
        <f t="shared" si="11"/>
        <v>1500</v>
      </c>
      <c r="S63" s="38">
        <f t="shared" si="15"/>
        <v>0</v>
      </c>
      <c r="T63" s="12"/>
      <c r="U63" s="13">
        <f t="shared" si="12"/>
        <v>0</v>
      </c>
      <c r="V63" s="49">
        <f t="shared" si="8"/>
        <v>1500</v>
      </c>
      <c r="W63" s="50">
        <f t="shared" si="9"/>
        <v>0</v>
      </c>
      <c r="X63">
        <f t="shared" si="10"/>
        <v>0</v>
      </c>
    </row>
    <row r="64" spans="1:24" ht="15.75" thickBot="1" x14ac:dyDescent="0.3">
      <c r="A64" s="44" t="s">
        <v>81</v>
      </c>
      <c r="B64" s="36">
        <v>140</v>
      </c>
      <c r="C64" s="37">
        <v>9.5</v>
      </c>
      <c r="D64" s="37">
        <v>6.5</v>
      </c>
      <c r="E64" s="20">
        <f t="shared" si="2"/>
        <v>8.6449999999999999E-3</v>
      </c>
      <c r="F64" s="25">
        <f>'AĞUSTOS 5. HAFTA'!Z64</f>
        <v>714</v>
      </c>
      <c r="G64" s="27">
        <f t="shared" si="3"/>
        <v>6.1725300000000001</v>
      </c>
      <c r="H64" s="99">
        <v>66</v>
      </c>
      <c r="I64" s="100">
        <f t="shared" si="4"/>
        <v>0.57057000000000002</v>
      </c>
      <c r="J64" s="84"/>
      <c r="K64" s="85">
        <f t="shared" si="13"/>
        <v>0</v>
      </c>
      <c r="L64" s="99">
        <v>96</v>
      </c>
      <c r="M64" s="100">
        <f t="shared" si="14"/>
        <v>0.82991999999999999</v>
      </c>
      <c r="N64" s="84"/>
      <c r="O64" s="10">
        <f t="shared" si="6"/>
        <v>0</v>
      </c>
      <c r="P64" s="99"/>
      <c r="Q64" s="100">
        <f t="shared" si="7"/>
        <v>0</v>
      </c>
      <c r="R64" s="86">
        <f t="shared" si="11"/>
        <v>552</v>
      </c>
      <c r="S64" s="87">
        <f t="shared" si="15"/>
        <v>4.7720399999999996</v>
      </c>
      <c r="T64" s="88"/>
      <c r="U64" s="89">
        <f t="shared" si="12"/>
        <v>0</v>
      </c>
      <c r="V64" s="49">
        <f t="shared" si="8"/>
        <v>552</v>
      </c>
      <c r="W64" s="50">
        <f t="shared" si="9"/>
        <v>4.7720399999999996</v>
      </c>
      <c r="X64">
        <f t="shared" si="10"/>
        <v>162</v>
      </c>
    </row>
    <row r="65" spans="1:24" ht="15.75" x14ac:dyDescent="0.25">
      <c r="A65" s="91" t="s">
        <v>79</v>
      </c>
      <c r="B65" s="68">
        <v>90</v>
      </c>
      <c r="C65" s="68">
        <v>83</v>
      </c>
      <c r="D65" s="68">
        <v>2</v>
      </c>
      <c r="E65" s="92">
        <f t="shared" si="2"/>
        <v>1.494E-2</v>
      </c>
      <c r="F65" s="93">
        <v>48</v>
      </c>
      <c r="G65" s="94">
        <f t="shared" si="3"/>
        <v>0.71711999999999998</v>
      </c>
      <c r="H65" s="96">
        <v>24</v>
      </c>
      <c r="I65" s="100">
        <f t="shared" si="4"/>
        <v>0.35855999999999999</v>
      </c>
      <c r="J65" s="96"/>
      <c r="K65" s="85">
        <f t="shared" si="13"/>
        <v>0</v>
      </c>
      <c r="L65" s="96"/>
      <c r="M65" s="100">
        <f t="shared" si="14"/>
        <v>0</v>
      </c>
      <c r="N65" s="96"/>
      <c r="O65" s="100">
        <f t="shared" si="14"/>
        <v>0</v>
      </c>
      <c r="P65" s="96"/>
      <c r="Q65" s="100">
        <f t="shared" si="7"/>
        <v>0</v>
      </c>
      <c r="R65" s="86">
        <f t="shared" si="11"/>
        <v>24</v>
      </c>
      <c r="S65" s="87">
        <f t="shared" si="15"/>
        <v>0.35855999999999999</v>
      </c>
      <c r="T65" s="101">
        <v>454</v>
      </c>
      <c r="U65" s="89">
        <f t="shared" si="12"/>
        <v>6.7827599999999997</v>
      </c>
      <c r="V65" s="49">
        <f t="shared" si="8"/>
        <v>478</v>
      </c>
      <c r="W65" s="50">
        <f t="shared" si="9"/>
        <v>7.1413200000000003</v>
      </c>
      <c r="X65">
        <f t="shared" si="10"/>
        <v>24</v>
      </c>
    </row>
    <row r="66" spans="1:24" ht="15.75" x14ac:dyDescent="0.25">
      <c r="A66" s="102" t="s">
        <v>80</v>
      </c>
      <c r="B66" s="78">
        <v>92</v>
      </c>
      <c r="C66" s="78">
        <v>82</v>
      </c>
      <c r="D66" s="78">
        <v>2</v>
      </c>
      <c r="E66" s="103">
        <f t="shared" si="2"/>
        <v>1.5088000000000001E-2</v>
      </c>
      <c r="F66" s="104">
        <v>333</v>
      </c>
      <c r="G66" s="104">
        <f t="shared" si="3"/>
        <v>5.0243039999999999</v>
      </c>
      <c r="H66" s="105">
        <v>27</v>
      </c>
      <c r="I66" s="100">
        <f t="shared" si="4"/>
        <v>0.40737600000000002</v>
      </c>
      <c r="J66" s="105"/>
      <c r="K66" s="85">
        <f t="shared" si="13"/>
        <v>0</v>
      </c>
      <c r="L66" s="105"/>
      <c r="M66" s="100">
        <f t="shared" si="14"/>
        <v>0</v>
      </c>
      <c r="N66" s="105"/>
      <c r="O66" s="100">
        <f t="shared" si="14"/>
        <v>0</v>
      </c>
      <c r="P66" s="105"/>
      <c r="Q66" s="100">
        <f t="shared" si="7"/>
        <v>0</v>
      </c>
      <c r="R66" s="86">
        <f t="shared" si="11"/>
        <v>306</v>
      </c>
      <c r="S66" s="87">
        <f t="shared" si="15"/>
        <v>4.6169280000000006</v>
      </c>
      <c r="T66" s="106">
        <v>206</v>
      </c>
      <c r="U66" s="89">
        <f t="shared" si="12"/>
        <v>3.1081280000000002</v>
      </c>
      <c r="V66" s="90">
        <f t="shared" si="8"/>
        <v>512</v>
      </c>
      <c r="W66" s="107">
        <f t="shared" si="9"/>
        <v>7.7250560000000004</v>
      </c>
      <c r="X66">
        <f t="shared" si="10"/>
        <v>27</v>
      </c>
    </row>
    <row r="67" spans="1:24" ht="15.75" x14ac:dyDescent="0.25">
      <c r="A67" s="108" t="s">
        <v>82</v>
      </c>
      <c r="B67" s="96">
        <v>82</v>
      </c>
      <c r="C67" s="96">
        <v>80</v>
      </c>
      <c r="D67" s="96">
        <v>2</v>
      </c>
      <c r="E67" s="109">
        <f t="shared" si="2"/>
        <v>1.312E-2</v>
      </c>
      <c r="F67" s="110">
        <v>432</v>
      </c>
      <c r="G67" s="104">
        <f t="shared" si="3"/>
        <v>5.66784</v>
      </c>
      <c r="H67" s="96"/>
      <c r="I67" s="100">
        <f t="shared" si="4"/>
        <v>0</v>
      </c>
      <c r="J67" s="96"/>
      <c r="K67" s="85">
        <f t="shared" si="13"/>
        <v>0</v>
      </c>
      <c r="L67" s="96"/>
      <c r="M67" s="100">
        <f t="shared" si="14"/>
        <v>0</v>
      </c>
      <c r="N67" s="96"/>
      <c r="O67" s="100">
        <f t="shared" si="14"/>
        <v>0</v>
      </c>
      <c r="P67" s="96"/>
      <c r="Q67" s="100">
        <f t="shared" si="7"/>
        <v>0</v>
      </c>
      <c r="R67" s="86">
        <f t="shared" si="11"/>
        <v>432</v>
      </c>
      <c r="S67" s="87">
        <f t="shared" si="15"/>
        <v>5.66784</v>
      </c>
      <c r="T67" s="101"/>
      <c r="U67" s="89">
        <f t="shared" si="12"/>
        <v>0</v>
      </c>
      <c r="V67" s="90">
        <f t="shared" si="8"/>
        <v>432</v>
      </c>
      <c r="W67" s="107">
        <f t="shared" si="9"/>
        <v>5.66784</v>
      </c>
      <c r="X67">
        <f t="shared" si="10"/>
        <v>0</v>
      </c>
    </row>
    <row r="68" spans="1:24" ht="15.75" x14ac:dyDescent="0.25">
      <c r="A68" s="108" t="s">
        <v>83</v>
      </c>
      <c r="B68" s="96">
        <v>86</v>
      </c>
      <c r="C68" s="96">
        <v>77</v>
      </c>
      <c r="D68" s="96">
        <v>8</v>
      </c>
      <c r="E68" s="109">
        <f t="shared" si="2"/>
        <v>5.2976000000000002E-2</v>
      </c>
      <c r="F68" s="110">
        <v>97</v>
      </c>
      <c r="G68" s="104">
        <f t="shared" si="3"/>
        <v>5.1386720000000006</v>
      </c>
      <c r="H68" s="96"/>
      <c r="I68" s="100">
        <f t="shared" si="4"/>
        <v>0</v>
      </c>
      <c r="J68" s="96"/>
      <c r="K68" s="85">
        <f t="shared" si="13"/>
        <v>0</v>
      </c>
      <c r="L68" s="96"/>
      <c r="M68" s="100">
        <f t="shared" si="14"/>
        <v>0</v>
      </c>
      <c r="N68" s="96"/>
      <c r="O68" s="100">
        <f t="shared" si="14"/>
        <v>0</v>
      </c>
      <c r="P68" s="96"/>
      <c r="Q68" s="100">
        <f t="shared" si="7"/>
        <v>0</v>
      </c>
      <c r="R68" s="86">
        <f t="shared" si="11"/>
        <v>97</v>
      </c>
      <c r="S68" s="87">
        <f t="shared" si="15"/>
        <v>5.1386720000000006</v>
      </c>
      <c r="T68" s="101"/>
      <c r="U68" s="89">
        <f t="shared" si="12"/>
        <v>0</v>
      </c>
      <c r="V68" s="90">
        <f t="shared" si="8"/>
        <v>97</v>
      </c>
      <c r="W68" s="107">
        <f t="shared" si="9"/>
        <v>5.1386720000000006</v>
      </c>
      <c r="X68">
        <f t="shared" si="10"/>
        <v>0</v>
      </c>
    </row>
    <row r="69" spans="1:24" ht="15.75" x14ac:dyDescent="0.25">
      <c r="A69" s="108" t="s">
        <v>84</v>
      </c>
      <c r="B69" s="96">
        <v>76</v>
      </c>
      <c r="C69" s="96">
        <v>75</v>
      </c>
      <c r="D69" s="96">
        <v>8</v>
      </c>
      <c r="E69" s="109">
        <f t="shared" si="2"/>
        <v>4.5600000000000002E-2</v>
      </c>
      <c r="F69" s="110">
        <v>102</v>
      </c>
      <c r="G69" s="104">
        <f t="shared" si="3"/>
        <v>4.6512000000000002</v>
      </c>
      <c r="H69" s="96"/>
      <c r="I69" s="100">
        <f t="shared" si="4"/>
        <v>0</v>
      </c>
      <c r="J69" s="96"/>
      <c r="K69" s="85">
        <f t="shared" si="13"/>
        <v>0</v>
      </c>
      <c r="L69" s="96"/>
      <c r="M69" s="100">
        <f t="shared" si="14"/>
        <v>0</v>
      </c>
      <c r="N69" s="96"/>
      <c r="O69" s="100">
        <f t="shared" si="14"/>
        <v>0</v>
      </c>
      <c r="P69" s="96"/>
      <c r="Q69" s="100">
        <f t="shared" si="7"/>
        <v>0</v>
      </c>
      <c r="R69" s="86">
        <f t="shared" si="11"/>
        <v>102</v>
      </c>
      <c r="S69" s="87">
        <f t="shared" si="15"/>
        <v>4.6512000000000002</v>
      </c>
      <c r="T69" s="101"/>
      <c r="U69" s="89">
        <f t="shared" si="12"/>
        <v>0</v>
      </c>
      <c r="V69" s="90">
        <f t="shared" si="8"/>
        <v>102</v>
      </c>
      <c r="W69" s="107">
        <f t="shared" si="9"/>
        <v>4.6512000000000002</v>
      </c>
      <c r="X69">
        <f t="shared" si="10"/>
        <v>0</v>
      </c>
    </row>
    <row r="70" spans="1:24" ht="15.75" x14ac:dyDescent="0.25">
      <c r="A70" s="108" t="s">
        <v>85</v>
      </c>
      <c r="B70" s="96">
        <v>140</v>
      </c>
      <c r="C70" s="96">
        <v>240</v>
      </c>
      <c r="D70" s="96">
        <v>12</v>
      </c>
      <c r="E70" s="109">
        <f t="shared" ref="E70" si="16">(B70*C70*D70)/1000000</f>
        <v>0.4032</v>
      </c>
      <c r="F70" s="110">
        <v>10</v>
      </c>
      <c r="G70" s="93">
        <f t="shared" ref="G70" si="17">E70*F70</f>
        <v>4.032</v>
      </c>
      <c r="H70" s="96"/>
      <c r="I70" s="100">
        <f t="shared" ref="I70" si="18">E70*H70</f>
        <v>0</v>
      </c>
      <c r="J70" s="96"/>
      <c r="K70" s="85">
        <f t="shared" si="13"/>
        <v>0</v>
      </c>
      <c r="L70" s="96"/>
      <c r="M70" s="100">
        <f t="shared" si="14"/>
        <v>0</v>
      </c>
      <c r="N70" s="96"/>
      <c r="O70" s="100">
        <f t="shared" si="14"/>
        <v>0</v>
      </c>
      <c r="P70" s="96"/>
      <c r="Q70" s="100">
        <f t="shared" ref="Q70" si="19">E70*P70</f>
        <v>0</v>
      </c>
      <c r="R70" s="86">
        <f t="shared" si="11"/>
        <v>10</v>
      </c>
      <c r="S70" s="87">
        <f t="shared" si="15"/>
        <v>4.032</v>
      </c>
      <c r="T70" s="101"/>
      <c r="U70" s="89">
        <f t="shared" si="12"/>
        <v>0</v>
      </c>
      <c r="V70" s="90">
        <f t="shared" ref="V70" si="20">R70+T70</f>
        <v>10</v>
      </c>
      <c r="W70" s="107">
        <f t="shared" ref="W70" si="21">E70*V70</f>
        <v>4.032</v>
      </c>
      <c r="X70">
        <f t="shared" ref="X70" si="22">+H70+J70+L70+N70+P70</f>
        <v>0</v>
      </c>
    </row>
    <row r="71" spans="1:24" x14ac:dyDescent="0.25">
      <c r="F71" s="5" t="s">
        <v>87</v>
      </c>
      <c r="H71" s="2">
        <f>SUM(H5:H70)</f>
        <v>327</v>
      </c>
      <c r="J71" s="2">
        <f>SUM(J5:J70)</f>
        <v>120</v>
      </c>
      <c r="L71" s="2">
        <f>SUM(L5:L70)</f>
        <v>195</v>
      </c>
      <c r="N71" s="2">
        <f>SUM(N5:N70)</f>
        <v>396</v>
      </c>
      <c r="P71" s="2">
        <f>SUM(P5:P70)</f>
        <v>96</v>
      </c>
      <c r="X71">
        <f>SUM(X5:X70)</f>
        <v>1134</v>
      </c>
    </row>
  </sheetData>
  <mergeCells count="24">
    <mergeCell ref="N3:O3"/>
    <mergeCell ref="P3:Q3"/>
    <mergeCell ref="F2:G3"/>
    <mergeCell ref="H2:I2"/>
    <mergeCell ref="J2:K2"/>
    <mergeCell ref="L2:M2"/>
    <mergeCell ref="N2:O2"/>
    <mergeCell ref="P2:Q2"/>
    <mergeCell ref="B1:G1"/>
    <mergeCell ref="T4:U4"/>
    <mergeCell ref="R4:S4"/>
    <mergeCell ref="T2:U3"/>
    <mergeCell ref="V2:W3"/>
    <mergeCell ref="V4:W4"/>
    <mergeCell ref="F4:G4"/>
    <mergeCell ref="H4:I4"/>
    <mergeCell ref="J4:K4"/>
    <mergeCell ref="L4:M4"/>
    <mergeCell ref="N4:O4"/>
    <mergeCell ref="P4:Q4"/>
    <mergeCell ref="R2:S3"/>
    <mergeCell ref="H3:I3"/>
    <mergeCell ref="J3:K3"/>
    <mergeCell ref="L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71"/>
  <sheetViews>
    <sheetView topLeftCell="B47" workbookViewId="0">
      <selection activeCell="X5" sqref="X5:X71"/>
    </sheetView>
  </sheetViews>
  <sheetFormatPr defaultRowHeight="15" x14ac:dyDescent="0.25"/>
  <cols>
    <col min="1" max="1" width="23.85546875" style="3" customWidth="1"/>
    <col min="2" max="2" width="0.140625" style="2" customWidth="1"/>
    <col min="3" max="4" width="6.140625" style="2" hidden="1" customWidth="1"/>
    <col min="5" max="5" width="9" style="4" hidden="1" customWidth="1"/>
    <col min="6" max="7" width="9" style="5" customWidth="1"/>
    <col min="8" max="19" width="8.140625" style="2" customWidth="1"/>
  </cols>
  <sheetData>
    <row r="1" spans="1:24" ht="15.75" thickBot="1" x14ac:dyDescent="0.3">
      <c r="A1" s="4" t="s">
        <v>18</v>
      </c>
      <c r="B1" s="320" t="s">
        <v>74</v>
      </c>
      <c r="C1" s="320"/>
      <c r="D1" s="320"/>
      <c r="E1" s="320"/>
      <c r="F1" s="320"/>
      <c r="G1" s="320"/>
    </row>
    <row r="2" spans="1:24" s="1" customFormat="1" ht="15.75" thickBot="1" x14ac:dyDescent="0.3">
      <c r="A2" s="8" t="s">
        <v>0</v>
      </c>
      <c r="B2" s="28"/>
      <c r="C2" s="29"/>
      <c r="D2" s="29"/>
      <c r="E2" s="14"/>
      <c r="F2" s="321" t="s">
        <v>1</v>
      </c>
      <c r="G2" s="322"/>
      <c r="H2" s="325">
        <v>44816</v>
      </c>
      <c r="I2" s="326"/>
      <c r="J2" s="327">
        <v>44817</v>
      </c>
      <c r="K2" s="328"/>
      <c r="L2" s="325">
        <v>44818</v>
      </c>
      <c r="M2" s="329"/>
      <c r="N2" s="327">
        <v>44819</v>
      </c>
      <c r="O2" s="346"/>
      <c r="P2" s="325">
        <v>44820</v>
      </c>
      <c r="Q2" s="329"/>
      <c r="R2" s="330" t="s">
        <v>69</v>
      </c>
      <c r="S2" s="331"/>
      <c r="T2" s="334" t="s">
        <v>70</v>
      </c>
      <c r="U2" s="335"/>
      <c r="V2" s="338" t="s">
        <v>71</v>
      </c>
      <c r="W2" s="339"/>
    </row>
    <row r="3" spans="1:24" s="1" customFormat="1" ht="15.75" thickBot="1" x14ac:dyDescent="0.3">
      <c r="A3" s="7"/>
      <c r="B3" s="30"/>
      <c r="C3" s="31"/>
      <c r="D3" s="31"/>
      <c r="E3" s="15"/>
      <c r="F3" s="323"/>
      <c r="G3" s="324"/>
      <c r="H3" s="342" t="s">
        <v>68</v>
      </c>
      <c r="I3" s="343"/>
      <c r="J3" s="344" t="s">
        <v>68</v>
      </c>
      <c r="K3" s="345"/>
      <c r="L3" s="342" t="s">
        <v>68</v>
      </c>
      <c r="M3" s="343"/>
      <c r="N3" s="344" t="s">
        <v>68</v>
      </c>
      <c r="O3" s="345"/>
      <c r="P3" s="342" t="s">
        <v>68</v>
      </c>
      <c r="Q3" s="343"/>
      <c r="R3" s="332"/>
      <c r="S3" s="333"/>
      <c r="T3" s="336"/>
      <c r="U3" s="337"/>
      <c r="V3" s="340"/>
      <c r="W3" s="341"/>
    </row>
    <row r="4" spans="1:24" ht="15.75" thickBot="1" x14ac:dyDescent="0.3">
      <c r="A4" s="42"/>
      <c r="B4" s="16" t="s">
        <v>65</v>
      </c>
      <c r="C4" s="17" t="s">
        <v>66</v>
      </c>
      <c r="D4" s="17" t="s">
        <v>67</v>
      </c>
      <c r="E4" s="18" t="s">
        <v>64</v>
      </c>
      <c r="F4" s="323" t="s">
        <v>63</v>
      </c>
      <c r="G4" s="324"/>
      <c r="H4" s="353" t="s">
        <v>63</v>
      </c>
      <c r="I4" s="354"/>
      <c r="J4" s="355" t="s">
        <v>63</v>
      </c>
      <c r="K4" s="356"/>
      <c r="L4" s="353" t="s">
        <v>63</v>
      </c>
      <c r="M4" s="354"/>
      <c r="N4" s="355" t="s">
        <v>63</v>
      </c>
      <c r="O4" s="356"/>
      <c r="P4" s="353" t="s">
        <v>63</v>
      </c>
      <c r="Q4" s="354"/>
      <c r="R4" s="347" t="s">
        <v>63</v>
      </c>
      <c r="S4" s="348"/>
      <c r="T4" s="349" t="s">
        <v>63</v>
      </c>
      <c r="U4" s="350"/>
      <c r="V4" s="351" t="s">
        <v>63</v>
      </c>
      <c r="W4" s="357"/>
    </row>
    <row r="5" spans="1:24" x14ac:dyDescent="0.25">
      <c r="A5" s="42" t="s">
        <v>2</v>
      </c>
      <c r="B5" s="32">
        <v>140</v>
      </c>
      <c r="C5" s="33">
        <v>240</v>
      </c>
      <c r="D5" s="33">
        <v>1</v>
      </c>
      <c r="E5" s="15">
        <f>(B5*C5*D5)/1000000</f>
        <v>3.3599999999999998E-2</v>
      </c>
      <c r="F5" s="23">
        <f>'EYLÜL 1. HAFTA'!V5</f>
        <v>419</v>
      </c>
      <c r="G5" s="24">
        <f>E5*F5</f>
        <v>14.078399999999998</v>
      </c>
      <c r="H5" s="21">
        <v>8</v>
      </c>
      <c r="I5" s="11">
        <f>E5*H5</f>
        <v>0.26879999999999998</v>
      </c>
      <c r="J5" s="9">
        <v>48</v>
      </c>
      <c r="K5" s="10">
        <f t="shared" ref="K5:K36" si="0">E5*J5</f>
        <v>1.6128</v>
      </c>
      <c r="L5" s="21">
        <v>15</v>
      </c>
      <c r="M5" s="11">
        <f t="shared" ref="M5:M36" si="1">E5*L5</f>
        <v>0.504</v>
      </c>
      <c r="N5" s="9">
        <v>29</v>
      </c>
      <c r="O5" s="10">
        <f>E5*N5</f>
        <v>0.97439999999999993</v>
      </c>
      <c r="P5" s="21">
        <v>29</v>
      </c>
      <c r="Q5" s="11">
        <f>E5*P5</f>
        <v>0.97439999999999993</v>
      </c>
      <c r="R5" s="39">
        <f>F5-H5-J5-L5-N5-P5</f>
        <v>290</v>
      </c>
      <c r="S5" s="38">
        <f t="shared" ref="S5:S36" si="2">E5*R5</f>
        <v>9.7439999999999998</v>
      </c>
      <c r="T5" s="12"/>
      <c r="U5" s="13">
        <f>E5*T5</f>
        <v>0</v>
      </c>
      <c r="V5" s="49">
        <f>R5+T5</f>
        <v>290</v>
      </c>
      <c r="W5" s="50">
        <f>E5*V5</f>
        <v>9.7439999999999998</v>
      </c>
      <c r="X5">
        <f>+H5+J5+L5+N5+P5</f>
        <v>129</v>
      </c>
    </row>
    <row r="6" spans="1:24" x14ac:dyDescent="0.25">
      <c r="A6" s="42" t="s">
        <v>3</v>
      </c>
      <c r="B6" s="34">
        <v>140</v>
      </c>
      <c r="C6" s="35">
        <v>240</v>
      </c>
      <c r="D6" s="35">
        <v>0.8</v>
      </c>
      <c r="E6" s="19">
        <f t="shared" ref="E6:E69" si="3">(B6*C6*D6)/1000000</f>
        <v>2.6880000000000001E-2</v>
      </c>
      <c r="F6" s="25">
        <f>'EYLÜL 1. HAFTA'!V6</f>
        <v>482</v>
      </c>
      <c r="G6" s="26">
        <f t="shared" ref="G6:G69" si="4">E6*F6</f>
        <v>12.956160000000001</v>
      </c>
      <c r="H6" s="22">
        <v>1</v>
      </c>
      <c r="I6" s="11">
        <f t="shared" ref="I6:U69" si="5">E6*H6</f>
        <v>2.6880000000000001E-2</v>
      </c>
      <c r="J6" s="6">
        <v>12</v>
      </c>
      <c r="K6" s="10">
        <f t="shared" si="0"/>
        <v>0.32256000000000001</v>
      </c>
      <c r="L6" s="22">
        <v>6</v>
      </c>
      <c r="M6" s="11">
        <f t="shared" si="1"/>
        <v>0.16128000000000001</v>
      </c>
      <c r="N6" s="6">
        <v>10</v>
      </c>
      <c r="O6" s="10">
        <f t="shared" ref="O6:O69" si="6">E6*N6</f>
        <v>0.26880000000000004</v>
      </c>
      <c r="P6" s="22"/>
      <c r="Q6" s="11">
        <f t="shared" ref="Q6:Q64" si="7">E6*P6</f>
        <v>0</v>
      </c>
      <c r="R6" s="39">
        <f>F6-H6-J6-L6-N6-P6</f>
        <v>453</v>
      </c>
      <c r="S6" s="38">
        <f t="shared" si="2"/>
        <v>12.176640000000001</v>
      </c>
      <c r="T6" s="12"/>
      <c r="U6" s="13">
        <f t="shared" ref="U6:U66" si="8">E6*T6</f>
        <v>0</v>
      </c>
      <c r="V6" s="49">
        <f t="shared" ref="V6:V70" si="9">R6+T6</f>
        <v>453</v>
      </c>
      <c r="W6" s="50">
        <f t="shared" ref="W6:W70" si="10">E6*V6</f>
        <v>12.176640000000001</v>
      </c>
      <c r="X6">
        <f t="shared" ref="X6:X69" si="11">+H6+J6+L6+N6+P6</f>
        <v>29</v>
      </c>
    </row>
    <row r="7" spans="1:24" x14ac:dyDescent="0.25">
      <c r="A7" s="42" t="s">
        <v>4</v>
      </c>
      <c r="B7" s="34">
        <v>140</v>
      </c>
      <c r="C7" s="35">
        <v>240</v>
      </c>
      <c r="D7" s="35">
        <v>1.4</v>
      </c>
      <c r="E7" s="19">
        <f t="shared" si="3"/>
        <v>4.7039999999999998E-2</v>
      </c>
      <c r="F7" s="25">
        <f>'EYLÜL 1. HAFTA'!V7</f>
        <v>92</v>
      </c>
      <c r="G7" s="26">
        <f t="shared" si="4"/>
        <v>4.32768</v>
      </c>
      <c r="H7" s="22">
        <v>39</v>
      </c>
      <c r="I7" s="11">
        <f t="shared" si="5"/>
        <v>1.83456</v>
      </c>
      <c r="J7" s="6">
        <v>13</v>
      </c>
      <c r="K7" s="10">
        <f t="shared" si="0"/>
        <v>0.61151999999999995</v>
      </c>
      <c r="L7" s="22">
        <v>8</v>
      </c>
      <c r="M7" s="11">
        <f t="shared" si="1"/>
        <v>0.37631999999999999</v>
      </c>
      <c r="N7" s="6">
        <v>6</v>
      </c>
      <c r="O7" s="10">
        <f t="shared" si="6"/>
        <v>0.28223999999999999</v>
      </c>
      <c r="P7" s="22">
        <v>21</v>
      </c>
      <c r="Q7" s="11">
        <f t="shared" si="7"/>
        <v>0.98783999999999994</v>
      </c>
      <c r="R7" s="39">
        <f t="shared" ref="R7:R70" si="12">F7-H7-J7-L7-N7-P7</f>
        <v>5</v>
      </c>
      <c r="S7" s="38">
        <f t="shared" si="2"/>
        <v>0.23519999999999999</v>
      </c>
      <c r="T7" s="12">
        <v>90</v>
      </c>
      <c r="U7" s="13">
        <f t="shared" si="8"/>
        <v>4.2336</v>
      </c>
      <c r="V7" s="49">
        <f t="shared" si="9"/>
        <v>95</v>
      </c>
      <c r="W7" s="50">
        <f t="shared" si="10"/>
        <v>4.4687999999999999</v>
      </c>
      <c r="X7">
        <f t="shared" si="11"/>
        <v>87</v>
      </c>
    </row>
    <row r="8" spans="1:24" x14ac:dyDescent="0.25">
      <c r="A8" s="42" t="s">
        <v>5</v>
      </c>
      <c r="B8" s="34">
        <v>140</v>
      </c>
      <c r="C8" s="35">
        <v>240</v>
      </c>
      <c r="D8" s="35">
        <v>4</v>
      </c>
      <c r="E8" s="19">
        <f t="shared" si="3"/>
        <v>0.13439999999999999</v>
      </c>
      <c r="F8" s="25">
        <f>'EYLÜL 1. HAFTA'!V8</f>
        <v>44</v>
      </c>
      <c r="G8" s="26">
        <f t="shared" si="4"/>
        <v>5.9135999999999997</v>
      </c>
      <c r="H8" s="22"/>
      <c r="I8" s="11">
        <f t="shared" si="5"/>
        <v>0</v>
      </c>
      <c r="J8" s="6"/>
      <c r="K8" s="10">
        <f t="shared" si="0"/>
        <v>0</v>
      </c>
      <c r="L8" s="22">
        <v>3</v>
      </c>
      <c r="M8" s="11">
        <f t="shared" si="1"/>
        <v>0.4032</v>
      </c>
      <c r="N8" s="6">
        <v>1</v>
      </c>
      <c r="O8" s="10">
        <f t="shared" si="6"/>
        <v>0.13439999999999999</v>
      </c>
      <c r="P8" s="22">
        <v>1</v>
      </c>
      <c r="Q8" s="11">
        <f t="shared" si="7"/>
        <v>0.13439999999999999</v>
      </c>
      <c r="R8" s="39">
        <f t="shared" si="12"/>
        <v>39</v>
      </c>
      <c r="S8" s="38">
        <f t="shared" si="2"/>
        <v>5.2416</v>
      </c>
      <c r="T8" s="12"/>
      <c r="U8" s="13">
        <f t="shared" si="8"/>
        <v>0</v>
      </c>
      <c r="V8" s="49">
        <f t="shared" si="9"/>
        <v>39</v>
      </c>
      <c r="W8" s="50">
        <f t="shared" si="10"/>
        <v>5.2416</v>
      </c>
      <c r="X8">
        <f t="shared" si="11"/>
        <v>5</v>
      </c>
    </row>
    <row r="9" spans="1:24" x14ac:dyDescent="0.25">
      <c r="A9" s="42" t="s">
        <v>6</v>
      </c>
      <c r="B9" s="34">
        <v>140</v>
      </c>
      <c r="C9" s="35">
        <v>240</v>
      </c>
      <c r="D9" s="35">
        <v>2</v>
      </c>
      <c r="E9" s="19">
        <f t="shared" si="3"/>
        <v>6.7199999999999996E-2</v>
      </c>
      <c r="F9" s="25">
        <f>'EYLÜL 1. HAFTA'!V9</f>
        <v>110</v>
      </c>
      <c r="G9" s="26">
        <f t="shared" si="4"/>
        <v>7.3919999999999995</v>
      </c>
      <c r="H9" s="22"/>
      <c r="I9" s="11">
        <f t="shared" si="5"/>
        <v>0</v>
      </c>
      <c r="J9" s="6">
        <v>4</v>
      </c>
      <c r="K9" s="10">
        <f t="shared" si="0"/>
        <v>0.26879999999999998</v>
      </c>
      <c r="L9" s="22">
        <v>2</v>
      </c>
      <c r="M9" s="11">
        <f t="shared" si="1"/>
        <v>0.13439999999999999</v>
      </c>
      <c r="N9" s="6">
        <v>4</v>
      </c>
      <c r="O9" s="10">
        <f t="shared" si="6"/>
        <v>0.26879999999999998</v>
      </c>
      <c r="P9" s="22"/>
      <c r="Q9" s="11">
        <f t="shared" si="7"/>
        <v>0</v>
      </c>
      <c r="R9" s="39">
        <f t="shared" si="12"/>
        <v>100</v>
      </c>
      <c r="S9" s="38">
        <f t="shared" si="2"/>
        <v>6.72</v>
      </c>
      <c r="T9" s="12"/>
      <c r="U9" s="13">
        <f t="shared" si="8"/>
        <v>0</v>
      </c>
      <c r="V9" s="49">
        <f t="shared" si="9"/>
        <v>100</v>
      </c>
      <c r="W9" s="50">
        <f t="shared" si="10"/>
        <v>6.72</v>
      </c>
      <c r="X9">
        <f t="shared" si="11"/>
        <v>10</v>
      </c>
    </row>
    <row r="10" spans="1:24" x14ac:dyDescent="0.25">
      <c r="A10" s="42" t="s">
        <v>7</v>
      </c>
      <c r="B10" s="34">
        <v>140</v>
      </c>
      <c r="C10" s="35">
        <v>240</v>
      </c>
      <c r="D10" s="35">
        <v>2</v>
      </c>
      <c r="E10" s="19">
        <f t="shared" si="3"/>
        <v>6.7199999999999996E-2</v>
      </c>
      <c r="F10" s="25">
        <f>'EYLÜL 1. HAFTA'!V10</f>
        <v>45</v>
      </c>
      <c r="G10" s="26">
        <f t="shared" si="4"/>
        <v>3.024</v>
      </c>
      <c r="H10" s="22">
        <v>14</v>
      </c>
      <c r="I10" s="11">
        <f t="shared" si="5"/>
        <v>0.94079999999999997</v>
      </c>
      <c r="J10" s="6">
        <v>5</v>
      </c>
      <c r="K10" s="10">
        <f t="shared" si="0"/>
        <v>0.33599999999999997</v>
      </c>
      <c r="L10" s="22">
        <v>14</v>
      </c>
      <c r="M10" s="11">
        <f t="shared" si="1"/>
        <v>0.94079999999999997</v>
      </c>
      <c r="N10" s="6"/>
      <c r="O10" s="10">
        <f t="shared" si="6"/>
        <v>0</v>
      </c>
      <c r="P10" s="22"/>
      <c r="Q10" s="11">
        <f t="shared" si="7"/>
        <v>0</v>
      </c>
      <c r="R10" s="39">
        <f t="shared" si="12"/>
        <v>12</v>
      </c>
      <c r="S10" s="38">
        <f t="shared" si="2"/>
        <v>0.80640000000000001</v>
      </c>
      <c r="T10" s="12"/>
      <c r="U10" s="13">
        <f t="shared" si="8"/>
        <v>0</v>
      </c>
      <c r="V10" s="49">
        <f t="shared" si="9"/>
        <v>12</v>
      </c>
      <c r="W10" s="50">
        <f t="shared" si="10"/>
        <v>0.80640000000000001</v>
      </c>
      <c r="X10">
        <f t="shared" si="11"/>
        <v>33</v>
      </c>
    </row>
    <row r="11" spans="1:24" x14ac:dyDescent="0.25">
      <c r="A11" s="42" t="s">
        <v>8</v>
      </c>
      <c r="B11" s="34">
        <v>140</v>
      </c>
      <c r="C11" s="35">
        <v>240</v>
      </c>
      <c r="D11" s="35">
        <v>7</v>
      </c>
      <c r="E11" s="19">
        <f t="shared" si="3"/>
        <v>0.23519999999999999</v>
      </c>
      <c r="F11" s="25">
        <f>'EYLÜL 1. HAFTA'!V11</f>
        <v>9</v>
      </c>
      <c r="G11" s="26">
        <f t="shared" si="4"/>
        <v>2.1168</v>
      </c>
      <c r="H11" s="22"/>
      <c r="I11" s="11">
        <f t="shared" si="5"/>
        <v>0</v>
      </c>
      <c r="J11" s="6">
        <v>3</v>
      </c>
      <c r="K11" s="10">
        <f t="shared" si="0"/>
        <v>0.7056</v>
      </c>
      <c r="L11" s="22"/>
      <c r="M11" s="11">
        <f t="shared" si="1"/>
        <v>0</v>
      </c>
      <c r="N11" s="6">
        <v>1</v>
      </c>
      <c r="O11" s="10">
        <f t="shared" si="6"/>
        <v>0.23519999999999999</v>
      </c>
      <c r="P11" s="22">
        <v>1</v>
      </c>
      <c r="Q11" s="11">
        <f t="shared" si="7"/>
        <v>0.23519999999999999</v>
      </c>
      <c r="R11" s="39">
        <f t="shared" si="12"/>
        <v>4</v>
      </c>
      <c r="S11" s="38">
        <f t="shared" si="2"/>
        <v>0.94079999999999997</v>
      </c>
      <c r="T11" s="12"/>
      <c r="U11" s="13">
        <f t="shared" si="8"/>
        <v>0</v>
      </c>
      <c r="V11" s="49">
        <f t="shared" si="9"/>
        <v>4</v>
      </c>
      <c r="W11" s="50">
        <f t="shared" si="10"/>
        <v>0.94079999999999997</v>
      </c>
      <c r="X11">
        <f t="shared" si="11"/>
        <v>5</v>
      </c>
    </row>
    <row r="12" spans="1:24" x14ac:dyDescent="0.25">
      <c r="A12" s="42" t="s">
        <v>9</v>
      </c>
      <c r="B12" s="34">
        <v>140</v>
      </c>
      <c r="C12" s="35">
        <v>240</v>
      </c>
      <c r="D12" s="35">
        <v>5</v>
      </c>
      <c r="E12" s="19">
        <f t="shared" si="3"/>
        <v>0.16800000000000001</v>
      </c>
      <c r="F12" s="25">
        <f>'EYLÜL 1. HAFTA'!V12</f>
        <v>383</v>
      </c>
      <c r="G12" s="26">
        <f t="shared" si="4"/>
        <v>64.344000000000008</v>
      </c>
      <c r="H12" s="22"/>
      <c r="I12" s="11">
        <f t="shared" si="5"/>
        <v>0</v>
      </c>
      <c r="J12" s="6">
        <v>1</v>
      </c>
      <c r="K12" s="10">
        <f t="shared" si="0"/>
        <v>0.16800000000000001</v>
      </c>
      <c r="L12" s="22">
        <v>3</v>
      </c>
      <c r="M12" s="11">
        <f t="shared" si="1"/>
        <v>0.504</v>
      </c>
      <c r="N12" s="6"/>
      <c r="O12" s="10">
        <f t="shared" si="6"/>
        <v>0</v>
      </c>
      <c r="P12" s="22">
        <v>4</v>
      </c>
      <c r="Q12" s="11">
        <f t="shared" si="7"/>
        <v>0.67200000000000004</v>
      </c>
      <c r="R12" s="39">
        <f t="shared" si="12"/>
        <v>375</v>
      </c>
      <c r="S12" s="38">
        <f t="shared" si="2"/>
        <v>63.000000000000007</v>
      </c>
      <c r="T12" s="12"/>
      <c r="U12" s="13">
        <f t="shared" si="8"/>
        <v>0</v>
      </c>
      <c r="V12" s="49">
        <f t="shared" si="9"/>
        <v>375</v>
      </c>
      <c r="W12" s="50">
        <f t="shared" si="10"/>
        <v>63.000000000000007</v>
      </c>
      <c r="X12">
        <f t="shared" si="11"/>
        <v>8</v>
      </c>
    </row>
    <row r="13" spans="1:24" x14ac:dyDescent="0.25">
      <c r="A13" s="42" t="s">
        <v>10</v>
      </c>
      <c r="B13" s="34">
        <v>140</v>
      </c>
      <c r="C13" s="35">
        <v>240</v>
      </c>
      <c r="D13" s="35">
        <v>5</v>
      </c>
      <c r="E13" s="19">
        <f t="shared" si="3"/>
        <v>0.16800000000000001</v>
      </c>
      <c r="F13" s="25">
        <f>'EYLÜL 1. HAFTA'!V13</f>
        <v>51</v>
      </c>
      <c r="G13" s="26">
        <f t="shared" si="4"/>
        <v>8.5680000000000014</v>
      </c>
      <c r="H13" s="22"/>
      <c r="I13" s="11">
        <f t="shared" si="5"/>
        <v>0</v>
      </c>
      <c r="J13" s="6">
        <v>8</v>
      </c>
      <c r="K13" s="10">
        <f t="shared" si="0"/>
        <v>1.3440000000000001</v>
      </c>
      <c r="L13" s="22"/>
      <c r="M13" s="11">
        <f t="shared" si="1"/>
        <v>0</v>
      </c>
      <c r="N13" s="6"/>
      <c r="O13" s="10">
        <f t="shared" si="6"/>
        <v>0</v>
      </c>
      <c r="P13" s="22"/>
      <c r="Q13" s="11">
        <f t="shared" si="7"/>
        <v>0</v>
      </c>
      <c r="R13" s="39">
        <f t="shared" si="12"/>
        <v>43</v>
      </c>
      <c r="S13" s="38">
        <f t="shared" si="2"/>
        <v>7.2240000000000002</v>
      </c>
      <c r="T13" s="12"/>
      <c r="U13" s="13">
        <f t="shared" si="8"/>
        <v>0</v>
      </c>
      <c r="V13" s="49">
        <f t="shared" si="9"/>
        <v>43</v>
      </c>
      <c r="W13" s="50">
        <f t="shared" si="10"/>
        <v>7.2240000000000002</v>
      </c>
      <c r="X13">
        <f t="shared" si="11"/>
        <v>8</v>
      </c>
    </row>
    <row r="14" spans="1:24" x14ac:dyDescent="0.25">
      <c r="A14" s="42" t="s">
        <v>11</v>
      </c>
      <c r="B14" s="34">
        <v>140</v>
      </c>
      <c r="C14" s="35">
        <v>240</v>
      </c>
      <c r="D14" s="35">
        <v>5</v>
      </c>
      <c r="E14" s="19">
        <f t="shared" si="3"/>
        <v>0.16800000000000001</v>
      </c>
      <c r="F14" s="25">
        <f>'EYLÜL 1. HAFTA'!V14</f>
        <v>95</v>
      </c>
      <c r="G14" s="26">
        <f t="shared" si="4"/>
        <v>15.96</v>
      </c>
      <c r="H14" s="22">
        <v>10</v>
      </c>
      <c r="I14" s="11">
        <f t="shared" si="5"/>
        <v>1.6800000000000002</v>
      </c>
      <c r="J14" s="6"/>
      <c r="K14" s="10">
        <f t="shared" si="0"/>
        <v>0</v>
      </c>
      <c r="L14" s="22">
        <v>10</v>
      </c>
      <c r="M14" s="11">
        <f t="shared" si="1"/>
        <v>1.6800000000000002</v>
      </c>
      <c r="N14" s="6"/>
      <c r="O14" s="10">
        <f t="shared" si="6"/>
        <v>0</v>
      </c>
      <c r="P14" s="22">
        <v>2</v>
      </c>
      <c r="Q14" s="11">
        <f t="shared" si="7"/>
        <v>0.33600000000000002</v>
      </c>
      <c r="R14" s="39">
        <f t="shared" si="12"/>
        <v>73</v>
      </c>
      <c r="S14" s="38">
        <f t="shared" si="2"/>
        <v>12.264000000000001</v>
      </c>
      <c r="T14" s="12"/>
      <c r="U14" s="13">
        <f t="shared" si="8"/>
        <v>0</v>
      </c>
      <c r="V14" s="49">
        <f t="shared" si="9"/>
        <v>73</v>
      </c>
      <c r="W14" s="50">
        <f t="shared" si="10"/>
        <v>12.264000000000001</v>
      </c>
      <c r="X14">
        <f t="shared" si="11"/>
        <v>22</v>
      </c>
    </row>
    <row r="15" spans="1:24" x14ac:dyDescent="0.25">
      <c r="A15" s="42" t="s">
        <v>12</v>
      </c>
      <c r="B15" s="34">
        <v>140</v>
      </c>
      <c r="C15" s="35">
        <v>240</v>
      </c>
      <c r="D15" s="35">
        <v>10</v>
      </c>
      <c r="E15" s="19">
        <f t="shared" si="3"/>
        <v>0.33600000000000002</v>
      </c>
      <c r="F15" s="25">
        <f>'EYLÜL 1. HAFTA'!V15</f>
        <v>52</v>
      </c>
      <c r="G15" s="26">
        <f t="shared" si="4"/>
        <v>17.472000000000001</v>
      </c>
      <c r="H15" s="22"/>
      <c r="I15" s="11">
        <f t="shared" si="5"/>
        <v>0</v>
      </c>
      <c r="J15" s="6">
        <v>6</v>
      </c>
      <c r="K15" s="10">
        <f t="shared" si="0"/>
        <v>2.016</v>
      </c>
      <c r="L15" s="22">
        <v>1</v>
      </c>
      <c r="M15" s="11">
        <f t="shared" si="1"/>
        <v>0.33600000000000002</v>
      </c>
      <c r="N15" s="6">
        <v>4</v>
      </c>
      <c r="O15" s="10">
        <f t="shared" si="6"/>
        <v>1.3440000000000001</v>
      </c>
      <c r="P15" s="22"/>
      <c r="Q15" s="11">
        <f t="shared" si="7"/>
        <v>0</v>
      </c>
      <c r="R15" s="39">
        <f t="shared" si="12"/>
        <v>41</v>
      </c>
      <c r="S15" s="38">
        <f t="shared" si="2"/>
        <v>13.776000000000002</v>
      </c>
      <c r="T15" s="12"/>
      <c r="U15" s="13">
        <f t="shared" si="8"/>
        <v>0</v>
      </c>
      <c r="V15" s="49">
        <f t="shared" si="9"/>
        <v>41</v>
      </c>
      <c r="W15" s="50">
        <f t="shared" si="10"/>
        <v>13.776000000000002</v>
      </c>
      <c r="X15">
        <f t="shared" si="11"/>
        <v>11</v>
      </c>
    </row>
    <row r="16" spans="1:24" x14ac:dyDescent="0.25">
      <c r="A16" s="42" t="s">
        <v>13</v>
      </c>
      <c r="B16" s="34">
        <v>140</v>
      </c>
      <c r="C16" s="35">
        <v>240</v>
      </c>
      <c r="D16" s="35">
        <v>3</v>
      </c>
      <c r="E16" s="19">
        <f t="shared" si="3"/>
        <v>0.1008</v>
      </c>
      <c r="F16" s="25">
        <f>'EYLÜL 1. HAFTA'!V16</f>
        <v>207</v>
      </c>
      <c r="G16" s="26">
        <f t="shared" si="4"/>
        <v>20.865600000000001</v>
      </c>
      <c r="H16" s="22"/>
      <c r="I16" s="11">
        <f t="shared" si="5"/>
        <v>0</v>
      </c>
      <c r="J16" s="6"/>
      <c r="K16" s="10">
        <f t="shared" si="0"/>
        <v>0</v>
      </c>
      <c r="L16" s="22">
        <v>9</v>
      </c>
      <c r="M16" s="11">
        <f t="shared" si="1"/>
        <v>0.90720000000000001</v>
      </c>
      <c r="N16" s="6"/>
      <c r="O16" s="10">
        <f t="shared" si="6"/>
        <v>0</v>
      </c>
      <c r="P16" s="22"/>
      <c r="Q16" s="11">
        <f t="shared" si="7"/>
        <v>0</v>
      </c>
      <c r="R16" s="39">
        <f t="shared" si="12"/>
        <v>198</v>
      </c>
      <c r="S16" s="38">
        <f t="shared" si="2"/>
        <v>19.958400000000001</v>
      </c>
      <c r="T16" s="12"/>
      <c r="U16" s="13">
        <f t="shared" si="8"/>
        <v>0</v>
      </c>
      <c r="V16" s="49">
        <f t="shared" si="9"/>
        <v>198</v>
      </c>
      <c r="W16" s="50">
        <f t="shared" si="10"/>
        <v>19.958400000000001</v>
      </c>
      <c r="X16">
        <f t="shared" si="11"/>
        <v>9</v>
      </c>
    </row>
    <row r="17" spans="1:24" x14ac:dyDescent="0.25">
      <c r="A17" s="42" t="s">
        <v>14</v>
      </c>
      <c r="B17" s="34">
        <v>140</v>
      </c>
      <c r="C17" s="35">
        <v>240</v>
      </c>
      <c r="D17" s="35">
        <v>5</v>
      </c>
      <c r="E17" s="19">
        <f t="shared" si="3"/>
        <v>0.16800000000000001</v>
      </c>
      <c r="F17" s="25">
        <f>'EYLÜL 1. HAFTA'!V17</f>
        <v>31</v>
      </c>
      <c r="G17" s="26">
        <f t="shared" si="4"/>
        <v>5.2080000000000002</v>
      </c>
      <c r="H17" s="22"/>
      <c r="I17" s="11">
        <f t="shared" si="5"/>
        <v>0</v>
      </c>
      <c r="J17" s="6">
        <v>5</v>
      </c>
      <c r="K17" s="10">
        <f t="shared" si="0"/>
        <v>0.84000000000000008</v>
      </c>
      <c r="L17" s="22">
        <v>10</v>
      </c>
      <c r="M17" s="11">
        <f t="shared" si="1"/>
        <v>1.6800000000000002</v>
      </c>
      <c r="N17" s="6">
        <v>2</v>
      </c>
      <c r="O17" s="10">
        <f t="shared" si="6"/>
        <v>0.33600000000000002</v>
      </c>
      <c r="P17" s="22">
        <v>2</v>
      </c>
      <c r="Q17" s="11">
        <f t="shared" si="7"/>
        <v>0.33600000000000002</v>
      </c>
      <c r="R17" s="39">
        <f t="shared" si="12"/>
        <v>12</v>
      </c>
      <c r="S17" s="38">
        <f t="shared" si="2"/>
        <v>2.016</v>
      </c>
      <c r="T17" s="12"/>
      <c r="U17" s="13">
        <f t="shared" si="8"/>
        <v>0</v>
      </c>
      <c r="V17" s="49">
        <f t="shared" si="9"/>
        <v>12</v>
      </c>
      <c r="W17" s="50">
        <f t="shared" si="10"/>
        <v>2.016</v>
      </c>
      <c r="X17">
        <f t="shared" si="11"/>
        <v>19</v>
      </c>
    </row>
    <row r="18" spans="1:24" x14ac:dyDescent="0.25">
      <c r="A18" s="42" t="s">
        <v>15</v>
      </c>
      <c r="B18" s="34">
        <v>140</v>
      </c>
      <c r="C18" s="35">
        <v>240</v>
      </c>
      <c r="D18" s="35">
        <v>3</v>
      </c>
      <c r="E18" s="19">
        <f t="shared" si="3"/>
        <v>0.1008</v>
      </c>
      <c r="F18" s="25">
        <f>'EYLÜL 1. HAFTA'!V18</f>
        <v>217</v>
      </c>
      <c r="G18" s="26">
        <f t="shared" si="4"/>
        <v>21.8736</v>
      </c>
      <c r="H18" s="22">
        <v>6</v>
      </c>
      <c r="I18" s="11">
        <f t="shared" si="5"/>
        <v>0.6048</v>
      </c>
      <c r="J18" s="6"/>
      <c r="K18" s="10">
        <f t="shared" si="0"/>
        <v>0</v>
      </c>
      <c r="L18" s="22"/>
      <c r="M18" s="11">
        <f t="shared" si="1"/>
        <v>0</v>
      </c>
      <c r="N18" s="6"/>
      <c r="O18" s="10">
        <f t="shared" si="6"/>
        <v>0</v>
      </c>
      <c r="P18" s="22"/>
      <c r="Q18" s="11">
        <f t="shared" si="7"/>
        <v>0</v>
      </c>
      <c r="R18" s="39">
        <f t="shared" si="12"/>
        <v>211</v>
      </c>
      <c r="S18" s="38">
        <f t="shared" si="2"/>
        <v>21.268799999999999</v>
      </c>
      <c r="T18" s="12"/>
      <c r="U18" s="13">
        <f t="shared" si="8"/>
        <v>0</v>
      </c>
      <c r="V18" s="49">
        <f t="shared" si="9"/>
        <v>211</v>
      </c>
      <c r="W18" s="50">
        <f t="shared" si="10"/>
        <v>21.268799999999999</v>
      </c>
      <c r="X18">
        <f t="shared" si="11"/>
        <v>6</v>
      </c>
    </row>
    <row r="19" spans="1:24" x14ac:dyDescent="0.25">
      <c r="A19" s="42" t="s">
        <v>16</v>
      </c>
      <c r="B19" s="34">
        <v>140</v>
      </c>
      <c r="C19" s="35">
        <v>240</v>
      </c>
      <c r="D19" s="35">
        <v>8</v>
      </c>
      <c r="E19" s="19">
        <f t="shared" si="3"/>
        <v>0.26879999999999998</v>
      </c>
      <c r="F19" s="25">
        <f>'EYLÜL 1. HAFTA'!V19</f>
        <v>17</v>
      </c>
      <c r="G19" s="26">
        <f t="shared" si="4"/>
        <v>4.5695999999999994</v>
      </c>
      <c r="H19" s="22"/>
      <c r="I19" s="11">
        <f t="shared" si="5"/>
        <v>0</v>
      </c>
      <c r="J19" s="6"/>
      <c r="K19" s="10">
        <f t="shared" si="0"/>
        <v>0</v>
      </c>
      <c r="L19" s="22">
        <v>2</v>
      </c>
      <c r="M19" s="11">
        <f t="shared" si="1"/>
        <v>0.53759999999999997</v>
      </c>
      <c r="N19" s="6"/>
      <c r="O19" s="10">
        <f t="shared" si="6"/>
        <v>0</v>
      </c>
      <c r="P19" s="22"/>
      <c r="Q19" s="11">
        <f t="shared" si="7"/>
        <v>0</v>
      </c>
      <c r="R19" s="39">
        <f t="shared" si="12"/>
        <v>15</v>
      </c>
      <c r="S19" s="38">
        <f t="shared" si="2"/>
        <v>4.032</v>
      </c>
      <c r="T19" s="12"/>
      <c r="U19" s="13">
        <f t="shared" si="8"/>
        <v>0</v>
      </c>
      <c r="V19" s="49">
        <f t="shared" si="9"/>
        <v>15</v>
      </c>
      <c r="W19" s="50">
        <f t="shared" si="10"/>
        <v>4.032</v>
      </c>
      <c r="X19">
        <f t="shared" si="11"/>
        <v>2</v>
      </c>
    </row>
    <row r="20" spans="1:24" x14ac:dyDescent="0.25">
      <c r="A20" s="42" t="s">
        <v>17</v>
      </c>
      <c r="B20" s="34">
        <v>140</v>
      </c>
      <c r="C20" s="35">
        <v>240</v>
      </c>
      <c r="D20" s="35">
        <v>8</v>
      </c>
      <c r="E20" s="19">
        <f t="shared" si="3"/>
        <v>0.26879999999999998</v>
      </c>
      <c r="F20" s="25">
        <f>'EYLÜL 1. HAFTA'!V20</f>
        <v>0</v>
      </c>
      <c r="G20" s="26">
        <f t="shared" si="4"/>
        <v>0</v>
      </c>
      <c r="H20" s="22"/>
      <c r="I20" s="11">
        <f t="shared" si="5"/>
        <v>0</v>
      </c>
      <c r="J20" s="6"/>
      <c r="K20" s="10">
        <f t="shared" si="0"/>
        <v>0</v>
      </c>
      <c r="L20" s="22"/>
      <c r="M20" s="11">
        <f t="shared" si="1"/>
        <v>0</v>
      </c>
      <c r="N20" s="6"/>
      <c r="O20" s="10">
        <f t="shared" si="6"/>
        <v>0</v>
      </c>
      <c r="P20" s="22"/>
      <c r="Q20" s="11">
        <f t="shared" si="7"/>
        <v>0</v>
      </c>
      <c r="R20" s="39">
        <f t="shared" si="12"/>
        <v>0</v>
      </c>
      <c r="S20" s="38">
        <f t="shared" si="2"/>
        <v>0</v>
      </c>
      <c r="T20" s="12"/>
      <c r="U20" s="13">
        <f t="shared" si="8"/>
        <v>0</v>
      </c>
      <c r="V20" s="49">
        <f t="shared" si="9"/>
        <v>0</v>
      </c>
      <c r="W20" s="50">
        <f t="shared" si="10"/>
        <v>0</v>
      </c>
      <c r="X20">
        <f t="shared" si="11"/>
        <v>0</v>
      </c>
    </row>
    <row r="21" spans="1:24" x14ac:dyDescent="0.25">
      <c r="A21" s="42" t="s">
        <v>19</v>
      </c>
      <c r="B21" s="34">
        <v>77</v>
      </c>
      <c r="C21" s="35">
        <v>55</v>
      </c>
      <c r="D21" s="35">
        <v>8</v>
      </c>
      <c r="E21" s="19">
        <f t="shared" si="3"/>
        <v>3.388E-2</v>
      </c>
      <c r="F21" s="25">
        <f>'EYLÜL 1. HAFTA'!V21</f>
        <v>4</v>
      </c>
      <c r="G21" s="26">
        <f t="shared" si="4"/>
        <v>0.13552</v>
      </c>
      <c r="H21" s="22"/>
      <c r="I21" s="11">
        <f t="shared" si="5"/>
        <v>0</v>
      </c>
      <c r="J21" s="6"/>
      <c r="K21" s="10">
        <f t="shared" si="0"/>
        <v>0</v>
      </c>
      <c r="L21" s="22"/>
      <c r="M21" s="11">
        <f t="shared" si="1"/>
        <v>0</v>
      </c>
      <c r="N21" s="6"/>
      <c r="O21" s="10">
        <f t="shared" si="6"/>
        <v>0</v>
      </c>
      <c r="P21" s="22"/>
      <c r="Q21" s="11">
        <f t="shared" si="7"/>
        <v>0</v>
      </c>
      <c r="R21" s="39">
        <f t="shared" si="12"/>
        <v>4</v>
      </c>
      <c r="S21" s="38">
        <f t="shared" si="2"/>
        <v>0.13552</v>
      </c>
      <c r="T21" s="12"/>
      <c r="U21" s="13">
        <f t="shared" si="8"/>
        <v>0</v>
      </c>
      <c r="V21" s="49">
        <f t="shared" si="9"/>
        <v>4</v>
      </c>
      <c r="W21" s="50">
        <f t="shared" si="10"/>
        <v>0.13552</v>
      </c>
      <c r="X21">
        <f t="shared" si="11"/>
        <v>0</v>
      </c>
    </row>
    <row r="22" spans="1:24" x14ac:dyDescent="0.25">
      <c r="A22" s="42" t="s">
        <v>20</v>
      </c>
      <c r="B22" s="34">
        <v>65</v>
      </c>
      <c r="C22" s="35">
        <v>50</v>
      </c>
      <c r="D22" s="35">
        <v>12</v>
      </c>
      <c r="E22" s="19">
        <f t="shared" si="3"/>
        <v>3.9E-2</v>
      </c>
      <c r="F22" s="25">
        <f>'EYLÜL 1. HAFTA'!V22</f>
        <v>26</v>
      </c>
      <c r="G22" s="26">
        <f t="shared" si="4"/>
        <v>1.014</v>
      </c>
      <c r="H22" s="22"/>
      <c r="I22" s="11">
        <f t="shared" si="5"/>
        <v>0</v>
      </c>
      <c r="J22" s="6"/>
      <c r="K22" s="10">
        <f t="shared" si="0"/>
        <v>0</v>
      </c>
      <c r="L22" s="22"/>
      <c r="M22" s="11">
        <f t="shared" si="1"/>
        <v>0</v>
      </c>
      <c r="N22" s="6"/>
      <c r="O22" s="10">
        <f t="shared" si="6"/>
        <v>0</v>
      </c>
      <c r="P22" s="22"/>
      <c r="Q22" s="11">
        <f t="shared" si="7"/>
        <v>0</v>
      </c>
      <c r="R22" s="39">
        <f t="shared" si="12"/>
        <v>26</v>
      </c>
      <c r="S22" s="38">
        <f t="shared" si="2"/>
        <v>1.014</v>
      </c>
      <c r="T22" s="12"/>
      <c r="U22" s="13">
        <f t="shared" si="8"/>
        <v>0</v>
      </c>
      <c r="V22" s="49">
        <f t="shared" si="9"/>
        <v>26</v>
      </c>
      <c r="W22" s="50">
        <f t="shared" si="10"/>
        <v>1.014</v>
      </c>
      <c r="X22">
        <f t="shared" si="11"/>
        <v>0</v>
      </c>
    </row>
    <row r="23" spans="1:24" x14ac:dyDescent="0.25">
      <c r="A23" s="42" t="s">
        <v>21</v>
      </c>
      <c r="B23" s="34"/>
      <c r="C23" s="35"/>
      <c r="D23" s="35"/>
      <c r="E23" s="19">
        <f t="shared" si="3"/>
        <v>0</v>
      </c>
      <c r="F23" s="25">
        <f>'EYLÜL 1. HAFTA'!V23</f>
        <v>74</v>
      </c>
      <c r="G23" s="26">
        <f t="shared" si="4"/>
        <v>0</v>
      </c>
      <c r="H23" s="22"/>
      <c r="I23" s="11">
        <f t="shared" si="5"/>
        <v>0</v>
      </c>
      <c r="J23" s="6"/>
      <c r="K23" s="10">
        <f t="shared" si="0"/>
        <v>0</v>
      </c>
      <c r="L23" s="22"/>
      <c r="M23" s="11">
        <f t="shared" si="1"/>
        <v>0</v>
      </c>
      <c r="N23" s="6"/>
      <c r="O23" s="10">
        <f t="shared" si="6"/>
        <v>0</v>
      </c>
      <c r="P23" s="22"/>
      <c r="Q23" s="11">
        <f t="shared" si="7"/>
        <v>0</v>
      </c>
      <c r="R23" s="39">
        <f t="shared" si="12"/>
        <v>74</v>
      </c>
      <c r="S23" s="38">
        <f t="shared" si="2"/>
        <v>0</v>
      </c>
      <c r="T23" s="12"/>
      <c r="U23" s="13">
        <f t="shared" si="8"/>
        <v>0</v>
      </c>
      <c r="V23" s="49">
        <f t="shared" si="9"/>
        <v>74</v>
      </c>
      <c r="W23" s="50">
        <f t="shared" si="10"/>
        <v>0</v>
      </c>
      <c r="X23">
        <f t="shared" si="11"/>
        <v>0</v>
      </c>
    </row>
    <row r="24" spans="1:24" x14ac:dyDescent="0.25">
      <c r="A24" s="42" t="s">
        <v>22</v>
      </c>
      <c r="B24" s="34">
        <v>66</v>
      </c>
      <c r="C24" s="35">
        <v>56</v>
      </c>
      <c r="D24" s="35">
        <v>12</v>
      </c>
      <c r="E24" s="19">
        <f t="shared" si="3"/>
        <v>4.4352000000000003E-2</v>
      </c>
      <c r="F24" s="25">
        <f>'EYLÜL 1. HAFTA'!V24</f>
        <v>28</v>
      </c>
      <c r="G24" s="26">
        <f t="shared" si="4"/>
        <v>1.2418560000000001</v>
      </c>
      <c r="H24" s="22"/>
      <c r="I24" s="11">
        <f t="shared" si="5"/>
        <v>0</v>
      </c>
      <c r="J24" s="6"/>
      <c r="K24" s="10">
        <f t="shared" si="0"/>
        <v>0</v>
      </c>
      <c r="L24" s="22"/>
      <c r="M24" s="11">
        <f t="shared" si="1"/>
        <v>0</v>
      </c>
      <c r="N24" s="6"/>
      <c r="O24" s="10">
        <f t="shared" si="6"/>
        <v>0</v>
      </c>
      <c r="P24" s="22"/>
      <c r="Q24" s="11">
        <f t="shared" si="7"/>
        <v>0</v>
      </c>
      <c r="R24" s="39">
        <f t="shared" si="12"/>
        <v>28</v>
      </c>
      <c r="S24" s="38">
        <f t="shared" si="2"/>
        <v>1.2418560000000001</v>
      </c>
      <c r="T24" s="12"/>
      <c r="U24" s="13">
        <f t="shared" si="8"/>
        <v>0</v>
      </c>
      <c r="V24" s="49">
        <f t="shared" si="9"/>
        <v>28</v>
      </c>
      <c r="W24" s="50">
        <f t="shared" si="10"/>
        <v>1.2418560000000001</v>
      </c>
      <c r="X24">
        <f t="shared" si="11"/>
        <v>0</v>
      </c>
    </row>
    <row r="25" spans="1:24" x14ac:dyDescent="0.25">
      <c r="A25" s="42" t="s">
        <v>23</v>
      </c>
      <c r="B25" s="34">
        <v>61.5</v>
      </c>
      <c r="C25" s="35">
        <v>61.5</v>
      </c>
      <c r="D25" s="35">
        <v>10</v>
      </c>
      <c r="E25" s="19">
        <f t="shared" si="3"/>
        <v>3.7822500000000002E-2</v>
      </c>
      <c r="F25" s="25">
        <f>'EYLÜL 1. HAFTA'!V25</f>
        <v>0</v>
      </c>
      <c r="G25" s="26">
        <f t="shared" si="4"/>
        <v>0</v>
      </c>
      <c r="H25" s="22"/>
      <c r="I25" s="11">
        <f t="shared" si="5"/>
        <v>0</v>
      </c>
      <c r="J25" s="6"/>
      <c r="K25" s="10">
        <f t="shared" si="0"/>
        <v>0</v>
      </c>
      <c r="L25" s="22"/>
      <c r="M25" s="11">
        <f t="shared" si="1"/>
        <v>0</v>
      </c>
      <c r="N25" s="6"/>
      <c r="O25" s="10">
        <f t="shared" si="6"/>
        <v>0</v>
      </c>
      <c r="P25" s="22"/>
      <c r="Q25" s="11">
        <f t="shared" si="7"/>
        <v>0</v>
      </c>
      <c r="R25" s="39">
        <f t="shared" si="12"/>
        <v>0</v>
      </c>
      <c r="S25" s="38">
        <f t="shared" si="2"/>
        <v>0</v>
      </c>
      <c r="T25" s="12"/>
      <c r="U25" s="13">
        <f t="shared" si="8"/>
        <v>0</v>
      </c>
      <c r="V25" s="49">
        <f t="shared" si="9"/>
        <v>0</v>
      </c>
      <c r="W25" s="50">
        <f t="shared" si="10"/>
        <v>0</v>
      </c>
      <c r="X25">
        <f t="shared" si="11"/>
        <v>0</v>
      </c>
    </row>
    <row r="26" spans="1:24" x14ac:dyDescent="0.25">
      <c r="A26" s="42" t="s">
        <v>24</v>
      </c>
      <c r="B26" s="34">
        <v>82</v>
      </c>
      <c r="C26" s="35">
        <v>67</v>
      </c>
      <c r="D26" s="35">
        <v>5</v>
      </c>
      <c r="E26" s="19">
        <f t="shared" si="3"/>
        <v>2.7470000000000001E-2</v>
      </c>
      <c r="F26" s="25">
        <f>'EYLÜL 1. HAFTA'!V26</f>
        <v>30</v>
      </c>
      <c r="G26" s="26">
        <f t="shared" si="4"/>
        <v>0.82410000000000005</v>
      </c>
      <c r="H26" s="22"/>
      <c r="I26" s="11">
        <f t="shared" si="5"/>
        <v>0</v>
      </c>
      <c r="J26" s="6"/>
      <c r="K26" s="10">
        <f t="shared" si="0"/>
        <v>0</v>
      </c>
      <c r="L26" s="22"/>
      <c r="M26" s="11">
        <f t="shared" si="1"/>
        <v>0</v>
      </c>
      <c r="N26" s="6"/>
      <c r="O26" s="10">
        <f t="shared" si="6"/>
        <v>0</v>
      </c>
      <c r="P26" s="22"/>
      <c r="Q26" s="11">
        <f t="shared" si="7"/>
        <v>0</v>
      </c>
      <c r="R26" s="39">
        <f t="shared" si="12"/>
        <v>30</v>
      </c>
      <c r="S26" s="38">
        <f t="shared" si="2"/>
        <v>0.82410000000000005</v>
      </c>
      <c r="T26" s="12"/>
      <c r="U26" s="13">
        <f t="shared" si="8"/>
        <v>0</v>
      </c>
      <c r="V26" s="49">
        <f t="shared" si="9"/>
        <v>30</v>
      </c>
      <c r="W26" s="50">
        <f t="shared" si="10"/>
        <v>0.82410000000000005</v>
      </c>
      <c r="X26">
        <f t="shared" si="11"/>
        <v>0</v>
      </c>
    </row>
    <row r="27" spans="1:24" x14ac:dyDescent="0.25">
      <c r="A27" s="42" t="s">
        <v>25</v>
      </c>
      <c r="B27" s="34">
        <v>80</v>
      </c>
      <c r="C27" s="35">
        <v>62</v>
      </c>
      <c r="D27" s="35">
        <v>2</v>
      </c>
      <c r="E27" s="19">
        <f t="shared" si="3"/>
        <v>9.92E-3</v>
      </c>
      <c r="F27" s="25">
        <f>'EYLÜL 1. HAFTA'!V27</f>
        <v>36</v>
      </c>
      <c r="G27" s="26">
        <f t="shared" si="4"/>
        <v>0.35711999999999999</v>
      </c>
      <c r="H27" s="22"/>
      <c r="I27" s="11">
        <f t="shared" si="5"/>
        <v>0</v>
      </c>
      <c r="J27" s="6"/>
      <c r="K27" s="10">
        <f t="shared" si="0"/>
        <v>0</v>
      </c>
      <c r="L27" s="22"/>
      <c r="M27" s="11">
        <f t="shared" si="1"/>
        <v>0</v>
      </c>
      <c r="N27" s="6"/>
      <c r="O27" s="10">
        <f t="shared" si="6"/>
        <v>0</v>
      </c>
      <c r="P27" s="22"/>
      <c r="Q27" s="11">
        <f t="shared" si="7"/>
        <v>0</v>
      </c>
      <c r="R27" s="39">
        <f t="shared" si="12"/>
        <v>36</v>
      </c>
      <c r="S27" s="38">
        <f t="shared" si="2"/>
        <v>0.35711999999999999</v>
      </c>
      <c r="T27" s="12"/>
      <c r="U27" s="13">
        <f t="shared" si="8"/>
        <v>0</v>
      </c>
      <c r="V27" s="49">
        <f t="shared" si="9"/>
        <v>36</v>
      </c>
      <c r="W27" s="50">
        <f t="shared" si="10"/>
        <v>0.35711999999999999</v>
      </c>
      <c r="X27">
        <f t="shared" si="11"/>
        <v>0</v>
      </c>
    </row>
    <row r="28" spans="1:24" x14ac:dyDescent="0.25">
      <c r="A28" s="42" t="s">
        <v>26</v>
      </c>
      <c r="B28" s="34">
        <v>63</v>
      </c>
      <c r="C28" s="35">
        <v>55</v>
      </c>
      <c r="D28" s="35">
        <v>5</v>
      </c>
      <c r="E28" s="19">
        <f t="shared" si="3"/>
        <v>1.7325E-2</v>
      </c>
      <c r="F28" s="25">
        <f>'EYLÜL 1. HAFTA'!V28</f>
        <v>19</v>
      </c>
      <c r="G28" s="26">
        <f t="shared" si="4"/>
        <v>0.329175</v>
      </c>
      <c r="H28" s="22"/>
      <c r="I28" s="11">
        <f t="shared" si="5"/>
        <v>0</v>
      </c>
      <c r="J28" s="6"/>
      <c r="K28" s="10">
        <f t="shared" si="0"/>
        <v>0</v>
      </c>
      <c r="L28" s="22"/>
      <c r="M28" s="11">
        <f t="shared" si="1"/>
        <v>0</v>
      </c>
      <c r="N28" s="6"/>
      <c r="O28" s="10">
        <f t="shared" si="6"/>
        <v>0</v>
      </c>
      <c r="P28" s="22"/>
      <c r="Q28" s="11">
        <f t="shared" si="7"/>
        <v>0</v>
      </c>
      <c r="R28" s="39">
        <f t="shared" si="12"/>
        <v>19</v>
      </c>
      <c r="S28" s="38">
        <f t="shared" si="2"/>
        <v>0.329175</v>
      </c>
      <c r="T28" s="12"/>
      <c r="U28" s="13">
        <f t="shared" si="8"/>
        <v>0</v>
      </c>
      <c r="V28" s="49">
        <f t="shared" si="9"/>
        <v>19</v>
      </c>
      <c r="W28" s="50">
        <f t="shared" si="10"/>
        <v>0.329175</v>
      </c>
      <c r="X28">
        <f t="shared" si="11"/>
        <v>0</v>
      </c>
    </row>
    <row r="29" spans="1:24" x14ac:dyDescent="0.25">
      <c r="A29" s="42" t="s">
        <v>27</v>
      </c>
      <c r="B29" s="34">
        <v>140</v>
      </c>
      <c r="C29" s="35">
        <v>240</v>
      </c>
      <c r="D29" s="35">
        <v>5</v>
      </c>
      <c r="E29" s="19">
        <f t="shared" si="3"/>
        <v>0.16800000000000001</v>
      </c>
      <c r="F29" s="25">
        <f>'EYLÜL 1. HAFTA'!V29</f>
        <v>6</v>
      </c>
      <c r="G29" s="26">
        <f t="shared" si="4"/>
        <v>1.008</v>
      </c>
      <c r="H29" s="22"/>
      <c r="I29" s="11">
        <f t="shared" si="5"/>
        <v>0</v>
      </c>
      <c r="J29" s="6"/>
      <c r="K29" s="10">
        <f t="shared" si="0"/>
        <v>0</v>
      </c>
      <c r="L29" s="22"/>
      <c r="M29" s="11">
        <f t="shared" si="1"/>
        <v>0</v>
      </c>
      <c r="N29" s="6"/>
      <c r="O29" s="10">
        <f t="shared" si="6"/>
        <v>0</v>
      </c>
      <c r="P29" s="22"/>
      <c r="Q29" s="11">
        <f t="shared" si="7"/>
        <v>0</v>
      </c>
      <c r="R29" s="39">
        <f t="shared" si="12"/>
        <v>6</v>
      </c>
      <c r="S29" s="38">
        <f t="shared" si="2"/>
        <v>1.008</v>
      </c>
      <c r="T29" s="12"/>
      <c r="U29" s="13">
        <f t="shared" si="8"/>
        <v>0</v>
      </c>
      <c r="V29" s="49">
        <f t="shared" si="9"/>
        <v>6</v>
      </c>
      <c r="W29" s="50">
        <f t="shared" si="10"/>
        <v>1.008</v>
      </c>
      <c r="X29">
        <f t="shared" si="11"/>
        <v>0</v>
      </c>
    </row>
    <row r="30" spans="1:24" x14ac:dyDescent="0.25">
      <c r="A30" s="42" t="s">
        <v>28</v>
      </c>
      <c r="B30" s="34">
        <v>140</v>
      </c>
      <c r="C30" s="35">
        <v>240</v>
      </c>
      <c r="D30" s="35">
        <v>10</v>
      </c>
      <c r="E30" s="19">
        <f t="shared" si="3"/>
        <v>0.33600000000000002</v>
      </c>
      <c r="F30" s="25">
        <f>'EYLÜL 1. HAFTA'!V30</f>
        <v>11</v>
      </c>
      <c r="G30" s="26">
        <f t="shared" si="4"/>
        <v>3.6960000000000002</v>
      </c>
      <c r="H30" s="22"/>
      <c r="I30" s="11">
        <f t="shared" si="5"/>
        <v>0</v>
      </c>
      <c r="J30" s="6"/>
      <c r="K30" s="10">
        <f t="shared" si="0"/>
        <v>0</v>
      </c>
      <c r="L30" s="22"/>
      <c r="M30" s="11">
        <f t="shared" si="1"/>
        <v>0</v>
      </c>
      <c r="N30" s="6"/>
      <c r="O30" s="10">
        <f t="shared" si="6"/>
        <v>0</v>
      </c>
      <c r="P30" s="22"/>
      <c r="Q30" s="11">
        <f t="shared" si="7"/>
        <v>0</v>
      </c>
      <c r="R30" s="39">
        <f t="shared" si="12"/>
        <v>11</v>
      </c>
      <c r="S30" s="38">
        <f t="shared" si="2"/>
        <v>3.6960000000000002</v>
      </c>
      <c r="T30" s="12"/>
      <c r="U30" s="13">
        <f t="shared" si="8"/>
        <v>0</v>
      </c>
      <c r="V30" s="49">
        <f t="shared" si="9"/>
        <v>11</v>
      </c>
      <c r="W30" s="50">
        <f t="shared" si="10"/>
        <v>3.6960000000000002</v>
      </c>
      <c r="X30">
        <f t="shared" si="11"/>
        <v>0</v>
      </c>
    </row>
    <row r="31" spans="1:24" x14ac:dyDescent="0.25">
      <c r="A31" s="42" t="s">
        <v>29</v>
      </c>
      <c r="B31" s="34">
        <v>140</v>
      </c>
      <c r="C31" s="35">
        <v>240</v>
      </c>
      <c r="D31" s="35">
        <v>3</v>
      </c>
      <c r="E31" s="19">
        <f t="shared" si="3"/>
        <v>0.1008</v>
      </c>
      <c r="F31" s="25">
        <f>'EYLÜL 1. HAFTA'!V31</f>
        <v>38</v>
      </c>
      <c r="G31" s="26">
        <f t="shared" si="4"/>
        <v>3.8304</v>
      </c>
      <c r="H31" s="22"/>
      <c r="I31" s="11">
        <f t="shared" si="5"/>
        <v>0</v>
      </c>
      <c r="J31" s="6"/>
      <c r="K31" s="10">
        <f t="shared" si="0"/>
        <v>0</v>
      </c>
      <c r="L31" s="22"/>
      <c r="M31" s="11">
        <f t="shared" si="1"/>
        <v>0</v>
      </c>
      <c r="N31" s="6"/>
      <c r="O31" s="10">
        <f t="shared" si="6"/>
        <v>0</v>
      </c>
      <c r="P31" s="22"/>
      <c r="Q31" s="11">
        <f t="shared" si="7"/>
        <v>0</v>
      </c>
      <c r="R31" s="39">
        <f t="shared" si="12"/>
        <v>38</v>
      </c>
      <c r="S31" s="38">
        <f t="shared" si="2"/>
        <v>3.8304</v>
      </c>
      <c r="T31" s="12"/>
      <c r="U31" s="13">
        <f t="shared" si="8"/>
        <v>0</v>
      </c>
      <c r="V31" s="49">
        <f t="shared" si="9"/>
        <v>38</v>
      </c>
      <c r="W31" s="50">
        <f t="shared" si="10"/>
        <v>3.8304</v>
      </c>
      <c r="X31">
        <f t="shared" si="11"/>
        <v>0</v>
      </c>
    </row>
    <row r="32" spans="1:24" x14ac:dyDescent="0.25">
      <c r="A32" s="42" t="s">
        <v>30</v>
      </c>
      <c r="B32" s="34">
        <v>90</v>
      </c>
      <c r="C32" s="35">
        <v>80</v>
      </c>
      <c r="D32" s="35">
        <v>8</v>
      </c>
      <c r="E32" s="19">
        <f t="shared" si="3"/>
        <v>5.7599999999999998E-2</v>
      </c>
      <c r="F32" s="25">
        <f>'EYLÜL 1. HAFTA'!V32</f>
        <v>24</v>
      </c>
      <c r="G32" s="26">
        <f t="shared" si="4"/>
        <v>1.3824000000000001</v>
      </c>
      <c r="H32" s="22"/>
      <c r="I32" s="11">
        <f t="shared" si="5"/>
        <v>0</v>
      </c>
      <c r="J32" s="6"/>
      <c r="K32" s="10">
        <f t="shared" si="0"/>
        <v>0</v>
      </c>
      <c r="L32" s="22"/>
      <c r="M32" s="11">
        <f t="shared" si="1"/>
        <v>0</v>
      </c>
      <c r="N32" s="6"/>
      <c r="O32" s="10">
        <f t="shared" si="6"/>
        <v>0</v>
      </c>
      <c r="P32" s="22"/>
      <c r="Q32" s="11">
        <f t="shared" si="7"/>
        <v>0</v>
      </c>
      <c r="R32" s="39">
        <f t="shared" si="12"/>
        <v>24</v>
      </c>
      <c r="S32" s="38">
        <f t="shared" si="2"/>
        <v>1.3824000000000001</v>
      </c>
      <c r="T32" s="12"/>
      <c r="U32" s="13">
        <f t="shared" si="8"/>
        <v>0</v>
      </c>
      <c r="V32" s="49">
        <f t="shared" si="9"/>
        <v>24</v>
      </c>
      <c r="W32" s="50">
        <f t="shared" si="10"/>
        <v>1.3824000000000001</v>
      </c>
      <c r="X32">
        <f t="shared" si="11"/>
        <v>0</v>
      </c>
    </row>
    <row r="33" spans="1:24" x14ac:dyDescent="0.25">
      <c r="A33" s="42" t="s">
        <v>31</v>
      </c>
      <c r="B33" s="34">
        <v>90</v>
      </c>
      <c r="C33" s="35">
        <v>80</v>
      </c>
      <c r="D33" s="35">
        <v>8</v>
      </c>
      <c r="E33" s="19">
        <f t="shared" si="3"/>
        <v>5.7599999999999998E-2</v>
      </c>
      <c r="F33" s="25">
        <f>'EYLÜL 1. HAFTA'!V33</f>
        <v>0</v>
      </c>
      <c r="G33" s="26">
        <f t="shared" si="4"/>
        <v>0</v>
      </c>
      <c r="H33" s="22"/>
      <c r="I33" s="11">
        <f t="shared" si="5"/>
        <v>0</v>
      </c>
      <c r="J33" s="6"/>
      <c r="K33" s="10">
        <f t="shared" si="0"/>
        <v>0</v>
      </c>
      <c r="L33" s="22"/>
      <c r="M33" s="11">
        <f t="shared" si="1"/>
        <v>0</v>
      </c>
      <c r="N33" s="6"/>
      <c r="O33" s="10">
        <f t="shared" si="6"/>
        <v>0</v>
      </c>
      <c r="P33" s="22"/>
      <c r="Q33" s="11">
        <f t="shared" si="7"/>
        <v>0</v>
      </c>
      <c r="R33" s="39">
        <f t="shared" si="12"/>
        <v>0</v>
      </c>
      <c r="S33" s="38">
        <f t="shared" si="2"/>
        <v>0</v>
      </c>
      <c r="T33" s="12"/>
      <c r="U33" s="13">
        <f t="shared" si="8"/>
        <v>0</v>
      </c>
      <c r="V33" s="49">
        <f t="shared" si="9"/>
        <v>0</v>
      </c>
      <c r="W33" s="50">
        <f t="shared" si="10"/>
        <v>0</v>
      </c>
      <c r="X33">
        <f t="shared" si="11"/>
        <v>0</v>
      </c>
    </row>
    <row r="34" spans="1:24" x14ac:dyDescent="0.25">
      <c r="A34" s="42" t="s">
        <v>32</v>
      </c>
      <c r="B34" s="34"/>
      <c r="C34" s="35"/>
      <c r="D34" s="35"/>
      <c r="E34" s="19">
        <f t="shared" si="3"/>
        <v>0</v>
      </c>
      <c r="F34" s="25">
        <f>'EYLÜL 1. HAFTA'!V34</f>
        <v>300</v>
      </c>
      <c r="G34" s="26">
        <f t="shared" si="4"/>
        <v>0</v>
      </c>
      <c r="H34" s="22"/>
      <c r="I34" s="11">
        <f t="shared" si="5"/>
        <v>0</v>
      </c>
      <c r="J34" s="6"/>
      <c r="K34" s="10">
        <f t="shared" si="0"/>
        <v>0</v>
      </c>
      <c r="L34" s="22"/>
      <c r="M34" s="11">
        <f t="shared" si="1"/>
        <v>0</v>
      </c>
      <c r="N34" s="6"/>
      <c r="O34" s="10">
        <f t="shared" si="6"/>
        <v>0</v>
      </c>
      <c r="P34" s="22"/>
      <c r="Q34" s="11">
        <f t="shared" si="7"/>
        <v>0</v>
      </c>
      <c r="R34" s="39">
        <f t="shared" si="12"/>
        <v>300</v>
      </c>
      <c r="S34" s="38">
        <f t="shared" si="2"/>
        <v>0</v>
      </c>
      <c r="T34" s="12"/>
      <c r="U34" s="13">
        <f t="shared" si="8"/>
        <v>0</v>
      </c>
      <c r="V34" s="49">
        <f t="shared" si="9"/>
        <v>300</v>
      </c>
      <c r="W34" s="50">
        <f t="shared" si="10"/>
        <v>0</v>
      </c>
      <c r="X34">
        <f t="shared" si="11"/>
        <v>0</v>
      </c>
    </row>
    <row r="35" spans="1:24" x14ac:dyDescent="0.25">
      <c r="A35" s="42" t="s">
        <v>33</v>
      </c>
      <c r="B35" s="34">
        <v>80</v>
      </c>
      <c r="C35" s="35">
        <v>66</v>
      </c>
      <c r="D35" s="35">
        <v>5</v>
      </c>
      <c r="E35" s="19">
        <f t="shared" si="3"/>
        <v>2.64E-2</v>
      </c>
      <c r="F35" s="25">
        <f>'EYLÜL 1. HAFTA'!V35</f>
        <v>56</v>
      </c>
      <c r="G35" s="26">
        <f t="shared" si="4"/>
        <v>1.4783999999999999</v>
      </c>
      <c r="H35" s="22"/>
      <c r="I35" s="11">
        <f t="shared" si="5"/>
        <v>0</v>
      </c>
      <c r="J35" s="6"/>
      <c r="K35" s="10">
        <f t="shared" si="0"/>
        <v>0</v>
      </c>
      <c r="L35" s="22"/>
      <c r="M35" s="11">
        <f t="shared" si="1"/>
        <v>0</v>
      </c>
      <c r="N35" s="6"/>
      <c r="O35" s="10">
        <f t="shared" si="6"/>
        <v>0</v>
      </c>
      <c r="P35" s="22"/>
      <c r="Q35" s="11">
        <f t="shared" si="7"/>
        <v>0</v>
      </c>
      <c r="R35" s="39">
        <f t="shared" si="12"/>
        <v>56</v>
      </c>
      <c r="S35" s="38">
        <f t="shared" si="2"/>
        <v>1.4783999999999999</v>
      </c>
      <c r="T35" s="12"/>
      <c r="U35" s="13">
        <f t="shared" si="8"/>
        <v>0</v>
      </c>
      <c r="V35" s="49">
        <f t="shared" si="9"/>
        <v>56</v>
      </c>
      <c r="W35" s="50">
        <f t="shared" si="10"/>
        <v>1.4783999999999999</v>
      </c>
      <c r="X35">
        <f t="shared" si="11"/>
        <v>0</v>
      </c>
    </row>
    <row r="36" spans="1:24" x14ac:dyDescent="0.25">
      <c r="A36" s="42" t="s">
        <v>34</v>
      </c>
      <c r="B36" s="34">
        <v>60</v>
      </c>
      <c r="C36" s="35">
        <v>62</v>
      </c>
      <c r="D36" s="35">
        <v>5</v>
      </c>
      <c r="E36" s="19">
        <f t="shared" si="3"/>
        <v>1.8599999999999998E-2</v>
      </c>
      <c r="F36" s="25">
        <f>'EYLÜL 1. HAFTA'!V36</f>
        <v>17</v>
      </c>
      <c r="G36" s="26">
        <f t="shared" si="4"/>
        <v>0.31619999999999998</v>
      </c>
      <c r="H36" s="22"/>
      <c r="I36" s="11">
        <f t="shared" si="5"/>
        <v>0</v>
      </c>
      <c r="J36" s="6"/>
      <c r="K36" s="10">
        <f t="shared" si="0"/>
        <v>0</v>
      </c>
      <c r="L36" s="22"/>
      <c r="M36" s="11">
        <f t="shared" si="1"/>
        <v>0</v>
      </c>
      <c r="N36" s="6"/>
      <c r="O36" s="10">
        <f t="shared" si="6"/>
        <v>0</v>
      </c>
      <c r="P36" s="22"/>
      <c r="Q36" s="11">
        <f t="shared" si="7"/>
        <v>0</v>
      </c>
      <c r="R36" s="39">
        <f t="shared" si="12"/>
        <v>17</v>
      </c>
      <c r="S36" s="38">
        <f t="shared" si="2"/>
        <v>0.31619999999999998</v>
      </c>
      <c r="T36" s="12"/>
      <c r="U36" s="13">
        <f t="shared" si="8"/>
        <v>0</v>
      </c>
      <c r="V36" s="49">
        <f t="shared" si="9"/>
        <v>17</v>
      </c>
      <c r="W36" s="50">
        <f t="shared" si="10"/>
        <v>0.31619999999999998</v>
      </c>
      <c r="X36">
        <f t="shared" si="11"/>
        <v>0</v>
      </c>
    </row>
    <row r="37" spans="1:24" x14ac:dyDescent="0.25">
      <c r="A37" s="42" t="s">
        <v>41</v>
      </c>
      <c r="B37" s="34">
        <v>60</v>
      </c>
      <c r="C37" s="35">
        <v>67</v>
      </c>
      <c r="D37" s="35">
        <v>3</v>
      </c>
      <c r="E37" s="19">
        <f t="shared" si="3"/>
        <v>1.206E-2</v>
      </c>
      <c r="F37" s="25">
        <f>'EYLÜL 1. HAFTA'!V37</f>
        <v>12</v>
      </c>
      <c r="G37" s="26">
        <f t="shared" si="4"/>
        <v>0.14471999999999999</v>
      </c>
      <c r="H37" s="22"/>
      <c r="I37" s="11">
        <f t="shared" si="5"/>
        <v>0</v>
      </c>
      <c r="J37" s="6"/>
      <c r="K37" s="10">
        <f t="shared" ref="K37:K64" si="13">E37*J37</f>
        <v>0</v>
      </c>
      <c r="L37" s="22"/>
      <c r="M37" s="11">
        <f t="shared" ref="M37:M69" si="14">E37*L37</f>
        <v>0</v>
      </c>
      <c r="N37" s="6"/>
      <c r="O37" s="10">
        <f t="shared" si="6"/>
        <v>0</v>
      </c>
      <c r="P37" s="22"/>
      <c r="Q37" s="11">
        <f t="shared" si="7"/>
        <v>0</v>
      </c>
      <c r="R37" s="39">
        <f t="shared" si="12"/>
        <v>12</v>
      </c>
      <c r="S37" s="38">
        <f t="shared" ref="S37:S69" si="15">E37*R37</f>
        <v>0.14471999999999999</v>
      </c>
      <c r="T37" s="12"/>
      <c r="U37" s="13">
        <f t="shared" si="8"/>
        <v>0</v>
      </c>
      <c r="V37" s="49">
        <f t="shared" si="9"/>
        <v>12</v>
      </c>
      <c r="W37" s="50">
        <f t="shared" si="10"/>
        <v>0.14471999999999999</v>
      </c>
      <c r="X37">
        <f t="shared" si="11"/>
        <v>0</v>
      </c>
    </row>
    <row r="38" spans="1:24" x14ac:dyDescent="0.25">
      <c r="A38" s="42" t="s">
        <v>35</v>
      </c>
      <c r="B38" s="34">
        <v>140</v>
      </c>
      <c r="C38" s="35">
        <v>240</v>
      </c>
      <c r="D38" s="35">
        <v>7</v>
      </c>
      <c r="E38" s="19">
        <f t="shared" si="3"/>
        <v>0.23519999999999999</v>
      </c>
      <c r="F38" s="25">
        <f>'EYLÜL 1. HAFTA'!V38</f>
        <v>5</v>
      </c>
      <c r="G38" s="26">
        <f t="shared" si="4"/>
        <v>1.1759999999999999</v>
      </c>
      <c r="H38" s="22"/>
      <c r="I38" s="11">
        <f t="shared" si="5"/>
        <v>0</v>
      </c>
      <c r="J38" s="6">
        <v>1</v>
      </c>
      <c r="K38" s="10">
        <f t="shared" si="13"/>
        <v>0.23519999999999999</v>
      </c>
      <c r="L38" s="22"/>
      <c r="M38" s="11">
        <f t="shared" si="14"/>
        <v>0</v>
      </c>
      <c r="N38" s="6"/>
      <c r="O38" s="10">
        <f t="shared" si="6"/>
        <v>0</v>
      </c>
      <c r="P38" s="22"/>
      <c r="Q38" s="11">
        <f t="shared" si="7"/>
        <v>0</v>
      </c>
      <c r="R38" s="39">
        <f t="shared" si="12"/>
        <v>4</v>
      </c>
      <c r="S38" s="38">
        <f t="shared" si="15"/>
        <v>0.94079999999999997</v>
      </c>
      <c r="T38" s="12"/>
      <c r="U38" s="13">
        <f t="shared" si="8"/>
        <v>0</v>
      </c>
      <c r="V38" s="49">
        <f t="shared" si="9"/>
        <v>4</v>
      </c>
      <c r="W38" s="50">
        <f t="shared" si="10"/>
        <v>0.94079999999999997</v>
      </c>
      <c r="X38">
        <f t="shared" si="11"/>
        <v>1</v>
      </c>
    </row>
    <row r="39" spans="1:24" x14ac:dyDescent="0.25">
      <c r="A39" s="42" t="s">
        <v>36</v>
      </c>
      <c r="B39" s="34">
        <v>60</v>
      </c>
      <c r="C39" s="35">
        <v>56</v>
      </c>
      <c r="D39" s="35">
        <v>10</v>
      </c>
      <c r="E39" s="19">
        <f t="shared" si="3"/>
        <v>3.3599999999999998E-2</v>
      </c>
      <c r="F39" s="25">
        <f>'EYLÜL 1. HAFTA'!V39</f>
        <v>30</v>
      </c>
      <c r="G39" s="26">
        <f t="shared" si="4"/>
        <v>1.008</v>
      </c>
      <c r="H39" s="22"/>
      <c r="I39" s="11">
        <f t="shared" si="5"/>
        <v>0</v>
      </c>
      <c r="J39" s="6"/>
      <c r="K39" s="10">
        <f t="shared" si="13"/>
        <v>0</v>
      </c>
      <c r="L39" s="22"/>
      <c r="M39" s="11">
        <f t="shared" si="14"/>
        <v>0</v>
      </c>
      <c r="N39" s="6"/>
      <c r="O39" s="10">
        <f t="shared" si="6"/>
        <v>0</v>
      </c>
      <c r="P39" s="22"/>
      <c r="Q39" s="11">
        <f t="shared" si="7"/>
        <v>0</v>
      </c>
      <c r="R39" s="39">
        <f t="shared" si="12"/>
        <v>30</v>
      </c>
      <c r="S39" s="38">
        <f t="shared" si="15"/>
        <v>1.008</v>
      </c>
      <c r="T39" s="12"/>
      <c r="U39" s="13">
        <f t="shared" si="8"/>
        <v>0</v>
      </c>
      <c r="V39" s="49">
        <f t="shared" si="9"/>
        <v>30</v>
      </c>
      <c r="W39" s="50">
        <f t="shared" si="10"/>
        <v>1.008</v>
      </c>
      <c r="X39">
        <f t="shared" si="11"/>
        <v>0</v>
      </c>
    </row>
    <row r="40" spans="1:24" x14ac:dyDescent="0.25">
      <c r="A40" s="42" t="s">
        <v>37</v>
      </c>
      <c r="B40" s="34">
        <v>58</v>
      </c>
      <c r="C40" s="35">
        <v>55</v>
      </c>
      <c r="D40" s="35">
        <v>10</v>
      </c>
      <c r="E40" s="19">
        <f t="shared" si="3"/>
        <v>3.1899999999999998E-2</v>
      </c>
      <c r="F40" s="25">
        <f>'EYLÜL 1. HAFTA'!V40</f>
        <v>66</v>
      </c>
      <c r="G40" s="26">
        <f t="shared" si="4"/>
        <v>2.1053999999999999</v>
      </c>
      <c r="H40" s="22"/>
      <c r="I40" s="11">
        <f t="shared" si="5"/>
        <v>0</v>
      </c>
      <c r="J40" s="6"/>
      <c r="K40" s="10">
        <f t="shared" si="13"/>
        <v>0</v>
      </c>
      <c r="L40" s="22"/>
      <c r="M40" s="11">
        <f t="shared" si="14"/>
        <v>0</v>
      </c>
      <c r="N40" s="6"/>
      <c r="O40" s="10">
        <f t="shared" si="6"/>
        <v>0</v>
      </c>
      <c r="P40" s="22"/>
      <c r="Q40" s="11">
        <f t="shared" si="7"/>
        <v>0</v>
      </c>
      <c r="R40" s="39">
        <f t="shared" si="12"/>
        <v>66</v>
      </c>
      <c r="S40" s="38">
        <f t="shared" si="15"/>
        <v>2.1053999999999999</v>
      </c>
      <c r="T40" s="12"/>
      <c r="U40" s="13">
        <f t="shared" si="8"/>
        <v>0</v>
      </c>
      <c r="V40" s="49">
        <f t="shared" si="9"/>
        <v>66</v>
      </c>
      <c r="W40" s="50">
        <f t="shared" si="10"/>
        <v>2.1053999999999999</v>
      </c>
      <c r="X40">
        <f t="shared" si="11"/>
        <v>0</v>
      </c>
    </row>
    <row r="41" spans="1:24" x14ac:dyDescent="0.25">
      <c r="A41" s="42" t="s">
        <v>38</v>
      </c>
      <c r="B41" s="34">
        <v>63</v>
      </c>
      <c r="C41" s="35">
        <v>55</v>
      </c>
      <c r="D41" s="35">
        <v>5</v>
      </c>
      <c r="E41" s="19">
        <f t="shared" si="3"/>
        <v>1.7325E-2</v>
      </c>
      <c r="F41" s="25">
        <f>'EYLÜL 1. HAFTA'!V41</f>
        <v>10</v>
      </c>
      <c r="G41" s="26">
        <f t="shared" si="4"/>
        <v>0.17325000000000002</v>
      </c>
      <c r="H41" s="22"/>
      <c r="I41" s="11">
        <f t="shared" si="5"/>
        <v>0</v>
      </c>
      <c r="J41" s="6"/>
      <c r="K41" s="10">
        <f t="shared" si="13"/>
        <v>0</v>
      </c>
      <c r="L41" s="22"/>
      <c r="M41" s="11">
        <f t="shared" si="14"/>
        <v>0</v>
      </c>
      <c r="N41" s="6"/>
      <c r="O41" s="10">
        <f t="shared" si="6"/>
        <v>0</v>
      </c>
      <c r="P41" s="22"/>
      <c r="Q41" s="11">
        <f t="shared" si="7"/>
        <v>0</v>
      </c>
      <c r="R41" s="39">
        <f t="shared" si="12"/>
        <v>10</v>
      </c>
      <c r="S41" s="38">
        <f t="shared" si="15"/>
        <v>0.17325000000000002</v>
      </c>
      <c r="T41" s="12"/>
      <c r="U41" s="13">
        <f t="shared" si="8"/>
        <v>0</v>
      </c>
      <c r="V41" s="49">
        <f t="shared" si="9"/>
        <v>10</v>
      </c>
      <c r="W41" s="50">
        <f t="shared" si="10"/>
        <v>0.17325000000000002</v>
      </c>
      <c r="X41">
        <f t="shared" si="11"/>
        <v>0</v>
      </c>
    </row>
    <row r="42" spans="1:24" x14ac:dyDescent="0.25">
      <c r="A42" s="42" t="s">
        <v>39</v>
      </c>
      <c r="B42" s="34">
        <v>52</v>
      </c>
      <c r="C42" s="35">
        <v>52</v>
      </c>
      <c r="D42" s="35">
        <v>5</v>
      </c>
      <c r="E42" s="19">
        <f t="shared" si="3"/>
        <v>1.3520000000000001E-2</v>
      </c>
      <c r="F42" s="25">
        <f>'EYLÜL 1. HAFTA'!V42</f>
        <v>123</v>
      </c>
      <c r="G42" s="26">
        <f t="shared" si="4"/>
        <v>1.66296</v>
      </c>
      <c r="H42" s="22"/>
      <c r="I42" s="11">
        <f t="shared" si="5"/>
        <v>0</v>
      </c>
      <c r="J42" s="6"/>
      <c r="K42" s="10">
        <f t="shared" si="13"/>
        <v>0</v>
      </c>
      <c r="L42" s="22">
        <v>4</v>
      </c>
      <c r="M42" s="11">
        <f t="shared" si="14"/>
        <v>5.4080000000000003E-2</v>
      </c>
      <c r="N42" s="6"/>
      <c r="O42" s="10">
        <f t="shared" si="6"/>
        <v>0</v>
      </c>
      <c r="P42" s="22"/>
      <c r="Q42" s="11">
        <f t="shared" si="7"/>
        <v>0</v>
      </c>
      <c r="R42" s="39">
        <f t="shared" si="12"/>
        <v>119</v>
      </c>
      <c r="S42" s="38">
        <f t="shared" si="15"/>
        <v>1.6088800000000001</v>
      </c>
      <c r="T42" s="12"/>
      <c r="U42" s="13">
        <f t="shared" si="8"/>
        <v>0</v>
      </c>
      <c r="V42" s="49">
        <f t="shared" si="9"/>
        <v>119</v>
      </c>
      <c r="W42" s="50">
        <f t="shared" si="10"/>
        <v>1.6088800000000001</v>
      </c>
      <c r="X42">
        <f t="shared" si="11"/>
        <v>4</v>
      </c>
    </row>
    <row r="43" spans="1:24" x14ac:dyDescent="0.25">
      <c r="A43" s="42" t="s">
        <v>40</v>
      </c>
      <c r="B43" s="34">
        <v>80</v>
      </c>
      <c r="C43" s="35">
        <v>70</v>
      </c>
      <c r="D43" s="35">
        <v>8</v>
      </c>
      <c r="E43" s="19">
        <f t="shared" si="3"/>
        <v>4.48E-2</v>
      </c>
      <c r="F43" s="25">
        <f>'EYLÜL 1. HAFTA'!V43</f>
        <v>405</v>
      </c>
      <c r="G43" s="26">
        <f t="shared" si="4"/>
        <v>18.143999999999998</v>
      </c>
      <c r="H43" s="22"/>
      <c r="I43" s="11">
        <f t="shared" si="5"/>
        <v>0</v>
      </c>
      <c r="J43" s="6"/>
      <c r="K43" s="10">
        <f t="shared" si="13"/>
        <v>0</v>
      </c>
      <c r="L43" s="22"/>
      <c r="M43" s="11">
        <f t="shared" si="14"/>
        <v>0</v>
      </c>
      <c r="N43" s="6">
        <v>10</v>
      </c>
      <c r="O43" s="10">
        <f t="shared" si="6"/>
        <v>0.44800000000000001</v>
      </c>
      <c r="P43" s="22"/>
      <c r="Q43" s="11">
        <f t="shared" si="7"/>
        <v>0</v>
      </c>
      <c r="R43" s="39">
        <f t="shared" si="12"/>
        <v>395</v>
      </c>
      <c r="S43" s="38">
        <f t="shared" si="15"/>
        <v>17.696000000000002</v>
      </c>
      <c r="T43" s="12"/>
      <c r="U43" s="13">
        <f t="shared" si="8"/>
        <v>0</v>
      </c>
      <c r="V43" s="49">
        <f t="shared" si="9"/>
        <v>395</v>
      </c>
      <c r="W43" s="50">
        <f t="shared" si="10"/>
        <v>17.696000000000002</v>
      </c>
      <c r="X43">
        <f t="shared" si="11"/>
        <v>10</v>
      </c>
    </row>
    <row r="44" spans="1:24" x14ac:dyDescent="0.25">
      <c r="A44" s="42" t="s">
        <v>42</v>
      </c>
      <c r="B44" s="34">
        <v>70</v>
      </c>
      <c r="C44" s="35">
        <v>64</v>
      </c>
      <c r="D44" s="35">
        <v>8</v>
      </c>
      <c r="E44" s="19">
        <f t="shared" si="3"/>
        <v>3.5839999999999997E-2</v>
      </c>
      <c r="F44" s="25">
        <f>'EYLÜL 1. HAFTA'!V44</f>
        <v>477</v>
      </c>
      <c r="G44" s="26">
        <f t="shared" si="4"/>
        <v>17.095679999999998</v>
      </c>
      <c r="H44" s="22"/>
      <c r="I44" s="11">
        <f t="shared" si="5"/>
        <v>0</v>
      </c>
      <c r="J44" s="6"/>
      <c r="K44" s="10">
        <f t="shared" si="13"/>
        <v>0</v>
      </c>
      <c r="L44" s="22"/>
      <c r="M44" s="11">
        <f t="shared" si="14"/>
        <v>0</v>
      </c>
      <c r="N44" s="6"/>
      <c r="O44" s="10">
        <f t="shared" si="6"/>
        <v>0</v>
      </c>
      <c r="P44" s="22"/>
      <c r="Q44" s="11">
        <f t="shared" si="7"/>
        <v>0</v>
      </c>
      <c r="R44" s="39">
        <f t="shared" si="12"/>
        <v>477</v>
      </c>
      <c r="S44" s="38">
        <f t="shared" si="15"/>
        <v>17.095679999999998</v>
      </c>
      <c r="T44" s="12"/>
      <c r="U44" s="13">
        <f t="shared" si="8"/>
        <v>0</v>
      </c>
      <c r="V44" s="49">
        <f t="shared" si="9"/>
        <v>477</v>
      </c>
      <c r="W44" s="50">
        <f t="shared" si="10"/>
        <v>17.095679999999998</v>
      </c>
      <c r="X44">
        <f t="shared" si="11"/>
        <v>0</v>
      </c>
    </row>
    <row r="45" spans="1:24" x14ac:dyDescent="0.25">
      <c r="A45" s="42" t="s">
        <v>43</v>
      </c>
      <c r="B45" s="34">
        <v>75</v>
      </c>
      <c r="C45" s="35">
        <v>70</v>
      </c>
      <c r="D45" s="35">
        <v>8</v>
      </c>
      <c r="E45" s="19">
        <f t="shared" si="3"/>
        <v>4.2000000000000003E-2</v>
      </c>
      <c r="F45" s="25">
        <f>'EYLÜL 1. HAFTA'!V45</f>
        <v>352</v>
      </c>
      <c r="G45" s="26">
        <f t="shared" si="4"/>
        <v>14.784000000000001</v>
      </c>
      <c r="H45" s="22"/>
      <c r="I45" s="11">
        <f t="shared" si="5"/>
        <v>0</v>
      </c>
      <c r="J45" s="6">
        <v>17</v>
      </c>
      <c r="K45" s="10">
        <f t="shared" si="13"/>
        <v>0.71400000000000008</v>
      </c>
      <c r="L45" s="22">
        <v>4</v>
      </c>
      <c r="M45" s="11">
        <f t="shared" si="14"/>
        <v>0.16800000000000001</v>
      </c>
      <c r="N45" s="6"/>
      <c r="O45" s="10">
        <f t="shared" si="6"/>
        <v>0</v>
      </c>
      <c r="P45" s="22">
        <v>8</v>
      </c>
      <c r="Q45" s="11">
        <f t="shared" si="7"/>
        <v>0.33600000000000002</v>
      </c>
      <c r="R45" s="39">
        <f t="shared" si="12"/>
        <v>323</v>
      </c>
      <c r="S45" s="38">
        <f t="shared" si="15"/>
        <v>13.566000000000001</v>
      </c>
      <c r="T45" s="12"/>
      <c r="U45" s="13">
        <f t="shared" si="8"/>
        <v>0</v>
      </c>
      <c r="V45" s="49">
        <f t="shared" si="9"/>
        <v>323</v>
      </c>
      <c r="W45" s="50">
        <f t="shared" si="10"/>
        <v>13.566000000000001</v>
      </c>
      <c r="X45">
        <f t="shared" si="11"/>
        <v>29</v>
      </c>
    </row>
    <row r="46" spans="1:24" x14ac:dyDescent="0.25">
      <c r="A46" s="42" t="s">
        <v>86</v>
      </c>
      <c r="B46" s="34">
        <v>142</v>
      </c>
      <c r="C46" s="35">
        <v>57</v>
      </c>
      <c r="D46" s="35">
        <v>5</v>
      </c>
      <c r="E46" s="19">
        <f t="shared" si="3"/>
        <v>4.0469999999999999E-2</v>
      </c>
      <c r="F46" s="25">
        <f>'EYLÜL 1. HAFTA'!V46</f>
        <v>730</v>
      </c>
      <c r="G46" s="26">
        <f t="shared" si="4"/>
        <v>29.543099999999999</v>
      </c>
      <c r="H46" s="22">
        <v>4</v>
      </c>
      <c r="I46" s="11">
        <f t="shared" si="5"/>
        <v>0.16188</v>
      </c>
      <c r="J46" s="6">
        <v>8</v>
      </c>
      <c r="K46" s="10">
        <f t="shared" si="13"/>
        <v>0.32375999999999999</v>
      </c>
      <c r="L46" s="22">
        <v>11</v>
      </c>
      <c r="M46" s="11">
        <f t="shared" si="14"/>
        <v>0.44517000000000001</v>
      </c>
      <c r="N46" s="6"/>
      <c r="O46" s="10">
        <f t="shared" si="6"/>
        <v>0</v>
      </c>
      <c r="P46" s="22"/>
      <c r="Q46" s="11">
        <f t="shared" si="7"/>
        <v>0</v>
      </c>
      <c r="R46" s="39">
        <f t="shared" si="12"/>
        <v>707</v>
      </c>
      <c r="S46" s="38">
        <f t="shared" si="15"/>
        <v>28.612289999999998</v>
      </c>
      <c r="T46" s="12"/>
      <c r="U46" s="13">
        <f t="shared" si="8"/>
        <v>0</v>
      </c>
      <c r="V46" s="49">
        <f t="shared" si="9"/>
        <v>707</v>
      </c>
      <c r="W46" s="50">
        <f t="shared" si="10"/>
        <v>28.612289999999998</v>
      </c>
      <c r="X46">
        <f t="shared" si="11"/>
        <v>23</v>
      </c>
    </row>
    <row r="47" spans="1:24" x14ac:dyDescent="0.25">
      <c r="A47" s="42" t="s">
        <v>45</v>
      </c>
      <c r="B47" s="34">
        <v>80</v>
      </c>
      <c r="C47" s="35">
        <v>63</v>
      </c>
      <c r="D47" s="35">
        <v>5</v>
      </c>
      <c r="E47" s="19">
        <f t="shared" si="3"/>
        <v>2.52E-2</v>
      </c>
      <c r="F47" s="25">
        <f>'EYLÜL 1. HAFTA'!V47</f>
        <v>315</v>
      </c>
      <c r="G47" s="26">
        <f t="shared" si="4"/>
        <v>7.9379999999999997</v>
      </c>
      <c r="H47" s="22"/>
      <c r="I47" s="11">
        <f t="shared" si="5"/>
        <v>0</v>
      </c>
      <c r="J47" s="6"/>
      <c r="K47" s="10">
        <f t="shared" si="13"/>
        <v>0</v>
      </c>
      <c r="L47" s="22"/>
      <c r="M47" s="11">
        <f t="shared" si="14"/>
        <v>0</v>
      </c>
      <c r="N47" s="6"/>
      <c r="O47" s="10">
        <f t="shared" si="6"/>
        <v>0</v>
      </c>
      <c r="P47" s="22"/>
      <c r="Q47" s="11">
        <f t="shared" si="7"/>
        <v>0</v>
      </c>
      <c r="R47" s="39">
        <f t="shared" si="12"/>
        <v>315</v>
      </c>
      <c r="S47" s="38">
        <f t="shared" si="15"/>
        <v>7.9379999999999997</v>
      </c>
      <c r="T47" s="12"/>
      <c r="U47" s="13">
        <f t="shared" si="8"/>
        <v>0</v>
      </c>
      <c r="V47" s="49">
        <f t="shared" si="9"/>
        <v>315</v>
      </c>
      <c r="W47" s="50">
        <f t="shared" si="10"/>
        <v>7.9379999999999997</v>
      </c>
      <c r="X47">
        <f t="shared" si="11"/>
        <v>0</v>
      </c>
    </row>
    <row r="48" spans="1:24" x14ac:dyDescent="0.25">
      <c r="A48" s="42" t="s">
        <v>46</v>
      </c>
      <c r="B48" s="34">
        <v>77</v>
      </c>
      <c r="C48" s="35">
        <v>68</v>
      </c>
      <c r="D48" s="35">
        <v>8</v>
      </c>
      <c r="E48" s="19">
        <f t="shared" si="3"/>
        <v>4.1888000000000002E-2</v>
      </c>
      <c r="F48" s="25">
        <f>'EYLÜL 1. HAFTA'!V48</f>
        <v>197</v>
      </c>
      <c r="G48" s="26">
        <f t="shared" si="4"/>
        <v>8.2519360000000006</v>
      </c>
      <c r="H48" s="22"/>
      <c r="I48" s="11">
        <f t="shared" si="5"/>
        <v>0</v>
      </c>
      <c r="J48" s="6"/>
      <c r="K48" s="10">
        <f t="shared" si="13"/>
        <v>0</v>
      </c>
      <c r="L48" s="22"/>
      <c r="M48" s="11">
        <f t="shared" si="14"/>
        <v>0</v>
      </c>
      <c r="N48" s="6"/>
      <c r="O48" s="10">
        <f t="shared" si="6"/>
        <v>0</v>
      </c>
      <c r="P48" s="22"/>
      <c r="Q48" s="11">
        <f t="shared" si="7"/>
        <v>0</v>
      </c>
      <c r="R48" s="39">
        <f t="shared" si="12"/>
        <v>197</v>
      </c>
      <c r="S48" s="38">
        <f t="shared" si="15"/>
        <v>8.2519360000000006</v>
      </c>
      <c r="T48" s="12"/>
      <c r="U48" s="13">
        <f t="shared" si="8"/>
        <v>0</v>
      </c>
      <c r="V48" s="49">
        <f t="shared" si="9"/>
        <v>197</v>
      </c>
      <c r="W48" s="50">
        <f t="shared" si="10"/>
        <v>8.2519360000000006</v>
      </c>
      <c r="X48">
        <f t="shared" si="11"/>
        <v>0</v>
      </c>
    </row>
    <row r="49" spans="1:24" x14ac:dyDescent="0.25">
      <c r="A49" s="42" t="s">
        <v>47</v>
      </c>
      <c r="B49" s="34">
        <v>79</v>
      </c>
      <c r="C49" s="35">
        <v>79</v>
      </c>
      <c r="D49" s="35">
        <v>2</v>
      </c>
      <c r="E49" s="19">
        <f t="shared" si="3"/>
        <v>1.2482E-2</v>
      </c>
      <c r="F49" s="25">
        <f>'EYLÜL 1. HAFTA'!V49</f>
        <v>39</v>
      </c>
      <c r="G49" s="26">
        <f t="shared" si="4"/>
        <v>0.48679800000000001</v>
      </c>
      <c r="H49" s="22"/>
      <c r="I49" s="11">
        <f t="shared" si="5"/>
        <v>0</v>
      </c>
      <c r="J49" s="6"/>
      <c r="K49" s="10">
        <f t="shared" si="13"/>
        <v>0</v>
      </c>
      <c r="L49" s="22"/>
      <c r="M49" s="11">
        <f t="shared" si="14"/>
        <v>0</v>
      </c>
      <c r="N49" s="6"/>
      <c r="O49" s="10">
        <f t="shared" si="6"/>
        <v>0</v>
      </c>
      <c r="P49" s="22"/>
      <c r="Q49" s="11">
        <f t="shared" si="7"/>
        <v>0</v>
      </c>
      <c r="R49" s="39">
        <f t="shared" si="12"/>
        <v>39</v>
      </c>
      <c r="S49" s="38">
        <f t="shared" si="15"/>
        <v>0.48679800000000001</v>
      </c>
      <c r="T49" s="12"/>
      <c r="U49" s="13">
        <f t="shared" si="8"/>
        <v>0</v>
      </c>
      <c r="V49" s="49">
        <f t="shared" si="9"/>
        <v>39</v>
      </c>
      <c r="W49" s="50">
        <f t="shared" si="10"/>
        <v>0.48679800000000001</v>
      </c>
      <c r="X49">
        <f t="shared" si="11"/>
        <v>0</v>
      </c>
    </row>
    <row r="50" spans="1:24" x14ac:dyDescent="0.25">
      <c r="A50" s="42" t="s">
        <v>48</v>
      </c>
      <c r="B50" s="34">
        <v>61</v>
      </c>
      <c r="C50" s="35">
        <v>56</v>
      </c>
      <c r="D50" s="35">
        <v>10</v>
      </c>
      <c r="E50" s="19">
        <f t="shared" si="3"/>
        <v>3.4160000000000003E-2</v>
      </c>
      <c r="F50" s="25">
        <f>'EYLÜL 1. HAFTA'!V50</f>
        <v>0</v>
      </c>
      <c r="G50" s="26">
        <f t="shared" si="4"/>
        <v>0</v>
      </c>
      <c r="H50" s="22"/>
      <c r="I50" s="11">
        <f t="shared" si="5"/>
        <v>0</v>
      </c>
      <c r="J50" s="6"/>
      <c r="K50" s="10">
        <f t="shared" si="13"/>
        <v>0</v>
      </c>
      <c r="L50" s="22"/>
      <c r="M50" s="11">
        <f t="shared" si="14"/>
        <v>0</v>
      </c>
      <c r="N50" s="6"/>
      <c r="O50" s="10">
        <f t="shared" si="6"/>
        <v>0</v>
      </c>
      <c r="P50" s="22"/>
      <c r="Q50" s="11">
        <f t="shared" si="7"/>
        <v>0</v>
      </c>
      <c r="R50" s="39">
        <f t="shared" si="12"/>
        <v>0</v>
      </c>
      <c r="S50" s="38">
        <f t="shared" si="15"/>
        <v>0</v>
      </c>
      <c r="T50" s="12"/>
      <c r="U50" s="13">
        <f t="shared" si="8"/>
        <v>0</v>
      </c>
      <c r="V50" s="49">
        <f t="shared" si="9"/>
        <v>0</v>
      </c>
      <c r="W50" s="50">
        <f t="shared" si="10"/>
        <v>0</v>
      </c>
      <c r="X50">
        <f t="shared" si="11"/>
        <v>0</v>
      </c>
    </row>
    <row r="51" spans="1:24" x14ac:dyDescent="0.25">
      <c r="A51" s="42" t="s">
        <v>49</v>
      </c>
      <c r="B51" s="34">
        <v>66</v>
      </c>
      <c r="C51" s="35">
        <v>61</v>
      </c>
      <c r="D51" s="35">
        <v>10</v>
      </c>
      <c r="E51" s="19">
        <f t="shared" si="3"/>
        <v>4.0259999999999997E-2</v>
      </c>
      <c r="F51" s="25">
        <f>'EYLÜL 1. HAFTA'!V51</f>
        <v>0</v>
      </c>
      <c r="G51" s="26">
        <f t="shared" si="4"/>
        <v>0</v>
      </c>
      <c r="H51" s="22"/>
      <c r="I51" s="11">
        <f t="shared" si="5"/>
        <v>0</v>
      </c>
      <c r="J51" s="6"/>
      <c r="K51" s="10">
        <f t="shared" si="13"/>
        <v>0</v>
      </c>
      <c r="L51" s="22"/>
      <c r="M51" s="11">
        <f t="shared" si="14"/>
        <v>0</v>
      </c>
      <c r="N51" s="6"/>
      <c r="O51" s="10">
        <f t="shared" si="6"/>
        <v>0</v>
      </c>
      <c r="P51" s="22"/>
      <c r="Q51" s="11">
        <f t="shared" si="7"/>
        <v>0</v>
      </c>
      <c r="R51" s="39">
        <f t="shared" si="12"/>
        <v>0</v>
      </c>
      <c r="S51" s="38">
        <f t="shared" si="15"/>
        <v>0</v>
      </c>
      <c r="T51" s="12"/>
      <c r="U51" s="13">
        <f t="shared" si="8"/>
        <v>0</v>
      </c>
      <c r="V51" s="49">
        <f t="shared" si="9"/>
        <v>0</v>
      </c>
      <c r="W51" s="50">
        <f t="shared" si="10"/>
        <v>0</v>
      </c>
      <c r="X51">
        <f t="shared" si="11"/>
        <v>0</v>
      </c>
    </row>
    <row r="52" spans="1:24" x14ac:dyDescent="0.25">
      <c r="A52" s="42" t="s">
        <v>50</v>
      </c>
      <c r="B52" s="34">
        <v>63</v>
      </c>
      <c r="C52" s="35">
        <v>61</v>
      </c>
      <c r="D52" s="35">
        <v>10</v>
      </c>
      <c r="E52" s="19">
        <f t="shared" si="3"/>
        <v>3.8429999999999999E-2</v>
      </c>
      <c r="F52" s="25">
        <f>'EYLÜL 1. HAFTA'!V52</f>
        <v>0</v>
      </c>
      <c r="G52" s="26">
        <f t="shared" si="4"/>
        <v>0</v>
      </c>
      <c r="H52" s="22"/>
      <c r="I52" s="11">
        <f t="shared" si="5"/>
        <v>0</v>
      </c>
      <c r="J52" s="6"/>
      <c r="K52" s="10">
        <f t="shared" si="13"/>
        <v>0</v>
      </c>
      <c r="L52" s="22"/>
      <c r="M52" s="11">
        <f t="shared" si="14"/>
        <v>0</v>
      </c>
      <c r="N52" s="6"/>
      <c r="O52" s="10">
        <f t="shared" si="6"/>
        <v>0</v>
      </c>
      <c r="P52" s="22"/>
      <c r="Q52" s="11">
        <f t="shared" si="7"/>
        <v>0</v>
      </c>
      <c r="R52" s="39">
        <f t="shared" si="12"/>
        <v>0</v>
      </c>
      <c r="S52" s="38">
        <f t="shared" si="15"/>
        <v>0</v>
      </c>
      <c r="T52" s="12"/>
      <c r="U52" s="13">
        <f t="shared" si="8"/>
        <v>0</v>
      </c>
      <c r="V52" s="49">
        <f t="shared" si="9"/>
        <v>0</v>
      </c>
      <c r="W52" s="50">
        <f t="shared" si="10"/>
        <v>0</v>
      </c>
      <c r="X52">
        <f t="shared" si="11"/>
        <v>0</v>
      </c>
    </row>
    <row r="53" spans="1:24" x14ac:dyDescent="0.25">
      <c r="A53" s="42" t="s">
        <v>51</v>
      </c>
      <c r="B53" s="34">
        <v>58</v>
      </c>
      <c r="C53" s="35">
        <v>58</v>
      </c>
      <c r="D53" s="35">
        <v>2.2999999999999998</v>
      </c>
      <c r="E53" s="19">
        <f t="shared" si="3"/>
        <v>7.7371999999999996E-3</v>
      </c>
      <c r="F53" s="25">
        <f>'EYLÜL 1. HAFTA'!V53</f>
        <v>3986</v>
      </c>
      <c r="G53" s="26">
        <f t="shared" si="4"/>
        <v>30.840479199999997</v>
      </c>
      <c r="H53" s="22"/>
      <c r="I53" s="11">
        <f t="shared" si="5"/>
        <v>0</v>
      </c>
      <c r="J53" s="6">
        <v>4</v>
      </c>
      <c r="K53" s="10">
        <f t="shared" si="13"/>
        <v>3.0948799999999999E-2</v>
      </c>
      <c r="L53" s="22"/>
      <c r="M53" s="11">
        <f t="shared" si="14"/>
        <v>0</v>
      </c>
      <c r="N53" s="6"/>
      <c r="O53" s="10">
        <f t="shared" si="6"/>
        <v>0</v>
      </c>
      <c r="P53" s="22"/>
      <c r="Q53" s="11">
        <f t="shared" si="7"/>
        <v>0</v>
      </c>
      <c r="R53" s="39">
        <f t="shared" si="12"/>
        <v>3982</v>
      </c>
      <c r="S53" s="38">
        <f t="shared" si="15"/>
        <v>30.8095304</v>
      </c>
      <c r="T53" s="12"/>
      <c r="U53" s="13">
        <f t="shared" si="8"/>
        <v>0</v>
      </c>
      <c r="V53" s="49">
        <f t="shared" si="9"/>
        <v>3982</v>
      </c>
      <c r="W53" s="50">
        <f t="shared" si="10"/>
        <v>30.8095304</v>
      </c>
      <c r="X53">
        <f t="shared" si="11"/>
        <v>4</v>
      </c>
    </row>
    <row r="54" spans="1:24" x14ac:dyDescent="0.25">
      <c r="A54" s="42" t="s">
        <v>52</v>
      </c>
      <c r="B54" s="34">
        <v>79</v>
      </c>
      <c r="C54" s="35">
        <v>62</v>
      </c>
      <c r="D54" s="35">
        <v>2.2999999999999998</v>
      </c>
      <c r="E54" s="19">
        <f t="shared" si="3"/>
        <v>1.12654E-2</v>
      </c>
      <c r="F54" s="25">
        <f>'EYLÜL 1. HAFTA'!V54</f>
        <v>3588</v>
      </c>
      <c r="G54" s="26">
        <f t="shared" si="4"/>
        <v>40.4202552</v>
      </c>
      <c r="H54" s="22"/>
      <c r="I54" s="11">
        <f t="shared" si="5"/>
        <v>0</v>
      </c>
      <c r="J54" s="6"/>
      <c r="K54" s="10">
        <f t="shared" si="13"/>
        <v>0</v>
      </c>
      <c r="L54" s="22"/>
      <c r="M54" s="11">
        <f t="shared" si="14"/>
        <v>0</v>
      </c>
      <c r="N54" s="6"/>
      <c r="O54" s="10">
        <f t="shared" si="6"/>
        <v>0</v>
      </c>
      <c r="P54" s="22"/>
      <c r="Q54" s="11">
        <f t="shared" si="7"/>
        <v>0</v>
      </c>
      <c r="R54" s="39">
        <f t="shared" si="12"/>
        <v>3588</v>
      </c>
      <c r="S54" s="38">
        <f t="shared" si="15"/>
        <v>40.4202552</v>
      </c>
      <c r="T54" s="12"/>
      <c r="U54" s="13">
        <f t="shared" si="8"/>
        <v>0</v>
      </c>
      <c r="V54" s="49">
        <f t="shared" si="9"/>
        <v>3588</v>
      </c>
      <c r="W54" s="50">
        <f t="shared" si="10"/>
        <v>40.4202552</v>
      </c>
      <c r="X54">
        <f t="shared" si="11"/>
        <v>0</v>
      </c>
    </row>
    <row r="55" spans="1:24" x14ac:dyDescent="0.25">
      <c r="A55" s="42" t="s">
        <v>53</v>
      </c>
      <c r="B55" s="34">
        <v>200</v>
      </c>
      <c r="C55" s="35">
        <v>176</v>
      </c>
      <c r="D55" s="35">
        <v>2.2999999999999998</v>
      </c>
      <c r="E55" s="19">
        <f t="shared" si="3"/>
        <v>8.0960000000000004E-2</v>
      </c>
      <c r="F55" s="25">
        <f>'EYLÜL 1. HAFTA'!V55</f>
        <v>1</v>
      </c>
      <c r="G55" s="26">
        <f t="shared" si="4"/>
        <v>8.0960000000000004E-2</v>
      </c>
      <c r="H55" s="22"/>
      <c r="I55" s="11">
        <f t="shared" si="5"/>
        <v>0</v>
      </c>
      <c r="J55" s="6"/>
      <c r="K55" s="10">
        <f t="shared" si="13"/>
        <v>0</v>
      </c>
      <c r="L55" s="22"/>
      <c r="M55" s="11">
        <f t="shared" si="14"/>
        <v>0</v>
      </c>
      <c r="N55" s="6"/>
      <c r="O55" s="10">
        <f t="shared" si="6"/>
        <v>0</v>
      </c>
      <c r="P55" s="22"/>
      <c r="Q55" s="11">
        <f t="shared" si="7"/>
        <v>0</v>
      </c>
      <c r="R55" s="39">
        <f t="shared" si="12"/>
        <v>1</v>
      </c>
      <c r="S55" s="38">
        <f t="shared" si="15"/>
        <v>8.0960000000000004E-2</v>
      </c>
      <c r="T55" s="12"/>
      <c r="U55" s="13">
        <f t="shared" si="8"/>
        <v>0</v>
      </c>
      <c r="V55" s="49">
        <f t="shared" si="9"/>
        <v>1</v>
      </c>
      <c r="W55" s="50">
        <f t="shared" si="10"/>
        <v>8.0960000000000004E-2</v>
      </c>
      <c r="X55">
        <f t="shared" si="11"/>
        <v>0</v>
      </c>
    </row>
    <row r="56" spans="1:24" x14ac:dyDescent="0.25">
      <c r="A56" s="42" t="s">
        <v>54</v>
      </c>
      <c r="B56" s="34">
        <v>79</v>
      </c>
      <c r="C56" s="35">
        <v>79</v>
      </c>
      <c r="D56" s="35">
        <v>2.2999999999999998</v>
      </c>
      <c r="E56" s="19">
        <f t="shared" si="3"/>
        <v>1.4354299999999999E-2</v>
      </c>
      <c r="F56" s="25">
        <f>'EYLÜL 1. HAFTA'!V56</f>
        <v>241</v>
      </c>
      <c r="G56" s="26">
        <f t="shared" si="4"/>
        <v>3.4593862999999998</v>
      </c>
      <c r="H56" s="22"/>
      <c r="I56" s="11">
        <f t="shared" si="5"/>
        <v>0</v>
      </c>
      <c r="J56" s="6"/>
      <c r="K56" s="10">
        <f t="shared" si="13"/>
        <v>0</v>
      </c>
      <c r="L56" s="22"/>
      <c r="M56" s="11">
        <f t="shared" si="14"/>
        <v>0</v>
      </c>
      <c r="N56" s="6"/>
      <c r="O56" s="10">
        <f t="shared" si="6"/>
        <v>0</v>
      </c>
      <c r="P56" s="22"/>
      <c r="Q56" s="11">
        <f t="shared" si="7"/>
        <v>0</v>
      </c>
      <c r="R56" s="39">
        <f t="shared" si="12"/>
        <v>241</v>
      </c>
      <c r="S56" s="38">
        <f t="shared" si="15"/>
        <v>3.4593862999999998</v>
      </c>
      <c r="T56" s="12"/>
      <c r="U56" s="13">
        <f t="shared" si="8"/>
        <v>0</v>
      </c>
      <c r="V56" s="49">
        <f t="shared" si="9"/>
        <v>241</v>
      </c>
      <c r="W56" s="50">
        <f t="shared" si="10"/>
        <v>3.4593862999999998</v>
      </c>
      <c r="X56">
        <f t="shared" si="11"/>
        <v>0</v>
      </c>
    </row>
    <row r="57" spans="1:24" x14ac:dyDescent="0.25">
      <c r="A57" s="42" t="s">
        <v>55</v>
      </c>
      <c r="B57" s="34"/>
      <c r="C57" s="35"/>
      <c r="D57" s="35"/>
      <c r="E57" s="19">
        <v>8.9999999999999993E-3</v>
      </c>
      <c r="F57" s="25">
        <f>'EYLÜL 1. HAFTA'!V57</f>
        <v>938</v>
      </c>
      <c r="G57" s="26">
        <f t="shared" si="4"/>
        <v>8.4420000000000002</v>
      </c>
      <c r="H57" s="22"/>
      <c r="I57" s="11">
        <f t="shared" si="5"/>
        <v>0</v>
      </c>
      <c r="J57" s="6"/>
      <c r="K57" s="10">
        <f t="shared" si="13"/>
        <v>0</v>
      </c>
      <c r="L57" s="22"/>
      <c r="M57" s="11">
        <f t="shared" si="14"/>
        <v>0</v>
      </c>
      <c r="N57" s="22">
        <v>50</v>
      </c>
      <c r="O57" s="10">
        <f t="shared" si="6"/>
        <v>0.44999999999999996</v>
      </c>
      <c r="P57" s="22">
        <v>22</v>
      </c>
      <c r="Q57" s="11">
        <f t="shared" si="7"/>
        <v>0.19799999999999998</v>
      </c>
      <c r="R57" s="39">
        <f t="shared" si="12"/>
        <v>866</v>
      </c>
      <c r="S57" s="38">
        <f t="shared" si="15"/>
        <v>7.7939999999999996</v>
      </c>
      <c r="T57" s="12"/>
      <c r="U57" s="13">
        <f t="shared" si="8"/>
        <v>0</v>
      </c>
      <c r="V57" s="49">
        <f t="shared" si="9"/>
        <v>866</v>
      </c>
      <c r="W57" s="50">
        <f t="shared" si="10"/>
        <v>7.7939999999999996</v>
      </c>
      <c r="X57">
        <f t="shared" si="11"/>
        <v>72</v>
      </c>
    </row>
    <row r="58" spans="1:24" x14ac:dyDescent="0.25">
      <c r="A58" s="42" t="s">
        <v>56</v>
      </c>
      <c r="B58" s="34"/>
      <c r="C58" s="35"/>
      <c r="D58" s="35"/>
      <c r="E58" s="19">
        <v>7.0000000000000001E-3</v>
      </c>
      <c r="F58" s="25">
        <f>'EYLÜL 1. HAFTA'!V58</f>
        <v>938</v>
      </c>
      <c r="G58" s="26">
        <f t="shared" si="4"/>
        <v>6.5659999999999998</v>
      </c>
      <c r="H58" s="22"/>
      <c r="I58" s="11">
        <f t="shared" si="5"/>
        <v>0</v>
      </c>
      <c r="J58" s="6"/>
      <c r="K58" s="10">
        <f t="shared" si="13"/>
        <v>0</v>
      </c>
      <c r="L58" s="22"/>
      <c r="M58" s="11">
        <f t="shared" si="14"/>
        <v>0</v>
      </c>
      <c r="N58" s="22"/>
      <c r="O58" s="10">
        <f t="shared" si="6"/>
        <v>0</v>
      </c>
      <c r="P58" s="2">
        <v>12</v>
      </c>
      <c r="Q58" s="11">
        <f t="shared" si="7"/>
        <v>8.4000000000000005E-2</v>
      </c>
      <c r="R58" s="39">
        <f t="shared" si="12"/>
        <v>926</v>
      </c>
      <c r="S58" s="38">
        <f t="shared" si="15"/>
        <v>6.4820000000000002</v>
      </c>
      <c r="T58" s="12"/>
      <c r="U58" s="13">
        <f t="shared" si="8"/>
        <v>0</v>
      </c>
      <c r="V58" s="49">
        <f t="shared" si="9"/>
        <v>926</v>
      </c>
      <c r="W58" s="50">
        <f t="shared" si="10"/>
        <v>6.4820000000000002</v>
      </c>
      <c r="X58">
        <f t="shared" si="11"/>
        <v>12</v>
      </c>
    </row>
    <row r="59" spans="1:24" x14ac:dyDescent="0.25">
      <c r="A59" s="42" t="s">
        <v>57</v>
      </c>
      <c r="B59" s="34"/>
      <c r="C59" s="35"/>
      <c r="D59" s="35"/>
      <c r="E59" s="19">
        <v>6.7499999999999999E-3</v>
      </c>
      <c r="F59" s="25">
        <f>'EYLÜL 1. HAFTA'!V59</f>
        <v>1100</v>
      </c>
      <c r="G59" s="26">
        <f t="shared" si="4"/>
        <v>7.4249999999999998</v>
      </c>
      <c r="H59" s="22"/>
      <c r="I59" s="11">
        <f t="shared" si="5"/>
        <v>0</v>
      </c>
      <c r="J59" s="6"/>
      <c r="K59" s="10">
        <f t="shared" si="13"/>
        <v>0</v>
      </c>
      <c r="L59" s="22">
        <v>63</v>
      </c>
      <c r="M59" s="11">
        <f t="shared" si="14"/>
        <v>0.42525000000000002</v>
      </c>
      <c r="N59" s="6">
        <v>20</v>
      </c>
      <c r="O59" s="10">
        <f t="shared" si="6"/>
        <v>0.13500000000000001</v>
      </c>
      <c r="Q59" s="11">
        <f>E59*N58</f>
        <v>0</v>
      </c>
      <c r="R59" s="39">
        <f>F59-H59-J59-L59-N59-N58</f>
        <v>1017</v>
      </c>
      <c r="S59" s="38">
        <f t="shared" si="15"/>
        <v>6.8647499999999999</v>
      </c>
      <c r="T59" s="12"/>
      <c r="U59" s="13">
        <f t="shared" si="8"/>
        <v>0</v>
      </c>
      <c r="V59" s="49">
        <f t="shared" si="9"/>
        <v>1017</v>
      </c>
      <c r="W59" s="50">
        <f t="shared" si="10"/>
        <v>6.8647499999999999</v>
      </c>
      <c r="X59">
        <f t="shared" si="11"/>
        <v>83</v>
      </c>
    </row>
    <row r="60" spans="1:24" x14ac:dyDescent="0.25">
      <c r="A60" s="42" t="s">
        <v>58</v>
      </c>
      <c r="B60" s="34"/>
      <c r="C60" s="35"/>
      <c r="D60" s="35"/>
      <c r="E60" s="19">
        <v>5.2500000000000003E-3</v>
      </c>
      <c r="F60" s="25">
        <f>'EYLÜL 1. HAFTA'!V60</f>
        <v>1244</v>
      </c>
      <c r="G60" s="26">
        <f t="shared" si="4"/>
        <v>6.5310000000000006</v>
      </c>
      <c r="H60" s="22"/>
      <c r="I60" s="11">
        <f t="shared" si="5"/>
        <v>0</v>
      </c>
      <c r="J60" s="6"/>
      <c r="K60" s="10">
        <f t="shared" si="13"/>
        <v>0</v>
      </c>
      <c r="L60" s="22">
        <v>18</v>
      </c>
      <c r="M60" s="11">
        <f t="shared" si="14"/>
        <v>9.4500000000000001E-2</v>
      </c>
      <c r="N60" s="6">
        <v>20</v>
      </c>
      <c r="O60" s="10">
        <f t="shared" si="6"/>
        <v>0.10500000000000001</v>
      </c>
      <c r="P60" s="22"/>
      <c r="Q60" s="11">
        <f t="shared" si="7"/>
        <v>0</v>
      </c>
      <c r="R60" s="39">
        <f t="shared" si="12"/>
        <v>1206</v>
      </c>
      <c r="S60" s="38">
        <f t="shared" si="15"/>
        <v>6.3315000000000001</v>
      </c>
      <c r="T60" s="12"/>
      <c r="U60" s="13">
        <f t="shared" si="8"/>
        <v>0</v>
      </c>
      <c r="V60" s="49">
        <f t="shared" si="9"/>
        <v>1206</v>
      </c>
      <c r="W60" s="50">
        <f t="shared" si="10"/>
        <v>6.3315000000000001</v>
      </c>
      <c r="X60">
        <f t="shared" si="11"/>
        <v>38</v>
      </c>
    </row>
    <row r="61" spans="1:24" x14ac:dyDescent="0.25">
      <c r="A61" s="42" t="s">
        <v>59</v>
      </c>
      <c r="B61" s="34"/>
      <c r="C61" s="35"/>
      <c r="D61" s="35"/>
      <c r="E61" s="19">
        <f t="shared" si="3"/>
        <v>0</v>
      </c>
      <c r="F61" s="25">
        <f>'EYLÜL 1. HAFTA'!V61</f>
        <v>97</v>
      </c>
      <c r="G61" s="26">
        <f t="shared" si="4"/>
        <v>0</v>
      </c>
      <c r="H61" s="22"/>
      <c r="I61" s="11">
        <f t="shared" si="5"/>
        <v>0</v>
      </c>
      <c r="J61" s="6"/>
      <c r="K61" s="10">
        <f t="shared" si="13"/>
        <v>0</v>
      </c>
      <c r="L61" s="22"/>
      <c r="M61" s="11">
        <f t="shared" si="14"/>
        <v>0</v>
      </c>
      <c r="N61" s="6">
        <v>5</v>
      </c>
      <c r="O61" s="10">
        <f t="shared" si="6"/>
        <v>0</v>
      </c>
      <c r="P61" s="22"/>
      <c r="Q61" s="11">
        <f t="shared" si="7"/>
        <v>0</v>
      </c>
      <c r="R61" s="39">
        <f t="shared" si="12"/>
        <v>92</v>
      </c>
      <c r="S61" s="38">
        <f t="shared" si="15"/>
        <v>0</v>
      </c>
      <c r="T61" s="12"/>
      <c r="U61" s="13">
        <f t="shared" si="8"/>
        <v>0</v>
      </c>
      <c r="V61" s="49">
        <f t="shared" si="9"/>
        <v>92</v>
      </c>
      <c r="W61" s="50">
        <f t="shared" si="10"/>
        <v>0</v>
      </c>
      <c r="X61">
        <f t="shared" si="11"/>
        <v>5</v>
      </c>
    </row>
    <row r="62" spans="1:24" x14ac:dyDescent="0.25">
      <c r="A62" s="42" t="s">
        <v>60</v>
      </c>
      <c r="B62" s="34"/>
      <c r="C62" s="35"/>
      <c r="D62" s="35"/>
      <c r="E62" s="19">
        <v>5.2500000000000003E-3</v>
      </c>
      <c r="F62" s="25">
        <f>'EYLÜL 1. HAFTA'!V62</f>
        <v>1950</v>
      </c>
      <c r="G62" s="26">
        <f t="shared" si="4"/>
        <v>10.237500000000001</v>
      </c>
      <c r="H62" s="22"/>
      <c r="I62" s="11">
        <f t="shared" si="5"/>
        <v>0</v>
      </c>
      <c r="J62" s="6"/>
      <c r="K62" s="10">
        <f t="shared" si="13"/>
        <v>0</v>
      </c>
      <c r="L62" s="22">
        <v>58</v>
      </c>
      <c r="M62" s="11">
        <f t="shared" si="14"/>
        <v>0.30449999999999999</v>
      </c>
      <c r="N62" s="6"/>
      <c r="O62" s="10">
        <f t="shared" si="6"/>
        <v>0</v>
      </c>
      <c r="P62" s="22"/>
      <c r="Q62" s="11">
        <f t="shared" si="7"/>
        <v>0</v>
      </c>
      <c r="R62" s="39">
        <f t="shared" si="12"/>
        <v>1892</v>
      </c>
      <c r="S62" s="38">
        <f t="shared" si="15"/>
        <v>9.9329999999999998</v>
      </c>
      <c r="T62" s="12"/>
      <c r="U62" s="13">
        <f t="shared" si="8"/>
        <v>0</v>
      </c>
      <c r="V62" s="49">
        <f t="shared" si="9"/>
        <v>1892</v>
      </c>
      <c r="W62" s="50">
        <f t="shared" si="10"/>
        <v>9.9329999999999998</v>
      </c>
      <c r="X62">
        <f t="shared" si="11"/>
        <v>58</v>
      </c>
    </row>
    <row r="63" spans="1:24" x14ac:dyDescent="0.25">
      <c r="A63" s="43" t="s">
        <v>61</v>
      </c>
      <c r="B63" s="34"/>
      <c r="C63" s="35"/>
      <c r="D63" s="35"/>
      <c r="E63" s="19">
        <v>6.7499999999999999E-3</v>
      </c>
      <c r="F63" s="25">
        <f>'EYLÜL 1. HAFTA'!V63</f>
        <v>1500</v>
      </c>
      <c r="G63" s="26">
        <f t="shared" si="4"/>
        <v>10.125</v>
      </c>
      <c r="H63" s="22"/>
      <c r="I63" s="11">
        <f t="shared" si="5"/>
        <v>0</v>
      </c>
      <c r="J63" s="6"/>
      <c r="K63" s="10">
        <f t="shared" si="13"/>
        <v>0</v>
      </c>
      <c r="L63" s="22">
        <v>50</v>
      </c>
      <c r="M63" s="11">
        <f t="shared" si="14"/>
        <v>0.33750000000000002</v>
      </c>
      <c r="N63" s="6"/>
      <c r="O63" s="10">
        <f t="shared" si="6"/>
        <v>0</v>
      </c>
      <c r="P63" s="22"/>
      <c r="Q63" s="11">
        <f t="shared" si="7"/>
        <v>0</v>
      </c>
      <c r="R63" s="39">
        <f t="shared" si="12"/>
        <v>1450</v>
      </c>
      <c r="S63" s="38">
        <f t="shared" si="15"/>
        <v>9.7874999999999996</v>
      </c>
      <c r="T63" s="12"/>
      <c r="U63" s="13">
        <f t="shared" si="8"/>
        <v>0</v>
      </c>
      <c r="V63" s="49">
        <f t="shared" si="9"/>
        <v>1450</v>
      </c>
      <c r="W63" s="50">
        <f t="shared" si="10"/>
        <v>9.7874999999999996</v>
      </c>
      <c r="X63">
        <f t="shared" si="11"/>
        <v>50</v>
      </c>
    </row>
    <row r="64" spans="1:24" ht="15.75" thickBot="1" x14ac:dyDescent="0.3">
      <c r="A64" s="44" t="s">
        <v>62</v>
      </c>
      <c r="B64" s="36">
        <v>140</v>
      </c>
      <c r="C64" s="37">
        <v>9.5</v>
      </c>
      <c r="D64" s="37">
        <v>6.5</v>
      </c>
      <c r="E64" s="20">
        <f t="shared" si="3"/>
        <v>8.6449999999999999E-3</v>
      </c>
      <c r="F64" s="25">
        <f>'EYLÜL 1. HAFTA'!V64</f>
        <v>552</v>
      </c>
      <c r="G64" s="27">
        <f t="shared" si="4"/>
        <v>4.7720399999999996</v>
      </c>
      <c r="H64" s="45">
        <v>96</v>
      </c>
      <c r="I64" s="46">
        <f t="shared" si="5"/>
        <v>0.82991999999999999</v>
      </c>
      <c r="J64" s="47"/>
      <c r="K64" s="48">
        <f t="shared" si="13"/>
        <v>0</v>
      </c>
      <c r="L64" s="45"/>
      <c r="M64" s="11">
        <f t="shared" si="14"/>
        <v>0</v>
      </c>
      <c r="N64" s="47"/>
      <c r="O64" s="48">
        <f t="shared" si="6"/>
        <v>0</v>
      </c>
      <c r="P64" s="45"/>
      <c r="Q64" s="46">
        <f t="shared" si="7"/>
        <v>0</v>
      </c>
      <c r="R64" s="40">
        <f t="shared" si="12"/>
        <v>456</v>
      </c>
      <c r="S64" s="41">
        <f t="shared" si="15"/>
        <v>3.9421200000000001</v>
      </c>
      <c r="T64" s="51"/>
      <c r="U64" s="13">
        <f t="shared" si="8"/>
        <v>0</v>
      </c>
      <c r="V64" s="49">
        <f t="shared" si="9"/>
        <v>456</v>
      </c>
      <c r="W64" s="50">
        <f t="shared" si="10"/>
        <v>3.9421200000000001</v>
      </c>
      <c r="X64">
        <f t="shared" si="11"/>
        <v>96</v>
      </c>
    </row>
    <row r="65" spans="1:24" ht="15.75" x14ac:dyDescent="0.25">
      <c r="A65" s="91" t="s">
        <v>79</v>
      </c>
      <c r="B65" s="68">
        <v>90</v>
      </c>
      <c r="C65" s="68">
        <v>83</v>
      </c>
      <c r="D65" s="68">
        <v>2</v>
      </c>
      <c r="E65" s="92">
        <f t="shared" si="3"/>
        <v>1.494E-2</v>
      </c>
      <c r="F65" s="25">
        <f>'EYLÜL 1. HAFTA'!V65</f>
        <v>478</v>
      </c>
      <c r="G65" s="94">
        <f t="shared" si="4"/>
        <v>7.1413200000000003</v>
      </c>
      <c r="H65" s="96">
        <v>0</v>
      </c>
      <c r="I65" s="100">
        <f t="shared" si="5"/>
        <v>0</v>
      </c>
      <c r="J65" s="96"/>
      <c r="K65" s="100">
        <f t="shared" si="5"/>
        <v>0</v>
      </c>
      <c r="L65" s="96"/>
      <c r="M65" s="11">
        <f t="shared" si="14"/>
        <v>0</v>
      </c>
      <c r="N65" s="96"/>
      <c r="O65" s="10">
        <f t="shared" si="6"/>
        <v>0</v>
      </c>
      <c r="P65" s="96"/>
      <c r="Q65" s="100">
        <f t="shared" si="5"/>
        <v>0</v>
      </c>
      <c r="R65" s="86">
        <f t="shared" si="12"/>
        <v>478</v>
      </c>
      <c r="S65" s="87">
        <f t="shared" si="15"/>
        <v>7.1413200000000003</v>
      </c>
      <c r="T65" s="101">
        <v>0</v>
      </c>
      <c r="U65" s="89">
        <f t="shared" si="8"/>
        <v>0</v>
      </c>
      <c r="V65" s="49">
        <f t="shared" si="9"/>
        <v>478</v>
      </c>
      <c r="W65" s="50">
        <f t="shared" si="10"/>
        <v>7.1413200000000003</v>
      </c>
      <c r="X65">
        <f t="shared" si="11"/>
        <v>0</v>
      </c>
    </row>
    <row r="66" spans="1:24" ht="15.75" x14ac:dyDescent="0.25">
      <c r="A66" s="102" t="s">
        <v>80</v>
      </c>
      <c r="B66" s="78">
        <v>92</v>
      </c>
      <c r="C66" s="78">
        <v>82</v>
      </c>
      <c r="D66" s="78">
        <v>2</v>
      </c>
      <c r="E66" s="103">
        <f t="shared" si="3"/>
        <v>1.5088000000000001E-2</v>
      </c>
      <c r="F66" s="25">
        <f>'EYLÜL 1. HAFTA'!V66</f>
        <v>512</v>
      </c>
      <c r="G66" s="104">
        <f t="shared" si="4"/>
        <v>7.7250560000000004</v>
      </c>
      <c r="H66" s="105">
        <v>30</v>
      </c>
      <c r="I66" s="100">
        <f t="shared" si="5"/>
        <v>0.45264000000000004</v>
      </c>
      <c r="J66" s="105"/>
      <c r="K66" s="100">
        <f t="shared" si="5"/>
        <v>0</v>
      </c>
      <c r="L66" s="105"/>
      <c r="M66" s="11">
        <f t="shared" si="14"/>
        <v>0</v>
      </c>
      <c r="N66" s="105"/>
      <c r="O66" s="10">
        <f t="shared" si="6"/>
        <v>0</v>
      </c>
      <c r="P66" s="105"/>
      <c r="Q66" s="100">
        <f t="shared" si="5"/>
        <v>0</v>
      </c>
      <c r="R66" s="86">
        <f t="shared" si="12"/>
        <v>482</v>
      </c>
      <c r="S66" s="87">
        <f t="shared" si="15"/>
        <v>7.2724160000000007</v>
      </c>
      <c r="T66" s="106">
        <v>0</v>
      </c>
      <c r="U66" s="89">
        <f t="shared" si="8"/>
        <v>0</v>
      </c>
      <c r="V66" s="90">
        <f t="shared" si="9"/>
        <v>482</v>
      </c>
      <c r="W66" s="107">
        <f t="shared" si="10"/>
        <v>7.2724160000000007</v>
      </c>
      <c r="X66">
        <f t="shared" si="11"/>
        <v>30</v>
      </c>
    </row>
    <row r="67" spans="1:24" x14ac:dyDescent="0.25">
      <c r="A67" s="108" t="s">
        <v>82</v>
      </c>
      <c r="B67" s="96">
        <v>82</v>
      </c>
      <c r="C67" s="96">
        <v>80</v>
      </c>
      <c r="D67" s="96">
        <v>2</v>
      </c>
      <c r="E67" s="109">
        <f t="shared" si="3"/>
        <v>1.312E-2</v>
      </c>
      <c r="F67" s="25">
        <f>'EYLÜL 1. HAFTA'!V67</f>
        <v>432</v>
      </c>
      <c r="G67" s="110">
        <f t="shared" si="4"/>
        <v>5.66784</v>
      </c>
      <c r="H67" s="96"/>
      <c r="I67" s="100">
        <f t="shared" si="5"/>
        <v>0</v>
      </c>
      <c r="J67" s="96"/>
      <c r="K67" s="100">
        <f t="shared" si="5"/>
        <v>0</v>
      </c>
      <c r="L67" s="96"/>
      <c r="M67" s="11">
        <f t="shared" si="14"/>
        <v>0</v>
      </c>
      <c r="N67" s="96"/>
      <c r="O67" s="10">
        <f t="shared" si="6"/>
        <v>0</v>
      </c>
      <c r="P67" s="96"/>
      <c r="Q67" s="100">
        <f t="shared" si="5"/>
        <v>0</v>
      </c>
      <c r="R67" s="86">
        <f t="shared" si="12"/>
        <v>432</v>
      </c>
      <c r="S67" s="87">
        <f t="shared" si="15"/>
        <v>5.66784</v>
      </c>
      <c r="T67" s="101"/>
      <c r="U67" s="100">
        <f t="shared" si="5"/>
        <v>0</v>
      </c>
      <c r="V67" s="90">
        <f t="shared" si="9"/>
        <v>432</v>
      </c>
      <c r="W67" s="107">
        <f t="shared" si="10"/>
        <v>5.66784</v>
      </c>
      <c r="X67">
        <f t="shared" si="11"/>
        <v>0</v>
      </c>
    </row>
    <row r="68" spans="1:24" x14ac:dyDescent="0.25">
      <c r="A68" s="108" t="s">
        <v>83</v>
      </c>
      <c r="B68" s="96">
        <v>86</v>
      </c>
      <c r="C68" s="96">
        <v>77</v>
      </c>
      <c r="D68" s="96">
        <v>8</v>
      </c>
      <c r="E68" s="109">
        <f t="shared" si="3"/>
        <v>5.2976000000000002E-2</v>
      </c>
      <c r="F68" s="25">
        <f>'EYLÜL 1. HAFTA'!V68</f>
        <v>97</v>
      </c>
      <c r="G68" s="110">
        <f t="shared" si="4"/>
        <v>5.1386720000000006</v>
      </c>
      <c r="H68" s="96"/>
      <c r="I68" s="100">
        <f t="shared" si="5"/>
        <v>0</v>
      </c>
      <c r="J68" s="96"/>
      <c r="K68" s="100">
        <f t="shared" si="5"/>
        <v>0</v>
      </c>
      <c r="L68" s="96">
        <v>4</v>
      </c>
      <c r="M68" s="11">
        <f t="shared" si="14"/>
        <v>0.21190400000000001</v>
      </c>
      <c r="N68" s="96">
        <v>12</v>
      </c>
      <c r="O68" s="10">
        <f t="shared" si="6"/>
        <v>0.63571200000000005</v>
      </c>
      <c r="P68" s="96"/>
      <c r="Q68" s="100">
        <f t="shared" si="5"/>
        <v>0</v>
      </c>
      <c r="R68" s="86">
        <f t="shared" si="12"/>
        <v>81</v>
      </c>
      <c r="S68" s="87">
        <f t="shared" si="15"/>
        <v>4.2910560000000002</v>
      </c>
      <c r="T68" s="101"/>
      <c r="U68" s="100">
        <f t="shared" si="5"/>
        <v>0</v>
      </c>
      <c r="V68" s="90">
        <f t="shared" si="9"/>
        <v>81</v>
      </c>
      <c r="W68" s="107">
        <f t="shared" si="10"/>
        <v>4.2910560000000002</v>
      </c>
      <c r="X68">
        <f t="shared" si="11"/>
        <v>16</v>
      </c>
    </row>
    <row r="69" spans="1:24" x14ac:dyDescent="0.25">
      <c r="A69" s="108" t="s">
        <v>84</v>
      </c>
      <c r="B69" s="96">
        <v>76</v>
      </c>
      <c r="C69" s="96">
        <v>75</v>
      </c>
      <c r="D69" s="96">
        <v>8</v>
      </c>
      <c r="E69" s="109">
        <f t="shared" si="3"/>
        <v>4.5600000000000002E-2</v>
      </c>
      <c r="F69" s="25">
        <f>'EYLÜL 1. HAFTA'!V69</f>
        <v>102</v>
      </c>
      <c r="G69" s="110">
        <f t="shared" si="4"/>
        <v>4.6512000000000002</v>
      </c>
      <c r="H69" s="96"/>
      <c r="I69" s="100">
        <f t="shared" si="5"/>
        <v>0</v>
      </c>
      <c r="J69" s="96"/>
      <c r="K69" s="100">
        <f t="shared" si="5"/>
        <v>0</v>
      </c>
      <c r="L69" s="96"/>
      <c r="M69" s="11">
        <f t="shared" si="14"/>
        <v>0</v>
      </c>
      <c r="N69" s="96"/>
      <c r="O69" s="10">
        <f t="shared" si="6"/>
        <v>0</v>
      </c>
      <c r="P69" s="96"/>
      <c r="Q69" s="100">
        <f t="shared" si="5"/>
        <v>0</v>
      </c>
      <c r="R69" s="86">
        <f t="shared" si="12"/>
        <v>102</v>
      </c>
      <c r="S69" s="87">
        <f t="shared" si="15"/>
        <v>4.6512000000000002</v>
      </c>
      <c r="T69" s="101"/>
      <c r="U69" s="100">
        <f t="shared" si="5"/>
        <v>0</v>
      </c>
      <c r="V69" s="90">
        <f t="shared" si="9"/>
        <v>102</v>
      </c>
      <c r="W69" s="107">
        <f t="shared" si="10"/>
        <v>4.6512000000000002</v>
      </c>
      <c r="X69">
        <f t="shared" si="11"/>
        <v>0</v>
      </c>
    </row>
    <row r="70" spans="1:24" x14ac:dyDescent="0.25">
      <c r="A70" s="108" t="s">
        <v>85</v>
      </c>
      <c r="B70" s="96">
        <v>140</v>
      </c>
      <c r="C70" s="96">
        <v>240</v>
      </c>
      <c r="D70" s="96">
        <v>12</v>
      </c>
      <c r="E70" s="109">
        <f t="shared" ref="E70" si="16">(B70*C70*D70)/1000000</f>
        <v>0.4032</v>
      </c>
      <c r="F70" s="25">
        <f>'EYLÜL 1. HAFTA'!V70</f>
        <v>10</v>
      </c>
      <c r="G70" s="110">
        <f t="shared" ref="G70" si="17">E70*F70</f>
        <v>4.032</v>
      </c>
      <c r="H70" s="96"/>
      <c r="I70" s="100">
        <f t="shared" ref="I70" si="18">E70*H70</f>
        <v>0</v>
      </c>
      <c r="J70" s="96"/>
      <c r="K70" s="100">
        <f t="shared" ref="K70" si="19">G70*J70</f>
        <v>0</v>
      </c>
      <c r="L70" s="96"/>
      <c r="M70" s="100">
        <f t="shared" ref="M70" si="20">I70*L70</f>
        <v>0</v>
      </c>
      <c r="N70" s="96">
        <v>1</v>
      </c>
      <c r="O70" s="10">
        <f t="shared" ref="O70" si="21">E70*N70</f>
        <v>0.4032</v>
      </c>
      <c r="P70" s="96"/>
      <c r="Q70" s="100">
        <f t="shared" ref="Q70" si="22">M70*P70</f>
        <v>0</v>
      </c>
      <c r="R70" s="86">
        <f t="shared" si="12"/>
        <v>9</v>
      </c>
      <c r="S70" s="87">
        <f t="shared" ref="S70" si="23">E70*R70</f>
        <v>3.6288</v>
      </c>
      <c r="T70" s="101"/>
      <c r="U70" s="100">
        <f t="shared" ref="U70" si="24">Q70*T70</f>
        <v>0</v>
      </c>
      <c r="V70" s="90">
        <f t="shared" si="9"/>
        <v>9</v>
      </c>
      <c r="W70" s="107">
        <f t="shared" si="10"/>
        <v>3.6288</v>
      </c>
      <c r="X70">
        <f t="shared" ref="X70" si="25">+H70+J70+L70+N70+P70</f>
        <v>1</v>
      </c>
    </row>
    <row r="71" spans="1:24" x14ac:dyDescent="0.25">
      <c r="H71" s="2">
        <f>SUM(H5:H70)</f>
        <v>208</v>
      </c>
      <c r="J71" s="2">
        <f>SUM(J5:J70)</f>
        <v>135</v>
      </c>
      <c r="L71" s="2">
        <f>SUM(L5:L70)</f>
        <v>295</v>
      </c>
      <c r="N71" s="2">
        <f>SUM(N5:N70)</f>
        <v>175</v>
      </c>
      <c r="P71" s="2">
        <f>SUM(P5:P70)</f>
        <v>102</v>
      </c>
      <c r="X71">
        <f>SUM(X5:X70)</f>
        <v>915</v>
      </c>
    </row>
  </sheetData>
  <mergeCells count="24">
    <mergeCell ref="R4:S4"/>
    <mergeCell ref="N3:O3"/>
    <mergeCell ref="P3:Q3"/>
    <mergeCell ref="H2:I2"/>
    <mergeCell ref="J2:K2"/>
    <mergeCell ref="L2:M2"/>
    <mergeCell ref="N2:O2"/>
    <mergeCell ref="P2:Q2"/>
    <mergeCell ref="T2:U3"/>
    <mergeCell ref="V2:W3"/>
    <mergeCell ref="T4:U4"/>
    <mergeCell ref="V4:W4"/>
    <mergeCell ref="B1:G1"/>
    <mergeCell ref="F4:G4"/>
    <mergeCell ref="H4:I4"/>
    <mergeCell ref="J4:K4"/>
    <mergeCell ref="L4:M4"/>
    <mergeCell ref="F2:G3"/>
    <mergeCell ref="N4:O4"/>
    <mergeCell ref="P4:Q4"/>
    <mergeCell ref="R2:S3"/>
    <mergeCell ref="H3:I3"/>
    <mergeCell ref="J3:K3"/>
    <mergeCell ref="L3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71"/>
  <sheetViews>
    <sheetView topLeftCell="E1" workbookViewId="0">
      <selection activeCell="X5" sqref="X5"/>
    </sheetView>
  </sheetViews>
  <sheetFormatPr defaultRowHeight="15" x14ac:dyDescent="0.25"/>
  <cols>
    <col min="1" max="1" width="29.7109375" style="3" customWidth="1"/>
    <col min="2" max="2" width="11.5703125" style="2" customWidth="1"/>
    <col min="3" max="3" width="12.140625" style="2" customWidth="1"/>
    <col min="4" max="4" width="16.5703125" style="2" customWidth="1"/>
    <col min="5" max="5" width="7.7109375" style="4" customWidth="1"/>
    <col min="6" max="7" width="9" style="5" customWidth="1"/>
    <col min="8" max="19" width="8.140625" style="2" customWidth="1"/>
  </cols>
  <sheetData>
    <row r="1" spans="1:24" ht="15.75" thickBot="1" x14ac:dyDescent="0.3">
      <c r="A1" s="4" t="s">
        <v>18</v>
      </c>
      <c r="B1" s="320" t="s">
        <v>75</v>
      </c>
      <c r="C1" s="320"/>
      <c r="D1" s="320"/>
      <c r="E1" s="320"/>
      <c r="F1" s="320"/>
      <c r="G1" s="320"/>
    </row>
    <row r="2" spans="1:24" s="1" customFormat="1" ht="15.75" thickBot="1" x14ac:dyDescent="0.3">
      <c r="A2" s="8" t="s">
        <v>0</v>
      </c>
      <c r="B2" s="28"/>
      <c r="C2" s="29"/>
      <c r="D2" s="29"/>
      <c r="E2" s="14"/>
      <c r="F2" s="321" t="s">
        <v>1</v>
      </c>
      <c r="G2" s="322"/>
      <c r="H2" s="325">
        <v>44823</v>
      </c>
      <c r="I2" s="326"/>
      <c r="J2" s="327">
        <v>44824</v>
      </c>
      <c r="K2" s="328"/>
      <c r="L2" s="325">
        <v>44825</v>
      </c>
      <c r="M2" s="329"/>
      <c r="N2" s="327">
        <v>44826</v>
      </c>
      <c r="O2" s="346"/>
      <c r="P2" s="325">
        <v>44827</v>
      </c>
      <c r="Q2" s="329"/>
      <c r="R2" s="330" t="s">
        <v>69</v>
      </c>
      <c r="S2" s="331"/>
      <c r="T2" s="334" t="s">
        <v>70</v>
      </c>
      <c r="U2" s="335"/>
      <c r="V2" s="338" t="s">
        <v>71</v>
      </c>
      <c r="W2" s="339"/>
    </row>
    <row r="3" spans="1:24" s="1" customFormat="1" ht="15.75" thickBot="1" x14ac:dyDescent="0.3">
      <c r="A3" s="7"/>
      <c r="B3" s="30"/>
      <c r="C3" s="31"/>
      <c r="D3" s="31"/>
      <c r="E3" s="15"/>
      <c r="F3" s="323"/>
      <c r="G3" s="324"/>
      <c r="H3" s="342" t="s">
        <v>68</v>
      </c>
      <c r="I3" s="343"/>
      <c r="J3" s="344" t="s">
        <v>68</v>
      </c>
      <c r="K3" s="345"/>
      <c r="L3" s="342" t="s">
        <v>68</v>
      </c>
      <c r="M3" s="343"/>
      <c r="N3" s="344" t="s">
        <v>68</v>
      </c>
      <c r="O3" s="345"/>
      <c r="P3" s="342" t="s">
        <v>68</v>
      </c>
      <c r="Q3" s="343"/>
      <c r="R3" s="332"/>
      <c r="S3" s="333"/>
      <c r="T3" s="336"/>
      <c r="U3" s="337"/>
      <c r="V3" s="340"/>
      <c r="W3" s="341"/>
    </row>
    <row r="4" spans="1:24" ht="15.75" thickBot="1" x14ac:dyDescent="0.3">
      <c r="A4" s="42"/>
      <c r="B4" s="16" t="s">
        <v>65</v>
      </c>
      <c r="C4" s="17" t="s">
        <v>66</v>
      </c>
      <c r="D4" s="17" t="s">
        <v>67</v>
      </c>
      <c r="E4" s="18" t="s">
        <v>64</v>
      </c>
      <c r="F4" s="323" t="s">
        <v>63</v>
      </c>
      <c r="G4" s="324"/>
      <c r="H4" s="353" t="s">
        <v>63</v>
      </c>
      <c r="I4" s="354"/>
      <c r="J4" s="355" t="s">
        <v>63</v>
      </c>
      <c r="K4" s="356"/>
      <c r="L4" s="353" t="s">
        <v>63</v>
      </c>
      <c r="M4" s="354"/>
      <c r="N4" s="355" t="s">
        <v>63</v>
      </c>
      <c r="O4" s="356"/>
      <c r="P4" s="353" t="s">
        <v>63</v>
      </c>
      <c r="Q4" s="354"/>
      <c r="R4" s="347" t="s">
        <v>63</v>
      </c>
      <c r="S4" s="348"/>
      <c r="T4" s="349" t="s">
        <v>63</v>
      </c>
      <c r="U4" s="350"/>
      <c r="V4" s="351" t="s">
        <v>63</v>
      </c>
      <c r="W4" s="357"/>
    </row>
    <row r="5" spans="1:24" x14ac:dyDescent="0.25">
      <c r="A5" s="42" t="s">
        <v>2</v>
      </c>
      <c r="B5" s="32">
        <v>140</v>
      </c>
      <c r="C5" s="33">
        <v>240</v>
      </c>
      <c r="D5" s="33">
        <v>1</v>
      </c>
      <c r="E5" s="15">
        <f>(B5*C5*D5)/1000000</f>
        <v>3.3599999999999998E-2</v>
      </c>
      <c r="F5" s="23">
        <f>'EYLÜL 2. HAFTA '!V5</f>
        <v>290</v>
      </c>
      <c r="G5" s="24">
        <f>E5*F5</f>
        <v>9.7439999999999998</v>
      </c>
      <c r="H5" s="21">
        <v>2</v>
      </c>
      <c r="I5" s="11">
        <f>E5*H5</f>
        <v>6.7199999999999996E-2</v>
      </c>
      <c r="J5" s="9"/>
      <c r="K5" s="10">
        <f t="shared" ref="K5:K36" si="0">E5*J5</f>
        <v>0</v>
      </c>
      <c r="L5" s="21">
        <v>23</v>
      </c>
      <c r="M5" s="11">
        <f t="shared" ref="M5:M36" si="1">E5*L5</f>
        <v>0.77279999999999993</v>
      </c>
      <c r="N5" s="9">
        <v>22</v>
      </c>
      <c r="O5" s="10">
        <f>E5*N5</f>
        <v>0.73919999999999997</v>
      </c>
      <c r="P5" s="21">
        <v>197</v>
      </c>
      <c r="Q5" s="11">
        <f>E5*P5</f>
        <v>6.6191999999999993</v>
      </c>
      <c r="R5" s="39">
        <f>F5-H5-J5-L5-N5-P5</f>
        <v>46</v>
      </c>
      <c r="S5" s="38">
        <f t="shared" ref="S5:S36" si="2">E5*R5</f>
        <v>1.5455999999999999</v>
      </c>
      <c r="T5" s="12">
        <v>611</v>
      </c>
      <c r="U5" s="13">
        <f>E5*T5</f>
        <v>20.529599999999999</v>
      </c>
      <c r="V5" s="49">
        <f>R5+T5</f>
        <v>657</v>
      </c>
      <c r="W5" s="50">
        <f>E5*V5</f>
        <v>22.075199999999999</v>
      </c>
      <c r="X5">
        <f>+H5+J5+L5+N5+P5</f>
        <v>244</v>
      </c>
    </row>
    <row r="6" spans="1:24" x14ac:dyDescent="0.25">
      <c r="A6" s="42" t="s">
        <v>3</v>
      </c>
      <c r="B6" s="34">
        <v>140</v>
      </c>
      <c r="C6" s="35">
        <v>240</v>
      </c>
      <c r="D6" s="35">
        <v>0.8</v>
      </c>
      <c r="E6" s="19">
        <f t="shared" ref="E6:E69" si="3">(B6*C6*D6)/1000000</f>
        <v>2.6880000000000001E-2</v>
      </c>
      <c r="F6" s="23">
        <f>'EYLÜL 2. HAFTA '!V6</f>
        <v>453</v>
      </c>
      <c r="G6" s="26">
        <f t="shared" ref="G6:G69" si="4">E6*F6</f>
        <v>12.176640000000001</v>
      </c>
      <c r="H6" s="22">
        <v>8</v>
      </c>
      <c r="I6" s="11">
        <f t="shared" ref="I6:Q65" si="5">E6*H6</f>
        <v>0.21504000000000001</v>
      </c>
      <c r="J6" s="6">
        <v>10</v>
      </c>
      <c r="K6" s="10">
        <f t="shared" si="0"/>
        <v>0.26880000000000004</v>
      </c>
      <c r="L6" s="22">
        <v>9</v>
      </c>
      <c r="M6" s="11">
        <f t="shared" si="1"/>
        <v>0.24192000000000002</v>
      </c>
      <c r="N6" s="6">
        <v>8</v>
      </c>
      <c r="O6" s="10">
        <f t="shared" ref="O6:O69" si="6">E6*N6</f>
        <v>0.21504000000000001</v>
      </c>
      <c r="P6" s="22">
        <v>2</v>
      </c>
      <c r="Q6" s="11">
        <f t="shared" ref="Q6:Q64" si="7">E6*P6</f>
        <v>5.3760000000000002E-2</v>
      </c>
      <c r="R6" s="39">
        <f>F6-H6-J6-L6-N6-P6</f>
        <v>416</v>
      </c>
      <c r="S6" s="38">
        <f t="shared" si="2"/>
        <v>11.182080000000001</v>
      </c>
      <c r="T6" s="12"/>
      <c r="U6" s="13">
        <f t="shared" ref="U6:U66" si="8">E6*T6</f>
        <v>0</v>
      </c>
      <c r="V6" s="49">
        <f t="shared" ref="V6:V69" si="9">R6+T6</f>
        <v>416</v>
      </c>
      <c r="W6" s="50">
        <f t="shared" ref="W6:W69" si="10">E6*V6</f>
        <v>11.182080000000001</v>
      </c>
      <c r="X6">
        <f t="shared" ref="X6:X69" si="11">+H6+J6+L6+N6+P6</f>
        <v>37</v>
      </c>
    </row>
    <row r="7" spans="1:24" x14ac:dyDescent="0.25">
      <c r="A7" s="42" t="s">
        <v>4</v>
      </c>
      <c r="B7" s="34">
        <v>140</v>
      </c>
      <c r="C7" s="35">
        <v>240</v>
      </c>
      <c r="D7" s="35">
        <v>1.4</v>
      </c>
      <c r="E7" s="19">
        <f t="shared" si="3"/>
        <v>4.7039999999999998E-2</v>
      </c>
      <c r="F7" s="23">
        <f>'EYLÜL 2. HAFTA '!V7</f>
        <v>95</v>
      </c>
      <c r="G7" s="26">
        <f t="shared" si="4"/>
        <v>4.4687999999999999</v>
      </c>
      <c r="H7" s="22">
        <v>59</v>
      </c>
      <c r="I7" s="11">
        <f t="shared" si="5"/>
        <v>2.77536</v>
      </c>
      <c r="J7" s="6">
        <v>36</v>
      </c>
      <c r="K7" s="10">
        <f t="shared" si="0"/>
        <v>1.6934399999999998</v>
      </c>
      <c r="L7" s="22"/>
      <c r="M7" s="11">
        <f t="shared" si="1"/>
        <v>0</v>
      </c>
      <c r="N7" s="6">
        <v>16</v>
      </c>
      <c r="O7" s="10">
        <f t="shared" si="6"/>
        <v>0.75263999999999998</v>
      </c>
      <c r="P7" s="22">
        <v>1</v>
      </c>
      <c r="Q7" s="11">
        <f t="shared" si="7"/>
        <v>4.7039999999999998E-2</v>
      </c>
      <c r="R7" s="39">
        <f t="shared" ref="R7:R70" si="12">F7-H7-J7-L7-N7-P7</f>
        <v>-17</v>
      </c>
      <c r="S7" s="38">
        <f t="shared" si="2"/>
        <v>-0.79967999999999995</v>
      </c>
      <c r="T7" s="12">
        <v>82</v>
      </c>
      <c r="U7" s="13">
        <f t="shared" si="8"/>
        <v>3.8572799999999998</v>
      </c>
      <c r="V7" s="49">
        <f t="shared" si="9"/>
        <v>65</v>
      </c>
      <c r="W7" s="50">
        <f t="shared" si="10"/>
        <v>3.0575999999999999</v>
      </c>
      <c r="X7">
        <f t="shared" si="11"/>
        <v>112</v>
      </c>
    </row>
    <row r="8" spans="1:24" x14ac:dyDescent="0.25">
      <c r="A8" s="42" t="s">
        <v>5</v>
      </c>
      <c r="B8" s="34">
        <v>140</v>
      </c>
      <c r="C8" s="35">
        <v>240</v>
      </c>
      <c r="D8" s="35">
        <v>4</v>
      </c>
      <c r="E8" s="19">
        <f t="shared" si="3"/>
        <v>0.13439999999999999</v>
      </c>
      <c r="F8" s="23">
        <f>'EYLÜL 2. HAFTA '!V8</f>
        <v>39</v>
      </c>
      <c r="G8" s="26">
        <f t="shared" si="4"/>
        <v>5.2416</v>
      </c>
      <c r="H8" s="22">
        <v>1</v>
      </c>
      <c r="I8" s="11">
        <f t="shared" si="5"/>
        <v>0.13439999999999999</v>
      </c>
      <c r="J8" s="6">
        <v>1</v>
      </c>
      <c r="K8" s="10">
        <f t="shared" si="0"/>
        <v>0.13439999999999999</v>
      </c>
      <c r="L8" s="22"/>
      <c r="M8" s="11">
        <f t="shared" si="1"/>
        <v>0</v>
      </c>
      <c r="N8" s="6"/>
      <c r="O8" s="10">
        <f t="shared" si="6"/>
        <v>0</v>
      </c>
      <c r="P8" s="22"/>
      <c r="Q8" s="11">
        <f t="shared" si="7"/>
        <v>0</v>
      </c>
      <c r="R8" s="39">
        <f t="shared" si="12"/>
        <v>37</v>
      </c>
      <c r="S8" s="38">
        <f t="shared" si="2"/>
        <v>4.9727999999999994</v>
      </c>
      <c r="T8" s="12"/>
      <c r="U8" s="13">
        <f t="shared" si="8"/>
        <v>0</v>
      </c>
      <c r="V8" s="49">
        <f t="shared" si="9"/>
        <v>37</v>
      </c>
      <c r="W8" s="50">
        <f t="shared" si="10"/>
        <v>4.9727999999999994</v>
      </c>
      <c r="X8">
        <f t="shared" si="11"/>
        <v>2</v>
      </c>
    </row>
    <row r="9" spans="1:24" x14ac:dyDescent="0.25">
      <c r="A9" s="42" t="s">
        <v>6</v>
      </c>
      <c r="B9" s="34">
        <v>140</v>
      </c>
      <c r="C9" s="35">
        <v>240</v>
      </c>
      <c r="D9" s="35">
        <v>2</v>
      </c>
      <c r="E9" s="19">
        <f t="shared" si="3"/>
        <v>6.7199999999999996E-2</v>
      </c>
      <c r="F9" s="23">
        <f>'EYLÜL 2. HAFTA '!V9</f>
        <v>100</v>
      </c>
      <c r="G9" s="26">
        <f t="shared" si="4"/>
        <v>6.72</v>
      </c>
      <c r="H9" s="22">
        <v>15</v>
      </c>
      <c r="I9" s="11">
        <f t="shared" si="5"/>
        <v>1.008</v>
      </c>
      <c r="J9" s="6">
        <v>4</v>
      </c>
      <c r="K9" s="10">
        <f t="shared" si="0"/>
        <v>0.26879999999999998</v>
      </c>
      <c r="L9" s="22">
        <v>1</v>
      </c>
      <c r="M9" s="11">
        <f t="shared" si="1"/>
        <v>6.7199999999999996E-2</v>
      </c>
      <c r="N9" s="6">
        <v>3</v>
      </c>
      <c r="O9" s="10">
        <f t="shared" si="6"/>
        <v>0.2016</v>
      </c>
      <c r="P9" s="22">
        <v>15</v>
      </c>
      <c r="Q9" s="11">
        <f t="shared" si="7"/>
        <v>1.008</v>
      </c>
      <c r="R9" s="39">
        <f t="shared" si="12"/>
        <v>62</v>
      </c>
      <c r="S9" s="38">
        <f t="shared" si="2"/>
        <v>4.1663999999999994</v>
      </c>
      <c r="T9" s="12"/>
      <c r="U9" s="13">
        <f t="shared" si="8"/>
        <v>0</v>
      </c>
      <c r="V9" s="49">
        <f t="shared" si="9"/>
        <v>62</v>
      </c>
      <c r="W9" s="50">
        <f t="shared" si="10"/>
        <v>4.1663999999999994</v>
      </c>
      <c r="X9">
        <f t="shared" si="11"/>
        <v>38</v>
      </c>
    </row>
    <row r="10" spans="1:24" x14ac:dyDescent="0.25">
      <c r="A10" s="42" t="s">
        <v>7</v>
      </c>
      <c r="B10" s="34">
        <v>140</v>
      </c>
      <c r="C10" s="35">
        <v>240</v>
      </c>
      <c r="D10" s="35">
        <v>2</v>
      </c>
      <c r="E10" s="19">
        <f t="shared" si="3"/>
        <v>6.7199999999999996E-2</v>
      </c>
      <c r="F10" s="23">
        <f>'EYLÜL 2. HAFTA '!V10</f>
        <v>12</v>
      </c>
      <c r="G10" s="26">
        <f t="shared" si="4"/>
        <v>0.80640000000000001</v>
      </c>
      <c r="H10" s="22"/>
      <c r="I10" s="11">
        <f t="shared" si="5"/>
        <v>0</v>
      </c>
      <c r="J10" s="6"/>
      <c r="K10" s="10">
        <f t="shared" si="0"/>
        <v>0</v>
      </c>
      <c r="L10" s="22">
        <v>31</v>
      </c>
      <c r="M10" s="11">
        <f t="shared" si="1"/>
        <v>2.0831999999999997</v>
      </c>
      <c r="N10" s="6">
        <v>10</v>
      </c>
      <c r="O10" s="10">
        <f t="shared" si="6"/>
        <v>0.67199999999999993</v>
      </c>
      <c r="P10" s="22"/>
      <c r="Q10" s="11">
        <f t="shared" si="7"/>
        <v>0</v>
      </c>
      <c r="R10" s="39">
        <f t="shared" si="12"/>
        <v>-29</v>
      </c>
      <c r="S10" s="38">
        <f t="shared" si="2"/>
        <v>-1.9487999999999999</v>
      </c>
      <c r="T10" s="12">
        <v>356</v>
      </c>
      <c r="U10" s="13">
        <f t="shared" si="8"/>
        <v>23.923199999999998</v>
      </c>
      <c r="V10" s="49">
        <f t="shared" si="9"/>
        <v>327</v>
      </c>
      <c r="W10" s="50">
        <f t="shared" si="10"/>
        <v>21.974399999999999</v>
      </c>
      <c r="X10">
        <f t="shared" si="11"/>
        <v>41</v>
      </c>
    </row>
    <row r="11" spans="1:24" x14ac:dyDescent="0.25">
      <c r="A11" s="42" t="s">
        <v>8</v>
      </c>
      <c r="B11" s="34">
        <v>140</v>
      </c>
      <c r="C11" s="35">
        <v>240</v>
      </c>
      <c r="D11" s="35">
        <v>7</v>
      </c>
      <c r="E11" s="19">
        <f t="shared" si="3"/>
        <v>0.23519999999999999</v>
      </c>
      <c r="F11" s="23">
        <f>'EYLÜL 2. HAFTA '!V11</f>
        <v>4</v>
      </c>
      <c r="G11" s="26">
        <f t="shared" si="4"/>
        <v>0.94079999999999997</v>
      </c>
      <c r="H11" s="22">
        <v>4</v>
      </c>
      <c r="I11" s="11">
        <f t="shared" si="5"/>
        <v>0.94079999999999997</v>
      </c>
      <c r="J11" s="6"/>
      <c r="K11" s="10">
        <f t="shared" si="0"/>
        <v>0</v>
      </c>
      <c r="L11" s="22"/>
      <c r="M11" s="11">
        <f t="shared" si="1"/>
        <v>0</v>
      </c>
      <c r="N11" s="6">
        <v>1</v>
      </c>
      <c r="O11" s="10">
        <f t="shared" si="6"/>
        <v>0.23519999999999999</v>
      </c>
      <c r="P11" s="22">
        <v>3</v>
      </c>
      <c r="Q11" s="11">
        <f t="shared" si="7"/>
        <v>0.7056</v>
      </c>
      <c r="R11" s="39">
        <f t="shared" si="12"/>
        <v>-4</v>
      </c>
      <c r="S11" s="38">
        <f t="shared" si="2"/>
        <v>-0.94079999999999997</v>
      </c>
      <c r="T11" s="12">
        <v>29</v>
      </c>
      <c r="U11" s="13">
        <f t="shared" si="8"/>
        <v>6.8208000000000002</v>
      </c>
      <c r="V11" s="49">
        <f t="shared" si="9"/>
        <v>25</v>
      </c>
      <c r="W11" s="50">
        <f t="shared" si="10"/>
        <v>5.88</v>
      </c>
      <c r="X11">
        <f t="shared" si="11"/>
        <v>8</v>
      </c>
    </row>
    <row r="12" spans="1:24" x14ac:dyDescent="0.25">
      <c r="A12" s="42" t="s">
        <v>9</v>
      </c>
      <c r="B12" s="34">
        <v>140</v>
      </c>
      <c r="C12" s="35">
        <v>240</v>
      </c>
      <c r="D12" s="35">
        <v>5</v>
      </c>
      <c r="E12" s="19">
        <f t="shared" si="3"/>
        <v>0.16800000000000001</v>
      </c>
      <c r="F12" s="23">
        <f>'EYLÜL 2. HAFTA '!V12</f>
        <v>375</v>
      </c>
      <c r="G12" s="26">
        <f t="shared" si="4"/>
        <v>63.000000000000007</v>
      </c>
      <c r="H12" s="22"/>
      <c r="I12" s="11">
        <f t="shared" si="5"/>
        <v>0</v>
      </c>
      <c r="J12" s="6"/>
      <c r="K12" s="10">
        <f t="shared" si="0"/>
        <v>0</v>
      </c>
      <c r="L12" s="22"/>
      <c r="M12" s="11">
        <f t="shared" si="1"/>
        <v>0</v>
      </c>
      <c r="N12" s="6"/>
      <c r="O12" s="10">
        <f t="shared" si="6"/>
        <v>0</v>
      </c>
      <c r="P12" s="22">
        <v>1</v>
      </c>
      <c r="Q12" s="11">
        <f t="shared" si="7"/>
        <v>0.16800000000000001</v>
      </c>
      <c r="R12" s="39">
        <f t="shared" si="12"/>
        <v>374</v>
      </c>
      <c r="S12" s="38">
        <f t="shared" si="2"/>
        <v>62.832000000000001</v>
      </c>
      <c r="T12" s="12"/>
      <c r="U12" s="13">
        <f t="shared" si="8"/>
        <v>0</v>
      </c>
      <c r="V12" s="49">
        <f t="shared" si="9"/>
        <v>374</v>
      </c>
      <c r="W12" s="50">
        <f t="shared" si="10"/>
        <v>62.832000000000001</v>
      </c>
      <c r="X12">
        <f t="shared" si="11"/>
        <v>1</v>
      </c>
    </row>
    <row r="13" spans="1:24" x14ac:dyDescent="0.25">
      <c r="A13" s="42" t="s">
        <v>10</v>
      </c>
      <c r="B13" s="34">
        <v>140</v>
      </c>
      <c r="C13" s="35">
        <v>240</v>
      </c>
      <c r="D13" s="35">
        <v>5</v>
      </c>
      <c r="E13" s="19">
        <f t="shared" si="3"/>
        <v>0.16800000000000001</v>
      </c>
      <c r="F13" s="23">
        <f>'EYLÜL 2. HAFTA '!V13</f>
        <v>43</v>
      </c>
      <c r="G13" s="26">
        <f t="shared" si="4"/>
        <v>7.2240000000000002</v>
      </c>
      <c r="H13" s="22"/>
      <c r="I13" s="11">
        <f t="shared" si="5"/>
        <v>0</v>
      </c>
      <c r="J13" s="6"/>
      <c r="K13" s="10">
        <f t="shared" si="0"/>
        <v>0</v>
      </c>
      <c r="L13" s="22">
        <v>1</v>
      </c>
      <c r="M13" s="11">
        <f t="shared" si="1"/>
        <v>0.16800000000000001</v>
      </c>
      <c r="N13" s="6"/>
      <c r="O13" s="10">
        <f t="shared" si="6"/>
        <v>0</v>
      </c>
      <c r="P13" s="22"/>
      <c r="Q13" s="11">
        <f t="shared" si="7"/>
        <v>0</v>
      </c>
      <c r="R13" s="39">
        <f t="shared" si="12"/>
        <v>42</v>
      </c>
      <c r="S13" s="38">
        <f t="shared" si="2"/>
        <v>7.056</v>
      </c>
      <c r="T13" s="12"/>
      <c r="U13" s="13">
        <f t="shared" si="8"/>
        <v>0</v>
      </c>
      <c r="V13" s="49">
        <f t="shared" si="9"/>
        <v>42</v>
      </c>
      <c r="W13" s="50">
        <f t="shared" si="10"/>
        <v>7.056</v>
      </c>
      <c r="X13">
        <f t="shared" si="11"/>
        <v>1</v>
      </c>
    </row>
    <row r="14" spans="1:24" x14ac:dyDescent="0.25">
      <c r="A14" s="42" t="s">
        <v>11</v>
      </c>
      <c r="B14" s="34">
        <v>140</v>
      </c>
      <c r="C14" s="35">
        <v>240</v>
      </c>
      <c r="D14" s="35">
        <v>5</v>
      </c>
      <c r="E14" s="19">
        <f t="shared" si="3"/>
        <v>0.16800000000000001</v>
      </c>
      <c r="F14" s="23">
        <f>'EYLÜL 2. HAFTA '!V14</f>
        <v>73</v>
      </c>
      <c r="G14" s="26">
        <f t="shared" si="4"/>
        <v>12.264000000000001</v>
      </c>
      <c r="H14" s="22"/>
      <c r="I14" s="11">
        <f t="shared" si="5"/>
        <v>0</v>
      </c>
      <c r="J14" s="6"/>
      <c r="K14" s="10">
        <f t="shared" si="0"/>
        <v>0</v>
      </c>
      <c r="L14" s="22"/>
      <c r="M14" s="11">
        <f t="shared" si="1"/>
        <v>0</v>
      </c>
      <c r="N14" s="6">
        <v>3</v>
      </c>
      <c r="O14" s="10">
        <f t="shared" si="6"/>
        <v>0.504</v>
      </c>
      <c r="P14" s="22">
        <v>5</v>
      </c>
      <c r="Q14" s="11">
        <f t="shared" si="7"/>
        <v>0.84000000000000008</v>
      </c>
      <c r="R14" s="39">
        <f t="shared" si="12"/>
        <v>65</v>
      </c>
      <c r="S14" s="38">
        <f t="shared" si="2"/>
        <v>10.92</v>
      </c>
      <c r="T14" s="12"/>
      <c r="U14" s="13">
        <f t="shared" si="8"/>
        <v>0</v>
      </c>
      <c r="V14" s="49">
        <f t="shared" si="9"/>
        <v>65</v>
      </c>
      <c r="W14" s="50">
        <f t="shared" si="10"/>
        <v>10.92</v>
      </c>
      <c r="X14">
        <f t="shared" si="11"/>
        <v>8</v>
      </c>
    </row>
    <row r="15" spans="1:24" x14ac:dyDescent="0.25">
      <c r="A15" s="42" t="s">
        <v>12</v>
      </c>
      <c r="B15" s="34">
        <v>140</v>
      </c>
      <c r="C15" s="35">
        <v>240</v>
      </c>
      <c r="D15" s="35">
        <v>10</v>
      </c>
      <c r="E15" s="19">
        <f t="shared" si="3"/>
        <v>0.33600000000000002</v>
      </c>
      <c r="F15" s="23">
        <f>'EYLÜL 2. HAFTA '!V15</f>
        <v>41</v>
      </c>
      <c r="G15" s="26">
        <f t="shared" si="4"/>
        <v>13.776000000000002</v>
      </c>
      <c r="H15" s="22">
        <v>2</v>
      </c>
      <c r="I15" s="11">
        <f t="shared" si="5"/>
        <v>0.67200000000000004</v>
      </c>
      <c r="J15" s="6"/>
      <c r="K15" s="10">
        <f t="shared" si="0"/>
        <v>0</v>
      </c>
      <c r="L15" s="22">
        <v>1</v>
      </c>
      <c r="M15" s="11">
        <f t="shared" si="1"/>
        <v>0.33600000000000002</v>
      </c>
      <c r="N15" s="6">
        <v>1</v>
      </c>
      <c r="O15" s="10">
        <f t="shared" si="6"/>
        <v>0.33600000000000002</v>
      </c>
      <c r="P15" s="22">
        <v>5</v>
      </c>
      <c r="Q15" s="11">
        <f t="shared" si="7"/>
        <v>1.6800000000000002</v>
      </c>
      <c r="R15" s="39">
        <f t="shared" si="12"/>
        <v>32</v>
      </c>
      <c r="S15" s="38">
        <f t="shared" si="2"/>
        <v>10.752000000000001</v>
      </c>
      <c r="T15" s="12"/>
      <c r="U15" s="13">
        <f t="shared" si="8"/>
        <v>0</v>
      </c>
      <c r="V15" s="49">
        <f t="shared" si="9"/>
        <v>32</v>
      </c>
      <c r="W15" s="50">
        <f t="shared" si="10"/>
        <v>10.752000000000001</v>
      </c>
      <c r="X15">
        <f t="shared" si="11"/>
        <v>9</v>
      </c>
    </row>
    <row r="16" spans="1:24" x14ac:dyDescent="0.25">
      <c r="A16" s="42" t="s">
        <v>13</v>
      </c>
      <c r="B16" s="34">
        <v>140</v>
      </c>
      <c r="C16" s="35">
        <v>240</v>
      </c>
      <c r="D16" s="35">
        <v>3</v>
      </c>
      <c r="E16" s="19">
        <f t="shared" si="3"/>
        <v>0.1008</v>
      </c>
      <c r="F16" s="23">
        <f>'EYLÜL 2. HAFTA '!V16</f>
        <v>198</v>
      </c>
      <c r="G16" s="26">
        <f t="shared" si="4"/>
        <v>19.958400000000001</v>
      </c>
      <c r="H16" s="22">
        <v>1</v>
      </c>
      <c r="I16" s="11">
        <f t="shared" si="5"/>
        <v>0.1008</v>
      </c>
      <c r="J16" s="6"/>
      <c r="K16" s="10">
        <f t="shared" si="0"/>
        <v>0</v>
      </c>
      <c r="L16" s="22"/>
      <c r="M16" s="11">
        <f t="shared" si="1"/>
        <v>0</v>
      </c>
      <c r="N16" s="6">
        <v>11</v>
      </c>
      <c r="O16" s="10">
        <f t="shared" si="6"/>
        <v>1.1088</v>
      </c>
      <c r="P16" s="22"/>
      <c r="Q16" s="11">
        <f t="shared" si="7"/>
        <v>0</v>
      </c>
      <c r="R16" s="39">
        <f t="shared" si="12"/>
        <v>186</v>
      </c>
      <c r="S16" s="38">
        <f t="shared" si="2"/>
        <v>18.748799999999999</v>
      </c>
      <c r="T16" s="12"/>
      <c r="U16" s="13">
        <f t="shared" si="8"/>
        <v>0</v>
      </c>
      <c r="V16" s="49">
        <f t="shared" si="9"/>
        <v>186</v>
      </c>
      <c r="W16" s="50">
        <f t="shared" si="10"/>
        <v>18.748799999999999</v>
      </c>
      <c r="X16">
        <f t="shared" si="11"/>
        <v>12</v>
      </c>
    </row>
    <row r="17" spans="1:24" x14ac:dyDescent="0.25">
      <c r="A17" s="42" t="s">
        <v>14</v>
      </c>
      <c r="B17" s="34">
        <v>140</v>
      </c>
      <c r="C17" s="35">
        <v>240</v>
      </c>
      <c r="D17" s="35">
        <v>5</v>
      </c>
      <c r="E17" s="19">
        <f t="shared" si="3"/>
        <v>0.16800000000000001</v>
      </c>
      <c r="F17" s="23">
        <f>'EYLÜL 2. HAFTA '!V17</f>
        <v>12</v>
      </c>
      <c r="G17" s="26">
        <f t="shared" si="4"/>
        <v>2.016</v>
      </c>
      <c r="H17" s="22"/>
      <c r="I17" s="11">
        <f t="shared" si="5"/>
        <v>0</v>
      </c>
      <c r="J17" s="6">
        <v>2</v>
      </c>
      <c r="K17" s="10">
        <f t="shared" si="0"/>
        <v>0.33600000000000002</v>
      </c>
      <c r="L17" s="22">
        <v>1</v>
      </c>
      <c r="M17" s="11">
        <f t="shared" si="1"/>
        <v>0.16800000000000001</v>
      </c>
      <c r="N17" s="6">
        <v>9</v>
      </c>
      <c r="O17" s="10">
        <f t="shared" si="6"/>
        <v>1.512</v>
      </c>
      <c r="P17" s="22">
        <v>0</v>
      </c>
      <c r="Q17" s="11">
        <f t="shared" si="7"/>
        <v>0</v>
      </c>
      <c r="R17" s="39">
        <f t="shared" si="12"/>
        <v>0</v>
      </c>
      <c r="S17" s="38">
        <f t="shared" si="2"/>
        <v>0</v>
      </c>
      <c r="T17" s="12"/>
      <c r="U17" s="13">
        <f t="shared" si="8"/>
        <v>0</v>
      </c>
      <c r="V17" s="49">
        <f t="shared" si="9"/>
        <v>0</v>
      </c>
      <c r="W17" s="50">
        <f t="shared" si="10"/>
        <v>0</v>
      </c>
      <c r="X17">
        <f t="shared" si="11"/>
        <v>12</v>
      </c>
    </row>
    <row r="18" spans="1:24" x14ac:dyDescent="0.25">
      <c r="A18" s="42" t="s">
        <v>15</v>
      </c>
      <c r="B18" s="34">
        <v>140</v>
      </c>
      <c r="C18" s="35">
        <v>240</v>
      </c>
      <c r="D18" s="35">
        <v>3</v>
      </c>
      <c r="E18" s="19">
        <f t="shared" si="3"/>
        <v>0.1008</v>
      </c>
      <c r="F18" s="23">
        <f>'EYLÜL 2. HAFTA '!V18</f>
        <v>211</v>
      </c>
      <c r="G18" s="26">
        <f t="shared" si="4"/>
        <v>21.268799999999999</v>
      </c>
      <c r="H18" s="22">
        <v>1</v>
      </c>
      <c r="I18" s="11">
        <f t="shared" si="5"/>
        <v>0.1008</v>
      </c>
      <c r="J18" s="6"/>
      <c r="K18" s="10">
        <f t="shared" si="0"/>
        <v>0</v>
      </c>
      <c r="L18" s="22">
        <v>1</v>
      </c>
      <c r="M18" s="11">
        <f t="shared" si="1"/>
        <v>0.1008</v>
      </c>
      <c r="N18" s="6">
        <v>1</v>
      </c>
      <c r="O18" s="10">
        <f t="shared" si="6"/>
        <v>0.1008</v>
      </c>
      <c r="P18" s="22"/>
      <c r="Q18" s="11">
        <f t="shared" si="7"/>
        <v>0</v>
      </c>
      <c r="R18" s="39">
        <f t="shared" si="12"/>
        <v>208</v>
      </c>
      <c r="S18" s="38">
        <f t="shared" si="2"/>
        <v>20.9664</v>
      </c>
      <c r="T18" s="12"/>
      <c r="U18" s="13">
        <f t="shared" si="8"/>
        <v>0</v>
      </c>
      <c r="V18" s="49">
        <f t="shared" si="9"/>
        <v>208</v>
      </c>
      <c r="W18" s="50">
        <f t="shared" si="10"/>
        <v>20.9664</v>
      </c>
      <c r="X18">
        <f t="shared" si="11"/>
        <v>3</v>
      </c>
    </row>
    <row r="19" spans="1:24" x14ac:dyDescent="0.25">
      <c r="A19" s="42" t="s">
        <v>16</v>
      </c>
      <c r="B19" s="34">
        <v>140</v>
      </c>
      <c r="C19" s="35">
        <v>240</v>
      </c>
      <c r="D19" s="35">
        <v>8</v>
      </c>
      <c r="E19" s="19">
        <f t="shared" si="3"/>
        <v>0.26879999999999998</v>
      </c>
      <c r="F19" s="23">
        <f>'EYLÜL 2. HAFTA '!V19</f>
        <v>15</v>
      </c>
      <c r="G19" s="26">
        <f t="shared" si="4"/>
        <v>4.032</v>
      </c>
      <c r="H19" s="22"/>
      <c r="I19" s="11">
        <f t="shared" si="5"/>
        <v>0</v>
      </c>
      <c r="J19" s="6"/>
      <c r="K19" s="10">
        <f t="shared" si="0"/>
        <v>0</v>
      </c>
      <c r="L19" s="22"/>
      <c r="M19" s="11">
        <f t="shared" si="1"/>
        <v>0</v>
      </c>
      <c r="N19" s="6"/>
      <c r="O19" s="10">
        <f t="shared" si="6"/>
        <v>0</v>
      </c>
      <c r="P19" s="22"/>
      <c r="Q19" s="11">
        <f t="shared" si="7"/>
        <v>0</v>
      </c>
      <c r="R19" s="39">
        <f t="shared" si="12"/>
        <v>15</v>
      </c>
      <c r="S19" s="38">
        <f t="shared" si="2"/>
        <v>4.032</v>
      </c>
      <c r="T19" s="12"/>
      <c r="U19" s="13">
        <f t="shared" si="8"/>
        <v>0</v>
      </c>
      <c r="V19" s="49">
        <f t="shared" si="9"/>
        <v>15</v>
      </c>
      <c r="W19" s="50">
        <f t="shared" si="10"/>
        <v>4.032</v>
      </c>
      <c r="X19">
        <f t="shared" si="11"/>
        <v>0</v>
      </c>
    </row>
    <row r="20" spans="1:24" x14ac:dyDescent="0.25">
      <c r="A20" s="42" t="s">
        <v>17</v>
      </c>
      <c r="B20" s="34">
        <v>140</v>
      </c>
      <c r="C20" s="35">
        <v>240</v>
      </c>
      <c r="D20" s="35">
        <v>8</v>
      </c>
      <c r="E20" s="19">
        <f t="shared" si="3"/>
        <v>0.26879999999999998</v>
      </c>
      <c r="F20" s="23">
        <f>'EYLÜL 2. HAFTA '!V20</f>
        <v>0</v>
      </c>
      <c r="G20" s="26">
        <f t="shared" si="4"/>
        <v>0</v>
      </c>
      <c r="H20" s="22"/>
      <c r="I20" s="11">
        <f t="shared" si="5"/>
        <v>0</v>
      </c>
      <c r="J20" s="6"/>
      <c r="K20" s="10">
        <f t="shared" si="0"/>
        <v>0</v>
      </c>
      <c r="L20" s="22"/>
      <c r="M20" s="11">
        <f t="shared" si="1"/>
        <v>0</v>
      </c>
      <c r="N20" s="6"/>
      <c r="O20" s="10">
        <f t="shared" si="6"/>
        <v>0</v>
      </c>
      <c r="P20" s="22"/>
      <c r="Q20" s="11">
        <f t="shared" si="7"/>
        <v>0</v>
      </c>
      <c r="R20" s="39">
        <f t="shared" si="12"/>
        <v>0</v>
      </c>
      <c r="S20" s="38">
        <f t="shared" si="2"/>
        <v>0</v>
      </c>
      <c r="T20" s="12"/>
      <c r="U20" s="13">
        <f t="shared" si="8"/>
        <v>0</v>
      </c>
      <c r="V20" s="49">
        <f t="shared" si="9"/>
        <v>0</v>
      </c>
      <c r="W20" s="50">
        <f t="shared" si="10"/>
        <v>0</v>
      </c>
      <c r="X20">
        <f t="shared" si="11"/>
        <v>0</v>
      </c>
    </row>
    <row r="21" spans="1:24" x14ac:dyDescent="0.25">
      <c r="A21" s="42" t="s">
        <v>19</v>
      </c>
      <c r="B21" s="34">
        <v>77</v>
      </c>
      <c r="C21" s="35">
        <v>55</v>
      </c>
      <c r="D21" s="35">
        <v>8</v>
      </c>
      <c r="E21" s="19">
        <f t="shared" si="3"/>
        <v>3.388E-2</v>
      </c>
      <c r="F21" s="23">
        <f>'EYLÜL 2. HAFTA '!V21</f>
        <v>4</v>
      </c>
      <c r="G21" s="26">
        <f t="shared" si="4"/>
        <v>0.13552</v>
      </c>
      <c r="H21" s="22"/>
      <c r="I21" s="11">
        <f t="shared" si="5"/>
        <v>0</v>
      </c>
      <c r="J21" s="6"/>
      <c r="K21" s="10">
        <f t="shared" si="0"/>
        <v>0</v>
      </c>
      <c r="L21" s="22"/>
      <c r="M21" s="11">
        <f t="shared" si="1"/>
        <v>0</v>
      </c>
      <c r="N21" s="6"/>
      <c r="O21" s="10">
        <f t="shared" si="6"/>
        <v>0</v>
      </c>
      <c r="P21" s="22"/>
      <c r="Q21" s="11">
        <f t="shared" si="7"/>
        <v>0</v>
      </c>
      <c r="R21" s="39">
        <f t="shared" si="12"/>
        <v>4</v>
      </c>
      <c r="S21" s="38">
        <f t="shared" si="2"/>
        <v>0.13552</v>
      </c>
      <c r="T21" s="12"/>
      <c r="U21" s="13">
        <f t="shared" si="8"/>
        <v>0</v>
      </c>
      <c r="V21" s="49">
        <f t="shared" si="9"/>
        <v>4</v>
      </c>
      <c r="W21" s="50">
        <f t="shared" si="10"/>
        <v>0.13552</v>
      </c>
      <c r="X21">
        <f t="shared" si="11"/>
        <v>0</v>
      </c>
    </row>
    <row r="22" spans="1:24" x14ac:dyDescent="0.25">
      <c r="A22" s="42" t="s">
        <v>20</v>
      </c>
      <c r="B22" s="34">
        <v>65</v>
      </c>
      <c r="C22" s="35">
        <v>50</v>
      </c>
      <c r="D22" s="35">
        <v>12</v>
      </c>
      <c r="E22" s="19">
        <f t="shared" si="3"/>
        <v>3.9E-2</v>
      </c>
      <c r="F22" s="23">
        <f>'EYLÜL 2. HAFTA '!V22</f>
        <v>26</v>
      </c>
      <c r="G22" s="26">
        <f t="shared" si="4"/>
        <v>1.014</v>
      </c>
      <c r="H22" s="22"/>
      <c r="I22" s="11">
        <f t="shared" si="5"/>
        <v>0</v>
      </c>
      <c r="J22" s="6"/>
      <c r="K22" s="10">
        <f t="shared" si="0"/>
        <v>0</v>
      </c>
      <c r="L22" s="22"/>
      <c r="M22" s="11">
        <f t="shared" si="1"/>
        <v>0</v>
      </c>
      <c r="N22" s="6"/>
      <c r="O22" s="10">
        <f t="shared" si="6"/>
        <v>0</v>
      </c>
      <c r="P22" s="22"/>
      <c r="Q22" s="11">
        <f t="shared" si="7"/>
        <v>0</v>
      </c>
      <c r="R22" s="39">
        <f t="shared" si="12"/>
        <v>26</v>
      </c>
      <c r="S22" s="38">
        <f t="shared" si="2"/>
        <v>1.014</v>
      </c>
      <c r="T22" s="12"/>
      <c r="U22" s="13">
        <f t="shared" si="8"/>
        <v>0</v>
      </c>
      <c r="V22" s="49">
        <f t="shared" si="9"/>
        <v>26</v>
      </c>
      <c r="W22" s="50">
        <f t="shared" si="10"/>
        <v>1.014</v>
      </c>
      <c r="X22">
        <f t="shared" si="11"/>
        <v>0</v>
      </c>
    </row>
    <row r="23" spans="1:24" x14ac:dyDescent="0.25">
      <c r="A23" s="42" t="s">
        <v>21</v>
      </c>
      <c r="B23" s="34"/>
      <c r="C23" s="35"/>
      <c r="D23" s="35"/>
      <c r="E23" s="19">
        <f t="shared" si="3"/>
        <v>0</v>
      </c>
      <c r="F23" s="23">
        <f>'EYLÜL 2. HAFTA '!V23</f>
        <v>74</v>
      </c>
      <c r="G23" s="26">
        <f t="shared" si="4"/>
        <v>0</v>
      </c>
      <c r="H23" s="22"/>
      <c r="I23" s="11">
        <f t="shared" si="5"/>
        <v>0</v>
      </c>
      <c r="J23" s="6"/>
      <c r="K23" s="10">
        <f t="shared" si="0"/>
        <v>0</v>
      </c>
      <c r="L23" s="22"/>
      <c r="M23" s="11">
        <f t="shared" si="1"/>
        <v>0</v>
      </c>
      <c r="N23" s="6"/>
      <c r="O23" s="10">
        <f t="shared" si="6"/>
        <v>0</v>
      </c>
      <c r="P23" s="22"/>
      <c r="Q23" s="11">
        <f t="shared" si="7"/>
        <v>0</v>
      </c>
      <c r="R23" s="39">
        <f t="shared" si="12"/>
        <v>74</v>
      </c>
      <c r="S23" s="38">
        <f t="shared" si="2"/>
        <v>0</v>
      </c>
      <c r="T23" s="12"/>
      <c r="U23" s="13">
        <f t="shared" si="8"/>
        <v>0</v>
      </c>
      <c r="V23" s="49">
        <f t="shared" si="9"/>
        <v>74</v>
      </c>
      <c r="W23" s="50">
        <f t="shared" si="10"/>
        <v>0</v>
      </c>
      <c r="X23">
        <f t="shared" si="11"/>
        <v>0</v>
      </c>
    </row>
    <row r="24" spans="1:24" x14ac:dyDescent="0.25">
      <c r="A24" s="42" t="s">
        <v>22</v>
      </c>
      <c r="B24" s="34">
        <v>66</v>
      </c>
      <c r="C24" s="35">
        <v>56</v>
      </c>
      <c r="D24" s="35">
        <v>12</v>
      </c>
      <c r="E24" s="19">
        <f t="shared" si="3"/>
        <v>4.4352000000000003E-2</v>
      </c>
      <c r="F24" s="23">
        <f>'EYLÜL 2. HAFTA '!V24</f>
        <v>28</v>
      </c>
      <c r="G24" s="26">
        <f t="shared" si="4"/>
        <v>1.2418560000000001</v>
      </c>
      <c r="H24" s="22"/>
      <c r="I24" s="11">
        <f t="shared" si="5"/>
        <v>0</v>
      </c>
      <c r="J24" s="6"/>
      <c r="K24" s="10">
        <f t="shared" si="0"/>
        <v>0</v>
      </c>
      <c r="L24" s="22"/>
      <c r="M24" s="11">
        <f t="shared" si="1"/>
        <v>0</v>
      </c>
      <c r="N24" s="6"/>
      <c r="O24" s="10">
        <f t="shared" si="6"/>
        <v>0</v>
      </c>
      <c r="P24" s="22"/>
      <c r="Q24" s="11">
        <f t="shared" si="7"/>
        <v>0</v>
      </c>
      <c r="R24" s="39">
        <f t="shared" si="12"/>
        <v>28</v>
      </c>
      <c r="S24" s="38">
        <f t="shared" si="2"/>
        <v>1.2418560000000001</v>
      </c>
      <c r="T24" s="12"/>
      <c r="U24" s="13">
        <f t="shared" si="8"/>
        <v>0</v>
      </c>
      <c r="V24" s="49">
        <f t="shared" si="9"/>
        <v>28</v>
      </c>
      <c r="W24" s="50">
        <f t="shared" si="10"/>
        <v>1.2418560000000001</v>
      </c>
      <c r="X24">
        <f t="shared" si="11"/>
        <v>0</v>
      </c>
    </row>
    <row r="25" spans="1:24" x14ac:dyDescent="0.25">
      <c r="A25" s="42" t="s">
        <v>89</v>
      </c>
      <c r="B25" s="34">
        <v>61.5</v>
      </c>
      <c r="C25" s="35">
        <v>61.5</v>
      </c>
      <c r="D25" s="35">
        <v>10</v>
      </c>
      <c r="E25" s="19">
        <f t="shared" si="3"/>
        <v>3.7822500000000002E-2</v>
      </c>
      <c r="F25" s="23">
        <f>'EYLÜL 2. HAFTA '!V25</f>
        <v>0</v>
      </c>
      <c r="G25" s="26">
        <f t="shared" si="4"/>
        <v>0</v>
      </c>
      <c r="H25" s="22"/>
      <c r="I25" s="11">
        <f t="shared" si="5"/>
        <v>0</v>
      </c>
      <c r="J25" s="6"/>
      <c r="K25" s="10">
        <f t="shared" si="0"/>
        <v>0</v>
      </c>
      <c r="L25" s="22"/>
      <c r="M25" s="11">
        <f t="shared" si="1"/>
        <v>0</v>
      </c>
      <c r="N25" s="6"/>
      <c r="O25" s="10">
        <f t="shared" si="6"/>
        <v>0</v>
      </c>
      <c r="P25" s="22"/>
      <c r="Q25" s="11">
        <f t="shared" si="7"/>
        <v>0</v>
      </c>
      <c r="R25" s="39">
        <f t="shared" si="12"/>
        <v>0</v>
      </c>
      <c r="S25" s="38">
        <f t="shared" si="2"/>
        <v>0</v>
      </c>
      <c r="T25" s="12">
        <v>48</v>
      </c>
      <c r="U25" s="13">
        <f t="shared" si="8"/>
        <v>1.81548</v>
      </c>
      <c r="V25" s="49">
        <f t="shared" si="9"/>
        <v>48</v>
      </c>
      <c r="W25" s="50">
        <f t="shared" si="10"/>
        <v>1.81548</v>
      </c>
      <c r="X25">
        <f t="shared" si="11"/>
        <v>0</v>
      </c>
    </row>
    <row r="26" spans="1:24" x14ac:dyDescent="0.25">
      <c r="A26" s="42" t="s">
        <v>24</v>
      </c>
      <c r="B26" s="34">
        <v>82</v>
      </c>
      <c r="C26" s="35">
        <v>67</v>
      </c>
      <c r="D26" s="35">
        <v>5</v>
      </c>
      <c r="E26" s="19">
        <f t="shared" si="3"/>
        <v>2.7470000000000001E-2</v>
      </c>
      <c r="F26" s="23">
        <f>'EYLÜL 2. HAFTA '!V26</f>
        <v>30</v>
      </c>
      <c r="G26" s="26">
        <f t="shared" si="4"/>
        <v>0.82410000000000005</v>
      </c>
      <c r="H26" s="22"/>
      <c r="I26" s="11">
        <f t="shared" si="5"/>
        <v>0</v>
      </c>
      <c r="J26" s="6"/>
      <c r="K26" s="10">
        <f t="shared" si="0"/>
        <v>0</v>
      </c>
      <c r="L26" s="22"/>
      <c r="M26" s="11">
        <f t="shared" si="1"/>
        <v>0</v>
      </c>
      <c r="N26" s="6"/>
      <c r="O26" s="10">
        <f t="shared" si="6"/>
        <v>0</v>
      </c>
      <c r="P26" s="22"/>
      <c r="Q26" s="11">
        <f t="shared" si="7"/>
        <v>0</v>
      </c>
      <c r="R26" s="39">
        <f t="shared" si="12"/>
        <v>30</v>
      </c>
      <c r="S26" s="38">
        <f t="shared" si="2"/>
        <v>0.82410000000000005</v>
      </c>
      <c r="T26" s="12"/>
      <c r="U26" s="13">
        <f t="shared" si="8"/>
        <v>0</v>
      </c>
      <c r="V26" s="49">
        <f t="shared" si="9"/>
        <v>30</v>
      </c>
      <c r="W26" s="50">
        <f t="shared" si="10"/>
        <v>0.82410000000000005</v>
      </c>
      <c r="X26">
        <f t="shared" si="11"/>
        <v>0</v>
      </c>
    </row>
    <row r="27" spans="1:24" x14ac:dyDescent="0.25">
      <c r="A27" s="42" t="s">
        <v>25</v>
      </c>
      <c r="B27" s="34">
        <v>80</v>
      </c>
      <c r="C27" s="35">
        <v>62</v>
      </c>
      <c r="D27" s="35">
        <v>2</v>
      </c>
      <c r="E27" s="19">
        <f t="shared" si="3"/>
        <v>9.92E-3</v>
      </c>
      <c r="F27" s="23">
        <f>'EYLÜL 2. HAFTA '!V27</f>
        <v>36</v>
      </c>
      <c r="G27" s="26">
        <f t="shared" si="4"/>
        <v>0.35711999999999999</v>
      </c>
      <c r="H27" s="22"/>
      <c r="I27" s="11">
        <f t="shared" si="5"/>
        <v>0</v>
      </c>
      <c r="J27" s="6"/>
      <c r="K27" s="10">
        <f t="shared" si="0"/>
        <v>0</v>
      </c>
      <c r="L27" s="22"/>
      <c r="M27" s="11">
        <f t="shared" si="1"/>
        <v>0</v>
      </c>
      <c r="N27" s="6"/>
      <c r="O27" s="10">
        <f t="shared" si="6"/>
        <v>0</v>
      </c>
      <c r="P27" s="22"/>
      <c r="Q27" s="11">
        <f t="shared" si="7"/>
        <v>0</v>
      </c>
      <c r="R27" s="39">
        <f t="shared" si="12"/>
        <v>36</v>
      </c>
      <c r="S27" s="38">
        <f t="shared" si="2"/>
        <v>0.35711999999999999</v>
      </c>
      <c r="T27" s="12"/>
      <c r="U27" s="13">
        <f t="shared" si="8"/>
        <v>0</v>
      </c>
      <c r="V27" s="49">
        <f t="shared" si="9"/>
        <v>36</v>
      </c>
      <c r="W27" s="50">
        <f t="shared" si="10"/>
        <v>0.35711999999999999</v>
      </c>
      <c r="X27">
        <f t="shared" si="11"/>
        <v>0</v>
      </c>
    </row>
    <row r="28" spans="1:24" x14ac:dyDescent="0.25">
      <c r="A28" s="42" t="s">
        <v>26</v>
      </c>
      <c r="B28" s="34">
        <v>63</v>
      </c>
      <c r="C28" s="35">
        <v>55</v>
      </c>
      <c r="D28" s="35">
        <v>5</v>
      </c>
      <c r="E28" s="19">
        <f t="shared" si="3"/>
        <v>1.7325E-2</v>
      </c>
      <c r="F28" s="23">
        <f>'EYLÜL 2. HAFTA '!V28</f>
        <v>19</v>
      </c>
      <c r="G28" s="26">
        <f t="shared" si="4"/>
        <v>0.329175</v>
      </c>
      <c r="H28" s="22"/>
      <c r="I28" s="11">
        <f t="shared" si="5"/>
        <v>0</v>
      </c>
      <c r="J28" s="6"/>
      <c r="K28" s="10">
        <f t="shared" si="0"/>
        <v>0</v>
      </c>
      <c r="L28" s="22"/>
      <c r="M28" s="11">
        <f t="shared" si="1"/>
        <v>0</v>
      </c>
      <c r="N28" s="6"/>
      <c r="O28" s="10">
        <f t="shared" si="6"/>
        <v>0</v>
      </c>
      <c r="P28" s="22"/>
      <c r="Q28" s="11">
        <f t="shared" si="7"/>
        <v>0</v>
      </c>
      <c r="R28" s="39">
        <f t="shared" si="12"/>
        <v>19</v>
      </c>
      <c r="S28" s="38">
        <f t="shared" si="2"/>
        <v>0.329175</v>
      </c>
      <c r="T28" s="12"/>
      <c r="U28" s="13">
        <f t="shared" si="8"/>
        <v>0</v>
      </c>
      <c r="V28" s="49">
        <f t="shared" si="9"/>
        <v>19</v>
      </c>
      <c r="W28" s="50">
        <f t="shared" si="10"/>
        <v>0.329175</v>
      </c>
      <c r="X28">
        <f t="shared" si="11"/>
        <v>0</v>
      </c>
    </row>
    <row r="29" spans="1:24" x14ac:dyDescent="0.25">
      <c r="A29" s="42" t="s">
        <v>27</v>
      </c>
      <c r="B29" s="34">
        <v>140</v>
      </c>
      <c r="C29" s="35">
        <v>240</v>
      </c>
      <c r="D29" s="35">
        <v>5</v>
      </c>
      <c r="E29" s="19">
        <f t="shared" si="3"/>
        <v>0.16800000000000001</v>
      </c>
      <c r="F29" s="23">
        <f>'EYLÜL 2. HAFTA '!V29</f>
        <v>6</v>
      </c>
      <c r="G29" s="26">
        <f t="shared" si="4"/>
        <v>1.008</v>
      </c>
      <c r="H29" s="22"/>
      <c r="I29" s="11">
        <f t="shared" si="5"/>
        <v>0</v>
      </c>
      <c r="J29" s="6"/>
      <c r="K29" s="10">
        <f t="shared" si="0"/>
        <v>0</v>
      </c>
      <c r="L29" s="22"/>
      <c r="M29" s="11">
        <f t="shared" si="1"/>
        <v>0</v>
      </c>
      <c r="N29" s="6"/>
      <c r="O29" s="10">
        <f t="shared" si="6"/>
        <v>0</v>
      </c>
      <c r="P29" s="22"/>
      <c r="Q29" s="11">
        <f t="shared" si="7"/>
        <v>0</v>
      </c>
      <c r="R29" s="39">
        <f t="shared" si="12"/>
        <v>6</v>
      </c>
      <c r="S29" s="38">
        <f t="shared" si="2"/>
        <v>1.008</v>
      </c>
      <c r="T29" s="12"/>
      <c r="U29" s="13">
        <f t="shared" si="8"/>
        <v>0</v>
      </c>
      <c r="V29" s="49">
        <f t="shared" si="9"/>
        <v>6</v>
      </c>
      <c r="W29" s="50">
        <f t="shared" si="10"/>
        <v>1.008</v>
      </c>
      <c r="X29">
        <f t="shared" si="11"/>
        <v>0</v>
      </c>
    </row>
    <row r="30" spans="1:24" x14ac:dyDescent="0.25">
      <c r="A30" s="42" t="s">
        <v>28</v>
      </c>
      <c r="B30" s="34">
        <v>140</v>
      </c>
      <c r="C30" s="35">
        <v>240</v>
      </c>
      <c r="D30" s="35">
        <v>10</v>
      </c>
      <c r="E30" s="19">
        <f t="shared" si="3"/>
        <v>0.33600000000000002</v>
      </c>
      <c r="F30" s="23">
        <f>'EYLÜL 2. HAFTA '!V30</f>
        <v>11</v>
      </c>
      <c r="G30" s="26">
        <f t="shared" si="4"/>
        <v>3.6960000000000002</v>
      </c>
      <c r="H30" s="22"/>
      <c r="I30" s="11">
        <f t="shared" si="5"/>
        <v>0</v>
      </c>
      <c r="J30" s="6"/>
      <c r="K30" s="10">
        <f t="shared" si="0"/>
        <v>0</v>
      </c>
      <c r="L30" s="22"/>
      <c r="M30" s="11">
        <f t="shared" si="1"/>
        <v>0</v>
      </c>
      <c r="N30" s="6"/>
      <c r="O30" s="10">
        <f t="shared" si="6"/>
        <v>0</v>
      </c>
      <c r="P30" s="22"/>
      <c r="Q30" s="11">
        <f t="shared" si="7"/>
        <v>0</v>
      </c>
      <c r="R30" s="39">
        <f t="shared" si="12"/>
        <v>11</v>
      </c>
      <c r="S30" s="38">
        <f t="shared" si="2"/>
        <v>3.6960000000000002</v>
      </c>
      <c r="T30" s="12"/>
      <c r="U30" s="13">
        <f t="shared" si="8"/>
        <v>0</v>
      </c>
      <c r="V30" s="49">
        <f t="shared" si="9"/>
        <v>11</v>
      </c>
      <c r="W30" s="50">
        <f t="shared" si="10"/>
        <v>3.6960000000000002</v>
      </c>
      <c r="X30">
        <f t="shared" si="11"/>
        <v>0</v>
      </c>
    </row>
    <row r="31" spans="1:24" x14ac:dyDescent="0.25">
      <c r="A31" s="42" t="s">
        <v>29</v>
      </c>
      <c r="B31" s="34">
        <v>140</v>
      </c>
      <c r="C31" s="35">
        <v>240</v>
      </c>
      <c r="D31" s="35">
        <v>3</v>
      </c>
      <c r="E31" s="19">
        <f t="shared" si="3"/>
        <v>0.1008</v>
      </c>
      <c r="F31" s="23">
        <f>'EYLÜL 2. HAFTA '!V31</f>
        <v>38</v>
      </c>
      <c r="G31" s="26">
        <f t="shared" si="4"/>
        <v>3.8304</v>
      </c>
      <c r="H31" s="22"/>
      <c r="I31" s="11">
        <f t="shared" si="5"/>
        <v>0</v>
      </c>
      <c r="J31" s="6"/>
      <c r="K31" s="10">
        <f t="shared" si="0"/>
        <v>0</v>
      </c>
      <c r="L31" s="22"/>
      <c r="M31" s="11">
        <f t="shared" si="1"/>
        <v>0</v>
      </c>
      <c r="N31" s="6"/>
      <c r="O31" s="10">
        <f t="shared" si="6"/>
        <v>0</v>
      </c>
      <c r="P31" s="22"/>
      <c r="Q31" s="11">
        <f t="shared" si="7"/>
        <v>0</v>
      </c>
      <c r="R31" s="39">
        <f t="shared" si="12"/>
        <v>38</v>
      </c>
      <c r="S31" s="38">
        <f t="shared" si="2"/>
        <v>3.8304</v>
      </c>
      <c r="T31" s="12"/>
      <c r="U31" s="13">
        <f t="shared" si="8"/>
        <v>0</v>
      </c>
      <c r="V31" s="49">
        <f t="shared" si="9"/>
        <v>38</v>
      </c>
      <c r="W31" s="50">
        <f t="shared" si="10"/>
        <v>3.8304</v>
      </c>
      <c r="X31">
        <f t="shared" si="11"/>
        <v>0</v>
      </c>
    </row>
    <row r="32" spans="1:24" x14ac:dyDescent="0.25">
      <c r="A32" s="42" t="s">
        <v>30</v>
      </c>
      <c r="B32" s="34">
        <v>90</v>
      </c>
      <c r="C32" s="35">
        <v>80</v>
      </c>
      <c r="D32" s="35">
        <v>8</v>
      </c>
      <c r="E32" s="19">
        <f t="shared" si="3"/>
        <v>5.7599999999999998E-2</v>
      </c>
      <c r="F32" s="23">
        <f>'EYLÜL 2. HAFTA '!V32</f>
        <v>24</v>
      </c>
      <c r="G32" s="26">
        <f t="shared" si="4"/>
        <v>1.3824000000000001</v>
      </c>
      <c r="H32" s="22"/>
      <c r="I32" s="11">
        <f t="shared" si="5"/>
        <v>0</v>
      </c>
      <c r="J32" s="6"/>
      <c r="K32" s="10">
        <f t="shared" si="0"/>
        <v>0</v>
      </c>
      <c r="L32" s="22"/>
      <c r="M32" s="11">
        <f t="shared" si="1"/>
        <v>0</v>
      </c>
      <c r="N32" s="6"/>
      <c r="O32" s="10">
        <f t="shared" si="6"/>
        <v>0</v>
      </c>
      <c r="P32" s="22"/>
      <c r="Q32" s="11">
        <f t="shared" si="7"/>
        <v>0</v>
      </c>
      <c r="R32" s="39">
        <f t="shared" si="12"/>
        <v>24</v>
      </c>
      <c r="S32" s="38">
        <f t="shared" si="2"/>
        <v>1.3824000000000001</v>
      </c>
      <c r="T32" s="12"/>
      <c r="U32" s="13">
        <f t="shared" si="8"/>
        <v>0</v>
      </c>
      <c r="V32" s="49">
        <f t="shared" si="9"/>
        <v>24</v>
      </c>
      <c r="W32" s="50">
        <f t="shared" si="10"/>
        <v>1.3824000000000001</v>
      </c>
      <c r="X32">
        <f t="shared" si="11"/>
        <v>0</v>
      </c>
    </row>
    <row r="33" spans="1:24" x14ac:dyDescent="0.25">
      <c r="A33" s="42" t="s">
        <v>31</v>
      </c>
      <c r="B33" s="34">
        <v>90</v>
      </c>
      <c r="C33" s="35">
        <v>80</v>
      </c>
      <c r="D33" s="35">
        <v>8</v>
      </c>
      <c r="E33" s="19">
        <f t="shared" si="3"/>
        <v>5.7599999999999998E-2</v>
      </c>
      <c r="F33" s="23">
        <f>'EYLÜL 2. HAFTA '!V33</f>
        <v>0</v>
      </c>
      <c r="G33" s="26">
        <f t="shared" si="4"/>
        <v>0</v>
      </c>
      <c r="H33" s="22"/>
      <c r="I33" s="11">
        <f t="shared" si="5"/>
        <v>0</v>
      </c>
      <c r="J33" s="6"/>
      <c r="K33" s="10">
        <f t="shared" si="0"/>
        <v>0</v>
      </c>
      <c r="L33" s="22"/>
      <c r="M33" s="11">
        <f t="shared" si="1"/>
        <v>0</v>
      </c>
      <c r="N33" s="6"/>
      <c r="O33" s="10">
        <f t="shared" si="6"/>
        <v>0</v>
      </c>
      <c r="P33" s="22"/>
      <c r="Q33" s="11">
        <f t="shared" si="7"/>
        <v>0</v>
      </c>
      <c r="R33" s="39">
        <f t="shared" si="12"/>
        <v>0</v>
      </c>
      <c r="S33" s="38">
        <f t="shared" si="2"/>
        <v>0</v>
      </c>
      <c r="T33" s="12"/>
      <c r="U33" s="13">
        <f t="shared" si="8"/>
        <v>0</v>
      </c>
      <c r="V33" s="49">
        <f t="shared" si="9"/>
        <v>0</v>
      </c>
      <c r="W33" s="50">
        <f t="shared" si="10"/>
        <v>0</v>
      </c>
      <c r="X33">
        <f t="shared" si="11"/>
        <v>0</v>
      </c>
    </row>
    <row r="34" spans="1:24" x14ac:dyDescent="0.25">
      <c r="A34" s="42" t="s">
        <v>32</v>
      </c>
      <c r="B34" s="34"/>
      <c r="C34" s="35"/>
      <c r="D34" s="35"/>
      <c r="E34" s="19">
        <f t="shared" si="3"/>
        <v>0</v>
      </c>
      <c r="F34" s="23">
        <f>'EYLÜL 2. HAFTA '!V34</f>
        <v>300</v>
      </c>
      <c r="G34" s="26">
        <f t="shared" si="4"/>
        <v>0</v>
      </c>
      <c r="H34" s="22"/>
      <c r="I34" s="11">
        <f t="shared" si="5"/>
        <v>0</v>
      </c>
      <c r="J34" s="6"/>
      <c r="K34" s="10">
        <f t="shared" si="0"/>
        <v>0</v>
      </c>
      <c r="L34" s="22"/>
      <c r="M34" s="11">
        <f t="shared" si="1"/>
        <v>0</v>
      </c>
      <c r="N34" s="6"/>
      <c r="O34" s="10">
        <f t="shared" si="6"/>
        <v>0</v>
      </c>
      <c r="P34" s="22"/>
      <c r="Q34" s="11">
        <f t="shared" si="7"/>
        <v>0</v>
      </c>
      <c r="R34" s="39">
        <f t="shared" si="12"/>
        <v>300</v>
      </c>
      <c r="S34" s="38">
        <f t="shared" si="2"/>
        <v>0</v>
      </c>
      <c r="T34" s="12"/>
      <c r="U34" s="13">
        <f t="shared" si="8"/>
        <v>0</v>
      </c>
      <c r="V34" s="49">
        <f t="shared" si="9"/>
        <v>300</v>
      </c>
      <c r="W34" s="50">
        <f t="shared" si="10"/>
        <v>0</v>
      </c>
      <c r="X34">
        <f t="shared" si="11"/>
        <v>0</v>
      </c>
    </row>
    <row r="35" spans="1:24" x14ac:dyDescent="0.25">
      <c r="A35" s="42" t="s">
        <v>33</v>
      </c>
      <c r="B35" s="34">
        <v>80</v>
      </c>
      <c r="C35" s="35">
        <v>66</v>
      </c>
      <c r="D35" s="35">
        <v>5</v>
      </c>
      <c r="E35" s="19">
        <f t="shared" si="3"/>
        <v>2.64E-2</v>
      </c>
      <c r="F35" s="23">
        <f>'EYLÜL 2. HAFTA '!V35</f>
        <v>56</v>
      </c>
      <c r="G35" s="26">
        <f t="shared" si="4"/>
        <v>1.4783999999999999</v>
      </c>
      <c r="H35" s="22"/>
      <c r="I35" s="11">
        <f t="shared" si="5"/>
        <v>0</v>
      </c>
      <c r="J35" s="6"/>
      <c r="K35" s="10">
        <f t="shared" si="0"/>
        <v>0</v>
      </c>
      <c r="L35" s="22"/>
      <c r="M35" s="11">
        <f t="shared" si="1"/>
        <v>0</v>
      </c>
      <c r="N35" s="6"/>
      <c r="O35" s="10">
        <f t="shared" si="6"/>
        <v>0</v>
      </c>
      <c r="P35" s="22"/>
      <c r="Q35" s="11">
        <f t="shared" si="7"/>
        <v>0</v>
      </c>
      <c r="R35" s="39">
        <f t="shared" si="12"/>
        <v>56</v>
      </c>
      <c r="S35" s="38">
        <f t="shared" si="2"/>
        <v>1.4783999999999999</v>
      </c>
      <c r="T35" s="12"/>
      <c r="U35" s="13">
        <f t="shared" si="8"/>
        <v>0</v>
      </c>
      <c r="V35" s="49">
        <f t="shared" si="9"/>
        <v>56</v>
      </c>
      <c r="W35" s="50">
        <f t="shared" si="10"/>
        <v>1.4783999999999999</v>
      </c>
      <c r="X35">
        <f t="shared" si="11"/>
        <v>0</v>
      </c>
    </row>
    <row r="36" spans="1:24" x14ac:dyDescent="0.25">
      <c r="A36" s="42" t="s">
        <v>34</v>
      </c>
      <c r="B36" s="34">
        <v>60</v>
      </c>
      <c r="C36" s="35">
        <v>62</v>
      </c>
      <c r="D36" s="35">
        <v>5</v>
      </c>
      <c r="E36" s="19">
        <f t="shared" si="3"/>
        <v>1.8599999999999998E-2</v>
      </c>
      <c r="F36" s="23">
        <f>'EYLÜL 2. HAFTA '!V36</f>
        <v>17</v>
      </c>
      <c r="G36" s="26">
        <f t="shared" si="4"/>
        <v>0.31619999999999998</v>
      </c>
      <c r="H36" s="22"/>
      <c r="I36" s="11">
        <f t="shared" si="5"/>
        <v>0</v>
      </c>
      <c r="J36" s="6"/>
      <c r="K36" s="10">
        <f t="shared" si="0"/>
        <v>0</v>
      </c>
      <c r="L36" s="22"/>
      <c r="M36" s="11">
        <f t="shared" si="1"/>
        <v>0</v>
      </c>
      <c r="N36" s="6"/>
      <c r="O36" s="10">
        <f t="shared" si="6"/>
        <v>0</v>
      </c>
      <c r="P36" s="22"/>
      <c r="Q36" s="11">
        <f t="shared" si="7"/>
        <v>0</v>
      </c>
      <c r="R36" s="39">
        <f t="shared" si="12"/>
        <v>17</v>
      </c>
      <c r="S36" s="38">
        <f t="shared" si="2"/>
        <v>0.31619999999999998</v>
      </c>
      <c r="T36" s="12"/>
      <c r="U36" s="13">
        <f t="shared" si="8"/>
        <v>0</v>
      </c>
      <c r="V36" s="49">
        <f t="shared" si="9"/>
        <v>17</v>
      </c>
      <c r="W36" s="50">
        <f t="shared" si="10"/>
        <v>0.31619999999999998</v>
      </c>
      <c r="X36">
        <f t="shared" si="11"/>
        <v>0</v>
      </c>
    </row>
    <row r="37" spans="1:24" x14ac:dyDescent="0.25">
      <c r="A37" s="42" t="s">
        <v>41</v>
      </c>
      <c r="B37" s="34">
        <v>60</v>
      </c>
      <c r="C37" s="35">
        <v>67</v>
      </c>
      <c r="D37" s="35">
        <v>3</v>
      </c>
      <c r="E37" s="19">
        <f t="shared" si="3"/>
        <v>1.206E-2</v>
      </c>
      <c r="F37" s="23">
        <f>'EYLÜL 2. HAFTA '!V37</f>
        <v>12</v>
      </c>
      <c r="G37" s="26">
        <f t="shared" si="4"/>
        <v>0.14471999999999999</v>
      </c>
      <c r="H37" s="22"/>
      <c r="I37" s="11">
        <f t="shared" si="5"/>
        <v>0</v>
      </c>
      <c r="J37" s="6"/>
      <c r="K37" s="10">
        <f t="shared" ref="K37:K64" si="13">E37*J37</f>
        <v>0</v>
      </c>
      <c r="L37" s="22"/>
      <c r="M37" s="11">
        <f t="shared" ref="M37:M69" si="14">E37*L37</f>
        <v>0</v>
      </c>
      <c r="N37" s="6"/>
      <c r="O37" s="10">
        <f t="shared" si="6"/>
        <v>0</v>
      </c>
      <c r="P37" s="22"/>
      <c r="Q37" s="11">
        <f t="shared" si="7"/>
        <v>0</v>
      </c>
      <c r="R37" s="39">
        <f t="shared" si="12"/>
        <v>12</v>
      </c>
      <c r="S37" s="38">
        <f t="shared" ref="S37:S70" si="15">E37*R37</f>
        <v>0.14471999999999999</v>
      </c>
      <c r="T37" s="12"/>
      <c r="U37" s="13">
        <f t="shared" si="8"/>
        <v>0</v>
      </c>
      <c r="V37" s="49">
        <f t="shared" si="9"/>
        <v>12</v>
      </c>
      <c r="W37" s="50">
        <f t="shared" si="10"/>
        <v>0.14471999999999999</v>
      </c>
      <c r="X37">
        <f t="shared" si="11"/>
        <v>0</v>
      </c>
    </row>
    <row r="38" spans="1:24" x14ac:dyDescent="0.25">
      <c r="A38" s="42" t="s">
        <v>35</v>
      </c>
      <c r="B38" s="34">
        <v>140</v>
      </c>
      <c r="C38" s="35">
        <v>240</v>
      </c>
      <c r="D38" s="35">
        <v>7</v>
      </c>
      <c r="E38" s="19">
        <f t="shared" si="3"/>
        <v>0.23519999999999999</v>
      </c>
      <c r="F38" s="23">
        <f>'EYLÜL 2. HAFTA '!V38</f>
        <v>4</v>
      </c>
      <c r="G38" s="26">
        <f t="shared" si="4"/>
        <v>0.94079999999999997</v>
      </c>
      <c r="H38" s="22"/>
      <c r="I38" s="11">
        <f t="shared" si="5"/>
        <v>0</v>
      </c>
      <c r="J38" s="6"/>
      <c r="K38" s="10">
        <f t="shared" si="13"/>
        <v>0</v>
      </c>
      <c r="L38" s="22"/>
      <c r="M38" s="11">
        <f t="shared" si="14"/>
        <v>0</v>
      </c>
      <c r="N38" s="6"/>
      <c r="O38" s="10">
        <f t="shared" si="6"/>
        <v>0</v>
      </c>
      <c r="P38" s="22"/>
      <c r="Q38" s="11">
        <f t="shared" si="7"/>
        <v>0</v>
      </c>
      <c r="R38" s="39">
        <f t="shared" si="12"/>
        <v>4</v>
      </c>
      <c r="S38" s="38">
        <f t="shared" si="15"/>
        <v>0.94079999999999997</v>
      </c>
      <c r="T38" s="12"/>
      <c r="U38" s="13">
        <f t="shared" si="8"/>
        <v>0</v>
      </c>
      <c r="V38" s="49">
        <f t="shared" si="9"/>
        <v>4</v>
      </c>
      <c r="W38" s="50">
        <f t="shared" si="10"/>
        <v>0.94079999999999997</v>
      </c>
      <c r="X38">
        <f t="shared" si="11"/>
        <v>0</v>
      </c>
    </row>
    <row r="39" spans="1:24" x14ac:dyDescent="0.25">
      <c r="A39" s="42" t="s">
        <v>36</v>
      </c>
      <c r="B39" s="34">
        <v>60</v>
      </c>
      <c r="C39" s="35">
        <v>56</v>
      </c>
      <c r="D39" s="35">
        <v>10</v>
      </c>
      <c r="E39" s="19">
        <f t="shared" si="3"/>
        <v>3.3599999999999998E-2</v>
      </c>
      <c r="F39" s="23">
        <f>'EYLÜL 2. HAFTA '!V39</f>
        <v>30</v>
      </c>
      <c r="G39" s="26">
        <f t="shared" si="4"/>
        <v>1.008</v>
      </c>
      <c r="H39" s="22"/>
      <c r="I39" s="11">
        <f t="shared" si="5"/>
        <v>0</v>
      </c>
      <c r="J39" s="6"/>
      <c r="K39" s="10">
        <f t="shared" si="13"/>
        <v>0</v>
      </c>
      <c r="L39" s="22"/>
      <c r="M39" s="11">
        <f t="shared" si="14"/>
        <v>0</v>
      </c>
      <c r="N39" s="6"/>
      <c r="O39" s="10">
        <f t="shared" si="6"/>
        <v>0</v>
      </c>
      <c r="P39" s="22"/>
      <c r="Q39" s="11">
        <f t="shared" si="7"/>
        <v>0</v>
      </c>
      <c r="R39" s="39">
        <f t="shared" si="12"/>
        <v>30</v>
      </c>
      <c r="S39" s="38">
        <f t="shared" si="15"/>
        <v>1.008</v>
      </c>
      <c r="T39" s="12"/>
      <c r="U39" s="13">
        <f t="shared" si="8"/>
        <v>0</v>
      </c>
      <c r="V39" s="49">
        <f t="shared" si="9"/>
        <v>30</v>
      </c>
      <c r="W39" s="50">
        <f t="shared" si="10"/>
        <v>1.008</v>
      </c>
      <c r="X39">
        <f t="shared" si="11"/>
        <v>0</v>
      </c>
    </row>
    <row r="40" spans="1:24" x14ac:dyDescent="0.25">
      <c r="A40" s="42" t="s">
        <v>37</v>
      </c>
      <c r="B40" s="34">
        <v>58</v>
      </c>
      <c r="C40" s="35">
        <v>55</v>
      </c>
      <c r="D40" s="35">
        <v>10</v>
      </c>
      <c r="E40" s="19">
        <f t="shared" si="3"/>
        <v>3.1899999999999998E-2</v>
      </c>
      <c r="F40" s="23">
        <f>'EYLÜL 2. HAFTA '!V40</f>
        <v>66</v>
      </c>
      <c r="G40" s="26">
        <f t="shared" si="4"/>
        <v>2.1053999999999999</v>
      </c>
      <c r="H40" s="22"/>
      <c r="I40" s="11">
        <f t="shared" si="5"/>
        <v>0</v>
      </c>
      <c r="J40" s="6"/>
      <c r="K40" s="10">
        <f t="shared" si="13"/>
        <v>0</v>
      </c>
      <c r="L40" s="22"/>
      <c r="M40" s="11">
        <f t="shared" si="14"/>
        <v>0</v>
      </c>
      <c r="N40" s="6"/>
      <c r="O40" s="10">
        <f t="shared" si="6"/>
        <v>0</v>
      </c>
      <c r="P40" s="22"/>
      <c r="Q40" s="11">
        <f t="shared" si="7"/>
        <v>0</v>
      </c>
      <c r="R40" s="39">
        <f t="shared" si="12"/>
        <v>66</v>
      </c>
      <c r="S40" s="38">
        <f t="shared" si="15"/>
        <v>2.1053999999999999</v>
      </c>
      <c r="T40" s="12"/>
      <c r="U40" s="13">
        <f t="shared" si="8"/>
        <v>0</v>
      </c>
      <c r="V40" s="49">
        <f t="shared" si="9"/>
        <v>66</v>
      </c>
      <c r="W40" s="50">
        <f t="shared" si="10"/>
        <v>2.1053999999999999</v>
      </c>
      <c r="X40">
        <f t="shared" si="11"/>
        <v>0</v>
      </c>
    </row>
    <row r="41" spans="1:24" x14ac:dyDescent="0.25">
      <c r="A41" s="42" t="s">
        <v>38</v>
      </c>
      <c r="B41" s="34">
        <v>63</v>
      </c>
      <c r="C41" s="35">
        <v>55</v>
      </c>
      <c r="D41" s="35">
        <v>5</v>
      </c>
      <c r="E41" s="19">
        <f t="shared" si="3"/>
        <v>1.7325E-2</v>
      </c>
      <c r="F41" s="23">
        <f>'EYLÜL 2. HAFTA '!V41</f>
        <v>10</v>
      </c>
      <c r="G41" s="26">
        <f t="shared" si="4"/>
        <v>0.17325000000000002</v>
      </c>
      <c r="H41" s="22"/>
      <c r="I41" s="11">
        <f t="shared" si="5"/>
        <v>0</v>
      </c>
      <c r="J41" s="6"/>
      <c r="K41" s="10">
        <f t="shared" si="13"/>
        <v>0</v>
      </c>
      <c r="L41" s="22"/>
      <c r="M41" s="11">
        <f t="shared" si="14"/>
        <v>0</v>
      </c>
      <c r="N41" s="6"/>
      <c r="O41" s="10">
        <f t="shared" si="6"/>
        <v>0</v>
      </c>
      <c r="P41" s="22"/>
      <c r="Q41" s="11">
        <f t="shared" si="7"/>
        <v>0</v>
      </c>
      <c r="R41" s="39">
        <f t="shared" si="12"/>
        <v>10</v>
      </c>
      <c r="S41" s="38">
        <f t="shared" si="15"/>
        <v>0.17325000000000002</v>
      </c>
      <c r="T41" s="12"/>
      <c r="U41" s="13">
        <f t="shared" si="8"/>
        <v>0</v>
      </c>
      <c r="V41" s="49">
        <f t="shared" si="9"/>
        <v>10</v>
      </c>
      <c r="W41" s="50">
        <f t="shared" si="10"/>
        <v>0.17325000000000002</v>
      </c>
      <c r="X41">
        <f t="shared" si="11"/>
        <v>0</v>
      </c>
    </row>
    <row r="42" spans="1:24" x14ac:dyDescent="0.25">
      <c r="A42" s="42" t="s">
        <v>39</v>
      </c>
      <c r="B42" s="34">
        <v>52</v>
      </c>
      <c r="C42" s="35">
        <v>52</v>
      </c>
      <c r="D42" s="35">
        <v>5</v>
      </c>
      <c r="E42" s="19">
        <f t="shared" si="3"/>
        <v>1.3520000000000001E-2</v>
      </c>
      <c r="F42" s="23">
        <f>'EYLÜL 2. HAFTA '!V42</f>
        <v>119</v>
      </c>
      <c r="G42" s="26">
        <f t="shared" si="4"/>
        <v>1.6088800000000001</v>
      </c>
      <c r="H42" s="22"/>
      <c r="I42" s="11">
        <f t="shared" si="5"/>
        <v>0</v>
      </c>
      <c r="J42" s="6"/>
      <c r="K42" s="10">
        <f t="shared" si="13"/>
        <v>0</v>
      </c>
      <c r="L42" s="22"/>
      <c r="M42" s="11">
        <f t="shared" si="14"/>
        <v>0</v>
      </c>
      <c r="N42" s="6"/>
      <c r="O42" s="10">
        <f t="shared" si="6"/>
        <v>0</v>
      </c>
      <c r="P42" s="22"/>
      <c r="Q42" s="11">
        <f t="shared" si="7"/>
        <v>0</v>
      </c>
      <c r="R42" s="39">
        <f t="shared" si="12"/>
        <v>119</v>
      </c>
      <c r="S42" s="38">
        <f t="shared" si="15"/>
        <v>1.6088800000000001</v>
      </c>
      <c r="T42" s="12"/>
      <c r="U42" s="13">
        <f t="shared" si="8"/>
        <v>0</v>
      </c>
      <c r="V42" s="49">
        <f t="shared" si="9"/>
        <v>119</v>
      </c>
      <c r="W42" s="50">
        <f t="shared" si="10"/>
        <v>1.6088800000000001</v>
      </c>
      <c r="X42">
        <f t="shared" si="11"/>
        <v>0</v>
      </c>
    </row>
    <row r="43" spans="1:24" x14ac:dyDescent="0.25">
      <c r="A43" s="42" t="s">
        <v>40</v>
      </c>
      <c r="B43" s="34">
        <v>80</v>
      </c>
      <c r="C43" s="35">
        <v>70</v>
      </c>
      <c r="D43" s="35">
        <v>8</v>
      </c>
      <c r="E43" s="19">
        <f t="shared" si="3"/>
        <v>4.48E-2</v>
      </c>
      <c r="F43" s="23">
        <f>'EYLÜL 2. HAFTA '!V43</f>
        <v>395</v>
      </c>
      <c r="G43" s="26">
        <f t="shared" si="4"/>
        <v>17.696000000000002</v>
      </c>
      <c r="H43" s="22"/>
      <c r="I43" s="11">
        <f t="shared" si="5"/>
        <v>0</v>
      </c>
      <c r="J43" s="6"/>
      <c r="K43" s="10">
        <f t="shared" si="13"/>
        <v>0</v>
      </c>
      <c r="L43" s="22"/>
      <c r="M43" s="11">
        <f t="shared" si="14"/>
        <v>0</v>
      </c>
      <c r="N43" s="6">
        <v>1</v>
      </c>
      <c r="O43" s="10">
        <f t="shared" si="6"/>
        <v>4.48E-2</v>
      </c>
      <c r="P43" s="22"/>
      <c r="Q43" s="11">
        <f t="shared" si="7"/>
        <v>0</v>
      </c>
      <c r="R43" s="39">
        <f t="shared" si="12"/>
        <v>394</v>
      </c>
      <c r="S43" s="38">
        <f t="shared" si="15"/>
        <v>17.651199999999999</v>
      </c>
      <c r="T43" s="12">
        <v>2</v>
      </c>
      <c r="U43" s="13">
        <f t="shared" si="8"/>
        <v>8.9599999999999999E-2</v>
      </c>
      <c r="V43" s="49">
        <f t="shared" si="9"/>
        <v>396</v>
      </c>
      <c r="W43" s="50">
        <f t="shared" si="10"/>
        <v>17.7408</v>
      </c>
      <c r="X43">
        <f t="shared" si="11"/>
        <v>1</v>
      </c>
    </row>
    <row r="44" spans="1:24" x14ac:dyDescent="0.25">
      <c r="A44" s="42" t="s">
        <v>42</v>
      </c>
      <c r="B44" s="34">
        <v>70</v>
      </c>
      <c r="C44" s="35">
        <v>64</v>
      </c>
      <c r="D44" s="35">
        <v>8</v>
      </c>
      <c r="E44" s="19">
        <f t="shared" si="3"/>
        <v>3.5839999999999997E-2</v>
      </c>
      <c r="F44" s="23">
        <f>'EYLÜL 2. HAFTA '!V44</f>
        <v>477</v>
      </c>
      <c r="G44" s="26">
        <f t="shared" si="4"/>
        <v>17.095679999999998</v>
      </c>
      <c r="H44" s="22"/>
      <c r="I44" s="11">
        <f t="shared" si="5"/>
        <v>0</v>
      </c>
      <c r="J44" s="6"/>
      <c r="K44" s="10">
        <f t="shared" si="13"/>
        <v>0</v>
      </c>
      <c r="L44" s="22"/>
      <c r="M44" s="11">
        <f t="shared" si="14"/>
        <v>0</v>
      </c>
      <c r="N44" s="6">
        <v>1</v>
      </c>
      <c r="O44" s="10">
        <f t="shared" si="6"/>
        <v>3.5839999999999997E-2</v>
      </c>
      <c r="P44" s="22"/>
      <c r="Q44" s="11">
        <f t="shared" si="7"/>
        <v>0</v>
      </c>
      <c r="R44" s="39">
        <f t="shared" si="12"/>
        <v>476</v>
      </c>
      <c r="S44" s="38">
        <f t="shared" si="15"/>
        <v>17.059839999999998</v>
      </c>
      <c r="T44" s="12"/>
      <c r="U44" s="13">
        <f t="shared" si="8"/>
        <v>0</v>
      </c>
      <c r="V44" s="49">
        <f t="shared" si="9"/>
        <v>476</v>
      </c>
      <c r="W44" s="50">
        <f t="shared" si="10"/>
        <v>17.059839999999998</v>
      </c>
      <c r="X44">
        <f t="shared" si="11"/>
        <v>1</v>
      </c>
    </row>
    <row r="45" spans="1:24" x14ac:dyDescent="0.25">
      <c r="A45" s="42" t="s">
        <v>43</v>
      </c>
      <c r="B45" s="34">
        <v>75</v>
      </c>
      <c r="C45" s="35">
        <v>70</v>
      </c>
      <c r="D45" s="35">
        <v>8</v>
      </c>
      <c r="E45" s="19">
        <f t="shared" si="3"/>
        <v>4.2000000000000003E-2</v>
      </c>
      <c r="F45" s="23">
        <f>'EYLÜL 2. HAFTA '!V45</f>
        <v>323</v>
      </c>
      <c r="G45" s="26">
        <f t="shared" si="4"/>
        <v>13.566000000000001</v>
      </c>
      <c r="H45" s="22"/>
      <c r="I45" s="11">
        <f t="shared" si="5"/>
        <v>0</v>
      </c>
      <c r="J45" s="6"/>
      <c r="K45" s="10">
        <f t="shared" si="13"/>
        <v>0</v>
      </c>
      <c r="L45" s="22"/>
      <c r="M45" s="11">
        <f t="shared" si="14"/>
        <v>0</v>
      </c>
      <c r="N45" s="6">
        <v>2</v>
      </c>
      <c r="O45" s="10">
        <f t="shared" si="6"/>
        <v>8.4000000000000005E-2</v>
      </c>
      <c r="P45" s="22"/>
      <c r="Q45" s="11">
        <f t="shared" si="7"/>
        <v>0</v>
      </c>
      <c r="R45" s="39">
        <f t="shared" si="12"/>
        <v>321</v>
      </c>
      <c r="S45" s="38">
        <f t="shared" si="15"/>
        <v>13.482000000000001</v>
      </c>
      <c r="T45" s="12"/>
      <c r="U45" s="13">
        <f t="shared" si="8"/>
        <v>0</v>
      </c>
      <c r="V45" s="49">
        <f t="shared" si="9"/>
        <v>321</v>
      </c>
      <c r="W45" s="50">
        <f t="shared" si="10"/>
        <v>13.482000000000001</v>
      </c>
      <c r="X45">
        <f t="shared" si="11"/>
        <v>2</v>
      </c>
    </row>
    <row r="46" spans="1:24" x14ac:dyDescent="0.25">
      <c r="A46" s="42" t="s">
        <v>44</v>
      </c>
      <c r="B46" s="34">
        <v>142</v>
      </c>
      <c r="C46" s="35">
        <v>57</v>
      </c>
      <c r="D46" s="35">
        <v>5</v>
      </c>
      <c r="E46" s="19">
        <f t="shared" si="3"/>
        <v>4.0469999999999999E-2</v>
      </c>
      <c r="F46" s="23">
        <f>'EYLÜL 2. HAFTA '!V46</f>
        <v>707</v>
      </c>
      <c r="G46" s="26">
        <f t="shared" si="4"/>
        <v>28.612289999999998</v>
      </c>
      <c r="H46" s="22"/>
      <c r="I46" s="11">
        <f t="shared" si="5"/>
        <v>0</v>
      </c>
      <c r="J46" s="6"/>
      <c r="K46" s="10">
        <f t="shared" si="13"/>
        <v>0</v>
      </c>
      <c r="L46" s="22"/>
      <c r="M46" s="11">
        <f t="shared" si="14"/>
        <v>0</v>
      </c>
      <c r="N46" s="6"/>
      <c r="O46" s="10">
        <f t="shared" si="6"/>
        <v>0</v>
      </c>
      <c r="P46" s="22"/>
      <c r="Q46" s="11">
        <f t="shared" si="7"/>
        <v>0</v>
      </c>
      <c r="R46" s="39">
        <f t="shared" si="12"/>
        <v>707</v>
      </c>
      <c r="S46" s="38">
        <f t="shared" si="15"/>
        <v>28.612289999999998</v>
      </c>
      <c r="T46" s="12"/>
      <c r="U46" s="13">
        <f t="shared" si="8"/>
        <v>0</v>
      </c>
      <c r="V46" s="49">
        <f t="shared" si="9"/>
        <v>707</v>
      </c>
      <c r="W46" s="50">
        <f t="shared" si="10"/>
        <v>28.612289999999998</v>
      </c>
      <c r="X46">
        <f t="shared" si="11"/>
        <v>0</v>
      </c>
    </row>
    <row r="47" spans="1:24" x14ac:dyDescent="0.25">
      <c r="A47" s="42" t="s">
        <v>45</v>
      </c>
      <c r="B47" s="34">
        <v>80</v>
      </c>
      <c r="C47" s="35">
        <v>63</v>
      </c>
      <c r="D47" s="35">
        <v>5</v>
      </c>
      <c r="E47" s="19">
        <f t="shared" si="3"/>
        <v>2.52E-2</v>
      </c>
      <c r="F47" s="23">
        <f>'EYLÜL 2. HAFTA '!V47</f>
        <v>315</v>
      </c>
      <c r="G47" s="26">
        <f t="shared" si="4"/>
        <v>7.9379999999999997</v>
      </c>
      <c r="H47" s="22"/>
      <c r="I47" s="11">
        <f t="shared" si="5"/>
        <v>0</v>
      </c>
      <c r="J47" s="6"/>
      <c r="K47" s="10">
        <f t="shared" si="13"/>
        <v>0</v>
      </c>
      <c r="L47" s="22"/>
      <c r="M47" s="11">
        <f t="shared" si="14"/>
        <v>0</v>
      </c>
      <c r="N47" s="6"/>
      <c r="O47" s="10">
        <f t="shared" si="6"/>
        <v>0</v>
      </c>
      <c r="P47" s="22"/>
      <c r="Q47" s="11">
        <f t="shared" si="7"/>
        <v>0</v>
      </c>
      <c r="R47" s="39">
        <f t="shared" si="12"/>
        <v>315</v>
      </c>
      <c r="S47" s="38">
        <f t="shared" si="15"/>
        <v>7.9379999999999997</v>
      </c>
      <c r="T47" s="12"/>
      <c r="U47" s="13">
        <f t="shared" si="8"/>
        <v>0</v>
      </c>
      <c r="V47" s="49">
        <f t="shared" si="9"/>
        <v>315</v>
      </c>
      <c r="W47" s="50">
        <f t="shared" si="10"/>
        <v>7.9379999999999997</v>
      </c>
      <c r="X47">
        <f t="shared" si="11"/>
        <v>0</v>
      </c>
    </row>
    <row r="48" spans="1:24" x14ac:dyDescent="0.25">
      <c r="A48" s="42" t="s">
        <v>46</v>
      </c>
      <c r="B48" s="34">
        <v>77</v>
      </c>
      <c r="C48" s="35">
        <v>68</v>
      </c>
      <c r="D48" s="35">
        <v>8</v>
      </c>
      <c r="E48" s="19">
        <f t="shared" si="3"/>
        <v>4.1888000000000002E-2</v>
      </c>
      <c r="F48" s="23">
        <f>'EYLÜL 2. HAFTA '!V48</f>
        <v>197</v>
      </c>
      <c r="G48" s="26">
        <f t="shared" si="4"/>
        <v>8.2519360000000006</v>
      </c>
      <c r="H48" s="22"/>
      <c r="I48" s="11">
        <f t="shared" si="5"/>
        <v>0</v>
      </c>
      <c r="J48" s="6"/>
      <c r="K48" s="10">
        <f t="shared" si="13"/>
        <v>0</v>
      </c>
      <c r="L48" s="22"/>
      <c r="M48" s="11">
        <f t="shared" si="14"/>
        <v>0</v>
      </c>
      <c r="N48" s="6">
        <v>2</v>
      </c>
      <c r="O48" s="10">
        <f t="shared" si="6"/>
        <v>8.3776000000000003E-2</v>
      </c>
      <c r="P48" s="22"/>
      <c r="Q48" s="11">
        <f t="shared" si="7"/>
        <v>0</v>
      </c>
      <c r="R48" s="39">
        <f t="shared" si="12"/>
        <v>195</v>
      </c>
      <c r="S48" s="38">
        <f t="shared" si="15"/>
        <v>8.1681600000000003</v>
      </c>
      <c r="T48" s="12"/>
      <c r="U48" s="13">
        <f t="shared" si="8"/>
        <v>0</v>
      </c>
      <c r="V48" s="49">
        <f t="shared" si="9"/>
        <v>195</v>
      </c>
      <c r="W48" s="50">
        <f t="shared" si="10"/>
        <v>8.1681600000000003</v>
      </c>
      <c r="X48">
        <f t="shared" si="11"/>
        <v>2</v>
      </c>
    </row>
    <row r="49" spans="1:24" x14ac:dyDescent="0.25">
      <c r="A49" s="42" t="s">
        <v>47</v>
      </c>
      <c r="B49" s="34">
        <v>79</v>
      </c>
      <c r="C49" s="35">
        <v>79</v>
      </c>
      <c r="D49" s="35">
        <v>2</v>
      </c>
      <c r="E49" s="19">
        <f t="shared" si="3"/>
        <v>1.2482E-2</v>
      </c>
      <c r="F49" s="23">
        <f>'EYLÜL 2. HAFTA '!V49</f>
        <v>39</v>
      </c>
      <c r="G49" s="26">
        <f t="shared" si="4"/>
        <v>0.48679800000000001</v>
      </c>
      <c r="H49" s="22"/>
      <c r="I49" s="11">
        <f t="shared" si="5"/>
        <v>0</v>
      </c>
      <c r="J49" s="6"/>
      <c r="K49" s="10">
        <f t="shared" si="13"/>
        <v>0</v>
      </c>
      <c r="L49" s="22">
        <v>6</v>
      </c>
      <c r="M49" s="11">
        <f t="shared" si="14"/>
        <v>7.4892E-2</v>
      </c>
      <c r="N49" s="6"/>
      <c r="O49" s="10">
        <f t="shared" si="6"/>
        <v>0</v>
      </c>
      <c r="P49" s="22"/>
      <c r="Q49" s="11">
        <f t="shared" si="7"/>
        <v>0</v>
      </c>
      <c r="R49" s="39">
        <f t="shared" si="12"/>
        <v>33</v>
      </c>
      <c r="S49" s="38">
        <f t="shared" si="15"/>
        <v>0.41190599999999999</v>
      </c>
      <c r="T49" s="12"/>
      <c r="U49" s="13">
        <f t="shared" si="8"/>
        <v>0</v>
      </c>
      <c r="V49" s="49">
        <f t="shared" si="9"/>
        <v>33</v>
      </c>
      <c r="W49" s="50">
        <f t="shared" si="10"/>
        <v>0.41190599999999999</v>
      </c>
      <c r="X49">
        <f t="shared" si="11"/>
        <v>6</v>
      </c>
    </row>
    <row r="50" spans="1:24" x14ac:dyDescent="0.25">
      <c r="A50" s="42" t="s">
        <v>48</v>
      </c>
      <c r="B50" s="34">
        <v>61</v>
      </c>
      <c r="C50" s="35">
        <v>56</v>
      </c>
      <c r="D50" s="35">
        <v>10</v>
      </c>
      <c r="E50" s="19">
        <f t="shared" si="3"/>
        <v>3.4160000000000003E-2</v>
      </c>
      <c r="F50" s="23">
        <f>'EYLÜL 2. HAFTA '!V50</f>
        <v>0</v>
      </c>
      <c r="G50" s="26">
        <f t="shared" si="4"/>
        <v>0</v>
      </c>
      <c r="H50" s="22"/>
      <c r="I50" s="11">
        <f t="shared" si="5"/>
        <v>0</v>
      </c>
      <c r="J50" s="6"/>
      <c r="K50" s="10">
        <f t="shared" si="13"/>
        <v>0</v>
      </c>
      <c r="L50" s="22"/>
      <c r="M50" s="11">
        <f t="shared" si="14"/>
        <v>0</v>
      </c>
      <c r="N50" s="6"/>
      <c r="O50" s="10">
        <f t="shared" si="6"/>
        <v>0</v>
      </c>
      <c r="P50" s="22"/>
      <c r="Q50" s="11">
        <f t="shared" si="7"/>
        <v>0</v>
      </c>
      <c r="R50" s="39">
        <f t="shared" si="12"/>
        <v>0</v>
      </c>
      <c r="S50" s="38">
        <f t="shared" si="15"/>
        <v>0</v>
      </c>
      <c r="T50" s="12">
        <v>399</v>
      </c>
      <c r="U50" s="13">
        <f t="shared" si="8"/>
        <v>13.629840000000002</v>
      </c>
      <c r="V50" s="49">
        <f t="shared" si="9"/>
        <v>399</v>
      </c>
      <c r="W50" s="50">
        <f t="shared" si="10"/>
        <v>13.629840000000002</v>
      </c>
      <c r="X50">
        <f t="shared" si="11"/>
        <v>0</v>
      </c>
    </row>
    <row r="51" spans="1:24" x14ac:dyDescent="0.25">
      <c r="A51" s="42" t="s">
        <v>49</v>
      </c>
      <c r="B51" s="34">
        <v>66</v>
      </c>
      <c r="C51" s="35">
        <v>61</v>
      </c>
      <c r="D51" s="35">
        <v>10</v>
      </c>
      <c r="E51" s="19">
        <f t="shared" si="3"/>
        <v>4.0259999999999997E-2</v>
      </c>
      <c r="F51" s="23">
        <f>'EYLÜL 2. HAFTA '!V51</f>
        <v>0</v>
      </c>
      <c r="G51" s="26">
        <f t="shared" si="4"/>
        <v>0</v>
      </c>
      <c r="H51" s="22"/>
      <c r="I51" s="11">
        <f t="shared" si="5"/>
        <v>0</v>
      </c>
      <c r="J51" s="6"/>
      <c r="K51" s="10">
        <f t="shared" si="13"/>
        <v>0</v>
      </c>
      <c r="L51" s="22"/>
      <c r="M51" s="11">
        <f t="shared" si="14"/>
        <v>0</v>
      </c>
      <c r="N51" s="6"/>
      <c r="O51" s="10">
        <f t="shared" si="6"/>
        <v>0</v>
      </c>
      <c r="P51" s="22"/>
      <c r="Q51" s="11">
        <f t="shared" si="7"/>
        <v>0</v>
      </c>
      <c r="R51" s="39">
        <f t="shared" si="12"/>
        <v>0</v>
      </c>
      <c r="S51" s="38">
        <f t="shared" si="15"/>
        <v>0</v>
      </c>
      <c r="T51" s="12">
        <v>400</v>
      </c>
      <c r="U51" s="13">
        <f t="shared" si="8"/>
        <v>16.103999999999999</v>
      </c>
      <c r="V51" s="49">
        <f t="shared" si="9"/>
        <v>400</v>
      </c>
      <c r="W51" s="50">
        <f t="shared" si="10"/>
        <v>16.103999999999999</v>
      </c>
      <c r="X51">
        <f t="shared" si="11"/>
        <v>0</v>
      </c>
    </row>
    <row r="52" spans="1:24" x14ac:dyDescent="0.25">
      <c r="A52" s="42" t="s">
        <v>88</v>
      </c>
      <c r="B52" s="34">
        <v>63</v>
      </c>
      <c r="C52" s="35">
        <v>61</v>
      </c>
      <c r="D52" s="35">
        <v>10</v>
      </c>
      <c r="E52" s="19">
        <f t="shared" si="3"/>
        <v>3.8429999999999999E-2</v>
      </c>
      <c r="F52" s="23">
        <f>'EYLÜL 2. HAFTA '!V52</f>
        <v>0</v>
      </c>
      <c r="G52" s="26">
        <f t="shared" si="4"/>
        <v>0</v>
      </c>
      <c r="H52" s="22"/>
      <c r="I52" s="11">
        <f t="shared" si="5"/>
        <v>0</v>
      </c>
      <c r="J52" s="6"/>
      <c r="K52" s="10">
        <f t="shared" si="13"/>
        <v>0</v>
      </c>
      <c r="L52" s="22"/>
      <c r="M52" s="11">
        <f t="shared" si="14"/>
        <v>0</v>
      </c>
      <c r="N52" s="6"/>
      <c r="O52" s="10">
        <f t="shared" si="6"/>
        <v>0</v>
      </c>
      <c r="P52" s="22"/>
      <c r="Q52" s="11">
        <f t="shared" si="7"/>
        <v>0</v>
      </c>
      <c r="R52" s="39">
        <f t="shared" si="12"/>
        <v>0</v>
      </c>
      <c r="S52" s="38">
        <f t="shared" si="15"/>
        <v>0</v>
      </c>
      <c r="T52" s="12">
        <v>420</v>
      </c>
      <c r="U52" s="13">
        <f t="shared" si="8"/>
        <v>16.140599999999999</v>
      </c>
      <c r="V52" s="49">
        <f t="shared" si="9"/>
        <v>420</v>
      </c>
      <c r="W52" s="50">
        <f t="shared" si="10"/>
        <v>16.140599999999999</v>
      </c>
      <c r="X52">
        <f t="shared" si="11"/>
        <v>0</v>
      </c>
    </row>
    <row r="53" spans="1:24" x14ac:dyDescent="0.25">
      <c r="A53" s="42" t="s">
        <v>51</v>
      </c>
      <c r="B53" s="34">
        <v>58</v>
      </c>
      <c r="C53" s="35">
        <v>58</v>
      </c>
      <c r="D53" s="35">
        <v>2.2999999999999998</v>
      </c>
      <c r="E53" s="19">
        <f t="shared" si="3"/>
        <v>7.7371999999999996E-3</v>
      </c>
      <c r="F53" s="23">
        <f>'EYLÜL 2. HAFTA '!V53</f>
        <v>3982</v>
      </c>
      <c r="G53" s="26">
        <f t="shared" si="4"/>
        <v>30.8095304</v>
      </c>
      <c r="H53" s="22"/>
      <c r="I53" s="11">
        <f t="shared" si="5"/>
        <v>0</v>
      </c>
      <c r="J53" s="6">
        <v>80</v>
      </c>
      <c r="K53" s="10">
        <f t="shared" si="13"/>
        <v>0.61897599999999997</v>
      </c>
      <c r="L53" s="22"/>
      <c r="M53" s="11">
        <f t="shared" si="14"/>
        <v>0</v>
      </c>
      <c r="N53" s="6"/>
      <c r="O53" s="10">
        <f t="shared" si="6"/>
        <v>0</v>
      </c>
      <c r="P53" s="22">
        <v>70</v>
      </c>
      <c r="Q53" s="11">
        <f t="shared" si="7"/>
        <v>0.54160399999999997</v>
      </c>
      <c r="R53" s="39">
        <f t="shared" si="12"/>
        <v>3832</v>
      </c>
      <c r="S53" s="38">
        <f t="shared" si="15"/>
        <v>29.648950399999997</v>
      </c>
      <c r="T53" s="12"/>
      <c r="U53" s="13">
        <f t="shared" si="8"/>
        <v>0</v>
      </c>
      <c r="V53" s="49">
        <f t="shared" si="9"/>
        <v>3832</v>
      </c>
      <c r="W53" s="50">
        <f t="shared" si="10"/>
        <v>29.648950399999997</v>
      </c>
      <c r="X53">
        <f t="shared" si="11"/>
        <v>150</v>
      </c>
    </row>
    <row r="54" spans="1:24" x14ac:dyDescent="0.25">
      <c r="A54" s="42" t="s">
        <v>52</v>
      </c>
      <c r="B54" s="34">
        <v>79</v>
      </c>
      <c r="C54" s="35">
        <v>62</v>
      </c>
      <c r="D54" s="35">
        <v>2.2999999999999998</v>
      </c>
      <c r="E54" s="19">
        <f t="shared" si="3"/>
        <v>1.12654E-2</v>
      </c>
      <c r="F54" s="23">
        <f>'EYLÜL 2. HAFTA '!V54</f>
        <v>3588</v>
      </c>
      <c r="G54" s="26">
        <f t="shared" si="4"/>
        <v>40.4202552</v>
      </c>
      <c r="H54" s="22">
        <v>4</v>
      </c>
      <c r="I54" s="11">
        <f t="shared" si="5"/>
        <v>4.50616E-2</v>
      </c>
      <c r="J54" s="6">
        <v>35</v>
      </c>
      <c r="K54" s="10">
        <f t="shared" si="13"/>
        <v>0.394289</v>
      </c>
      <c r="L54" s="22"/>
      <c r="M54" s="11">
        <f t="shared" si="14"/>
        <v>0</v>
      </c>
      <c r="N54" s="6"/>
      <c r="O54" s="10">
        <f t="shared" si="6"/>
        <v>0</v>
      </c>
      <c r="P54" s="22"/>
      <c r="Q54" s="11">
        <f t="shared" si="7"/>
        <v>0</v>
      </c>
      <c r="R54" s="39">
        <f t="shared" si="12"/>
        <v>3549</v>
      </c>
      <c r="S54" s="38">
        <f t="shared" si="15"/>
        <v>39.980904600000002</v>
      </c>
      <c r="T54" s="12"/>
      <c r="U54" s="13">
        <f t="shared" si="8"/>
        <v>0</v>
      </c>
      <c r="V54" s="49">
        <f t="shared" si="9"/>
        <v>3549</v>
      </c>
      <c r="W54" s="50">
        <f t="shared" si="10"/>
        <v>39.980904600000002</v>
      </c>
      <c r="X54">
        <f t="shared" si="11"/>
        <v>39</v>
      </c>
    </row>
    <row r="55" spans="1:24" x14ac:dyDescent="0.25">
      <c r="A55" s="42" t="s">
        <v>53</v>
      </c>
      <c r="B55" s="34">
        <v>200</v>
      </c>
      <c r="C55" s="35">
        <v>176</v>
      </c>
      <c r="D55" s="35">
        <v>2.2999999999999998</v>
      </c>
      <c r="E55" s="19">
        <f t="shared" si="3"/>
        <v>8.0960000000000004E-2</v>
      </c>
      <c r="F55" s="23">
        <f>'EYLÜL 2. HAFTA '!V55</f>
        <v>1</v>
      </c>
      <c r="G55" s="26">
        <f t="shared" si="4"/>
        <v>8.0960000000000004E-2</v>
      </c>
      <c r="H55" s="22"/>
      <c r="I55" s="11">
        <f t="shared" si="5"/>
        <v>0</v>
      </c>
      <c r="J55" s="6"/>
      <c r="K55" s="10">
        <f t="shared" si="13"/>
        <v>0</v>
      </c>
      <c r="L55" s="22"/>
      <c r="M55" s="11">
        <f t="shared" si="14"/>
        <v>0</v>
      </c>
      <c r="N55" s="6"/>
      <c r="O55" s="10">
        <f t="shared" si="6"/>
        <v>0</v>
      </c>
      <c r="P55" s="22"/>
      <c r="Q55" s="11">
        <f t="shared" si="7"/>
        <v>0</v>
      </c>
      <c r="R55" s="39">
        <f t="shared" si="12"/>
        <v>1</v>
      </c>
      <c r="S55" s="38">
        <f t="shared" si="15"/>
        <v>8.0960000000000004E-2</v>
      </c>
      <c r="T55" s="12"/>
      <c r="U55" s="13">
        <f t="shared" si="8"/>
        <v>0</v>
      </c>
      <c r="V55" s="49">
        <f t="shared" si="9"/>
        <v>1</v>
      </c>
      <c r="W55" s="50">
        <f t="shared" si="10"/>
        <v>8.0960000000000004E-2</v>
      </c>
      <c r="X55">
        <f t="shared" si="11"/>
        <v>0</v>
      </c>
    </row>
    <row r="56" spans="1:24" x14ac:dyDescent="0.25">
      <c r="A56" s="42" t="s">
        <v>54</v>
      </c>
      <c r="B56" s="34">
        <v>79</v>
      </c>
      <c r="C56" s="35">
        <v>79</v>
      </c>
      <c r="D56" s="35">
        <v>2.2999999999999998</v>
      </c>
      <c r="E56" s="19">
        <f t="shared" si="3"/>
        <v>1.4354299999999999E-2</v>
      </c>
      <c r="F56" s="23">
        <f>'EYLÜL 2. HAFTA '!V56</f>
        <v>241</v>
      </c>
      <c r="G56" s="26">
        <f t="shared" si="4"/>
        <v>3.4593862999999998</v>
      </c>
      <c r="H56" s="22"/>
      <c r="I56" s="11">
        <f t="shared" si="5"/>
        <v>0</v>
      </c>
      <c r="J56" s="6"/>
      <c r="K56" s="10">
        <f t="shared" si="13"/>
        <v>0</v>
      </c>
      <c r="L56" s="22"/>
      <c r="M56" s="11">
        <f t="shared" si="14"/>
        <v>0</v>
      </c>
      <c r="N56" s="6"/>
      <c r="O56" s="10">
        <f t="shared" si="6"/>
        <v>0</v>
      </c>
      <c r="P56" s="22"/>
      <c r="Q56" s="11">
        <f t="shared" si="7"/>
        <v>0</v>
      </c>
      <c r="R56" s="39">
        <f t="shared" si="12"/>
        <v>241</v>
      </c>
      <c r="S56" s="38">
        <f t="shared" si="15"/>
        <v>3.4593862999999998</v>
      </c>
      <c r="T56" s="12"/>
      <c r="U56" s="13">
        <f t="shared" si="8"/>
        <v>0</v>
      </c>
      <c r="V56" s="49">
        <f t="shared" si="9"/>
        <v>241</v>
      </c>
      <c r="W56" s="50">
        <f t="shared" si="10"/>
        <v>3.4593862999999998</v>
      </c>
      <c r="X56">
        <f t="shared" si="11"/>
        <v>0</v>
      </c>
    </row>
    <row r="57" spans="1:24" ht="15.75" x14ac:dyDescent="0.25">
      <c r="A57" s="42" t="s">
        <v>55</v>
      </c>
      <c r="B57" s="67">
        <v>50</v>
      </c>
      <c r="C57" s="68">
        <v>45</v>
      </c>
      <c r="D57" s="68">
        <v>4</v>
      </c>
      <c r="E57" s="19">
        <f t="shared" si="3"/>
        <v>8.9999999999999993E-3</v>
      </c>
      <c r="F57" s="23">
        <f>'EYLÜL 2. HAFTA '!V57</f>
        <v>866</v>
      </c>
      <c r="G57" s="26">
        <f t="shared" si="4"/>
        <v>7.7939999999999996</v>
      </c>
      <c r="H57" s="22"/>
      <c r="I57" s="11">
        <f t="shared" si="5"/>
        <v>0</v>
      </c>
      <c r="J57" s="6"/>
      <c r="K57" s="10">
        <f t="shared" si="13"/>
        <v>0</v>
      </c>
      <c r="L57" s="22"/>
      <c r="M57" s="11">
        <f t="shared" si="14"/>
        <v>0</v>
      </c>
      <c r="N57" s="6"/>
      <c r="O57" s="10">
        <f t="shared" si="6"/>
        <v>0</v>
      </c>
      <c r="P57" s="22">
        <v>20</v>
      </c>
      <c r="Q57" s="11">
        <f t="shared" si="7"/>
        <v>0.18</v>
      </c>
      <c r="R57" s="39">
        <f t="shared" si="12"/>
        <v>846</v>
      </c>
      <c r="S57" s="38">
        <f t="shared" si="15"/>
        <v>7.613999999999999</v>
      </c>
      <c r="T57" s="12"/>
      <c r="U57" s="13">
        <f t="shared" si="8"/>
        <v>0</v>
      </c>
      <c r="V57" s="49">
        <f t="shared" si="9"/>
        <v>846</v>
      </c>
      <c r="W57" s="50">
        <f t="shared" si="10"/>
        <v>7.613999999999999</v>
      </c>
      <c r="X57">
        <f t="shared" si="11"/>
        <v>20</v>
      </c>
    </row>
    <row r="58" spans="1:24" ht="15.75" x14ac:dyDescent="0.25">
      <c r="A58" s="42" t="s">
        <v>56</v>
      </c>
      <c r="B58" s="67">
        <v>50</v>
      </c>
      <c r="C58" s="68">
        <v>35</v>
      </c>
      <c r="D58" s="68">
        <v>4</v>
      </c>
      <c r="E58" s="19">
        <f t="shared" si="3"/>
        <v>7.0000000000000001E-3</v>
      </c>
      <c r="F58" s="23">
        <f>'EYLÜL 2. HAFTA '!V58</f>
        <v>926</v>
      </c>
      <c r="G58" s="26">
        <f t="shared" si="4"/>
        <v>6.4820000000000002</v>
      </c>
      <c r="H58" s="22"/>
      <c r="I58" s="11">
        <f t="shared" si="5"/>
        <v>0</v>
      </c>
      <c r="J58" s="6"/>
      <c r="K58" s="10">
        <f t="shared" si="13"/>
        <v>0</v>
      </c>
      <c r="L58" s="22"/>
      <c r="M58" s="11">
        <f t="shared" si="14"/>
        <v>0</v>
      </c>
      <c r="N58" s="6"/>
      <c r="O58" s="10">
        <f t="shared" si="6"/>
        <v>0</v>
      </c>
      <c r="P58" s="22"/>
      <c r="Q58" s="11">
        <f t="shared" si="7"/>
        <v>0</v>
      </c>
      <c r="R58" s="39">
        <f t="shared" si="12"/>
        <v>926</v>
      </c>
      <c r="S58" s="38">
        <f t="shared" si="15"/>
        <v>6.4820000000000002</v>
      </c>
      <c r="T58" s="12"/>
      <c r="U58" s="13">
        <f t="shared" si="8"/>
        <v>0</v>
      </c>
      <c r="V58" s="49">
        <f t="shared" si="9"/>
        <v>926</v>
      </c>
      <c r="W58" s="50">
        <f t="shared" si="10"/>
        <v>6.4820000000000002</v>
      </c>
      <c r="X58">
        <f t="shared" si="11"/>
        <v>0</v>
      </c>
    </row>
    <row r="59" spans="1:24" ht="15.75" x14ac:dyDescent="0.25">
      <c r="A59" s="42" t="s">
        <v>57</v>
      </c>
      <c r="B59" s="67">
        <v>45</v>
      </c>
      <c r="C59" s="68">
        <v>50</v>
      </c>
      <c r="D59" s="68">
        <v>3</v>
      </c>
      <c r="E59" s="19">
        <f t="shared" si="3"/>
        <v>6.7499999999999999E-3</v>
      </c>
      <c r="F59" s="23">
        <f>'EYLÜL 2. HAFTA '!V59</f>
        <v>1017</v>
      </c>
      <c r="G59" s="26">
        <f t="shared" si="4"/>
        <v>6.8647499999999999</v>
      </c>
      <c r="H59" s="22"/>
      <c r="I59" s="11">
        <f t="shared" si="5"/>
        <v>0</v>
      </c>
      <c r="J59" s="6">
        <v>40</v>
      </c>
      <c r="K59" s="10">
        <f t="shared" si="13"/>
        <v>0.27</v>
      </c>
      <c r="L59" s="22">
        <v>200</v>
      </c>
      <c r="M59" s="11">
        <f t="shared" si="14"/>
        <v>1.35</v>
      </c>
      <c r="N59" s="6"/>
      <c r="O59" s="10">
        <f t="shared" si="6"/>
        <v>0</v>
      </c>
      <c r="P59" s="22">
        <v>180</v>
      </c>
      <c r="Q59" s="11">
        <f t="shared" si="7"/>
        <v>1.2150000000000001</v>
      </c>
      <c r="R59" s="39">
        <f t="shared" si="12"/>
        <v>597</v>
      </c>
      <c r="S59" s="38">
        <f t="shared" si="15"/>
        <v>4.0297499999999999</v>
      </c>
      <c r="T59" s="12"/>
      <c r="U59" s="13">
        <f t="shared" si="8"/>
        <v>0</v>
      </c>
      <c r="V59" s="49">
        <f t="shared" si="9"/>
        <v>597</v>
      </c>
      <c r="W59" s="50">
        <f t="shared" si="10"/>
        <v>4.0297499999999999</v>
      </c>
      <c r="X59">
        <f t="shared" si="11"/>
        <v>420</v>
      </c>
    </row>
    <row r="60" spans="1:24" ht="15.75" x14ac:dyDescent="0.25">
      <c r="A60" s="42" t="s">
        <v>58</v>
      </c>
      <c r="B60" s="67">
        <v>50</v>
      </c>
      <c r="C60" s="68">
        <v>35</v>
      </c>
      <c r="D60" s="68">
        <v>3</v>
      </c>
      <c r="E60" s="19">
        <f t="shared" si="3"/>
        <v>5.2500000000000003E-3</v>
      </c>
      <c r="F60" s="23">
        <f>'EYLÜL 2. HAFTA '!V60</f>
        <v>1206</v>
      </c>
      <c r="G60" s="26">
        <f t="shared" si="4"/>
        <v>6.3315000000000001</v>
      </c>
      <c r="H60" s="22"/>
      <c r="I60" s="11">
        <f t="shared" si="5"/>
        <v>0</v>
      </c>
      <c r="J60" s="6">
        <v>40</v>
      </c>
      <c r="K60" s="10">
        <f t="shared" si="13"/>
        <v>0.21000000000000002</v>
      </c>
      <c r="L60" s="22">
        <v>200</v>
      </c>
      <c r="M60" s="11">
        <f t="shared" si="14"/>
        <v>1.05</v>
      </c>
      <c r="N60" s="6"/>
      <c r="O60" s="10">
        <f t="shared" si="6"/>
        <v>0</v>
      </c>
      <c r="P60" s="22">
        <v>85</v>
      </c>
      <c r="Q60" s="11">
        <f t="shared" si="7"/>
        <v>0.44625000000000004</v>
      </c>
      <c r="R60" s="39">
        <f t="shared" si="12"/>
        <v>881</v>
      </c>
      <c r="S60" s="38">
        <f t="shared" si="15"/>
        <v>4.6252500000000003</v>
      </c>
      <c r="T60" s="12"/>
      <c r="U60" s="13">
        <f t="shared" si="8"/>
        <v>0</v>
      </c>
      <c r="V60" s="49">
        <f t="shared" si="9"/>
        <v>881</v>
      </c>
      <c r="W60" s="50">
        <f t="shared" si="10"/>
        <v>4.6252500000000003</v>
      </c>
      <c r="X60">
        <f t="shared" si="11"/>
        <v>325</v>
      </c>
    </row>
    <row r="61" spans="1:24" ht="15.75" x14ac:dyDescent="0.25">
      <c r="A61" s="42" t="s">
        <v>59</v>
      </c>
      <c r="B61" s="67">
        <v>42</v>
      </c>
      <c r="C61" s="68">
        <v>36</v>
      </c>
      <c r="D61" s="68">
        <v>4</v>
      </c>
      <c r="E61" s="19">
        <f t="shared" si="3"/>
        <v>6.0480000000000004E-3</v>
      </c>
      <c r="F61" s="23">
        <f>'EYLÜL 2. HAFTA '!V61</f>
        <v>92</v>
      </c>
      <c r="G61" s="26">
        <f t="shared" si="4"/>
        <v>0.55641600000000002</v>
      </c>
      <c r="H61" s="22"/>
      <c r="I61" s="11">
        <f t="shared" si="5"/>
        <v>0</v>
      </c>
      <c r="J61" s="6"/>
      <c r="K61" s="10">
        <f t="shared" si="13"/>
        <v>0</v>
      </c>
      <c r="L61" s="22"/>
      <c r="M61" s="11">
        <f t="shared" si="14"/>
        <v>0</v>
      </c>
      <c r="N61" s="6">
        <v>4</v>
      </c>
      <c r="O61" s="10">
        <f t="shared" si="6"/>
        <v>2.4192000000000002E-2</v>
      </c>
      <c r="P61" s="22"/>
      <c r="Q61" s="11">
        <f t="shared" si="7"/>
        <v>0</v>
      </c>
      <c r="R61" s="39">
        <f t="shared" si="12"/>
        <v>88</v>
      </c>
      <c r="S61" s="38">
        <f t="shared" si="15"/>
        <v>0.53222400000000003</v>
      </c>
      <c r="T61" s="12"/>
      <c r="U61" s="13">
        <f t="shared" si="8"/>
        <v>0</v>
      </c>
      <c r="V61" s="49">
        <f t="shared" si="9"/>
        <v>88</v>
      </c>
      <c r="W61" s="50">
        <f t="shared" si="10"/>
        <v>0.53222400000000003</v>
      </c>
      <c r="X61">
        <f t="shared" si="11"/>
        <v>4</v>
      </c>
    </row>
    <row r="62" spans="1:24" ht="15.75" x14ac:dyDescent="0.25">
      <c r="A62" s="42" t="s">
        <v>60</v>
      </c>
      <c r="B62" s="67">
        <v>50</v>
      </c>
      <c r="C62" s="68">
        <v>35</v>
      </c>
      <c r="D62" s="68">
        <v>3</v>
      </c>
      <c r="E62" s="19">
        <f t="shared" si="3"/>
        <v>5.2500000000000003E-3</v>
      </c>
      <c r="F62" s="23">
        <f>'EYLÜL 2. HAFTA '!V62</f>
        <v>1892</v>
      </c>
      <c r="G62" s="26">
        <f t="shared" si="4"/>
        <v>9.9329999999999998</v>
      </c>
      <c r="H62" s="22"/>
      <c r="I62" s="11">
        <f t="shared" si="5"/>
        <v>0</v>
      </c>
      <c r="J62" s="6"/>
      <c r="K62" s="10">
        <f t="shared" si="13"/>
        <v>0</v>
      </c>
      <c r="L62" s="22"/>
      <c r="M62" s="11">
        <f t="shared" si="14"/>
        <v>0</v>
      </c>
      <c r="N62" s="6"/>
      <c r="O62" s="10">
        <f t="shared" si="6"/>
        <v>0</v>
      </c>
      <c r="P62" s="22"/>
      <c r="Q62" s="11">
        <f t="shared" si="7"/>
        <v>0</v>
      </c>
      <c r="R62" s="39">
        <f t="shared" si="12"/>
        <v>1892</v>
      </c>
      <c r="S62" s="38">
        <f t="shared" si="15"/>
        <v>9.9329999999999998</v>
      </c>
      <c r="T62" s="12"/>
      <c r="U62" s="13">
        <f t="shared" si="8"/>
        <v>0</v>
      </c>
      <c r="V62" s="49">
        <f t="shared" si="9"/>
        <v>1892</v>
      </c>
      <c r="W62" s="50">
        <f t="shared" si="10"/>
        <v>9.9329999999999998</v>
      </c>
      <c r="X62">
        <f t="shared" si="11"/>
        <v>0</v>
      </c>
    </row>
    <row r="63" spans="1:24" ht="15.75" x14ac:dyDescent="0.25">
      <c r="A63" s="43" t="s">
        <v>61</v>
      </c>
      <c r="B63" s="67">
        <v>45</v>
      </c>
      <c r="C63" s="68">
        <v>50</v>
      </c>
      <c r="D63" s="68">
        <v>3</v>
      </c>
      <c r="E63" s="19">
        <f t="shared" si="3"/>
        <v>6.7499999999999999E-3</v>
      </c>
      <c r="F63" s="23">
        <f>'EYLÜL 2. HAFTA '!V63</f>
        <v>1450</v>
      </c>
      <c r="G63" s="26">
        <f t="shared" si="4"/>
        <v>9.7874999999999996</v>
      </c>
      <c r="H63" s="22"/>
      <c r="I63" s="11">
        <f t="shared" si="5"/>
        <v>0</v>
      </c>
      <c r="J63" s="6"/>
      <c r="K63" s="10">
        <f t="shared" si="13"/>
        <v>0</v>
      </c>
      <c r="L63" s="22"/>
      <c r="M63" s="11">
        <f t="shared" si="14"/>
        <v>0</v>
      </c>
      <c r="N63" s="6"/>
      <c r="O63" s="10">
        <f t="shared" si="6"/>
        <v>0</v>
      </c>
      <c r="P63" s="22"/>
      <c r="Q63" s="11">
        <f t="shared" si="7"/>
        <v>0</v>
      </c>
      <c r="R63" s="39">
        <f t="shared" si="12"/>
        <v>1450</v>
      </c>
      <c r="S63" s="38">
        <f t="shared" si="15"/>
        <v>9.7874999999999996</v>
      </c>
      <c r="T63" s="12"/>
      <c r="U63" s="13">
        <f t="shared" si="8"/>
        <v>0</v>
      </c>
      <c r="V63" s="49">
        <f t="shared" si="9"/>
        <v>1450</v>
      </c>
      <c r="W63" s="50">
        <f t="shared" si="10"/>
        <v>9.7874999999999996</v>
      </c>
      <c r="X63">
        <f t="shared" si="11"/>
        <v>0</v>
      </c>
    </row>
    <row r="64" spans="1:24" ht="15.75" thickBot="1" x14ac:dyDescent="0.3">
      <c r="A64" s="44" t="s">
        <v>62</v>
      </c>
      <c r="B64" s="36">
        <v>140</v>
      </c>
      <c r="C64" s="37">
        <v>9.5</v>
      </c>
      <c r="D64" s="37">
        <v>6.5</v>
      </c>
      <c r="E64" s="20">
        <f t="shared" si="3"/>
        <v>8.6449999999999999E-3</v>
      </c>
      <c r="F64" s="23">
        <f>'EYLÜL 2. HAFTA '!V64</f>
        <v>456</v>
      </c>
      <c r="G64" s="27">
        <f t="shared" si="4"/>
        <v>3.9421200000000001</v>
      </c>
      <c r="H64" s="45"/>
      <c r="I64" s="46">
        <f t="shared" si="5"/>
        <v>0</v>
      </c>
      <c r="J64" s="47">
        <v>210</v>
      </c>
      <c r="K64" s="48">
        <f t="shared" si="13"/>
        <v>1.81545</v>
      </c>
      <c r="L64" s="45"/>
      <c r="M64" s="46">
        <f t="shared" si="14"/>
        <v>0</v>
      </c>
      <c r="N64" s="47"/>
      <c r="O64" s="48">
        <f t="shared" si="6"/>
        <v>0</v>
      </c>
      <c r="P64" s="45"/>
      <c r="Q64" s="46">
        <f t="shared" si="7"/>
        <v>0</v>
      </c>
      <c r="R64" s="40">
        <f t="shared" si="12"/>
        <v>246</v>
      </c>
      <c r="S64" s="41">
        <f t="shared" si="15"/>
        <v>2.1266699999999998</v>
      </c>
      <c r="T64" s="51"/>
      <c r="U64" s="13">
        <f t="shared" si="8"/>
        <v>0</v>
      </c>
      <c r="V64" s="49">
        <f t="shared" si="9"/>
        <v>246</v>
      </c>
      <c r="W64" s="50">
        <f t="shared" si="10"/>
        <v>2.1266699999999998</v>
      </c>
      <c r="X64">
        <f t="shared" si="11"/>
        <v>210</v>
      </c>
    </row>
    <row r="65" spans="1:24" ht="15.75" x14ac:dyDescent="0.25">
      <c r="A65" s="91" t="s">
        <v>79</v>
      </c>
      <c r="B65" s="68">
        <v>90</v>
      </c>
      <c r="C65" s="68">
        <v>83</v>
      </c>
      <c r="D65" s="68">
        <v>2</v>
      </c>
      <c r="E65" s="92">
        <f t="shared" si="3"/>
        <v>1.494E-2</v>
      </c>
      <c r="F65" s="25">
        <f>'EYLÜL 1. HAFTA'!V65</f>
        <v>478</v>
      </c>
      <c r="G65" s="94">
        <f t="shared" si="4"/>
        <v>7.1413200000000003</v>
      </c>
      <c r="H65" s="96">
        <v>0</v>
      </c>
      <c r="I65" s="100">
        <f t="shared" si="5"/>
        <v>0</v>
      </c>
      <c r="J65" s="96"/>
      <c r="K65" s="100">
        <f t="shared" si="5"/>
        <v>0</v>
      </c>
      <c r="L65" s="96"/>
      <c r="M65" s="11">
        <f t="shared" si="14"/>
        <v>0</v>
      </c>
      <c r="N65" s="96">
        <v>20</v>
      </c>
      <c r="O65" s="10">
        <f t="shared" si="6"/>
        <v>0.29880000000000001</v>
      </c>
      <c r="P65" s="96"/>
      <c r="Q65" s="100">
        <f t="shared" si="5"/>
        <v>0</v>
      </c>
      <c r="R65" s="86">
        <f t="shared" si="12"/>
        <v>458</v>
      </c>
      <c r="S65" s="87">
        <f t="shared" si="15"/>
        <v>6.8425200000000004</v>
      </c>
      <c r="T65" s="101">
        <v>0</v>
      </c>
      <c r="U65" s="89">
        <f t="shared" si="8"/>
        <v>0</v>
      </c>
      <c r="V65" s="49">
        <f t="shared" si="9"/>
        <v>458</v>
      </c>
      <c r="W65" s="50">
        <f t="shared" si="10"/>
        <v>6.8425200000000004</v>
      </c>
      <c r="X65">
        <f t="shared" si="11"/>
        <v>20</v>
      </c>
    </row>
    <row r="66" spans="1:24" ht="15.75" x14ac:dyDescent="0.25">
      <c r="A66" s="102" t="s">
        <v>80</v>
      </c>
      <c r="B66" s="78">
        <v>92</v>
      </c>
      <c r="C66" s="78">
        <v>82</v>
      </c>
      <c r="D66" s="78">
        <v>2</v>
      </c>
      <c r="E66" s="103">
        <f t="shared" si="3"/>
        <v>1.5088000000000001E-2</v>
      </c>
      <c r="F66" s="25">
        <v>482</v>
      </c>
      <c r="G66" s="104">
        <f t="shared" si="4"/>
        <v>7.2724160000000007</v>
      </c>
      <c r="H66" s="105">
        <v>0</v>
      </c>
      <c r="I66" s="100">
        <f t="shared" ref="I66:U70" si="16">E66*H66</f>
        <v>0</v>
      </c>
      <c r="J66" s="105"/>
      <c r="K66" s="100">
        <f t="shared" si="16"/>
        <v>0</v>
      </c>
      <c r="L66" s="105">
        <v>16</v>
      </c>
      <c r="M66" s="11">
        <f t="shared" si="14"/>
        <v>0.24140800000000001</v>
      </c>
      <c r="N66" s="105"/>
      <c r="O66" s="10">
        <f t="shared" si="6"/>
        <v>0</v>
      </c>
      <c r="P66" s="105"/>
      <c r="Q66" s="100">
        <f t="shared" si="16"/>
        <v>0</v>
      </c>
      <c r="R66" s="86">
        <f t="shared" si="12"/>
        <v>466</v>
      </c>
      <c r="S66" s="87">
        <f t="shared" si="15"/>
        <v>7.0310079999999999</v>
      </c>
      <c r="T66" s="106">
        <v>0</v>
      </c>
      <c r="U66" s="89">
        <f t="shared" si="8"/>
        <v>0</v>
      </c>
      <c r="V66" s="90">
        <f t="shared" si="9"/>
        <v>466</v>
      </c>
      <c r="W66" s="107">
        <f t="shared" si="10"/>
        <v>7.0310079999999999</v>
      </c>
      <c r="X66">
        <f t="shared" si="11"/>
        <v>16</v>
      </c>
    </row>
    <row r="67" spans="1:24" x14ac:dyDescent="0.25">
      <c r="A67" s="108" t="s">
        <v>82</v>
      </c>
      <c r="B67" s="96">
        <v>82</v>
      </c>
      <c r="C67" s="96">
        <v>80</v>
      </c>
      <c r="D67" s="96">
        <v>2</v>
      </c>
      <c r="E67" s="109">
        <f t="shared" si="3"/>
        <v>1.312E-2</v>
      </c>
      <c r="F67" s="25">
        <f>'EYLÜL 1. HAFTA'!V67</f>
        <v>432</v>
      </c>
      <c r="G67" s="110">
        <f t="shared" si="4"/>
        <v>5.66784</v>
      </c>
      <c r="H67" s="96"/>
      <c r="I67" s="100">
        <f t="shared" si="16"/>
        <v>0</v>
      </c>
      <c r="J67" s="96"/>
      <c r="K67" s="100">
        <f t="shared" si="16"/>
        <v>0</v>
      </c>
      <c r="L67" s="96"/>
      <c r="M67" s="11">
        <f t="shared" si="14"/>
        <v>0</v>
      </c>
      <c r="N67" s="96"/>
      <c r="O67" s="10">
        <f t="shared" si="6"/>
        <v>0</v>
      </c>
      <c r="P67" s="96"/>
      <c r="Q67" s="100">
        <f t="shared" si="16"/>
        <v>0</v>
      </c>
      <c r="R67" s="86">
        <f t="shared" si="12"/>
        <v>432</v>
      </c>
      <c r="S67" s="87">
        <f t="shared" si="15"/>
        <v>5.66784</v>
      </c>
      <c r="T67" s="101"/>
      <c r="U67" s="100">
        <f t="shared" si="16"/>
        <v>0</v>
      </c>
      <c r="V67" s="90">
        <f t="shared" si="9"/>
        <v>432</v>
      </c>
      <c r="W67" s="107">
        <f t="shared" si="10"/>
        <v>5.66784</v>
      </c>
      <c r="X67">
        <f t="shared" si="11"/>
        <v>0</v>
      </c>
    </row>
    <row r="68" spans="1:24" x14ac:dyDescent="0.25">
      <c r="A68" s="108" t="s">
        <v>83</v>
      </c>
      <c r="B68" s="96">
        <v>86</v>
      </c>
      <c r="C68" s="96">
        <v>77</v>
      </c>
      <c r="D68" s="96">
        <v>8</v>
      </c>
      <c r="E68" s="109">
        <f t="shared" si="3"/>
        <v>5.2976000000000002E-2</v>
      </c>
      <c r="F68" s="25">
        <v>81</v>
      </c>
      <c r="G68" s="110">
        <f t="shared" si="4"/>
        <v>4.2910560000000002</v>
      </c>
      <c r="H68" s="96"/>
      <c r="I68" s="100">
        <f t="shared" si="16"/>
        <v>0</v>
      </c>
      <c r="J68" s="96"/>
      <c r="K68" s="100">
        <f t="shared" si="16"/>
        <v>0</v>
      </c>
      <c r="L68" s="96">
        <v>0</v>
      </c>
      <c r="M68" s="11">
        <f t="shared" si="14"/>
        <v>0</v>
      </c>
      <c r="N68" s="96">
        <v>1</v>
      </c>
      <c r="O68" s="10">
        <f t="shared" si="6"/>
        <v>5.2976000000000002E-2</v>
      </c>
      <c r="P68" s="96"/>
      <c r="Q68" s="100">
        <f t="shared" si="16"/>
        <v>0</v>
      </c>
      <c r="R68" s="86">
        <f t="shared" si="12"/>
        <v>80</v>
      </c>
      <c r="S68" s="87">
        <f t="shared" si="15"/>
        <v>4.2380800000000001</v>
      </c>
      <c r="T68" s="101"/>
      <c r="U68" s="100">
        <f t="shared" si="16"/>
        <v>0</v>
      </c>
      <c r="V68" s="90">
        <f t="shared" si="9"/>
        <v>80</v>
      </c>
      <c r="W68" s="107">
        <f t="shared" si="10"/>
        <v>4.2380800000000001</v>
      </c>
      <c r="X68">
        <f t="shared" si="11"/>
        <v>1</v>
      </c>
    </row>
    <row r="69" spans="1:24" x14ac:dyDescent="0.25">
      <c r="A69" s="108" t="s">
        <v>84</v>
      </c>
      <c r="B69" s="96">
        <v>76</v>
      </c>
      <c r="C69" s="96">
        <v>75</v>
      </c>
      <c r="D69" s="96">
        <v>8</v>
      </c>
      <c r="E69" s="109">
        <f t="shared" si="3"/>
        <v>4.5600000000000002E-2</v>
      </c>
      <c r="F69" s="25">
        <f>'EYLÜL 1. HAFTA'!V69</f>
        <v>102</v>
      </c>
      <c r="G69" s="110">
        <f t="shared" si="4"/>
        <v>4.6512000000000002</v>
      </c>
      <c r="H69" s="96"/>
      <c r="I69" s="100">
        <f t="shared" si="16"/>
        <v>0</v>
      </c>
      <c r="J69" s="96"/>
      <c r="K69" s="100">
        <f t="shared" si="16"/>
        <v>0</v>
      </c>
      <c r="L69" s="96"/>
      <c r="M69" s="11">
        <f t="shared" si="14"/>
        <v>0</v>
      </c>
      <c r="N69" s="96">
        <v>4</v>
      </c>
      <c r="O69" s="10">
        <f t="shared" si="6"/>
        <v>0.18240000000000001</v>
      </c>
      <c r="P69" s="96"/>
      <c r="Q69" s="100">
        <f t="shared" si="16"/>
        <v>0</v>
      </c>
      <c r="R69" s="86">
        <f t="shared" si="12"/>
        <v>98</v>
      </c>
      <c r="S69" s="87">
        <f t="shared" si="15"/>
        <v>4.4687999999999999</v>
      </c>
      <c r="T69" s="101"/>
      <c r="U69" s="100">
        <f t="shared" si="16"/>
        <v>0</v>
      </c>
      <c r="V69" s="90">
        <f t="shared" si="9"/>
        <v>98</v>
      </c>
      <c r="W69" s="107">
        <f t="shared" si="10"/>
        <v>4.4687999999999999</v>
      </c>
      <c r="X69">
        <f t="shared" si="11"/>
        <v>4</v>
      </c>
    </row>
    <row r="70" spans="1:24" x14ac:dyDescent="0.25">
      <c r="A70" s="108" t="s">
        <v>85</v>
      </c>
      <c r="B70" s="96">
        <v>140</v>
      </c>
      <c r="C70" s="96">
        <v>240</v>
      </c>
      <c r="D70" s="96">
        <v>12</v>
      </c>
      <c r="E70" s="109">
        <f t="shared" ref="E70" si="17">(B70*C70*D70)/1000000</f>
        <v>0.4032</v>
      </c>
      <c r="F70" s="25">
        <v>9</v>
      </c>
      <c r="G70" s="110">
        <f t="shared" ref="G70" si="18">E70*F70</f>
        <v>3.6288</v>
      </c>
      <c r="H70" s="96"/>
      <c r="I70" s="100">
        <f t="shared" si="16"/>
        <v>0</v>
      </c>
      <c r="J70" s="96"/>
      <c r="K70" s="100">
        <f t="shared" si="16"/>
        <v>0</v>
      </c>
      <c r="L70" s="96"/>
      <c r="M70" s="100">
        <f t="shared" ref="M70" si="19">I70*L70</f>
        <v>0</v>
      </c>
      <c r="N70" s="96">
        <v>1</v>
      </c>
      <c r="O70" s="10">
        <f t="shared" ref="O70" si="20">E70*N70</f>
        <v>0.4032</v>
      </c>
      <c r="P70" s="96"/>
      <c r="Q70" s="100">
        <f t="shared" si="16"/>
        <v>0</v>
      </c>
      <c r="R70" s="86">
        <f t="shared" si="12"/>
        <v>8</v>
      </c>
      <c r="S70" s="87">
        <f t="shared" si="15"/>
        <v>3.2256</v>
      </c>
      <c r="T70" s="101"/>
      <c r="U70" s="100">
        <f t="shared" si="16"/>
        <v>0</v>
      </c>
      <c r="V70" s="90">
        <f t="shared" ref="V70" si="21">R70+T70</f>
        <v>8</v>
      </c>
      <c r="W70" s="107">
        <f t="shared" ref="W70" si="22">E70*V70</f>
        <v>3.2256</v>
      </c>
      <c r="X70">
        <f t="shared" ref="X70" si="23">+H70+J70+L70+N70+P70</f>
        <v>1</v>
      </c>
    </row>
    <row r="71" spans="1:24" x14ac:dyDescent="0.25">
      <c r="H71" s="2">
        <f>SUM(H5:H70)</f>
        <v>97</v>
      </c>
      <c r="J71" s="2">
        <f>SUM(J5:J70)</f>
        <v>458</v>
      </c>
      <c r="L71" s="2">
        <f>SUM(L5:L70)</f>
        <v>490</v>
      </c>
      <c r="N71" s="2">
        <f>SUM(N5:N70)</f>
        <v>121</v>
      </c>
      <c r="P71" s="2">
        <f>SUM(P5:P70)</f>
        <v>584</v>
      </c>
      <c r="X71">
        <f>SUM(X5:X70)</f>
        <v>1750</v>
      </c>
    </row>
  </sheetData>
  <mergeCells count="24">
    <mergeCell ref="R4:S4"/>
    <mergeCell ref="N3:O3"/>
    <mergeCell ref="P3:Q3"/>
    <mergeCell ref="H2:I2"/>
    <mergeCell ref="J2:K2"/>
    <mergeCell ref="L2:M2"/>
    <mergeCell ref="N2:O2"/>
    <mergeCell ref="P2:Q2"/>
    <mergeCell ref="T2:U3"/>
    <mergeCell ref="V2:W3"/>
    <mergeCell ref="T4:U4"/>
    <mergeCell ref="V4:W4"/>
    <mergeCell ref="B1:G1"/>
    <mergeCell ref="F4:G4"/>
    <mergeCell ref="H4:I4"/>
    <mergeCell ref="J4:K4"/>
    <mergeCell ref="L4:M4"/>
    <mergeCell ref="F2:G3"/>
    <mergeCell ref="N4:O4"/>
    <mergeCell ref="P4:Q4"/>
    <mergeCell ref="R2:S3"/>
    <mergeCell ref="H3:I3"/>
    <mergeCell ref="J3:K3"/>
    <mergeCell ref="L3:M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71"/>
  <sheetViews>
    <sheetView workbookViewId="0">
      <selection activeCell="A2" sqref="A2:A70"/>
    </sheetView>
  </sheetViews>
  <sheetFormatPr defaultRowHeight="15" x14ac:dyDescent="0.25"/>
  <cols>
    <col min="1" max="1" width="23.85546875" style="3" customWidth="1"/>
    <col min="2" max="4" width="6.140625" style="2" customWidth="1"/>
    <col min="5" max="5" width="9" style="4" customWidth="1"/>
    <col min="6" max="7" width="9" style="5" customWidth="1"/>
    <col min="8" max="19" width="8.140625" style="2" customWidth="1"/>
  </cols>
  <sheetData>
    <row r="1" spans="1:24" ht="15.75" thickBot="1" x14ac:dyDescent="0.3">
      <c r="A1" s="4" t="s">
        <v>18</v>
      </c>
      <c r="B1" s="320" t="s">
        <v>76</v>
      </c>
      <c r="C1" s="320"/>
      <c r="D1" s="320"/>
      <c r="E1" s="320"/>
      <c r="F1" s="320"/>
      <c r="G1" s="320"/>
    </row>
    <row r="2" spans="1:24" s="1" customFormat="1" ht="15.75" thickBot="1" x14ac:dyDescent="0.3">
      <c r="A2" s="8" t="s">
        <v>0</v>
      </c>
      <c r="B2" s="28"/>
      <c r="C2" s="29"/>
      <c r="D2" s="29"/>
      <c r="E2" s="14"/>
      <c r="F2" s="321" t="s">
        <v>1</v>
      </c>
      <c r="G2" s="322"/>
      <c r="H2" s="325">
        <v>44830</v>
      </c>
      <c r="I2" s="326"/>
      <c r="J2" s="327">
        <v>44831</v>
      </c>
      <c r="K2" s="328"/>
      <c r="L2" s="325">
        <v>44832</v>
      </c>
      <c r="M2" s="329"/>
      <c r="N2" s="327">
        <v>44833</v>
      </c>
      <c r="O2" s="346"/>
      <c r="P2" s="325">
        <v>44834</v>
      </c>
      <c r="Q2" s="329"/>
      <c r="R2" s="330" t="s">
        <v>69</v>
      </c>
      <c r="S2" s="331"/>
      <c r="T2" s="334" t="s">
        <v>70</v>
      </c>
      <c r="U2" s="335"/>
      <c r="V2" s="338" t="s">
        <v>71</v>
      </c>
      <c r="W2" s="339"/>
    </row>
    <row r="3" spans="1:24" s="1" customFormat="1" ht="15.75" thickBot="1" x14ac:dyDescent="0.3">
      <c r="A3" s="7"/>
      <c r="B3" s="30"/>
      <c r="C3" s="31"/>
      <c r="D3" s="31"/>
      <c r="E3" s="15"/>
      <c r="F3" s="323"/>
      <c r="G3" s="324"/>
      <c r="H3" s="342" t="s">
        <v>68</v>
      </c>
      <c r="I3" s="343"/>
      <c r="J3" s="344" t="s">
        <v>68</v>
      </c>
      <c r="K3" s="345"/>
      <c r="L3" s="342" t="s">
        <v>68</v>
      </c>
      <c r="M3" s="343"/>
      <c r="N3" s="344" t="s">
        <v>68</v>
      </c>
      <c r="O3" s="345"/>
      <c r="P3" s="342" t="s">
        <v>68</v>
      </c>
      <c r="Q3" s="343"/>
      <c r="R3" s="332"/>
      <c r="S3" s="333"/>
      <c r="T3" s="336"/>
      <c r="U3" s="337"/>
      <c r="V3" s="340"/>
      <c r="W3" s="341"/>
    </row>
    <row r="4" spans="1:24" ht="15.75" thickBot="1" x14ac:dyDescent="0.3">
      <c r="A4" s="42"/>
      <c r="B4" s="16" t="s">
        <v>65</v>
      </c>
      <c r="C4" s="17" t="s">
        <v>66</v>
      </c>
      <c r="D4" s="17" t="s">
        <v>67</v>
      </c>
      <c r="E4" s="18" t="s">
        <v>64</v>
      </c>
      <c r="F4" s="323" t="s">
        <v>63</v>
      </c>
      <c r="G4" s="324"/>
      <c r="H4" s="353" t="s">
        <v>63</v>
      </c>
      <c r="I4" s="354"/>
      <c r="J4" s="355" t="s">
        <v>63</v>
      </c>
      <c r="K4" s="356"/>
      <c r="L4" s="353" t="s">
        <v>63</v>
      </c>
      <c r="M4" s="354"/>
      <c r="N4" s="355" t="s">
        <v>63</v>
      </c>
      <c r="O4" s="356"/>
      <c r="P4" s="353" t="s">
        <v>63</v>
      </c>
      <c r="Q4" s="354"/>
      <c r="R4" s="347" t="s">
        <v>63</v>
      </c>
      <c r="S4" s="348"/>
      <c r="T4" s="349" t="s">
        <v>63</v>
      </c>
      <c r="U4" s="350"/>
      <c r="V4" s="351" t="s">
        <v>63</v>
      </c>
      <c r="W4" s="357"/>
    </row>
    <row r="5" spans="1:24" x14ac:dyDescent="0.25">
      <c r="A5" s="42" t="s">
        <v>2</v>
      </c>
      <c r="B5" s="32">
        <v>140</v>
      </c>
      <c r="C5" s="33">
        <v>240</v>
      </c>
      <c r="D5" s="33">
        <v>1</v>
      </c>
      <c r="E5" s="15">
        <f>(B5*C5*D5)/1000000</f>
        <v>3.3599999999999998E-2</v>
      </c>
      <c r="F5" s="23">
        <f>'EYLÜL 3. HAFTA'!V5</f>
        <v>657</v>
      </c>
      <c r="G5" s="24">
        <f>E5*F5</f>
        <v>22.075199999999999</v>
      </c>
      <c r="H5" s="21">
        <v>12</v>
      </c>
      <c r="I5" s="11">
        <f>E5*H5</f>
        <v>0.4032</v>
      </c>
      <c r="J5" s="9">
        <v>65</v>
      </c>
      <c r="K5" s="10">
        <f t="shared" ref="K5:K36" si="0">E5*J5</f>
        <v>2.1839999999999997</v>
      </c>
      <c r="L5" s="21">
        <v>11</v>
      </c>
      <c r="M5" s="11">
        <f t="shared" ref="M5:M36" si="1">E5*L5</f>
        <v>0.36959999999999998</v>
      </c>
      <c r="N5" s="9">
        <v>84</v>
      </c>
      <c r="O5" s="10">
        <f>E5*N5</f>
        <v>2.8224</v>
      </c>
      <c r="P5" s="21"/>
      <c r="Q5" s="11">
        <f>E5*P5</f>
        <v>0</v>
      </c>
      <c r="R5" s="39">
        <f>F5-H5-J5-L5-N5-P5</f>
        <v>485</v>
      </c>
      <c r="S5" s="38">
        <f t="shared" ref="S5:S36" si="2">E5*R5</f>
        <v>16.295999999999999</v>
      </c>
      <c r="T5" s="12"/>
      <c r="U5" s="13">
        <f>E5*T5</f>
        <v>0</v>
      </c>
      <c r="V5" s="49">
        <f>R5+T5</f>
        <v>485</v>
      </c>
      <c r="W5" s="50">
        <f>E5*V5</f>
        <v>16.295999999999999</v>
      </c>
      <c r="X5">
        <f>+H5+J5+L5+N5+P5</f>
        <v>172</v>
      </c>
    </row>
    <row r="6" spans="1:24" x14ac:dyDescent="0.25">
      <c r="A6" s="42" t="s">
        <v>3</v>
      </c>
      <c r="B6" s="34">
        <v>140</v>
      </c>
      <c r="C6" s="35">
        <v>240</v>
      </c>
      <c r="D6" s="35">
        <v>0.8</v>
      </c>
      <c r="E6" s="19">
        <f t="shared" ref="E6:E69" si="3">(B6*C6*D6)/1000000</f>
        <v>2.6880000000000001E-2</v>
      </c>
      <c r="F6" s="23">
        <f>'EYLÜL 3. HAFTA'!V6</f>
        <v>416</v>
      </c>
      <c r="G6" s="26">
        <f t="shared" ref="G6:G69" si="4">E6*F6</f>
        <v>11.182080000000001</v>
      </c>
      <c r="H6" s="22">
        <v>25</v>
      </c>
      <c r="I6" s="11">
        <f t="shared" ref="I6:I65" si="5">E6*H6</f>
        <v>0.67200000000000004</v>
      </c>
      <c r="J6" s="6">
        <v>46</v>
      </c>
      <c r="K6" s="10">
        <f t="shared" si="0"/>
        <v>1.23648</v>
      </c>
      <c r="L6" s="22">
        <v>28</v>
      </c>
      <c r="M6" s="11">
        <f t="shared" si="1"/>
        <v>0.75263999999999998</v>
      </c>
      <c r="N6" s="6">
        <v>14</v>
      </c>
      <c r="O6" s="10">
        <f t="shared" ref="O6:O69" si="6">E6*N6</f>
        <v>0.37631999999999999</v>
      </c>
      <c r="P6" s="22">
        <v>15</v>
      </c>
      <c r="Q6" s="11">
        <f t="shared" ref="Q6:Q69" si="7">E6*P6</f>
        <v>0.4032</v>
      </c>
      <c r="R6" s="39">
        <f>F6-H6-J6-L6-N6-P6</f>
        <v>288</v>
      </c>
      <c r="S6" s="38">
        <f t="shared" si="2"/>
        <v>7.7414400000000008</v>
      </c>
      <c r="T6" s="12"/>
      <c r="U6" s="13">
        <f t="shared" ref="U6:U66" si="8">E6*T6</f>
        <v>0</v>
      </c>
      <c r="V6" s="49">
        <f t="shared" ref="V6:V69" si="9">R6+T6</f>
        <v>288</v>
      </c>
      <c r="W6" s="50">
        <f t="shared" ref="W6:W69" si="10">E6*V6</f>
        <v>7.7414400000000008</v>
      </c>
      <c r="X6">
        <f t="shared" ref="X6:X69" si="11">+H6+J6+L6+N6+P6</f>
        <v>128</v>
      </c>
    </row>
    <row r="7" spans="1:24" x14ac:dyDescent="0.25">
      <c r="A7" s="42" t="s">
        <v>4</v>
      </c>
      <c r="B7" s="34">
        <v>140</v>
      </c>
      <c r="C7" s="35">
        <v>240</v>
      </c>
      <c r="D7" s="35">
        <v>1.4</v>
      </c>
      <c r="E7" s="19">
        <f t="shared" si="3"/>
        <v>4.7039999999999998E-2</v>
      </c>
      <c r="F7" s="23">
        <f>'EYLÜL 3. HAFTA'!V7</f>
        <v>65</v>
      </c>
      <c r="G7" s="26">
        <f t="shared" si="4"/>
        <v>3.0575999999999999</v>
      </c>
      <c r="H7" s="22">
        <v>2</v>
      </c>
      <c r="I7" s="11">
        <f t="shared" si="5"/>
        <v>9.4079999999999997E-2</v>
      </c>
      <c r="J7" s="6">
        <v>15</v>
      </c>
      <c r="K7" s="10">
        <f t="shared" si="0"/>
        <v>0.7056</v>
      </c>
      <c r="L7" s="22">
        <v>12</v>
      </c>
      <c r="M7" s="11">
        <f t="shared" si="1"/>
        <v>0.56447999999999998</v>
      </c>
      <c r="N7" s="6">
        <v>36</v>
      </c>
      <c r="O7" s="10">
        <f t="shared" si="6"/>
        <v>1.6934399999999998</v>
      </c>
      <c r="P7" s="22"/>
      <c r="Q7" s="11">
        <f t="shared" si="7"/>
        <v>0</v>
      </c>
      <c r="R7" s="39">
        <f t="shared" ref="R7:R70" si="12">F7-H7-J7-L7-N7-P7</f>
        <v>0</v>
      </c>
      <c r="S7" s="38">
        <f t="shared" si="2"/>
        <v>0</v>
      </c>
      <c r="T7" s="12"/>
      <c r="U7" s="13">
        <f t="shared" si="8"/>
        <v>0</v>
      </c>
      <c r="V7" s="49">
        <f t="shared" si="9"/>
        <v>0</v>
      </c>
      <c r="W7" s="50">
        <f t="shared" si="10"/>
        <v>0</v>
      </c>
      <c r="X7">
        <f t="shared" si="11"/>
        <v>65</v>
      </c>
    </row>
    <row r="8" spans="1:24" x14ac:dyDescent="0.25">
      <c r="A8" s="42" t="s">
        <v>5</v>
      </c>
      <c r="B8" s="34">
        <v>140</v>
      </c>
      <c r="C8" s="35">
        <v>240</v>
      </c>
      <c r="D8" s="35">
        <v>4</v>
      </c>
      <c r="E8" s="19">
        <f t="shared" si="3"/>
        <v>0.13439999999999999</v>
      </c>
      <c r="F8" s="23">
        <f>'EYLÜL 3. HAFTA'!V8</f>
        <v>37</v>
      </c>
      <c r="G8" s="26">
        <f t="shared" si="4"/>
        <v>4.9727999999999994</v>
      </c>
      <c r="H8" s="22">
        <v>2</v>
      </c>
      <c r="I8" s="11">
        <f t="shared" si="5"/>
        <v>0.26879999999999998</v>
      </c>
      <c r="J8" s="6">
        <v>3</v>
      </c>
      <c r="K8" s="10">
        <f t="shared" si="0"/>
        <v>0.4032</v>
      </c>
      <c r="L8" s="22"/>
      <c r="M8" s="11">
        <f t="shared" si="1"/>
        <v>0</v>
      </c>
      <c r="N8" s="6"/>
      <c r="O8" s="10">
        <f t="shared" si="6"/>
        <v>0</v>
      </c>
      <c r="P8" s="22"/>
      <c r="Q8" s="11">
        <f t="shared" si="7"/>
        <v>0</v>
      </c>
      <c r="R8" s="39">
        <f t="shared" si="12"/>
        <v>32</v>
      </c>
      <c r="S8" s="38">
        <f t="shared" si="2"/>
        <v>4.3007999999999997</v>
      </c>
      <c r="T8" s="12"/>
      <c r="U8" s="13">
        <f t="shared" si="8"/>
        <v>0</v>
      </c>
      <c r="V8" s="49">
        <f t="shared" si="9"/>
        <v>32</v>
      </c>
      <c r="W8" s="50">
        <f t="shared" si="10"/>
        <v>4.3007999999999997</v>
      </c>
      <c r="X8">
        <f t="shared" si="11"/>
        <v>5</v>
      </c>
    </row>
    <row r="9" spans="1:24" x14ac:dyDescent="0.25">
      <c r="A9" s="42" t="s">
        <v>6</v>
      </c>
      <c r="B9" s="34">
        <v>140</v>
      </c>
      <c r="C9" s="35">
        <v>240</v>
      </c>
      <c r="D9" s="35">
        <v>2</v>
      </c>
      <c r="E9" s="19">
        <f t="shared" si="3"/>
        <v>6.7199999999999996E-2</v>
      </c>
      <c r="F9" s="23">
        <f>'EYLÜL 3. HAFTA'!V9</f>
        <v>62</v>
      </c>
      <c r="G9" s="26">
        <f t="shared" si="4"/>
        <v>4.1663999999999994</v>
      </c>
      <c r="H9" s="22">
        <v>16</v>
      </c>
      <c r="I9" s="11">
        <f t="shared" si="5"/>
        <v>1.0751999999999999</v>
      </c>
      <c r="J9" s="6">
        <v>3</v>
      </c>
      <c r="K9" s="10">
        <f t="shared" si="0"/>
        <v>0.2016</v>
      </c>
      <c r="L9" s="22">
        <v>18</v>
      </c>
      <c r="M9" s="11">
        <f t="shared" si="1"/>
        <v>1.2096</v>
      </c>
      <c r="N9" s="6">
        <v>9</v>
      </c>
      <c r="O9" s="10">
        <f t="shared" si="6"/>
        <v>0.6048</v>
      </c>
      <c r="P9" s="22">
        <v>9</v>
      </c>
      <c r="Q9" s="11">
        <f t="shared" si="7"/>
        <v>0.6048</v>
      </c>
      <c r="R9" s="39">
        <f t="shared" si="12"/>
        <v>7</v>
      </c>
      <c r="S9" s="38">
        <f t="shared" si="2"/>
        <v>0.47039999999999998</v>
      </c>
      <c r="T9" s="12"/>
      <c r="U9" s="13">
        <f t="shared" si="8"/>
        <v>0</v>
      </c>
      <c r="V9" s="49">
        <f t="shared" si="9"/>
        <v>7</v>
      </c>
      <c r="W9" s="50">
        <f t="shared" si="10"/>
        <v>0.47039999999999998</v>
      </c>
      <c r="X9">
        <f t="shared" si="11"/>
        <v>55</v>
      </c>
    </row>
    <row r="10" spans="1:24" x14ac:dyDescent="0.25">
      <c r="A10" s="42" t="s">
        <v>7</v>
      </c>
      <c r="B10" s="34">
        <v>140</v>
      </c>
      <c r="C10" s="35">
        <v>240</v>
      </c>
      <c r="D10" s="35">
        <v>2</v>
      </c>
      <c r="E10" s="19">
        <f t="shared" si="3"/>
        <v>6.7199999999999996E-2</v>
      </c>
      <c r="F10" s="23">
        <f>'EYLÜL 3. HAFTA'!V10</f>
        <v>327</v>
      </c>
      <c r="G10" s="26">
        <f t="shared" si="4"/>
        <v>21.974399999999999</v>
      </c>
      <c r="H10" s="22"/>
      <c r="I10" s="11">
        <f t="shared" si="5"/>
        <v>0</v>
      </c>
      <c r="J10" s="6"/>
      <c r="K10" s="10">
        <f t="shared" si="0"/>
        <v>0</v>
      </c>
      <c r="L10" s="22">
        <v>11</v>
      </c>
      <c r="M10" s="11">
        <f t="shared" si="1"/>
        <v>0.73919999999999997</v>
      </c>
      <c r="N10" s="6"/>
      <c r="O10" s="10">
        <f t="shared" si="6"/>
        <v>0</v>
      </c>
      <c r="P10" s="22"/>
      <c r="Q10" s="11">
        <f t="shared" si="7"/>
        <v>0</v>
      </c>
      <c r="R10" s="39">
        <f t="shared" si="12"/>
        <v>316</v>
      </c>
      <c r="S10" s="38">
        <f t="shared" si="2"/>
        <v>21.235199999999999</v>
      </c>
      <c r="T10" s="12"/>
      <c r="U10" s="13">
        <f t="shared" si="8"/>
        <v>0</v>
      </c>
      <c r="V10" s="49">
        <f t="shared" si="9"/>
        <v>316</v>
      </c>
      <c r="W10" s="50">
        <f t="shared" si="10"/>
        <v>21.235199999999999</v>
      </c>
      <c r="X10">
        <f t="shared" si="11"/>
        <v>11</v>
      </c>
    </row>
    <row r="11" spans="1:24" x14ac:dyDescent="0.25">
      <c r="A11" s="42" t="s">
        <v>8</v>
      </c>
      <c r="B11" s="34">
        <v>140</v>
      </c>
      <c r="C11" s="35">
        <v>240</v>
      </c>
      <c r="D11" s="35">
        <v>7</v>
      </c>
      <c r="E11" s="19">
        <f t="shared" si="3"/>
        <v>0.23519999999999999</v>
      </c>
      <c r="F11" s="23">
        <f>'EYLÜL 3. HAFTA'!V11</f>
        <v>25</v>
      </c>
      <c r="G11" s="26">
        <f t="shared" si="4"/>
        <v>5.88</v>
      </c>
      <c r="H11" s="22"/>
      <c r="I11" s="11">
        <f t="shared" si="5"/>
        <v>0</v>
      </c>
      <c r="J11" s="6">
        <v>1</v>
      </c>
      <c r="K11" s="10">
        <f t="shared" si="0"/>
        <v>0.23519999999999999</v>
      </c>
      <c r="L11" s="22">
        <v>2</v>
      </c>
      <c r="M11" s="11">
        <f t="shared" si="1"/>
        <v>0.47039999999999998</v>
      </c>
      <c r="N11" s="6"/>
      <c r="O11" s="10">
        <f t="shared" si="6"/>
        <v>0</v>
      </c>
      <c r="P11" s="22"/>
      <c r="Q11" s="11">
        <f t="shared" si="7"/>
        <v>0</v>
      </c>
      <c r="R11" s="39">
        <f t="shared" si="12"/>
        <v>22</v>
      </c>
      <c r="S11" s="38">
        <f t="shared" si="2"/>
        <v>5.1743999999999994</v>
      </c>
      <c r="T11" s="12"/>
      <c r="U11" s="13">
        <f t="shared" si="8"/>
        <v>0</v>
      </c>
      <c r="V11" s="49">
        <f t="shared" si="9"/>
        <v>22</v>
      </c>
      <c r="W11" s="50">
        <f t="shared" si="10"/>
        <v>5.1743999999999994</v>
      </c>
      <c r="X11">
        <f t="shared" si="11"/>
        <v>3</v>
      </c>
    </row>
    <row r="12" spans="1:24" x14ac:dyDescent="0.25">
      <c r="A12" s="42" t="s">
        <v>9</v>
      </c>
      <c r="B12" s="34">
        <v>140</v>
      </c>
      <c r="C12" s="35">
        <v>240</v>
      </c>
      <c r="D12" s="35">
        <v>5</v>
      </c>
      <c r="E12" s="19">
        <f t="shared" si="3"/>
        <v>0.16800000000000001</v>
      </c>
      <c r="F12" s="23">
        <f>'EYLÜL 3. HAFTA'!V12</f>
        <v>374</v>
      </c>
      <c r="G12" s="26">
        <f t="shared" si="4"/>
        <v>62.832000000000001</v>
      </c>
      <c r="H12" s="22">
        <v>5</v>
      </c>
      <c r="I12" s="11">
        <f t="shared" si="5"/>
        <v>0.84000000000000008</v>
      </c>
      <c r="J12" s="6">
        <v>1</v>
      </c>
      <c r="K12" s="10">
        <f t="shared" si="0"/>
        <v>0.16800000000000001</v>
      </c>
      <c r="L12" s="22">
        <v>2</v>
      </c>
      <c r="M12" s="11">
        <f t="shared" si="1"/>
        <v>0.33600000000000002</v>
      </c>
      <c r="N12" s="6"/>
      <c r="O12" s="10">
        <f t="shared" si="6"/>
        <v>0</v>
      </c>
      <c r="P12" s="22">
        <v>2</v>
      </c>
      <c r="Q12" s="11">
        <f t="shared" si="7"/>
        <v>0.33600000000000002</v>
      </c>
      <c r="R12" s="39">
        <f t="shared" si="12"/>
        <v>364</v>
      </c>
      <c r="S12" s="38">
        <f t="shared" si="2"/>
        <v>61.152000000000001</v>
      </c>
      <c r="T12" s="12"/>
      <c r="U12" s="13">
        <f t="shared" si="8"/>
        <v>0</v>
      </c>
      <c r="V12" s="49">
        <f t="shared" si="9"/>
        <v>364</v>
      </c>
      <c r="W12" s="50">
        <f t="shared" si="10"/>
        <v>61.152000000000001</v>
      </c>
      <c r="X12">
        <f t="shared" si="11"/>
        <v>10</v>
      </c>
    </row>
    <row r="13" spans="1:24" x14ac:dyDescent="0.25">
      <c r="A13" s="42" t="s">
        <v>10</v>
      </c>
      <c r="B13" s="34">
        <v>140</v>
      </c>
      <c r="C13" s="35">
        <v>240</v>
      </c>
      <c r="D13" s="35">
        <v>5</v>
      </c>
      <c r="E13" s="19">
        <f t="shared" si="3"/>
        <v>0.16800000000000001</v>
      </c>
      <c r="F13" s="23">
        <f>'EYLÜL 3. HAFTA'!V13</f>
        <v>42</v>
      </c>
      <c r="G13" s="26">
        <f t="shared" si="4"/>
        <v>7.056</v>
      </c>
      <c r="H13" s="22">
        <v>0</v>
      </c>
      <c r="I13" s="11">
        <v>0</v>
      </c>
      <c r="J13" s="6">
        <v>1</v>
      </c>
      <c r="K13" s="10">
        <f t="shared" si="0"/>
        <v>0.16800000000000001</v>
      </c>
      <c r="L13" s="22">
        <v>0</v>
      </c>
      <c r="M13" s="11">
        <f t="shared" si="1"/>
        <v>0</v>
      </c>
      <c r="N13" s="6">
        <v>0</v>
      </c>
      <c r="O13" s="10">
        <f t="shared" si="6"/>
        <v>0</v>
      </c>
      <c r="P13" s="22">
        <v>0</v>
      </c>
      <c r="Q13" s="11">
        <f t="shared" si="7"/>
        <v>0</v>
      </c>
      <c r="R13" s="39">
        <f t="shared" si="12"/>
        <v>41</v>
      </c>
      <c r="S13" s="38">
        <f t="shared" si="2"/>
        <v>6.8880000000000008</v>
      </c>
      <c r="T13" s="12"/>
      <c r="U13" s="13">
        <f t="shared" si="8"/>
        <v>0</v>
      </c>
      <c r="V13" s="49">
        <f t="shared" si="9"/>
        <v>41</v>
      </c>
      <c r="W13" s="50">
        <f t="shared" si="10"/>
        <v>6.8880000000000008</v>
      </c>
      <c r="X13">
        <f t="shared" si="11"/>
        <v>1</v>
      </c>
    </row>
    <row r="14" spans="1:24" x14ac:dyDescent="0.25">
      <c r="A14" s="42" t="s">
        <v>11</v>
      </c>
      <c r="B14" s="34">
        <v>140</v>
      </c>
      <c r="C14" s="35">
        <v>240</v>
      </c>
      <c r="D14" s="35">
        <v>5</v>
      </c>
      <c r="E14" s="19">
        <f t="shared" si="3"/>
        <v>0.16800000000000001</v>
      </c>
      <c r="F14" s="23">
        <f>'EYLÜL 3. HAFTA'!V14</f>
        <v>65</v>
      </c>
      <c r="G14" s="26">
        <f t="shared" si="4"/>
        <v>10.92</v>
      </c>
      <c r="H14" s="22">
        <v>8</v>
      </c>
      <c r="I14" s="11">
        <f t="shared" si="5"/>
        <v>1.3440000000000001</v>
      </c>
      <c r="J14" s="6"/>
      <c r="K14" s="10">
        <f t="shared" si="0"/>
        <v>0</v>
      </c>
      <c r="L14" s="22">
        <v>2</v>
      </c>
      <c r="M14" s="11">
        <f t="shared" si="1"/>
        <v>0.33600000000000002</v>
      </c>
      <c r="N14" s="6"/>
      <c r="O14" s="10">
        <f t="shared" si="6"/>
        <v>0</v>
      </c>
      <c r="P14" s="22"/>
      <c r="Q14" s="11">
        <f t="shared" si="7"/>
        <v>0</v>
      </c>
      <c r="R14" s="39">
        <f t="shared" si="12"/>
        <v>55</v>
      </c>
      <c r="S14" s="38">
        <f t="shared" si="2"/>
        <v>9.24</v>
      </c>
      <c r="T14" s="12"/>
      <c r="U14" s="13">
        <f t="shared" si="8"/>
        <v>0</v>
      </c>
      <c r="V14" s="49">
        <f t="shared" si="9"/>
        <v>55</v>
      </c>
      <c r="W14" s="50">
        <f t="shared" si="10"/>
        <v>9.24</v>
      </c>
      <c r="X14">
        <f t="shared" si="11"/>
        <v>10</v>
      </c>
    </row>
    <row r="15" spans="1:24" x14ac:dyDescent="0.25">
      <c r="A15" s="42" t="s">
        <v>12</v>
      </c>
      <c r="B15" s="34">
        <v>140</v>
      </c>
      <c r="C15" s="35">
        <v>240</v>
      </c>
      <c r="D15" s="35">
        <v>10</v>
      </c>
      <c r="E15" s="19">
        <f t="shared" si="3"/>
        <v>0.33600000000000002</v>
      </c>
      <c r="F15" s="23">
        <f>'EYLÜL 3. HAFTA'!V15</f>
        <v>32</v>
      </c>
      <c r="G15" s="26">
        <f t="shared" si="4"/>
        <v>10.752000000000001</v>
      </c>
      <c r="H15" s="22">
        <v>1</v>
      </c>
      <c r="I15" s="11">
        <f t="shared" si="5"/>
        <v>0.33600000000000002</v>
      </c>
      <c r="J15" s="6">
        <v>1</v>
      </c>
      <c r="K15" s="10">
        <f t="shared" si="0"/>
        <v>0.33600000000000002</v>
      </c>
      <c r="L15" s="22"/>
      <c r="M15" s="11">
        <f t="shared" si="1"/>
        <v>0</v>
      </c>
      <c r="N15" s="6"/>
      <c r="O15" s="10">
        <f t="shared" si="6"/>
        <v>0</v>
      </c>
      <c r="P15" s="22"/>
      <c r="Q15" s="11">
        <f t="shared" si="7"/>
        <v>0</v>
      </c>
      <c r="R15" s="39">
        <f t="shared" si="12"/>
        <v>30</v>
      </c>
      <c r="S15" s="38">
        <f t="shared" si="2"/>
        <v>10.08</v>
      </c>
      <c r="T15" s="12"/>
      <c r="U15" s="13">
        <f t="shared" si="8"/>
        <v>0</v>
      </c>
      <c r="V15" s="49">
        <f t="shared" si="9"/>
        <v>30</v>
      </c>
      <c r="W15" s="50">
        <f t="shared" si="10"/>
        <v>10.08</v>
      </c>
      <c r="X15">
        <f t="shared" si="11"/>
        <v>2</v>
      </c>
    </row>
    <row r="16" spans="1:24" x14ac:dyDescent="0.25">
      <c r="A16" s="42" t="s">
        <v>13</v>
      </c>
      <c r="B16" s="34">
        <v>140</v>
      </c>
      <c r="C16" s="35">
        <v>240</v>
      </c>
      <c r="D16" s="35">
        <v>3</v>
      </c>
      <c r="E16" s="19">
        <f t="shared" si="3"/>
        <v>0.1008</v>
      </c>
      <c r="F16" s="23">
        <f>'EYLÜL 3. HAFTA'!V16</f>
        <v>186</v>
      </c>
      <c r="G16" s="26">
        <f t="shared" si="4"/>
        <v>18.748799999999999</v>
      </c>
      <c r="H16" s="22">
        <v>1</v>
      </c>
      <c r="I16" s="11">
        <f t="shared" si="5"/>
        <v>0.1008</v>
      </c>
      <c r="J16" s="6">
        <v>2</v>
      </c>
      <c r="K16" s="10">
        <f t="shared" si="0"/>
        <v>0.2016</v>
      </c>
      <c r="L16" s="22">
        <v>2</v>
      </c>
      <c r="M16" s="11">
        <f t="shared" si="1"/>
        <v>0.2016</v>
      </c>
      <c r="N16" s="6">
        <v>1</v>
      </c>
      <c r="O16" s="10">
        <f t="shared" si="6"/>
        <v>0.1008</v>
      </c>
      <c r="P16" s="22"/>
      <c r="Q16" s="11">
        <f t="shared" si="7"/>
        <v>0</v>
      </c>
      <c r="R16" s="39">
        <f t="shared" si="12"/>
        <v>180</v>
      </c>
      <c r="S16" s="38">
        <f t="shared" si="2"/>
        <v>18.143999999999998</v>
      </c>
      <c r="T16" s="12"/>
      <c r="U16" s="13">
        <f t="shared" si="8"/>
        <v>0</v>
      </c>
      <c r="V16" s="49">
        <f t="shared" si="9"/>
        <v>180</v>
      </c>
      <c r="W16" s="50">
        <f t="shared" si="10"/>
        <v>18.143999999999998</v>
      </c>
      <c r="X16">
        <f t="shared" si="11"/>
        <v>6</v>
      </c>
    </row>
    <row r="17" spans="1:24" x14ac:dyDescent="0.25">
      <c r="A17" s="42" t="s">
        <v>14</v>
      </c>
      <c r="B17" s="34">
        <v>140</v>
      </c>
      <c r="C17" s="35">
        <v>240</v>
      </c>
      <c r="D17" s="35">
        <v>5</v>
      </c>
      <c r="E17" s="19">
        <f t="shared" si="3"/>
        <v>0.16800000000000001</v>
      </c>
      <c r="F17" s="23">
        <f>'EYLÜL 3. HAFTA'!V17</f>
        <v>0</v>
      </c>
      <c r="G17" s="26">
        <f t="shared" si="4"/>
        <v>0</v>
      </c>
      <c r="H17" s="22"/>
      <c r="I17" s="11">
        <f t="shared" si="5"/>
        <v>0</v>
      </c>
      <c r="J17" s="6"/>
      <c r="K17" s="10">
        <f t="shared" si="0"/>
        <v>0</v>
      </c>
      <c r="L17" s="22"/>
      <c r="M17" s="11">
        <f t="shared" si="1"/>
        <v>0</v>
      </c>
      <c r="N17" s="6"/>
      <c r="O17" s="10">
        <f t="shared" si="6"/>
        <v>0</v>
      </c>
      <c r="P17" s="22"/>
      <c r="Q17" s="11">
        <f t="shared" si="7"/>
        <v>0</v>
      </c>
      <c r="R17" s="39">
        <f t="shared" si="12"/>
        <v>0</v>
      </c>
      <c r="S17" s="38">
        <f t="shared" si="2"/>
        <v>0</v>
      </c>
      <c r="T17" s="12"/>
      <c r="U17" s="13">
        <f t="shared" si="8"/>
        <v>0</v>
      </c>
      <c r="V17" s="49">
        <f t="shared" si="9"/>
        <v>0</v>
      </c>
      <c r="W17" s="50">
        <f t="shared" si="10"/>
        <v>0</v>
      </c>
      <c r="X17">
        <f t="shared" si="11"/>
        <v>0</v>
      </c>
    </row>
    <row r="18" spans="1:24" x14ac:dyDescent="0.25">
      <c r="A18" s="42" t="s">
        <v>15</v>
      </c>
      <c r="B18" s="34">
        <v>140</v>
      </c>
      <c r="C18" s="35">
        <v>240</v>
      </c>
      <c r="D18" s="35">
        <v>3</v>
      </c>
      <c r="E18" s="19">
        <f t="shared" si="3"/>
        <v>0.1008</v>
      </c>
      <c r="F18" s="23">
        <f>'EYLÜL 3. HAFTA'!V18</f>
        <v>208</v>
      </c>
      <c r="G18" s="26">
        <f t="shared" si="4"/>
        <v>20.9664</v>
      </c>
      <c r="H18" s="22"/>
      <c r="I18" s="11">
        <f t="shared" si="5"/>
        <v>0</v>
      </c>
      <c r="J18" s="6"/>
      <c r="K18" s="10">
        <f t="shared" si="0"/>
        <v>0</v>
      </c>
      <c r="L18" s="22"/>
      <c r="M18" s="11">
        <f t="shared" si="1"/>
        <v>0</v>
      </c>
      <c r="N18" s="6"/>
      <c r="O18" s="10">
        <f t="shared" si="6"/>
        <v>0</v>
      </c>
      <c r="P18" s="22"/>
      <c r="Q18" s="11">
        <f t="shared" si="7"/>
        <v>0</v>
      </c>
      <c r="R18" s="39">
        <f t="shared" si="12"/>
        <v>208</v>
      </c>
      <c r="S18" s="38">
        <f t="shared" si="2"/>
        <v>20.9664</v>
      </c>
      <c r="T18" s="12"/>
      <c r="U18" s="13">
        <f t="shared" si="8"/>
        <v>0</v>
      </c>
      <c r="V18" s="49">
        <f t="shared" si="9"/>
        <v>208</v>
      </c>
      <c r="W18" s="50">
        <f t="shared" si="10"/>
        <v>20.9664</v>
      </c>
      <c r="X18">
        <f t="shared" si="11"/>
        <v>0</v>
      </c>
    </row>
    <row r="19" spans="1:24" x14ac:dyDescent="0.25">
      <c r="A19" s="42" t="s">
        <v>16</v>
      </c>
      <c r="B19" s="34">
        <v>140</v>
      </c>
      <c r="C19" s="35">
        <v>240</v>
      </c>
      <c r="D19" s="35">
        <v>8</v>
      </c>
      <c r="E19" s="19">
        <f t="shared" si="3"/>
        <v>0.26879999999999998</v>
      </c>
      <c r="F19" s="23">
        <f>'EYLÜL 3. HAFTA'!V19</f>
        <v>15</v>
      </c>
      <c r="G19" s="26">
        <f t="shared" si="4"/>
        <v>4.032</v>
      </c>
      <c r="H19" s="22"/>
      <c r="I19" s="11">
        <f t="shared" si="5"/>
        <v>0</v>
      </c>
      <c r="J19" s="6"/>
      <c r="K19" s="10">
        <f t="shared" si="0"/>
        <v>0</v>
      </c>
      <c r="L19" s="22"/>
      <c r="M19" s="11">
        <f t="shared" si="1"/>
        <v>0</v>
      </c>
      <c r="N19" s="6"/>
      <c r="O19" s="10">
        <f t="shared" si="6"/>
        <v>0</v>
      </c>
      <c r="P19" s="22"/>
      <c r="Q19" s="11">
        <f t="shared" si="7"/>
        <v>0</v>
      </c>
      <c r="R19" s="39">
        <f t="shared" si="12"/>
        <v>15</v>
      </c>
      <c r="S19" s="38">
        <f t="shared" si="2"/>
        <v>4.032</v>
      </c>
      <c r="T19" s="12"/>
      <c r="U19" s="13">
        <f t="shared" si="8"/>
        <v>0</v>
      </c>
      <c r="V19" s="49">
        <f t="shared" si="9"/>
        <v>15</v>
      </c>
      <c r="W19" s="50">
        <f t="shared" si="10"/>
        <v>4.032</v>
      </c>
      <c r="X19">
        <f t="shared" si="11"/>
        <v>0</v>
      </c>
    </row>
    <row r="20" spans="1:24" x14ac:dyDescent="0.25">
      <c r="A20" s="42" t="s">
        <v>17</v>
      </c>
      <c r="B20" s="34">
        <v>140</v>
      </c>
      <c r="C20" s="35">
        <v>240</v>
      </c>
      <c r="D20" s="35">
        <v>8</v>
      </c>
      <c r="E20" s="19">
        <f t="shared" si="3"/>
        <v>0.26879999999999998</v>
      </c>
      <c r="F20" s="23">
        <f>'EYLÜL 3. HAFTA'!V20</f>
        <v>0</v>
      </c>
      <c r="G20" s="26">
        <f t="shared" si="4"/>
        <v>0</v>
      </c>
      <c r="H20" s="22"/>
      <c r="I20" s="11">
        <f t="shared" si="5"/>
        <v>0</v>
      </c>
      <c r="J20" s="6"/>
      <c r="K20" s="10">
        <f t="shared" si="0"/>
        <v>0</v>
      </c>
      <c r="L20" s="22"/>
      <c r="M20" s="11">
        <f t="shared" si="1"/>
        <v>0</v>
      </c>
      <c r="N20" s="6"/>
      <c r="O20" s="10">
        <f t="shared" si="6"/>
        <v>0</v>
      </c>
      <c r="P20" s="22"/>
      <c r="Q20" s="11">
        <f t="shared" si="7"/>
        <v>0</v>
      </c>
      <c r="R20" s="39">
        <f t="shared" si="12"/>
        <v>0</v>
      </c>
      <c r="S20" s="38">
        <f t="shared" si="2"/>
        <v>0</v>
      </c>
      <c r="T20" s="12"/>
      <c r="U20" s="13">
        <f t="shared" si="8"/>
        <v>0</v>
      </c>
      <c r="V20" s="49">
        <f t="shared" si="9"/>
        <v>0</v>
      </c>
      <c r="W20" s="50">
        <f t="shared" si="10"/>
        <v>0</v>
      </c>
      <c r="X20">
        <f t="shared" si="11"/>
        <v>0</v>
      </c>
    </row>
    <row r="21" spans="1:24" x14ac:dyDescent="0.25">
      <c r="A21" s="42" t="s">
        <v>19</v>
      </c>
      <c r="B21" s="34">
        <v>77</v>
      </c>
      <c r="C21" s="35">
        <v>55</v>
      </c>
      <c r="D21" s="35">
        <v>8</v>
      </c>
      <c r="E21" s="19">
        <f t="shared" si="3"/>
        <v>3.388E-2</v>
      </c>
      <c r="F21" s="23">
        <f>'EYLÜL 3. HAFTA'!V21</f>
        <v>4</v>
      </c>
      <c r="G21" s="26">
        <f t="shared" si="4"/>
        <v>0.13552</v>
      </c>
      <c r="H21" s="22"/>
      <c r="I21" s="11">
        <f t="shared" si="5"/>
        <v>0</v>
      </c>
      <c r="J21" s="6"/>
      <c r="K21" s="10">
        <f t="shared" si="0"/>
        <v>0</v>
      </c>
      <c r="L21" s="22"/>
      <c r="M21" s="11">
        <f t="shared" si="1"/>
        <v>0</v>
      </c>
      <c r="N21" s="6"/>
      <c r="O21" s="10">
        <f t="shared" si="6"/>
        <v>0</v>
      </c>
      <c r="P21" s="22"/>
      <c r="Q21" s="11">
        <f t="shared" si="7"/>
        <v>0</v>
      </c>
      <c r="R21" s="39">
        <f t="shared" si="12"/>
        <v>4</v>
      </c>
      <c r="S21" s="38">
        <f t="shared" si="2"/>
        <v>0.13552</v>
      </c>
      <c r="T21" s="12"/>
      <c r="U21" s="13">
        <f t="shared" si="8"/>
        <v>0</v>
      </c>
      <c r="V21" s="49">
        <f t="shared" si="9"/>
        <v>4</v>
      </c>
      <c r="W21" s="50">
        <f t="shared" si="10"/>
        <v>0.13552</v>
      </c>
      <c r="X21">
        <f t="shared" si="11"/>
        <v>0</v>
      </c>
    </row>
    <row r="22" spans="1:24" x14ac:dyDescent="0.25">
      <c r="A22" s="42" t="s">
        <v>20</v>
      </c>
      <c r="B22" s="34">
        <v>65</v>
      </c>
      <c r="C22" s="35">
        <v>50</v>
      </c>
      <c r="D22" s="35">
        <v>12</v>
      </c>
      <c r="E22" s="19">
        <f t="shared" si="3"/>
        <v>3.9E-2</v>
      </c>
      <c r="F22" s="23">
        <f>'EYLÜL 3. HAFTA'!V22</f>
        <v>26</v>
      </c>
      <c r="G22" s="26">
        <f t="shared" si="4"/>
        <v>1.014</v>
      </c>
      <c r="H22" s="22"/>
      <c r="I22" s="11">
        <f t="shared" si="5"/>
        <v>0</v>
      </c>
      <c r="J22" s="6"/>
      <c r="K22" s="10">
        <f t="shared" si="0"/>
        <v>0</v>
      </c>
      <c r="L22" s="22"/>
      <c r="M22" s="11">
        <f t="shared" si="1"/>
        <v>0</v>
      </c>
      <c r="N22" s="6"/>
      <c r="O22" s="10">
        <f t="shared" si="6"/>
        <v>0</v>
      </c>
      <c r="P22" s="22"/>
      <c r="Q22" s="11">
        <f t="shared" si="7"/>
        <v>0</v>
      </c>
      <c r="R22" s="39">
        <f t="shared" si="12"/>
        <v>26</v>
      </c>
      <c r="S22" s="38">
        <f t="shared" si="2"/>
        <v>1.014</v>
      </c>
      <c r="T22" s="12"/>
      <c r="U22" s="13">
        <f t="shared" si="8"/>
        <v>0</v>
      </c>
      <c r="V22" s="49">
        <f t="shared" si="9"/>
        <v>26</v>
      </c>
      <c r="W22" s="50">
        <f t="shared" si="10"/>
        <v>1.014</v>
      </c>
      <c r="X22">
        <f t="shared" si="11"/>
        <v>0</v>
      </c>
    </row>
    <row r="23" spans="1:24" x14ac:dyDescent="0.25">
      <c r="A23" s="42" t="s">
        <v>21</v>
      </c>
      <c r="B23" s="34"/>
      <c r="C23" s="35"/>
      <c r="D23" s="35"/>
      <c r="E23" s="19">
        <f t="shared" si="3"/>
        <v>0</v>
      </c>
      <c r="F23" s="23">
        <f>'EYLÜL 3. HAFTA'!V23</f>
        <v>74</v>
      </c>
      <c r="G23" s="26">
        <f t="shared" si="4"/>
        <v>0</v>
      </c>
      <c r="H23" s="22"/>
      <c r="I23" s="11">
        <f t="shared" si="5"/>
        <v>0</v>
      </c>
      <c r="J23" s="6"/>
      <c r="K23" s="10">
        <f t="shared" si="0"/>
        <v>0</v>
      </c>
      <c r="L23" s="22"/>
      <c r="M23" s="11">
        <f t="shared" si="1"/>
        <v>0</v>
      </c>
      <c r="N23" s="6"/>
      <c r="O23" s="10">
        <f t="shared" si="6"/>
        <v>0</v>
      </c>
      <c r="P23" s="22"/>
      <c r="Q23" s="11">
        <f t="shared" si="7"/>
        <v>0</v>
      </c>
      <c r="R23" s="39">
        <f t="shared" si="12"/>
        <v>74</v>
      </c>
      <c r="S23" s="38">
        <f t="shared" si="2"/>
        <v>0</v>
      </c>
      <c r="T23" s="12"/>
      <c r="U23" s="13">
        <f t="shared" si="8"/>
        <v>0</v>
      </c>
      <c r="V23" s="49">
        <f t="shared" si="9"/>
        <v>74</v>
      </c>
      <c r="W23" s="50">
        <f t="shared" si="10"/>
        <v>0</v>
      </c>
      <c r="X23">
        <f t="shared" si="11"/>
        <v>0</v>
      </c>
    </row>
    <row r="24" spans="1:24" x14ac:dyDescent="0.25">
      <c r="A24" s="42" t="s">
        <v>22</v>
      </c>
      <c r="B24" s="34">
        <v>66</v>
      </c>
      <c r="C24" s="35">
        <v>56</v>
      </c>
      <c r="D24" s="35">
        <v>12</v>
      </c>
      <c r="E24" s="19">
        <f t="shared" si="3"/>
        <v>4.4352000000000003E-2</v>
      </c>
      <c r="F24" s="23">
        <f>'EYLÜL 3. HAFTA'!V24</f>
        <v>28</v>
      </c>
      <c r="G24" s="26">
        <f t="shared" si="4"/>
        <v>1.2418560000000001</v>
      </c>
      <c r="H24" s="22"/>
      <c r="I24" s="11">
        <f t="shared" si="5"/>
        <v>0</v>
      </c>
      <c r="J24" s="6"/>
      <c r="K24" s="10">
        <f t="shared" si="0"/>
        <v>0</v>
      </c>
      <c r="L24" s="22"/>
      <c r="M24" s="11">
        <f t="shared" si="1"/>
        <v>0</v>
      </c>
      <c r="N24" s="6"/>
      <c r="O24" s="10">
        <f t="shared" si="6"/>
        <v>0</v>
      </c>
      <c r="P24" s="22"/>
      <c r="Q24" s="11">
        <f t="shared" si="7"/>
        <v>0</v>
      </c>
      <c r="R24" s="39">
        <f t="shared" si="12"/>
        <v>28</v>
      </c>
      <c r="S24" s="38">
        <f t="shared" si="2"/>
        <v>1.2418560000000001</v>
      </c>
      <c r="T24" s="12"/>
      <c r="U24" s="13">
        <f t="shared" si="8"/>
        <v>0</v>
      </c>
      <c r="V24" s="49">
        <f t="shared" si="9"/>
        <v>28</v>
      </c>
      <c r="W24" s="50">
        <f t="shared" si="10"/>
        <v>1.2418560000000001</v>
      </c>
      <c r="X24">
        <f t="shared" si="11"/>
        <v>0</v>
      </c>
    </row>
    <row r="25" spans="1:24" x14ac:dyDescent="0.25">
      <c r="A25" s="42" t="s">
        <v>23</v>
      </c>
      <c r="B25" s="34">
        <v>61.5</v>
      </c>
      <c r="C25" s="35">
        <v>61.5</v>
      </c>
      <c r="D25" s="35">
        <v>10</v>
      </c>
      <c r="E25" s="19">
        <f t="shared" si="3"/>
        <v>3.7822500000000002E-2</v>
      </c>
      <c r="F25" s="23">
        <f>'EYLÜL 3. HAFTA'!V25</f>
        <v>48</v>
      </c>
      <c r="G25" s="26">
        <f t="shared" si="4"/>
        <v>1.81548</v>
      </c>
      <c r="H25" s="22"/>
      <c r="I25" s="11">
        <f t="shared" si="5"/>
        <v>0</v>
      </c>
      <c r="J25" s="6"/>
      <c r="K25" s="10">
        <f t="shared" si="0"/>
        <v>0</v>
      </c>
      <c r="L25" s="22"/>
      <c r="M25" s="11">
        <f t="shared" si="1"/>
        <v>0</v>
      </c>
      <c r="N25" s="6"/>
      <c r="O25" s="10">
        <f t="shared" si="6"/>
        <v>0</v>
      </c>
      <c r="P25" s="22"/>
      <c r="Q25" s="11">
        <f t="shared" si="7"/>
        <v>0</v>
      </c>
      <c r="R25" s="39">
        <f t="shared" si="12"/>
        <v>48</v>
      </c>
      <c r="S25" s="38">
        <f t="shared" si="2"/>
        <v>1.81548</v>
      </c>
      <c r="T25" s="12"/>
      <c r="U25" s="13">
        <f t="shared" si="8"/>
        <v>0</v>
      </c>
      <c r="V25" s="49">
        <f t="shared" si="9"/>
        <v>48</v>
      </c>
      <c r="W25" s="50">
        <f t="shared" si="10"/>
        <v>1.81548</v>
      </c>
      <c r="X25">
        <f t="shared" si="11"/>
        <v>0</v>
      </c>
    </row>
    <row r="26" spans="1:24" x14ac:dyDescent="0.25">
      <c r="A26" s="42" t="s">
        <v>24</v>
      </c>
      <c r="B26" s="34">
        <v>82</v>
      </c>
      <c r="C26" s="35">
        <v>67</v>
      </c>
      <c r="D26" s="35">
        <v>5</v>
      </c>
      <c r="E26" s="19">
        <f t="shared" si="3"/>
        <v>2.7470000000000001E-2</v>
      </c>
      <c r="F26" s="23">
        <f>'EYLÜL 3. HAFTA'!V26</f>
        <v>30</v>
      </c>
      <c r="G26" s="26">
        <f t="shared" si="4"/>
        <v>0.82410000000000005</v>
      </c>
      <c r="H26" s="22"/>
      <c r="I26" s="11">
        <f t="shared" si="5"/>
        <v>0</v>
      </c>
      <c r="J26" s="6"/>
      <c r="K26" s="10">
        <f t="shared" si="0"/>
        <v>0</v>
      </c>
      <c r="L26" s="22"/>
      <c r="M26" s="11">
        <f t="shared" si="1"/>
        <v>0</v>
      </c>
      <c r="N26" s="6"/>
      <c r="O26" s="10">
        <f t="shared" si="6"/>
        <v>0</v>
      </c>
      <c r="P26" s="22"/>
      <c r="Q26" s="11">
        <f t="shared" si="7"/>
        <v>0</v>
      </c>
      <c r="R26" s="39">
        <f t="shared" si="12"/>
        <v>30</v>
      </c>
      <c r="S26" s="38">
        <f t="shared" si="2"/>
        <v>0.82410000000000005</v>
      </c>
      <c r="T26" s="12"/>
      <c r="U26" s="13">
        <f t="shared" si="8"/>
        <v>0</v>
      </c>
      <c r="V26" s="49">
        <f t="shared" si="9"/>
        <v>30</v>
      </c>
      <c r="W26" s="50">
        <f t="shared" si="10"/>
        <v>0.82410000000000005</v>
      </c>
      <c r="X26">
        <f t="shared" si="11"/>
        <v>0</v>
      </c>
    </row>
    <row r="27" spans="1:24" x14ac:dyDescent="0.25">
      <c r="A27" s="42" t="s">
        <v>25</v>
      </c>
      <c r="B27" s="34">
        <v>80</v>
      </c>
      <c r="C27" s="35">
        <v>62</v>
      </c>
      <c r="D27" s="35">
        <v>2</v>
      </c>
      <c r="E27" s="19">
        <f t="shared" si="3"/>
        <v>9.92E-3</v>
      </c>
      <c r="F27" s="23">
        <f>'EYLÜL 3. HAFTA'!V27</f>
        <v>36</v>
      </c>
      <c r="G27" s="26">
        <f t="shared" si="4"/>
        <v>0.35711999999999999</v>
      </c>
      <c r="H27" s="22"/>
      <c r="I27" s="11">
        <f t="shared" si="5"/>
        <v>0</v>
      </c>
      <c r="J27" s="6"/>
      <c r="K27" s="10">
        <f t="shared" si="0"/>
        <v>0</v>
      </c>
      <c r="L27" s="22"/>
      <c r="M27" s="11">
        <f t="shared" si="1"/>
        <v>0</v>
      </c>
      <c r="N27" s="6"/>
      <c r="O27" s="10">
        <f t="shared" si="6"/>
        <v>0</v>
      </c>
      <c r="P27" s="22"/>
      <c r="Q27" s="11">
        <f t="shared" si="7"/>
        <v>0</v>
      </c>
      <c r="R27" s="39">
        <f t="shared" si="12"/>
        <v>36</v>
      </c>
      <c r="S27" s="38">
        <f t="shared" si="2"/>
        <v>0.35711999999999999</v>
      </c>
      <c r="T27" s="12"/>
      <c r="U27" s="13">
        <f t="shared" si="8"/>
        <v>0</v>
      </c>
      <c r="V27" s="49">
        <f t="shared" si="9"/>
        <v>36</v>
      </c>
      <c r="W27" s="50">
        <f t="shared" si="10"/>
        <v>0.35711999999999999</v>
      </c>
      <c r="X27">
        <f t="shared" si="11"/>
        <v>0</v>
      </c>
    </row>
    <row r="28" spans="1:24" x14ac:dyDescent="0.25">
      <c r="A28" s="42" t="s">
        <v>26</v>
      </c>
      <c r="B28" s="34">
        <v>63</v>
      </c>
      <c r="C28" s="35">
        <v>55</v>
      </c>
      <c r="D28" s="35">
        <v>5</v>
      </c>
      <c r="E28" s="19">
        <f t="shared" si="3"/>
        <v>1.7325E-2</v>
      </c>
      <c r="F28" s="23">
        <f>'EYLÜL 3. HAFTA'!V28</f>
        <v>19</v>
      </c>
      <c r="G28" s="26">
        <f t="shared" si="4"/>
        <v>0.329175</v>
      </c>
      <c r="H28" s="22"/>
      <c r="I28" s="11">
        <f t="shared" si="5"/>
        <v>0</v>
      </c>
      <c r="J28" s="6"/>
      <c r="K28" s="10">
        <f t="shared" si="0"/>
        <v>0</v>
      </c>
      <c r="L28" s="22"/>
      <c r="M28" s="11">
        <f t="shared" si="1"/>
        <v>0</v>
      </c>
      <c r="N28" s="6"/>
      <c r="O28" s="10">
        <f t="shared" si="6"/>
        <v>0</v>
      </c>
      <c r="P28" s="22"/>
      <c r="Q28" s="11">
        <f t="shared" si="7"/>
        <v>0</v>
      </c>
      <c r="R28" s="39">
        <f t="shared" si="12"/>
        <v>19</v>
      </c>
      <c r="S28" s="38">
        <f t="shared" si="2"/>
        <v>0.329175</v>
      </c>
      <c r="T28" s="12"/>
      <c r="U28" s="13">
        <f t="shared" si="8"/>
        <v>0</v>
      </c>
      <c r="V28" s="49">
        <f t="shared" si="9"/>
        <v>19</v>
      </c>
      <c r="W28" s="50">
        <f t="shared" si="10"/>
        <v>0.329175</v>
      </c>
      <c r="X28">
        <f t="shared" si="11"/>
        <v>0</v>
      </c>
    </row>
    <row r="29" spans="1:24" x14ac:dyDescent="0.25">
      <c r="A29" s="42" t="s">
        <v>27</v>
      </c>
      <c r="B29" s="34">
        <v>140</v>
      </c>
      <c r="C29" s="35">
        <v>240</v>
      </c>
      <c r="D29" s="35">
        <v>5</v>
      </c>
      <c r="E29" s="19">
        <f t="shared" si="3"/>
        <v>0.16800000000000001</v>
      </c>
      <c r="F29" s="23">
        <f>'EYLÜL 3. HAFTA'!V29</f>
        <v>6</v>
      </c>
      <c r="G29" s="26">
        <f t="shared" si="4"/>
        <v>1.008</v>
      </c>
      <c r="H29" s="22"/>
      <c r="I29" s="11">
        <f t="shared" si="5"/>
        <v>0</v>
      </c>
      <c r="J29" s="6"/>
      <c r="K29" s="10">
        <f t="shared" si="0"/>
        <v>0</v>
      </c>
      <c r="L29" s="22"/>
      <c r="M29" s="11">
        <f t="shared" si="1"/>
        <v>0</v>
      </c>
      <c r="N29" s="6"/>
      <c r="O29" s="10">
        <f t="shared" si="6"/>
        <v>0</v>
      </c>
      <c r="P29" s="22"/>
      <c r="Q29" s="11">
        <f t="shared" si="7"/>
        <v>0</v>
      </c>
      <c r="R29" s="39">
        <f t="shared" si="12"/>
        <v>6</v>
      </c>
      <c r="S29" s="38">
        <f t="shared" si="2"/>
        <v>1.008</v>
      </c>
      <c r="T29" s="12"/>
      <c r="U29" s="13">
        <f t="shared" si="8"/>
        <v>0</v>
      </c>
      <c r="V29" s="49">
        <f t="shared" si="9"/>
        <v>6</v>
      </c>
      <c r="W29" s="50">
        <f t="shared" si="10"/>
        <v>1.008</v>
      </c>
      <c r="X29">
        <f t="shared" si="11"/>
        <v>0</v>
      </c>
    </row>
    <row r="30" spans="1:24" x14ac:dyDescent="0.25">
      <c r="A30" s="42" t="s">
        <v>28</v>
      </c>
      <c r="B30" s="34">
        <v>140</v>
      </c>
      <c r="C30" s="35">
        <v>240</v>
      </c>
      <c r="D30" s="35">
        <v>10</v>
      </c>
      <c r="E30" s="19">
        <f t="shared" si="3"/>
        <v>0.33600000000000002</v>
      </c>
      <c r="F30" s="23">
        <f>'EYLÜL 3. HAFTA'!V30</f>
        <v>11</v>
      </c>
      <c r="G30" s="26">
        <f t="shared" si="4"/>
        <v>3.6960000000000002</v>
      </c>
      <c r="H30" s="22"/>
      <c r="I30" s="11">
        <f t="shared" si="5"/>
        <v>0</v>
      </c>
      <c r="J30" s="6"/>
      <c r="K30" s="10">
        <f t="shared" si="0"/>
        <v>0</v>
      </c>
      <c r="L30" s="22"/>
      <c r="M30" s="11">
        <f t="shared" si="1"/>
        <v>0</v>
      </c>
      <c r="N30" s="6"/>
      <c r="O30" s="10">
        <f t="shared" si="6"/>
        <v>0</v>
      </c>
      <c r="P30" s="22"/>
      <c r="Q30" s="11">
        <f t="shared" si="7"/>
        <v>0</v>
      </c>
      <c r="R30" s="39">
        <f t="shared" si="12"/>
        <v>11</v>
      </c>
      <c r="S30" s="38">
        <f t="shared" si="2"/>
        <v>3.6960000000000002</v>
      </c>
      <c r="T30" s="12"/>
      <c r="U30" s="13">
        <f t="shared" si="8"/>
        <v>0</v>
      </c>
      <c r="V30" s="49">
        <f t="shared" si="9"/>
        <v>11</v>
      </c>
      <c r="W30" s="50">
        <f t="shared" si="10"/>
        <v>3.6960000000000002</v>
      </c>
      <c r="X30">
        <f t="shared" si="11"/>
        <v>0</v>
      </c>
    </row>
    <row r="31" spans="1:24" x14ac:dyDescent="0.25">
      <c r="A31" s="42" t="s">
        <v>29</v>
      </c>
      <c r="B31" s="34">
        <v>140</v>
      </c>
      <c r="C31" s="35">
        <v>240</v>
      </c>
      <c r="D31" s="35">
        <v>3</v>
      </c>
      <c r="E31" s="19">
        <f t="shared" si="3"/>
        <v>0.1008</v>
      </c>
      <c r="F31" s="23">
        <f>'EYLÜL 3. HAFTA'!V31</f>
        <v>38</v>
      </c>
      <c r="G31" s="26">
        <f t="shared" si="4"/>
        <v>3.8304</v>
      </c>
      <c r="H31" s="22"/>
      <c r="I31" s="11">
        <f t="shared" si="5"/>
        <v>0</v>
      </c>
      <c r="J31" s="6"/>
      <c r="K31" s="10">
        <f t="shared" si="0"/>
        <v>0</v>
      </c>
      <c r="L31" s="22"/>
      <c r="M31" s="11">
        <f t="shared" si="1"/>
        <v>0</v>
      </c>
      <c r="N31" s="6"/>
      <c r="O31" s="10">
        <f t="shared" si="6"/>
        <v>0</v>
      </c>
      <c r="P31" s="22"/>
      <c r="Q31" s="11">
        <f t="shared" si="7"/>
        <v>0</v>
      </c>
      <c r="R31" s="39">
        <f t="shared" si="12"/>
        <v>38</v>
      </c>
      <c r="S31" s="38">
        <f t="shared" si="2"/>
        <v>3.8304</v>
      </c>
      <c r="T31" s="12"/>
      <c r="U31" s="13">
        <f t="shared" si="8"/>
        <v>0</v>
      </c>
      <c r="V31" s="49">
        <f t="shared" si="9"/>
        <v>38</v>
      </c>
      <c r="W31" s="50">
        <f t="shared" si="10"/>
        <v>3.8304</v>
      </c>
      <c r="X31">
        <f t="shared" si="11"/>
        <v>0</v>
      </c>
    </row>
    <row r="32" spans="1:24" x14ac:dyDescent="0.25">
      <c r="A32" s="42" t="s">
        <v>30</v>
      </c>
      <c r="B32" s="34">
        <v>90</v>
      </c>
      <c r="C32" s="35">
        <v>80</v>
      </c>
      <c r="D32" s="35">
        <v>8</v>
      </c>
      <c r="E32" s="19">
        <f t="shared" si="3"/>
        <v>5.7599999999999998E-2</v>
      </c>
      <c r="F32" s="23">
        <f>'EYLÜL 3. HAFTA'!V32</f>
        <v>24</v>
      </c>
      <c r="G32" s="26">
        <f t="shared" si="4"/>
        <v>1.3824000000000001</v>
      </c>
      <c r="H32" s="22"/>
      <c r="I32" s="11">
        <f t="shared" si="5"/>
        <v>0</v>
      </c>
      <c r="J32" s="6"/>
      <c r="K32" s="10">
        <f t="shared" si="0"/>
        <v>0</v>
      </c>
      <c r="L32" s="22"/>
      <c r="M32" s="11">
        <f t="shared" si="1"/>
        <v>0</v>
      </c>
      <c r="N32" s="6"/>
      <c r="O32" s="10">
        <f t="shared" si="6"/>
        <v>0</v>
      </c>
      <c r="P32" s="22"/>
      <c r="Q32" s="11">
        <f t="shared" si="7"/>
        <v>0</v>
      </c>
      <c r="R32" s="39">
        <f t="shared" si="12"/>
        <v>24</v>
      </c>
      <c r="S32" s="38">
        <f t="shared" si="2"/>
        <v>1.3824000000000001</v>
      </c>
      <c r="T32" s="12"/>
      <c r="U32" s="13">
        <f t="shared" si="8"/>
        <v>0</v>
      </c>
      <c r="V32" s="49">
        <f t="shared" si="9"/>
        <v>24</v>
      </c>
      <c r="W32" s="50">
        <f t="shared" si="10"/>
        <v>1.3824000000000001</v>
      </c>
      <c r="X32">
        <f t="shared" si="11"/>
        <v>0</v>
      </c>
    </row>
    <row r="33" spans="1:24" x14ac:dyDescent="0.25">
      <c r="A33" s="42" t="s">
        <v>31</v>
      </c>
      <c r="B33" s="34">
        <v>90</v>
      </c>
      <c r="C33" s="35">
        <v>80</v>
      </c>
      <c r="D33" s="35">
        <v>8</v>
      </c>
      <c r="E33" s="19">
        <f t="shared" si="3"/>
        <v>5.7599999999999998E-2</v>
      </c>
      <c r="F33" s="23">
        <f>'EYLÜL 3. HAFTA'!V33</f>
        <v>0</v>
      </c>
      <c r="G33" s="26">
        <f t="shared" si="4"/>
        <v>0</v>
      </c>
      <c r="H33" s="22"/>
      <c r="I33" s="11">
        <f t="shared" si="5"/>
        <v>0</v>
      </c>
      <c r="J33" s="6"/>
      <c r="K33" s="10">
        <f t="shared" si="0"/>
        <v>0</v>
      </c>
      <c r="L33" s="22"/>
      <c r="M33" s="11">
        <f t="shared" si="1"/>
        <v>0</v>
      </c>
      <c r="N33" s="6"/>
      <c r="O33" s="10">
        <f t="shared" si="6"/>
        <v>0</v>
      </c>
      <c r="P33" s="22"/>
      <c r="Q33" s="11">
        <f t="shared" si="7"/>
        <v>0</v>
      </c>
      <c r="R33" s="39">
        <f t="shared" si="12"/>
        <v>0</v>
      </c>
      <c r="S33" s="38">
        <f t="shared" si="2"/>
        <v>0</v>
      </c>
      <c r="T33" s="12"/>
      <c r="U33" s="13">
        <f t="shared" si="8"/>
        <v>0</v>
      </c>
      <c r="V33" s="49">
        <f t="shared" si="9"/>
        <v>0</v>
      </c>
      <c r="W33" s="50">
        <f t="shared" si="10"/>
        <v>0</v>
      </c>
      <c r="X33">
        <f t="shared" si="11"/>
        <v>0</v>
      </c>
    </row>
    <row r="34" spans="1:24" x14ac:dyDescent="0.25">
      <c r="A34" s="42" t="s">
        <v>32</v>
      </c>
      <c r="B34" s="34"/>
      <c r="C34" s="35"/>
      <c r="D34" s="35"/>
      <c r="E34" s="19">
        <f t="shared" si="3"/>
        <v>0</v>
      </c>
      <c r="F34" s="23">
        <f>'EYLÜL 3. HAFTA'!V34</f>
        <v>300</v>
      </c>
      <c r="G34" s="26">
        <f t="shared" si="4"/>
        <v>0</v>
      </c>
      <c r="H34" s="22"/>
      <c r="I34" s="11">
        <f t="shared" si="5"/>
        <v>0</v>
      </c>
      <c r="J34" s="6"/>
      <c r="K34" s="10">
        <f t="shared" si="0"/>
        <v>0</v>
      </c>
      <c r="L34" s="22"/>
      <c r="M34" s="11">
        <f t="shared" si="1"/>
        <v>0</v>
      </c>
      <c r="N34" s="6"/>
      <c r="O34" s="10">
        <f t="shared" si="6"/>
        <v>0</v>
      </c>
      <c r="P34" s="22"/>
      <c r="Q34" s="11">
        <f t="shared" si="7"/>
        <v>0</v>
      </c>
      <c r="R34" s="39">
        <f t="shared" si="12"/>
        <v>300</v>
      </c>
      <c r="S34" s="38">
        <f t="shared" si="2"/>
        <v>0</v>
      </c>
      <c r="T34" s="12"/>
      <c r="U34" s="13">
        <f t="shared" si="8"/>
        <v>0</v>
      </c>
      <c r="V34" s="49">
        <f t="shared" si="9"/>
        <v>300</v>
      </c>
      <c r="W34" s="50">
        <f t="shared" si="10"/>
        <v>0</v>
      </c>
      <c r="X34">
        <f t="shared" si="11"/>
        <v>0</v>
      </c>
    </row>
    <row r="35" spans="1:24" x14ac:dyDescent="0.25">
      <c r="A35" s="42" t="s">
        <v>33</v>
      </c>
      <c r="B35" s="34">
        <v>80</v>
      </c>
      <c r="C35" s="35">
        <v>66</v>
      </c>
      <c r="D35" s="35">
        <v>5</v>
      </c>
      <c r="E35" s="19">
        <f t="shared" si="3"/>
        <v>2.64E-2</v>
      </c>
      <c r="F35" s="23">
        <f>'EYLÜL 3. HAFTA'!V35</f>
        <v>56</v>
      </c>
      <c r="G35" s="26">
        <f t="shared" si="4"/>
        <v>1.4783999999999999</v>
      </c>
      <c r="H35" s="22"/>
      <c r="I35" s="11">
        <f t="shared" si="5"/>
        <v>0</v>
      </c>
      <c r="J35" s="6"/>
      <c r="K35" s="10">
        <f t="shared" si="0"/>
        <v>0</v>
      </c>
      <c r="L35" s="22"/>
      <c r="M35" s="11">
        <f t="shared" si="1"/>
        <v>0</v>
      </c>
      <c r="N35" s="6"/>
      <c r="O35" s="10">
        <f t="shared" si="6"/>
        <v>0</v>
      </c>
      <c r="P35" s="22"/>
      <c r="Q35" s="11">
        <f t="shared" si="7"/>
        <v>0</v>
      </c>
      <c r="R35" s="39">
        <f t="shared" si="12"/>
        <v>56</v>
      </c>
      <c r="S35" s="38">
        <f t="shared" si="2"/>
        <v>1.4783999999999999</v>
      </c>
      <c r="T35" s="12"/>
      <c r="U35" s="13">
        <f t="shared" si="8"/>
        <v>0</v>
      </c>
      <c r="V35" s="49">
        <f t="shared" si="9"/>
        <v>56</v>
      </c>
      <c r="W35" s="50">
        <f t="shared" si="10"/>
        <v>1.4783999999999999</v>
      </c>
      <c r="X35">
        <f t="shared" si="11"/>
        <v>0</v>
      </c>
    </row>
    <row r="36" spans="1:24" x14ac:dyDescent="0.25">
      <c r="A36" s="42" t="s">
        <v>34</v>
      </c>
      <c r="B36" s="34">
        <v>60</v>
      </c>
      <c r="C36" s="35">
        <v>62</v>
      </c>
      <c r="D36" s="35">
        <v>5</v>
      </c>
      <c r="E36" s="19">
        <f t="shared" si="3"/>
        <v>1.8599999999999998E-2</v>
      </c>
      <c r="F36" s="23">
        <f>'EYLÜL 3. HAFTA'!V36</f>
        <v>17</v>
      </c>
      <c r="G36" s="26">
        <f t="shared" si="4"/>
        <v>0.31619999999999998</v>
      </c>
      <c r="H36" s="22"/>
      <c r="I36" s="11">
        <f t="shared" si="5"/>
        <v>0</v>
      </c>
      <c r="J36" s="6"/>
      <c r="K36" s="10">
        <f t="shared" si="0"/>
        <v>0</v>
      </c>
      <c r="L36" s="22"/>
      <c r="M36" s="11">
        <f t="shared" si="1"/>
        <v>0</v>
      </c>
      <c r="N36" s="6"/>
      <c r="O36" s="10">
        <f t="shared" si="6"/>
        <v>0</v>
      </c>
      <c r="P36" s="22"/>
      <c r="Q36" s="11">
        <f t="shared" si="7"/>
        <v>0</v>
      </c>
      <c r="R36" s="39">
        <f t="shared" si="12"/>
        <v>17</v>
      </c>
      <c r="S36" s="38">
        <f t="shared" si="2"/>
        <v>0.31619999999999998</v>
      </c>
      <c r="T36" s="12"/>
      <c r="U36" s="13">
        <f t="shared" si="8"/>
        <v>0</v>
      </c>
      <c r="V36" s="49">
        <f t="shared" si="9"/>
        <v>17</v>
      </c>
      <c r="W36" s="50">
        <f t="shared" si="10"/>
        <v>0.31619999999999998</v>
      </c>
      <c r="X36">
        <f t="shared" si="11"/>
        <v>0</v>
      </c>
    </row>
    <row r="37" spans="1:24" x14ac:dyDescent="0.25">
      <c r="A37" s="42" t="s">
        <v>41</v>
      </c>
      <c r="B37" s="34">
        <v>60</v>
      </c>
      <c r="C37" s="35">
        <v>67</v>
      </c>
      <c r="D37" s="35">
        <v>3</v>
      </c>
      <c r="E37" s="19">
        <f t="shared" si="3"/>
        <v>1.206E-2</v>
      </c>
      <c r="F37" s="23">
        <f>'EYLÜL 3. HAFTA'!V37</f>
        <v>12</v>
      </c>
      <c r="G37" s="26">
        <f t="shared" si="4"/>
        <v>0.14471999999999999</v>
      </c>
      <c r="H37" s="22"/>
      <c r="I37" s="11">
        <f t="shared" si="5"/>
        <v>0</v>
      </c>
      <c r="J37" s="6"/>
      <c r="K37" s="10">
        <f t="shared" ref="K37:K70" si="13">E37*J37</f>
        <v>0</v>
      </c>
      <c r="L37" s="22"/>
      <c r="M37" s="11">
        <f t="shared" ref="M37:M69" si="14">E37*L37</f>
        <v>0</v>
      </c>
      <c r="N37" s="6"/>
      <c r="O37" s="10">
        <f t="shared" si="6"/>
        <v>0</v>
      </c>
      <c r="P37" s="22"/>
      <c r="Q37" s="11">
        <f t="shared" si="7"/>
        <v>0</v>
      </c>
      <c r="R37" s="39">
        <f t="shared" si="12"/>
        <v>12</v>
      </c>
      <c r="S37" s="38">
        <f t="shared" ref="S37:S70" si="15">E37*R37</f>
        <v>0.14471999999999999</v>
      </c>
      <c r="T37" s="12"/>
      <c r="U37" s="13">
        <f t="shared" si="8"/>
        <v>0</v>
      </c>
      <c r="V37" s="49">
        <f t="shared" si="9"/>
        <v>12</v>
      </c>
      <c r="W37" s="50">
        <f t="shared" si="10"/>
        <v>0.14471999999999999</v>
      </c>
      <c r="X37">
        <f t="shared" si="11"/>
        <v>0</v>
      </c>
    </row>
    <row r="38" spans="1:24" x14ac:dyDescent="0.25">
      <c r="A38" s="42" t="s">
        <v>35</v>
      </c>
      <c r="B38" s="34">
        <v>140</v>
      </c>
      <c r="C38" s="35">
        <v>240</v>
      </c>
      <c r="D38" s="35">
        <v>7</v>
      </c>
      <c r="E38" s="19">
        <f t="shared" si="3"/>
        <v>0.23519999999999999</v>
      </c>
      <c r="F38" s="23">
        <f>'EYLÜL 3. HAFTA'!V38</f>
        <v>4</v>
      </c>
      <c r="G38" s="26">
        <f t="shared" si="4"/>
        <v>0.94079999999999997</v>
      </c>
      <c r="H38" s="22"/>
      <c r="I38" s="11">
        <f t="shared" si="5"/>
        <v>0</v>
      </c>
      <c r="J38" s="6"/>
      <c r="K38" s="10">
        <f t="shared" si="13"/>
        <v>0</v>
      </c>
      <c r="L38" s="22"/>
      <c r="M38" s="11">
        <f t="shared" si="14"/>
        <v>0</v>
      </c>
      <c r="N38" s="6"/>
      <c r="O38" s="10">
        <f t="shared" si="6"/>
        <v>0</v>
      </c>
      <c r="P38" s="22"/>
      <c r="Q38" s="11">
        <f t="shared" si="7"/>
        <v>0</v>
      </c>
      <c r="R38" s="39">
        <f t="shared" si="12"/>
        <v>4</v>
      </c>
      <c r="S38" s="38">
        <f t="shared" si="15"/>
        <v>0.94079999999999997</v>
      </c>
      <c r="T38" s="12"/>
      <c r="U38" s="13">
        <f t="shared" si="8"/>
        <v>0</v>
      </c>
      <c r="V38" s="49">
        <f t="shared" si="9"/>
        <v>4</v>
      </c>
      <c r="W38" s="50">
        <f t="shared" si="10"/>
        <v>0.94079999999999997</v>
      </c>
      <c r="X38">
        <f t="shared" si="11"/>
        <v>0</v>
      </c>
    </row>
    <row r="39" spans="1:24" x14ac:dyDescent="0.25">
      <c r="A39" s="42" t="s">
        <v>36</v>
      </c>
      <c r="B39" s="34">
        <v>60</v>
      </c>
      <c r="C39" s="35">
        <v>56</v>
      </c>
      <c r="D39" s="35">
        <v>10</v>
      </c>
      <c r="E39" s="19">
        <f t="shared" si="3"/>
        <v>3.3599999999999998E-2</v>
      </c>
      <c r="F39" s="23">
        <f>'EYLÜL 3. HAFTA'!V39</f>
        <v>30</v>
      </c>
      <c r="G39" s="26">
        <f t="shared" si="4"/>
        <v>1.008</v>
      </c>
      <c r="H39" s="22"/>
      <c r="I39" s="11">
        <f t="shared" si="5"/>
        <v>0</v>
      </c>
      <c r="J39" s="6"/>
      <c r="K39" s="10">
        <f t="shared" si="13"/>
        <v>0</v>
      </c>
      <c r="L39" s="22"/>
      <c r="M39" s="11">
        <f t="shared" si="14"/>
        <v>0</v>
      </c>
      <c r="N39" s="6"/>
      <c r="O39" s="10">
        <f t="shared" si="6"/>
        <v>0</v>
      </c>
      <c r="P39" s="22"/>
      <c r="Q39" s="11">
        <f t="shared" si="7"/>
        <v>0</v>
      </c>
      <c r="R39" s="39">
        <f t="shared" si="12"/>
        <v>30</v>
      </c>
      <c r="S39" s="38">
        <f t="shared" si="15"/>
        <v>1.008</v>
      </c>
      <c r="T39" s="12"/>
      <c r="U39" s="13">
        <f t="shared" si="8"/>
        <v>0</v>
      </c>
      <c r="V39" s="49">
        <f t="shared" si="9"/>
        <v>30</v>
      </c>
      <c r="W39" s="50">
        <f t="shared" si="10"/>
        <v>1.008</v>
      </c>
      <c r="X39">
        <f t="shared" si="11"/>
        <v>0</v>
      </c>
    </row>
    <row r="40" spans="1:24" x14ac:dyDescent="0.25">
      <c r="A40" s="42" t="s">
        <v>37</v>
      </c>
      <c r="B40" s="34">
        <v>58</v>
      </c>
      <c r="C40" s="35">
        <v>55</v>
      </c>
      <c r="D40" s="35">
        <v>10</v>
      </c>
      <c r="E40" s="19">
        <f t="shared" si="3"/>
        <v>3.1899999999999998E-2</v>
      </c>
      <c r="F40" s="23">
        <f>'EYLÜL 3. HAFTA'!V40</f>
        <v>66</v>
      </c>
      <c r="G40" s="26">
        <f t="shared" si="4"/>
        <v>2.1053999999999999</v>
      </c>
      <c r="H40" s="22"/>
      <c r="I40" s="11">
        <f t="shared" si="5"/>
        <v>0</v>
      </c>
      <c r="J40" s="6"/>
      <c r="K40" s="10">
        <f t="shared" si="13"/>
        <v>0</v>
      </c>
      <c r="L40" s="22"/>
      <c r="M40" s="11">
        <f t="shared" si="14"/>
        <v>0</v>
      </c>
      <c r="N40" s="6"/>
      <c r="O40" s="10">
        <f t="shared" si="6"/>
        <v>0</v>
      </c>
      <c r="P40" s="22"/>
      <c r="Q40" s="11">
        <f t="shared" si="7"/>
        <v>0</v>
      </c>
      <c r="R40" s="39">
        <f t="shared" si="12"/>
        <v>66</v>
      </c>
      <c r="S40" s="38">
        <f t="shared" si="15"/>
        <v>2.1053999999999999</v>
      </c>
      <c r="T40" s="12"/>
      <c r="U40" s="13">
        <f t="shared" si="8"/>
        <v>0</v>
      </c>
      <c r="V40" s="49">
        <f t="shared" si="9"/>
        <v>66</v>
      </c>
      <c r="W40" s="50">
        <f t="shared" si="10"/>
        <v>2.1053999999999999</v>
      </c>
      <c r="X40">
        <f t="shared" si="11"/>
        <v>0</v>
      </c>
    </row>
    <row r="41" spans="1:24" x14ac:dyDescent="0.25">
      <c r="A41" s="42" t="s">
        <v>38</v>
      </c>
      <c r="B41" s="34">
        <v>63</v>
      </c>
      <c r="C41" s="35">
        <v>55</v>
      </c>
      <c r="D41" s="35">
        <v>5</v>
      </c>
      <c r="E41" s="19">
        <f t="shared" si="3"/>
        <v>1.7325E-2</v>
      </c>
      <c r="F41" s="23">
        <f>'EYLÜL 3. HAFTA'!V41</f>
        <v>10</v>
      </c>
      <c r="G41" s="26">
        <f t="shared" si="4"/>
        <v>0.17325000000000002</v>
      </c>
      <c r="H41" s="22"/>
      <c r="I41" s="11">
        <f t="shared" si="5"/>
        <v>0</v>
      </c>
      <c r="J41" s="6"/>
      <c r="K41" s="10">
        <f t="shared" si="13"/>
        <v>0</v>
      </c>
      <c r="L41" s="22"/>
      <c r="M41" s="11">
        <f t="shared" si="14"/>
        <v>0</v>
      </c>
      <c r="N41" s="6"/>
      <c r="O41" s="10">
        <f t="shared" si="6"/>
        <v>0</v>
      </c>
      <c r="P41" s="22"/>
      <c r="Q41" s="11">
        <f t="shared" si="7"/>
        <v>0</v>
      </c>
      <c r="R41" s="39">
        <f t="shared" si="12"/>
        <v>10</v>
      </c>
      <c r="S41" s="38">
        <f t="shared" si="15"/>
        <v>0.17325000000000002</v>
      </c>
      <c r="T41" s="12"/>
      <c r="U41" s="13">
        <f t="shared" si="8"/>
        <v>0</v>
      </c>
      <c r="V41" s="49">
        <f t="shared" si="9"/>
        <v>10</v>
      </c>
      <c r="W41" s="50">
        <f t="shared" si="10"/>
        <v>0.17325000000000002</v>
      </c>
      <c r="X41">
        <f t="shared" si="11"/>
        <v>0</v>
      </c>
    </row>
    <row r="42" spans="1:24" x14ac:dyDescent="0.25">
      <c r="A42" s="42" t="s">
        <v>39</v>
      </c>
      <c r="B42" s="34">
        <v>52</v>
      </c>
      <c r="C42" s="35">
        <v>52</v>
      </c>
      <c r="D42" s="35">
        <v>5</v>
      </c>
      <c r="E42" s="19">
        <f t="shared" si="3"/>
        <v>1.3520000000000001E-2</v>
      </c>
      <c r="F42" s="23">
        <f>'EYLÜL 3. HAFTA'!V42</f>
        <v>119</v>
      </c>
      <c r="G42" s="26">
        <f t="shared" si="4"/>
        <v>1.6088800000000001</v>
      </c>
      <c r="H42" s="22"/>
      <c r="I42" s="11">
        <f t="shared" si="5"/>
        <v>0</v>
      </c>
      <c r="J42" s="6">
        <v>6</v>
      </c>
      <c r="K42" s="10">
        <f t="shared" si="13"/>
        <v>8.1119999999999998E-2</v>
      </c>
      <c r="L42" s="22"/>
      <c r="M42" s="11">
        <f t="shared" si="14"/>
        <v>0</v>
      </c>
      <c r="N42" s="6"/>
      <c r="O42" s="10">
        <f t="shared" si="6"/>
        <v>0</v>
      </c>
      <c r="P42" s="22"/>
      <c r="Q42" s="11">
        <f t="shared" si="7"/>
        <v>0</v>
      </c>
      <c r="R42" s="39">
        <f t="shared" si="12"/>
        <v>113</v>
      </c>
      <c r="S42" s="38">
        <f t="shared" si="15"/>
        <v>1.52776</v>
      </c>
      <c r="T42" s="12"/>
      <c r="U42" s="13">
        <f t="shared" si="8"/>
        <v>0</v>
      </c>
      <c r="V42" s="49">
        <f t="shared" si="9"/>
        <v>113</v>
      </c>
      <c r="W42" s="50">
        <f t="shared" si="10"/>
        <v>1.52776</v>
      </c>
      <c r="X42">
        <f t="shared" si="11"/>
        <v>6</v>
      </c>
    </row>
    <row r="43" spans="1:24" x14ac:dyDescent="0.25">
      <c r="A43" s="42" t="s">
        <v>40</v>
      </c>
      <c r="B43" s="34">
        <v>80</v>
      </c>
      <c r="C43" s="35">
        <v>70</v>
      </c>
      <c r="D43" s="35">
        <v>8</v>
      </c>
      <c r="E43" s="19">
        <f t="shared" si="3"/>
        <v>4.48E-2</v>
      </c>
      <c r="F43" s="23">
        <f>'EYLÜL 3. HAFTA'!V43</f>
        <v>396</v>
      </c>
      <c r="G43" s="26">
        <f t="shared" si="4"/>
        <v>17.7408</v>
      </c>
      <c r="H43" s="22"/>
      <c r="I43" s="11">
        <f t="shared" si="5"/>
        <v>0</v>
      </c>
      <c r="J43" s="6"/>
      <c r="K43" s="10">
        <f t="shared" si="13"/>
        <v>0</v>
      </c>
      <c r="L43" s="22"/>
      <c r="M43" s="11">
        <f t="shared" si="14"/>
        <v>0</v>
      </c>
      <c r="N43" s="6"/>
      <c r="O43" s="10">
        <f t="shared" si="6"/>
        <v>0</v>
      </c>
      <c r="P43" s="22"/>
      <c r="Q43" s="11">
        <f t="shared" si="7"/>
        <v>0</v>
      </c>
      <c r="R43" s="39">
        <f t="shared" si="12"/>
        <v>396</v>
      </c>
      <c r="S43" s="38">
        <f t="shared" si="15"/>
        <v>17.7408</v>
      </c>
      <c r="T43" s="12"/>
      <c r="U43" s="13">
        <f t="shared" si="8"/>
        <v>0</v>
      </c>
      <c r="V43" s="49">
        <f t="shared" si="9"/>
        <v>396</v>
      </c>
      <c r="W43" s="50">
        <f t="shared" si="10"/>
        <v>17.7408</v>
      </c>
      <c r="X43">
        <f t="shared" si="11"/>
        <v>0</v>
      </c>
    </row>
    <row r="44" spans="1:24" x14ac:dyDescent="0.25">
      <c r="A44" s="42" t="s">
        <v>42</v>
      </c>
      <c r="B44" s="34">
        <v>70</v>
      </c>
      <c r="C44" s="35">
        <v>64</v>
      </c>
      <c r="D44" s="35">
        <v>8</v>
      </c>
      <c r="E44" s="19">
        <f t="shared" si="3"/>
        <v>3.5839999999999997E-2</v>
      </c>
      <c r="F44" s="23">
        <f>'EYLÜL 3. HAFTA'!V44</f>
        <v>476</v>
      </c>
      <c r="G44" s="26">
        <f t="shared" si="4"/>
        <v>17.059839999999998</v>
      </c>
      <c r="H44" s="22"/>
      <c r="I44" s="11">
        <f t="shared" si="5"/>
        <v>0</v>
      </c>
      <c r="J44" s="6"/>
      <c r="K44" s="10">
        <f t="shared" si="13"/>
        <v>0</v>
      </c>
      <c r="L44" s="22">
        <v>8</v>
      </c>
      <c r="M44" s="11">
        <f t="shared" si="14"/>
        <v>0.28671999999999997</v>
      </c>
      <c r="N44" s="6"/>
      <c r="O44" s="10">
        <f t="shared" si="6"/>
        <v>0</v>
      </c>
      <c r="P44" s="22"/>
      <c r="Q44" s="11">
        <f t="shared" si="7"/>
        <v>0</v>
      </c>
      <c r="R44" s="39">
        <f t="shared" si="12"/>
        <v>468</v>
      </c>
      <c r="S44" s="38">
        <f t="shared" si="15"/>
        <v>16.773119999999999</v>
      </c>
      <c r="T44" s="12"/>
      <c r="U44" s="13">
        <f t="shared" si="8"/>
        <v>0</v>
      </c>
      <c r="V44" s="49">
        <f t="shared" si="9"/>
        <v>468</v>
      </c>
      <c r="W44" s="50">
        <f t="shared" si="10"/>
        <v>16.773119999999999</v>
      </c>
      <c r="X44">
        <f t="shared" si="11"/>
        <v>8</v>
      </c>
    </row>
    <row r="45" spans="1:24" x14ac:dyDescent="0.25">
      <c r="A45" s="42" t="s">
        <v>43</v>
      </c>
      <c r="B45" s="34">
        <v>75</v>
      </c>
      <c r="C45" s="35">
        <v>70</v>
      </c>
      <c r="D45" s="35">
        <v>8</v>
      </c>
      <c r="E45" s="19">
        <f t="shared" si="3"/>
        <v>4.2000000000000003E-2</v>
      </c>
      <c r="F45" s="23">
        <f>'EYLÜL 3. HAFTA'!V45</f>
        <v>321</v>
      </c>
      <c r="G45" s="26">
        <f t="shared" si="4"/>
        <v>13.482000000000001</v>
      </c>
      <c r="H45" s="22"/>
      <c r="I45" s="11">
        <f t="shared" si="5"/>
        <v>0</v>
      </c>
      <c r="J45" s="6"/>
      <c r="K45" s="10">
        <f t="shared" si="13"/>
        <v>0</v>
      </c>
      <c r="L45" s="22"/>
      <c r="M45" s="11">
        <f t="shared" si="14"/>
        <v>0</v>
      </c>
      <c r="N45" s="6"/>
      <c r="O45" s="10">
        <f t="shared" si="6"/>
        <v>0</v>
      </c>
      <c r="P45" s="22"/>
      <c r="Q45" s="11">
        <f t="shared" si="7"/>
        <v>0</v>
      </c>
      <c r="R45" s="39">
        <f t="shared" si="12"/>
        <v>321</v>
      </c>
      <c r="S45" s="38">
        <f t="shared" si="15"/>
        <v>13.482000000000001</v>
      </c>
      <c r="T45" s="12"/>
      <c r="U45" s="13">
        <f t="shared" si="8"/>
        <v>0</v>
      </c>
      <c r="V45" s="49">
        <f t="shared" si="9"/>
        <v>321</v>
      </c>
      <c r="W45" s="50">
        <f t="shared" si="10"/>
        <v>13.482000000000001</v>
      </c>
      <c r="X45">
        <f t="shared" si="11"/>
        <v>0</v>
      </c>
    </row>
    <row r="46" spans="1:24" x14ac:dyDescent="0.25">
      <c r="A46" s="42" t="s">
        <v>77</v>
      </c>
      <c r="B46" s="34">
        <v>140</v>
      </c>
      <c r="C46" s="35">
        <v>67</v>
      </c>
      <c r="D46" s="35">
        <v>5</v>
      </c>
      <c r="E46" s="19">
        <f t="shared" si="3"/>
        <v>4.6899999999999997E-2</v>
      </c>
      <c r="F46" s="23">
        <f>'EYLÜL 3. HAFTA'!V46</f>
        <v>707</v>
      </c>
      <c r="G46" s="26">
        <f t="shared" si="4"/>
        <v>33.158299999999997</v>
      </c>
      <c r="H46" s="22">
        <v>6</v>
      </c>
      <c r="I46" s="11">
        <f t="shared" si="5"/>
        <v>0.28139999999999998</v>
      </c>
      <c r="J46" s="6"/>
      <c r="K46" s="10">
        <f t="shared" si="13"/>
        <v>0</v>
      </c>
      <c r="L46" s="22">
        <v>5</v>
      </c>
      <c r="M46" s="11">
        <f t="shared" si="14"/>
        <v>0.23449999999999999</v>
      </c>
      <c r="N46" s="6"/>
      <c r="O46" s="10">
        <f t="shared" si="6"/>
        <v>0</v>
      </c>
      <c r="P46" s="22"/>
      <c r="Q46" s="11">
        <f t="shared" si="7"/>
        <v>0</v>
      </c>
      <c r="R46" s="39">
        <f t="shared" si="12"/>
        <v>696</v>
      </c>
      <c r="S46" s="38">
        <f t="shared" si="15"/>
        <v>32.642399999999995</v>
      </c>
      <c r="T46" s="12"/>
      <c r="U46" s="13">
        <f t="shared" si="8"/>
        <v>0</v>
      </c>
      <c r="V46" s="49">
        <f t="shared" si="9"/>
        <v>696</v>
      </c>
      <c r="W46" s="50">
        <f t="shared" si="10"/>
        <v>32.642399999999995</v>
      </c>
      <c r="X46">
        <f t="shared" si="11"/>
        <v>11</v>
      </c>
    </row>
    <row r="47" spans="1:24" x14ac:dyDescent="0.25">
      <c r="A47" s="42" t="s">
        <v>45</v>
      </c>
      <c r="B47" s="34">
        <v>80</v>
      </c>
      <c r="C47" s="35">
        <v>63</v>
      </c>
      <c r="D47" s="35">
        <v>5</v>
      </c>
      <c r="E47" s="19">
        <f t="shared" si="3"/>
        <v>2.52E-2</v>
      </c>
      <c r="F47" s="23">
        <f>'EYLÜL 3. HAFTA'!V47</f>
        <v>315</v>
      </c>
      <c r="G47" s="26">
        <f t="shared" si="4"/>
        <v>7.9379999999999997</v>
      </c>
      <c r="H47" s="22"/>
      <c r="I47" s="11">
        <f t="shared" si="5"/>
        <v>0</v>
      </c>
      <c r="J47" s="6"/>
      <c r="K47" s="10">
        <f t="shared" si="13"/>
        <v>0</v>
      </c>
      <c r="L47" s="22"/>
      <c r="M47" s="11">
        <f t="shared" si="14"/>
        <v>0</v>
      </c>
      <c r="N47" s="6"/>
      <c r="O47" s="10">
        <f t="shared" si="6"/>
        <v>0</v>
      </c>
      <c r="P47" s="22"/>
      <c r="Q47" s="11">
        <f t="shared" si="7"/>
        <v>0</v>
      </c>
      <c r="R47" s="39">
        <f t="shared" si="12"/>
        <v>315</v>
      </c>
      <c r="S47" s="38">
        <f t="shared" si="15"/>
        <v>7.9379999999999997</v>
      </c>
      <c r="T47" s="12"/>
      <c r="U47" s="13">
        <f t="shared" si="8"/>
        <v>0</v>
      </c>
      <c r="V47" s="49">
        <f t="shared" si="9"/>
        <v>315</v>
      </c>
      <c r="W47" s="50">
        <f t="shared" si="10"/>
        <v>7.9379999999999997</v>
      </c>
      <c r="X47">
        <f t="shared" si="11"/>
        <v>0</v>
      </c>
    </row>
    <row r="48" spans="1:24" x14ac:dyDescent="0.25">
      <c r="A48" s="42" t="s">
        <v>46</v>
      </c>
      <c r="B48" s="34">
        <v>77</v>
      </c>
      <c r="C48" s="35">
        <v>68</v>
      </c>
      <c r="D48" s="35">
        <v>8</v>
      </c>
      <c r="E48" s="19">
        <f t="shared" si="3"/>
        <v>4.1888000000000002E-2</v>
      </c>
      <c r="F48" s="23">
        <f>'EYLÜL 3. HAFTA'!V48</f>
        <v>195</v>
      </c>
      <c r="G48" s="26">
        <f t="shared" si="4"/>
        <v>8.1681600000000003</v>
      </c>
      <c r="H48" s="22"/>
      <c r="I48" s="11">
        <f t="shared" si="5"/>
        <v>0</v>
      </c>
      <c r="J48" s="6"/>
      <c r="K48" s="10">
        <f t="shared" si="13"/>
        <v>0</v>
      </c>
      <c r="L48" s="22"/>
      <c r="M48" s="11">
        <f t="shared" si="14"/>
        <v>0</v>
      </c>
      <c r="N48" s="6"/>
      <c r="O48" s="10">
        <f t="shared" si="6"/>
        <v>0</v>
      </c>
      <c r="P48" s="22"/>
      <c r="Q48" s="11">
        <f t="shared" si="7"/>
        <v>0</v>
      </c>
      <c r="R48" s="39">
        <f t="shared" si="12"/>
        <v>195</v>
      </c>
      <c r="S48" s="38">
        <f t="shared" si="15"/>
        <v>8.1681600000000003</v>
      </c>
      <c r="T48" s="12"/>
      <c r="U48" s="13">
        <f t="shared" si="8"/>
        <v>0</v>
      </c>
      <c r="V48" s="49">
        <f t="shared" si="9"/>
        <v>195</v>
      </c>
      <c r="W48" s="50">
        <f t="shared" si="10"/>
        <v>8.1681600000000003</v>
      </c>
      <c r="X48">
        <f t="shared" si="11"/>
        <v>0</v>
      </c>
    </row>
    <row r="49" spans="1:24" x14ac:dyDescent="0.25">
      <c r="A49" s="42" t="s">
        <v>47</v>
      </c>
      <c r="B49" s="34">
        <v>79</v>
      </c>
      <c r="C49" s="35">
        <v>79</v>
      </c>
      <c r="D49" s="35">
        <v>2</v>
      </c>
      <c r="E49" s="19">
        <f t="shared" si="3"/>
        <v>1.2482E-2</v>
      </c>
      <c r="F49" s="23">
        <f>'EYLÜL 3. HAFTA'!V49</f>
        <v>33</v>
      </c>
      <c r="G49" s="26">
        <f t="shared" si="4"/>
        <v>0.41190599999999999</v>
      </c>
      <c r="H49" s="22"/>
      <c r="I49" s="11">
        <f t="shared" si="5"/>
        <v>0</v>
      </c>
      <c r="J49" s="6"/>
      <c r="K49" s="10">
        <f t="shared" si="13"/>
        <v>0</v>
      </c>
      <c r="L49" s="22"/>
      <c r="M49" s="11">
        <f t="shared" si="14"/>
        <v>0</v>
      </c>
      <c r="N49" s="6"/>
      <c r="O49" s="10">
        <f t="shared" si="6"/>
        <v>0</v>
      </c>
      <c r="P49" s="22"/>
      <c r="Q49" s="11">
        <f t="shared" si="7"/>
        <v>0</v>
      </c>
      <c r="R49" s="39">
        <f t="shared" si="12"/>
        <v>33</v>
      </c>
      <c r="S49" s="38">
        <f t="shared" si="15"/>
        <v>0.41190599999999999</v>
      </c>
      <c r="T49" s="12"/>
      <c r="U49" s="13">
        <f t="shared" si="8"/>
        <v>0</v>
      </c>
      <c r="V49" s="49">
        <f t="shared" si="9"/>
        <v>33</v>
      </c>
      <c r="W49" s="50">
        <f t="shared" si="10"/>
        <v>0.41190599999999999</v>
      </c>
      <c r="X49">
        <f t="shared" si="11"/>
        <v>0</v>
      </c>
    </row>
    <row r="50" spans="1:24" x14ac:dyDescent="0.25">
      <c r="A50" s="42" t="s">
        <v>48</v>
      </c>
      <c r="B50" s="34">
        <v>61</v>
      </c>
      <c r="C50" s="35">
        <v>56</v>
      </c>
      <c r="D50" s="35">
        <v>10</v>
      </c>
      <c r="E50" s="19">
        <f t="shared" si="3"/>
        <v>3.4160000000000003E-2</v>
      </c>
      <c r="F50" s="23">
        <f>'EYLÜL 3. HAFTA'!V50</f>
        <v>399</v>
      </c>
      <c r="G50" s="26">
        <f t="shared" si="4"/>
        <v>13.629840000000002</v>
      </c>
      <c r="H50" s="22"/>
      <c r="I50" s="11">
        <f t="shared" si="5"/>
        <v>0</v>
      </c>
      <c r="J50" s="6"/>
      <c r="K50" s="10">
        <f t="shared" si="13"/>
        <v>0</v>
      </c>
      <c r="L50" s="22"/>
      <c r="M50" s="11">
        <f t="shared" si="14"/>
        <v>0</v>
      </c>
      <c r="N50" s="6"/>
      <c r="O50" s="10">
        <f t="shared" si="6"/>
        <v>0</v>
      </c>
      <c r="P50" s="22"/>
      <c r="Q50" s="11">
        <f t="shared" si="7"/>
        <v>0</v>
      </c>
      <c r="R50" s="39">
        <f t="shared" si="12"/>
        <v>399</v>
      </c>
      <c r="S50" s="38">
        <f t="shared" si="15"/>
        <v>13.629840000000002</v>
      </c>
      <c r="T50" s="12"/>
      <c r="U50" s="13">
        <f t="shared" si="8"/>
        <v>0</v>
      </c>
      <c r="V50" s="49">
        <f t="shared" si="9"/>
        <v>399</v>
      </c>
      <c r="W50" s="50">
        <f t="shared" si="10"/>
        <v>13.629840000000002</v>
      </c>
      <c r="X50">
        <f t="shared" si="11"/>
        <v>0</v>
      </c>
    </row>
    <row r="51" spans="1:24" x14ac:dyDescent="0.25">
      <c r="A51" s="42" t="s">
        <v>49</v>
      </c>
      <c r="B51" s="34">
        <v>66</v>
      </c>
      <c r="C51" s="35">
        <v>61</v>
      </c>
      <c r="D51" s="35">
        <v>10</v>
      </c>
      <c r="E51" s="19">
        <f t="shared" si="3"/>
        <v>4.0259999999999997E-2</v>
      </c>
      <c r="F51" s="23">
        <f>'EYLÜL 3. HAFTA'!V51</f>
        <v>400</v>
      </c>
      <c r="G51" s="26">
        <f t="shared" si="4"/>
        <v>16.103999999999999</v>
      </c>
      <c r="H51" s="22"/>
      <c r="I51" s="11">
        <f t="shared" si="5"/>
        <v>0</v>
      </c>
      <c r="J51" s="6"/>
      <c r="K51" s="10">
        <f t="shared" si="13"/>
        <v>0</v>
      </c>
      <c r="L51" s="22"/>
      <c r="M51" s="11">
        <f t="shared" si="14"/>
        <v>0</v>
      </c>
      <c r="N51" s="6"/>
      <c r="O51" s="10">
        <f t="shared" si="6"/>
        <v>0</v>
      </c>
      <c r="P51" s="22"/>
      <c r="Q51" s="11">
        <f t="shared" si="7"/>
        <v>0</v>
      </c>
      <c r="R51" s="39">
        <f t="shared" si="12"/>
        <v>400</v>
      </c>
      <c r="S51" s="38">
        <f t="shared" si="15"/>
        <v>16.103999999999999</v>
      </c>
      <c r="T51" s="12"/>
      <c r="U51" s="13">
        <f t="shared" si="8"/>
        <v>0</v>
      </c>
      <c r="V51" s="49">
        <f t="shared" si="9"/>
        <v>400</v>
      </c>
      <c r="W51" s="50">
        <f t="shared" si="10"/>
        <v>16.103999999999999</v>
      </c>
      <c r="X51">
        <f t="shared" si="11"/>
        <v>0</v>
      </c>
    </row>
    <row r="52" spans="1:24" x14ac:dyDescent="0.25">
      <c r="A52" s="42" t="s">
        <v>50</v>
      </c>
      <c r="B52" s="34">
        <v>63</v>
      </c>
      <c r="C52" s="35">
        <v>61</v>
      </c>
      <c r="D52" s="35">
        <v>10</v>
      </c>
      <c r="E52" s="19">
        <f t="shared" si="3"/>
        <v>3.8429999999999999E-2</v>
      </c>
      <c r="F52" s="23">
        <f>'EYLÜL 3. HAFTA'!V52</f>
        <v>420</v>
      </c>
      <c r="G52" s="26">
        <f t="shared" si="4"/>
        <v>16.140599999999999</v>
      </c>
      <c r="H52" s="22"/>
      <c r="I52" s="11">
        <f t="shared" si="5"/>
        <v>0</v>
      </c>
      <c r="J52" s="6"/>
      <c r="K52" s="10">
        <f t="shared" si="13"/>
        <v>0</v>
      </c>
      <c r="L52" s="22"/>
      <c r="M52" s="11">
        <f t="shared" si="14"/>
        <v>0</v>
      </c>
      <c r="N52" s="6"/>
      <c r="O52" s="10">
        <f t="shared" si="6"/>
        <v>0</v>
      </c>
      <c r="P52" s="22"/>
      <c r="Q52" s="11">
        <f t="shared" si="7"/>
        <v>0</v>
      </c>
      <c r="R52" s="39">
        <f t="shared" si="12"/>
        <v>420</v>
      </c>
      <c r="S52" s="38">
        <f t="shared" si="15"/>
        <v>16.140599999999999</v>
      </c>
      <c r="T52" s="12"/>
      <c r="U52" s="13">
        <f t="shared" si="8"/>
        <v>0</v>
      </c>
      <c r="V52" s="49">
        <f t="shared" si="9"/>
        <v>420</v>
      </c>
      <c r="W52" s="50">
        <f t="shared" si="10"/>
        <v>16.140599999999999</v>
      </c>
      <c r="X52">
        <f t="shared" si="11"/>
        <v>0</v>
      </c>
    </row>
    <row r="53" spans="1:24" x14ac:dyDescent="0.25">
      <c r="A53" s="42" t="s">
        <v>51</v>
      </c>
      <c r="B53" s="34">
        <v>58</v>
      </c>
      <c r="C53" s="35">
        <v>58</v>
      </c>
      <c r="D53" s="35">
        <v>2.2999999999999998</v>
      </c>
      <c r="E53" s="19">
        <f t="shared" si="3"/>
        <v>7.7371999999999996E-3</v>
      </c>
      <c r="F53" s="23">
        <f>'EYLÜL 3. HAFTA'!V53</f>
        <v>3832</v>
      </c>
      <c r="G53" s="26">
        <f t="shared" si="4"/>
        <v>29.648950399999997</v>
      </c>
      <c r="H53" s="22"/>
      <c r="I53" s="11">
        <f t="shared" si="5"/>
        <v>0</v>
      </c>
      <c r="J53" s="6"/>
      <c r="K53" s="10">
        <f t="shared" si="13"/>
        <v>0</v>
      </c>
      <c r="L53" s="22"/>
      <c r="M53" s="11">
        <f t="shared" si="14"/>
        <v>0</v>
      </c>
      <c r="N53" s="6"/>
      <c r="O53" s="10">
        <f t="shared" si="6"/>
        <v>0</v>
      </c>
      <c r="P53" s="22">
        <v>32</v>
      </c>
      <c r="Q53" s="11">
        <f t="shared" si="7"/>
        <v>0.24759039999999999</v>
      </c>
      <c r="R53" s="39">
        <f t="shared" si="12"/>
        <v>3800</v>
      </c>
      <c r="S53" s="38">
        <f t="shared" si="15"/>
        <v>29.401359999999997</v>
      </c>
      <c r="T53" s="12"/>
      <c r="U53" s="13">
        <f t="shared" si="8"/>
        <v>0</v>
      </c>
      <c r="V53" s="49">
        <f t="shared" si="9"/>
        <v>3800</v>
      </c>
      <c r="W53" s="50">
        <f t="shared" si="10"/>
        <v>29.401359999999997</v>
      </c>
      <c r="X53">
        <f t="shared" si="11"/>
        <v>32</v>
      </c>
    </row>
    <row r="54" spans="1:24" x14ac:dyDescent="0.25">
      <c r="A54" s="42" t="s">
        <v>52</v>
      </c>
      <c r="B54" s="34">
        <v>79</v>
      </c>
      <c r="C54" s="35">
        <v>62</v>
      </c>
      <c r="D54" s="35">
        <v>2.2999999999999998</v>
      </c>
      <c r="E54" s="19">
        <f t="shared" si="3"/>
        <v>1.12654E-2</v>
      </c>
      <c r="F54" s="23">
        <f>'EYLÜL 3. HAFTA'!V54</f>
        <v>3549</v>
      </c>
      <c r="G54" s="26">
        <f t="shared" si="4"/>
        <v>39.980904600000002</v>
      </c>
      <c r="H54" s="22"/>
      <c r="I54" s="11">
        <f t="shared" si="5"/>
        <v>0</v>
      </c>
      <c r="J54" s="6"/>
      <c r="K54" s="10">
        <f t="shared" si="13"/>
        <v>0</v>
      </c>
      <c r="L54" s="22"/>
      <c r="M54" s="11">
        <f t="shared" si="14"/>
        <v>0</v>
      </c>
      <c r="N54" s="6"/>
      <c r="O54" s="10">
        <f t="shared" si="6"/>
        <v>0</v>
      </c>
      <c r="P54" s="22">
        <v>12</v>
      </c>
      <c r="Q54" s="11">
        <f t="shared" si="7"/>
        <v>0.13518479999999999</v>
      </c>
      <c r="R54" s="39">
        <f t="shared" si="12"/>
        <v>3537</v>
      </c>
      <c r="S54" s="38">
        <f t="shared" si="15"/>
        <v>39.845719799999998</v>
      </c>
      <c r="T54" s="12"/>
      <c r="U54" s="13">
        <f t="shared" si="8"/>
        <v>0</v>
      </c>
      <c r="V54" s="49">
        <f t="shared" si="9"/>
        <v>3537</v>
      </c>
      <c r="W54" s="50">
        <f t="shared" si="10"/>
        <v>39.845719799999998</v>
      </c>
      <c r="X54">
        <f t="shared" si="11"/>
        <v>12</v>
      </c>
    </row>
    <row r="55" spans="1:24" x14ac:dyDescent="0.25">
      <c r="A55" s="42" t="s">
        <v>53</v>
      </c>
      <c r="B55" s="34">
        <v>200</v>
      </c>
      <c r="C55" s="35">
        <v>176</v>
      </c>
      <c r="D55" s="35">
        <v>2.2999999999999998</v>
      </c>
      <c r="E55" s="19">
        <f t="shared" si="3"/>
        <v>8.0960000000000004E-2</v>
      </c>
      <c r="F55" s="23">
        <f>'EYLÜL 3. HAFTA'!V55</f>
        <v>1</v>
      </c>
      <c r="G55" s="26">
        <f t="shared" si="4"/>
        <v>8.0960000000000004E-2</v>
      </c>
      <c r="H55" s="22"/>
      <c r="I55" s="11">
        <f t="shared" si="5"/>
        <v>0</v>
      </c>
      <c r="J55" s="6"/>
      <c r="K55" s="10">
        <f t="shared" si="13"/>
        <v>0</v>
      </c>
      <c r="L55" s="22"/>
      <c r="M55" s="11">
        <f t="shared" si="14"/>
        <v>0</v>
      </c>
      <c r="N55" s="6"/>
      <c r="O55" s="10">
        <f t="shared" si="6"/>
        <v>0</v>
      </c>
      <c r="P55" s="22"/>
      <c r="Q55" s="11">
        <f t="shared" si="7"/>
        <v>0</v>
      </c>
      <c r="R55" s="39">
        <f t="shared" si="12"/>
        <v>1</v>
      </c>
      <c r="S55" s="38">
        <f t="shared" si="15"/>
        <v>8.0960000000000004E-2</v>
      </c>
      <c r="T55" s="12"/>
      <c r="U55" s="13">
        <f t="shared" si="8"/>
        <v>0</v>
      </c>
      <c r="V55" s="49">
        <f t="shared" si="9"/>
        <v>1</v>
      </c>
      <c r="W55" s="50">
        <f t="shared" si="10"/>
        <v>8.0960000000000004E-2</v>
      </c>
      <c r="X55">
        <f t="shared" si="11"/>
        <v>0</v>
      </c>
    </row>
    <row r="56" spans="1:24" x14ac:dyDescent="0.25">
      <c r="A56" s="42" t="s">
        <v>54</v>
      </c>
      <c r="B56" s="34">
        <v>79</v>
      </c>
      <c r="C56" s="35">
        <v>79</v>
      </c>
      <c r="D56" s="35">
        <v>2.2999999999999998</v>
      </c>
      <c r="E56" s="19">
        <f t="shared" si="3"/>
        <v>1.4354299999999999E-2</v>
      </c>
      <c r="F56" s="23">
        <f>'EYLÜL 3. HAFTA'!V56</f>
        <v>241</v>
      </c>
      <c r="G56" s="26">
        <f t="shared" si="4"/>
        <v>3.4593862999999998</v>
      </c>
      <c r="H56" s="22"/>
      <c r="I56" s="11">
        <f t="shared" si="5"/>
        <v>0</v>
      </c>
      <c r="J56" s="6"/>
      <c r="K56" s="10">
        <f t="shared" si="13"/>
        <v>0</v>
      </c>
      <c r="L56" s="22"/>
      <c r="M56" s="11">
        <f t="shared" si="14"/>
        <v>0</v>
      </c>
      <c r="N56" s="6"/>
      <c r="O56" s="10">
        <f t="shared" si="6"/>
        <v>0</v>
      </c>
      <c r="P56" s="22"/>
      <c r="Q56" s="11">
        <f t="shared" si="7"/>
        <v>0</v>
      </c>
      <c r="R56" s="39">
        <f t="shared" si="12"/>
        <v>241</v>
      </c>
      <c r="S56" s="38">
        <f t="shared" si="15"/>
        <v>3.4593862999999998</v>
      </c>
      <c r="T56" s="12"/>
      <c r="U56" s="13">
        <f t="shared" si="8"/>
        <v>0</v>
      </c>
      <c r="V56" s="49">
        <f t="shared" si="9"/>
        <v>241</v>
      </c>
      <c r="W56" s="50">
        <f t="shared" si="10"/>
        <v>3.4593862999999998</v>
      </c>
      <c r="X56">
        <f t="shared" si="11"/>
        <v>0</v>
      </c>
    </row>
    <row r="57" spans="1:24" ht="15.75" x14ac:dyDescent="0.25">
      <c r="A57" s="42" t="s">
        <v>55</v>
      </c>
      <c r="B57" s="111">
        <v>50</v>
      </c>
      <c r="C57" s="112">
        <v>45</v>
      </c>
      <c r="D57" s="112">
        <v>4</v>
      </c>
      <c r="E57" s="19">
        <f t="shared" si="3"/>
        <v>8.9999999999999993E-3</v>
      </c>
      <c r="F57" s="23">
        <f>'EYLÜL 3. HAFTA'!V57</f>
        <v>846</v>
      </c>
      <c r="G57" s="26">
        <f t="shared" si="4"/>
        <v>7.613999999999999</v>
      </c>
      <c r="H57" s="22"/>
      <c r="I57" s="11">
        <f t="shared" si="5"/>
        <v>0</v>
      </c>
      <c r="J57" s="6">
        <v>7</v>
      </c>
      <c r="K57" s="10">
        <f t="shared" si="13"/>
        <v>6.3E-2</v>
      </c>
      <c r="L57" s="22"/>
      <c r="M57" s="11">
        <f t="shared" si="14"/>
        <v>0</v>
      </c>
      <c r="N57" s="6"/>
      <c r="O57" s="10">
        <f t="shared" si="6"/>
        <v>0</v>
      </c>
      <c r="P57" s="22"/>
      <c r="Q57" s="11">
        <f t="shared" si="7"/>
        <v>0</v>
      </c>
      <c r="R57" s="39">
        <f t="shared" si="12"/>
        <v>839</v>
      </c>
      <c r="S57" s="38">
        <f t="shared" si="15"/>
        <v>7.5509999999999993</v>
      </c>
      <c r="T57" s="12"/>
      <c r="U57" s="13">
        <f t="shared" si="8"/>
        <v>0</v>
      </c>
      <c r="V57" s="49">
        <f t="shared" si="9"/>
        <v>839</v>
      </c>
      <c r="W57" s="50">
        <f t="shared" si="10"/>
        <v>7.5509999999999993</v>
      </c>
      <c r="X57">
        <f t="shared" si="11"/>
        <v>7</v>
      </c>
    </row>
    <row r="58" spans="1:24" ht="15.75" x14ac:dyDescent="0.25">
      <c r="A58" s="42" t="s">
        <v>56</v>
      </c>
      <c r="B58" s="111">
        <v>50</v>
      </c>
      <c r="C58" s="112">
        <v>35</v>
      </c>
      <c r="D58" s="112">
        <v>4</v>
      </c>
      <c r="E58" s="19">
        <f t="shared" si="3"/>
        <v>7.0000000000000001E-3</v>
      </c>
      <c r="F58" s="23">
        <f>'EYLÜL 3. HAFTA'!V58</f>
        <v>926</v>
      </c>
      <c r="G58" s="26">
        <f t="shared" si="4"/>
        <v>6.4820000000000002</v>
      </c>
      <c r="H58" s="22"/>
      <c r="I58" s="11">
        <f t="shared" si="5"/>
        <v>0</v>
      </c>
      <c r="J58" s="6">
        <v>30</v>
      </c>
      <c r="K58" s="10">
        <f t="shared" si="13"/>
        <v>0.21</v>
      </c>
      <c r="L58" s="22"/>
      <c r="M58" s="11">
        <f t="shared" si="14"/>
        <v>0</v>
      </c>
      <c r="N58" s="6"/>
      <c r="O58" s="10">
        <f t="shared" si="6"/>
        <v>0</v>
      </c>
      <c r="P58" s="22"/>
      <c r="Q58" s="11">
        <f t="shared" si="7"/>
        <v>0</v>
      </c>
      <c r="R58" s="39">
        <f t="shared" si="12"/>
        <v>896</v>
      </c>
      <c r="S58" s="38">
        <f t="shared" si="15"/>
        <v>6.2720000000000002</v>
      </c>
      <c r="T58" s="12"/>
      <c r="U58" s="13">
        <f t="shared" si="8"/>
        <v>0</v>
      </c>
      <c r="V58" s="49">
        <f t="shared" si="9"/>
        <v>896</v>
      </c>
      <c r="W58" s="50">
        <f t="shared" si="10"/>
        <v>6.2720000000000002</v>
      </c>
      <c r="X58">
        <f t="shared" si="11"/>
        <v>30</v>
      </c>
    </row>
    <row r="59" spans="1:24" ht="15.75" x14ac:dyDescent="0.25">
      <c r="A59" s="42" t="s">
        <v>57</v>
      </c>
      <c r="B59" s="111">
        <v>45</v>
      </c>
      <c r="C59" s="112">
        <v>50</v>
      </c>
      <c r="D59" s="112">
        <v>3</v>
      </c>
      <c r="E59" s="19">
        <f t="shared" si="3"/>
        <v>6.7499999999999999E-3</v>
      </c>
      <c r="F59" s="23">
        <f>'EYLÜL 3. HAFTA'!V59</f>
        <v>597</v>
      </c>
      <c r="G59" s="26">
        <f t="shared" si="4"/>
        <v>4.0297499999999999</v>
      </c>
      <c r="H59" s="22"/>
      <c r="I59" s="11">
        <f t="shared" si="5"/>
        <v>0</v>
      </c>
      <c r="J59" s="6">
        <v>7</v>
      </c>
      <c r="K59" s="10">
        <f t="shared" si="13"/>
        <v>4.725E-2</v>
      </c>
      <c r="L59" s="22">
        <v>180</v>
      </c>
      <c r="M59" s="11">
        <f t="shared" si="14"/>
        <v>1.2150000000000001</v>
      </c>
      <c r="N59" s="6"/>
      <c r="O59" s="10">
        <f t="shared" si="6"/>
        <v>0</v>
      </c>
      <c r="P59" s="22"/>
      <c r="Q59" s="11">
        <f t="shared" si="7"/>
        <v>0</v>
      </c>
      <c r="R59" s="39">
        <f t="shared" si="12"/>
        <v>410</v>
      </c>
      <c r="S59" s="38">
        <f t="shared" si="15"/>
        <v>2.7675000000000001</v>
      </c>
      <c r="T59" s="12"/>
      <c r="U59" s="13">
        <f t="shared" si="8"/>
        <v>0</v>
      </c>
      <c r="V59" s="49">
        <f t="shared" si="9"/>
        <v>410</v>
      </c>
      <c r="W59" s="50">
        <f t="shared" si="10"/>
        <v>2.7675000000000001</v>
      </c>
      <c r="X59">
        <f t="shared" si="11"/>
        <v>187</v>
      </c>
    </row>
    <row r="60" spans="1:24" ht="15.75" x14ac:dyDescent="0.25">
      <c r="A60" s="42" t="s">
        <v>58</v>
      </c>
      <c r="B60" s="111">
        <v>50</v>
      </c>
      <c r="C60" s="112">
        <v>35</v>
      </c>
      <c r="D60" s="112">
        <v>3</v>
      </c>
      <c r="E60" s="19">
        <f t="shared" si="3"/>
        <v>5.2500000000000003E-3</v>
      </c>
      <c r="F60" s="23">
        <f>'EYLÜL 3. HAFTA'!V60</f>
        <v>881</v>
      </c>
      <c r="G60" s="26">
        <f t="shared" si="4"/>
        <v>4.6252500000000003</v>
      </c>
      <c r="H60" s="22"/>
      <c r="I60" s="11">
        <f t="shared" si="5"/>
        <v>0</v>
      </c>
      <c r="J60" s="6">
        <v>15</v>
      </c>
      <c r="K60" s="10">
        <f t="shared" si="13"/>
        <v>7.8750000000000001E-2</v>
      </c>
      <c r="L60" s="22"/>
      <c r="M60" s="11">
        <f t="shared" si="14"/>
        <v>0</v>
      </c>
      <c r="N60" s="6"/>
      <c r="O60" s="10">
        <f t="shared" si="6"/>
        <v>0</v>
      </c>
      <c r="P60" s="22"/>
      <c r="Q60" s="11">
        <f t="shared" si="7"/>
        <v>0</v>
      </c>
      <c r="R60" s="39">
        <f t="shared" si="12"/>
        <v>866</v>
      </c>
      <c r="S60" s="38">
        <f t="shared" si="15"/>
        <v>4.5465</v>
      </c>
      <c r="T60" s="12"/>
      <c r="U60" s="13">
        <f t="shared" si="8"/>
        <v>0</v>
      </c>
      <c r="V60" s="49">
        <f t="shared" si="9"/>
        <v>866</v>
      </c>
      <c r="W60" s="50">
        <f t="shared" si="10"/>
        <v>4.5465</v>
      </c>
      <c r="X60">
        <f t="shared" si="11"/>
        <v>15</v>
      </c>
    </row>
    <row r="61" spans="1:24" ht="15.75" x14ac:dyDescent="0.25">
      <c r="A61" s="42" t="s">
        <v>59</v>
      </c>
      <c r="B61" s="111">
        <v>42</v>
      </c>
      <c r="C61" s="112">
        <v>36</v>
      </c>
      <c r="D61" s="112">
        <v>4</v>
      </c>
      <c r="E61" s="19">
        <f t="shared" si="3"/>
        <v>6.0480000000000004E-3</v>
      </c>
      <c r="F61" s="23">
        <f>'EYLÜL 3. HAFTA'!V61</f>
        <v>88</v>
      </c>
      <c r="G61" s="26">
        <f t="shared" si="4"/>
        <v>0.53222400000000003</v>
      </c>
      <c r="H61" s="22"/>
      <c r="I61" s="11">
        <f t="shared" si="5"/>
        <v>0</v>
      </c>
      <c r="J61" s="6"/>
      <c r="K61" s="10">
        <f t="shared" si="13"/>
        <v>0</v>
      </c>
      <c r="L61" s="22"/>
      <c r="M61" s="11">
        <f t="shared" si="14"/>
        <v>0</v>
      </c>
      <c r="N61" s="6"/>
      <c r="O61" s="10">
        <f t="shared" si="6"/>
        <v>0</v>
      </c>
      <c r="P61" s="22"/>
      <c r="Q61" s="11">
        <f t="shared" si="7"/>
        <v>0</v>
      </c>
      <c r="R61" s="39">
        <f t="shared" si="12"/>
        <v>88</v>
      </c>
      <c r="S61" s="38">
        <f t="shared" si="15"/>
        <v>0.53222400000000003</v>
      </c>
      <c r="T61" s="12"/>
      <c r="U61" s="13">
        <f t="shared" si="8"/>
        <v>0</v>
      </c>
      <c r="V61" s="49">
        <f t="shared" si="9"/>
        <v>88</v>
      </c>
      <c r="W61" s="50">
        <f t="shared" si="10"/>
        <v>0.53222400000000003</v>
      </c>
      <c r="X61">
        <f t="shared" si="11"/>
        <v>0</v>
      </c>
    </row>
    <row r="62" spans="1:24" ht="15.75" x14ac:dyDescent="0.25">
      <c r="A62" s="42" t="s">
        <v>60</v>
      </c>
      <c r="B62" s="111">
        <v>50</v>
      </c>
      <c r="C62" s="112">
        <v>35</v>
      </c>
      <c r="D62" s="112">
        <v>3</v>
      </c>
      <c r="E62" s="19">
        <f t="shared" si="3"/>
        <v>5.2500000000000003E-3</v>
      </c>
      <c r="F62" s="23">
        <f>'EYLÜL 3. HAFTA'!V62</f>
        <v>1892</v>
      </c>
      <c r="G62" s="26">
        <f t="shared" si="4"/>
        <v>9.9329999999999998</v>
      </c>
      <c r="H62" s="22"/>
      <c r="I62" s="11">
        <f t="shared" si="5"/>
        <v>0</v>
      </c>
      <c r="J62" s="6"/>
      <c r="K62" s="10">
        <f t="shared" si="13"/>
        <v>0</v>
      </c>
      <c r="L62" s="22"/>
      <c r="M62" s="11">
        <f t="shared" si="14"/>
        <v>0</v>
      </c>
      <c r="N62" s="6"/>
      <c r="O62" s="10">
        <f t="shared" si="6"/>
        <v>0</v>
      </c>
      <c r="P62" s="22"/>
      <c r="Q62" s="11">
        <f t="shared" si="7"/>
        <v>0</v>
      </c>
      <c r="R62" s="39">
        <f t="shared" si="12"/>
        <v>1892</v>
      </c>
      <c r="S62" s="38">
        <f t="shared" si="15"/>
        <v>9.9329999999999998</v>
      </c>
      <c r="T62" s="12"/>
      <c r="U62" s="13">
        <f t="shared" si="8"/>
        <v>0</v>
      </c>
      <c r="V62" s="49">
        <f t="shared" si="9"/>
        <v>1892</v>
      </c>
      <c r="W62" s="50">
        <f t="shared" si="10"/>
        <v>9.9329999999999998</v>
      </c>
      <c r="X62">
        <f t="shared" si="11"/>
        <v>0</v>
      </c>
    </row>
    <row r="63" spans="1:24" ht="15.75" x14ac:dyDescent="0.25">
      <c r="A63" s="43" t="s">
        <v>61</v>
      </c>
      <c r="B63" s="111">
        <v>45</v>
      </c>
      <c r="C63" s="112">
        <v>50</v>
      </c>
      <c r="D63" s="112">
        <v>3</v>
      </c>
      <c r="E63" s="19">
        <f t="shared" si="3"/>
        <v>6.7499999999999999E-3</v>
      </c>
      <c r="F63" s="23">
        <f>'EYLÜL 3. HAFTA'!V63</f>
        <v>1450</v>
      </c>
      <c r="G63" s="26">
        <f t="shared" si="4"/>
        <v>9.7874999999999996</v>
      </c>
      <c r="H63" s="22"/>
      <c r="I63" s="11">
        <f t="shared" si="5"/>
        <v>0</v>
      </c>
      <c r="J63" s="6">
        <v>0</v>
      </c>
      <c r="K63" s="10">
        <f t="shared" si="13"/>
        <v>0</v>
      </c>
      <c r="L63" s="22"/>
      <c r="M63" s="11">
        <f t="shared" si="14"/>
        <v>0</v>
      </c>
      <c r="N63" s="6"/>
      <c r="O63" s="10">
        <f t="shared" si="6"/>
        <v>0</v>
      </c>
      <c r="P63" s="22"/>
      <c r="Q63" s="11">
        <f t="shared" si="7"/>
        <v>0</v>
      </c>
      <c r="R63" s="39">
        <f t="shared" si="12"/>
        <v>1450</v>
      </c>
      <c r="S63" s="38">
        <f t="shared" si="15"/>
        <v>9.7874999999999996</v>
      </c>
      <c r="T63" s="12"/>
      <c r="U63" s="13">
        <f t="shared" si="8"/>
        <v>0</v>
      </c>
      <c r="V63" s="49">
        <f t="shared" si="9"/>
        <v>1450</v>
      </c>
      <c r="W63" s="50">
        <f t="shared" si="10"/>
        <v>9.7874999999999996</v>
      </c>
      <c r="X63">
        <f t="shared" si="11"/>
        <v>0</v>
      </c>
    </row>
    <row r="64" spans="1:24" ht="15.75" thickBot="1" x14ac:dyDescent="0.3">
      <c r="A64" s="44" t="s">
        <v>90</v>
      </c>
      <c r="B64" s="36">
        <v>140</v>
      </c>
      <c r="C64" s="37">
        <v>9.5</v>
      </c>
      <c r="D64" s="37">
        <v>6.5</v>
      </c>
      <c r="E64" s="20">
        <f t="shared" si="3"/>
        <v>8.6449999999999999E-3</v>
      </c>
      <c r="F64" s="23">
        <f>'EYLÜL 3. HAFTA'!V64</f>
        <v>246</v>
      </c>
      <c r="G64" s="27">
        <f t="shared" si="4"/>
        <v>2.1266699999999998</v>
      </c>
      <c r="H64" s="45"/>
      <c r="I64" s="46">
        <f t="shared" si="5"/>
        <v>0</v>
      </c>
      <c r="J64" s="47">
        <v>126</v>
      </c>
      <c r="K64" s="48">
        <f t="shared" si="13"/>
        <v>1.08927</v>
      </c>
      <c r="L64" s="45">
        <v>60</v>
      </c>
      <c r="M64" s="46">
        <f t="shared" si="14"/>
        <v>0.51869999999999994</v>
      </c>
      <c r="N64" s="47"/>
      <c r="O64" s="48">
        <f t="shared" si="6"/>
        <v>0</v>
      </c>
      <c r="P64" s="45"/>
      <c r="Q64" s="46">
        <f t="shared" si="7"/>
        <v>0</v>
      </c>
      <c r="R64" s="40">
        <f t="shared" si="12"/>
        <v>60</v>
      </c>
      <c r="S64" s="41">
        <f t="shared" si="15"/>
        <v>0.51869999999999994</v>
      </c>
      <c r="T64" s="51"/>
      <c r="U64" s="13">
        <f t="shared" si="8"/>
        <v>0</v>
      </c>
      <c r="V64" s="49">
        <f t="shared" si="9"/>
        <v>60</v>
      </c>
      <c r="W64" s="50">
        <f t="shared" si="10"/>
        <v>0.51869999999999994</v>
      </c>
      <c r="X64">
        <f t="shared" si="11"/>
        <v>186</v>
      </c>
    </row>
    <row r="65" spans="1:24" ht="16.5" thickBot="1" x14ac:dyDescent="0.3">
      <c r="A65" s="91" t="s">
        <v>79</v>
      </c>
      <c r="B65" s="112">
        <v>90</v>
      </c>
      <c r="C65" s="112">
        <v>83</v>
      </c>
      <c r="D65" s="112">
        <v>2</v>
      </c>
      <c r="E65" s="114">
        <f t="shared" si="3"/>
        <v>1.494E-2</v>
      </c>
      <c r="F65" s="25">
        <v>458</v>
      </c>
      <c r="G65" s="116">
        <f t="shared" si="4"/>
        <v>6.8425200000000004</v>
      </c>
      <c r="H65" s="127">
        <v>0</v>
      </c>
      <c r="I65" s="118">
        <f t="shared" si="5"/>
        <v>0</v>
      </c>
      <c r="J65" s="117"/>
      <c r="K65" s="119">
        <f t="shared" si="13"/>
        <v>0</v>
      </c>
      <c r="L65" s="127"/>
      <c r="M65" s="120">
        <f t="shared" si="14"/>
        <v>0</v>
      </c>
      <c r="N65" s="117">
        <v>0</v>
      </c>
      <c r="O65" s="121">
        <f t="shared" si="6"/>
        <v>0</v>
      </c>
      <c r="P65" s="127"/>
      <c r="Q65" s="46">
        <f t="shared" si="7"/>
        <v>0</v>
      </c>
      <c r="R65" s="122">
        <f t="shared" si="12"/>
        <v>458</v>
      </c>
      <c r="S65" s="123">
        <f t="shared" si="15"/>
        <v>6.8425200000000004</v>
      </c>
      <c r="T65" s="101">
        <v>0</v>
      </c>
      <c r="U65" s="89">
        <f t="shared" si="8"/>
        <v>0</v>
      </c>
      <c r="V65" s="49">
        <f t="shared" si="9"/>
        <v>458</v>
      </c>
      <c r="W65" s="50">
        <f t="shared" si="10"/>
        <v>6.8425200000000004</v>
      </c>
      <c r="X65">
        <f t="shared" si="11"/>
        <v>0</v>
      </c>
    </row>
    <row r="66" spans="1:24" ht="16.5" thickBot="1" x14ac:dyDescent="0.3">
      <c r="A66" s="102" t="s">
        <v>80</v>
      </c>
      <c r="B66" s="113">
        <v>92</v>
      </c>
      <c r="C66" s="113">
        <v>82</v>
      </c>
      <c r="D66" s="113">
        <v>2</v>
      </c>
      <c r="E66" s="124">
        <f t="shared" si="3"/>
        <v>1.5088000000000001E-2</v>
      </c>
      <c r="F66" s="25">
        <v>466</v>
      </c>
      <c r="G66" s="125">
        <f t="shared" si="4"/>
        <v>7.0310079999999999</v>
      </c>
      <c r="H66" s="128">
        <v>2</v>
      </c>
      <c r="I66" s="118">
        <f t="shared" ref="I66:U70" si="16">E66*H66</f>
        <v>3.0176000000000001E-2</v>
      </c>
      <c r="J66" s="126"/>
      <c r="K66" s="119">
        <f t="shared" si="13"/>
        <v>0</v>
      </c>
      <c r="L66" s="128">
        <v>0</v>
      </c>
      <c r="M66" s="120">
        <f t="shared" si="14"/>
        <v>0</v>
      </c>
      <c r="N66" s="126"/>
      <c r="O66" s="121">
        <f t="shared" si="6"/>
        <v>0</v>
      </c>
      <c r="P66" s="128">
        <v>52</v>
      </c>
      <c r="Q66" s="46">
        <f t="shared" si="7"/>
        <v>0.78457600000000005</v>
      </c>
      <c r="R66" s="122">
        <f t="shared" si="12"/>
        <v>412</v>
      </c>
      <c r="S66" s="123">
        <f t="shared" si="15"/>
        <v>6.2162560000000004</v>
      </c>
      <c r="T66" s="106">
        <v>0</v>
      </c>
      <c r="U66" s="89">
        <f t="shared" si="8"/>
        <v>0</v>
      </c>
      <c r="V66" s="90">
        <f t="shared" si="9"/>
        <v>412</v>
      </c>
      <c r="W66" s="107">
        <f t="shared" si="10"/>
        <v>6.2162560000000004</v>
      </c>
      <c r="X66">
        <f t="shared" si="11"/>
        <v>54</v>
      </c>
    </row>
    <row r="67" spans="1:24" ht="15.75" thickBot="1" x14ac:dyDescent="0.3">
      <c r="A67" s="108" t="s">
        <v>82</v>
      </c>
      <c r="B67" s="35">
        <v>82</v>
      </c>
      <c r="C67" s="35">
        <v>80</v>
      </c>
      <c r="D67" s="35">
        <v>2</v>
      </c>
      <c r="E67" s="114">
        <f t="shared" si="3"/>
        <v>1.312E-2</v>
      </c>
      <c r="F67" s="25">
        <f>'EYLÜL 1. HAFTA'!V67</f>
        <v>432</v>
      </c>
      <c r="G67" s="110">
        <f t="shared" si="4"/>
        <v>5.66784</v>
      </c>
      <c r="H67" s="115"/>
      <c r="I67" s="100">
        <f t="shared" si="16"/>
        <v>0</v>
      </c>
      <c r="J67" s="96"/>
      <c r="K67" s="48">
        <f t="shared" si="13"/>
        <v>0</v>
      </c>
      <c r="L67" s="115"/>
      <c r="M67" s="11">
        <f t="shared" si="14"/>
        <v>0</v>
      </c>
      <c r="N67" s="96"/>
      <c r="O67" s="10">
        <f t="shared" si="6"/>
        <v>0</v>
      </c>
      <c r="P67" s="115"/>
      <c r="Q67" s="46">
        <f t="shared" si="7"/>
        <v>0</v>
      </c>
      <c r="R67" s="86">
        <f t="shared" si="12"/>
        <v>432</v>
      </c>
      <c r="S67" s="87">
        <f t="shared" si="15"/>
        <v>5.66784</v>
      </c>
      <c r="T67" s="101"/>
      <c r="U67" s="100">
        <f t="shared" si="16"/>
        <v>0</v>
      </c>
      <c r="V67" s="90">
        <f t="shared" si="9"/>
        <v>432</v>
      </c>
      <c r="W67" s="107">
        <f t="shared" si="10"/>
        <v>5.66784</v>
      </c>
      <c r="X67">
        <f t="shared" si="11"/>
        <v>0</v>
      </c>
    </row>
    <row r="68" spans="1:24" ht="15.75" thickBot="1" x14ac:dyDescent="0.3">
      <c r="A68" s="108" t="s">
        <v>83</v>
      </c>
      <c r="B68" s="35">
        <v>86</v>
      </c>
      <c r="C68" s="35">
        <v>77</v>
      </c>
      <c r="D68" s="35">
        <v>8</v>
      </c>
      <c r="E68" s="114">
        <f t="shared" si="3"/>
        <v>5.2976000000000002E-2</v>
      </c>
      <c r="F68" s="25">
        <v>80</v>
      </c>
      <c r="G68" s="110">
        <f t="shared" si="4"/>
        <v>4.2380800000000001</v>
      </c>
      <c r="H68" s="115"/>
      <c r="I68" s="100">
        <f t="shared" si="16"/>
        <v>0</v>
      </c>
      <c r="J68" s="96">
        <v>8</v>
      </c>
      <c r="K68" s="48">
        <f t="shared" si="13"/>
        <v>0.42380800000000002</v>
      </c>
      <c r="L68" s="115">
        <v>0</v>
      </c>
      <c r="M68" s="11">
        <f t="shared" si="14"/>
        <v>0</v>
      </c>
      <c r="N68" s="96">
        <v>0</v>
      </c>
      <c r="O68" s="10">
        <f t="shared" si="6"/>
        <v>0</v>
      </c>
      <c r="P68" s="115"/>
      <c r="Q68" s="46">
        <f t="shared" si="7"/>
        <v>0</v>
      </c>
      <c r="R68" s="86">
        <f t="shared" si="12"/>
        <v>72</v>
      </c>
      <c r="S68" s="87">
        <f t="shared" si="15"/>
        <v>3.8142720000000003</v>
      </c>
      <c r="T68" s="101"/>
      <c r="U68" s="100">
        <f t="shared" si="16"/>
        <v>0</v>
      </c>
      <c r="V68" s="90">
        <f t="shared" si="9"/>
        <v>72</v>
      </c>
      <c r="W68" s="107">
        <f t="shared" si="10"/>
        <v>3.8142720000000003</v>
      </c>
      <c r="X68">
        <f t="shared" si="11"/>
        <v>8</v>
      </c>
    </row>
    <row r="69" spans="1:24" ht="15.75" thickBot="1" x14ac:dyDescent="0.3">
      <c r="A69" s="108" t="s">
        <v>84</v>
      </c>
      <c r="B69" s="35">
        <v>76</v>
      </c>
      <c r="C69" s="35">
        <v>75</v>
      </c>
      <c r="D69" s="35">
        <v>8</v>
      </c>
      <c r="E69" s="114">
        <f t="shared" si="3"/>
        <v>4.5600000000000002E-2</v>
      </c>
      <c r="F69" s="25">
        <v>98</v>
      </c>
      <c r="G69" s="110">
        <f t="shared" si="4"/>
        <v>4.4687999999999999</v>
      </c>
      <c r="H69" s="115"/>
      <c r="I69" s="100">
        <f t="shared" si="16"/>
        <v>0</v>
      </c>
      <c r="J69" s="96"/>
      <c r="K69" s="48">
        <f t="shared" si="13"/>
        <v>0</v>
      </c>
      <c r="L69" s="115"/>
      <c r="M69" s="11">
        <f t="shared" si="14"/>
        <v>0</v>
      </c>
      <c r="N69" s="96">
        <v>0</v>
      </c>
      <c r="O69" s="10">
        <f t="shared" si="6"/>
        <v>0</v>
      </c>
      <c r="P69" s="115"/>
      <c r="Q69" s="46">
        <f t="shared" si="7"/>
        <v>0</v>
      </c>
      <c r="R69" s="86">
        <f t="shared" si="12"/>
        <v>98</v>
      </c>
      <c r="S69" s="87">
        <f t="shared" si="15"/>
        <v>4.4687999999999999</v>
      </c>
      <c r="T69" s="101"/>
      <c r="U69" s="100">
        <f t="shared" si="16"/>
        <v>0</v>
      </c>
      <c r="V69" s="90">
        <f t="shared" si="9"/>
        <v>98</v>
      </c>
      <c r="W69" s="107">
        <f t="shared" si="10"/>
        <v>4.4687999999999999</v>
      </c>
      <c r="X69">
        <f t="shared" si="11"/>
        <v>0</v>
      </c>
    </row>
    <row r="70" spans="1:24" ht="15.75" thickBot="1" x14ac:dyDescent="0.3">
      <c r="A70" s="108" t="s">
        <v>85</v>
      </c>
      <c r="B70" s="35">
        <v>140</v>
      </c>
      <c r="C70" s="35">
        <v>240</v>
      </c>
      <c r="D70" s="35">
        <v>12</v>
      </c>
      <c r="E70" s="114">
        <f t="shared" ref="E70" si="17">(B70*C70*D70)/1000000</f>
        <v>0.4032</v>
      </c>
      <c r="F70" s="25">
        <v>8</v>
      </c>
      <c r="G70" s="110">
        <f t="shared" ref="G70" si="18">E70*F70</f>
        <v>3.2256</v>
      </c>
      <c r="H70" s="115"/>
      <c r="I70" s="100">
        <f t="shared" si="16"/>
        <v>0</v>
      </c>
      <c r="J70" s="96">
        <v>1</v>
      </c>
      <c r="K70" s="48">
        <f t="shared" si="13"/>
        <v>0.4032</v>
      </c>
      <c r="L70" s="115"/>
      <c r="M70" s="100">
        <f t="shared" ref="M70" si="19">I70*L70</f>
        <v>0</v>
      </c>
      <c r="N70" s="96">
        <v>0</v>
      </c>
      <c r="O70" s="10">
        <f t="shared" ref="O70" si="20">E70*N70</f>
        <v>0</v>
      </c>
      <c r="P70" s="115"/>
      <c r="Q70" s="46">
        <f t="shared" ref="Q70" si="21">E70*P70</f>
        <v>0</v>
      </c>
      <c r="R70" s="86">
        <f t="shared" si="12"/>
        <v>7</v>
      </c>
      <c r="S70" s="87">
        <f t="shared" si="15"/>
        <v>2.8224</v>
      </c>
      <c r="T70" s="101"/>
      <c r="U70" s="100">
        <f t="shared" si="16"/>
        <v>0</v>
      </c>
      <c r="V70" s="90">
        <f t="shared" ref="V70" si="22">R70+T70</f>
        <v>7</v>
      </c>
      <c r="W70" s="107">
        <f t="shared" ref="W70" si="23">E70*V70</f>
        <v>2.8224</v>
      </c>
      <c r="X70">
        <f t="shared" ref="X70:X71" si="24">+H70+J70+L70+N70+P70</f>
        <v>1</v>
      </c>
    </row>
    <row r="71" spans="1:24" x14ac:dyDescent="0.25">
      <c r="H71" s="2">
        <f>SUM(H5:H70)</f>
        <v>80</v>
      </c>
      <c r="J71" s="2">
        <f>SUM(J5:J70)</f>
        <v>338</v>
      </c>
      <c r="L71" s="2">
        <f>SUM(L5:L70)</f>
        <v>341</v>
      </c>
      <c r="N71" s="2">
        <f>SUM(N5:N70)</f>
        <v>144</v>
      </c>
      <c r="P71" s="2">
        <f>SUM(P5:P70)</f>
        <v>122</v>
      </c>
      <c r="X71">
        <f t="shared" si="24"/>
        <v>1025</v>
      </c>
    </row>
  </sheetData>
  <mergeCells count="24">
    <mergeCell ref="R4:S4"/>
    <mergeCell ref="N3:O3"/>
    <mergeCell ref="P3:Q3"/>
    <mergeCell ref="H2:I2"/>
    <mergeCell ref="J2:K2"/>
    <mergeCell ref="L2:M2"/>
    <mergeCell ref="N2:O2"/>
    <mergeCell ref="P2:Q2"/>
    <mergeCell ref="T2:U3"/>
    <mergeCell ref="V2:W3"/>
    <mergeCell ref="T4:U4"/>
    <mergeCell ref="V4:W4"/>
    <mergeCell ref="B1:G1"/>
    <mergeCell ref="F4:G4"/>
    <mergeCell ref="H4:I4"/>
    <mergeCell ref="J4:K4"/>
    <mergeCell ref="L4:M4"/>
    <mergeCell ref="F2:G3"/>
    <mergeCell ref="N4:O4"/>
    <mergeCell ref="P4:Q4"/>
    <mergeCell ref="R2:S3"/>
    <mergeCell ref="H3:I3"/>
    <mergeCell ref="J3:K3"/>
    <mergeCell ref="L3:M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72"/>
  <sheetViews>
    <sheetView topLeftCell="C1" workbookViewId="0">
      <selection activeCell="J73" sqref="J73:K74"/>
    </sheetView>
  </sheetViews>
  <sheetFormatPr defaultRowHeight="15" x14ac:dyDescent="0.25"/>
  <cols>
    <col min="1" max="1" width="23.85546875" style="3" customWidth="1"/>
    <col min="2" max="4" width="6.140625" style="2" customWidth="1"/>
    <col min="5" max="5" width="9" style="4" customWidth="1"/>
    <col min="6" max="7" width="9" style="5" customWidth="1"/>
    <col min="8" max="19" width="8.140625" style="2" customWidth="1"/>
  </cols>
  <sheetData>
    <row r="1" spans="1:23" ht="15.75" thickBot="1" x14ac:dyDescent="0.3">
      <c r="A1" s="4" t="s">
        <v>18</v>
      </c>
      <c r="B1" s="320" t="s">
        <v>91</v>
      </c>
      <c r="C1" s="320"/>
      <c r="D1" s="320"/>
      <c r="E1" s="320"/>
      <c r="F1" s="320"/>
      <c r="G1" s="320"/>
    </row>
    <row r="2" spans="1:23" s="1" customFormat="1" ht="15.75" thickBot="1" x14ac:dyDescent="0.3">
      <c r="A2" s="8" t="s">
        <v>0</v>
      </c>
      <c r="B2" s="28"/>
      <c r="C2" s="29"/>
      <c r="D2" s="29"/>
      <c r="E2" s="14"/>
      <c r="F2" s="321" t="s">
        <v>1</v>
      </c>
      <c r="G2" s="322"/>
      <c r="H2" s="325">
        <v>44837</v>
      </c>
      <c r="I2" s="326"/>
      <c r="J2" s="327">
        <v>44838</v>
      </c>
      <c r="K2" s="328"/>
      <c r="L2" s="325">
        <v>44839</v>
      </c>
      <c r="M2" s="329"/>
      <c r="N2" s="327">
        <v>44840</v>
      </c>
      <c r="O2" s="346"/>
      <c r="P2" s="325">
        <v>44841</v>
      </c>
      <c r="Q2" s="329"/>
      <c r="R2" s="330" t="s">
        <v>69</v>
      </c>
      <c r="S2" s="331"/>
      <c r="T2" s="334" t="s">
        <v>70</v>
      </c>
      <c r="U2" s="335"/>
      <c r="V2" s="338" t="s">
        <v>71</v>
      </c>
      <c r="W2" s="339"/>
    </row>
    <row r="3" spans="1:23" s="1" customFormat="1" ht="15.75" thickBot="1" x14ac:dyDescent="0.3">
      <c r="A3" s="7"/>
      <c r="B3" s="30"/>
      <c r="C3" s="31"/>
      <c r="D3" s="31"/>
      <c r="E3" s="15"/>
      <c r="F3" s="323"/>
      <c r="G3" s="324"/>
      <c r="H3" s="342" t="s">
        <v>68</v>
      </c>
      <c r="I3" s="343"/>
      <c r="J3" s="344" t="s">
        <v>68</v>
      </c>
      <c r="K3" s="345"/>
      <c r="L3" s="342" t="s">
        <v>68</v>
      </c>
      <c r="M3" s="343"/>
      <c r="N3" s="344" t="s">
        <v>68</v>
      </c>
      <c r="O3" s="345"/>
      <c r="P3" s="342" t="s">
        <v>68</v>
      </c>
      <c r="Q3" s="343"/>
      <c r="R3" s="332"/>
      <c r="S3" s="333"/>
      <c r="T3" s="336"/>
      <c r="U3" s="337"/>
      <c r="V3" s="340"/>
      <c r="W3" s="341"/>
    </row>
    <row r="4" spans="1:23" ht="15.75" thickBot="1" x14ac:dyDescent="0.3">
      <c r="A4" s="42"/>
      <c r="B4" s="16" t="s">
        <v>65</v>
      </c>
      <c r="C4" s="17" t="s">
        <v>66</v>
      </c>
      <c r="D4" s="17" t="s">
        <v>67</v>
      </c>
      <c r="E4" s="18" t="s">
        <v>64</v>
      </c>
      <c r="F4" s="323" t="s">
        <v>63</v>
      </c>
      <c r="G4" s="324"/>
      <c r="H4" s="353" t="s">
        <v>63</v>
      </c>
      <c r="I4" s="354"/>
      <c r="J4" s="355" t="s">
        <v>63</v>
      </c>
      <c r="K4" s="356"/>
      <c r="L4" s="353" t="s">
        <v>63</v>
      </c>
      <c r="M4" s="354"/>
      <c r="N4" s="355" t="s">
        <v>63</v>
      </c>
      <c r="O4" s="356"/>
      <c r="P4" s="353" t="s">
        <v>63</v>
      </c>
      <c r="Q4" s="354"/>
      <c r="R4" s="347" t="s">
        <v>63</v>
      </c>
      <c r="S4" s="348"/>
      <c r="T4" s="349" t="s">
        <v>63</v>
      </c>
      <c r="U4" s="350"/>
      <c r="V4" s="351" t="s">
        <v>63</v>
      </c>
      <c r="W4" s="357"/>
    </row>
    <row r="5" spans="1:23" x14ac:dyDescent="0.25">
      <c r="A5" s="42" t="s">
        <v>2</v>
      </c>
      <c r="B5" s="32">
        <v>140</v>
      </c>
      <c r="C5" s="33">
        <v>240</v>
      </c>
      <c r="D5" s="33">
        <v>1</v>
      </c>
      <c r="E5" s="15">
        <f>(B5*C5*D5)/1000000</f>
        <v>3.3599999999999998E-2</v>
      </c>
      <c r="F5" s="23">
        <f>'EYLÜL 4. HAFTA'!V5</f>
        <v>485</v>
      </c>
      <c r="G5" s="24">
        <f>E5*F5</f>
        <v>16.295999999999999</v>
      </c>
      <c r="H5" s="21">
        <v>39</v>
      </c>
      <c r="I5" s="11">
        <f>E5*H5</f>
        <v>1.3104</v>
      </c>
      <c r="J5" s="21">
        <v>50</v>
      </c>
      <c r="K5" s="10">
        <f t="shared" ref="K5:K68" si="0">E5*J5</f>
        <v>1.68</v>
      </c>
      <c r="L5" s="21">
        <v>0</v>
      </c>
      <c r="M5" s="11">
        <f t="shared" ref="M5:M68" si="1">E5*L5</f>
        <v>0</v>
      </c>
      <c r="N5" s="21">
        <v>26</v>
      </c>
      <c r="O5" s="10">
        <f>E5*N5</f>
        <v>0.87359999999999993</v>
      </c>
      <c r="P5" s="21">
        <v>35</v>
      </c>
      <c r="Q5" s="11">
        <f>E5*P5</f>
        <v>1.1759999999999999</v>
      </c>
      <c r="R5" s="39">
        <f>F5-H5-J5-L5-N5-P5</f>
        <v>335</v>
      </c>
      <c r="S5" s="38">
        <f t="shared" ref="S5:S68" si="2">E5*R5</f>
        <v>11.255999999999998</v>
      </c>
      <c r="T5" s="12"/>
      <c r="U5" s="13">
        <f>E5*T5</f>
        <v>0</v>
      </c>
      <c r="V5" s="49">
        <f>R5+T5</f>
        <v>335</v>
      </c>
      <c r="W5" s="50">
        <f>E5*V5</f>
        <v>11.255999999999998</v>
      </c>
    </row>
    <row r="6" spans="1:23" x14ac:dyDescent="0.25">
      <c r="A6" s="42" t="s">
        <v>3</v>
      </c>
      <c r="B6" s="34">
        <v>140</v>
      </c>
      <c r="C6" s="35">
        <v>240</v>
      </c>
      <c r="D6" s="35">
        <v>0.8</v>
      </c>
      <c r="E6" s="19">
        <f t="shared" ref="E6:E69" si="3">(B6*C6*D6)/1000000</f>
        <v>2.6880000000000001E-2</v>
      </c>
      <c r="F6" s="23">
        <f>'EYLÜL 4. HAFTA'!V6</f>
        <v>288</v>
      </c>
      <c r="G6" s="26">
        <f t="shared" ref="G6:G69" si="4">E6*F6</f>
        <v>7.7414400000000008</v>
      </c>
      <c r="H6" s="22">
        <v>4</v>
      </c>
      <c r="I6" s="11">
        <f t="shared" ref="I6:U67" si="5">E6*H6</f>
        <v>0.10752</v>
      </c>
      <c r="J6" s="21">
        <v>12</v>
      </c>
      <c r="K6" s="10">
        <f t="shared" si="0"/>
        <v>0.32256000000000001</v>
      </c>
      <c r="L6" s="21">
        <v>0</v>
      </c>
      <c r="M6" s="11">
        <f t="shared" si="1"/>
        <v>0</v>
      </c>
      <c r="N6" s="21">
        <v>0</v>
      </c>
      <c r="O6" s="10">
        <f t="shared" ref="O6:O69" si="6">E6*N6</f>
        <v>0</v>
      </c>
      <c r="P6" s="21">
        <v>4</v>
      </c>
      <c r="Q6" s="11">
        <f t="shared" ref="Q6:Q69" si="7">E6*P6</f>
        <v>0.10752</v>
      </c>
      <c r="R6" s="39">
        <f>F6-H6-J6-L6-N6-P6</f>
        <v>268</v>
      </c>
      <c r="S6" s="38">
        <f t="shared" si="2"/>
        <v>7.2038400000000005</v>
      </c>
      <c r="T6" s="12"/>
      <c r="U6" s="13">
        <f t="shared" ref="U6:U66" si="8">E6*T6</f>
        <v>0</v>
      </c>
      <c r="V6" s="49">
        <f t="shared" ref="V6:V69" si="9">R6+T6</f>
        <v>268</v>
      </c>
      <c r="W6" s="50">
        <f t="shared" ref="W6:W69" si="10">E6*V6</f>
        <v>7.2038400000000005</v>
      </c>
    </row>
    <row r="7" spans="1:23" x14ac:dyDescent="0.25">
      <c r="A7" s="42" t="s">
        <v>4</v>
      </c>
      <c r="B7" s="34">
        <v>140</v>
      </c>
      <c r="C7" s="35">
        <v>240</v>
      </c>
      <c r="D7" s="35">
        <v>1.4</v>
      </c>
      <c r="E7" s="19">
        <f t="shared" si="3"/>
        <v>4.7039999999999998E-2</v>
      </c>
      <c r="F7" s="23">
        <f>'EYLÜL 4. HAFTA'!V7</f>
        <v>0</v>
      </c>
      <c r="G7" s="26">
        <f t="shared" si="4"/>
        <v>0</v>
      </c>
      <c r="H7" s="22">
        <v>15</v>
      </c>
      <c r="I7" s="11">
        <f t="shared" si="5"/>
        <v>0.7056</v>
      </c>
      <c r="J7" s="21">
        <v>2</v>
      </c>
      <c r="K7" s="10">
        <f t="shared" si="0"/>
        <v>9.4079999999999997E-2</v>
      </c>
      <c r="L7" s="21">
        <v>51</v>
      </c>
      <c r="M7" s="11">
        <f t="shared" si="1"/>
        <v>2.3990399999999998</v>
      </c>
      <c r="N7" s="21">
        <v>0</v>
      </c>
      <c r="O7" s="10">
        <f t="shared" si="6"/>
        <v>0</v>
      </c>
      <c r="P7" s="21">
        <v>28</v>
      </c>
      <c r="Q7" s="11">
        <f t="shared" si="7"/>
        <v>1.3171200000000001</v>
      </c>
      <c r="R7" s="39">
        <f t="shared" ref="R7:R70" si="11">F7-H7-J7-L7-N7-P7</f>
        <v>-96</v>
      </c>
      <c r="S7" s="38">
        <f t="shared" si="2"/>
        <v>-4.5158399999999999</v>
      </c>
      <c r="T7" s="12">
        <v>503</v>
      </c>
      <c r="U7" s="13">
        <f t="shared" si="8"/>
        <v>23.66112</v>
      </c>
      <c r="V7" s="49">
        <f t="shared" si="9"/>
        <v>407</v>
      </c>
      <c r="W7" s="50">
        <f t="shared" si="10"/>
        <v>19.14528</v>
      </c>
    </row>
    <row r="8" spans="1:23" x14ac:dyDescent="0.25">
      <c r="A8" s="42" t="s">
        <v>5</v>
      </c>
      <c r="B8" s="34">
        <v>140</v>
      </c>
      <c r="C8" s="35">
        <v>240</v>
      </c>
      <c r="D8" s="35">
        <v>4</v>
      </c>
      <c r="E8" s="19">
        <f t="shared" si="3"/>
        <v>0.13439999999999999</v>
      </c>
      <c r="F8" s="23">
        <f>'EYLÜL 4. HAFTA'!V8</f>
        <v>32</v>
      </c>
      <c r="G8" s="26">
        <f t="shared" si="4"/>
        <v>4.3007999999999997</v>
      </c>
      <c r="H8" s="22">
        <v>0</v>
      </c>
      <c r="I8" s="11">
        <f t="shared" si="5"/>
        <v>0</v>
      </c>
      <c r="J8" s="21">
        <v>0</v>
      </c>
      <c r="K8" s="10">
        <f t="shared" si="0"/>
        <v>0</v>
      </c>
      <c r="L8" s="21">
        <v>0</v>
      </c>
      <c r="M8" s="11">
        <f t="shared" si="1"/>
        <v>0</v>
      </c>
      <c r="N8" s="21">
        <v>0</v>
      </c>
      <c r="O8" s="10">
        <f t="shared" si="6"/>
        <v>0</v>
      </c>
      <c r="P8" s="21">
        <v>0</v>
      </c>
      <c r="Q8" s="11">
        <f t="shared" si="7"/>
        <v>0</v>
      </c>
      <c r="R8" s="39">
        <f t="shared" si="11"/>
        <v>32</v>
      </c>
      <c r="S8" s="38">
        <f t="shared" si="2"/>
        <v>4.3007999999999997</v>
      </c>
      <c r="T8" s="12"/>
      <c r="U8" s="13">
        <f t="shared" si="8"/>
        <v>0</v>
      </c>
      <c r="V8" s="49">
        <f t="shared" si="9"/>
        <v>32</v>
      </c>
      <c r="W8" s="50">
        <f t="shared" si="10"/>
        <v>4.3007999999999997</v>
      </c>
    </row>
    <row r="9" spans="1:23" x14ac:dyDescent="0.25">
      <c r="A9" s="42" t="s">
        <v>6</v>
      </c>
      <c r="B9" s="34">
        <v>140</v>
      </c>
      <c r="C9" s="35">
        <v>240</v>
      </c>
      <c r="D9" s="35">
        <v>2</v>
      </c>
      <c r="E9" s="19">
        <f t="shared" si="3"/>
        <v>6.7199999999999996E-2</v>
      </c>
      <c r="F9" s="23">
        <f>'EYLÜL 4. HAFTA'!V9</f>
        <v>7</v>
      </c>
      <c r="G9" s="26">
        <f t="shared" si="4"/>
        <v>0.47039999999999998</v>
      </c>
      <c r="H9" s="22">
        <v>0</v>
      </c>
      <c r="I9" s="11">
        <f t="shared" si="5"/>
        <v>0</v>
      </c>
      <c r="J9" s="21">
        <v>19</v>
      </c>
      <c r="K9" s="10">
        <f t="shared" si="0"/>
        <v>1.2767999999999999</v>
      </c>
      <c r="L9" s="21">
        <v>5</v>
      </c>
      <c r="M9" s="11">
        <f t="shared" si="1"/>
        <v>0.33599999999999997</v>
      </c>
      <c r="N9" s="21">
        <v>3</v>
      </c>
      <c r="O9" s="10">
        <f t="shared" si="6"/>
        <v>0.2016</v>
      </c>
      <c r="P9" s="21">
        <v>2</v>
      </c>
      <c r="Q9" s="11">
        <f t="shared" si="7"/>
        <v>0.13439999999999999</v>
      </c>
      <c r="R9" s="39">
        <f t="shared" si="11"/>
        <v>-22</v>
      </c>
      <c r="S9" s="38">
        <f t="shared" si="2"/>
        <v>-1.4783999999999999</v>
      </c>
      <c r="T9" s="12">
        <v>50</v>
      </c>
      <c r="U9" s="13">
        <f t="shared" si="8"/>
        <v>3.36</v>
      </c>
      <c r="V9" s="49">
        <f t="shared" si="9"/>
        <v>28</v>
      </c>
      <c r="W9" s="50">
        <f t="shared" si="10"/>
        <v>1.8815999999999999</v>
      </c>
    </row>
    <row r="10" spans="1:23" x14ac:dyDescent="0.25">
      <c r="A10" s="42" t="s">
        <v>7</v>
      </c>
      <c r="B10" s="34">
        <v>140</v>
      </c>
      <c r="C10" s="35">
        <v>240</v>
      </c>
      <c r="D10" s="35">
        <v>2</v>
      </c>
      <c r="E10" s="19">
        <f t="shared" si="3"/>
        <v>6.7199999999999996E-2</v>
      </c>
      <c r="F10" s="23">
        <f>'EYLÜL 4. HAFTA'!V10</f>
        <v>316</v>
      </c>
      <c r="G10" s="26">
        <f t="shared" si="4"/>
        <v>21.235199999999999</v>
      </c>
      <c r="H10" s="22"/>
      <c r="I10" s="11">
        <f t="shared" si="5"/>
        <v>0</v>
      </c>
      <c r="J10" s="21">
        <v>0</v>
      </c>
      <c r="K10" s="10">
        <f t="shared" si="0"/>
        <v>0</v>
      </c>
      <c r="L10" s="21">
        <v>15</v>
      </c>
      <c r="M10" s="11">
        <f t="shared" si="1"/>
        <v>1.008</v>
      </c>
      <c r="N10" s="21">
        <v>0</v>
      </c>
      <c r="O10" s="10">
        <f t="shared" si="6"/>
        <v>0</v>
      </c>
      <c r="P10" s="21">
        <v>0</v>
      </c>
      <c r="Q10" s="11">
        <f t="shared" si="7"/>
        <v>0</v>
      </c>
      <c r="R10" s="39">
        <f t="shared" si="11"/>
        <v>301</v>
      </c>
      <c r="S10" s="38">
        <f t="shared" si="2"/>
        <v>20.2272</v>
      </c>
      <c r="T10" s="12"/>
      <c r="U10" s="13">
        <f t="shared" si="8"/>
        <v>0</v>
      </c>
      <c r="V10" s="49">
        <f t="shared" si="9"/>
        <v>301</v>
      </c>
      <c r="W10" s="50">
        <f t="shared" si="10"/>
        <v>20.2272</v>
      </c>
    </row>
    <row r="11" spans="1:23" x14ac:dyDescent="0.25">
      <c r="A11" s="42" t="s">
        <v>8</v>
      </c>
      <c r="B11" s="34">
        <v>140</v>
      </c>
      <c r="C11" s="35">
        <v>240</v>
      </c>
      <c r="D11" s="35">
        <v>7</v>
      </c>
      <c r="E11" s="19">
        <f t="shared" si="3"/>
        <v>0.23519999999999999</v>
      </c>
      <c r="F11" s="23">
        <f>'EYLÜL 4. HAFTA'!V11</f>
        <v>22</v>
      </c>
      <c r="G11" s="26">
        <f t="shared" si="4"/>
        <v>5.1743999999999994</v>
      </c>
      <c r="H11" s="22"/>
      <c r="I11" s="11">
        <f t="shared" si="5"/>
        <v>0</v>
      </c>
      <c r="J11" s="21">
        <v>6</v>
      </c>
      <c r="K11" s="10">
        <f t="shared" si="0"/>
        <v>1.4112</v>
      </c>
      <c r="L11" s="21">
        <v>0</v>
      </c>
      <c r="M11" s="11">
        <f t="shared" si="1"/>
        <v>0</v>
      </c>
      <c r="N11" s="21">
        <v>4</v>
      </c>
      <c r="O11" s="10">
        <f t="shared" si="6"/>
        <v>0.94079999999999997</v>
      </c>
      <c r="P11" s="21">
        <v>0</v>
      </c>
      <c r="Q11" s="11">
        <f t="shared" si="7"/>
        <v>0</v>
      </c>
      <c r="R11" s="39">
        <f t="shared" si="11"/>
        <v>12</v>
      </c>
      <c r="S11" s="38">
        <f t="shared" si="2"/>
        <v>2.8224</v>
      </c>
      <c r="T11" s="12"/>
      <c r="U11" s="13">
        <f t="shared" si="8"/>
        <v>0</v>
      </c>
      <c r="V11" s="49">
        <f t="shared" si="9"/>
        <v>12</v>
      </c>
      <c r="W11" s="50">
        <f t="shared" si="10"/>
        <v>2.8224</v>
      </c>
    </row>
    <row r="12" spans="1:23" x14ac:dyDescent="0.25">
      <c r="A12" s="42" t="s">
        <v>9</v>
      </c>
      <c r="B12" s="34">
        <v>140</v>
      </c>
      <c r="C12" s="35">
        <v>240</v>
      </c>
      <c r="D12" s="35">
        <v>5</v>
      </c>
      <c r="E12" s="19">
        <f t="shared" si="3"/>
        <v>0.16800000000000001</v>
      </c>
      <c r="F12" s="23">
        <f>'EYLÜL 4. HAFTA'!V12</f>
        <v>364</v>
      </c>
      <c r="G12" s="26">
        <f t="shared" si="4"/>
        <v>61.152000000000001</v>
      </c>
      <c r="H12" s="22">
        <v>0</v>
      </c>
      <c r="I12" s="11">
        <f t="shared" si="5"/>
        <v>0</v>
      </c>
      <c r="J12" s="21">
        <v>0</v>
      </c>
      <c r="K12" s="10">
        <f t="shared" si="0"/>
        <v>0</v>
      </c>
      <c r="L12" s="21">
        <v>0</v>
      </c>
      <c r="M12" s="11">
        <f t="shared" si="1"/>
        <v>0</v>
      </c>
      <c r="N12" s="21">
        <v>2</v>
      </c>
      <c r="O12" s="10">
        <f t="shared" si="6"/>
        <v>0.33600000000000002</v>
      </c>
      <c r="P12" s="21">
        <v>0</v>
      </c>
      <c r="Q12" s="11">
        <f t="shared" si="7"/>
        <v>0</v>
      </c>
      <c r="R12" s="39">
        <f t="shared" si="11"/>
        <v>362</v>
      </c>
      <c r="S12" s="38">
        <f t="shared" si="2"/>
        <v>60.816000000000003</v>
      </c>
      <c r="T12" s="12"/>
      <c r="U12" s="13">
        <f t="shared" si="8"/>
        <v>0</v>
      </c>
      <c r="V12" s="49">
        <f t="shared" si="9"/>
        <v>362</v>
      </c>
      <c r="W12" s="50">
        <f t="shared" si="10"/>
        <v>60.816000000000003</v>
      </c>
    </row>
    <row r="13" spans="1:23" x14ac:dyDescent="0.25">
      <c r="A13" s="42" t="s">
        <v>10</v>
      </c>
      <c r="B13" s="34">
        <v>140</v>
      </c>
      <c r="C13" s="35">
        <v>240</v>
      </c>
      <c r="D13" s="35">
        <v>5</v>
      </c>
      <c r="E13" s="19">
        <f t="shared" si="3"/>
        <v>0.16800000000000001</v>
      </c>
      <c r="F13" s="23">
        <f>'EYLÜL 4. HAFTA'!V13</f>
        <v>41</v>
      </c>
      <c r="G13" s="26">
        <f t="shared" si="4"/>
        <v>6.8880000000000008</v>
      </c>
      <c r="H13" s="22">
        <v>0</v>
      </c>
      <c r="I13" s="11">
        <v>0</v>
      </c>
      <c r="J13" s="21">
        <v>0</v>
      </c>
      <c r="K13" s="10">
        <f t="shared" si="0"/>
        <v>0</v>
      </c>
      <c r="L13" s="21">
        <v>0</v>
      </c>
      <c r="M13" s="11">
        <f t="shared" si="1"/>
        <v>0</v>
      </c>
      <c r="N13" s="21">
        <v>3</v>
      </c>
      <c r="O13" s="10">
        <f t="shared" si="6"/>
        <v>0.504</v>
      </c>
      <c r="P13" s="21">
        <v>3</v>
      </c>
      <c r="Q13" s="11">
        <f t="shared" si="7"/>
        <v>0.504</v>
      </c>
      <c r="R13" s="39">
        <f t="shared" si="11"/>
        <v>35</v>
      </c>
      <c r="S13" s="38">
        <f t="shared" si="2"/>
        <v>5.8800000000000008</v>
      </c>
      <c r="T13" s="12"/>
      <c r="U13" s="13">
        <f t="shared" si="8"/>
        <v>0</v>
      </c>
      <c r="V13" s="49">
        <f t="shared" si="9"/>
        <v>35</v>
      </c>
      <c r="W13" s="50">
        <f t="shared" si="10"/>
        <v>5.8800000000000008</v>
      </c>
    </row>
    <row r="14" spans="1:23" x14ac:dyDescent="0.25">
      <c r="A14" s="42" t="s">
        <v>11</v>
      </c>
      <c r="B14" s="34">
        <v>140</v>
      </c>
      <c r="C14" s="35">
        <v>240</v>
      </c>
      <c r="D14" s="35">
        <v>5</v>
      </c>
      <c r="E14" s="19">
        <f t="shared" si="3"/>
        <v>0.16800000000000001</v>
      </c>
      <c r="F14" s="23">
        <f>'EYLÜL 4. HAFTA'!V14</f>
        <v>55</v>
      </c>
      <c r="G14" s="26">
        <f t="shared" si="4"/>
        <v>9.24</v>
      </c>
      <c r="H14" s="22">
        <v>1</v>
      </c>
      <c r="I14" s="11">
        <f t="shared" si="5"/>
        <v>0.16800000000000001</v>
      </c>
      <c r="J14" s="21">
        <v>6</v>
      </c>
      <c r="K14" s="10">
        <f t="shared" si="0"/>
        <v>1.008</v>
      </c>
      <c r="L14" s="21">
        <v>8</v>
      </c>
      <c r="M14" s="11">
        <f t="shared" si="1"/>
        <v>1.3440000000000001</v>
      </c>
      <c r="N14" s="21">
        <v>0</v>
      </c>
      <c r="O14" s="10">
        <f t="shared" si="6"/>
        <v>0</v>
      </c>
      <c r="P14" s="21">
        <v>3</v>
      </c>
      <c r="Q14" s="11">
        <f t="shared" si="7"/>
        <v>0.504</v>
      </c>
      <c r="R14" s="39">
        <f t="shared" si="11"/>
        <v>37</v>
      </c>
      <c r="S14" s="38">
        <f t="shared" si="2"/>
        <v>6.2160000000000002</v>
      </c>
      <c r="T14" s="12"/>
      <c r="U14" s="13">
        <f t="shared" si="8"/>
        <v>0</v>
      </c>
      <c r="V14" s="49">
        <f t="shared" si="9"/>
        <v>37</v>
      </c>
      <c r="W14" s="50">
        <f t="shared" si="10"/>
        <v>6.2160000000000002</v>
      </c>
    </row>
    <row r="15" spans="1:23" x14ac:dyDescent="0.25">
      <c r="A15" s="42" t="s">
        <v>12</v>
      </c>
      <c r="B15" s="34">
        <v>140</v>
      </c>
      <c r="C15" s="35">
        <v>240</v>
      </c>
      <c r="D15" s="35">
        <v>10</v>
      </c>
      <c r="E15" s="19">
        <f t="shared" si="3"/>
        <v>0.33600000000000002</v>
      </c>
      <c r="F15" s="23">
        <f>'EYLÜL 4. HAFTA'!V15</f>
        <v>30</v>
      </c>
      <c r="G15" s="26">
        <f t="shared" si="4"/>
        <v>10.08</v>
      </c>
      <c r="H15" s="22">
        <v>0</v>
      </c>
      <c r="I15" s="11">
        <f t="shared" si="5"/>
        <v>0</v>
      </c>
      <c r="J15" s="21">
        <v>0</v>
      </c>
      <c r="K15" s="10">
        <f t="shared" si="0"/>
        <v>0</v>
      </c>
      <c r="L15" s="21">
        <v>0</v>
      </c>
      <c r="M15" s="11">
        <f t="shared" si="1"/>
        <v>0</v>
      </c>
      <c r="N15" s="21">
        <v>1</v>
      </c>
      <c r="O15" s="10">
        <f t="shared" si="6"/>
        <v>0.33600000000000002</v>
      </c>
      <c r="P15" s="21">
        <v>2</v>
      </c>
      <c r="Q15" s="11">
        <f t="shared" si="7"/>
        <v>0.67200000000000004</v>
      </c>
      <c r="R15" s="39">
        <f t="shared" si="11"/>
        <v>27</v>
      </c>
      <c r="S15" s="38">
        <f t="shared" si="2"/>
        <v>9.072000000000001</v>
      </c>
      <c r="T15" s="12"/>
      <c r="U15" s="13">
        <f t="shared" si="8"/>
        <v>0</v>
      </c>
      <c r="V15" s="49">
        <f t="shared" si="9"/>
        <v>27</v>
      </c>
      <c r="W15" s="50">
        <f t="shared" si="10"/>
        <v>9.072000000000001</v>
      </c>
    </row>
    <row r="16" spans="1:23" x14ac:dyDescent="0.25">
      <c r="A16" s="42" t="s">
        <v>13</v>
      </c>
      <c r="B16" s="34">
        <v>140</v>
      </c>
      <c r="C16" s="35">
        <v>240</v>
      </c>
      <c r="D16" s="35">
        <v>3</v>
      </c>
      <c r="E16" s="19">
        <f t="shared" si="3"/>
        <v>0.1008</v>
      </c>
      <c r="F16" s="23">
        <f>'EYLÜL 4. HAFTA'!V16</f>
        <v>180</v>
      </c>
      <c r="G16" s="26">
        <f t="shared" si="4"/>
        <v>18.143999999999998</v>
      </c>
      <c r="H16" s="22">
        <v>0</v>
      </c>
      <c r="I16" s="11">
        <f t="shared" si="5"/>
        <v>0</v>
      </c>
      <c r="J16" s="21">
        <v>0</v>
      </c>
      <c r="K16" s="10">
        <f t="shared" si="0"/>
        <v>0</v>
      </c>
      <c r="L16" s="21">
        <v>20</v>
      </c>
      <c r="M16" s="11">
        <f t="shared" si="1"/>
        <v>2.016</v>
      </c>
      <c r="N16" s="21">
        <v>0</v>
      </c>
      <c r="O16" s="10">
        <f t="shared" si="6"/>
        <v>0</v>
      </c>
      <c r="P16" s="21">
        <v>1</v>
      </c>
      <c r="Q16" s="11">
        <f t="shared" si="7"/>
        <v>0.1008</v>
      </c>
      <c r="R16" s="39">
        <f t="shared" si="11"/>
        <v>159</v>
      </c>
      <c r="S16" s="38">
        <f t="shared" si="2"/>
        <v>16.027200000000001</v>
      </c>
      <c r="T16" s="12"/>
      <c r="U16" s="13">
        <f t="shared" si="8"/>
        <v>0</v>
      </c>
      <c r="V16" s="49">
        <f t="shared" si="9"/>
        <v>159</v>
      </c>
      <c r="W16" s="50">
        <f t="shared" si="10"/>
        <v>16.027200000000001</v>
      </c>
    </row>
    <row r="17" spans="1:23" x14ac:dyDescent="0.25">
      <c r="A17" s="42" t="s">
        <v>14</v>
      </c>
      <c r="B17" s="34">
        <v>140</v>
      </c>
      <c r="C17" s="35">
        <v>240</v>
      </c>
      <c r="D17" s="35">
        <v>5</v>
      </c>
      <c r="E17" s="19">
        <f t="shared" si="3"/>
        <v>0.16800000000000001</v>
      </c>
      <c r="F17" s="23">
        <f>'EYLÜL 4. HAFTA'!V17</f>
        <v>0</v>
      </c>
      <c r="G17" s="26">
        <f t="shared" si="4"/>
        <v>0</v>
      </c>
      <c r="H17" s="22"/>
      <c r="I17" s="11">
        <f t="shared" si="5"/>
        <v>0</v>
      </c>
      <c r="J17" s="21">
        <v>0</v>
      </c>
      <c r="K17" s="10">
        <f t="shared" si="0"/>
        <v>0</v>
      </c>
      <c r="L17" s="21">
        <v>0</v>
      </c>
      <c r="M17" s="11">
        <f t="shared" si="1"/>
        <v>0</v>
      </c>
      <c r="N17" s="21">
        <v>0</v>
      </c>
      <c r="O17" s="10">
        <f t="shared" si="6"/>
        <v>0</v>
      </c>
      <c r="P17" s="21">
        <v>0</v>
      </c>
      <c r="Q17" s="11">
        <f t="shared" si="7"/>
        <v>0</v>
      </c>
      <c r="R17" s="39">
        <f t="shared" si="11"/>
        <v>0</v>
      </c>
      <c r="S17" s="38">
        <f t="shared" si="2"/>
        <v>0</v>
      </c>
      <c r="T17" s="12"/>
      <c r="U17" s="13">
        <f t="shared" si="8"/>
        <v>0</v>
      </c>
      <c r="V17" s="49">
        <f t="shared" si="9"/>
        <v>0</v>
      </c>
      <c r="W17" s="50">
        <f t="shared" si="10"/>
        <v>0</v>
      </c>
    </row>
    <row r="18" spans="1:23" x14ac:dyDescent="0.25">
      <c r="A18" s="42" t="s">
        <v>15</v>
      </c>
      <c r="B18" s="34">
        <v>140</v>
      </c>
      <c r="C18" s="35">
        <v>240</v>
      </c>
      <c r="D18" s="35">
        <v>3</v>
      </c>
      <c r="E18" s="19">
        <f t="shared" si="3"/>
        <v>0.1008</v>
      </c>
      <c r="F18" s="23">
        <f>'EYLÜL 4. HAFTA'!V18</f>
        <v>208</v>
      </c>
      <c r="G18" s="26">
        <f t="shared" si="4"/>
        <v>20.9664</v>
      </c>
      <c r="H18" s="22">
        <v>14</v>
      </c>
      <c r="I18" s="11">
        <f t="shared" si="5"/>
        <v>1.4112</v>
      </c>
      <c r="J18" s="21">
        <v>0</v>
      </c>
      <c r="K18" s="10">
        <f t="shared" si="0"/>
        <v>0</v>
      </c>
      <c r="L18" s="21">
        <v>0</v>
      </c>
      <c r="M18" s="11">
        <f t="shared" si="1"/>
        <v>0</v>
      </c>
      <c r="N18" s="21">
        <v>17</v>
      </c>
      <c r="O18" s="10">
        <f t="shared" si="6"/>
        <v>1.7136</v>
      </c>
      <c r="P18" s="21">
        <v>0</v>
      </c>
      <c r="Q18" s="11">
        <f t="shared" si="7"/>
        <v>0</v>
      </c>
      <c r="R18" s="39">
        <f t="shared" si="11"/>
        <v>177</v>
      </c>
      <c r="S18" s="38">
        <f t="shared" si="2"/>
        <v>17.8416</v>
      </c>
      <c r="T18" s="12"/>
      <c r="U18" s="13">
        <f t="shared" si="8"/>
        <v>0</v>
      </c>
      <c r="V18" s="49">
        <f t="shared" si="9"/>
        <v>177</v>
      </c>
      <c r="W18" s="50">
        <f t="shared" si="10"/>
        <v>17.8416</v>
      </c>
    </row>
    <row r="19" spans="1:23" x14ac:dyDescent="0.25">
      <c r="A19" s="42" t="s">
        <v>16</v>
      </c>
      <c r="B19" s="34">
        <v>140</v>
      </c>
      <c r="C19" s="35">
        <v>240</v>
      </c>
      <c r="D19" s="35">
        <v>8</v>
      </c>
      <c r="E19" s="19">
        <f t="shared" si="3"/>
        <v>0.26879999999999998</v>
      </c>
      <c r="F19" s="23">
        <f>'EYLÜL 4. HAFTA'!V19</f>
        <v>15</v>
      </c>
      <c r="G19" s="26">
        <f t="shared" si="4"/>
        <v>4.032</v>
      </c>
      <c r="H19" s="22"/>
      <c r="I19" s="11">
        <f t="shared" si="5"/>
        <v>0</v>
      </c>
      <c r="J19" s="21">
        <v>0</v>
      </c>
      <c r="K19" s="10">
        <f t="shared" si="0"/>
        <v>0</v>
      </c>
      <c r="L19" s="21">
        <v>0</v>
      </c>
      <c r="M19" s="11">
        <f t="shared" si="1"/>
        <v>0</v>
      </c>
      <c r="N19" s="21">
        <v>0</v>
      </c>
      <c r="O19" s="10">
        <f t="shared" si="6"/>
        <v>0</v>
      </c>
      <c r="P19" s="21">
        <v>0</v>
      </c>
      <c r="Q19" s="11">
        <f t="shared" si="7"/>
        <v>0</v>
      </c>
      <c r="R19" s="39">
        <f t="shared" si="11"/>
        <v>15</v>
      </c>
      <c r="S19" s="38">
        <f t="shared" si="2"/>
        <v>4.032</v>
      </c>
      <c r="T19" s="12"/>
      <c r="U19" s="13">
        <f t="shared" si="8"/>
        <v>0</v>
      </c>
      <c r="V19" s="49">
        <f t="shared" si="9"/>
        <v>15</v>
      </c>
      <c r="W19" s="50">
        <f t="shared" si="10"/>
        <v>4.032</v>
      </c>
    </row>
    <row r="20" spans="1:23" x14ac:dyDescent="0.25">
      <c r="A20" s="42" t="s">
        <v>17</v>
      </c>
      <c r="B20" s="34">
        <v>140</v>
      </c>
      <c r="C20" s="35">
        <v>240</v>
      </c>
      <c r="D20" s="35">
        <v>8</v>
      </c>
      <c r="E20" s="19">
        <f t="shared" si="3"/>
        <v>0.26879999999999998</v>
      </c>
      <c r="F20" s="23">
        <f>'EYLÜL 4. HAFTA'!V20</f>
        <v>0</v>
      </c>
      <c r="G20" s="26">
        <f t="shared" si="4"/>
        <v>0</v>
      </c>
      <c r="H20" s="22"/>
      <c r="I20" s="11">
        <f t="shared" si="5"/>
        <v>0</v>
      </c>
      <c r="J20" s="21">
        <v>0</v>
      </c>
      <c r="K20" s="10">
        <f t="shared" si="0"/>
        <v>0</v>
      </c>
      <c r="L20" s="21">
        <v>0</v>
      </c>
      <c r="M20" s="11">
        <f t="shared" si="1"/>
        <v>0</v>
      </c>
      <c r="N20" s="21">
        <v>0</v>
      </c>
      <c r="O20" s="10">
        <f t="shared" si="6"/>
        <v>0</v>
      </c>
      <c r="P20" s="21">
        <v>0</v>
      </c>
      <c r="Q20" s="11">
        <f t="shared" si="7"/>
        <v>0</v>
      </c>
      <c r="R20" s="39">
        <f t="shared" si="11"/>
        <v>0</v>
      </c>
      <c r="S20" s="38">
        <f t="shared" si="2"/>
        <v>0</v>
      </c>
      <c r="T20" s="12"/>
      <c r="U20" s="13">
        <f t="shared" si="8"/>
        <v>0</v>
      </c>
      <c r="V20" s="49">
        <f t="shared" si="9"/>
        <v>0</v>
      </c>
      <c r="W20" s="50">
        <f t="shared" si="10"/>
        <v>0</v>
      </c>
    </row>
    <row r="21" spans="1:23" x14ac:dyDescent="0.25">
      <c r="A21" s="42" t="s">
        <v>19</v>
      </c>
      <c r="B21" s="34">
        <v>77</v>
      </c>
      <c r="C21" s="35">
        <v>55</v>
      </c>
      <c r="D21" s="35">
        <v>8</v>
      </c>
      <c r="E21" s="19">
        <f t="shared" si="3"/>
        <v>3.388E-2</v>
      </c>
      <c r="F21" s="23">
        <f>'EYLÜL 4. HAFTA'!V21</f>
        <v>4</v>
      </c>
      <c r="G21" s="26">
        <f t="shared" si="4"/>
        <v>0.13552</v>
      </c>
      <c r="H21" s="22"/>
      <c r="I21" s="11">
        <f t="shared" si="5"/>
        <v>0</v>
      </c>
      <c r="J21" s="21">
        <v>0</v>
      </c>
      <c r="K21" s="10">
        <f t="shared" si="0"/>
        <v>0</v>
      </c>
      <c r="L21" s="21">
        <v>0</v>
      </c>
      <c r="M21" s="11">
        <f t="shared" si="1"/>
        <v>0</v>
      </c>
      <c r="N21" s="21">
        <v>0</v>
      </c>
      <c r="O21" s="10">
        <f t="shared" si="6"/>
        <v>0</v>
      </c>
      <c r="P21" s="21">
        <v>0</v>
      </c>
      <c r="Q21" s="11">
        <f t="shared" si="7"/>
        <v>0</v>
      </c>
      <c r="R21" s="39">
        <f t="shared" si="11"/>
        <v>4</v>
      </c>
      <c r="S21" s="38">
        <f t="shared" si="2"/>
        <v>0.13552</v>
      </c>
      <c r="T21" s="12"/>
      <c r="U21" s="13">
        <f t="shared" si="8"/>
        <v>0</v>
      </c>
      <c r="V21" s="49">
        <f t="shared" si="9"/>
        <v>4</v>
      </c>
      <c r="W21" s="50">
        <f t="shared" si="10"/>
        <v>0.13552</v>
      </c>
    </row>
    <row r="22" spans="1:23" x14ac:dyDescent="0.25">
      <c r="A22" s="42" t="s">
        <v>20</v>
      </c>
      <c r="B22" s="34">
        <v>65</v>
      </c>
      <c r="C22" s="35">
        <v>50</v>
      </c>
      <c r="D22" s="35">
        <v>12</v>
      </c>
      <c r="E22" s="19">
        <f t="shared" si="3"/>
        <v>3.9E-2</v>
      </c>
      <c r="F22" s="23">
        <f>'EYLÜL 4. HAFTA'!V22</f>
        <v>26</v>
      </c>
      <c r="G22" s="26">
        <f t="shared" si="4"/>
        <v>1.014</v>
      </c>
      <c r="H22" s="22"/>
      <c r="I22" s="11">
        <f t="shared" si="5"/>
        <v>0</v>
      </c>
      <c r="J22" s="21">
        <v>0</v>
      </c>
      <c r="K22" s="10">
        <f t="shared" si="0"/>
        <v>0</v>
      </c>
      <c r="L22" s="21">
        <v>0</v>
      </c>
      <c r="M22" s="11">
        <f t="shared" si="1"/>
        <v>0</v>
      </c>
      <c r="N22" s="21">
        <v>0</v>
      </c>
      <c r="O22" s="10">
        <f t="shared" si="6"/>
        <v>0</v>
      </c>
      <c r="P22" s="21">
        <v>0</v>
      </c>
      <c r="Q22" s="11">
        <f t="shared" si="7"/>
        <v>0</v>
      </c>
      <c r="R22" s="39">
        <f t="shared" si="11"/>
        <v>26</v>
      </c>
      <c r="S22" s="38">
        <f t="shared" si="2"/>
        <v>1.014</v>
      </c>
      <c r="T22" s="12"/>
      <c r="U22" s="13">
        <f t="shared" si="8"/>
        <v>0</v>
      </c>
      <c r="V22" s="49">
        <f t="shared" si="9"/>
        <v>26</v>
      </c>
      <c r="W22" s="50">
        <f t="shared" si="10"/>
        <v>1.014</v>
      </c>
    </row>
    <row r="23" spans="1:23" x14ac:dyDescent="0.25">
      <c r="A23" s="42" t="s">
        <v>21</v>
      </c>
      <c r="B23" s="34"/>
      <c r="C23" s="35"/>
      <c r="D23" s="35"/>
      <c r="E23" s="19">
        <f t="shared" si="3"/>
        <v>0</v>
      </c>
      <c r="F23" s="23">
        <f>'EYLÜL 4. HAFTA'!V23</f>
        <v>74</v>
      </c>
      <c r="G23" s="26">
        <f t="shared" si="4"/>
        <v>0</v>
      </c>
      <c r="H23" s="22"/>
      <c r="I23" s="11">
        <f t="shared" si="5"/>
        <v>0</v>
      </c>
      <c r="J23" s="21">
        <v>0</v>
      </c>
      <c r="K23" s="10">
        <f t="shared" si="0"/>
        <v>0</v>
      </c>
      <c r="L23" s="21">
        <v>0</v>
      </c>
      <c r="M23" s="11">
        <f t="shared" si="1"/>
        <v>0</v>
      </c>
      <c r="N23" s="21">
        <v>0</v>
      </c>
      <c r="O23" s="10">
        <f t="shared" si="6"/>
        <v>0</v>
      </c>
      <c r="P23" s="21">
        <v>0</v>
      </c>
      <c r="Q23" s="11">
        <f t="shared" si="7"/>
        <v>0</v>
      </c>
      <c r="R23" s="39">
        <f t="shared" si="11"/>
        <v>74</v>
      </c>
      <c r="S23" s="38">
        <f t="shared" si="2"/>
        <v>0</v>
      </c>
      <c r="T23" s="12"/>
      <c r="U23" s="13">
        <f t="shared" si="8"/>
        <v>0</v>
      </c>
      <c r="V23" s="49">
        <f t="shared" si="9"/>
        <v>74</v>
      </c>
      <c r="W23" s="50">
        <f t="shared" si="10"/>
        <v>0</v>
      </c>
    </row>
    <row r="24" spans="1:23" x14ac:dyDescent="0.25">
      <c r="A24" s="42" t="s">
        <v>22</v>
      </c>
      <c r="B24" s="34">
        <v>66</v>
      </c>
      <c r="C24" s="35">
        <v>56</v>
      </c>
      <c r="D24" s="35">
        <v>12</v>
      </c>
      <c r="E24" s="19">
        <f t="shared" si="3"/>
        <v>4.4352000000000003E-2</v>
      </c>
      <c r="F24" s="23">
        <f>'EYLÜL 4. HAFTA'!V24</f>
        <v>28</v>
      </c>
      <c r="G24" s="26">
        <f t="shared" si="4"/>
        <v>1.2418560000000001</v>
      </c>
      <c r="H24" s="22"/>
      <c r="I24" s="11">
        <f t="shared" si="5"/>
        <v>0</v>
      </c>
      <c r="J24" s="21">
        <v>0</v>
      </c>
      <c r="K24" s="10">
        <f t="shared" si="0"/>
        <v>0</v>
      </c>
      <c r="L24" s="21">
        <v>0</v>
      </c>
      <c r="M24" s="11">
        <f t="shared" si="1"/>
        <v>0</v>
      </c>
      <c r="N24" s="21">
        <v>0</v>
      </c>
      <c r="O24" s="10">
        <f t="shared" si="6"/>
        <v>0</v>
      </c>
      <c r="P24" s="21">
        <v>0</v>
      </c>
      <c r="Q24" s="11">
        <f t="shared" si="7"/>
        <v>0</v>
      </c>
      <c r="R24" s="39">
        <f t="shared" si="11"/>
        <v>28</v>
      </c>
      <c r="S24" s="38">
        <f t="shared" si="2"/>
        <v>1.2418560000000001</v>
      </c>
      <c r="T24" s="12"/>
      <c r="U24" s="13">
        <f t="shared" si="8"/>
        <v>0</v>
      </c>
      <c r="V24" s="49">
        <f t="shared" si="9"/>
        <v>28</v>
      </c>
      <c r="W24" s="50">
        <f t="shared" si="10"/>
        <v>1.2418560000000001</v>
      </c>
    </row>
    <row r="25" spans="1:23" x14ac:dyDescent="0.25">
      <c r="A25" s="42" t="s">
        <v>23</v>
      </c>
      <c r="B25" s="34">
        <v>61.5</v>
      </c>
      <c r="C25" s="35">
        <v>61.5</v>
      </c>
      <c r="D25" s="35">
        <v>10</v>
      </c>
      <c r="E25" s="19">
        <f t="shared" si="3"/>
        <v>3.7822500000000002E-2</v>
      </c>
      <c r="F25" s="23">
        <f>'EYLÜL 4. HAFTA'!V25</f>
        <v>48</v>
      </c>
      <c r="G25" s="26">
        <f t="shared" si="4"/>
        <v>1.81548</v>
      </c>
      <c r="H25" s="22"/>
      <c r="I25" s="11">
        <f t="shared" si="5"/>
        <v>0</v>
      </c>
      <c r="J25" s="21">
        <v>0</v>
      </c>
      <c r="K25" s="10">
        <f t="shared" si="0"/>
        <v>0</v>
      </c>
      <c r="L25" s="21">
        <v>0</v>
      </c>
      <c r="M25" s="11">
        <f t="shared" si="1"/>
        <v>0</v>
      </c>
      <c r="N25" s="21">
        <v>0</v>
      </c>
      <c r="O25" s="10">
        <f t="shared" si="6"/>
        <v>0</v>
      </c>
      <c r="P25" s="21">
        <v>0</v>
      </c>
      <c r="Q25" s="11">
        <f t="shared" si="7"/>
        <v>0</v>
      </c>
      <c r="R25" s="39">
        <f t="shared" si="11"/>
        <v>48</v>
      </c>
      <c r="S25" s="38">
        <f t="shared" si="2"/>
        <v>1.81548</v>
      </c>
      <c r="T25" s="12"/>
      <c r="U25" s="13">
        <f t="shared" si="8"/>
        <v>0</v>
      </c>
      <c r="V25" s="49">
        <f t="shared" si="9"/>
        <v>48</v>
      </c>
      <c r="W25" s="50">
        <f t="shared" si="10"/>
        <v>1.81548</v>
      </c>
    </row>
    <row r="26" spans="1:23" x14ac:dyDescent="0.25">
      <c r="A26" s="42" t="s">
        <v>24</v>
      </c>
      <c r="B26" s="34">
        <v>82</v>
      </c>
      <c r="C26" s="35">
        <v>67</v>
      </c>
      <c r="D26" s="35">
        <v>5</v>
      </c>
      <c r="E26" s="19">
        <f t="shared" si="3"/>
        <v>2.7470000000000001E-2</v>
      </c>
      <c r="F26" s="23">
        <f>'EYLÜL 4. HAFTA'!V26</f>
        <v>30</v>
      </c>
      <c r="G26" s="26">
        <f t="shared" si="4"/>
        <v>0.82410000000000005</v>
      </c>
      <c r="H26" s="22"/>
      <c r="I26" s="11">
        <f t="shared" si="5"/>
        <v>0</v>
      </c>
      <c r="J26" s="21">
        <v>0</v>
      </c>
      <c r="K26" s="10">
        <f t="shared" si="0"/>
        <v>0</v>
      </c>
      <c r="L26" s="21">
        <v>0</v>
      </c>
      <c r="M26" s="11">
        <f t="shared" si="1"/>
        <v>0</v>
      </c>
      <c r="N26" s="21">
        <v>0</v>
      </c>
      <c r="O26" s="10">
        <f t="shared" si="6"/>
        <v>0</v>
      </c>
      <c r="P26" s="21">
        <v>0</v>
      </c>
      <c r="Q26" s="11">
        <f t="shared" si="7"/>
        <v>0</v>
      </c>
      <c r="R26" s="39">
        <f t="shared" si="11"/>
        <v>30</v>
      </c>
      <c r="S26" s="38">
        <f t="shared" si="2"/>
        <v>0.82410000000000005</v>
      </c>
      <c r="T26" s="12"/>
      <c r="U26" s="13">
        <f t="shared" si="8"/>
        <v>0</v>
      </c>
      <c r="V26" s="49">
        <f t="shared" si="9"/>
        <v>30</v>
      </c>
      <c r="W26" s="50">
        <f t="shared" si="10"/>
        <v>0.82410000000000005</v>
      </c>
    </row>
    <row r="27" spans="1:23" x14ac:dyDescent="0.25">
      <c r="A27" s="42" t="s">
        <v>25</v>
      </c>
      <c r="B27" s="34">
        <v>80</v>
      </c>
      <c r="C27" s="35">
        <v>62</v>
      </c>
      <c r="D27" s="35">
        <v>2</v>
      </c>
      <c r="E27" s="19">
        <f t="shared" si="3"/>
        <v>9.92E-3</v>
      </c>
      <c r="F27" s="23">
        <f>'EYLÜL 4. HAFTA'!V27</f>
        <v>36</v>
      </c>
      <c r="G27" s="26">
        <f t="shared" si="4"/>
        <v>0.35711999999999999</v>
      </c>
      <c r="H27" s="22"/>
      <c r="I27" s="11">
        <f t="shared" si="5"/>
        <v>0</v>
      </c>
      <c r="J27" s="21">
        <v>0</v>
      </c>
      <c r="K27" s="10">
        <f t="shared" si="0"/>
        <v>0</v>
      </c>
      <c r="L27" s="21">
        <v>0</v>
      </c>
      <c r="M27" s="11">
        <f t="shared" si="1"/>
        <v>0</v>
      </c>
      <c r="N27" s="21">
        <v>0</v>
      </c>
      <c r="O27" s="10">
        <f t="shared" si="6"/>
        <v>0</v>
      </c>
      <c r="P27" s="21">
        <v>0</v>
      </c>
      <c r="Q27" s="11">
        <f t="shared" si="7"/>
        <v>0</v>
      </c>
      <c r="R27" s="39">
        <f t="shared" si="11"/>
        <v>36</v>
      </c>
      <c r="S27" s="38">
        <f t="shared" si="2"/>
        <v>0.35711999999999999</v>
      </c>
      <c r="T27" s="12"/>
      <c r="U27" s="13">
        <f t="shared" si="8"/>
        <v>0</v>
      </c>
      <c r="V27" s="49">
        <f t="shared" si="9"/>
        <v>36</v>
      </c>
      <c r="W27" s="50">
        <f t="shared" si="10"/>
        <v>0.35711999999999999</v>
      </c>
    </row>
    <row r="28" spans="1:23" x14ac:dyDescent="0.25">
      <c r="A28" s="42" t="s">
        <v>26</v>
      </c>
      <c r="B28" s="34">
        <v>63</v>
      </c>
      <c r="C28" s="35">
        <v>55</v>
      </c>
      <c r="D28" s="35">
        <v>5</v>
      </c>
      <c r="E28" s="19">
        <f t="shared" si="3"/>
        <v>1.7325E-2</v>
      </c>
      <c r="F28" s="23">
        <f>'EYLÜL 4. HAFTA'!V28</f>
        <v>19</v>
      </c>
      <c r="G28" s="26">
        <f t="shared" si="4"/>
        <v>0.329175</v>
      </c>
      <c r="H28" s="22"/>
      <c r="I28" s="11">
        <f t="shared" si="5"/>
        <v>0</v>
      </c>
      <c r="J28" s="21">
        <v>0</v>
      </c>
      <c r="K28" s="10">
        <f t="shared" si="0"/>
        <v>0</v>
      </c>
      <c r="L28" s="21">
        <v>0</v>
      </c>
      <c r="M28" s="11">
        <f t="shared" si="1"/>
        <v>0</v>
      </c>
      <c r="N28" s="21">
        <v>0</v>
      </c>
      <c r="O28" s="10">
        <f t="shared" si="6"/>
        <v>0</v>
      </c>
      <c r="P28" s="21">
        <v>0</v>
      </c>
      <c r="Q28" s="11">
        <f t="shared" si="7"/>
        <v>0</v>
      </c>
      <c r="R28" s="39">
        <f t="shared" si="11"/>
        <v>19</v>
      </c>
      <c r="S28" s="38">
        <f t="shared" si="2"/>
        <v>0.329175</v>
      </c>
      <c r="T28" s="12"/>
      <c r="U28" s="13">
        <f t="shared" si="8"/>
        <v>0</v>
      </c>
      <c r="V28" s="49">
        <f t="shared" si="9"/>
        <v>19</v>
      </c>
      <c r="W28" s="50">
        <f t="shared" si="10"/>
        <v>0.329175</v>
      </c>
    </row>
    <row r="29" spans="1:23" x14ac:dyDescent="0.25">
      <c r="A29" s="42" t="s">
        <v>27</v>
      </c>
      <c r="B29" s="34">
        <v>140</v>
      </c>
      <c r="C29" s="35">
        <v>240</v>
      </c>
      <c r="D29" s="35">
        <v>5</v>
      </c>
      <c r="E29" s="19">
        <f t="shared" si="3"/>
        <v>0.16800000000000001</v>
      </c>
      <c r="F29" s="23">
        <f>'EYLÜL 4. HAFTA'!V29</f>
        <v>6</v>
      </c>
      <c r="G29" s="26">
        <f t="shared" si="4"/>
        <v>1.008</v>
      </c>
      <c r="H29" s="22"/>
      <c r="I29" s="11">
        <f t="shared" si="5"/>
        <v>0</v>
      </c>
      <c r="J29" s="21">
        <v>0</v>
      </c>
      <c r="K29" s="10">
        <f t="shared" si="0"/>
        <v>0</v>
      </c>
      <c r="L29" s="21">
        <v>0</v>
      </c>
      <c r="M29" s="11">
        <f t="shared" si="1"/>
        <v>0</v>
      </c>
      <c r="N29" s="21">
        <v>0</v>
      </c>
      <c r="O29" s="10">
        <f t="shared" si="6"/>
        <v>0</v>
      </c>
      <c r="P29" s="21">
        <v>0</v>
      </c>
      <c r="Q29" s="11">
        <f t="shared" si="7"/>
        <v>0</v>
      </c>
      <c r="R29" s="39">
        <f t="shared" si="11"/>
        <v>6</v>
      </c>
      <c r="S29" s="38">
        <f t="shared" si="2"/>
        <v>1.008</v>
      </c>
      <c r="T29" s="12"/>
      <c r="U29" s="13">
        <f t="shared" si="8"/>
        <v>0</v>
      </c>
      <c r="V29" s="49">
        <f t="shared" si="9"/>
        <v>6</v>
      </c>
      <c r="W29" s="50">
        <f t="shared" si="10"/>
        <v>1.008</v>
      </c>
    </row>
    <row r="30" spans="1:23" x14ac:dyDescent="0.25">
      <c r="A30" s="42" t="s">
        <v>28</v>
      </c>
      <c r="B30" s="34">
        <v>140</v>
      </c>
      <c r="C30" s="35">
        <v>240</v>
      </c>
      <c r="D30" s="35">
        <v>10</v>
      </c>
      <c r="E30" s="19">
        <f t="shared" si="3"/>
        <v>0.33600000000000002</v>
      </c>
      <c r="F30" s="23">
        <f>'EYLÜL 4. HAFTA'!V30</f>
        <v>11</v>
      </c>
      <c r="G30" s="26">
        <f t="shared" si="4"/>
        <v>3.6960000000000002</v>
      </c>
      <c r="H30" s="22"/>
      <c r="I30" s="11">
        <f t="shared" si="5"/>
        <v>0</v>
      </c>
      <c r="J30" s="21">
        <v>0</v>
      </c>
      <c r="K30" s="10">
        <f t="shared" si="0"/>
        <v>0</v>
      </c>
      <c r="L30" s="21">
        <v>0</v>
      </c>
      <c r="M30" s="11">
        <f t="shared" si="1"/>
        <v>0</v>
      </c>
      <c r="N30" s="21">
        <v>0</v>
      </c>
      <c r="O30" s="10">
        <f t="shared" si="6"/>
        <v>0</v>
      </c>
      <c r="P30" s="21">
        <v>0</v>
      </c>
      <c r="Q30" s="11">
        <f t="shared" si="7"/>
        <v>0</v>
      </c>
      <c r="R30" s="39">
        <f t="shared" si="11"/>
        <v>11</v>
      </c>
      <c r="S30" s="38">
        <f t="shared" si="2"/>
        <v>3.6960000000000002</v>
      </c>
      <c r="T30" s="12"/>
      <c r="U30" s="13">
        <f t="shared" si="8"/>
        <v>0</v>
      </c>
      <c r="V30" s="49">
        <f t="shared" si="9"/>
        <v>11</v>
      </c>
      <c r="W30" s="50">
        <f t="shared" si="10"/>
        <v>3.6960000000000002</v>
      </c>
    </row>
    <row r="31" spans="1:23" x14ac:dyDescent="0.25">
      <c r="A31" s="42" t="s">
        <v>29</v>
      </c>
      <c r="B31" s="34">
        <v>140</v>
      </c>
      <c r="C31" s="35">
        <v>240</v>
      </c>
      <c r="D31" s="35">
        <v>3</v>
      </c>
      <c r="E31" s="19">
        <f t="shared" si="3"/>
        <v>0.1008</v>
      </c>
      <c r="F31" s="23">
        <f>'EYLÜL 4. HAFTA'!V31</f>
        <v>38</v>
      </c>
      <c r="G31" s="26">
        <f t="shared" si="4"/>
        <v>3.8304</v>
      </c>
      <c r="H31" s="22"/>
      <c r="I31" s="11">
        <f t="shared" si="5"/>
        <v>0</v>
      </c>
      <c r="J31" s="21">
        <v>12</v>
      </c>
      <c r="K31" s="10">
        <f t="shared" si="0"/>
        <v>1.2096</v>
      </c>
      <c r="L31" s="21">
        <v>0</v>
      </c>
      <c r="M31" s="11">
        <f t="shared" si="1"/>
        <v>0</v>
      </c>
      <c r="N31" s="21">
        <v>0</v>
      </c>
      <c r="O31" s="10">
        <f t="shared" si="6"/>
        <v>0</v>
      </c>
      <c r="P31" s="21">
        <v>0</v>
      </c>
      <c r="Q31" s="11">
        <f t="shared" si="7"/>
        <v>0</v>
      </c>
      <c r="R31" s="39">
        <f t="shared" si="11"/>
        <v>26</v>
      </c>
      <c r="S31" s="38">
        <f t="shared" si="2"/>
        <v>2.6208</v>
      </c>
      <c r="T31" s="12"/>
      <c r="U31" s="13">
        <f t="shared" si="8"/>
        <v>0</v>
      </c>
      <c r="V31" s="49">
        <f t="shared" si="9"/>
        <v>26</v>
      </c>
      <c r="W31" s="50">
        <f t="shared" si="10"/>
        <v>2.6208</v>
      </c>
    </row>
    <row r="32" spans="1:23" x14ac:dyDescent="0.25">
      <c r="A32" s="42" t="s">
        <v>30</v>
      </c>
      <c r="B32" s="34">
        <v>90</v>
      </c>
      <c r="C32" s="35">
        <v>80</v>
      </c>
      <c r="D32" s="35">
        <v>8</v>
      </c>
      <c r="E32" s="19">
        <f t="shared" si="3"/>
        <v>5.7599999999999998E-2</v>
      </c>
      <c r="F32" s="23">
        <f>'EYLÜL 4. HAFTA'!V32</f>
        <v>24</v>
      </c>
      <c r="G32" s="26">
        <f t="shared" si="4"/>
        <v>1.3824000000000001</v>
      </c>
      <c r="H32" s="22"/>
      <c r="I32" s="11">
        <f t="shared" si="5"/>
        <v>0</v>
      </c>
      <c r="J32" s="21">
        <v>0</v>
      </c>
      <c r="K32" s="10">
        <f t="shared" si="0"/>
        <v>0</v>
      </c>
      <c r="L32" s="21">
        <v>0</v>
      </c>
      <c r="M32" s="11">
        <f t="shared" si="1"/>
        <v>0</v>
      </c>
      <c r="N32" s="21">
        <v>0</v>
      </c>
      <c r="O32" s="10">
        <f t="shared" si="6"/>
        <v>0</v>
      </c>
      <c r="P32" s="21">
        <v>0</v>
      </c>
      <c r="Q32" s="11">
        <f t="shared" si="7"/>
        <v>0</v>
      </c>
      <c r="R32" s="39">
        <f t="shared" si="11"/>
        <v>24</v>
      </c>
      <c r="S32" s="38">
        <f t="shared" si="2"/>
        <v>1.3824000000000001</v>
      </c>
      <c r="T32" s="12"/>
      <c r="U32" s="13">
        <f t="shared" si="8"/>
        <v>0</v>
      </c>
      <c r="V32" s="49">
        <f t="shared" si="9"/>
        <v>24</v>
      </c>
      <c r="W32" s="50">
        <f t="shared" si="10"/>
        <v>1.3824000000000001</v>
      </c>
    </row>
    <row r="33" spans="1:23" x14ac:dyDescent="0.25">
      <c r="A33" s="42" t="s">
        <v>31</v>
      </c>
      <c r="B33" s="34">
        <v>90</v>
      </c>
      <c r="C33" s="35">
        <v>80</v>
      </c>
      <c r="D33" s="35">
        <v>8</v>
      </c>
      <c r="E33" s="19">
        <f t="shared" si="3"/>
        <v>5.7599999999999998E-2</v>
      </c>
      <c r="F33" s="23">
        <f>'EYLÜL 4. HAFTA'!V33</f>
        <v>0</v>
      </c>
      <c r="G33" s="26">
        <f t="shared" si="4"/>
        <v>0</v>
      </c>
      <c r="H33" s="22"/>
      <c r="I33" s="11">
        <f t="shared" si="5"/>
        <v>0</v>
      </c>
      <c r="J33" s="21">
        <v>0</v>
      </c>
      <c r="K33" s="10">
        <f t="shared" si="0"/>
        <v>0</v>
      </c>
      <c r="L33" s="21">
        <v>0</v>
      </c>
      <c r="M33" s="11">
        <f t="shared" si="1"/>
        <v>0</v>
      </c>
      <c r="N33" s="21">
        <v>0</v>
      </c>
      <c r="O33" s="10">
        <f t="shared" si="6"/>
        <v>0</v>
      </c>
      <c r="P33" s="21">
        <v>0</v>
      </c>
      <c r="Q33" s="11">
        <f t="shared" si="7"/>
        <v>0</v>
      </c>
      <c r="R33" s="39">
        <f t="shared" si="11"/>
        <v>0</v>
      </c>
      <c r="S33" s="38">
        <f t="shared" si="2"/>
        <v>0</v>
      </c>
      <c r="T33" s="12"/>
      <c r="U33" s="13">
        <f t="shared" si="8"/>
        <v>0</v>
      </c>
      <c r="V33" s="49">
        <f t="shared" si="9"/>
        <v>0</v>
      </c>
      <c r="W33" s="50">
        <f t="shared" si="10"/>
        <v>0</v>
      </c>
    </row>
    <row r="34" spans="1:23" x14ac:dyDescent="0.25">
      <c r="A34" s="42" t="s">
        <v>32</v>
      </c>
      <c r="B34" s="34"/>
      <c r="C34" s="35"/>
      <c r="D34" s="35"/>
      <c r="E34" s="19">
        <f t="shared" si="3"/>
        <v>0</v>
      </c>
      <c r="F34" s="23">
        <f>'EYLÜL 4. HAFTA'!V34</f>
        <v>300</v>
      </c>
      <c r="G34" s="26">
        <f t="shared" si="4"/>
        <v>0</v>
      </c>
      <c r="H34" s="22"/>
      <c r="I34" s="11">
        <f t="shared" si="5"/>
        <v>0</v>
      </c>
      <c r="J34" s="21">
        <v>0</v>
      </c>
      <c r="K34" s="10">
        <f t="shared" si="0"/>
        <v>0</v>
      </c>
      <c r="L34" s="21">
        <v>0</v>
      </c>
      <c r="M34" s="11">
        <f t="shared" si="1"/>
        <v>0</v>
      </c>
      <c r="N34" s="21">
        <v>0</v>
      </c>
      <c r="O34" s="10">
        <f t="shared" si="6"/>
        <v>0</v>
      </c>
      <c r="P34" s="21">
        <v>0</v>
      </c>
      <c r="Q34" s="11">
        <f t="shared" si="7"/>
        <v>0</v>
      </c>
      <c r="R34" s="39">
        <f t="shared" si="11"/>
        <v>300</v>
      </c>
      <c r="S34" s="38">
        <f t="shared" si="2"/>
        <v>0</v>
      </c>
      <c r="T34" s="12"/>
      <c r="U34" s="13">
        <f t="shared" si="8"/>
        <v>0</v>
      </c>
      <c r="V34" s="49">
        <f t="shared" si="9"/>
        <v>300</v>
      </c>
      <c r="W34" s="50">
        <f t="shared" si="10"/>
        <v>0</v>
      </c>
    </row>
    <row r="35" spans="1:23" x14ac:dyDescent="0.25">
      <c r="A35" s="42" t="s">
        <v>33</v>
      </c>
      <c r="B35" s="34">
        <v>80</v>
      </c>
      <c r="C35" s="35">
        <v>66</v>
      </c>
      <c r="D35" s="35">
        <v>5</v>
      </c>
      <c r="E35" s="19">
        <f t="shared" si="3"/>
        <v>2.64E-2</v>
      </c>
      <c r="F35" s="23">
        <f>'EYLÜL 4. HAFTA'!V35</f>
        <v>56</v>
      </c>
      <c r="G35" s="26">
        <f t="shared" si="4"/>
        <v>1.4783999999999999</v>
      </c>
      <c r="H35" s="22"/>
      <c r="I35" s="11">
        <f t="shared" si="5"/>
        <v>0</v>
      </c>
      <c r="J35" s="21">
        <v>0</v>
      </c>
      <c r="K35" s="10">
        <f t="shared" si="0"/>
        <v>0</v>
      </c>
      <c r="L35" s="21">
        <v>0</v>
      </c>
      <c r="M35" s="11">
        <f t="shared" si="1"/>
        <v>0</v>
      </c>
      <c r="N35" s="21">
        <v>0</v>
      </c>
      <c r="O35" s="10">
        <f t="shared" si="6"/>
        <v>0</v>
      </c>
      <c r="P35" s="21">
        <v>0</v>
      </c>
      <c r="Q35" s="11">
        <f t="shared" si="7"/>
        <v>0</v>
      </c>
      <c r="R35" s="39">
        <f t="shared" si="11"/>
        <v>56</v>
      </c>
      <c r="S35" s="38">
        <f t="shared" si="2"/>
        <v>1.4783999999999999</v>
      </c>
      <c r="T35" s="12"/>
      <c r="U35" s="13">
        <f t="shared" si="8"/>
        <v>0</v>
      </c>
      <c r="V35" s="49">
        <f t="shared" si="9"/>
        <v>56</v>
      </c>
      <c r="W35" s="50">
        <f t="shared" si="10"/>
        <v>1.4783999999999999</v>
      </c>
    </row>
    <row r="36" spans="1:23" x14ac:dyDescent="0.25">
      <c r="A36" s="42" t="s">
        <v>34</v>
      </c>
      <c r="B36" s="34">
        <v>60</v>
      </c>
      <c r="C36" s="35">
        <v>62</v>
      </c>
      <c r="D36" s="35">
        <v>5</v>
      </c>
      <c r="E36" s="19">
        <f t="shared" si="3"/>
        <v>1.8599999999999998E-2</v>
      </c>
      <c r="F36" s="23">
        <f>'EYLÜL 4. HAFTA'!V36</f>
        <v>17</v>
      </c>
      <c r="G36" s="26">
        <f t="shared" si="4"/>
        <v>0.31619999999999998</v>
      </c>
      <c r="H36" s="22"/>
      <c r="I36" s="11">
        <f t="shared" si="5"/>
        <v>0</v>
      </c>
      <c r="J36" s="21">
        <v>0</v>
      </c>
      <c r="K36" s="10">
        <f t="shared" si="0"/>
        <v>0</v>
      </c>
      <c r="L36" s="21">
        <v>0</v>
      </c>
      <c r="M36" s="11">
        <f t="shared" si="1"/>
        <v>0</v>
      </c>
      <c r="N36" s="21">
        <v>8</v>
      </c>
      <c r="O36" s="10">
        <f t="shared" si="6"/>
        <v>0.14879999999999999</v>
      </c>
      <c r="P36" s="21">
        <v>0</v>
      </c>
      <c r="Q36" s="11">
        <f t="shared" si="7"/>
        <v>0</v>
      </c>
      <c r="R36" s="39">
        <f t="shared" si="11"/>
        <v>9</v>
      </c>
      <c r="S36" s="38">
        <f t="shared" si="2"/>
        <v>0.16739999999999999</v>
      </c>
      <c r="T36" s="12"/>
      <c r="U36" s="13">
        <f t="shared" si="8"/>
        <v>0</v>
      </c>
      <c r="V36" s="49">
        <f t="shared" si="9"/>
        <v>9</v>
      </c>
      <c r="W36" s="50">
        <f t="shared" si="10"/>
        <v>0.16739999999999999</v>
      </c>
    </row>
    <row r="37" spans="1:23" x14ac:dyDescent="0.25">
      <c r="A37" s="42" t="s">
        <v>41</v>
      </c>
      <c r="B37" s="34">
        <v>60</v>
      </c>
      <c r="C37" s="35">
        <v>67</v>
      </c>
      <c r="D37" s="35">
        <v>3</v>
      </c>
      <c r="E37" s="19">
        <f t="shared" si="3"/>
        <v>1.206E-2</v>
      </c>
      <c r="F37" s="23">
        <f>'EYLÜL 4. HAFTA'!V37</f>
        <v>12</v>
      </c>
      <c r="G37" s="26">
        <f t="shared" si="4"/>
        <v>0.14471999999999999</v>
      </c>
      <c r="H37" s="22"/>
      <c r="I37" s="11">
        <f t="shared" si="5"/>
        <v>0</v>
      </c>
      <c r="J37" s="21">
        <v>0</v>
      </c>
      <c r="K37" s="10">
        <f t="shared" si="0"/>
        <v>0</v>
      </c>
      <c r="L37" s="21">
        <v>0</v>
      </c>
      <c r="M37" s="11">
        <f t="shared" si="1"/>
        <v>0</v>
      </c>
      <c r="N37" s="21">
        <v>0</v>
      </c>
      <c r="O37" s="10">
        <f t="shared" si="6"/>
        <v>0</v>
      </c>
      <c r="P37" s="21">
        <v>0</v>
      </c>
      <c r="Q37" s="11">
        <f t="shared" si="7"/>
        <v>0</v>
      </c>
      <c r="R37" s="39">
        <f t="shared" si="11"/>
        <v>12</v>
      </c>
      <c r="S37" s="38">
        <f t="shared" si="2"/>
        <v>0.14471999999999999</v>
      </c>
      <c r="T37" s="12"/>
      <c r="U37" s="13">
        <f t="shared" si="8"/>
        <v>0</v>
      </c>
      <c r="V37" s="49">
        <f t="shared" si="9"/>
        <v>12</v>
      </c>
      <c r="W37" s="50">
        <f t="shared" si="10"/>
        <v>0.14471999999999999</v>
      </c>
    </row>
    <row r="38" spans="1:23" x14ac:dyDescent="0.25">
      <c r="A38" s="42" t="s">
        <v>35</v>
      </c>
      <c r="B38" s="34">
        <v>140</v>
      </c>
      <c r="C38" s="35">
        <v>240</v>
      </c>
      <c r="D38" s="35">
        <v>7</v>
      </c>
      <c r="E38" s="19">
        <f t="shared" si="3"/>
        <v>0.23519999999999999</v>
      </c>
      <c r="F38" s="23">
        <f>'EYLÜL 4. HAFTA'!V38</f>
        <v>4</v>
      </c>
      <c r="G38" s="26">
        <f t="shared" si="4"/>
        <v>0.94079999999999997</v>
      </c>
      <c r="H38" s="22"/>
      <c r="I38" s="11">
        <f t="shared" si="5"/>
        <v>0</v>
      </c>
      <c r="J38" s="21">
        <v>0</v>
      </c>
      <c r="K38" s="10">
        <f t="shared" si="0"/>
        <v>0</v>
      </c>
      <c r="L38" s="21">
        <v>0</v>
      </c>
      <c r="M38" s="11">
        <f t="shared" si="1"/>
        <v>0</v>
      </c>
      <c r="N38" s="21">
        <v>0</v>
      </c>
      <c r="O38" s="10">
        <f t="shared" si="6"/>
        <v>0</v>
      </c>
      <c r="P38" s="21">
        <v>0</v>
      </c>
      <c r="Q38" s="11">
        <f t="shared" si="7"/>
        <v>0</v>
      </c>
      <c r="R38" s="39">
        <f t="shared" si="11"/>
        <v>4</v>
      </c>
      <c r="S38" s="38">
        <f t="shared" si="2"/>
        <v>0.94079999999999997</v>
      </c>
      <c r="T38" s="12"/>
      <c r="U38" s="13">
        <f t="shared" si="8"/>
        <v>0</v>
      </c>
      <c r="V38" s="49">
        <f t="shared" si="9"/>
        <v>4</v>
      </c>
      <c r="W38" s="50">
        <f t="shared" si="10"/>
        <v>0.94079999999999997</v>
      </c>
    </row>
    <row r="39" spans="1:23" x14ac:dyDescent="0.25">
      <c r="A39" s="42" t="s">
        <v>36</v>
      </c>
      <c r="B39" s="34">
        <v>60</v>
      </c>
      <c r="C39" s="35">
        <v>56</v>
      </c>
      <c r="D39" s="35">
        <v>10</v>
      </c>
      <c r="E39" s="19">
        <f t="shared" si="3"/>
        <v>3.3599999999999998E-2</v>
      </c>
      <c r="F39" s="23">
        <f>'EYLÜL 4. HAFTA'!V39</f>
        <v>30</v>
      </c>
      <c r="G39" s="26">
        <f t="shared" si="4"/>
        <v>1.008</v>
      </c>
      <c r="H39" s="22"/>
      <c r="I39" s="11">
        <f t="shared" si="5"/>
        <v>0</v>
      </c>
      <c r="J39" s="21">
        <v>0</v>
      </c>
      <c r="K39" s="10">
        <f t="shared" si="0"/>
        <v>0</v>
      </c>
      <c r="L39" s="21">
        <v>0</v>
      </c>
      <c r="M39" s="11">
        <f t="shared" si="1"/>
        <v>0</v>
      </c>
      <c r="N39" s="21">
        <v>0</v>
      </c>
      <c r="O39" s="10">
        <f t="shared" si="6"/>
        <v>0</v>
      </c>
      <c r="P39" s="21">
        <v>0</v>
      </c>
      <c r="Q39" s="11">
        <f t="shared" si="7"/>
        <v>0</v>
      </c>
      <c r="R39" s="39">
        <f t="shared" si="11"/>
        <v>30</v>
      </c>
      <c r="S39" s="38">
        <f t="shared" si="2"/>
        <v>1.008</v>
      </c>
      <c r="T39" s="12"/>
      <c r="U39" s="13">
        <f t="shared" si="8"/>
        <v>0</v>
      </c>
      <c r="V39" s="49">
        <f t="shared" si="9"/>
        <v>30</v>
      </c>
      <c r="W39" s="50">
        <f t="shared" si="10"/>
        <v>1.008</v>
      </c>
    </row>
    <row r="40" spans="1:23" x14ac:dyDescent="0.25">
      <c r="A40" s="42" t="s">
        <v>37</v>
      </c>
      <c r="B40" s="34">
        <v>58</v>
      </c>
      <c r="C40" s="35">
        <v>55</v>
      </c>
      <c r="D40" s="35">
        <v>10</v>
      </c>
      <c r="E40" s="19">
        <f t="shared" si="3"/>
        <v>3.1899999999999998E-2</v>
      </c>
      <c r="F40" s="23">
        <f>'EYLÜL 4. HAFTA'!V40</f>
        <v>66</v>
      </c>
      <c r="G40" s="26">
        <f t="shared" si="4"/>
        <v>2.1053999999999999</v>
      </c>
      <c r="H40" s="22"/>
      <c r="I40" s="11">
        <f t="shared" si="5"/>
        <v>0</v>
      </c>
      <c r="J40" s="21">
        <v>0</v>
      </c>
      <c r="K40" s="10">
        <f t="shared" si="0"/>
        <v>0</v>
      </c>
      <c r="L40" s="21">
        <v>0</v>
      </c>
      <c r="M40" s="11">
        <f t="shared" si="1"/>
        <v>0</v>
      </c>
      <c r="N40" s="21">
        <v>0</v>
      </c>
      <c r="O40" s="10">
        <f t="shared" si="6"/>
        <v>0</v>
      </c>
      <c r="P40" s="21">
        <v>0</v>
      </c>
      <c r="Q40" s="11">
        <f t="shared" si="7"/>
        <v>0</v>
      </c>
      <c r="R40" s="39">
        <f t="shared" si="11"/>
        <v>66</v>
      </c>
      <c r="S40" s="38">
        <f t="shared" si="2"/>
        <v>2.1053999999999999</v>
      </c>
      <c r="T40" s="12"/>
      <c r="U40" s="13">
        <f t="shared" si="8"/>
        <v>0</v>
      </c>
      <c r="V40" s="49">
        <f t="shared" si="9"/>
        <v>66</v>
      </c>
      <c r="W40" s="50">
        <f t="shared" si="10"/>
        <v>2.1053999999999999</v>
      </c>
    </row>
    <row r="41" spans="1:23" x14ac:dyDescent="0.25">
      <c r="A41" s="42" t="s">
        <v>38</v>
      </c>
      <c r="B41" s="34">
        <v>63</v>
      </c>
      <c r="C41" s="35">
        <v>55</v>
      </c>
      <c r="D41" s="35">
        <v>5</v>
      </c>
      <c r="E41" s="19">
        <f t="shared" si="3"/>
        <v>1.7325E-2</v>
      </c>
      <c r="F41" s="23">
        <f>'EYLÜL 4. HAFTA'!V41</f>
        <v>10</v>
      </c>
      <c r="G41" s="26">
        <f t="shared" si="4"/>
        <v>0.17325000000000002</v>
      </c>
      <c r="H41" s="22"/>
      <c r="I41" s="11">
        <f t="shared" si="5"/>
        <v>0</v>
      </c>
      <c r="J41" s="21">
        <v>0</v>
      </c>
      <c r="K41" s="10">
        <f t="shared" si="0"/>
        <v>0</v>
      </c>
      <c r="L41" s="21">
        <v>0</v>
      </c>
      <c r="M41" s="11">
        <f t="shared" si="1"/>
        <v>0</v>
      </c>
      <c r="N41" s="21">
        <v>0</v>
      </c>
      <c r="O41" s="10">
        <f t="shared" si="6"/>
        <v>0</v>
      </c>
      <c r="P41" s="21">
        <v>0</v>
      </c>
      <c r="Q41" s="11">
        <f t="shared" si="7"/>
        <v>0</v>
      </c>
      <c r="R41" s="39">
        <f t="shared" si="11"/>
        <v>10</v>
      </c>
      <c r="S41" s="38">
        <f t="shared" si="2"/>
        <v>0.17325000000000002</v>
      </c>
      <c r="T41" s="12"/>
      <c r="U41" s="13">
        <f t="shared" si="8"/>
        <v>0</v>
      </c>
      <c r="V41" s="49">
        <f t="shared" si="9"/>
        <v>10</v>
      </c>
      <c r="W41" s="50">
        <f t="shared" si="10"/>
        <v>0.17325000000000002</v>
      </c>
    </row>
    <row r="42" spans="1:23" x14ac:dyDescent="0.25">
      <c r="A42" s="42" t="s">
        <v>39</v>
      </c>
      <c r="B42" s="34">
        <v>52</v>
      </c>
      <c r="C42" s="35">
        <v>52</v>
      </c>
      <c r="D42" s="35">
        <v>5</v>
      </c>
      <c r="E42" s="19">
        <f t="shared" si="3"/>
        <v>1.3520000000000001E-2</v>
      </c>
      <c r="F42" s="23">
        <f>'EYLÜL 4. HAFTA'!V42</f>
        <v>113</v>
      </c>
      <c r="G42" s="26">
        <f t="shared" si="4"/>
        <v>1.52776</v>
      </c>
      <c r="H42" s="22">
        <v>13</v>
      </c>
      <c r="I42" s="11">
        <f t="shared" si="5"/>
        <v>0.17576</v>
      </c>
      <c r="J42" s="21">
        <v>0</v>
      </c>
      <c r="K42" s="10">
        <f t="shared" si="0"/>
        <v>0</v>
      </c>
      <c r="L42" s="21">
        <v>40</v>
      </c>
      <c r="M42" s="11">
        <f t="shared" si="1"/>
        <v>0.54080000000000006</v>
      </c>
      <c r="N42" s="21">
        <v>0</v>
      </c>
      <c r="O42" s="10">
        <f t="shared" si="6"/>
        <v>0</v>
      </c>
      <c r="P42" s="21">
        <v>0</v>
      </c>
      <c r="Q42" s="11">
        <f t="shared" si="7"/>
        <v>0</v>
      </c>
      <c r="R42" s="39">
        <f t="shared" si="11"/>
        <v>60</v>
      </c>
      <c r="S42" s="38">
        <f t="shared" si="2"/>
        <v>0.81120000000000003</v>
      </c>
      <c r="T42" s="12"/>
      <c r="U42" s="13">
        <f t="shared" si="8"/>
        <v>0</v>
      </c>
      <c r="V42" s="49">
        <f t="shared" si="9"/>
        <v>60</v>
      </c>
      <c r="W42" s="50">
        <f t="shared" si="10"/>
        <v>0.81120000000000003</v>
      </c>
    </row>
    <row r="43" spans="1:23" x14ac:dyDescent="0.25">
      <c r="A43" s="42" t="s">
        <v>40</v>
      </c>
      <c r="B43" s="34">
        <v>80</v>
      </c>
      <c r="C43" s="35">
        <v>70</v>
      </c>
      <c r="D43" s="35">
        <v>8</v>
      </c>
      <c r="E43" s="19">
        <f t="shared" si="3"/>
        <v>4.48E-2</v>
      </c>
      <c r="F43" s="23">
        <f>'EYLÜL 4. HAFTA'!V43</f>
        <v>396</v>
      </c>
      <c r="G43" s="26">
        <f t="shared" si="4"/>
        <v>17.7408</v>
      </c>
      <c r="H43" s="22">
        <v>10</v>
      </c>
      <c r="I43" s="11">
        <f t="shared" si="5"/>
        <v>0.44800000000000001</v>
      </c>
      <c r="J43" s="21">
        <v>0</v>
      </c>
      <c r="K43" s="10">
        <f t="shared" si="0"/>
        <v>0</v>
      </c>
      <c r="L43" s="21">
        <v>0</v>
      </c>
      <c r="M43" s="11">
        <f t="shared" si="1"/>
        <v>0</v>
      </c>
      <c r="N43" s="21">
        <v>0</v>
      </c>
      <c r="O43" s="10">
        <f t="shared" si="6"/>
        <v>0</v>
      </c>
      <c r="P43" s="21">
        <v>0</v>
      </c>
      <c r="Q43" s="11">
        <f t="shared" si="7"/>
        <v>0</v>
      </c>
      <c r="R43" s="39">
        <f t="shared" si="11"/>
        <v>386</v>
      </c>
      <c r="S43" s="38">
        <f t="shared" si="2"/>
        <v>17.2928</v>
      </c>
      <c r="T43" s="12"/>
      <c r="U43" s="13">
        <f t="shared" si="8"/>
        <v>0</v>
      </c>
      <c r="V43" s="49">
        <f t="shared" si="9"/>
        <v>386</v>
      </c>
      <c r="W43" s="50">
        <f t="shared" si="10"/>
        <v>17.2928</v>
      </c>
    </row>
    <row r="44" spans="1:23" x14ac:dyDescent="0.25">
      <c r="A44" s="42" t="s">
        <v>42</v>
      </c>
      <c r="B44" s="34">
        <v>70</v>
      </c>
      <c r="C44" s="35">
        <v>64</v>
      </c>
      <c r="D44" s="35">
        <v>8</v>
      </c>
      <c r="E44" s="19">
        <f t="shared" si="3"/>
        <v>3.5839999999999997E-2</v>
      </c>
      <c r="F44" s="23">
        <f>'EYLÜL 4. HAFTA'!V44</f>
        <v>468</v>
      </c>
      <c r="G44" s="26">
        <f t="shared" si="4"/>
        <v>16.773119999999999</v>
      </c>
      <c r="H44" s="22">
        <v>5</v>
      </c>
      <c r="I44" s="11">
        <f t="shared" si="5"/>
        <v>0.17919999999999997</v>
      </c>
      <c r="J44" s="21">
        <v>25</v>
      </c>
      <c r="K44" s="10">
        <f t="shared" si="0"/>
        <v>0.89599999999999991</v>
      </c>
      <c r="L44" s="21">
        <v>0</v>
      </c>
      <c r="M44" s="11">
        <f t="shared" si="1"/>
        <v>0</v>
      </c>
      <c r="N44" s="21">
        <v>0</v>
      </c>
      <c r="O44" s="10">
        <f t="shared" si="6"/>
        <v>0</v>
      </c>
      <c r="P44" s="21">
        <v>0</v>
      </c>
      <c r="Q44" s="11">
        <f t="shared" si="7"/>
        <v>0</v>
      </c>
      <c r="R44" s="39">
        <f t="shared" si="11"/>
        <v>438</v>
      </c>
      <c r="S44" s="38">
        <f t="shared" si="2"/>
        <v>15.697919999999998</v>
      </c>
      <c r="T44" s="12"/>
      <c r="U44" s="13">
        <f t="shared" si="8"/>
        <v>0</v>
      </c>
      <c r="V44" s="49">
        <f t="shared" si="9"/>
        <v>438</v>
      </c>
      <c r="W44" s="50">
        <f t="shared" si="10"/>
        <v>15.697919999999998</v>
      </c>
    </row>
    <row r="45" spans="1:23" x14ac:dyDescent="0.25">
      <c r="A45" s="42" t="s">
        <v>43</v>
      </c>
      <c r="B45" s="34">
        <v>75</v>
      </c>
      <c r="C45" s="35">
        <v>70</v>
      </c>
      <c r="D45" s="35">
        <v>8</v>
      </c>
      <c r="E45" s="19">
        <f t="shared" si="3"/>
        <v>4.2000000000000003E-2</v>
      </c>
      <c r="F45" s="23">
        <f>'EYLÜL 4. HAFTA'!V45</f>
        <v>321</v>
      </c>
      <c r="G45" s="26">
        <f t="shared" si="4"/>
        <v>13.482000000000001</v>
      </c>
      <c r="H45" s="22">
        <v>10</v>
      </c>
      <c r="I45" s="11">
        <f t="shared" si="5"/>
        <v>0.42000000000000004</v>
      </c>
      <c r="J45" s="21">
        <v>0</v>
      </c>
      <c r="K45" s="10">
        <f t="shared" si="0"/>
        <v>0</v>
      </c>
      <c r="L45" s="21">
        <v>0</v>
      </c>
      <c r="M45" s="11">
        <f t="shared" si="1"/>
        <v>0</v>
      </c>
      <c r="N45" s="21">
        <v>0</v>
      </c>
      <c r="O45" s="10">
        <f t="shared" si="6"/>
        <v>0</v>
      </c>
      <c r="P45" s="21">
        <v>0</v>
      </c>
      <c r="Q45" s="11">
        <f t="shared" si="7"/>
        <v>0</v>
      </c>
      <c r="R45" s="39">
        <f t="shared" si="11"/>
        <v>311</v>
      </c>
      <c r="S45" s="38">
        <f t="shared" si="2"/>
        <v>13.062000000000001</v>
      </c>
      <c r="T45" s="12"/>
      <c r="U45" s="13">
        <f t="shared" si="8"/>
        <v>0</v>
      </c>
      <c r="V45" s="49">
        <f t="shared" si="9"/>
        <v>311</v>
      </c>
      <c r="W45" s="50">
        <f t="shared" si="10"/>
        <v>13.062000000000001</v>
      </c>
    </row>
    <row r="46" spans="1:23" x14ac:dyDescent="0.25">
      <c r="A46" s="42" t="s">
        <v>77</v>
      </c>
      <c r="B46" s="34">
        <v>140</v>
      </c>
      <c r="C46" s="35">
        <v>67</v>
      </c>
      <c r="D46" s="35">
        <v>5</v>
      </c>
      <c r="E46" s="19">
        <f t="shared" si="3"/>
        <v>4.6899999999999997E-2</v>
      </c>
      <c r="F46" s="23">
        <f>'EYLÜL 4. HAFTA'!V46</f>
        <v>696</v>
      </c>
      <c r="G46" s="26">
        <f t="shared" si="4"/>
        <v>32.642399999999995</v>
      </c>
      <c r="H46" s="22">
        <v>25</v>
      </c>
      <c r="I46" s="11">
        <f t="shared" si="5"/>
        <v>1.1724999999999999</v>
      </c>
      <c r="J46" s="21">
        <v>9</v>
      </c>
      <c r="K46" s="10">
        <f t="shared" si="0"/>
        <v>0.42209999999999998</v>
      </c>
      <c r="L46" s="21">
        <v>0</v>
      </c>
      <c r="M46" s="11">
        <f t="shared" si="1"/>
        <v>0</v>
      </c>
      <c r="N46" s="21">
        <v>16</v>
      </c>
      <c r="O46" s="10">
        <f t="shared" si="6"/>
        <v>0.75039999999999996</v>
      </c>
      <c r="P46" s="21">
        <v>24</v>
      </c>
      <c r="Q46" s="11">
        <f t="shared" si="7"/>
        <v>1.1255999999999999</v>
      </c>
      <c r="R46" s="39">
        <f t="shared" si="11"/>
        <v>622</v>
      </c>
      <c r="S46" s="38">
        <f t="shared" si="2"/>
        <v>29.171799999999998</v>
      </c>
      <c r="T46" s="12"/>
      <c r="U46" s="13">
        <f t="shared" si="8"/>
        <v>0</v>
      </c>
      <c r="V46" s="49">
        <f t="shared" si="9"/>
        <v>622</v>
      </c>
      <c r="W46" s="50">
        <f t="shared" si="10"/>
        <v>29.171799999999998</v>
      </c>
    </row>
    <row r="47" spans="1:23" x14ac:dyDescent="0.25">
      <c r="A47" s="42" t="s">
        <v>45</v>
      </c>
      <c r="B47" s="34">
        <v>80</v>
      </c>
      <c r="C47" s="35">
        <v>63</v>
      </c>
      <c r="D47" s="35">
        <v>5</v>
      </c>
      <c r="E47" s="19">
        <f t="shared" si="3"/>
        <v>2.52E-2</v>
      </c>
      <c r="F47" s="23">
        <f>'EYLÜL 4. HAFTA'!V47</f>
        <v>315</v>
      </c>
      <c r="G47" s="26">
        <f t="shared" si="4"/>
        <v>7.9379999999999997</v>
      </c>
      <c r="H47" s="22"/>
      <c r="I47" s="11">
        <f t="shared" si="5"/>
        <v>0</v>
      </c>
      <c r="J47" s="21">
        <v>0</v>
      </c>
      <c r="K47" s="10">
        <f t="shared" si="0"/>
        <v>0</v>
      </c>
      <c r="L47" s="21">
        <v>0</v>
      </c>
      <c r="M47" s="11">
        <f t="shared" si="1"/>
        <v>0</v>
      </c>
      <c r="N47" s="21">
        <v>0</v>
      </c>
      <c r="O47" s="10">
        <f t="shared" si="6"/>
        <v>0</v>
      </c>
      <c r="P47" s="21">
        <v>0</v>
      </c>
      <c r="Q47" s="11">
        <f t="shared" si="7"/>
        <v>0</v>
      </c>
      <c r="R47" s="39">
        <f t="shared" si="11"/>
        <v>315</v>
      </c>
      <c r="S47" s="38">
        <f t="shared" si="2"/>
        <v>7.9379999999999997</v>
      </c>
      <c r="T47" s="12"/>
      <c r="U47" s="13">
        <f t="shared" si="8"/>
        <v>0</v>
      </c>
      <c r="V47" s="49">
        <f t="shared" si="9"/>
        <v>315</v>
      </c>
      <c r="W47" s="50">
        <f t="shared" si="10"/>
        <v>7.9379999999999997</v>
      </c>
    </row>
    <row r="48" spans="1:23" x14ac:dyDescent="0.25">
      <c r="A48" s="42" t="s">
        <v>46</v>
      </c>
      <c r="B48" s="34">
        <v>77</v>
      </c>
      <c r="C48" s="35">
        <v>68</v>
      </c>
      <c r="D48" s="35">
        <v>8</v>
      </c>
      <c r="E48" s="19">
        <f t="shared" si="3"/>
        <v>4.1888000000000002E-2</v>
      </c>
      <c r="F48" s="23">
        <f>'EYLÜL 4. HAFTA'!V48</f>
        <v>195</v>
      </c>
      <c r="G48" s="26">
        <f t="shared" si="4"/>
        <v>8.1681600000000003</v>
      </c>
      <c r="H48" s="22">
        <v>5</v>
      </c>
      <c r="I48" s="11">
        <f t="shared" si="5"/>
        <v>0.20944000000000002</v>
      </c>
      <c r="J48" s="21">
        <v>0</v>
      </c>
      <c r="K48" s="10">
        <f t="shared" si="0"/>
        <v>0</v>
      </c>
      <c r="L48" s="21">
        <v>0</v>
      </c>
      <c r="M48" s="11">
        <f t="shared" si="1"/>
        <v>0</v>
      </c>
      <c r="N48" s="21">
        <v>0</v>
      </c>
      <c r="O48" s="10">
        <f t="shared" si="6"/>
        <v>0</v>
      </c>
      <c r="P48" s="21">
        <v>0</v>
      </c>
      <c r="Q48" s="11">
        <f t="shared" si="7"/>
        <v>0</v>
      </c>
      <c r="R48" s="39">
        <f t="shared" si="11"/>
        <v>190</v>
      </c>
      <c r="S48" s="38">
        <f t="shared" si="2"/>
        <v>7.9587200000000005</v>
      </c>
      <c r="T48" s="12"/>
      <c r="U48" s="13">
        <f t="shared" si="8"/>
        <v>0</v>
      </c>
      <c r="V48" s="49">
        <f t="shared" si="9"/>
        <v>190</v>
      </c>
      <c r="W48" s="50">
        <f t="shared" si="10"/>
        <v>7.9587200000000005</v>
      </c>
    </row>
    <row r="49" spans="1:23" x14ac:dyDescent="0.25">
      <c r="A49" s="42" t="s">
        <v>47</v>
      </c>
      <c r="B49" s="34">
        <v>79</v>
      </c>
      <c r="C49" s="35">
        <v>79</v>
      </c>
      <c r="D49" s="35">
        <v>2</v>
      </c>
      <c r="E49" s="19">
        <f t="shared" si="3"/>
        <v>1.2482E-2</v>
      </c>
      <c r="F49" s="23">
        <f>'EYLÜL 4. HAFTA'!V49</f>
        <v>33</v>
      </c>
      <c r="G49" s="26">
        <f t="shared" si="4"/>
        <v>0.41190599999999999</v>
      </c>
      <c r="H49" s="22"/>
      <c r="I49" s="11">
        <f t="shared" si="5"/>
        <v>0</v>
      </c>
      <c r="J49" s="21">
        <v>0</v>
      </c>
      <c r="K49" s="10">
        <f t="shared" si="0"/>
        <v>0</v>
      </c>
      <c r="L49" s="21">
        <v>0</v>
      </c>
      <c r="M49" s="11">
        <f t="shared" si="1"/>
        <v>0</v>
      </c>
      <c r="N49" s="21">
        <v>0</v>
      </c>
      <c r="O49" s="10">
        <f t="shared" si="6"/>
        <v>0</v>
      </c>
      <c r="P49" s="21">
        <v>0</v>
      </c>
      <c r="Q49" s="11">
        <f t="shared" si="7"/>
        <v>0</v>
      </c>
      <c r="R49" s="39">
        <f t="shared" si="11"/>
        <v>33</v>
      </c>
      <c r="S49" s="38">
        <f t="shared" si="2"/>
        <v>0.41190599999999999</v>
      </c>
      <c r="T49" s="12"/>
      <c r="U49" s="13">
        <f t="shared" si="8"/>
        <v>0</v>
      </c>
      <c r="V49" s="49">
        <f t="shared" si="9"/>
        <v>33</v>
      </c>
      <c r="W49" s="50">
        <f t="shared" si="10"/>
        <v>0.41190599999999999</v>
      </c>
    </row>
    <row r="50" spans="1:23" x14ac:dyDescent="0.25">
      <c r="A50" s="42" t="s">
        <v>48</v>
      </c>
      <c r="B50" s="34">
        <v>61</v>
      </c>
      <c r="C50" s="35">
        <v>56</v>
      </c>
      <c r="D50" s="35">
        <v>10</v>
      </c>
      <c r="E50" s="19">
        <f t="shared" si="3"/>
        <v>3.4160000000000003E-2</v>
      </c>
      <c r="F50" s="23">
        <f>'EYLÜL 4. HAFTA'!V50</f>
        <v>399</v>
      </c>
      <c r="G50" s="26">
        <f t="shared" si="4"/>
        <v>13.629840000000002</v>
      </c>
      <c r="H50" s="22"/>
      <c r="I50" s="11">
        <f t="shared" si="5"/>
        <v>0</v>
      </c>
      <c r="J50" s="21">
        <v>0</v>
      </c>
      <c r="K50" s="10">
        <f t="shared" si="0"/>
        <v>0</v>
      </c>
      <c r="L50" s="21">
        <v>0</v>
      </c>
      <c r="M50" s="11">
        <f t="shared" si="1"/>
        <v>0</v>
      </c>
      <c r="N50" s="21">
        <v>0</v>
      </c>
      <c r="O50" s="10">
        <f t="shared" si="6"/>
        <v>0</v>
      </c>
      <c r="P50" s="21">
        <v>0</v>
      </c>
      <c r="Q50" s="11">
        <f t="shared" si="7"/>
        <v>0</v>
      </c>
      <c r="R50" s="39">
        <f t="shared" si="11"/>
        <v>399</v>
      </c>
      <c r="S50" s="38">
        <f t="shared" si="2"/>
        <v>13.629840000000002</v>
      </c>
      <c r="T50" s="12"/>
      <c r="U50" s="13">
        <f t="shared" si="8"/>
        <v>0</v>
      </c>
      <c r="V50" s="49">
        <f t="shared" si="9"/>
        <v>399</v>
      </c>
      <c r="W50" s="50">
        <f t="shared" si="10"/>
        <v>13.629840000000002</v>
      </c>
    </row>
    <row r="51" spans="1:23" x14ac:dyDescent="0.25">
      <c r="A51" s="42" t="s">
        <v>49</v>
      </c>
      <c r="B51" s="34">
        <v>66</v>
      </c>
      <c r="C51" s="35">
        <v>61</v>
      </c>
      <c r="D51" s="35">
        <v>10</v>
      </c>
      <c r="E51" s="19">
        <f t="shared" si="3"/>
        <v>4.0259999999999997E-2</v>
      </c>
      <c r="F51" s="23">
        <f>'EYLÜL 4. HAFTA'!V51</f>
        <v>400</v>
      </c>
      <c r="G51" s="26">
        <f t="shared" si="4"/>
        <v>16.103999999999999</v>
      </c>
      <c r="H51" s="22"/>
      <c r="I51" s="11">
        <f t="shared" si="5"/>
        <v>0</v>
      </c>
      <c r="J51" s="21">
        <v>0</v>
      </c>
      <c r="K51" s="10">
        <f t="shared" si="0"/>
        <v>0</v>
      </c>
      <c r="L51" s="21">
        <v>0</v>
      </c>
      <c r="M51" s="11">
        <f t="shared" si="1"/>
        <v>0</v>
      </c>
      <c r="N51" s="21">
        <v>0</v>
      </c>
      <c r="O51" s="10">
        <f t="shared" si="6"/>
        <v>0</v>
      </c>
      <c r="P51" s="21">
        <v>0</v>
      </c>
      <c r="Q51" s="11">
        <f t="shared" si="7"/>
        <v>0</v>
      </c>
      <c r="R51" s="39">
        <f t="shared" si="11"/>
        <v>400</v>
      </c>
      <c r="S51" s="38">
        <f t="shared" si="2"/>
        <v>16.103999999999999</v>
      </c>
      <c r="T51" s="12"/>
      <c r="U51" s="13">
        <f t="shared" si="8"/>
        <v>0</v>
      </c>
      <c r="V51" s="49">
        <f t="shared" si="9"/>
        <v>400</v>
      </c>
      <c r="W51" s="50">
        <f t="shared" si="10"/>
        <v>16.103999999999999</v>
      </c>
    </row>
    <row r="52" spans="1:23" x14ac:dyDescent="0.25">
      <c r="A52" s="42" t="s">
        <v>50</v>
      </c>
      <c r="B52" s="34">
        <v>63</v>
      </c>
      <c r="C52" s="35">
        <v>61</v>
      </c>
      <c r="D52" s="35">
        <v>10</v>
      </c>
      <c r="E52" s="19">
        <f t="shared" si="3"/>
        <v>3.8429999999999999E-2</v>
      </c>
      <c r="F52" s="23">
        <f>'EYLÜL 4. HAFTA'!V52</f>
        <v>420</v>
      </c>
      <c r="G52" s="26">
        <f t="shared" si="4"/>
        <v>16.140599999999999</v>
      </c>
      <c r="H52" s="22"/>
      <c r="I52" s="11">
        <f t="shared" si="5"/>
        <v>0</v>
      </c>
      <c r="J52" s="21">
        <v>0</v>
      </c>
      <c r="K52" s="10">
        <f t="shared" si="0"/>
        <v>0</v>
      </c>
      <c r="L52" s="21">
        <v>0</v>
      </c>
      <c r="M52" s="11">
        <f t="shared" si="1"/>
        <v>0</v>
      </c>
      <c r="N52" s="21">
        <v>0</v>
      </c>
      <c r="O52" s="10">
        <f t="shared" si="6"/>
        <v>0</v>
      </c>
      <c r="P52" s="21">
        <v>0</v>
      </c>
      <c r="Q52" s="11">
        <f t="shared" si="7"/>
        <v>0</v>
      </c>
      <c r="R52" s="39">
        <f t="shared" si="11"/>
        <v>420</v>
      </c>
      <c r="S52" s="38">
        <f t="shared" si="2"/>
        <v>16.140599999999999</v>
      </c>
      <c r="T52" s="12"/>
      <c r="U52" s="13">
        <f t="shared" si="8"/>
        <v>0</v>
      </c>
      <c r="V52" s="49">
        <f t="shared" si="9"/>
        <v>420</v>
      </c>
      <c r="W52" s="50">
        <f t="shared" si="10"/>
        <v>16.140599999999999</v>
      </c>
    </row>
    <row r="53" spans="1:23" x14ac:dyDescent="0.25">
      <c r="A53" s="42" t="s">
        <v>51</v>
      </c>
      <c r="B53" s="34">
        <v>58</v>
      </c>
      <c r="C53" s="35">
        <v>58</v>
      </c>
      <c r="D53" s="35">
        <v>2.2999999999999998</v>
      </c>
      <c r="E53" s="19">
        <f t="shared" si="3"/>
        <v>7.7371999999999996E-3</v>
      </c>
      <c r="F53" s="23">
        <f>'EYLÜL 4. HAFTA'!V53</f>
        <v>3800</v>
      </c>
      <c r="G53" s="26">
        <f t="shared" si="4"/>
        <v>29.401359999999997</v>
      </c>
      <c r="H53" s="22"/>
      <c r="I53" s="11">
        <f t="shared" si="5"/>
        <v>0</v>
      </c>
      <c r="J53" s="21">
        <v>0</v>
      </c>
      <c r="K53" s="10">
        <f t="shared" si="0"/>
        <v>0</v>
      </c>
      <c r="L53" s="21">
        <v>0</v>
      </c>
      <c r="M53" s="11">
        <f t="shared" si="1"/>
        <v>0</v>
      </c>
      <c r="N53" s="21">
        <v>0</v>
      </c>
      <c r="O53" s="10">
        <f t="shared" si="6"/>
        <v>0</v>
      </c>
      <c r="P53" s="21">
        <v>0</v>
      </c>
      <c r="Q53" s="11">
        <f t="shared" si="7"/>
        <v>0</v>
      </c>
      <c r="R53" s="39">
        <f t="shared" si="11"/>
        <v>3800</v>
      </c>
      <c r="S53" s="38">
        <f t="shared" si="2"/>
        <v>29.401359999999997</v>
      </c>
      <c r="T53" s="12"/>
      <c r="U53" s="13">
        <f t="shared" si="8"/>
        <v>0</v>
      </c>
      <c r="V53" s="49">
        <f t="shared" si="9"/>
        <v>3800</v>
      </c>
      <c r="W53" s="50">
        <f t="shared" si="10"/>
        <v>29.401359999999997</v>
      </c>
    </row>
    <row r="54" spans="1:23" x14ac:dyDescent="0.25">
      <c r="A54" s="42" t="s">
        <v>52</v>
      </c>
      <c r="B54" s="34">
        <v>79</v>
      </c>
      <c r="C54" s="35">
        <v>62</v>
      </c>
      <c r="D54" s="35">
        <v>2.2999999999999998</v>
      </c>
      <c r="E54" s="19">
        <f t="shared" si="3"/>
        <v>1.12654E-2</v>
      </c>
      <c r="F54" s="23">
        <f>'EYLÜL 4. HAFTA'!V54</f>
        <v>3537</v>
      </c>
      <c r="G54" s="26">
        <f t="shared" si="4"/>
        <v>39.845719799999998</v>
      </c>
      <c r="H54" s="22"/>
      <c r="I54" s="11">
        <f t="shared" si="5"/>
        <v>0</v>
      </c>
      <c r="J54" s="21">
        <v>0</v>
      </c>
      <c r="K54" s="10">
        <f t="shared" si="0"/>
        <v>0</v>
      </c>
      <c r="L54" s="21">
        <v>0</v>
      </c>
      <c r="M54" s="11">
        <f t="shared" si="1"/>
        <v>0</v>
      </c>
      <c r="N54" s="21">
        <v>0</v>
      </c>
      <c r="O54" s="10">
        <f t="shared" si="6"/>
        <v>0</v>
      </c>
      <c r="P54" s="21">
        <v>0</v>
      </c>
      <c r="Q54" s="11">
        <f t="shared" si="7"/>
        <v>0</v>
      </c>
      <c r="R54" s="39">
        <f t="shared" si="11"/>
        <v>3537</v>
      </c>
      <c r="S54" s="38">
        <f t="shared" si="2"/>
        <v>39.845719799999998</v>
      </c>
      <c r="T54" s="12"/>
      <c r="U54" s="13">
        <f t="shared" si="8"/>
        <v>0</v>
      </c>
      <c r="V54" s="49">
        <f t="shared" si="9"/>
        <v>3537</v>
      </c>
      <c r="W54" s="50">
        <f t="shared" si="10"/>
        <v>39.845719799999998</v>
      </c>
    </row>
    <row r="55" spans="1:23" x14ac:dyDescent="0.25">
      <c r="A55" s="42" t="s">
        <v>53</v>
      </c>
      <c r="B55" s="34">
        <v>200</v>
      </c>
      <c r="C55" s="35">
        <v>176</v>
      </c>
      <c r="D55" s="35">
        <v>2.2999999999999998</v>
      </c>
      <c r="E55" s="19">
        <f t="shared" si="3"/>
        <v>8.0960000000000004E-2</v>
      </c>
      <c r="F55" s="23">
        <f>'EYLÜL 4. HAFTA'!V55</f>
        <v>1</v>
      </c>
      <c r="G55" s="26">
        <f t="shared" si="4"/>
        <v>8.0960000000000004E-2</v>
      </c>
      <c r="H55" s="22"/>
      <c r="I55" s="11">
        <f t="shared" si="5"/>
        <v>0</v>
      </c>
      <c r="J55" s="21">
        <v>0</v>
      </c>
      <c r="K55" s="10">
        <f t="shared" si="0"/>
        <v>0</v>
      </c>
      <c r="L55" s="21">
        <v>0</v>
      </c>
      <c r="M55" s="11">
        <f t="shared" si="1"/>
        <v>0</v>
      </c>
      <c r="N55" s="21">
        <v>0</v>
      </c>
      <c r="O55" s="10">
        <f t="shared" si="6"/>
        <v>0</v>
      </c>
      <c r="P55" s="21">
        <v>0</v>
      </c>
      <c r="Q55" s="11">
        <f t="shared" si="7"/>
        <v>0</v>
      </c>
      <c r="R55" s="39">
        <f t="shared" si="11"/>
        <v>1</v>
      </c>
      <c r="S55" s="38">
        <f t="shared" si="2"/>
        <v>8.0960000000000004E-2</v>
      </c>
      <c r="T55" s="12"/>
      <c r="U55" s="13">
        <f t="shared" si="8"/>
        <v>0</v>
      </c>
      <c r="V55" s="49">
        <f t="shared" si="9"/>
        <v>1</v>
      </c>
      <c r="W55" s="50">
        <f t="shared" si="10"/>
        <v>8.0960000000000004E-2</v>
      </c>
    </row>
    <row r="56" spans="1:23" x14ac:dyDescent="0.25">
      <c r="A56" s="42" t="s">
        <v>54</v>
      </c>
      <c r="B56" s="34">
        <v>79</v>
      </c>
      <c r="C56" s="35">
        <v>79</v>
      </c>
      <c r="D56" s="35">
        <v>2.2999999999999998</v>
      </c>
      <c r="E56" s="19">
        <f t="shared" si="3"/>
        <v>1.4354299999999999E-2</v>
      </c>
      <c r="F56" s="23">
        <f>'EYLÜL 4. HAFTA'!V56</f>
        <v>241</v>
      </c>
      <c r="G56" s="26">
        <f t="shared" si="4"/>
        <v>3.4593862999999998</v>
      </c>
      <c r="H56" s="22"/>
      <c r="I56" s="11">
        <f t="shared" si="5"/>
        <v>0</v>
      </c>
      <c r="J56" s="21">
        <v>0</v>
      </c>
      <c r="K56" s="10">
        <f t="shared" si="0"/>
        <v>0</v>
      </c>
      <c r="L56" s="21">
        <v>0</v>
      </c>
      <c r="M56" s="11">
        <f t="shared" si="1"/>
        <v>0</v>
      </c>
      <c r="N56" s="21">
        <v>0</v>
      </c>
      <c r="O56" s="10">
        <f t="shared" si="6"/>
        <v>0</v>
      </c>
      <c r="P56" s="21">
        <v>0</v>
      </c>
      <c r="Q56" s="11">
        <f t="shared" si="7"/>
        <v>0</v>
      </c>
      <c r="R56" s="39">
        <f t="shared" si="11"/>
        <v>241</v>
      </c>
      <c r="S56" s="38">
        <f t="shared" si="2"/>
        <v>3.4593862999999998</v>
      </c>
      <c r="T56" s="12"/>
      <c r="U56" s="13">
        <f t="shared" si="8"/>
        <v>0</v>
      </c>
      <c r="V56" s="49">
        <f t="shared" si="9"/>
        <v>241</v>
      </c>
      <c r="W56" s="50">
        <f t="shared" si="10"/>
        <v>3.4593862999999998</v>
      </c>
    </row>
    <row r="57" spans="1:23" ht="15.75" x14ac:dyDescent="0.25">
      <c r="A57" s="42" t="s">
        <v>55</v>
      </c>
      <c r="B57" s="111">
        <v>50</v>
      </c>
      <c r="C57" s="112">
        <v>45</v>
      </c>
      <c r="D57" s="112">
        <v>4</v>
      </c>
      <c r="E57" s="19">
        <f t="shared" si="3"/>
        <v>8.9999999999999993E-3</v>
      </c>
      <c r="F57" s="23">
        <f>'EYLÜL 4. HAFTA'!V57</f>
        <v>839</v>
      </c>
      <c r="G57" s="26">
        <f t="shared" si="4"/>
        <v>7.5509999999999993</v>
      </c>
      <c r="H57" s="22"/>
      <c r="I57" s="11">
        <f t="shared" si="5"/>
        <v>0</v>
      </c>
      <c r="J57" s="21">
        <v>0</v>
      </c>
      <c r="K57" s="10">
        <f t="shared" si="0"/>
        <v>0</v>
      </c>
      <c r="L57" s="21">
        <v>30</v>
      </c>
      <c r="M57" s="11">
        <f t="shared" si="1"/>
        <v>0.26999999999999996</v>
      </c>
      <c r="N57" s="21">
        <v>0</v>
      </c>
      <c r="O57" s="10">
        <f t="shared" si="6"/>
        <v>0</v>
      </c>
      <c r="P57" s="21">
        <v>0</v>
      </c>
      <c r="Q57" s="11">
        <f t="shared" si="7"/>
        <v>0</v>
      </c>
      <c r="R57" s="39">
        <f t="shared" si="11"/>
        <v>809</v>
      </c>
      <c r="S57" s="38">
        <f t="shared" si="2"/>
        <v>7.2809999999999997</v>
      </c>
      <c r="T57" s="12"/>
      <c r="U57" s="13">
        <f t="shared" si="8"/>
        <v>0</v>
      </c>
      <c r="V57" s="49">
        <f t="shared" si="9"/>
        <v>809</v>
      </c>
      <c r="W57" s="50">
        <f t="shared" si="10"/>
        <v>7.2809999999999997</v>
      </c>
    </row>
    <row r="58" spans="1:23" ht="15.75" x14ac:dyDescent="0.25">
      <c r="A58" s="42" t="s">
        <v>56</v>
      </c>
      <c r="B58" s="111">
        <v>50</v>
      </c>
      <c r="C58" s="112">
        <v>35</v>
      </c>
      <c r="D58" s="112">
        <v>4</v>
      </c>
      <c r="E58" s="19">
        <f t="shared" si="3"/>
        <v>7.0000000000000001E-3</v>
      </c>
      <c r="F58" s="23">
        <f>'EYLÜL 4. HAFTA'!V58</f>
        <v>896</v>
      </c>
      <c r="G58" s="26">
        <f t="shared" si="4"/>
        <v>6.2720000000000002</v>
      </c>
      <c r="H58" s="22"/>
      <c r="I58" s="11">
        <f t="shared" si="5"/>
        <v>0</v>
      </c>
      <c r="J58" s="21">
        <v>0</v>
      </c>
      <c r="K58" s="10">
        <f t="shared" si="0"/>
        <v>0</v>
      </c>
      <c r="L58" s="21">
        <v>30</v>
      </c>
      <c r="M58" s="11">
        <f t="shared" si="1"/>
        <v>0.21</v>
      </c>
      <c r="N58" s="21">
        <v>0</v>
      </c>
      <c r="O58" s="10">
        <f t="shared" si="6"/>
        <v>0</v>
      </c>
      <c r="P58" s="21">
        <v>0</v>
      </c>
      <c r="Q58" s="11">
        <f t="shared" si="7"/>
        <v>0</v>
      </c>
      <c r="R58" s="39">
        <f t="shared" si="11"/>
        <v>866</v>
      </c>
      <c r="S58" s="38">
        <f t="shared" si="2"/>
        <v>6.0620000000000003</v>
      </c>
      <c r="T58" s="12"/>
      <c r="U58" s="13">
        <f t="shared" si="8"/>
        <v>0</v>
      </c>
      <c r="V58" s="49">
        <f t="shared" si="9"/>
        <v>866</v>
      </c>
      <c r="W58" s="50">
        <f t="shared" si="10"/>
        <v>6.0620000000000003</v>
      </c>
    </row>
    <row r="59" spans="1:23" ht="15.75" x14ac:dyDescent="0.25">
      <c r="A59" s="42" t="s">
        <v>57</v>
      </c>
      <c r="B59" s="111">
        <v>45</v>
      </c>
      <c r="C59" s="112">
        <v>50</v>
      </c>
      <c r="D59" s="112">
        <v>3</v>
      </c>
      <c r="E59" s="19">
        <f t="shared" si="3"/>
        <v>6.7499999999999999E-3</v>
      </c>
      <c r="F59" s="23">
        <f>'EYLÜL 4. HAFTA'!V59</f>
        <v>410</v>
      </c>
      <c r="G59" s="26">
        <f t="shared" si="4"/>
        <v>2.7675000000000001</v>
      </c>
      <c r="H59" s="22"/>
      <c r="I59" s="11">
        <f t="shared" si="5"/>
        <v>0</v>
      </c>
      <c r="J59" s="21">
        <v>410</v>
      </c>
      <c r="K59" s="10">
        <f t="shared" si="0"/>
        <v>2.7675000000000001</v>
      </c>
      <c r="L59" s="21">
        <v>0</v>
      </c>
      <c r="M59" s="11">
        <f t="shared" si="1"/>
        <v>0</v>
      </c>
      <c r="N59" s="21">
        <v>0</v>
      </c>
      <c r="O59" s="10">
        <f t="shared" si="6"/>
        <v>0</v>
      </c>
      <c r="P59" s="21">
        <v>0</v>
      </c>
      <c r="Q59" s="11">
        <f t="shared" si="7"/>
        <v>0</v>
      </c>
      <c r="R59" s="39">
        <f t="shared" si="11"/>
        <v>0</v>
      </c>
      <c r="S59" s="38">
        <f t="shared" si="2"/>
        <v>0</v>
      </c>
      <c r="T59" s="12"/>
      <c r="U59" s="13">
        <f t="shared" si="8"/>
        <v>0</v>
      </c>
      <c r="V59" s="49">
        <f t="shared" si="9"/>
        <v>0</v>
      </c>
      <c r="W59" s="50">
        <f t="shared" si="10"/>
        <v>0</v>
      </c>
    </row>
    <row r="60" spans="1:23" ht="15.75" x14ac:dyDescent="0.25">
      <c r="A60" s="42" t="s">
        <v>58</v>
      </c>
      <c r="B60" s="111">
        <v>50</v>
      </c>
      <c r="C60" s="112">
        <v>35</v>
      </c>
      <c r="D60" s="112">
        <v>3</v>
      </c>
      <c r="E60" s="19">
        <f t="shared" si="3"/>
        <v>5.2500000000000003E-3</v>
      </c>
      <c r="F60" s="23">
        <f>'EYLÜL 4. HAFTA'!V60</f>
        <v>866</v>
      </c>
      <c r="G60" s="26">
        <f t="shared" si="4"/>
        <v>4.5465</v>
      </c>
      <c r="H60" s="22"/>
      <c r="I60" s="11">
        <f t="shared" si="5"/>
        <v>0</v>
      </c>
      <c r="J60" s="21">
        <v>115</v>
      </c>
      <c r="K60" s="10">
        <f t="shared" si="0"/>
        <v>0.60375000000000001</v>
      </c>
      <c r="L60" s="21">
        <v>751</v>
      </c>
      <c r="M60" s="11">
        <f t="shared" si="1"/>
        <v>3.9427500000000002</v>
      </c>
      <c r="N60" s="21">
        <v>0</v>
      </c>
      <c r="O60" s="10">
        <f t="shared" si="6"/>
        <v>0</v>
      </c>
      <c r="P60" s="21">
        <v>0</v>
      </c>
      <c r="Q60" s="11">
        <f t="shared" si="7"/>
        <v>0</v>
      </c>
      <c r="R60" s="39">
        <f t="shared" si="11"/>
        <v>0</v>
      </c>
      <c r="S60" s="38">
        <f t="shared" si="2"/>
        <v>0</v>
      </c>
      <c r="T60" s="12"/>
      <c r="U60" s="13">
        <f t="shared" si="8"/>
        <v>0</v>
      </c>
      <c r="V60" s="49">
        <f t="shared" si="9"/>
        <v>0</v>
      </c>
      <c r="W60" s="50">
        <f t="shared" si="10"/>
        <v>0</v>
      </c>
    </row>
    <row r="61" spans="1:23" ht="15.75" x14ac:dyDescent="0.25">
      <c r="A61" s="42" t="s">
        <v>59</v>
      </c>
      <c r="B61" s="111">
        <v>42</v>
      </c>
      <c r="C61" s="112">
        <v>36</v>
      </c>
      <c r="D61" s="112">
        <v>4</v>
      </c>
      <c r="E61" s="19">
        <f t="shared" si="3"/>
        <v>6.0480000000000004E-3</v>
      </c>
      <c r="F61" s="23">
        <f>'EYLÜL 4. HAFTA'!V61</f>
        <v>88</v>
      </c>
      <c r="G61" s="26">
        <f t="shared" si="4"/>
        <v>0.53222400000000003</v>
      </c>
      <c r="H61" s="22"/>
      <c r="I61" s="11">
        <f t="shared" si="5"/>
        <v>0</v>
      </c>
      <c r="J61" s="21">
        <v>0</v>
      </c>
      <c r="K61" s="10">
        <f t="shared" si="0"/>
        <v>0</v>
      </c>
      <c r="L61" s="21">
        <v>0</v>
      </c>
      <c r="M61" s="11">
        <f t="shared" si="1"/>
        <v>0</v>
      </c>
      <c r="N61" s="21">
        <v>0</v>
      </c>
      <c r="O61" s="10">
        <f t="shared" si="6"/>
        <v>0</v>
      </c>
      <c r="P61" s="21">
        <v>0</v>
      </c>
      <c r="Q61" s="11">
        <f t="shared" si="7"/>
        <v>0</v>
      </c>
      <c r="R61" s="39">
        <f t="shared" si="11"/>
        <v>88</v>
      </c>
      <c r="S61" s="38">
        <f t="shared" si="2"/>
        <v>0.53222400000000003</v>
      </c>
      <c r="T61" s="12"/>
      <c r="U61" s="13">
        <f t="shared" si="8"/>
        <v>0</v>
      </c>
      <c r="V61" s="49">
        <f t="shared" si="9"/>
        <v>88</v>
      </c>
      <c r="W61" s="50">
        <f t="shared" si="10"/>
        <v>0.53222400000000003</v>
      </c>
    </row>
    <row r="62" spans="1:23" ht="15.75" x14ac:dyDescent="0.25">
      <c r="A62" s="42" t="s">
        <v>60</v>
      </c>
      <c r="B62" s="111">
        <v>50</v>
      </c>
      <c r="C62" s="112">
        <v>35</v>
      </c>
      <c r="D62" s="112">
        <v>3</v>
      </c>
      <c r="E62" s="19">
        <f t="shared" si="3"/>
        <v>5.2500000000000003E-3</v>
      </c>
      <c r="F62" s="23">
        <f>'EYLÜL 4. HAFTA'!V62</f>
        <v>1892</v>
      </c>
      <c r="G62" s="26">
        <f t="shared" si="4"/>
        <v>9.9329999999999998</v>
      </c>
      <c r="H62" s="22"/>
      <c r="I62" s="11">
        <f t="shared" si="5"/>
        <v>0</v>
      </c>
      <c r="J62" s="21">
        <v>0</v>
      </c>
      <c r="K62" s="10">
        <f t="shared" si="0"/>
        <v>0</v>
      </c>
      <c r="L62" s="21">
        <v>0</v>
      </c>
      <c r="M62" s="11">
        <f t="shared" si="1"/>
        <v>0</v>
      </c>
      <c r="N62" s="21">
        <v>0</v>
      </c>
      <c r="O62" s="10">
        <f t="shared" si="6"/>
        <v>0</v>
      </c>
      <c r="P62" s="21">
        <v>0</v>
      </c>
      <c r="Q62" s="11">
        <f t="shared" si="7"/>
        <v>0</v>
      </c>
      <c r="R62" s="39">
        <f t="shared" si="11"/>
        <v>1892</v>
      </c>
      <c r="S62" s="38">
        <f t="shared" si="2"/>
        <v>9.9329999999999998</v>
      </c>
      <c r="T62" s="12"/>
      <c r="U62" s="13">
        <f t="shared" si="8"/>
        <v>0</v>
      </c>
      <c r="V62" s="49">
        <f t="shared" si="9"/>
        <v>1892</v>
      </c>
      <c r="W62" s="50">
        <f t="shared" si="10"/>
        <v>9.9329999999999998</v>
      </c>
    </row>
    <row r="63" spans="1:23" ht="15.75" x14ac:dyDescent="0.25">
      <c r="A63" s="43" t="s">
        <v>61</v>
      </c>
      <c r="B63" s="111">
        <v>45</v>
      </c>
      <c r="C63" s="112">
        <v>50</v>
      </c>
      <c r="D63" s="112">
        <v>3</v>
      </c>
      <c r="E63" s="19">
        <f t="shared" si="3"/>
        <v>6.7499999999999999E-3</v>
      </c>
      <c r="F63" s="23">
        <f>'EYLÜL 4. HAFTA'!V63</f>
        <v>1450</v>
      </c>
      <c r="G63" s="26">
        <f t="shared" si="4"/>
        <v>9.7874999999999996</v>
      </c>
      <c r="H63" s="22"/>
      <c r="I63" s="11">
        <f t="shared" si="5"/>
        <v>0</v>
      </c>
      <c r="J63" s="21">
        <v>60</v>
      </c>
      <c r="K63" s="10">
        <f t="shared" si="0"/>
        <v>0.40499999999999997</v>
      </c>
      <c r="L63" s="21">
        <v>0</v>
      </c>
      <c r="M63" s="11">
        <f t="shared" si="1"/>
        <v>0</v>
      </c>
      <c r="N63" s="21">
        <v>0</v>
      </c>
      <c r="O63" s="10">
        <f t="shared" si="6"/>
        <v>0</v>
      </c>
      <c r="P63" s="21">
        <v>0</v>
      </c>
      <c r="Q63" s="11">
        <f t="shared" si="7"/>
        <v>0</v>
      </c>
      <c r="R63" s="39">
        <f t="shared" si="11"/>
        <v>1390</v>
      </c>
      <c r="S63" s="38">
        <f t="shared" si="2"/>
        <v>9.3825000000000003</v>
      </c>
      <c r="T63" s="12"/>
      <c r="U63" s="13">
        <f t="shared" si="8"/>
        <v>0</v>
      </c>
      <c r="V63" s="49">
        <f t="shared" si="9"/>
        <v>1390</v>
      </c>
      <c r="W63" s="50">
        <f t="shared" si="10"/>
        <v>9.3825000000000003</v>
      </c>
    </row>
    <row r="64" spans="1:23" ht="15.75" thickBot="1" x14ac:dyDescent="0.3">
      <c r="A64" s="44" t="s">
        <v>90</v>
      </c>
      <c r="B64" s="36">
        <v>140</v>
      </c>
      <c r="C64" s="37">
        <v>9.5</v>
      </c>
      <c r="D64" s="37">
        <v>6.5</v>
      </c>
      <c r="E64" s="20">
        <f t="shared" si="3"/>
        <v>8.6449999999999999E-3</v>
      </c>
      <c r="F64" s="23">
        <f>'EYLÜL 4. HAFTA'!V64</f>
        <v>60</v>
      </c>
      <c r="G64" s="27">
        <f t="shared" si="4"/>
        <v>0.51869999999999994</v>
      </c>
      <c r="H64" s="99"/>
      <c r="I64" s="100">
        <f t="shared" si="5"/>
        <v>0</v>
      </c>
      <c r="J64" s="129">
        <v>0</v>
      </c>
      <c r="K64" s="85">
        <f t="shared" si="0"/>
        <v>0</v>
      </c>
      <c r="L64" s="129">
        <v>0</v>
      </c>
      <c r="M64" s="100">
        <f t="shared" si="1"/>
        <v>0</v>
      </c>
      <c r="N64" s="129">
        <v>160</v>
      </c>
      <c r="O64" s="85">
        <f t="shared" si="6"/>
        <v>1.3832</v>
      </c>
      <c r="P64" s="129">
        <v>294</v>
      </c>
      <c r="Q64" s="100">
        <f t="shared" si="7"/>
        <v>2.5416300000000001</v>
      </c>
      <c r="R64" s="86">
        <f t="shared" si="11"/>
        <v>-394</v>
      </c>
      <c r="S64" s="87">
        <f t="shared" si="2"/>
        <v>-3.4061300000000001</v>
      </c>
      <c r="T64" s="88">
        <v>400</v>
      </c>
      <c r="U64" s="89">
        <f t="shared" si="8"/>
        <v>3.4580000000000002</v>
      </c>
      <c r="V64" s="90">
        <f t="shared" si="9"/>
        <v>6</v>
      </c>
      <c r="W64" s="107">
        <f t="shared" si="10"/>
        <v>5.1869999999999999E-2</v>
      </c>
    </row>
    <row r="65" spans="1:23" ht="15.75" x14ac:dyDescent="0.25">
      <c r="A65" s="91" t="s">
        <v>79</v>
      </c>
      <c r="B65" s="112">
        <v>90</v>
      </c>
      <c r="C65" s="112">
        <v>83</v>
      </c>
      <c r="D65" s="112">
        <v>2</v>
      </c>
      <c r="E65" s="114">
        <f t="shared" si="3"/>
        <v>1.494E-2</v>
      </c>
      <c r="F65" s="23">
        <f>'EYLÜL 4. HAFTA'!V65</f>
        <v>458</v>
      </c>
      <c r="G65" s="116">
        <f t="shared" si="4"/>
        <v>6.8425200000000004</v>
      </c>
      <c r="H65" s="127">
        <v>0</v>
      </c>
      <c r="I65" s="127">
        <f t="shared" si="5"/>
        <v>0</v>
      </c>
      <c r="J65" s="115">
        <v>0</v>
      </c>
      <c r="K65" s="117">
        <f t="shared" si="0"/>
        <v>0</v>
      </c>
      <c r="L65" s="115">
        <v>0</v>
      </c>
      <c r="M65" s="127">
        <f t="shared" si="1"/>
        <v>0</v>
      </c>
      <c r="N65" s="115">
        <v>0</v>
      </c>
      <c r="O65" s="117">
        <f t="shared" si="6"/>
        <v>0</v>
      </c>
      <c r="P65" s="115">
        <v>0</v>
      </c>
      <c r="Q65" s="115">
        <f t="shared" si="7"/>
        <v>0</v>
      </c>
      <c r="R65" s="140">
        <f t="shared" si="11"/>
        <v>458</v>
      </c>
      <c r="S65" s="140">
        <f t="shared" si="2"/>
        <v>6.8425200000000004</v>
      </c>
      <c r="T65" s="142">
        <v>0</v>
      </c>
      <c r="U65" s="139">
        <f t="shared" si="8"/>
        <v>0</v>
      </c>
      <c r="V65" s="141">
        <f t="shared" si="9"/>
        <v>458</v>
      </c>
      <c r="W65" s="141">
        <f t="shared" si="10"/>
        <v>6.8425200000000004</v>
      </c>
    </row>
    <row r="66" spans="1:23" ht="15.75" x14ac:dyDescent="0.25">
      <c r="A66" s="102" t="s">
        <v>80</v>
      </c>
      <c r="B66" s="113">
        <v>92</v>
      </c>
      <c r="C66" s="113">
        <v>82</v>
      </c>
      <c r="D66" s="113">
        <v>2</v>
      </c>
      <c r="E66" s="124">
        <f t="shared" si="3"/>
        <v>1.5088000000000001E-2</v>
      </c>
      <c r="F66" s="134">
        <f>'EYLÜL 4. HAFTA'!V66</f>
        <v>412</v>
      </c>
      <c r="G66" s="135">
        <f t="shared" si="4"/>
        <v>6.2162560000000004</v>
      </c>
      <c r="H66" s="127">
        <v>0</v>
      </c>
      <c r="I66" s="127">
        <f t="shared" si="5"/>
        <v>0</v>
      </c>
      <c r="J66" s="115">
        <v>0</v>
      </c>
      <c r="K66" s="117">
        <f t="shared" si="0"/>
        <v>0</v>
      </c>
      <c r="L66" s="115">
        <v>0</v>
      </c>
      <c r="M66" s="127">
        <f t="shared" si="1"/>
        <v>0</v>
      </c>
      <c r="N66" s="115">
        <v>0</v>
      </c>
      <c r="O66" s="117">
        <f t="shared" si="6"/>
        <v>0</v>
      </c>
      <c r="P66" s="115">
        <v>0</v>
      </c>
      <c r="Q66" s="115">
        <f t="shared" si="7"/>
        <v>0</v>
      </c>
      <c r="R66" s="140">
        <f t="shared" si="11"/>
        <v>412</v>
      </c>
      <c r="S66" s="140">
        <f t="shared" si="2"/>
        <v>6.2162560000000004</v>
      </c>
      <c r="T66" s="142">
        <v>0</v>
      </c>
      <c r="U66" s="139">
        <f t="shared" si="8"/>
        <v>0</v>
      </c>
      <c r="V66" s="141">
        <f t="shared" si="9"/>
        <v>412</v>
      </c>
      <c r="W66" s="141">
        <f t="shared" si="10"/>
        <v>6.2162560000000004</v>
      </c>
    </row>
    <row r="67" spans="1:23" x14ac:dyDescent="0.25">
      <c r="A67" s="108" t="s">
        <v>82</v>
      </c>
      <c r="B67" s="35">
        <v>82</v>
      </c>
      <c r="C67" s="35">
        <v>80</v>
      </c>
      <c r="D67" s="35">
        <v>2</v>
      </c>
      <c r="E67" s="114">
        <f t="shared" si="3"/>
        <v>1.312E-2</v>
      </c>
      <c r="F67" s="134">
        <f>'EYLÜL 4. HAFTA'!V67</f>
        <v>432</v>
      </c>
      <c r="G67" s="136">
        <f t="shared" si="4"/>
        <v>5.66784</v>
      </c>
      <c r="H67" s="115"/>
      <c r="I67" s="115">
        <f t="shared" si="5"/>
        <v>0</v>
      </c>
      <c r="J67" s="115">
        <v>0</v>
      </c>
      <c r="K67" s="96">
        <f t="shared" si="0"/>
        <v>0</v>
      </c>
      <c r="L67" s="115">
        <v>0</v>
      </c>
      <c r="M67" s="115">
        <f t="shared" si="1"/>
        <v>0</v>
      </c>
      <c r="N67" s="115">
        <v>0</v>
      </c>
      <c r="O67" s="96">
        <f t="shared" si="6"/>
        <v>0</v>
      </c>
      <c r="P67" s="115">
        <v>0</v>
      </c>
      <c r="Q67" s="115">
        <f t="shared" si="7"/>
        <v>0</v>
      </c>
      <c r="R67" s="97">
        <f t="shared" si="11"/>
        <v>432</v>
      </c>
      <c r="S67" s="97">
        <f t="shared" si="2"/>
        <v>5.66784</v>
      </c>
      <c r="T67" s="142"/>
      <c r="U67" s="139">
        <f t="shared" si="5"/>
        <v>0</v>
      </c>
      <c r="V67" s="141">
        <f t="shared" si="9"/>
        <v>432</v>
      </c>
      <c r="W67" s="141">
        <f t="shared" si="10"/>
        <v>5.66784</v>
      </c>
    </row>
    <row r="68" spans="1:23" x14ac:dyDescent="0.25">
      <c r="A68" s="108" t="s">
        <v>83</v>
      </c>
      <c r="B68" s="35">
        <v>86</v>
      </c>
      <c r="C68" s="35">
        <v>77</v>
      </c>
      <c r="D68" s="35">
        <v>8</v>
      </c>
      <c r="E68" s="114">
        <f t="shared" si="3"/>
        <v>5.2976000000000002E-2</v>
      </c>
      <c r="F68" s="134">
        <f>'EYLÜL 4. HAFTA'!V68</f>
        <v>72</v>
      </c>
      <c r="G68" s="136">
        <f t="shared" si="4"/>
        <v>3.8142720000000003</v>
      </c>
      <c r="H68" s="115">
        <v>10</v>
      </c>
      <c r="I68" s="115">
        <f t="shared" ref="I68:U72" si="12">E68*H68</f>
        <v>0.52976000000000001</v>
      </c>
      <c r="J68" s="115">
        <v>0</v>
      </c>
      <c r="K68" s="96">
        <f t="shared" si="0"/>
        <v>0</v>
      </c>
      <c r="L68" s="115">
        <v>0</v>
      </c>
      <c r="M68" s="115">
        <f t="shared" si="1"/>
        <v>0</v>
      </c>
      <c r="N68" s="115">
        <v>0</v>
      </c>
      <c r="O68" s="96">
        <f t="shared" si="6"/>
        <v>0</v>
      </c>
      <c r="P68" s="115">
        <v>0</v>
      </c>
      <c r="Q68" s="115">
        <f t="shared" si="7"/>
        <v>0</v>
      </c>
      <c r="R68" s="97">
        <f t="shared" si="11"/>
        <v>62</v>
      </c>
      <c r="S68" s="97">
        <f t="shared" si="2"/>
        <v>3.2845120000000003</v>
      </c>
      <c r="T68" s="142"/>
      <c r="U68" s="139">
        <f t="shared" si="12"/>
        <v>0</v>
      </c>
      <c r="V68" s="141">
        <f t="shared" si="9"/>
        <v>62</v>
      </c>
      <c r="W68" s="141">
        <f t="shared" si="10"/>
        <v>3.2845120000000003</v>
      </c>
    </row>
    <row r="69" spans="1:23" x14ac:dyDescent="0.25">
      <c r="A69" s="108" t="s">
        <v>84</v>
      </c>
      <c r="B69" s="35">
        <v>76</v>
      </c>
      <c r="C69" s="35">
        <v>75</v>
      </c>
      <c r="D69" s="35">
        <v>8</v>
      </c>
      <c r="E69" s="114">
        <f t="shared" si="3"/>
        <v>4.5600000000000002E-2</v>
      </c>
      <c r="F69" s="134">
        <f>'EYLÜL 4. HAFTA'!V69</f>
        <v>98</v>
      </c>
      <c r="G69" s="136">
        <f t="shared" si="4"/>
        <v>4.4687999999999999</v>
      </c>
      <c r="H69" s="115">
        <v>10</v>
      </c>
      <c r="I69" s="115">
        <f t="shared" si="12"/>
        <v>0.45600000000000002</v>
      </c>
      <c r="J69" s="115">
        <v>0</v>
      </c>
      <c r="K69" s="96">
        <f t="shared" ref="K69:K72" si="13">E69*J69</f>
        <v>0</v>
      </c>
      <c r="L69" s="115"/>
      <c r="M69" s="115">
        <f t="shared" ref="M69" si="14">E69*L69</f>
        <v>0</v>
      </c>
      <c r="N69" s="115">
        <v>0</v>
      </c>
      <c r="O69" s="96">
        <f t="shared" si="6"/>
        <v>0</v>
      </c>
      <c r="P69" s="115">
        <v>0</v>
      </c>
      <c r="Q69" s="115">
        <f t="shared" si="7"/>
        <v>0</v>
      </c>
      <c r="R69" s="97">
        <f t="shared" si="11"/>
        <v>88</v>
      </c>
      <c r="S69" s="97">
        <f t="shared" ref="S69:S72" si="15">E69*R69</f>
        <v>4.0128000000000004</v>
      </c>
      <c r="T69" s="142"/>
      <c r="U69" s="139">
        <f t="shared" si="12"/>
        <v>0</v>
      </c>
      <c r="V69" s="141">
        <f t="shared" si="9"/>
        <v>88</v>
      </c>
      <c r="W69" s="141">
        <f t="shared" si="10"/>
        <v>4.0128000000000004</v>
      </c>
    </row>
    <row r="70" spans="1:23" x14ac:dyDescent="0.25">
      <c r="A70" s="108" t="s">
        <v>85</v>
      </c>
      <c r="B70" s="130">
        <v>140</v>
      </c>
      <c r="C70" s="130">
        <v>240</v>
      </c>
      <c r="D70" s="130">
        <v>12</v>
      </c>
      <c r="E70" s="131">
        <f t="shared" ref="E70:E72" si="16">(B70*C70*D70)/1000000</f>
        <v>0.4032</v>
      </c>
      <c r="F70" s="137">
        <f>'EYLÜL 4. HAFTA'!V70</f>
        <v>7</v>
      </c>
      <c r="G70" s="135">
        <f t="shared" ref="G70:G72" si="17">E70*F70</f>
        <v>2.8224</v>
      </c>
      <c r="H70" s="115"/>
      <c r="I70" s="115">
        <f t="shared" si="12"/>
        <v>0</v>
      </c>
      <c r="J70" s="115">
        <v>0</v>
      </c>
      <c r="K70" s="96">
        <f t="shared" si="13"/>
        <v>0</v>
      </c>
      <c r="L70" s="115"/>
      <c r="M70" s="115">
        <f t="shared" ref="M70:M72" si="18">I70*L70</f>
        <v>0</v>
      </c>
      <c r="N70" s="115">
        <v>0</v>
      </c>
      <c r="O70" s="96">
        <f t="shared" ref="O70:O72" si="19">E70*N70</f>
        <v>0</v>
      </c>
      <c r="P70" s="115">
        <v>0</v>
      </c>
      <c r="Q70" s="115">
        <f t="shared" ref="Q70:Q72" si="20">E70*P70</f>
        <v>0</v>
      </c>
      <c r="R70" s="97">
        <f t="shared" si="11"/>
        <v>7</v>
      </c>
      <c r="S70" s="97">
        <f t="shared" si="15"/>
        <v>2.8224</v>
      </c>
      <c r="T70" s="142"/>
      <c r="U70" s="139">
        <f t="shared" si="12"/>
        <v>0</v>
      </c>
      <c r="V70" s="141">
        <f t="shared" ref="V70:V71" si="21">R70+T70</f>
        <v>7</v>
      </c>
      <c r="W70" s="141">
        <f t="shared" ref="W70:W71" si="22">E70*V70</f>
        <v>2.8224</v>
      </c>
    </row>
    <row r="71" spans="1:23" x14ac:dyDescent="0.25">
      <c r="A71" s="108" t="s">
        <v>96</v>
      </c>
      <c r="B71" s="130">
        <v>140</v>
      </c>
      <c r="C71" s="130">
        <v>240</v>
      </c>
      <c r="D71" s="130">
        <v>2</v>
      </c>
      <c r="E71" s="131">
        <f t="shared" si="16"/>
        <v>6.7199999999999996E-2</v>
      </c>
      <c r="F71" s="135"/>
      <c r="G71" s="135">
        <f t="shared" si="17"/>
        <v>0</v>
      </c>
      <c r="H71" s="115"/>
      <c r="I71" s="115">
        <f t="shared" si="12"/>
        <v>0</v>
      </c>
      <c r="J71" s="115"/>
      <c r="K71" s="115">
        <f t="shared" si="13"/>
        <v>0</v>
      </c>
      <c r="L71" s="115"/>
      <c r="M71" s="115">
        <f t="shared" si="18"/>
        <v>0</v>
      </c>
      <c r="N71" s="115"/>
      <c r="O71" s="115">
        <f t="shared" si="19"/>
        <v>0</v>
      </c>
      <c r="P71" s="115"/>
      <c r="Q71" s="115">
        <f t="shared" si="20"/>
        <v>0</v>
      </c>
      <c r="R71" s="97"/>
      <c r="S71" s="97">
        <f t="shared" si="15"/>
        <v>0</v>
      </c>
      <c r="T71" s="142">
        <v>145</v>
      </c>
      <c r="U71" s="139">
        <f t="shared" ref="U71:U72" si="23">E71*T71</f>
        <v>9.7439999999999998</v>
      </c>
      <c r="V71" s="141">
        <f t="shared" si="21"/>
        <v>145</v>
      </c>
      <c r="W71" s="141">
        <f t="shared" si="22"/>
        <v>9.7439999999999998</v>
      </c>
    </row>
    <row r="72" spans="1:23" x14ac:dyDescent="0.25">
      <c r="A72" s="108" t="s">
        <v>95</v>
      </c>
      <c r="B72" s="132">
        <v>61</v>
      </c>
      <c r="C72" s="132">
        <v>61</v>
      </c>
      <c r="D72" s="132">
        <v>3</v>
      </c>
      <c r="E72" s="133">
        <f t="shared" si="16"/>
        <v>1.1162999999999999E-2</v>
      </c>
      <c r="F72" s="136">
        <v>48</v>
      </c>
      <c r="G72" s="136">
        <f t="shared" si="17"/>
        <v>0.53582399999999997</v>
      </c>
      <c r="H72" s="115"/>
      <c r="I72" s="115">
        <f t="shared" si="12"/>
        <v>0</v>
      </c>
      <c r="J72" s="115"/>
      <c r="K72" s="115">
        <f t="shared" si="13"/>
        <v>0</v>
      </c>
      <c r="L72" s="115"/>
      <c r="M72" s="115">
        <f t="shared" si="18"/>
        <v>0</v>
      </c>
      <c r="N72" s="115"/>
      <c r="O72" s="115">
        <f t="shared" si="19"/>
        <v>0</v>
      </c>
      <c r="P72" s="115"/>
      <c r="Q72" s="115">
        <f t="shared" si="20"/>
        <v>0</v>
      </c>
      <c r="R72" s="97"/>
      <c r="S72" s="97">
        <f t="shared" si="15"/>
        <v>0</v>
      </c>
      <c r="T72" s="142">
        <v>306</v>
      </c>
      <c r="U72" s="139">
        <f t="shared" si="23"/>
        <v>3.4158779999999997</v>
      </c>
      <c r="V72" s="141">
        <f t="shared" ref="V72" si="24">R72+T72</f>
        <v>306</v>
      </c>
      <c r="W72" s="141">
        <f t="shared" ref="W72" si="25">E72*V72</f>
        <v>3.4158779999999997</v>
      </c>
    </row>
  </sheetData>
  <mergeCells count="24">
    <mergeCell ref="B1:G1"/>
    <mergeCell ref="F2:G3"/>
    <mergeCell ref="H2:I2"/>
    <mergeCell ref="J2:K2"/>
    <mergeCell ref="L2:M2"/>
    <mergeCell ref="P2:Q2"/>
    <mergeCell ref="R2:S3"/>
    <mergeCell ref="T2:U3"/>
    <mergeCell ref="V2:W3"/>
    <mergeCell ref="H3:I3"/>
    <mergeCell ref="J3:K3"/>
    <mergeCell ref="L3:M3"/>
    <mergeCell ref="N3:O3"/>
    <mergeCell ref="P3:Q3"/>
    <mergeCell ref="N2:O2"/>
    <mergeCell ref="R4:S4"/>
    <mergeCell ref="T4:U4"/>
    <mergeCell ref="V4:W4"/>
    <mergeCell ref="F4:G4"/>
    <mergeCell ref="H4:I4"/>
    <mergeCell ref="J4:K4"/>
    <mergeCell ref="L4:M4"/>
    <mergeCell ref="N4:O4"/>
    <mergeCell ref="P4:Q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72"/>
  <sheetViews>
    <sheetView topLeftCell="C49" workbookViewId="0">
      <selection activeCell="E18" sqref="E18"/>
    </sheetView>
  </sheetViews>
  <sheetFormatPr defaultRowHeight="15" x14ac:dyDescent="0.25"/>
  <cols>
    <col min="1" max="1" width="23.85546875" style="3" customWidth="1"/>
    <col min="2" max="4" width="6.140625" style="2" customWidth="1"/>
    <col min="5" max="5" width="9" style="4" customWidth="1"/>
    <col min="6" max="7" width="9" style="5" customWidth="1"/>
    <col min="8" max="19" width="8.140625" style="2" customWidth="1"/>
  </cols>
  <sheetData>
    <row r="1" spans="1:23" ht="15.75" thickBot="1" x14ac:dyDescent="0.3">
      <c r="A1" s="4" t="s">
        <v>18</v>
      </c>
      <c r="B1" s="320" t="s">
        <v>92</v>
      </c>
      <c r="C1" s="320"/>
      <c r="D1" s="320"/>
      <c r="E1" s="320"/>
      <c r="F1" s="320"/>
      <c r="G1" s="320"/>
    </row>
    <row r="2" spans="1:23" s="1" customFormat="1" ht="15.75" thickBot="1" x14ac:dyDescent="0.3">
      <c r="A2" s="8" t="s">
        <v>87</v>
      </c>
      <c r="B2" s="28"/>
      <c r="C2" s="29"/>
      <c r="D2" s="29"/>
      <c r="E2" s="14"/>
      <c r="F2" s="321" t="s">
        <v>1</v>
      </c>
      <c r="G2" s="322"/>
      <c r="H2" s="325">
        <v>44844</v>
      </c>
      <c r="I2" s="326"/>
      <c r="J2" s="327">
        <v>44845</v>
      </c>
      <c r="K2" s="328"/>
      <c r="L2" s="325">
        <v>44846</v>
      </c>
      <c r="M2" s="329"/>
      <c r="N2" s="327">
        <v>44847</v>
      </c>
      <c r="O2" s="346"/>
      <c r="P2" s="325">
        <v>44848</v>
      </c>
      <c r="Q2" s="329"/>
      <c r="R2" s="330" t="s">
        <v>69</v>
      </c>
      <c r="S2" s="331"/>
      <c r="T2" s="334" t="s">
        <v>70</v>
      </c>
      <c r="U2" s="335"/>
      <c r="V2" s="338" t="s">
        <v>71</v>
      </c>
      <c r="W2" s="339"/>
    </row>
    <row r="3" spans="1:23" s="1" customFormat="1" ht="15.75" thickBot="1" x14ac:dyDescent="0.3">
      <c r="A3" s="7"/>
      <c r="B3" s="30"/>
      <c r="C3" s="31"/>
      <c r="D3" s="31"/>
      <c r="E3" s="15"/>
      <c r="F3" s="323"/>
      <c r="G3" s="324"/>
      <c r="H3" s="342" t="s">
        <v>68</v>
      </c>
      <c r="I3" s="343"/>
      <c r="J3" s="344" t="s">
        <v>68</v>
      </c>
      <c r="K3" s="345"/>
      <c r="L3" s="342" t="s">
        <v>68</v>
      </c>
      <c r="M3" s="343"/>
      <c r="N3" s="344" t="s">
        <v>68</v>
      </c>
      <c r="O3" s="345"/>
      <c r="P3" s="342" t="s">
        <v>68</v>
      </c>
      <c r="Q3" s="343"/>
      <c r="R3" s="332"/>
      <c r="S3" s="333"/>
      <c r="T3" s="336"/>
      <c r="U3" s="337"/>
      <c r="V3" s="340"/>
      <c r="W3" s="341"/>
    </row>
    <row r="4" spans="1:23" ht="15.75" thickBot="1" x14ac:dyDescent="0.3">
      <c r="A4" s="8" t="s">
        <v>0</v>
      </c>
      <c r="B4" s="16" t="s">
        <v>65</v>
      </c>
      <c r="C4" s="17" t="s">
        <v>66</v>
      </c>
      <c r="D4" s="17" t="s">
        <v>67</v>
      </c>
      <c r="E4" s="18" t="s">
        <v>64</v>
      </c>
      <c r="F4" s="323" t="s">
        <v>63</v>
      </c>
      <c r="G4" s="324"/>
      <c r="H4" s="353" t="s">
        <v>63</v>
      </c>
      <c r="I4" s="354"/>
      <c r="J4" s="355" t="s">
        <v>63</v>
      </c>
      <c r="K4" s="356"/>
      <c r="L4" s="353" t="s">
        <v>63</v>
      </c>
      <c r="M4" s="354"/>
      <c r="N4" s="355" t="s">
        <v>63</v>
      </c>
      <c r="O4" s="356"/>
      <c r="P4" s="353" t="s">
        <v>63</v>
      </c>
      <c r="Q4" s="354"/>
      <c r="R4" s="347" t="s">
        <v>63</v>
      </c>
      <c r="S4" s="348"/>
      <c r="T4" s="349" t="s">
        <v>63</v>
      </c>
      <c r="U4" s="350"/>
      <c r="V4" s="351" t="s">
        <v>63</v>
      </c>
      <c r="W4" s="357"/>
    </row>
    <row r="5" spans="1:23" x14ac:dyDescent="0.25">
      <c r="A5" s="42" t="s">
        <v>2</v>
      </c>
      <c r="B5" s="32">
        <v>140</v>
      </c>
      <c r="C5" s="33">
        <v>240</v>
      </c>
      <c r="D5" s="33">
        <v>1</v>
      </c>
      <c r="E5" s="15">
        <f>(B5*C5*D5)/1000000</f>
        <v>3.3599999999999998E-2</v>
      </c>
      <c r="F5" s="23">
        <f>'EKİM 1 HAFTA'!V5</f>
        <v>335</v>
      </c>
      <c r="G5" s="24">
        <f>E5*F5</f>
        <v>11.255999999999998</v>
      </c>
      <c r="H5" s="21">
        <v>15</v>
      </c>
      <c r="I5" s="11">
        <f>E5*H5</f>
        <v>0.504</v>
      </c>
      <c r="J5" s="21">
        <v>32</v>
      </c>
      <c r="K5" s="10">
        <f t="shared" ref="K5:K68" si="0">E5*J5</f>
        <v>1.0751999999999999</v>
      </c>
      <c r="L5" s="21">
        <v>43</v>
      </c>
      <c r="M5" s="11">
        <f t="shared" ref="M5:M69" si="1">E5*L5</f>
        <v>1.4447999999999999</v>
      </c>
      <c r="N5" s="21">
        <v>245</v>
      </c>
      <c r="O5" s="10">
        <f>E5*N5</f>
        <v>8.2319999999999993</v>
      </c>
      <c r="P5" s="21">
        <v>49</v>
      </c>
      <c r="Q5" s="11">
        <f>E5*P5</f>
        <v>1.6463999999999999</v>
      </c>
      <c r="R5" s="39">
        <f>F5-H5-J5-L5-N5-P5</f>
        <v>-49</v>
      </c>
      <c r="S5" s="38">
        <f t="shared" ref="S5:S68" si="2">E5*R5</f>
        <v>-1.6463999999999999</v>
      </c>
      <c r="T5" s="12">
        <v>102</v>
      </c>
      <c r="U5" s="13">
        <f>E5*T5</f>
        <v>3.4271999999999996</v>
      </c>
      <c r="V5" s="49">
        <f>R5+T5</f>
        <v>53</v>
      </c>
      <c r="W5" s="50">
        <f>E5*V5</f>
        <v>1.7807999999999999</v>
      </c>
    </row>
    <row r="6" spans="1:23" x14ac:dyDescent="0.25">
      <c r="A6" s="42" t="s">
        <v>3</v>
      </c>
      <c r="B6" s="34">
        <v>140</v>
      </c>
      <c r="C6" s="35">
        <v>240</v>
      </c>
      <c r="D6" s="35">
        <v>0.8</v>
      </c>
      <c r="E6" s="19">
        <f t="shared" ref="E6:E69" si="3">(B6*C6*D6)/1000000</f>
        <v>2.6880000000000001E-2</v>
      </c>
      <c r="F6" s="23">
        <f>'EKİM 1 HAFTA'!V6</f>
        <v>268</v>
      </c>
      <c r="G6" s="26">
        <f t="shared" ref="G6:G69" si="4">E6*F6</f>
        <v>7.2038400000000005</v>
      </c>
      <c r="H6" s="22">
        <v>0</v>
      </c>
      <c r="I6" s="11">
        <f t="shared" ref="I6:U67" si="5">E6*H6</f>
        <v>0</v>
      </c>
      <c r="J6" s="21">
        <v>18</v>
      </c>
      <c r="K6" s="10">
        <f t="shared" si="0"/>
        <v>0.48384000000000005</v>
      </c>
      <c r="L6" s="21">
        <v>0</v>
      </c>
      <c r="M6" s="11">
        <f t="shared" si="1"/>
        <v>0</v>
      </c>
      <c r="N6" s="21">
        <v>13</v>
      </c>
      <c r="O6" s="10">
        <f t="shared" ref="O6:O69" si="6">E6*N6</f>
        <v>0.34944000000000003</v>
      </c>
      <c r="P6" s="21">
        <v>0</v>
      </c>
      <c r="Q6" s="11">
        <f t="shared" ref="Q6:Q69" si="7">E6*P6</f>
        <v>0</v>
      </c>
      <c r="R6" s="39">
        <f>F6-H6-J6-L6-N6-P6</f>
        <v>237</v>
      </c>
      <c r="S6" s="38">
        <f t="shared" si="2"/>
        <v>6.3705600000000002</v>
      </c>
      <c r="T6" s="12"/>
      <c r="U6" s="13">
        <f t="shared" ref="U6:U66" si="8">E6*T6</f>
        <v>0</v>
      </c>
      <c r="V6" s="49">
        <f t="shared" ref="V6:V69" si="9">R6+T6</f>
        <v>237</v>
      </c>
      <c r="W6" s="50">
        <f t="shared" ref="W6:W69" si="10">E6*V6</f>
        <v>6.3705600000000002</v>
      </c>
    </row>
    <row r="7" spans="1:23" x14ac:dyDescent="0.25">
      <c r="A7" s="42" t="s">
        <v>4</v>
      </c>
      <c r="B7" s="34">
        <v>140</v>
      </c>
      <c r="C7" s="35">
        <v>240</v>
      </c>
      <c r="D7" s="35">
        <v>1.4</v>
      </c>
      <c r="E7" s="19">
        <f t="shared" si="3"/>
        <v>4.7039999999999998E-2</v>
      </c>
      <c r="F7" s="23">
        <f>'EKİM 1 HAFTA'!V7</f>
        <v>407</v>
      </c>
      <c r="G7" s="26">
        <f t="shared" si="4"/>
        <v>19.14528</v>
      </c>
      <c r="H7" s="22">
        <v>10</v>
      </c>
      <c r="I7" s="11">
        <f t="shared" si="5"/>
        <v>0.47039999999999998</v>
      </c>
      <c r="J7" s="21">
        <v>12</v>
      </c>
      <c r="K7" s="10">
        <f t="shared" si="0"/>
        <v>0.56447999999999998</v>
      </c>
      <c r="L7" s="21">
        <v>29</v>
      </c>
      <c r="M7" s="11">
        <f t="shared" si="1"/>
        <v>1.36416</v>
      </c>
      <c r="N7" s="21">
        <v>23</v>
      </c>
      <c r="O7" s="10">
        <f t="shared" si="6"/>
        <v>1.08192</v>
      </c>
      <c r="P7" s="21">
        <v>31</v>
      </c>
      <c r="Q7" s="11">
        <f t="shared" si="7"/>
        <v>1.45824</v>
      </c>
      <c r="R7" s="39">
        <f t="shared" ref="R7:R70" si="11">F7-H7-J7-L7-N7-P7</f>
        <v>302</v>
      </c>
      <c r="S7" s="38">
        <f t="shared" si="2"/>
        <v>14.20608</v>
      </c>
      <c r="T7" s="12"/>
      <c r="U7" s="13">
        <f t="shared" si="8"/>
        <v>0</v>
      </c>
      <c r="V7" s="49">
        <f t="shared" si="9"/>
        <v>302</v>
      </c>
      <c r="W7" s="50">
        <f t="shared" si="10"/>
        <v>14.20608</v>
      </c>
    </row>
    <row r="8" spans="1:23" x14ac:dyDescent="0.25">
      <c r="A8" s="42" t="s">
        <v>5</v>
      </c>
      <c r="B8" s="34">
        <v>140</v>
      </c>
      <c r="C8" s="35">
        <v>240</v>
      </c>
      <c r="D8" s="35">
        <v>4</v>
      </c>
      <c r="E8" s="19">
        <f t="shared" si="3"/>
        <v>0.13439999999999999</v>
      </c>
      <c r="F8" s="23">
        <f>'EKİM 1 HAFTA'!V8</f>
        <v>32</v>
      </c>
      <c r="G8" s="26">
        <f t="shared" si="4"/>
        <v>4.3007999999999997</v>
      </c>
      <c r="H8" s="22">
        <v>0</v>
      </c>
      <c r="I8" s="11">
        <f t="shared" si="5"/>
        <v>0</v>
      </c>
      <c r="J8" s="21">
        <v>1</v>
      </c>
      <c r="K8" s="10">
        <f t="shared" si="0"/>
        <v>0.13439999999999999</v>
      </c>
      <c r="L8" s="21">
        <v>0</v>
      </c>
      <c r="M8" s="11">
        <f t="shared" si="1"/>
        <v>0</v>
      </c>
      <c r="N8" s="21">
        <v>0</v>
      </c>
      <c r="O8" s="10">
        <f t="shared" si="6"/>
        <v>0</v>
      </c>
      <c r="P8" s="21">
        <v>0</v>
      </c>
      <c r="Q8" s="11">
        <f t="shared" si="7"/>
        <v>0</v>
      </c>
      <c r="R8" s="39">
        <f t="shared" si="11"/>
        <v>31</v>
      </c>
      <c r="S8" s="38">
        <f t="shared" si="2"/>
        <v>4.1663999999999994</v>
      </c>
      <c r="T8" s="12"/>
      <c r="U8" s="13">
        <f t="shared" si="8"/>
        <v>0</v>
      </c>
      <c r="V8" s="49">
        <f t="shared" si="9"/>
        <v>31</v>
      </c>
      <c r="W8" s="50">
        <f t="shared" si="10"/>
        <v>4.1663999999999994</v>
      </c>
    </row>
    <row r="9" spans="1:23" x14ac:dyDescent="0.25">
      <c r="A9" s="42" t="s">
        <v>6</v>
      </c>
      <c r="B9" s="34">
        <v>140</v>
      </c>
      <c r="C9" s="35">
        <v>240</v>
      </c>
      <c r="D9" s="35">
        <v>2</v>
      </c>
      <c r="E9" s="19">
        <f t="shared" si="3"/>
        <v>6.7199999999999996E-2</v>
      </c>
      <c r="F9" s="23">
        <f>'EKİM 1 HAFTA'!V9</f>
        <v>28</v>
      </c>
      <c r="G9" s="26">
        <f t="shared" si="4"/>
        <v>1.8815999999999999</v>
      </c>
      <c r="H9" s="22">
        <v>5</v>
      </c>
      <c r="I9" s="11">
        <f t="shared" si="5"/>
        <v>0.33599999999999997</v>
      </c>
      <c r="J9" s="21">
        <v>16</v>
      </c>
      <c r="K9" s="10">
        <f t="shared" si="0"/>
        <v>1.0751999999999999</v>
      </c>
      <c r="L9" s="21">
        <v>7</v>
      </c>
      <c r="M9" s="11">
        <f t="shared" si="1"/>
        <v>0.47039999999999998</v>
      </c>
      <c r="N9" s="21">
        <v>0</v>
      </c>
      <c r="O9" s="10">
        <f t="shared" si="6"/>
        <v>0</v>
      </c>
      <c r="P9" s="21">
        <v>0</v>
      </c>
      <c r="Q9" s="11">
        <f t="shared" si="7"/>
        <v>0</v>
      </c>
      <c r="R9" s="39">
        <f t="shared" si="11"/>
        <v>0</v>
      </c>
      <c r="S9" s="38">
        <f t="shared" si="2"/>
        <v>0</v>
      </c>
      <c r="T9" s="12"/>
      <c r="U9" s="13">
        <f t="shared" si="8"/>
        <v>0</v>
      </c>
      <c r="V9" s="49">
        <f t="shared" si="9"/>
        <v>0</v>
      </c>
      <c r="W9" s="50">
        <f t="shared" si="10"/>
        <v>0</v>
      </c>
    </row>
    <row r="10" spans="1:23" x14ac:dyDescent="0.25">
      <c r="A10" s="42" t="s">
        <v>7</v>
      </c>
      <c r="B10" s="34">
        <v>140</v>
      </c>
      <c r="C10" s="35">
        <v>240</v>
      </c>
      <c r="D10" s="35">
        <v>2</v>
      </c>
      <c r="E10" s="19">
        <f t="shared" si="3"/>
        <v>6.7199999999999996E-2</v>
      </c>
      <c r="F10" s="23">
        <f>'EKİM 1 HAFTA'!V10</f>
        <v>301</v>
      </c>
      <c r="G10" s="26">
        <f t="shared" si="4"/>
        <v>20.2272</v>
      </c>
      <c r="H10" s="22"/>
      <c r="I10" s="11">
        <f t="shared" si="5"/>
        <v>0</v>
      </c>
      <c r="J10" s="21">
        <v>10</v>
      </c>
      <c r="K10" s="10">
        <f t="shared" si="0"/>
        <v>0.67199999999999993</v>
      </c>
      <c r="L10" s="21">
        <v>26</v>
      </c>
      <c r="M10" s="11">
        <f t="shared" si="1"/>
        <v>1.7471999999999999</v>
      </c>
      <c r="N10" s="21">
        <v>26</v>
      </c>
      <c r="O10" s="10">
        <f t="shared" si="6"/>
        <v>1.7471999999999999</v>
      </c>
      <c r="P10" s="21">
        <v>0</v>
      </c>
      <c r="Q10" s="11">
        <f t="shared" si="7"/>
        <v>0</v>
      </c>
      <c r="R10" s="39">
        <f t="shared" si="11"/>
        <v>239</v>
      </c>
      <c r="S10" s="38">
        <f t="shared" si="2"/>
        <v>16.0608</v>
      </c>
      <c r="T10" s="12"/>
      <c r="U10" s="13">
        <f t="shared" si="8"/>
        <v>0</v>
      </c>
      <c r="V10" s="49">
        <f t="shared" si="9"/>
        <v>239</v>
      </c>
      <c r="W10" s="50">
        <f t="shared" si="10"/>
        <v>16.0608</v>
      </c>
    </row>
    <row r="11" spans="1:23" x14ac:dyDescent="0.25">
      <c r="A11" s="42" t="s">
        <v>8</v>
      </c>
      <c r="B11" s="34">
        <v>140</v>
      </c>
      <c r="C11" s="35">
        <v>240</v>
      </c>
      <c r="D11" s="35">
        <v>7</v>
      </c>
      <c r="E11" s="19">
        <f t="shared" si="3"/>
        <v>0.23519999999999999</v>
      </c>
      <c r="F11" s="23">
        <f>'EKİM 1 HAFTA'!V11</f>
        <v>12</v>
      </c>
      <c r="G11" s="26">
        <f t="shared" si="4"/>
        <v>2.8224</v>
      </c>
      <c r="H11" s="22">
        <v>2</v>
      </c>
      <c r="I11" s="11">
        <f t="shared" si="5"/>
        <v>0.47039999999999998</v>
      </c>
      <c r="J11" s="21">
        <v>5</v>
      </c>
      <c r="K11" s="10">
        <f t="shared" si="0"/>
        <v>1.1759999999999999</v>
      </c>
      <c r="L11" s="21">
        <v>4</v>
      </c>
      <c r="M11" s="11">
        <f t="shared" si="1"/>
        <v>0.94079999999999997</v>
      </c>
      <c r="N11" s="21">
        <v>1</v>
      </c>
      <c r="O11" s="10">
        <f t="shared" si="6"/>
        <v>0.23519999999999999</v>
      </c>
      <c r="P11" s="21">
        <v>0</v>
      </c>
      <c r="Q11" s="11">
        <f t="shared" si="7"/>
        <v>0</v>
      </c>
      <c r="R11" s="39">
        <f t="shared" si="11"/>
        <v>0</v>
      </c>
      <c r="S11" s="38">
        <f t="shared" si="2"/>
        <v>0</v>
      </c>
      <c r="T11" s="12"/>
      <c r="U11" s="13">
        <f t="shared" si="8"/>
        <v>0</v>
      </c>
      <c r="V11" s="49">
        <f t="shared" si="9"/>
        <v>0</v>
      </c>
      <c r="W11" s="50">
        <f t="shared" si="10"/>
        <v>0</v>
      </c>
    </row>
    <row r="12" spans="1:23" x14ac:dyDescent="0.25">
      <c r="A12" s="42" t="s">
        <v>9</v>
      </c>
      <c r="B12" s="34">
        <v>140</v>
      </c>
      <c r="C12" s="35">
        <v>240</v>
      </c>
      <c r="D12" s="35">
        <v>5</v>
      </c>
      <c r="E12" s="19">
        <f t="shared" si="3"/>
        <v>0.16800000000000001</v>
      </c>
      <c r="F12" s="23">
        <f>'EKİM 1 HAFTA'!V12</f>
        <v>362</v>
      </c>
      <c r="G12" s="26">
        <f t="shared" si="4"/>
        <v>60.816000000000003</v>
      </c>
      <c r="H12" s="22">
        <v>0</v>
      </c>
      <c r="I12" s="11">
        <f t="shared" si="5"/>
        <v>0</v>
      </c>
      <c r="J12" s="21">
        <v>1</v>
      </c>
      <c r="K12" s="10">
        <f t="shared" si="0"/>
        <v>0.16800000000000001</v>
      </c>
      <c r="L12" s="21">
        <v>2</v>
      </c>
      <c r="M12" s="11">
        <f t="shared" si="1"/>
        <v>0.33600000000000002</v>
      </c>
      <c r="N12" s="21">
        <v>1</v>
      </c>
      <c r="O12" s="10">
        <f t="shared" si="6"/>
        <v>0.16800000000000001</v>
      </c>
      <c r="P12" s="21">
        <v>0</v>
      </c>
      <c r="Q12" s="11">
        <f t="shared" si="7"/>
        <v>0</v>
      </c>
      <c r="R12" s="39">
        <f t="shared" si="11"/>
        <v>358</v>
      </c>
      <c r="S12" s="38">
        <f t="shared" si="2"/>
        <v>60.144000000000005</v>
      </c>
      <c r="T12" s="12"/>
      <c r="U12" s="13">
        <f t="shared" si="8"/>
        <v>0</v>
      </c>
      <c r="V12" s="49">
        <f t="shared" si="9"/>
        <v>358</v>
      </c>
      <c r="W12" s="50">
        <f t="shared" si="10"/>
        <v>60.144000000000005</v>
      </c>
    </row>
    <row r="13" spans="1:23" x14ac:dyDescent="0.25">
      <c r="A13" s="42" t="s">
        <v>10</v>
      </c>
      <c r="B13" s="34">
        <v>140</v>
      </c>
      <c r="C13" s="35">
        <v>240</v>
      </c>
      <c r="D13" s="35">
        <v>5</v>
      </c>
      <c r="E13" s="19">
        <f t="shared" si="3"/>
        <v>0.16800000000000001</v>
      </c>
      <c r="F13" s="23">
        <f>'EKİM 1 HAFTA'!V13</f>
        <v>35</v>
      </c>
      <c r="G13" s="26">
        <f t="shared" si="4"/>
        <v>5.8800000000000008</v>
      </c>
      <c r="H13" s="22">
        <v>3</v>
      </c>
      <c r="I13" s="11">
        <f t="shared" si="5"/>
        <v>0.504</v>
      </c>
      <c r="J13" s="21">
        <v>0</v>
      </c>
      <c r="K13" s="10">
        <f t="shared" si="0"/>
        <v>0</v>
      </c>
      <c r="L13" s="21">
        <v>0</v>
      </c>
      <c r="M13" s="11">
        <f t="shared" si="1"/>
        <v>0</v>
      </c>
      <c r="N13" s="21">
        <v>4</v>
      </c>
      <c r="O13" s="10">
        <f t="shared" si="6"/>
        <v>0.67200000000000004</v>
      </c>
      <c r="P13" s="21">
        <v>0</v>
      </c>
      <c r="Q13" s="11">
        <f t="shared" si="7"/>
        <v>0</v>
      </c>
      <c r="R13" s="39">
        <f t="shared" si="11"/>
        <v>28</v>
      </c>
      <c r="S13" s="38">
        <f t="shared" si="2"/>
        <v>4.7040000000000006</v>
      </c>
      <c r="T13" s="12"/>
      <c r="U13" s="13">
        <f t="shared" si="8"/>
        <v>0</v>
      </c>
      <c r="V13" s="49">
        <f t="shared" si="9"/>
        <v>28</v>
      </c>
      <c r="W13" s="50">
        <f t="shared" si="10"/>
        <v>4.7040000000000006</v>
      </c>
    </row>
    <row r="14" spans="1:23" x14ac:dyDescent="0.25">
      <c r="A14" s="42" t="s">
        <v>11</v>
      </c>
      <c r="B14" s="34">
        <v>140</v>
      </c>
      <c r="C14" s="35">
        <v>240</v>
      </c>
      <c r="D14" s="35">
        <v>5</v>
      </c>
      <c r="E14" s="19">
        <f t="shared" si="3"/>
        <v>0.16800000000000001</v>
      </c>
      <c r="F14" s="23">
        <f>'EKİM 1 HAFTA'!V14</f>
        <v>37</v>
      </c>
      <c r="G14" s="26">
        <f t="shared" si="4"/>
        <v>6.2160000000000002</v>
      </c>
      <c r="H14" s="22">
        <v>2</v>
      </c>
      <c r="I14" s="11">
        <f t="shared" si="5"/>
        <v>0.33600000000000002</v>
      </c>
      <c r="J14" s="21">
        <v>3</v>
      </c>
      <c r="K14" s="10">
        <f t="shared" si="0"/>
        <v>0.504</v>
      </c>
      <c r="L14" s="21">
        <v>6</v>
      </c>
      <c r="M14" s="11">
        <f t="shared" si="1"/>
        <v>1.008</v>
      </c>
      <c r="N14" s="21">
        <v>15</v>
      </c>
      <c r="O14" s="10">
        <f t="shared" si="6"/>
        <v>2.52</v>
      </c>
      <c r="P14" s="21">
        <v>0</v>
      </c>
      <c r="Q14" s="11">
        <f t="shared" si="7"/>
        <v>0</v>
      </c>
      <c r="R14" s="39">
        <f t="shared" si="11"/>
        <v>11</v>
      </c>
      <c r="S14" s="38">
        <f t="shared" si="2"/>
        <v>1.8480000000000001</v>
      </c>
      <c r="T14" s="12"/>
      <c r="U14" s="13">
        <f t="shared" si="8"/>
        <v>0</v>
      </c>
      <c r="V14" s="49">
        <f t="shared" si="9"/>
        <v>11</v>
      </c>
      <c r="W14" s="50">
        <f t="shared" si="10"/>
        <v>1.8480000000000001</v>
      </c>
    </row>
    <row r="15" spans="1:23" x14ac:dyDescent="0.25">
      <c r="A15" s="42" t="s">
        <v>12</v>
      </c>
      <c r="B15" s="34">
        <v>140</v>
      </c>
      <c r="C15" s="35">
        <v>240</v>
      </c>
      <c r="D15" s="35">
        <v>10</v>
      </c>
      <c r="E15" s="19">
        <f t="shared" si="3"/>
        <v>0.33600000000000002</v>
      </c>
      <c r="F15" s="23">
        <f>'EKİM 1 HAFTA'!V15</f>
        <v>27</v>
      </c>
      <c r="G15" s="26">
        <f t="shared" si="4"/>
        <v>9.072000000000001</v>
      </c>
      <c r="H15" s="22">
        <v>1</v>
      </c>
      <c r="I15" s="11">
        <f t="shared" si="5"/>
        <v>0.33600000000000002</v>
      </c>
      <c r="J15" s="21">
        <v>0</v>
      </c>
      <c r="K15" s="10">
        <f t="shared" si="0"/>
        <v>0</v>
      </c>
      <c r="L15" s="21">
        <v>2</v>
      </c>
      <c r="M15" s="11">
        <f t="shared" si="1"/>
        <v>0.67200000000000004</v>
      </c>
      <c r="N15" s="21">
        <v>0</v>
      </c>
      <c r="O15" s="10">
        <f t="shared" si="6"/>
        <v>0</v>
      </c>
      <c r="P15" s="21">
        <v>0</v>
      </c>
      <c r="Q15" s="11">
        <f t="shared" si="7"/>
        <v>0</v>
      </c>
      <c r="R15" s="39">
        <f t="shared" si="11"/>
        <v>24</v>
      </c>
      <c r="S15" s="38">
        <f t="shared" si="2"/>
        <v>8.0640000000000001</v>
      </c>
      <c r="T15" s="12"/>
      <c r="U15" s="13">
        <f t="shared" si="8"/>
        <v>0</v>
      </c>
      <c r="V15" s="49">
        <f t="shared" si="9"/>
        <v>24</v>
      </c>
      <c r="W15" s="50">
        <f t="shared" si="10"/>
        <v>8.0640000000000001</v>
      </c>
    </row>
    <row r="16" spans="1:23" x14ac:dyDescent="0.25">
      <c r="A16" s="42" t="s">
        <v>13</v>
      </c>
      <c r="B16" s="34">
        <v>140</v>
      </c>
      <c r="C16" s="35">
        <v>240</v>
      </c>
      <c r="D16" s="35">
        <v>3</v>
      </c>
      <c r="E16" s="19">
        <f t="shared" si="3"/>
        <v>0.1008</v>
      </c>
      <c r="F16" s="23">
        <f>'EKİM 1 HAFTA'!V16</f>
        <v>159</v>
      </c>
      <c r="G16" s="26">
        <f t="shared" si="4"/>
        <v>16.027200000000001</v>
      </c>
      <c r="H16" s="22">
        <v>5</v>
      </c>
      <c r="I16" s="11">
        <f t="shared" si="5"/>
        <v>0.504</v>
      </c>
      <c r="J16" s="21">
        <v>7</v>
      </c>
      <c r="K16" s="10">
        <f t="shared" si="0"/>
        <v>0.7056</v>
      </c>
      <c r="L16" s="21">
        <v>10</v>
      </c>
      <c r="M16" s="11">
        <f t="shared" si="1"/>
        <v>1.008</v>
      </c>
      <c r="N16" s="21">
        <v>7</v>
      </c>
      <c r="O16" s="10">
        <f t="shared" si="6"/>
        <v>0.7056</v>
      </c>
      <c r="P16" s="21">
        <v>13</v>
      </c>
      <c r="Q16" s="11">
        <f t="shared" si="7"/>
        <v>1.3104</v>
      </c>
      <c r="R16" s="39">
        <f t="shared" si="11"/>
        <v>117</v>
      </c>
      <c r="S16" s="38">
        <f t="shared" si="2"/>
        <v>11.7936</v>
      </c>
      <c r="T16" s="12"/>
      <c r="U16" s="13">
        <f t="shared" si="8"/>
        <v>0</v>
      </c>
      <c r="V16" s="49">
        <f t="shared" si="9"/>
        <v>117</v>
      </c>
      <c r="W16" s="50">
        <f t="shared" si="10"/>
        <v>11.7936</v>
      </c>
    </row>
    <row r="17" spans="1:23" x14ac:dyDescent="0.25">
      <c r="A17" s="42" t="s">
        <v>14</v>
      </c>
      <c r="B17" s="34">
        <v>140</v>
      </c>
      <c r="C17" s="35">
        <v>240</v>
      </c>
      <c r="D17" s="35">
        <v>5</v>
      </c>
      <c r="E17" s="19">
        <f t="shared" si="3"/>
        <v>0.16800000000000001</v>
      </c>
      <c r="F17" s="23">
        <f>'EKİM 1 HAFTA'!V17</f>
        <v>0</v>
      </c>
      <c r="G17" s="26">
        <f t="shared" si="4"/>
        <v>0</v>
      </c>
      <c r="H17" s="22"/>
      <c r="I17" s="11">
        <f t="shared" si="5"/>
        <v>0</v>
      </c>
      <c r="J17" s="21">
        <v>0</v>
      </c>
      <c r="K17" s="10">
        <f t="shared" si="0"/>
        <v>0</v>
      </c>
      <c r="L17" s="21">
        <v>0</v>
      </c>
      <c r="M17" s="11">
        <f t="shared" si="1"/>
        <v>0</v>
      </c>
      <c r="N17" s="21">
        <v>0</v>
      </c>
      <c r="O17" s="10">
        <f t="shared" si="6"/>
        <v>0</v>
      </c>
      <c r="P17" s="21">
        <v>0</v>
      </c>
      <c r="Q17" s="11">
        <f t="shared" si="7"/>
        <v>0</v>
      </c>
      <c r="R17" s="39">
        <f t="shared" si="11"/>
        <v>0</v>
      </c>
      <c r="S17" s="38">
        <f t="shared" si="2"/>
        <v>0</v>
      </c>
      <c r="T17" s="12"/>
      <c r="U17" s="13">
        <f t="shared" si="8"/>
        <v>0</v>
      </c>
      <c r="V17" s="49">
        <f t="shared" si="9"/>
        <v>0</v>
      </c>
      <c r="W17" s="50">
        <f t="shared" si="10"/>
        <v>0</v>
      </c>
    </row>
    <row r="18" spans="1:23" x14ac:dyDescent="0.25">
      <c r="A18" s="42" t="s">
        <v>15</v>
      </c>
      <c r="B18" s="34">
        <v>140</v>
      </c>
      <c r="C18" s="35">
        <v>240</v>
      </c>
      <c r="D18" s="35">
        <v>3</v>
      </c>
      <c r="E18" s="19">
        <f t="shared" si="3"/>
        <v>0.1008</v>
      </c>
      <c r="F18" s="23">
        <f>'EKİM 1 HAFTA'!V18</f>
        <v>177</v>
      </c>
      <c r="G18" s="26">
        <f t="shared" si="4"/>
        <v>17.8416</v>
      </c>
      <c r="H18" s="22">
        <v>4</v>
      </c>
      <c r="I18" s="11">
        <f t="shared" si="5"/>
        <v>0.4032</v>
      </c>
      <c r="J18" s="21">
        <v>0</v>
      </c>
      <c r="K18" s="10">
        <f t="shared" si="0"/>
        <v>0</v>
      </c>
      <c r="L18" s="21">
        <v>2</v>
      </c>
      <c r="M18" s="11">
        <f t="shared" si="1"/>
        <v>0.2016</v>
      </c>
      <c r="N18" s="21">
        <v>5</v>
      </c>
      <c r="O18" s="10">
        <f t="shared" si="6"/>
        <v>0.504</v>
      </c>
      <c r="P18" s="21">
        <v>11</v>
      </c>
      <c r="Q18" s="11">
        <f t="shared" si="7"/>
        <v>1.1088</v>
      </c>
      <c r="R18" s="39">
        <f t="shared" si="11"/>
        <v>155</v>
      </c>
      <c r="S18" s="38">
        <f t="shared" si="2"/>
        <v>15.624000000000001</v>
      </c>
      <c r="T18" s="12"/>
      <c r="U18" s="13">
        <f t="shared" si="8"/>
        <v>0</v>
      </c>
      <c r="V18" s="49">
        <f t="shared" si="9"/>
        <v>155</v>
      </c>
      <c r="W18" s="50">
        <f t="shared" si="10"/>
        <v>15.624000000000001</v>
      </c>
    </row>
    <row r="19" spans="1:23" x14ac:dyDescent="0.25">
      <c r="A19" s="42" t="s">
        <v>16</v>
      </c>
      <c r="B19" s="34">
        <v>140</v>
      </c>
      <c r="C19" s="35">
        <v>240</v>
      </c>
      <c r="D19" s="35">
        <v>8</v>
      </c>
      <c r="E19" s="19">
        <f t="shared" si="3"/>
        <v>0.26879999999999998</v>
      </c>
      <c r="F19" s="23">
        <f>'EKİM 1 HAFTA'!V19</f>
        <v>15</v>
      </c>
      <c r="G19" s="26">
        <f t="shared" si="4"/>
        <v>4.032</v>
      </c>
      <c r="H19" s="22"/>
      <c r="I19" s="11">
        <f t="shared" si="5"/>
        <v>0</v>
      </c>
      <c r="J19" s="21">
        <v>0</v>
      </c>
      <c r="K19" s="10">
        <f t="shared" si="0"/>
        <v>0</v>
      </c>
      <c r="L19" s="21">
        <v>2</v>
      </c>
      <c r="M19" s="11">
        <f t="shared" si="1"/>
        <v>0.53759999999999997</v>
      </c>
      <c r="N19" s="21">
        <v>0</v>
      </c>
      <c r="O19" s="10">
        <f t="shared" si="6"/>
        <v>0</v>
      </c>
      <c r="P19" s="21">
        <v>0</v>
      </c>
      <c r="Q19" s="11">
        <f t="shared" si="7"/>
        <v>0</v>
      </c>
      <c r="R19" s="39">
        <f t="shared" si="11"/>
        <v>13</v>
      </c>
      <c r="S19" s="38">
        <f t="shared" si="2"/>
        <v>3.4943999999999997</v>
      </c>
      <c r="T19" s="12"/>
      <c r="U19" s="13">
        <f t="shared" si="8"/>
        <v>0</v>
      </c>
      <c r="V19" s="49">
        <f t="shared" si="9"/>
        <v>13</v>
      </c>
      <c r="W19" s="50">
        <f t="shared" si="10"/>
        <v>3.4943999999999997</v>
      </c>
    </row>
    <row r="20" spans="1:23" x14ac:dyDescent="0.25">
      <c r="A20" s="42" t="s">
        <v>17</v>
      </c>
      <c r="B20" s="34">
        <v>140</v>
      </c>
      <c r="C20" s="35">
        <v>240</v>
      </c>
      <c r="D20" s="35">
        <v>8</v>
      </c>
      <c r="E20" s="19">
        <f t="shared" si="3"/>
        <v>0.26879999999999998</v>
      </c>
      <c r="F20" s="23">
        <f>'EKİM 1 HAFTA'!V20</f>
        <v>0</v>
      </c>
      <c r="G20" s="26">
        <f t="shared" si="4"/>
        <v>0</v>
      </c>
      <c r="H20" s="22"/>
      <c r="I20" s="11">
        <f t="shared" si="5"/>
        <v>0</v>
      </c>
      <c r="J20" s="21">
        <v>0</v>
      </c>
      <c r="K20" s="10">
        <f t="shared" si="0"/>
        <v>0</v>
      </c>
      <c r="L20" s="21">
        <v>0</v>
      </c>
      <c r="M20" s="11">
        <f t="shared" si="1"/>
        <v>0</v>
      </c>
      <c r="N20" s="21">
        <v>0</v>
      </c>
      <c r="O20" s="10">
        <f t="shared" si="6"/>
        <v>0</v>
      </c>
      <c r="P20" s="21">
        <v>0</v>
      </c>
      <c r="Q20" s="11">
        <f t="shared" si="7"/>
        <v>0</v>
      </c>
      <c r="R20" s="39">
        <f t="shared" si="11"/>
        <v>0</v>
      </c>
      <c r="S20" s="38">
        <f t="shared" si="2"/>
        <v>0</v>
      </c>
      <c r="T20" s="12"/>
      <c r="U20" s="13">
        <f t="shared" si="8"/>
        <v>0</v>
      </c>
      <c r="V20" s="49">
        <f t="shared" si="9"/>
        <v>0</v>
      </c>
      <c r="W20" s="50">
        <f t="shared" si="10"/>
        <v>0</v>
      </c>
    </row>
    <row r="21" spans="1:23" x14ac:dyDescent="0.25">
      <c r="A21" s="42" t="s">
        <v>19</v>
      </c>
      <c r="B21" s="34">
        <v>77</v>
      </c>
      <c r="C21" s="35">
        <v>55</v>
      </c>
      <c r="D21" s="35">
        <v>8</v>
      </c>
      <c r="E21" s="19">
        <f t="shared" si="3"/>
        <v>3.388E-2</v>
      </c>
      <c r="F21" s="23">
        <f>'EKİM 1 HAFTA'!V21</f>
        <v>4</v>
      </c>
      <c r="G21" s="26">
        <f t="shared" si="4"/>
        <v>0.13552</v>
      </c>
      <c r="H21" s="22"/>
      <c r="I21" s="11">
        <f t="shared" si="5"/>
        <v>0</v>
      </c>
      <c r="J21" s="21">
        <v>0</v>
      </c>
      <c r="K21" s="10">
        <f t="shared" si="0"/>
        <v>0</v>
      </c>
      <c r="L21" s="21">
        <v>0</v>
      </c>
      <c r="M21" s="11">
        <f t="shared" si="1"/>
        <v>0</v>
      </c>
      <c r="N21" s="21">
        <v>0</v>
      </c>
      <c r="O21" s="10">
        <f t="shared" si="6"/>
        <v>0</v>
      </c>
      <c r="P21" s="21">
        <v>0</v>
      </c>
      <c r="Q21" s="11">
        <f t="shared" si="7"/>
        <v>0</v>
      </c>
      <c r="R21" s="39">
        <f t="shared" si="11"/>
        <v>4</v>
      </c>
      <c r="S21" s="38">
        <f t="shared" si="2"/>
        <v>0.13552</v>
      </c>
      <c r="T21" s="12"/>
      <c r="U21" s="13">
        <f t="shared" si="8"/>
        <v>0</v>
      </c>
      <c r="V21" s="49">
        <f t="shared" si="9"/>
        <v>4</v>
      </c>
      <c r="W21" s="50">
        <f t="shared" si="10"/>
        <v>0.13552</v>
      </c>
    </row>
    <row r="22" spans="1:23" x14ac:dyDescent="0.25">
      <c r="A22" s="42" t="s">
        <v>20</v>
      </c>
      <c r="B22" s="34">
        <v>65</v>
      </c>
      <c r="C22" s="35">
        <v>50</v>
      </c>
      <c r="D22" s="35">
        <v>12</v>
      </c>
      <c r="E22" s="19">
        <f t="shared" si="3"/>
        <v>3.9E-2</v>
      </c>
      <c r="F22" s="23">
        <f>'EKİM 1 HAFTA'!V22</f>
        <v>26</v>
      </c>
      <c r="G22" s="26">
        <f t="shared" si="4"/>
        <v>1.014</v>
      </c>
      <c r="H22" s="22"/>
      <c r="I22" s="11">
        <f t="shared" si="5"/>
        <v>0</v>
      </c>
      <c r="J22" s="21">
        <v>0</v>
      </c>
      <c r="K22" s="10">
        <f t="shared" si="0"/>
        <v>0</v>
      </c>
      <c r="L22" s="21">
        <v>0</v>
      </c>
      <c r="M22" s="11">
        <f t="shared" si="1"/>
        <v>0</v>
      </c>
      <c r="N22" s="21">
        <v>0</v>
      </c>
      <c r="O22" s="10">
        <f t="shared" si="6"/>
        <v>0</v>
      </c>
      <c r="P22" s="21">
        <v>0</v>
      </c>
      <c r="Q22" s="11">
        <f t="shared" si="7"/>
        <v>0</v>
      </c>
      <c r="R22" s="39">
        <f t="shared" si="11"/>
        <v>26</v>
      </c>
      <c r="S22" s="38">
        <f t="shared" si="2"/>
        <v>1.014</v>
      </c>
      <c r="T22" s="12"/>
      <c r="U22" s="13">
        <f t="shared" si="8"/>
        <v>0</v>
      </c>
      <c r="V22" s="49">
        <f t="shared" si="9"/>
        <v>26</v>
      </c>
      <c r="W22" s="50">
        <f t="shared" si="10"/>
        <v>1.014</v>
      </c>
    </row>
    <row r="23" spans="1:23" x14ac:dyDescent="0.25">
      <c r="A23" s="42" t="s">
        <v>21</v>
      </c>
      <c r="B23" s="34"/>
      <c r="C23" s="35"/>
      <c r="D23" s="35"/>
      <c r="E23" s="19">
        <f t="shared" si="3"/>
        <v>0</v>
      </c>
      <c r="F23" s="23">
        <f>'EKİM 1 HAFTA'!V23</f>
        <v>74</v>
      </c>
      <c r="G23" s="26">
        <f t="shared" si="4"/>
        <v>0</v>
      </c>
      <c r="H23" s="22"/>
      <c r="I23" s="11">
        <f t="shared" si="5"/>
        <v>0</v>
      </c>
      <c r="J23" s="21">
        <v>0</v>
      </c>
      <c r="K23" s="10">
        <f t="shared" si="0"/>
        <v>0</v>
      </c>
      <c r="L23" s="21">
        <v>0</v>
      </c>
      <c r="M23" s="11">
        <f t="shared" si="1"/>
        <v>0</v>
      </c>
      <c r="N23" s="21">
        <v>0</v>
      </c>
      <c r="O23" s="10">
        <f t="shared" si="6"/>
        <v>0</v>
      </c>
      <c r="P23" s="21">
        <v>0</v>
      </c>
      <c r="Q23" s="11">
        <f t="shared" si="7"/>
        <v>0</v>
      </c>
      <c r="R23" s="39">
        <f t="shared" si="11"/>
        <v>74</v>
      </c>
      <c r="S23" s="38">
        <f t="shared" si="2"/>
        <v>0</v>
      </c>
      <c r="T23" s="12"/>
      <c r="U23" s="13">
        <f t="shared" si="8"/>
        <v>0</v>
      </c>
      <c r="V23" s="49">
        <f t="shared" si="9"/>
        <v>74</v>
      </c>
      <c r="W23" s="50">
        <f t="shared" si="10"/>
        <v>0</v>
      </c>
    </row>
    <row r="24" spans="1:23" x14ac:dyDescent="0.25">
      <c r="A24" s="42" t="s">
        <v>22</v>
      </c>
      <c r="B24" s="34">
        <v>66</v>
      </c>
      <c r="C24" s="35">
        <v>56</v>
      </c>
      <c r="D24" s="35">
        <v>12</v>
      </c>
      <c r="E24" s="19">
        <f t="shared" si="3"/>
        <v>4.4352000000000003E-2</v>
      </c>
      <c r="F24" s="23">
        <f>'EKİM 1 HAFTA'!V24</f>
        <v>28</v>
      </c>
      <c r="G24" s="26">
        <f t="shared" si="4"/>
        <v>1.2418560000000001</v>
      </c>
      <c r="H24" s="22"/>
      <c r="I24" s="11">
        <f t="shared" si="5"/>
        <v>0</v>
      </c>
      <c r="J24" s="21">
        <v>0</v>
      </c>
      <c r="K24" s="10">
        <f t="shared" si="0"/>
        <v>0</v>
      </c>
      <c r="L24" s="21">
        <v>0</v>
      </c>
      <c r="M24" s="11">
        <f t="shared" si="1"/>
        <v>0</v>
      </c>
      <c r="N24" s="21">
        <v>0</v>
      </c>
      <c r="O24" s="10">
        <f t="shared" si="6"/>
        <v>0</v>
      </c>
      <c r="P24" s="21">
        <v>0</v>
      </c>
      <c r="Q24" s="11">
        <f t="shared" si="7"/>
        <v>0</v>
      </c>
      <c r="R24" s="39">
        <f t="shared" si="11"/>
        <v>28</v>
      </c>
      <c r="S24" s="38">
        <f t="shared" si="2"/>
        <v>1.2418560000000001</v>
      </c>
      <c r="T24" s="12"/>
      <c r="U24" s="13">
        <f t="shared" si="8"/>
        <v>0</v>
      </c>
      <c r="V24" s="49">
        <f t="shared" si="9"/>
        <v>28</v>
      </c>
      <c r="W24" s="50">
        <f t="shared" si="10"/>
        <v>1.2418560000000001</v>
      </c>
    </row>
    <row r="25" spans="1:23" x14ac:dyDescent="0.25">
      <c r="A25" s="42" t="s">
        <v>23</v>
      </c>
      <c r="B25" s="34">
        <v>61.5</v>
      </c>
      <c r="C25" s="35">
        <v>61.5</v>
      </c>
      <c r="D25" s="35">
        <v>10</v>
      </c>
      <c r="E25" s="19">
        <f t="shared" si="3"/>
        <v>3.7822500000000002E-2</v>
      </c>
      <c r="F25" s="23">
        <f>'EKİM 1 HAFTA'!V25</f>
        <v>48</v>
      </c>
      <c r="G25" s="26">
        <f t="shared" si="4"/>
        <v>1.81548</v>
      </c>
      <c r="H25" s="22"/>
      <c r="I25" s="11">
        <f t="shared" si="5"/>
        <v>0</v>
      </c>
      <c r="J25" s="21">
        <v>0</v>
      </c>
      <c r="K25" s="10">
        <f t="shared" si="0"/>
        <v>0</v>
      </c>
      <c r="L25" s="21">
        <v>0</v>
      </c>
      <c r="M25" s="11">
        <f t="shared" si="1"/>
        <v>0</v>
      </c>
      <c r="N25" s="21">
        <v>0</v>
      </c>
      <c r="O25" s="10">
        <f t="shared" si="6"/>
        <v>0</v>
      </c>
      <c r="P25" s="21">
        <v>0</v>
      </c>
      <c r="Q25" s="11">
        <f t="shared" si="7"/>
        <v>0</v>
      </c>
      <c r="R25" s="39">
        <f t="shared" si="11"/>
        <v>48</v>
      </c>
      <c r="S25" s="38">
        <f t="shared" si="2"/>
        <v>1.81548</v>
      </c>
      <c r="T25" s="12"/>
      <c r="U25" s="13">
        <f t="shared" si="8"/>
        <v>0</v>
      </c>
      <c r="V25" s="49">
        <f t="shared" si="9"/>
        <v>48</v>
      </c>
      <c r="W25" s="50">
        <f t="shared" si="10"/>
        <v>1.81548</v>
      </c>
    </row>
    <row r="26" spans="1:23" x14ac:dyDescent="0.25">
      <c r="A26" s="42" t="s">
        <v>24</v>
      </c>
      <c r="B26" s="34">
        <v>82</v>
      </c>
      <c r="C26" s="35">
        <v>67</v>
      </c>
      <c r="D26" s="35">
        <v>5</v>
      </c>
      <c r="E26" s="19">
        <f t="shared" si="3"/>
        <v>2.7470000000000001E-2</v>
      </c>
      <c r="F26" s="23">
        <f>'EKİM 1 HAFTA'!V26</f>
        <v>30</v>
      </c>
      <c r="G26" s="26">
        <f t="shared" si="4"/>
        <v>0.82410000000000005</v>
      </c>
      <c r="H26" s="22"/>
      <c r="I26" s="11">
        <f t="shared" si="5"/>
        <v>0</v>
      </c>
      <c r="J26" s="21">
        <v>0</v>
      </c>
      <c r="K26" s="10">
        <f t="shared" si="0"/>
        <v>0</v>
      </c>
      <c r="L26" s="21">
        <v>0</v>
      </c>
      <c r="M26" s="11">
        <f t="shared" si="1"/>
        <v>0</v>
      </c>
      <c r="N26" s="21">
        <v>0</v>
      </c>
      <c r="O26" s="10">
        <f t="shared" si="6"/>
        <v>0</v>
      </c>
      <c r="P26" s="21">
        <v>0</v>
      </c>
      <c r="Q26" s="11">
        <f t="shared" si="7"/>
        <v>0</v>
      </c>
      <c r="R26" s="39">
        <f t="shared" si="11"/>
        <v>30</v>
      </c>
      <c r="S26" s="38">
        <f t="shared" si="2"/>
        <v>0.82410000000000005</v>
      </c>
      <c r="T26" s="12"/>
      <c r="U26" s="13">
        <f t="shared" si="8"/>
        <v>0</v>
      </c>
      <c r="V26" s="49">
        <f t="shared" si="9"/>
        <v>30</v>
      </c>
      <c r="W26" s="50">
        <f t="shared" si="10"/>
        <v>0.82410000000000005</v>
      </c>
    </row>
    <row r="27" spans="1:23" x14ac:dyDescent="0.25">
      <c r="A27" s="42" t="s">
        <v>25</v>
      </c>
      <c r="B27" s="34">
        <v>80</v>
      </c>
      <c r="C27" s="35">
        <v>62</v>
      </c>
      <c r="D27" s="35">
        <v>2</v>
      </c>
      <c r="E27" s="19">
        <f t="shared" si="3"/>
        <v>9.92E-3</v>
      </c>
      <c r="F27" s="23">
        <f>'EKİM 1 HAFTA'!V27</f>
        <v>36</v>
      </c>
      <c r="G27" s="26">
        <f t="shared" si="4"/>
        <v>0.35711999999999999</v>
      </c>
      <c r="H27" s="22"/>
      <c r="I27" s="11">
        <f t="shared" si="5"/>
        <v>0</v>
      </c>
      <c r="J27" s="21">
        <v>0</v>
      </c>
      <c r="K27" s="10">
        <f t="shared" si="0"/>
        <v>0</v>
      </c>
      <c r="L27" s="21">
        <v>0</v>
      </c>
      <c r="M27" s="11">
        <f t="shared" si="1"/>
        <v>0</v>
      </c>
      <c r="N27" s="21">
        <v>0</v>
      </c>
      <c r="O27" s="10">
        <f t="shared" si="6"/>
        <v>0</v>
      </c>
      <c r="P27" s="21">
        <v>0</v>
      </c>
      <c r="Q27" s="11">
        <f t="shared" si="7"/>
        <v>0</v>
      </c>
      <c r="R27" s="39">
        <f t="shared" si="11"/>
        <v>36</v>
      </c>
      <c r="S27" s="38">
        <f t="shared" si="2"/>
        <v>0.35711999999999999</v>
      </c>
      <c r="T27" s="12"/>
      <c r="U27" s="13">
        <f t="shared" si="8"/>
        <v>0</v>
      </c>
      <c r="V27" s="49">
        <f t="shared" si="9"/>
        <v>36</v>
      </c>
      <c r="W27" s="50">
        <f t="shared" si="10"/>
        <v>0.35711999999999999</v>
      </c>
    </row>
    <row r="28" spans="1:23" x14ac:dyDescent="0.25">
      <c r="A28" s="42" t="s">
        <v>26</v>
      </c>
      <c r="B28" s="34">
        <v>63</v>
      </c>
      <c r="C28" s="35">
        <v>55</v>
      </c>
      <c r="D28" s="35">
        <v>5</v>
      </c>
      <c r="E28" s="19">
        <f t="shared" si="3"/>
        <v>1.7325E-2</v>
      </c>
      <c r="F28" s="23">
        <f>'EKİM 1 HAFTA'!V28</f>
        <v>19</v>
      </c>
      <c r="G28" s="26">
        <f t="shared" si="4"/>
        <v>0.329175</v>
      </c>
      <c r="H28" s="22"/>
      <c r="I28" s="11">
        <f t="shared" si="5"/>
        <v>0</v>
      </c>
      <c r="J28" s="21">
        <v>0</v>
      </c>
      <c r="K28" s="10">
        <f t="shared" si="0"/>
        <v>0</v>
      </c>
      <c r="L28" s="21">
        <v>0</v>
      </c>
      <c r="M28" s="11">
        <f t="shared" si="1"/>
        <v>0</v>
      </c>
      <c r="N28" s="21">
        <v>0</v>
      </c>
      <c r="O28" s="10">
        <f t="shared" si="6"/>
        <v>0</v>
      </c>
      <c r="P28" s="21">
        <v>0</v>
      </c>
      <c r="Q28" s="11">
        <f t="shared" si="7"/>
        <v>0</v>
      </c>
      <c r="R28" s="39">
        <f t="shared" si="11"/>
        <v>19</v>
      </c>
      <c r="S28" s="38">
        <f t="shared" si="2"/>
        <v>0.329175</v>
      </c>
      <c r="T28" s="12"/>
      <c r="U28" s="13">
        <f t="shared" si="8"/>
        <v>0</v>
      </c>
      <c r="V28" s="49">
        <f t="shared" si="9"/>
        <v>19</v>
      </c>
      <c r="W28" s="50">
        <f t="shared" si="10"/>
        <v>0.329175</v>
      </c>
    </row>
    <row r="29" spans="1:23" x14ac:dyDescent="0.25">
      <c r="A29" s="42" t="s">
        <v>27</v>
      </c>
      <c r="B29" s="34">
        <v>140</v>
      </c>
      <c r="C29" s="35">
        <v>240</v>
      </c>
      <c r="D29" s="35">
        <v>5</v>
      </c>
      <c r="E29" s="19">
        <f t="shared" si="3"/>
        <v>0.16800000000000001</v>
      </c>
      <c r="F29" s="23">
        <f>'EKİM 1 HAFTA'!V29</f>
        <v>6</v>
      </c>
      <c r="G29" s="26">
        <f t="shared" si="4"/>
        <v>1.008</v>
      </c>
      <c r="H29" s="22"/>
      <c r="I29" s="11">
        <f t="shared" si="5"/>
        <v>0</v>
      </c>
      <c r="J29" s="21">
        <v>0</v>
      </c>
      <c r="K29" s="10">
        <f t="shared" si="0"/>
        <v>0</v>
      </c>
      <c r="L29" s="21">
        <v>0</v>
      </c>
      <c r="M29" s="11">
        <f t="shared" si="1"/>
        <v>0</v>
      </c>
      <c r="N29" s="21">
        <v>0</v>
      </c>
      <c r="O29" s="10">
        <f t="shared" si="6"/>
        <v>0</v>
      </c>
      <c r="P29" s="21">
        <v>0</v>
      </c>
      <c r="Q29" s="11">
        <f t="shared" si="7"/>
        <v>0</v>
      </c>
      <c r="R29" s="39">
        <f t="shared" si="11"/>
        <v>6</v>
      </c>
      <c r="S29" s="38">
        <f t="shared" si="2"/>
        <v>1.008</v>
      </c>
      <c r="T29" s="12"/>
      <c r="U29" s="13">
        <f t="shared" si="8"/>
        <v>0</v>
      </c>
      <c r="V29" s="49">
        <f t="shared" si="9"/>
        <v>6</v>
      </c>
      <c r="W29" s="50">
        <f t="shared" si="10"/>
        <v>1.008</v>
      </c>
    </row>
    <row r="30" spans="1:23" x14ac:dyDescent="0.25">
      <c r="A30" s="42" t="s">
        <v>28</v>
      </c>
      <c r="B30" s="34">
        <v>140</v>
      </c>
      <c r="C30" s="35">
        <v>240</v>
      </c>
      <c r="D30" s="35">
        <v>10</v>
      </c>
      <c r="E30" s="19">
        <f t="shared" si="3"/>
        <v>0.33600000000000002</v>
      </c>
      <c r="F30" s="23">
        <f>'EKİM 1 HAFTA'!V30</f>
        <v>11</v>
      </c>
      <c r="G30" s="26">
        <f t="shared" si="4"/>
        <v>3.6960000000000002</v>
      </c>
      <c r="H30" s="22"/>
      <c r="I30" s="11">
        <f t="shared" si="5"/>
        <v>0</v>
      </c>
      <c r="J30" s="21">
        <v>0</v>
      </c>
      <c r="K30" s="10">
        <f t="shared" si="0"/>
        <v>0</v>
      </c>
      <c r="L30" s="21">
        <v>0</v>
      </c>
      <c r="M30" s="11">
        <f t="shared" si="1"/>
        <v>0</v>
      </c>
      <c r="N30" s="21">
        <v>0</v>
      </c>
      <c r="O30" s="10">
        <f t="shared" si="6"/>
        <v>0</v>
      </c>
      <c r="P30" s="21">
        <v>0</v>
      </c>
      <c r="Q30" s="11">
        <f t="shared" si="7"/>
        <v>0</v>
      </c>
      <c r="R30" s="39">
        <f t="shared" si="11"/>
        <v>11</v>
      </c>
      <c r="S30" s="38">
        <f t="shared" si="2"/>
        <v>3.6960000000000002</v>
      </c>
      <c r="T30" s="12"/>
      <c r="U30" s="13">
        <f t="shared" si="8"/>
        <v>0</v>
      </c>
      <c r="V30" s="49">
        <f t="shared" si="9"/>
        <v>11</v>
      </c>
      <c r="W30" s="50">
        <f t="shared" si="10"/>
        <v>3.6960000000000002</v>
      </c>
    </row>
    <row r="31" spans="1:23" x14ac:dyDescent="0.25">
      <c r="A31" s="42" t="s">
        <v>29</v>
      </c>
      <c r="B31" s="34">
        <v>140</v>
      </c>
      <c r="C31" s="35">
        <v>240</v>
      </c>
      <c r="D31" s="35">
        <v>3</v>
      </c>
      <c r="E31" s="19">
        <f t="shared" si="3"/>
        <v>0.1008</v>
      </c>
      <c r="F31" s="23">
        <f>'EKİM 1 HAFTA'!V31</f>
        <v>26</v>
      </c>
      <c r="G31" s="26">
        <f t="shared" si="4"/>
        <v>2.6208</v>
      </c>
      <c r="H31" s="22"/>
      <c r="I31" s="11">
        <f t="shared" si="5"/>
        <v>0</v>
      </c>
      <c r="J31" s="21">
        <v>0</v>
      </c>
      <c r="K31" s="10">
        <f t="shared" si="0"/>
        <v>0</v>
      </c>
      <c r="L31" s="21">
        <v>0</v>
      </c>
      <c r="M31" s="11">
        <f t="shared" si="1"/>
        <v>0</v>
      </c>
      <c r="N31" s="21">
        <v>0</v>
      </c>
      <c r="O31" s="10">
        <f t="shared" si="6"/>
        <v>0</v>
      </c>
      <c r="P31" s="21">
        <v>0</v>
      </c>
      <c r="Q31" s="11">
        <f t="shared" si="7"/>
        <v>0</v>
      </c>
      <c r="R31" s="39">
        <f t="shared" si="11"/>
        <v>26</v>
      </c>
      <c r="S31" s="38">
        <f t="shared" si="2"/>
        <v>2.6208</v>
      </c>
      <c r="T31" s="12"/>
      <c r="U31" s="13">
        <f t="shared" si="8"/>
        <v>0</v>
      </c>
      <c r="V31" s="49">
        <f t="shared" si="9"/>
        <v>26</v>
      </c>
      <c r="W31" s="50">
        <f t="shared" si="10"/>
        <v>2.6208</v>
      </c>
    </row>
    <row r="32" spans="1:23" x14ac:dyDescent="0.25">
      <c r="A32" s="42" t="s">
        <v>30</v>
      </c>
      <c r="B32" s="34">
        <v>90</v>
      </c>
      <c r="C32" s="35">
        <v>80</v>
      </c>
      <c r="D32" s="35">
        <v>8</v>
      </c>
      <c r="E32" s="19">
        <f t="shared" si="3"/>
        <v>5.7599999999999998E-2</v>
      </c>
      <c r="F32" s="23">
        <f>'EKİM 1 HAFTA'!V32</f>
        <v>24</v>
      </c>
      <c r="G32" s="26">
        <f t="shared" si="4"/>
        <v>1.3824000000000001</v>
      </c>
      <c r="H32" s="22"/>
      <c r="I32" s="11">
        <f t="shared" si="5"/>
        <v>0</v>
      </c>
      <c r="J32" s="21">
        <v>0</v>
      </c>
      <c r="K32" s="10">
        <f t="shared" si="0"/>
        <v>0</v>
      </c>
      <c r="L32" s="21">
        <v>0</v>
      </c>
      <c r="M32" s="11">
        <f t="shared" si="1"/>
        <v>0</v>
      </c>
      <c r="N32" s="21">
        <v>24</v>
      </c>
      <c r="O32" s="10">
        <f t="shared" si="6"/>
        <v>1.3824000000000001</v>
      </c>
      <c r="P32" s="21">
        <v>0</v>
      </c>
      <c r="Q32" s="11">
        <f t="shared" si="7"/>
        <v>0</v>
      </c>
      <c r="R32" s="39">
        <f t="shared" si="11"/>
        <v>0</v>
      </c>
      <c r="S32" s="38">
        <f t="shared" si="2"/>
        <v>0</v>
      </c>
      <c r="T32" s="12"/>
      <c r="U32" s="13">
        <f t="shared" si="8"/>
        <v>0</v>
      </c>
      <c r="V32" s="49">
        <f t="shared" si="9"/>
        <v>0</v>
      </c>
      <c r="W32" s="50">
        <f t="shared" si="10"/>
        <v>0</v>
      </c>
    </row>
    <row r="33" spans="1:23" x14ac:dyDescent="0.25">
      <c r="A33" s="42" t="s">
        <v>31</v>
      </c>
      <c r="B33" s="34">
        <v>90</v>
      </c>
      <c r="C33" s="35">
        <v>80</v>
      </c>
      <c r="D33" s="35">
        <v>8</v>
      </c>
      <c r="E33" s="19">
        <f t="shared" si="3"/>
        <v>5.7599999999999998E-2</v>
      </c>
      <c r="F33" s="23">
        <f>'EKİM 1 HAFTA'!V33</f>
        <v>0</v>
      </c>
      <c r="G33" s="26">
        <f t="shared" si="4"/>
        <v>0</v>
      </c>
      <c r="H33" s="22"/>
      <c r="I33" s="11">
        <f t="shared" si="5"/>
        <v>0</v>
      </c>
      <c r="J33" s="21">
        <v>0</v>
      </c>
      <c r="K33" s="10">
        <f t="shared" si="0"/>
        <v>0</v>
      </c>
      <c r="L33" s="21">
        <v>0</v>
      </c>
      <c r="M33" s="11">
        <f t="shared" si="1"/>
        <v>0</v>
      </c>
      <c r="N33" s="21">
        <v>0</v>
      </c>
      <c r="O33" s="10">
        <f t="shared" si="6"/>
        <v>0</v>
      </c>
      <c r="P33" s="21">
        <v>0</v>
      </c>
      <c r="Q33" s="11">
        <f t="shared" si="7"/>
        <v>0</v>
      </c>
      <c r="R33" s="39">
        <f t="shared" si="11"/>
        <v>0</v>
      </c>
      <c r="S33" s="38">
        <f t="shared" si="2"/>
        <v>0</v>
      </c>
      <c r="T33" s="12"/>
      <c r="U33" s="13">
        <f t="shared" si="8"/>
        <v>0</v>
      </c>
      <c r="V33" s="49">
        <f t="shared" si="9"/>
        <v>0</v>
      </c>
      <c r="W33" s="50">
        <f t="shared" si="10"/>
        <v>0</v>
      </c>
    </row>
    <row r="34" spans="1:23" x14ac:dyDescent="0.25">
      <c r="A34" s="42" t="s">
        <v>32</v>
      </c>
      <c r="B34" s="34"/>
      <c r="C34" s="35"/>
      <c r="D34" s="35"/>
      <c r="E34" s="19">
        <f t="shared" si="3"/>
        <v>0</v>
      </c>
      <c r="F34" s="23">
        <f>'EKİM 1 HAFTA'!V34</f>
        <v>300</v>
      </c>
      <c r="G34" s="26">
        <f t="shared" si="4"/>
        <v>0</v>
      </c>
      <c r="H34" s="22"/>
      <c r="I34" s="11">
        <f t="shared" si="5"/>
        <v>0</v>
      </c>
      <c r="J34" s="21">
        <v>0</v>
      </c>
      <c r="K34" s="10">
        <f t="shared" si="0"/>
        <v>0</v>
      </c>
      <c r="L34" s="21">
        <v>0</v>
      </c>
      <c r="M34" s="11">
        <f t="shared" si="1"/>
        <v>0</v>
      </c>
      <c r="N34" s="21">
        <v>0</v>
      </c>
      <c r="O34" s="10">
        <f t="shared" si="6"/>
        <v>0</v>
      </c>
      <c r="P34" s="21">
        <v>0</v>
      </c>
      <c r="Q34" s="11">
        <f t="shared" si="7"/>
        <v>0</v>
      </c>
      <c r="R34" s="39">
        <f t="shared" si="11"/>
        <v>300</v>
      </c>
      <c r="S34" s="38">
        <f t="shared" si="2"/>
        <v>0</v>
      </c>
      <c r="T34" s="12"/>
      <c r="U34" s="13">
        <f t="shared" si="8"/>
        <v>0</v>
      </c>
      <c r="V34" s="49">
        <f t="shared" si="9"/>
        <v>300</v>
      </c>
      <c r="W34" s="50">
        <f t="shared" si="10"/>
        <v>0</v>
      </c>
    </row>
    <row r="35" spans="1:23" x14ac:dyDescent="0.25">
      <c r="A35" s="42" t="s">
        <v>33</v>
      </c>
      <c r="B35" s="34">
        <v>80</v>
      </c>
      <c r="C35" s="35">
        <v>66</v>
      </c>
      <c r="D35" s="35">
        <v>5</v>
      </c>
      <c r="E35" s="19">
        <f t="shared" si="3"/>
        <v>2.64E-2</v>
      </c>
      <c r="F35" s="23">
        <f>'EKİM 1 HAFTA'!V35</f>
        <v>56</v>
      </c>
      <c r="G35" s="26">
        <f t="shared" si="4"/>
        <v>1.4783999999999999</v>
      </c>
      <c r="H35" s="22"/>
      <c r="I35" s="11">
        <f t="shared" si="5"/>
        <v>0</v>
      </c>
      <c r="J35" s="21">
        <v>0</v>
      </c>
      <c r="K35" s="10">
        <f t="shared" si="0"/>
        <v>0</v>
      </c>
      <c r="L35" s="21">
        <v>0</v>
      </c>
      <c r="M35" s="11">
        <f t="shared" si="1"/>
        <v>0</v>
      </c>
      <c r="N35" s="21">
        <v>0</v>
      </c>
      <c r="O35" s="10">
        <f t="shared" si="6"/>
        <v>0</v>
      </c>
      <c r="P35" s="21">
        <v>0</v>
      </c>
      <c r="Q35" s="11">
        <f t="shared" si="7"/>
        <v>0</v>
      </c>
      <c r="R35" s="39">
        <f t="shared" si="11"/>
        <v>56</v>
      </c>
      <c r="S35" s="38">
        <f t="shared" si="2"/>
        <v>1.4783999999999999</v>
      </c>
      <c r="T35" s="12"/>
      <c r="U35" s="13">
        <f t="shared" si="8"/>
        <v>0</v>
      </c>
      <c r="V35" s="49">
        <f t="shared" si="9"/>
        <v>56</v>
      </c>
      <c r="W35" s="50">
        <f t="shared" si="10"/>
        <v>1.4783999999999999</v>
      </c>
    </row>
    <row r="36" spans="1:23" x14ac:dyDescent="0.25">
      <c r="A36" s="42" t="s">
        <v>34</v>
      </c>
      <c r="B36" s="34">
        <v>60</v>
      </c>
      <c r="C36" s="35">
        <v>62</v>
      </c>
      <c r="D36" s="35">
        <v>5</v>
      </c>
      <c r="E36" s="19">
        <f t="shared" si="3"/>
        <v>1.8599999999999998E-2</v>
      </c>
      <c r="F36" s="23">
        <f>'EKİM 1 HAFTA'!V36</f>
        <v>9</v>
      </c>
      <c r="G36" s="26">
        <f t="shared" si="4"/>
        <v>0.16739999999999999</v>
      </c>
      <c r="H36" s="22"/>
      <c r="I36" s="11">
        <f t="shared" si="5"/>
        <v>0</v>
      </c>
      <c r="J36" s="21">
        <v>0</v>
      </c>
      <c r="K36" s="10">
        <f t="shared" si="0"/>
        <v>0</v>
      </c>
      <c r="L36" s="21">
        <v>0</v>
      </c>
      <c r="M36" s="11">
        <f t="shared" si="1"/>
        <v>0</v>
      </c>
      <c r="N36" s="21">
        <v>0</v>
      </c>
      <c r="O36" s="10">
        <f t="shared" si="6"/>
        <v>0</v>
      </c>
      <c r="P36" s="21">
        <v>0</v>
      </c>
      <c r="Q36" s="11">
        <f t="shared" si="7"/>
        <v>0</v>
      </c>
      <c r="R36" s="39">
        <f t="shared" si="11"/>
        <v>9</v>
      </c>
      <c r="S36" s="38">
        <f t="shared" si="2"/>
        <v>0.16739999999999999</v>
      </c>
      <c r="T36" s="12"/>
      <c r="U36" s="13">
        <f t="shared" si="8"/>
        <v>0</v>
      </c>
      <c r="V36" s="49">
        <f t="shared" si="9"/>
        <v>9</v>
      </c>
      <c r="W36" s="50">
        <f t="shared" si="10"/>
        <v>0.16739999999999999</v>
      </c>
    </row>
    <row r="37" spans="1:23" x14ac:dyDescent="0.25">
      <c r="A37" s="42" t="s">
        <v>41</v>
      </c>
      <c r="B37" s="34">
        <v>60</v>
      </c>
      <c r="C37" s="35">
        <v>67</v>
      </c>
      <c r="D37" s="35">
        <v>3</v>
      </c>
      <c r="E37" s="19">
        <f t="shared" si="3"/>
        <v>1.206E-2</v>
      </c>
      <c r="F37" s="23">
        <f>'EKİM 1 HAFTA'!V37</f>
        <v>12</v>
      </c>
      <c r="G37" s="26">
        <f t="shared" si="4"/>
        <v>0.14471999999999999</v>
      </c>
      <c r="H37" s="22"/>
      <c r="I37" s="11">
        <f t="shared" si="5"/>
        <v>0</v>
      </c>
      <c r="J37" s="21">
        <v>0</v>
      </c>
      <c r="K37" s="10">
        <f t="shared" si="0"/>
        <v>0</v>
      </c>
      <c r="L37" s="21">
        <v>0</v>
      </c>
      <c r="M37" s="11">
        <f t="shared" si="1"/>
        <v>0</v>
      </c>
      <c r="N37" s="21">
        <v>0</v>
      </c>
      <c r="O37" s="10">
        <f t="shared" si="6"/>
        <v>0</v>
      </c>
      <c r="P37" s="21">
        <v>0</v>
      </c>
      <c r="Q37" s="11">
        <f t="shared" si="7"/>
        <v>0</v>
      </c>
      <c r="R37" s="39">
        <f t="shared" si="11"/>
        <v>12</v>
      </c>
      <c r="S37" s="38">
        <f t="shared" si="2"/>
        <v>0.14471999999999999</v>
      </c>
      <c r="T37" s="12"/>
      <c r="U37" s="13">
        <f t="shared" si="8"/>
        <v>0</v>
      </c>
      <c r="V37" s="49">
        <f t="shared" si="9"/>
        <v>12</v>
      </c>
      <c r="W37" s="50">
        <f t="shared" si="10"/>
        <v>0.14471999999999999</v>
      </c>
    </row>
    <row r="38" spans="1:23" x14ac:dyDescent="0.25">
      <c r="A38" s="42" t="s">
        <v>35</v>
      </c>
      <c r="B38" s="34">
        <v>140</v>
      </c>
      <c r="C38" s="35">
        <v>240</v>
      </c>
      <c r="D38" s="35">
        <v>7</v>
      </c>
      <c r="E38" s="19">
        <f t="shared" si="3"/>
        <v>0.23519999999999999</v>
      </c>
      <c r="F38" s="23">
        <f>'EKİM 1 HAFTA'!V38</f>
        <v>4</v>
      </c>
      <c r="G38" s="26">
        <f t="shared" si="4"/>
        <v>0.94079999999999997</v>
      </c>
      <c r="H38" s="22"/>
      <c r="I38" s="11">
        <f t="shared" si="5"/>
        <v>0</v>
      </c>
      <c r="J38" s="21">
        <v>0</v>
      </c>
      <c r="K38" s="10">
        <f t="shared" si="0"/>
        <v>0</v>
      </c>
      <c r="L38" s="21">
        <v>0</v>
      </c>
      <c r="M38" s="11">
        <f t="shared" si="1"/>
        <v>0</v>
      </c>
      <c r="N38" s="21">
        <v>0</v>
      </c>
      <c r="O38" s="10">
        <f t="shared" si="6"/>
        <v>0</v>
      </c>
      <c r="P38" s="21">
        <v>0</v>
      </c>
      <c r="Q38" s="11">
        <f t="shared" si="7"/>
        <v>0</v>
      </c>
      <c r="R38" s="39">
        <f t="shared" si="11"/>
        <v>4</v>
      </c>
      <c r="S38" s="38">
        <f t="shared" si="2"/>
        <v>0.94079999999999997</v>
      </c>
      <c r="T38" s="12"/>
      <c r="U38" s="13">
        <f t="shared" si="8"/>
        <v>0</v>
      </c>
      <c r="V38" s="49">
        <f t="shared" si="9"/>
        <v>4</v>
      </c>
      <c r="W38" s="50">
        <f t="shared" si="10"/>
        <v>0.94079999999999997</v>
      </c>
    </row>
    <row r="39" spans="1:23" x14ac:dyDescent="0.25">
      <c r="A39" s="42" t="s">
        <v>36</v>
      </c>
      <c r="B39" s="34">
        <v>60</v>
      </c>
      <c r="C39" s="35">
        <v>56</v>
      </c>
      <c r="D39" s="35">
        <v>10</v>
      </c>
      <c r="E39" s="19">
        <f t="shared" si="3"/>
        <v>3.3599999999999998E-2</v>
      </c>
      <c r="F39" s="23">
        <f>'EKİM 1 HAFTA'!V39</f>
        <v>30</v>
      </c>
      <c r="G39" s="26">
        <f t="shared" si="4"/>
        <v>1.008</v>
      </c>
      <c r="H39" s="22"/>
      <c r="I39" s="11">
        <f t="shared" si="5"/>
        <v>0</v>
      </c>
      <c r="J39" s="21">
        <v>0</v>
      </c>
      <c r="K39" s="10">
        <f t="shared" si="0"/>
        <v>0</v>
      </c>
      <c r="L39" s="21">
        <v>0</v>
      </c>
      <c r="M39" s="11">
        <f t="shared" si="1"/>
        <v>0</v>
      </c>
      <c r="N39" s="21">
        <v>0</v>
      </c>
      <c r="O39" s="10">
        <f t="shared" si="6"/>
        <v>0</v>
      </c>
      <c r="P39" s="21">
        <v>0</v>
      </c>
      <c r="Q39" s="11">
        <f t="shared" si="7"/>
        <v>0</v>
      </c>
      <c r="R39" s="39">
        <f t="shared" si="11"/>
        <v>30</v>
      </c>
      <c r="S39" s="38">
        <f t="shared" si="2"/>
        <v>1.008</v>
      </c>
      <c r="T39" s="12"/>
      <c r="U39" s="13">
        <f t="shared" si="8"/>
        <v>0</v>
      </c>
      <c r="V39" s="49">
        <f t="shared" si="9"/>
        <v>30</v>
      </c>
      <c r="W39" s="50">
        <f t="shared" si="10"/>
        <v>1.008</v>
      </c>
    </row>
    <row r="40" spans="1:23" x14ac:dyDescent="0.25">
      <c r="A40" s="42" t="s">
        <v>37</v>
      </c>
      <c r="B40" s="34">
        <v>58</v>
      </c>
      <c r="C40" s="35">
        <v>55</v>
      </c>
      <c r="D40" s="35">
        <v>10</v>
      </c>
      <c r="E40" s="19">
        <f t="shared" si="3"/>
        <v>3.1899999999999998E-2</v>
      </c>
      <c r="F40" s="23">
        <f>'EKİM 1 HAFTA'!V40</f>
        <v>66</v>
      </c>
      <c r="G40" s="26">
        <f t="shared" si="4"/>
        <v>2.1053999999999999</v>
      </c>
      <c r="H40" s="22"/>
      <c r="I40" s="11">
        <f t="shared" si="5"/>
        <v>0</v>
      </c>
      <c r="J40" s="21">
        <v>0</v>
      </c>
      <c r="K40" s="10">
        <f t="shared" si="0"/>
        <v>0</v>
      </c>
      <c r="L40" s="21">
        <v>0</v>
      </c>
      <c r="M40" s="11">
        <f t="shared" si="1"/>
        <v>0</v>
      </c>
      <c r="N40" s="21">
        <v>0</v>
      </c>
      <c r="O40" s="10">
        <f t="shared" si="6"/>
        <v>0</v>
      </c>
      <c r="P40" s="21">
        <v>0</v>
      </c>
      <c r="Q40" s="11">
        <f t="shared" si="7"/>
        <v>0</v>
      </c>
      <c r="R40" s="39">
        <f t="shared" si="11"/>
        <v>66</v>
      </c>
      <c r="S40" s="38">
        <f t="shared" si="2"/>
        <v>2.1053999999999999</v>
      </c>
      <c r="T40" s="12"/>
      <c r="U40" s="13">
        <f t="shared" si="8"/>
        <v>0</v>
      </c>
      <c r="V40" s="49">
        <f t="shared" si="9"/>
        <v>66</v>
      </c>
      <c r="W40" s="50">
        <f t="shared" si="10"/>
        <v>2.1053999999999999</v>
      </c>
    </row>
    <row r="41" spans="1:23" x14ac:dyDescent="0.25">
      <c r="A41" s="42" t="s">
        <v>38</v>
      </c>
      <c r="B41" s="34">
        <v>63</v>
      </c>
      <c r="C41" s="35">
        <v>55</v>
      </c>
      <c r="D41" s="35">
        <v>5</v>
      </c>
      <c r="E41" s="19">
        <f t="shared" si="3"/>
        <v>1.7325E-2</v>
      </c>
      <c r="F41" s="23">
        <f>'EKİM 1 HAFTA'!V41</f>
        <v>10</v>
      </c>
      <c r="G41" s="26">
        <f t="shared" si="4"/>
        <v>0.17325000000000002</v>
      </c>
      <c r="H41" s="22"/>
      <c r="I41" s="11">
        <f t="shared" si="5"/>
        <v>0</v>
      </c>
      <c r="J41" s="21">
        <v>0</v>
      </c>
      <c r="K41" s="10">
        <f t="shared" si="0"/>
        <v>0</v>
      </c>
      <c r="L41" s="21">
        <v>0</v>
      </c>
      <c r="M41" s="11">
        <f t="shared" si="1"/>
        <v>0</v>
      </c>
      <c r="N41" s="21">
        <v>0</v>
      </c>
      <c r="O41" s="10">
        <f t="shared" si="6"/>
        <v>0</v>
      </c>
      <c r="P41" s="21">
        <v>0</v>
      </c>
      <c r="Q41" s="11">
        <f t="shared" si="7"/>
        <v>0</v>
      </c>
      <c r="R41" s="39">
        <f t="shared" si="11"/>
        <v>10</v>
      </c>
      <c r="S41" s="38">
        <f t="shared" si="2"/>
        <v>0.17325000000000002</v>
      </c>
      <c r="T41" s="12"/>
      <c r="U41" s="13">
        <f t="shared" si="8"/>
        <v>0</v>
      </c>
      <c r="V41" s="49">
        <f t="shared" si="9"/>
        <v>10</v>
      </c>
      <c r="W41" s="50">
        <f t="shared" si="10"/>
        <v>0.17325000000000002</v>
      </c>
    </row>
    <row r="42" spans="1:23" x14ac:dyDescent="0.25">
      <c r="A42" s="42" t="s">
        <v>39</v>
      </c>
      <c r="B42" s="34">
        <v>52</v>
      </c>
      <c r="C42" s="35">
        <v>52</v>
      </c>
      <c r="D42" s="35">
        <v>5</v>
      </c>
      <c r="E42" s="19">
        <f t="shared" si="3"/>
        <v>1.3520000000000001E-2</v>
      </c>
      <c r="F42" s="23">
        <f>'EKİM 1 HAFTA'!V42</f>
        <v>60</v>
      </c>
      <c r="G42" s="26">
        <f t="shared" si="4"/>
        <v>0.81120000000000003</v>
      </c>
      <c r="H42" s="22"/>
      <c r="I42" s="11">
        <f t="shared" si="5"/>
        <v>0</v>
      </c>
      <c r="J42" s="21">
        <v>0</v>
      </c>
      <c r="K42" s="10">
        <f t="shared" si="0"/>
        <v>0</v>
      </c>
      <c r="L42" s="21">
        <v>60</v>
      </c>
      <c r="M42" s="11">
        <f t="shared" si="1"/>
        <v>0.81120000000000003</v>
      </c>
      <c r="N42" s="21">
        <v>0</v>
      </c>
      <c r="O42" s="10">
        <f t="shared" si="6"/>
        <v>0</v>
      </c>
      <c r="P42" s="21">
        <v>0</v>
      </c>
      <c r="Q42" s="11">
        <f t="shared" si="7"/>
        <v>0</v>
      </c>
      <c r="R42" s="39">
        <f t="shared" si="11"/>
        <v>0</v>
      </c>
      <c r="S42" s="38">
        <f t="shared" si="2"/>
        <v>0</v>
      </c>
      <c r="T42" s="12"/>
      <c r="U42" s="13">
        <f t="shared" si="8"/>
        <v>0</v>
      </c>
      <c r="V42" s="49">
        <f t="shared" si="9"/>
        <v>0</v>
      </c>
      <c r="W42" s="50">
        <f t="shared" si="10"/>
        <v>0</v>
      </c>
    </row>
    <row r="43" spans="1:23" x14ac:dyDescent="0.25">
      <c r="A43" s="42" t="s">
        <v>40</v>
      </c>
      <c r="B43" s="34">
        <v>80</v>
      </c>
      <c r="C43" s="35">
        <v>70</v>
      </c>
      <c r="D43" s="35">
        <v>8</v>
      </c>
      <c r="E43" s="19">
        <f t="shared" si="3"/>
        <v>4.48E-2</v>
      </c>
      <c r="F43" s="23">
        <f>'EKİM 1 HAFTA'!V43</f>
        <v>386</v>
      </c>
      <c r="G43" s="26">
        <f t="shared" si="4"/>
        <v>17.2928</v>
      </c>
      <c r="H43" s="22">
        <v>2</v>
      </c>
      <c r="I43" s="11">
        <f t="shared" si="5"/>
        <v>8.9599999999999999E-2</v>
      </c>
      <c r="J43" s="21">
        <v>0</v>
      </c>
      <c r="K43" s="10">
        <f t="shared" si="0"/>
        <v>0</v>
      </c>
      <c r="L43" s="21">
        <v>0</v>
      </c>
      <c r="M43" s="11">
        <f t="shared" si="1"/>
        <v>0</v>
      </c>
      <c r="N43" s="21">
        <v>0</v>
      </c>
      <c r="O43" s="10">
        <f t="shared" si="6"/>
        <v>0</v>
      </c>
      <c r="P43" s="21">
        <v>2</v>
      </c>
      <c r="Q43" s="11">
        <f t="shared" si="7"/>
        <v>8.9599999999999999E-2</v>
      </c>
      <c r="R43" s="39">
        <f t="shared" si="11"/>
        <v>382</v>
      </c>
      <c r="S43" s="38">
        <f t="shared" si="2"/>
        <v>17.113599999999998</v>
      </c>
      <c r="T43" s="12"/>
      <c r="U43" s="13">
        <f t="shared" si="8"/>
        <v>0</v>
      </c>
      <c r="V43" s="49">
        <f t="shared" si="9"/>
        <v>382</v>
      </c>
      <c r="W43" s="50">
        <f t="shared" si="10"/>
        <v>17.113599999999998</v>
      </c>
    </row>
    <row r="44" spans="1:23" x14ac:dyDescent="0.25">
      <c r="A44" s="42" t="s">
        <v>42</v>
      </c>
      <c r="B44" s="34">
        <v>70</v>
      </c>
      <c r="C44" s="35">
        <v>64</v>
      </c>
      <c r="D44" s="35">
        <v>8</v>
      </c>
      <c r="E44" s="19">
        <f t="shared" si="3"/>
        <v>3.5839999999999997E-2</v>
      </c>
      <c r="F44" s="23">
        <f>'EKİM 1 HAFTA'!V44</f>
        <v>438</v>
      </c>
      <c r="G44" s="26">
        <f t="shared" si="4"/>
        <v>15.697919999999998</v>
      </c>
      <c r="H44" s="22"/>
      <c r="I44" s="11">
        <f t="shared" si="5"/>
        <v>0</v>
      </c>
      <c r="J44" s="21">
        <v>0</v>
      </c>
      <c r="K44" s="10">
        <f t="shared" si="0"/>
        <v>0</v>
      </c>
      <c r="L44" s="21">
        <v>0</v>
      </c>
      <c r="M44" s="11">
        <f t="shared" si="1"/>
        <v>0</v>
      </c>
      <c r="N44" s="21">
        <v>0</v>
      </c>
      <c r="O44" s="10">
        <f t="shared" si="6"/>
        <v>0</v>
      </c>
      <c r="P44" s="21">
        <v>0</v>
      </c>
      <c r="Q44" s="11">
        <f t="shared" si="7"/>
        <v>0</v>
      </c>
      <c r="R44" s="39">
        <f t="shared" si="11"/>
        <v>438</v>
      </c>
      <c r="S44" s="38">
        <f t="shared" si="2"/>
        <v>15.697919999999998</v>
      </c>
      <c r="T44" s="12"/>
      <c r="U44" s="13">
        <f t="shared" si="8"/>
        <v>0</v>
      </c>
      <c r="V44" s="49">
        <f t="shared" si="9"/>
        <v>438</v>
      </c>
      <c r="W44" s="50">
        <f t="shared" si="10"/>
        <v>15.697919999999998</v>
      </c>
    </row>
    <row r="45" spans="1:23" x14ac:dyDescent="0.25">
      <c r="A45" s="42" t="s">
        <v>43</v>
      </c>
      <c r="B45" s="34">
        <v>75</v>
      </c>
      <c r="C45" s="35">
        <v>70</v>
      </c>
      <c r="D45" s="35">
        <v>8</v>
      </c>
      <c r="E45" s="19">
        <f t="shared" si="3"/>
        <v>4.2000000000000003E-2</v>
      </c>
      <c r="F45" s="23">
        <f>'EKİM 1 HAFTA'!V45</f>
        <v>311</v>
      </c>
      <c r="G45" s="26">
        <f t="shared" si="4"/>
        <v>13.062000000000001</v>
      </c>
      <c r="H45" s="22"/>
      <c r="I45" s="11">
        <f t="shared" si="5"/>
        <v>0</v>
      </c>
      <c r="J45" s="21">
        <v>0</v>
      </c>
      <c r="K45" s="10">
        <f t="shared" si="0"/>
        <v>0</v>
      </c>
      <c r="L45" s="21">
        <v>17</v>
      </c>
      <c r="M45" s="11">
        <f t="shared" si="1"/>
        <v>0.71400000000000008</v>
      </c>
      <c r="N45" s="21">
        <v>0</v>
      </c>
      <c r="O45" s="10">
        <f t="shared" si="6"/>
        <v>0</v>
      </c>
      <c r="P45" s="21">
        <v>0</v>
      </c>
      <c r="Q45" s="11">
        <f t="shared" si="7"/>
        <v>0</v>
      </c>
      <c r="R45" s="39">
        <f t="shared" si="11"/>
        <v>294</v>
      </c>
      <c r="S45" s="38">
        <f t="shared" si="2"/>
        <v>12.348000000000001</v>
      </c>
      <c r="T45" s="12"/>
      <c r="U45" s="13">
        <f t="shared" si="8"/>
        <v>0</v>
      </c>
      <c r="V45" s="49">
        <f t="shared" si="9"/>
        <v>294</v>
      </c>
      <c r="W45" s="50">
        <f t="shared" si="10"/>
        <v>12.348000000000001</v>
      </c>
    </row>
    <row r="46" spans="1:23" x14ac:dyDescent="0.25">
      <c r="A46" s="42" t="s">
        <v>77</v>
      </c>
      <c r="B46" s="34">
        <v>140</v>
      </c>
      <c r="C46" s="35">
        <v>67</v>
      </c>
      <c r="D46" s="35">
        <v>5</v>
      </c>
      <c r="E46" s="19">
        <f t="shared" si="3"/>
        <v>4.6899999999999997E-2</v>
      </c>
      <c r="F46" s="23">
        <f>'EKİM 1 HAFTA'!V46</f>
        <v>622</v>
      </c>
      <c r="G46" s="26">
        <f t="shared" si="4"/>
        <v>29.171799999999998</v>
      </c>
      <c r="H46" s="22">
        <v>18</v>
      </c>
      <c r="I46" s="11">
        <f t="shared" si="5"/>
        <v>0.84419999999999995</v>
      </c>
      <c r="J46" s="21">
        <v>0</v>
      </c>
      <c r="K46" s="10">
        <f t="shared" si="0"/>
        <v>0</v>
      </c>
      <c r="L46" s="21">
        <v>18</v>
      </c>
      <c r="M46" s="11">
        <f t="shared" si="1"/>
        <v>0.84419999999999995</v>
      </c>
      <c r="N46" s="21">
        <v>0</v>
      </c>
      <c r="O46" s="10">
        <f t="shared" si="6"/>
        <v>0</v>
      </c>
      <c r="P46" s="21">
        <v>24</v>
      </c>
      <c r="Q46" s="11">
        <f t="shared" si="7"/>
        <v>1.1255999999999999</v>
      </c>
      <c r="R46" s="39">
        <f t="shared" si="11"/>
        <v>562</v>
      </c>
      <c r="S46" s="38">
        <f t="shared" si="2"/>
        <v>26.357799999999997</v>
      </c>
      <c r="T46" s="12"/>
      <c r="U46" s="13">
        <f t="shared" si="8"/>
        <v>0</v>
      </c>
      <c r="V46" s="49">
        <f t="shared" si="9"/>
        <v>562</v>
      </c>
      <c r="W46" s="50">
        <f t="shared" si="10"/>
        <v>26.357799999999997</v>
      </c>
    </row>
    <row r="47" spans="1:23" x14ac:dyDescent="0.25">
      <c r="A47" s="42" t="s">
        <v>45</v>
      </c>
      <c r="B47" s="34">
        <v>80</v>
      </c>
      <c r="C47" s="35">
        <v>63</v>
      </c>
      <c r="D47" s="35">
        <v>5</v>
      </c>
      <c r="E47" s="19">
        <f t="shared" si="3"/>
        <v>2.52E-2</v>
      </c>
      <c r="F47" s="23">
        <f>'EKİM 1 HAFTA'!V47</f>
        <v>315</v>
      </c>
      <c r="G47" s="26">
        <f t="shared" si="4"/>
        <v>7.9379999999999997</v>
      </c>
      <c r="H47" s="22"/>
      <c r="I47" s="11">
        <f t="shared" si="5"/>
        <v>0</v>
      </c>
      <c r="J47" s="21">
        <v>0</v>
      </c>
      <c r="K47" s="10">
        <f t="shared" si="0"/>
        <v>0</v>
      </c>
      <c r="L47" s="21">
        <v>0</v>
      </c>
      <c r="M47" s="11">
        <f t="shared" si="1"/>
        <v>0</v>
      </c>
      <c r="N47" s="21">
        <v>0</v>
      </c>
      <c r="O47" s="10">
        <f t="shared" si="6"/>
        <v>0</v>
      </c>
      <c r="P47" s="21">
        <v>0</v>
      </c>
      <c r="Q47" s="11">
        <f t="shared" si="7"/>
        <v>0</v>
      </c>
      <c r="R47" s="39">
        <f t="shared" si="11"/>
        <v>315</v>
      </c>
      <c r="S47" s="38">
        <f t="shared" si="2"/>
        <v>7.9379999999999997</v>
      </c>
      <c r="T47" s="12"/>
      <c r="U47" s="13">
        <f t="shared" si="8"/>
        <v>0</v>
      </c>
      <c r="V47" s="49">
        <f t="shared" si="9"/>
        <v>315</v>
      </c>
      <c r="W47" s="50">
        <f t="shared" si="10"/>
        <v>7.9379999999999997</v>
      </c>
    </row>
    <row r="48" spans="1:23" x14ac:dyDescent="0.25">
      <c r="A48" s="42" t="s">
        <v>46</v>
      </c>
      <c r="B48" s="34">
        <v>77</v>
      </c>
      <c r="C48" s="35">
        <v>68</v>
      </c>
      <c r="D48" s="35">
        <v>8</v>
      </c>
      <c r="E48" s="19">
        <f t="shared" si="3"/>
        <v>4.1888000000000002E-2</v>
      </c>
      <c r="F48" s="23">
        <f>'EKİM 1 HAFTA'!V48</f>
        <v>190</v>
      </c>
      <c r="G48" s="26">
        <f t="shared" si="4"/>
        <v>7.9587200000000005</v>
      </c>
      <c r="H48" s="22"/>
      <c r="I48" s="11">
        <f t="shared" si="5"/>
        <v>0</v>
      </c>
      <c r="J48" s="21">
        <v>0</v>
      </c>
      <c r="K48" s="10">
        <f t="shared" si="0"/>
        <v>0</v>
      </c>
      <c r="L48" s="21">
        <v>0</v>
      </c>
      <c r="M48" s="11">
        <f t="shared" si="1"/>
        <v>0</v>
      </c>
      <c r="N48" s="21">
        <v>0</v>
      </c>
      <c r="O48" s="10">
        <f t="shared" si="6"/>
        <v>0</v>
      </c>
      <c r="P48" s="21">
        <v>1</v>
      </c>
      <c r="Q48" s="11">
        <f t="shared" si="7"/>
        <v>4.1888000000000002E-2</v>
      </c>
      <c r="R48" s="39">
        <f t="shared" si="11"/>
        <v>189</v>
      </c>
      <c r="S48" s="38">
        <f t="shared" si="2"/>
        <v>7.9168320000000003</v>
      </c>
      <c r="T48" s="12"/>
      <c r="U48" s="13">
        <f t="shared" si="8"/>
        <v>0</v>
      </c>
      <c r="V48" s="49">
        <f t="shared" si="9"/>
        <v>189</v>
      </c>
      <c r="W48" s="50">
        <f t="shared" si="10"/>
        <v>7.9168320000000003</v>
      </c>
    </row>
    <row r="49" spans="1:23" x14ac:dyDescent="0.25">
      <c r="A49" s="42" t="s">
        <v>47</v>
      </c>
      <c r="B49" s="34">
        <v>79</v>
      </c>
      <c r="C49" s="35">
        <v>79</v>
      </c>
      <c r="D49" s="35">
        <v>2</v>
      </c>
      <c r="E49" s="19">
        <f t="shared" si="3"/>
        <v>1.2482E-2</v>
      </c>
      <c r="F49" s="23">
        <f>'EKİM 1 HAFTA'!V49</f>
        <v>33</v>
      </c>
      <c r="G49" s="26">
        <f t="shared" si="4"/>
        <v>0.41190599999999999</v>
      </c>
      <c r="H49" s="22"/>
      <c r="I49" s="11">
        <f t="shared" si="5"/>
        <v>0</v>
      </c>
      <c r="J49" s="21">
        <v>0</v>
      </c>
      <c r="K49" s="10">
        <f t="shared" si="0"/>
        <v>0</v>
      </c>
      <c r="L49" s="21">
        <v>0</v>
      </c>
      <c r="M49" s="11">
        <f t="shared" si="1"/>
        <v>0</v>
      </c>
      <c r="N49" s="21">
        <v>0</v>
      </c>
      <c r="O49" s="10">
        <f t="shared" si="6"/>
        <v>0</v>
      </c>
      <c r="P49" s="21">
        <v>0</v>
      </c>
      <c r="Q49" s="11">
        <f t="shared" si="7"/>
        <v>0</v>
      </c>
      <c r="R49" s="39">
        <f t="shared" si="11"/>
        <v>33</v>
      </c>
      <c r="S49" s="38">
        <f t="shared" si="2"/>
        <v>0.41190599999999999</v>
      </c>
      <c r="T49" s="12"/>
      <c r="U49" s="13">
        <f t="shared" si="8"/>
        <v>0</v>
      </c>
      <c r="V49" s="49">
        <f t="shared" si="9"/>
        <v>33</v>
      </c>
      <c r="W49" s="50">
        <f t="shared" si="10"/>
        <v>0.41190599999999999</v>
      </c>
    </row>
    <row r="50" spans="1:23" x14ac:dyDescent="0.25">
      <c r="A50" s="42" t="s">
        <v>48</v>
      </c>
      <c r="B50" s="34">
        <v>61</v>
      </c>
      <c r="C50" s="35">
        <v>56</v>
      </c>
      <c r="D50" s="35">
        <v>10</v>
      </c>
      <c r="E50" s="19">
        <f t="shared" si="3"/>
        <v>3.4160000000000003E-2</v>
      </c>
      <c r="F50" s="23">
        <f>'EKİM 1 HAFTA'!V50</f>
        <v>399</v>
      </c>
      <c r="G50" s="26">
        <f t="shared" si="4"/>
        <v>13.629840000000002</v>
      </c>
      <c r="H50" s="22"/>
      <c r="I50" s="11">
        <f t="shared" si="5"/>
        <v>0</v>
      </c>
      <c r="J50" s="21">
        <v>0</v>
      </c>
      <c r="K50" s="10">
        <f t="shared" si="0"/>
        <v>0</v>
      </c>
      <c r="L50" s="21">
        <v>0</v>
      </c>
      <c r="M50" s="11">
        <f t="shared" si="1"/>
        <v>0</v>
      </c>
      <c r="N50" s="21">
        <v>0</v>
      </c>
      <c r="O50" s="10">
        <f t="shared" si="6"/>
        <v>0</v>
      </c>
      <c r="P50" s="21">
        <v>0</v>
      </c>
      <c r="Q50" s="11">
        <f t="shared" si="7"/>
        <v>0</v>
      </c>
      <c r="R50" s="39">
        <f t="shared" si="11"/>
        <v>399</v>
      </c>
      <c r="S50" s="38">
        <f t="shared" si="2"/>
        <v>13.629840000000002</v>
      </c>
      <c r="T50" s="12"/>
      <c r="U50" s="13">
        <f t="shared" si="8"/>
        <v>0</v>
      </c>
      <c r="V50" s="49">
        <f t="shared" si="9"/>
        <v>399</v>
      </c>
      <c r="W50" s="50">
        <f t="shared" si="10"/>
        <v>13.629840000000002</v>
      </c>
    </row>
    <row r="51" spans="1:23" x14ac:dyDescent="0.25">
      <c r="A51" s="42" t="s">
        <v>49</v>
      </c>
      <c r="B51" s="34">
        <v>66</v>
      </c>
      <c r="C51" s="35">
        <v>61</v>
      </c>
      <c r="D51" s="35">
        <v>10</v>
      </c>
      <c r="E51" s="19">
        <f t="shared" si="3"/>
        <v>4.0259999999999997E-2</v>
      </c>
      <c r="F51" s="23">
        <f>'EKİM 1 HAFTA'!V51</f>
        <v>400</v>
      </c>
      <c r="G51" s="26">
        <f t="shared" si="4"/>
        <v>16.103999999999999</v>
      </c>
      <c r="H51" s="22"/>
      <c r="I51" s="11">
        <f t="shared" si="5"/>
        <v>0</v>
      </c>
      <c r="J51" s="21">
        <v>0</v>
      </c>
      <c r="K51" s="10">
        <f t="shared" si="0"/>
        <v>0</v>
      </c>
      <c r="L51" s="21">
        <v>0</v>
      </c>
      <c r="M51" s="11">
        <f t="shared" si="1"/>
        <v>0</v>
      </c>
      <c r="N51" s="21">
        <v>0</v>
      </c>
      <c r="O51" s="10">
        <f t="shared" si="6"/>
        <v>0</v>
      </c>
      <c r="P51" s="21">
        <v>0</v>
      </c>
      <c r="Q51" s="11">
        <f t="shared" si="7"/>
        <v>0</v>
      </c>
      <c r="R51" s="39">
        <f t="shared" si="11"/>
        <v>400</v>
      </c>
      <c r="S51" s="38">
        <f t="shared" si="2"/>
        <v>16.103999999999999</v>
      </c>
      <c r="T51" s="12"/>
      <c r="U51" s="13">
        <f t="shared" si="8"/>
        <v>0</v>
      </c>
      <c r="V51" s="49">
        <f t="shared" si="9"/>
        <v>400</v>
      </c>
      <c r="W51" s="50">
        <f t="shared" si="10"/>
        <v>16.103999999999999</v>
      </c>
    </row>
    <row r="52" spans="1:23" x14ac:dyDescent="0.25">
      <c r="A52" s="42" t="s">
        <v>50</v>
      </c>
      <c r="B52" s="34">
        <v>63</v>
      </c>
      <c r="C52" s="35">
        <v>61</v>
      </c>
      <c r="D52" s="35">
        <v>10</v>
      </c>
      <c r="E52" s="19">
        <f t="shared" si="3"/>
        <v>3.8429999999999999E-2</v>
      </c>
      <c r="F52" s="23">
        <f>'EKİM 1 HAFTA'!V52</f>
        <v>420</v>
      </c>
      <c r="G52" s="26">
        <f t="shared" si="4"/>
        <v>16.140599999999999</v>
      </c>
      <c r="H52" s="22"/>
      <c r="I52" s="11">
        <f t="shared" si="5"/>
        <v>0</v>
      </c>
      <c r="J52" s="21">
        <v>0</v>
      </c>
      <c r="K52" s="10">
        <f t="shared" si="0"/>
        <v>0</v>
      </c>
      <c r="L52" s="21">
        <v>0</v>
      </c>
      <c r="M52" s="11">
        <f t="shared" si="1"/>
        <v>0</v>
      </c>
      <c r="N52" s="21">
        <v>0</v>
      </c>
      <c r="O52" s="10">
        <f t="shared" si="6"/>
        <v>0</v>
      </c>
      <c r="P52" s="21">
        <v>0</v>
      </c>
      <c r="Q52" s="11">
        <f t="shared" si="7"/>
        <v>0</v>
      </c>
      <c r="R52" s="39">
        <f t="shared" si="11"/>
        <v>420</v>
      </c>
      <c r="S52" s="38">
        <f t="shared" si="2"/>
        <v>16.140599999999999</v>
      </c>
      <c r="T52" s="12"/>
      <c r="U52" s="13">
        <f t="shared" si="8"/>
        <v>0</v>
      </c>
      <c r="V52" s="49">
        <f t="shared" si="9"/>
        <v>420</v>
      </c>
      <c r="W52" s="50">
        <f t="shared" si="10"/>
        <v>16.140599999999999</v>
      </c>
    </row>
    <row r="53" spans="1:23" x14ac:dyDescent="0.25">
      <c r="A53" s="42" t="s">
        <v>51</v>
      </c>
      <c r="B53" s="34">
        <v>58</v>
      </c>
      <c r="C53" s="35">
        <v>58</v>
      </c>
      <c r="D53" s="35">
        <v>2.2999999999999998</v>
      </c>
      <c r="E53" s="19">
        <f t="shared" si="3"/>
        <v>7.7371999999999996E-3</v>
      </c>
      <c r="F53" s="23">
        <f>'EKİM 1 HAFTA'!V53</f>
        <v>3800</v>
      </c>
      <c r="G53" s="26">
        <f t="shared" si="4"/>
        <v>29.401359999999997</v>
      </c>
      <c r="H53" s="22"/>
      <c r="I53" s="11">
        <f t="shared" si="5"/>
        <v>0</v>
      </c>
      <c r="J53" s="21">
        <v>0</v>
      </c>
      <c r="K53" s="10">
        <f t="shared" si="0"/>
        <v>0</v>
      </c>
      <c r="L53" s="21">
        <v>0</v>
      </c>
      <c r="M53" s="11">
        <f t="shared" si="1"/>
        <v>0</v>
      </c>
      <c r="N53" s="21">
        <v>0</v>
      </c>
      <c r="O53" s="10">
        <f t="shared" si="6"/>
        <v>0</v>
      </c>
      <c r="P53" s="21">
        <v>0</v>
      </c>
      <c r="Q53" s="11">
        <f t="shared" si="7"/>
        <v>0</v>
      </c>
      <c r="R53" s="39">
        <f t="shared" si="11"/>
        <v>3800</v>
      </c>
      <c r="S53" s="38">
        <f t="shared" si="2"/>
        <v>29.401359999999997</v>
      </c>
      <c r="T53" s="12"/>
      <c r="U53" s="13">
        <f t="shared" si="8"/>
        <v>0</v>
      </c>
      <c r="V53" s="49">
        <f t="shared" si="9"/>
        <v>3800</v>
      </c>
      <c r="W53" s="50">
        <f t="shared" si="10"/>
        <v>29.401359999999997</v>
      </c>
    </row>
    <row r="54" spans="1:23" x14ac:dyDescent="0.25">
      <c r="A54" s="42" t="s">
        <v>52</v>
      </c>
      <c r="B54" s="34">
        <v>79</v>
      </c>
      <c r="C54" s="35">
        <v>62</v>
      </c>
      <c r="D54" s="35">
        <v>2.2999999999999998</v>
      </c>
      <c r="E54" s="19">
        <f t="shared" si="3"/>
        <v>1.12654E-2</v>
      </c>
      <c r="F54" s="23">
        <f>'EKİM 1 HAFTA'!V54</f>
        <v>3537</v>
      </c>
      <c r="G54" s="26">
        <f t="shared" si="4"/>
        <v>39.845719799999998</v>
      </c>
      <c r="H54" s="22"/>
      <c r="I54" s="11">
        <f t="shared" si="5"/>
        <v>0</v>
      </c>
      <c r="J54" s="21">
        <v>0</v>
      </c>
      <c r="K54" s="10">
        <f t="shared" si="0"/>
        <v>0</v>
      </c>
      <c r="L54" s="21">
        <v>0</v>
      </c>
      <c r="M54" s="11">
        <f t="shared" si="1"/>
        <v>0</v>
      </c>
      <c r="N54" s="21">
        <v>0</v>
      </c>
      <c r="O54" s="10">
        <f t="shared" si="6"/>
        <v>0</v>
      </c>
      <c r="P54" s="21">
        <v>0</v>
      </c>
      <c r="Q54" s="11">
        <f t="shared" si="7"/>
        <v>0</v>
      </c>
      <c r="R54" s="39">
        <f t="shared" si="11"/>
        <v>3537</v>
      </c>
      <c r="S54" s="38">
        <f t="shared" si="2"/>
        <v>39.845719799999998</v>
      </c>
      <c r="T54" s="12"/>
      <c r="U54" s="13">
        <f t="shared" si="8"/>
        <v>0</v>
      </c>
      <c r="V54" s="49">
        <f t="shared" si="9"/>
        <v>3537</v>
      </c>
      <c r="W54" s="50">
        <f t="shared" si="10"/>
        <v>39.845719799999998</v>
      </c>
    </row>
    <row r="55" spans="1:23" x14ac:dyDescent="0.25">
      <c r="A55" s="42" t="s">
        <v>53</v>
      </c>
      <c r="B55" s="34">
        <v>200</v>
      </c>
      <c r="C55" s="35">
        <v>176</v>
      </c>
      <c r="D55" s="35">
        <v>2.2999999999999998</v>
      </c>
      <c r="E55" s="19">
        <f t="shared" si="3"/>
        <v>8.0960000000000004E-2</v>
      </c>
      <c r="F55" s="23">
        <f>'EKİM 1 HAFTA'!V55</f>
        <v>1</v>
      </c>
      <c r="G55" s="26">
        <f t="shared" si="4"/>
        <v>8.0960000000000004E-2</v>
      </c>
      <c r="H55" s="22"/>
      <c r="I55" s="11">
        <f t="shared" si="5"/>
        <v>0</v>
      </c>
      <c r="J55" s="21">
        <v>0</v>
      </c>
      <c r="K55" s="10">
        <f t="shared" si="0"/>
        <v>0</v>
      </c>
      <c r="L55" s="21">
        <v>0</v>
      </c>
      <c r="M55" s="11">
        <f t="shared" si="1"/>
        <v>0</v>
      </c>
      <c r="N55" s="21">
        <v>0</v>
      </c>
      <c r="O55" s="10">
        <f t="shared" si="6"/>
        <v>0</v>
      </c>
      <c r="P55" s="21">
        <v>0</v>
      </c>
      <c r="Q55" s="11">
        <f t="shared" si="7"/>
        <v>0</v>
      </c>
      <c r="R55" s="39">
        <f t="shared" si="11"/>
        <v>1</v>
      </c>
      <c r="S55" s="38">
        <f t="shared" si="2"/>
        <v>8.0960000000000004E-2</v>
      </c>
      <c r="T55" s="12"/>
      <c r="U55" s="13">
        <f t="shared" si="8"/>
        <v>0</v>
      </c>
      <c r="V55" s="49">
        <f t="shared" si="9"/>
        <v>1</v>
      </c>
      <c r="W55" s="50">
        <f t="shared" si="10"/>
        <v>8.0960000000000004E-2</v>
      </c>
    </row>
    <row r="56" spans="1:23" x14ac:dyDescent="0.25">
      <c r="A56" s="42" t="s">
        <v>54</v>
      </c>
      <c r="B56" s="34">
        <v>79</v>
      </c>
      <c r="C56" s="35">
        <v>79</v>
      </c>
      <c r="D56" s="35">
        <v>2.2999999999999998</v>
      </c>
      <c r="E56" s="19">
        <f t="shared" si="3"/>
        <v>1.4354299999999999E-2</v>
      </c>
      <c r="F56" s="23">
        <f>'EKİM 1 HAFTA'!V56</f>
        <v>241</v>
      </c>
      <c r="G56" s="26">
        <f t="shared" si="4"/>
        <v>3.4593862999999998</v>
      </c>
      <c r="H56" s="22"/>
      <c r="I56" s="11">
        <f t="shared" si="5"/>
        <v>0</v>
      </c>
      <c r="J56" s="21">
        <v>0</v>
      </c>
      <c r="K56" s="10">
        <f t="shared" si="0"/>
        <v>0</v>
      </c>
      <c r="L56" s="21">
        <v>0</v>
      </c>
      <c r="M56" s="11">
        <f t="shared" si="1"/>
        <v>0</v>
      </c>
      <c r="N56" s="21">
        <v>0</v>
      </c>
      <c r="O56" s="10">
        <f t="shared" si="6"/>
        <v>0</v>
      </c>
      <c r="P56" s="21">
        <v>0</v>
      </c>
      <c r="Q56" s="11">
        <f t="shared" si="7"/>
        <v>0</v>
      </c>
      <c r="R56" s="39">
        <f t="shared" si="11"/>
        <v>241</v>
      </c>
      <c r="S56" s="38">
        <f t="shared" si="2"/>
        <v>3.4593862999999998</v>
      </c>
      <c r="T56" s="12"/>
      <c r="U56" s="13">
        <f t="shared" si="8"/>
        <v>0</v>
      </c>
      <c r="V56" s="49">
        <f t="shared" si="9"/>
        <v>241</v>
      </c>
      <c r="W56" s="50">
        <f t="shared" si="10"/>
        <v>3.4593862999999998</v>
      </c>
    </row>
    <row r="57" spans="1:23" ht="15.75" x14ac:dyDescent="0.25">
      <c r="A57" s="42" t="s">
        <v>55</v>
      </c>
      <c r="B57" s="111">
        <v>50</v>
      </c>
      <c r="C57" s="112">
        <v>45</v>
      </c>
      <c r="D57" s="112">
        <v>4</v>
      </c>
      <c r="E57" s="19">
        <f t="shared" si="3"/>
        <v>8.9999999999999993E-3</v>
      </c>
      <c r="F57" s="23">
        <f>'EKİM 1 HAFTA'!V57</f>
        <v>809</v>
      </c>
      <c r="G57" s="26">
        <f t="shared" si="4"/>
        <v>7.2809999999999997</v>
      </c>
      <c r="H57" s="22"/>
      <c r="I57" s="11">
        <f t="shared" si="5"/>
        <v>0</v>
      </c>
      <c r="J57" s="21">
        <v>0</v>
      </c>
      <c r="K57" s="10">
        <f t="shared" si="0"/>
        <v>0</v>
      </c>
      <c r="L57" s="21">
        <v>0</v>
      </c>
      <c r="M57" s="11">
        <f t="shared" si="1"/>
        <v>0</v>
      </c>
      <c r="N57" s="21">
        <v>0</v>
      </c>
      <c r="O57" s="10">
        <f t="shared" si="6"/>
        <v>0</v>
      </c>
      <c r="P57" s="21">
        <v>0</v>
      </c>
      <c r="Q57" s="11">
        <f t="shared" si="7"/>
        <v>0</v>
      </c>
      <c r="R57" s="39">
        <f t="shared" si="11"/>
        <v>809</v>
      </c>
      <c r="S57" s="38">
        <f t="shared" si="2"/>
        <v>7.2809999999999997</v>
      </c>
      <c r="T57" s="12"/>
      <c r="U57" s="13">
        <f t="shared" si="8"/>
        <v>0</v>
      </c>
      <c r="V57" s="49">
        <f t="shared" si="9"/>
        <v>809</v>
      </c>
      <c r="W57" s="50">
        <f t="shared" si="10"/>
        <v>7.2809999999999997</v>
      </c>
    </row>
    <row r="58" spans="1:23" ht="15.75" x14ac:dyDescent="0.25">
      <c r="A58" s="42" t="s">
        <v>56</v>
      </c>
      <c r="B58" s="111">
        <v>50</v>
      </c>
      <c r="C58" s="112">
        <v>35</v>
      </c>
      <c r="D58" s="112">
        <v>4</v>
      </c>
      <c r="E58" s="19">
        <f t="shared" si="3"/>
        <v>7.0000000000000001E-3</v>
      </c>
      <c r="F58" s="23">
        <f>'EKİM 1 HAFTA'!V58</f>
        <v>866</v>
      </c>
      <c r="G58" s="26">
        <f t="shared" si="4"/>
        <v>6.0620000000000003</v>
      </c>
      <c r="H58" s="22"/>
      <c r="I58" s="11">
        <f t="shared" si="5"/>
        <v>0</v>
      </c>
      <c r="J58" s="21">
        <v>0</v>
      </c>
      <c r="K58" s="10">
        <f t="shared" si="0"/>
        <v>0</v>
      </c>
      <c r="L58" s="21">
        <v>0</v>
      </c>
      <c r="M58" s="11">
        <f t="shared" si="1"/>
        <v>0</v>
      </c>
      <c r="N58" s="21">
        <v>0</v>
      </c>
      <c r="O58" s="10">
        <f t="shared" si="6"/>
        <v>0</v>
      </c>
      <c r="P58" s="21">
        <v>0</v>
      </c>
      <c r="Q58" s="11">
        <f t="shared" si="7"/>
        <v>0</v>
      </c>
      <c r="R58" s="39">
        <f t="shared" si="11"/>
        <v>866</v>
      </c>
      <c r="S58" s="38">
        <f t="shared" si="2"/>
        <v>6.0620000000000003</v>
      </c>
      <c r="T58" s="12"/>
      <c r="U58" s="13">
        <f t="shared" si="8"/>
        <v>0</v>
      </c>
      <c r="V58" s="49">
        <f t="shared" si="9"/>
        <v>866</v>
      </c>
      <c r="W58" s="50">
        <f t="shared" si="10"/>
        <v>6.0620000000000003</v>
      </c>
    </row>
    <row r="59" spans="1:23" ht="15.75" x14ac:dyDescent="0.25">
      <c r="A59" s="42" t="s">
        <v>57</v>
      </c>
      <c r="B59" s="111">
        <v>45</v>
      </c>
      <c r="C59" s="112">
        <v>50</v>
      </c>
      <c r="D59" s="112">
        <v>3</v>
      </c>
      <c r="E59" s="19">
        <f t="shared" si="3"/>
        <v>6.7499999999999999E-3</v>
      </c>
      <c r="F59" s="23">
        <f>'EKİM 1 HAFTA'!V59</f>
        <v>0</v>
      </c>
      <c r="G59" s="26">
        <f t="shared" si="4"/>
        <v>0</v>
      </c>
      <c r="H59" s="22"/>
      <c r="I59" s="11">
        <f t="shared" si="5"/>
        <v>0</v>
      </c>
      <c r="J59" s="21">
        <v>0</v>
      </c>
      <c r="K59" s="10">
        <f t="shared" si="0"/>
        <v>0</v>
      </c>
      <c r="L59" s="21">
        <v>0</v>
      </c>
      <c r="M59" s="11">
        <f t="shared" si="1"/>
        <v>0</v>
      </c>
      <c r="N59" s="21">
        <v>0</v>
      </c>
      <c r="O59" s="10">
        <f t="shared" si="6"/>
        <v>0</v>
      </c>
      <c r="P59" s="21">
        <v>0</v>
      </c>
      <c r="Q59" s="11">
        <f t="shared" si="7"/>
        <v>0</v>
      </c>
      <c r="R59" s="39">
        <f t="shared" si="11"/>
        <v>0</v>
      </c>
      <c r="S59" s="38">
        <f t="shared" si="2"/>
        <v>0</v>
      </c>
      <c r="T59" s="12"/>
      <c r="U59" s="13">
        <f t="shared" si="8"/>
        <v>0</v>
      </c>
      <c r="V59" s="49">
        <f t="shared" si="9"/>
        <v>0</v>
      </c>
      <c r="W59" s="50">
        <f t="shared" si="10"/>
        <v>0</v>
      </c>
    </row>
    <row r="60" spans="1:23" ht="15.75" x14ac:dyDescent="0.25">
      <c r="A60" s="42" t="s">
        <v>58</v>
      </c>
      <c r="B60" s="111">
        <v>50</v>
      </c>
      <c r="C60" s="112">
        <v>35</v>
      </c>
      <c r="D60" s="112">
        <v>3</v>
      </c>
      <c r="E60" s="19">
        <f t="shared" si="3"/>
        <v>5.2500000000000003E-3</v>
      </c>
      <c r="F60" s="23">
        <f>'EKİM 1 HAFTA'!V60</f>
        <v>0</v>
      </c>
      <c r="G60" s="26">
        <f t="shared" si="4"/>
        <v>0</v>
      </c>
      <c r="H60" s="22"/>
      <c r="I60" s="11">
        <f t="shared" si="5"/>
        <v>0</v>
      </c>
      <c r="J60" s="21">
        <v>0</v>
      </c>
      <c r="K60" s="10">
        <f t="shared" si="0"/>
        <v>0</v>
      </c>
      <c r="L60" s="21">
        <v>0</v>
      </c>
      <c r="M60" s="11">
        <f t="shared" si="1"/>
        <v>0</v>
      </c>
      <c r="N60" s="21">
        <v>0</v>
      </c>
      <c r="O60" s="10">
        <f t="shared" si="6"/>
        <v>0</v>
      </c>
      <c r="P60" s="21">
        <v>0</v>
      </c>
      <c r="Q60" s="11">
        <f t="shared" si="7"/>
        <v>0</v>
      </c>
      <c r="R60" s="39">
        <f t="shared" si="11"/>
        <v>0</v>
      </c>
      <c r="S60" s="38">
        <f t="shared" si="2"/>
        <v>0</v>
      </c>
      <c r="T60" s="12"/>
      <c r="U60" s="13">
        <f t="shared" si="8"/>
        <v>0</v>
      </c>
      <c r="V60" s="49">
        <f t="shared" si="9"/>
        <v>0</v>
      </c>
      <c r="W60" s="50">
        <f t="shared" si="10"/>
        <v>0</v>
      </c>
    </row>
    <row r="61" spans="1:23" ht="15.75" x14ac:dyDescent="0.25">
      <c r="A61" s="42" t="s">
        <v>59</v>
      </c>
      <c r="B61" s="111">
        <v>42</v>
      </c>
      <c r="C61" s="112">
        <v>36</v>
      </c>
      <c r="D61" s="112">
        <v>4</v>
      </c>
      <c r="E61" s="19">
        <f t="shared" si="3"/>
        <v>6.0480000000000004E-3</v>
      </c>
      <c r="F61" s="23">
        <f>'EKİM 1 HAFTA'!V61</f>
        <v>88</v>
      </c>
      <c r="G61" s="26">
        <f t="shared" si="4"/>
        <v>0.53222400000000003</v>
      </c>
      <c r="H61" s="22"/>
      <c r="I61" s="11">
        <f t="shared" si="5"/>
        <v>0</v>
      </c>
      <c r="J61" s="21">
        <v>0</v>
      </c>
      <c r="K61" s="10">
        <f t="shared" si="0"/>
        <v>0</v>
      </c>
      <c r="L61" s="21">
        <v>0</v>
      </c>
      <c r="M61" s="11">
        <f t="shared" si="1"/>
        <v>0</v>
      </c>
      <c r="N61" s="21">
        <v>0</v>
      </c>
      <c r="O61" s="10">
        <f t="shared" si="6"/>
        <v>0</v>
      </c>
      <c r="P61" s="21">
        <v>0</v>
      </c>
      <c r="Q61" s="11">
        <f t="shared" si="7"/>
        <v>0</v>
      </c>
      <c r="R61" s="39">
        <f t="shared" si="11"/>
        <v>88</v>
      </c>
      <c r="S61" s="38">
        <f t="shared" si="2"/>
        <v>0.53222400000000003</v>
      </c>
      <c r="T61" s="12"/>
      <c r="U61" s="13">
        <f t="shared" si="8"/>
        <v>0</v>
      </c>
      <c r="V61" s="49">
        <f t="shared" si="9"/>
        <v>88</v>
      </c>
      <c r="W61" s="50">
        <f t="shared" si="10"/>
        <v>0.53222400000000003</v>
      </c>
    </row>
    <row r="62" spans="1:23" ht="15.75" x14ac:dyDescent="0.25">
      <c r="A62" s="42" t="s">
        <v>60</v>
      </c>
      <c r="B62" s="111">
        <v>50</v>
      </c>
      <c r="C62" s="112">
        <v>35</v>
      </c>
      <c r="D62" s="112">
        <v>3</v>
      </c>
      <c r="E62" s="19">
        <f t="shared" si="3"/>
        <v>5.2500000000000003E-3</v>
      </c>
      <c r="F62" s="23">
        <f>'EKİM 1 HAFTA'!V62</f>
        <v>1892</v>
      </c>
      <c r="G62" s="26">
        <f t="shared" si="4"/>
        <v>9.9329999999999998</v>
      </c>
      <c r="H62" s="22">
        <v>6</v>
      </c>
      <c r="I62" s="11">
        <f t="shared" si="5"/>
        <v>3.15E-2</v>
      </c>
      <c r="J62" s="21">
        <v>300</v>
      </c>
      <c r="K62" s="10">
        <f t="shared" si="0"/>
        <v>1.5750000000000002</v>
      </c>
      <c r="L62" s="21">
        <v>0</v>
      </c>
      <c r="M62" s="11">
        <f t="shared" si="1"/>
        <v>0</v>
      </c>
      <c r="N62" s="21">
        <v>0</v>
      </c>
      <c r="O62" s="10">
        <f t="shared" si="6"/>
        <v>0</v>
      </c>
      <c r="P62" s="21">
        <v>0</v>
      </c>
      <c r="Q62" s="11">
        <f t="shared" si="7"/>
        <v>0</v>
      </c>
      <c r="R62" s="39">
        <f t="shared" si="11"/>
        <v>1586</v>
      </c>
      <c r="S62" s="38">
        <f t="shared" si="2"/>
        <v>8.3265000000000011</v>
      </c>
      <c r="T62" s="12"/>
      <c r="U62" s="13">
        <f t="shared" si="8"/>
        <v>0</v>
      </c>
      <c r="V62" s="49">
        <f t="shared" si="9"/>
        <v>1586</v>
      </c>
      <c r="W62" s="50">
        <f t="shared" si="10"/>
        <v>8.3265000000000011</v>
      </c>
    </row>
    <row r="63" spans="1:23" ht="15.75" x14ac:dyDescent="0.25">
      <c r="A63" s="43" t="s">
        <v>61</v>
      </c>
      <c r="B63" s="111">
        <v>45</v>
      </c>
      <c r="C63" s="112">
        <v>50</v>
      </c>
      <c r="D63" s="112">
        <v>3</v>
      </c>
      <c r="E63" s="19">
        <f t="shared" si="3"/>
        <v>6.7499999999999999E-3</v>
      </c>
      <c r="F63" s="23">
        <f>'EKİM 1 HAFTA'!V63</f>
        <v>1390</v>
      </c>
      <c r="G63" s="26">
        <f t="shared" si="4"/>
        <v>9.3825000000000003</v>
      </c>
      <c r="H63" s="22">
        <v>6</v>
      </c>
      <c r="I63" s="11">
        <f t="shared" si="5"/>
        <v>4.0500000000000001E-2</v>
      </c>
      <c r="J63" s="21">
        <v>280</v>
      </c>
      <c r="K63" s="10">
        <f t="shared" si="0"/>
        <v>1.89</v>
      </c>
      <c r="L63" s="21">
        <v>0</v>
      </c>
      <c r="M63" s="11">
        <f t="shared" si="1"/>
        <v>0</v>
      </c>
      <c r="N63" s="21">
        <v>0</v>
      </c>
      <c r="O63" s="10">
        <f t="shared" si="6"/>
        <v>0</v>
      </c>
      <c r="P63" s="21">
        <v>0</v>
      </c>
      <c r="Q63" s="11">
        <f t="shared" si="7"/>
        <v>0</v>
      </c>
      <c r="R63" s="39">
        <f t="shared" si="11"/>
        <v>1104</v>
      </c>
      <c r="S63" s="38">
        <f t="shared" si="2"/>
        <v>7.452</v>
      </c>
      <c r="T63" s="12"/>
      <c r="U63" s="13">
        <f t="shared" si="8"/>
        <v>0</v>
      </c>
      <c r="V63" s="49">
        <f t="shared" si="9"/>
        <v>1104</v>
      </c>
      <c r="W63" s="50">
        <f t="shared" si="10"/>
        <v>7.452</v>
      </c>
    </row>
    <row r="64" spans="1:23" x14ac:dyDescent="0.25">
      <c r="A64" s="145" t="s">
        <v>90</v>
      </c>
      <c r="B64" s="146">
        <v>140</v>
      </c>
      <c r="C64" s="147">
        <v>9.5</v>
      </c>
      <c r="D64" s="147">
        <v>6.5</v>
      </c>
      <c r="E64" s="148">
        <f t="shared" si="3"/>
        <v>8.6449999999999999E-3</v>
      </c>
      <c r="F64" s="149">
        <f>'EKİM 1 HAFTA'!V64</f>
        <v>6</v>
      </c>
      <c r="G64" s="150">
        <f t="shared" si="4"/>
        <v>5.1869999999999999E-2</v>
      </c>
      <c r="H64" s="99"/>
      <c r="I64" s="100">
        <f t="shared" si="5"/>
        <v>0</v>
      </c>
      <c r="J64" s="129">
        <v>0</v>
      </c>
      <c r="K64" s="85">
        <f t="shared" si="0"/>
        <v>0</v>
      </c>
      <c r="L64" s="129">
        <v>0</v>
      </c>
      <c r="M64" s="100">
        <f t="shared" si="1"/>
        <v>0</v>
      </c>
      <c r="N64" s="129">
        <v>0</v>
      </c>
      <c r="O64" s="85">
        <f t="shared" si="6"/>
        <v>0</v>
      </c>
      <c r="P64" s="129">
        <v>0</v>
      </c>
      <c r="Q64" s="100">
        <f t="shared" si="7"/>
        <v>0</v>
      </c>
      <c r="R64" s="86">
        <f t="shared" si="11"/>
        <v>6</v>
      </c>
      <c r="S64" s="87">
        <f t="shared" si="2"/>
        <v>5.1869999999999999E-2</v>
      </c>
      <c r="T64" s="88"/>
      <c r="U64" s="89">
        <f t="shared" si="8"/>
        <v>0</v>
      </c>
      <c r="V64" s="49">
        <f t="shared" si="9"/>
        <v>6</v>
      </c>
      <c r="W64" s="50">
        <f t="shared" si="10"/>
        <v>5.1869999999999999E-2</v>
      </c>
    </row>
    <row r="65" spans="1:23" ht="15.75" x14ac:dyDescent="0.25">
      <c r="A65" s="91" t="s">
        <v>79</v>
      </c>
      <c r="B65" s="112">
        <v>90</v>
      </c>
      <c r="C65" s="112">
        <v>83</v>
      </c>
      <c r="D65" s="112">
        <v>2</v>
      </c>
      <c r="E65" s="114">
        <f t="shared" si="3"/>
        <v>1.494E-2</v>
      </c>
      <c r="F65" s="25">
        <f>'EKİM 1 HAFTA'!V65</f>
        <v>458</v>
      </c>
      <c r="G65" s="116">
        <f t="shared" si="4"/>
        <v>6.8425200000000004</v>
      </c>
      <c r="H65" s="127">
        <v>0</v>
      </c>
      <c r="I65" s="155">
        <f t="shared" si="5"/>
        <v>0</v>
      </c>
      <c r="J65" s="22">
        <v>0</v>
      </c>
      <c r="K65" s="163">
        <f t="shared" si="0"/>
        <v>0</v>
      </c>
      <c r="L65" s="99">
        <v>110</v>
      </c>
      <c r="M65" s="155">
        <f t="shared" si="1"/>
        <v>1.6434</v>
      </c>
      <c r="N65" s="99">
        <v>20</v>
      </c>
      <c r="O65" s="163">
        <f t="shared" si="6"/>
        <v>0.29880000000000001</v>
      </c>
      <c r="P65" s="99">
        <v>0</v>
      </c>
      <c r="Q65" s="164">
        <f t="shared" si="7"/>
        <v>0</v>
      </c>
      <c r="R65" s="156">
        <f t="shared" si="11"/>
        <v>328</v>
      </c>
      <c r="S65" s="157">
        <f t="shared" si="2"/>
        <v>4.9003199999999998</v>
      </c>
      <c r="T65" s="101">
        <v>0</v>
      </c>
      <c r="U65" s="139">
        <f t="shared" si="8"/>
        <v>0</v>
      </c>
      <c r="V65" s="144">
        <f t="shared" si="9"/>
        <v>328</v>
      </c>
      <c r="W65" s="50">
        <f t="shared" si="10"/>
        <v>4.9003199999999998</v>
      </c>
    </row>
    <row r="66" spans="1:23" ht="15.75" x14ac:dyDescent="0.25">
      <c r="A66" s="102" t="s">
        <v>80</v>
      </c>
      <c r="B66" s="113">
        <v>92</v>
      </c>
      <c r="C66" s="113">
        <v>82</v>
      </c>
      <c r="D66" s="113">
        <v>2</v>
      </c>
      <c r="E66" s="124">
        <f t="shared" si="3"/>
        <v>1.5088000000000001E-2</v>
      </c>
      <c r="F66" s="23">
        <f>'EKİM 1 HAFTA'!V66</f>
        <v>412</v>
      </c>
      <c r="G66" s="125">
        <f t="shared" si="4"/>
        <v>6.2162560000000004</v>
      </c>
      <c r="H66" s="128">
        <v>0</v>
      </c>
      <c r="I66" s="118">
        <f t="shared" si="5"/>
        <v>0</v>
      </c>
      <c r="J66" s="21">
        <v>0</v>
      </c>
      <c r="K66" s="163">
        <f t="shared" si="0"/>
        <v>0</v>
      </c>
      <c r="L66" s="99">
        <v>0</v>
      </c>
      <c r="M66" s="155">
        <f t="shared" si="1"/>
        <v>0</v>
      </c>
      <c r="N66" s="99">
        <v>0</v>
      </c>
      <c r="O66" s="163">
        <f t="shared" si="6"/>
        <v>0</v>
      </c>
      <c r="P66" s="99">
        <v>0</v>
      </c>
      <c r="Q66" s="166">
        <f t="shared" si="7"/>
        <v>0</v>
      </c>
      <c r="R66" s="161">
        <f t="shared" si="11"/>
        <v>412</v>
      </c>
      <c r="S66" s="158">
        <f t="shared" si="2"/>
        <v>6.2162560000000004</v>
      </c>
      <c r="T66" s="101">
        <v>0</v>
      </c>
      <c r="U66" s="139">
        <f t="shared" si="8"/>
        <v>0</v>
      </c>
      <c r="V66" s="141">
        <f t="shared" si="9"/>
        <v>412</v>
      </c>
      <c r="W66" s="141">
        <f t="shared" si="10"/>
        <v>6.2162560000000004</v>
      </c>
    </row>
    <row r="67" spans="1:23" x14ac:dyDescent="0.25">
      <c r="A67" s="108" t="s">
        <v>82</v>
      </c>
      <c r="B67" s="35">
        <v>82</v>
      </c>
      <c r="C67" s="35">
        <v>80</v>
      </c>
      <c r="D67" s="35">
        <v>2</v>
      </c>
      <c r="E67" s="114">
        <f t="shared" si="3"/>
        <v>1.312E-2</v>
      </c>
      <c r="F67" s="23">
        <f>'EKİM 1 HAFTA'!V67</f>
        <v>432</v>
      </c>
      <c r="G67" s="110">
        <f t="shared" si="4"/>
        <v>5.66784</v>
      </c>
      <c r="H67" s="115"/>
      <c r="I67" s="100">
        <f t="shared" si="5"/>
        <v>0</v>
      </c>
      <c r="J67" s="21">
        <v>0</v>
      </c>
      <c r="K67" s="167">
        <f t="shared" si="0"/>
        <v>0</v>
      </c>
      <c r="L67" s="22">
        <v>0</v>
      </c>
      <c r="M67" s="168">
        <f t="shared" si="1"/>
        <v>0</v>
      </c>
      <c r="N67" s="22">
        <v>0</v>
      </c>
      <c r="O67" s="167">
        <f t="shared" si="6"/>
        <v>0</v>
      </c>
      <c r="P67" s="22">
        <v>0</v>
      </c>
      <c r="Q67" s="115">
        <f t="shared" si="7"/>
        <v>0</v>
      </c>
      <c r="R67" s="162">
        <f t="shared" si="11"/>
        <v>432</v>
      </c>
      <c r="S67" s="159">
        <f t="shared" si="2"/>
        <v>5.66784</v>
      </c>
      <c r="T67" s="101"/>
      <c r="U67" s="115">
        <f t="shared" si="5"/>
        <v>0</v>
      </c>
      <c r="V67" s="141">
        <f t="shared" si="9"/>
        <v>432</v>
      </c>
      <c r="W67" s="141">
        <f t="shared" si="10"/>
        <v>5.66784</v>
      </c>
    </row>
    <row r="68" spans="1:23" x14ac:dyDescent="0.25">
      <c r="A68" s="108" t="s">
        <v>83</v>
      </c>
      <c r="B68" s="35">
        <v>86</v>
      </c>
      <c r="C68" s="35">
        <v>77</v>
      </c>
      <c r="D68" s="35">
        <v>8</v>
      </c>
      <c r="E68" s="114">
        <f t="shared" si="3"/>
        <v>5.2976000000000002E-2</v>
      </c>
      <c r="F68" s="23">
        <f>'EKİM 1 HAFTA'!V68</f>
        <v>62</v>
      </c>
      <c r="G68" s="110">
        <f t="shared" si="4"/>
        <v>3.2845120000000003</v>
      </c>
      <c r="H68" s="115">
        <v>6</v>
      </c>
      <c r="I68" s="11">
        <f t="shared" ref="I68:U72" si="12">E68*H68</f>
        <v>0.31785600000000003</v>
      </c>
      <c r="J68" s="21">
        <v>0</v>
      </c>
      <c r="K68" s="10">
        <f t="shared" si="0"/>
        <v>0</v>
      </c>
      <c r="L68" s="21">
        <v>0</v>
      </c>
      <c r="M68" s="11">
        <f t="shared" si="1"/>
        <v>0</v>
      </c>
      <c r="N68" s="21">
        <v>0</v>
      </c>
      <c r="O68" s="10">
        <f t="shared" si="6"/>
        <v>0</v>
      </c>
      <c r="P68" s="21">
        <v>2</v>
      </c>
      <c r="Q68" s="154">
        <f t="shared" si="7"/>
        <v>0.105952</v>
      </c>
      <c r="R68" s="165">
        <f t="shared" si="11"/>
        <v>54</v>
      </c>
      <c r="S68" s="160">
        <f t="shared" si="2"/>
        <v>2.8607040000000001</v>
      </c>
      <c r="T68" s="101"/>
      <c r="U68" s="115">
        <f t="shared" si="12"/>
        <v>0</v>
      </c>
      <c r="V68" s="141">
        <f t="shared" si="9"/>
        <v>54</v>
      </c>
      <c r="W68" s="141">
        <f t="shared" si="10"/>
        <v>2.8607040000000001</v>
      </c>
    </row>
    <row r="69" spans="1:23" x14ac:dyDescent="0.25">
      <c r="A69" s="151" t="s">
        <v>84</v>
      </c>
      <c r="B69" s="33">
        <v>76</v>
      </c>
      <c r="C69" s="33">
        <v>75</v>
      </c>
      <c r="D69" s="33">
        <v>8</v>
      </c>
      <c r="E69" s="152">
        <f t="shared" si="3"/>
        <v>4.5600000000000002E-2</v>
      </c>
      <c r="F69" s="23">
        <f>'EKİM 1 HAFTA'!V69</f>
        <v>88</v>
      </c>
      <c r="G69" s="153">
        <f t="shared" si="4"/>
        <v>4.0128000000000004</v>
      </c>
      <c r="H69" s="154"/>
      <c r="I69" s="100">
        <f t="shared" si="12"/>
        <v>0</v>
      </c>
      <c r="J69" s="129">
        <v>0</v>
      </c>
      <c r="K69" s="85">
        <f t="shared" ref="K69:K72" si="13">E69*J69</f>
        <v>0</v>
      </c>
      <c r="L69" s="170"/>
      <c r="M69" s="11">
        <f t="shared" si="1"/>
        <v>0</v>
      </c>
      <c r="N69" s="129">
        <v>0</v>
      </c>
      <c r="O69" s="85">
        <f t="shared" si="6"/>
        <v>0</v>
      </c>
      <c r="P69" s="129">
        <v>2</v>
      </c>
      <c r="Q69" s="100">
        <f t="shared" si="7"/>
        <v>9.1200000000000003E-2</v>
      </c>
      <c r="R69" s="86">
        <f t="shared" si="11"/>
        <v>86</v>
      </c>
      <c r="S69" s="143">
        <f t="shared" ref="S69:S72" si="14">E69*R69</f>
        <v>3.9216000000000002</v>
      </c>
      <c r="T69" s="101"/>
      <c r="U69" s="115">
        <f t="shared" si="12"/>
        <v>0</v>
      </c>
      <c r="V69" s="141">
        <f t="shared" si="9"/>
        <v>86</v>
      </c>
      <c r="W69" s="141">
        <f t="shared" si="10"/>
        <v>3.9216000000000002</v>
      </c>
    </row>
    <row r="70" spans="1:23" x14ac:dyDescent="0.25">
      <c r="A70" s="108" t="s">
        <v>85</v>
      </c>
      <c r="B70" s="35">
        <v>140</v>
      </c>
      <c r="C70" s="35">
        <v>240</v>
      </c>
      <c r="D70" s="35">
        <v>12</v>
      </c>
      <c r="E70" s="114">
        <f t="shared" ref="E70:E72" si="15">(B70*C70*D70)/1000000</f>
        <v>0.4032</v>
      </c>
      <c r="F70" s="23">
        <f>'EKİM 1 HAFTA'!V70</f>
        <v>7</v>
      </c>
      <c r="G70" s="110">
        <f t="shared" ref="G70:G72" si="16">E70*F70</f>
        <v>2.8224</v>
      </c>
      <c r="H70" s="115"/>
      <c r="I70" s="169">
        <f t="shared" si="12"/>
        <v>0</v>
      </c>
      <c r="J70" s="115">
        <v>0</v>
      </c>
      <c r="K70" s="167">
        <f t="shared" si="13"/>
        <v>0</v>
      </c>
      <c r="L70" s="115">
        <v>1</v>
      </c>
      <c r="M70" s="11">
        <f t="shared" ref="M70:M72" si="17">E70*L70</f>
        <v>0.4032</v>
      </c>
      <c r="N70" s="22">
        <v>0</v>
      </c>
      <c r="O70" s="167">
        <f t="shared" ref="O70:O72" si="18">E70*N70</f>
        <v>0</v>
      </c>
      <c r="P70" s="22">
        <v>0</v>
      </c>
      <c r="Q70" s="115">
        <f t="shared" ref="Q70:Q72" si="19">E70*P70</f>
        <v>0</v>
      </c>
      <c r="R70" s="162">
        <f t="shared" si="11"/>
        <v>6</v>
      </c>
      <c r="S70" s="143">
        <f t="shared" si="14"/>
        <v>2.4192</v>
      </c>
      <c r="T70" s="101"/>
      <c r="U70" s="115">
        <f t="shared" si="12"/>
        <v>0</v>
      </c>
      <c r="V70" s="141">
        <f t="shared" ref="V70:V72" si="20">R70+T70</f>
        <v>6</v>
      </c>
      <c r="W70" s="141">
        <f t="shared" ref="W70:W72" si="21">E70*V70</f>
        <v>2.4192</v>
      </c>
    </row>
    <row r="71" spans="1:23" x14ac:dyDescent="0.25">
      <c r="A71" s="108" t="s">
        <v>96</v>
      </c>
      <c r="B71" s="130">
        <v>140</v>
      </c>
      <c r="C71" s="130">
        <v>240</v>
      </c>
      <c r="D71" s="130">
        <v>2</v>
      </c>
      <c r="E71" s="131">
        <f t="shared" si="15"/>
        <v>6.7199999999999996E-2</v>
      </c>
      <c r="F71" s="135">
        <v>134</v>
      </c>
      <c r="G71" s="135">
        <f t="shared" si="16"/>
        <v>9.0047999999999995</v>
      </c>
      <c r="H71" s="115"/>
      <c r="I71" s="115">
        <f t="shared" si="12"/>
        <v>0</v>
      </c>
      <c r="J71" s="154"/>
      <c r="K71" s="154">
        <f t="shared" si="13"/>
        <v>0</v>
      </c>
      <c r="L71" s="154"/>
      <c r="M71" s="11">
        <f t="shared" si="17"/>
        <v>0</v>
      </c>
      <c r="N71" s="154"/>
      <c r="O71" s="154">
        <f t="shared" si="18"/>
        <v>0</v>
      </c>
      <c r="P71" s="154">
        <v>8</v>
      </c>
      <c r="Q71" s="154">
        <f t="shared" si="19"/>
        <v>0.53759999999999997</v>
      </c>
      <c r="R71" s="97">
        <v>0</v>
      </c>
      <c r="S71" s="97">
        <f t="shared" si="14"/>
        <v>0</v>
      </c>
      <c r="T71" s="138">
        <v>145</v>
      </c>
      <c r="U71" s="139">
        <f t="shared" ref="U71:U72" si="22">E71*T71</f>
        <v>9.7439999999999998</v>
      </c>
      <c r="V71" s="141">
        <f t="shared" si="20"/>
        <v>145</v>
      </c>
      <c r="W71" s="141">
        <f t="shared" si="21"/>
        <v>9.7439999999999998</v>
      </c>
    </row>
    <row r="72" spans="1:23" x14ac:dyDescent="0.25">
      <c r="A72" s="108" t="s">
        <v>95</v>
      </c>
      <c r="B72" s="132">
        <v>61</v>
      </c>
      <c r="C72" s="132">
        <v>61</v>
      </c>
      <c r="D72" s="132">
        <v>3</v>
      </c>
      <c r="E72" s="133">
        <f t="shared" si="15"/>
        <v>1.1162999999999999E-2</v>
      </c>
      <c r="F72" s="136">
        <v>48</v>
      </c>
      <c r="G72" s="136">
        <f t="shared" si="16"/>
        <v>0.53582399999999997</v>
      </c>
      <c r="H72" s="115"/>
      <c r="I72" s="115">
        <f t="shared" si="12"/>
        <v>0</v>
      </c>
      <c r="J72" s="115"/>
      <c r="K72" s="115">
        <f t="shared" si="13"/>
        <v>0</v>
      </c>
      <c r="L72" s="115"/>
      <c r="M72" s="11">
        <f t="shared" si="17"/>
        <v>0</v>
      </c>
      <c r="N72" s="115"/>
      <c r="O72" s="115">
        <f t="shared" si="18"/>
        <v>0</v>
      </c>
      <c r="P72" s="115"/>
      <c r="Q72" s="115">
        <f t="shared" si="19"/>
        <v>0</v>
      </c>
      <c r="R72" s="97"/>
      <c r="S72" s="97">
        <f t="shared" si="14"/>
        <v>0</v>
      </c>
      <c r="T72" s="138">
        <v>306</v>
      </c>
      <c r="U72" s="139">
        <f t="shared" si="22"/>
        <v>3.4158779999999997</v>
      </c>
      <c r="V72" s="141">
        <f t="shared" si="20"/>
        <v>306</v>
      </c>
      <c r="W72" s="141">
        <f t="shared" si="21"/>
        <v>3.4158779999999997</v>
      </c>
    </row>
  </sheetData>
  <mergeCells count="24">
    <mergeCell ref="B1:G1"/>
    <mergeCell ref="F2:G3"/>
    <mergeCell ref="H2:I2"/>
    <mergeCell ref="J2:K2"/>
    <mergeCell ref="L2:M2"/>
    <mergeCell ref="P2:Q2"/>
    <mergeCell ref="R2:S3"/>
    <mergeCell ref="T2:U3"/>
    <mergeCell ref="V2:W3"/>
    <mergeCell ref="H3:I3"/>
    <mergeCell ref="J3:K3"/>
    <mergeCell ref="L3:M3"/>
    <mergeCell ref="N3:O3"/>
    <mergeCell ref="P3:Q3"/>
    <mergeCell ref="N2:O2"/>
    <mergeCell ref="R4:S4"/>
    <mergeCell ref="T4:U4"/>
    <mergeCell ref="V4:W4"/>
    <mergeCell ref="F4:G4"/>
    <mergeCell ref="H4:I4"/>
    <mergeCell ref="J4:K4"/>
    <mergeCell ref="L4:M4"/>
    <mergeCell ref="N4:O4"/>
    <mergeCell ref="P4:Q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72"/>
  <sheetViews>
    <sheetView topLeftCell="A52" workbookViewId="0">
      <selection activeCell="A71" sqref="A71:W72"/>
    </sheetView>
  </sheetViews>
  <sheetFormatPr defaultRowHeight="15" x14ac:dyDescent="0.25"/>
  <cols>
    <col min="1" max="1" width="23.85546875" style="3" customWidth="1"/>
    <col min="2" max="4" width="6.140625" style="2" hidden="1" customWidth="1"/>
    <col min="5" max="5" width="9" style="4" hidden="1" customWidth="1"/>
    <col min="6" max="7" width="9" style="5" customWidth="1"/>
    <col min="8" max="19" width="8.140625" style="2" customWidth="1"/>
  </cols>
  <sheetData>
    <row r="1" spans="1:23" ht="15.75" thickBot="1" x14ac:dyDescent="0.3">
      <c r="A1" s="4" t="s">
        <v>18</v>
      </c>
      <c r="B1" s="320" t="s">
        <v>93</v>
      </c>
      <c r="C1" s="320"/>
      <c r="D1" s="320"/>
      <c r="E1" s="320"/>
      <c r="F1" s="320"/>
      <c r="G1" s="320"/>
    </row>
    <row r="2" spans="1:23" s="1" customFormat="1" ht="15.75" thickBot="1" x14ac:dyDescent="0.3">
      <c r="A2" s="8" t="s">
        <v>0</v>
      </c>
      <c r="B2" s="28"/>
      <c r="C2" s="29"/>
      <c r="D2" s="29"/>
      <c r="E2" s="14"/>
      <c r="F2" s="321" t="s">
        <v>1</v>
      </c>
      <c r="G2" s="322"/>
      <c r="H2" s="325">
        <v>44851</v>
      </c>
      <c r="I2" s="326"/>
      <c r="J2" s="327">
        <v>44852</v>
      </c>
      <c r="K2" s="328"/>
      <c r="L2" s="325">
        <v>44853</v>
      </c>
      <c r="M2" s="329"/>
      <c r="N2" s="327">
        <v>44854</v>
      </c>
      <c r="O2" s="346"/>
      <c r="P2" s="325">
        <v>44855</v>
      </c>
      <c r="Q2" s="329"/>
      <c r="R2" s="330" t="s">
        <v>69</v>
      </c>
      <c r="S2" s="331"/>
      <c r="T2" s="334" t="s">
        <v>70</v>
      </c>
      <c r="U2" s="335"/>
      <c r="V2" s="338" t="s">
        <v>71</v>
      </c>
      <c r="W2" s="339"/>
    </row>
    <row r="3" spans="1:23" s="1" customFormat="1" ht="15.75" thickBot="1" x14ac:dyDescent="0.3">
      <c r="A3" s="7"/>
      <c r="B3" s="30"/>
      <c r="C3" s="31"/>
      <c r="D3" s="31"/>
      <c r="E3" s="15"/>
      <c r="F3" s="323"/>
      <c r="G3" s="324"/>
      <c r="H3" s="342" t="s">
        <v>68</v>
      </c>
      <c r="I3" s="343"/>
      <c r="J3" s="344" t="s">
        <v>68</v>
      </c>
      <c r="K3" s="345"/>
      <c r="L3" s="342" t="s">
        <v>68</v>
      </c>
      <c r="M3" s="343"/>
      <c r="N3" s="344" t="s">
        <v>68</v>
      </c>
      <c r="O3" s="345"/>
      <c r="P3" s="342" t="s">
        <v>68</v>
      </c>
      <c r="Q3" s="343"/>
      <c r="R3" s="332"/>
      <c r="S3" s="333"/>
      <c r="T3" s="336"/>
      <c r="U3" s="337"/>
      <c r="V3" s="340"/>
      <c r="W3" s="341"/>
    </row>
    <row r="4" spans="1:23" ht="15.75" thickBot="1" x14ac:dyDescent="0.3">
      <c r="A4" s="42"/>
      <c r="B4" s="16" t="s">
        <v>65</v>
      </c>
      <c r="C4" s="17" t="s">
        <v>66</v>
      </c>
      <c r="D4" s="17" t="s">
        <v>67</v>
      </c>
      <c r="E4" s="18" t="s">
        <v>64</v>
      </c>
      <c r="F4" s="323" t="s">
        <v>63</v>
      </c>
      <c r="G4" s="324"/>
      <c r="H4" s="353" t="s">
        <v>63</v>
      </c>
      <c r="I4" s="354"/>
      <c r="J4" s="355" t="s">
        <v>63</v>
      </c>
      <c r="K4" s="356"/>
      <c r="L4" s="353" t="s">
        <v>63</v>
      </c>
      <c r="M4" s="354"/>
      <c r="N4" s="355" t="s">
        <v>63</v>
      </c>
      <c r="O4" s="356"/>
      <c r="P4" s="353" t="s">
        <v>63</v>
      </c>
      <c r="Q4" s="354"/>
      <c r="R4" s="347" t="s">
        <v>63</v>
      </c>
      <c r="S4" s="348"/>
      <c r="T4" s="349" t="s">
        <v>63</v>
      </c>
      <c r="U4" s="350"/>
      <c r="V4" s="351" t="s">
        <v>63</v>
      </c>
      <c r="W4" s="357"/>
    </row>
    <row r="5" spans="1:23" x14ac:dyDescent="0.25">
      <c r="A5" s="42" t="s">
        <v>2</v>
      </c>
      <c r="B5" s="32">
        <v>140</v>
      </c>
      <c r="C5" s="33">
        <v>240</v>
      </c>
      <c r="D5" s="33">
        <v>1</v>
      </c>
      <c r="E5" s="15">
        <f>(B5*C5*D5)/1000000</f>
        <v>3.3599999999999998E-2</v>
      </c>
      <c r="F5" s="23">
        <f>'EKİM 2 HAFTA '!V5</f>
        <v>53</v>
      </c>
      <c r="G5" s="24">
        <f>E5*F5</f>
        <v>1.7807999999999999</v>
      </c>
      <c r="H5" s="21">
        <v>24</v>
      </c>
      <c r="I5" s="11">
        <f>E5*H5</f>
        <v>0.80640000000000001</v>
      </c>
      <c r="J5" s="21">
        <v>43</v>
      </c>
      <c r="K5" s="10">
        <f t="shared" ref="K5:K68" si="0">E5*J5</f>
        <v>1.4447999999999999</v>
      </c>
      <c r="L5" s="21">
        <v>23</v>
      </c>
      <c r="M5" s="11">
        <f t="shared" ref="M5:M68" si="1">E5*L5</f>
        <v>0.77279999999999993</v>
      </c>
      <c r="N5" s="21">
        <v>21</v>
      </c>
      <c r="O5" s="10">
        <f>E5*N5</f>
        <v>0.7056</v>
      </c>
      <c r="P5" s="21">
        <v>25</v>
      </c>
      <c r="Q5" s="11">
        <f>E5*P5</f>
        <v>0.84</v>
      </c>
      <c r="R5" s="39">
        <f>F5-H5-J5-L5-N5-P5</f>
        <v>-83</v>
      </c>
      <c r="S5" s="38">
        <f t="shared" ref="S5:S68" si="2">E5*R5</f>
        <v>-2.7887999999999997</v>
      </c>
      <c r="T5" s="12">
        <v>216</v>
      </c>
      <c r="U5" s="13">
        <f>E5*T5</f>
        <v>7.2575999999999992</v>
      </c>
      <c r="V5" s="49">
        <f>R5+T5</f>
        <v>133</v>
      </c>
      <c r="W5" s="50">
        <f>E5*V5</f>
        <v>4.4687999999999999</v>
      </c>
    </row>
    <row r="6" spans="1:23" x14ac:dyDescent="0.25">
      <c r="A6" s="42" t="s">
        <v>3</v>
      </c>
      <c r="B6" s="34">
        <v>140</v>
      </c>
      <c r="C6" s="35">
        <v>240</v>
      </c>
      <c r="D6" s="35">
        <v>0.8</v>
      </c>
      <c r="E6" s="19">
        <f t="shared" ref="E6:E69" si="3">(B6*C6*D6)/1000000</f>
        <v>2.6880000000000001E-2</v>
      </c>
      <c r="F6" s="23">
        <f>'EKİM 2 HAFTA '!V6</f>
        <v>237</v>
      </c>
      <c r="G6" s="26">
        <f t="shared" ref="G6:G69" si="4">E6*F6</f>
        <v>6.3705600000000002</v>
      </c>
      <c r="H6" s="22">
        <v>0</v>
      </c>
      <c r="I6" s="11">
        <f t="shared" ref="I6:U67" si="5">E6*H6</f>
        <v>0</v>
      </c>
      <c r="J6" s="21">
        <v>2</v>
      </c>
      <c r="K6" s="10">
        <f t="shared" si="0"/>
        <v>5.3760000000000002E-2</v>
      </c>
      <c r="L6" s="21">
        <v>6</v>
      </c>
      <c r="M6" s="11">
        <f t="shared" si="1"/>
        <v>0.16128000000000001</v>
      </c>
      <c r="N6" s="21">
        <v>1</v>
      </c>
      <c r="O6" s="10">
        <f t="shared" ref="O6:O69" si="6">E6*N6</f>
        <v>2.6880000000000001E-2</v>
      </c>
      <c r="P6" s="21">
        <v>0</v>
      </c>
      <c r="Q6" s="11">
        <f t="shared" ref="Q6:Q69" si="7">E6*P6</f>
        <v>0</v>
      </c>
      <c r="R6" s="39">
        <f>F6-H6-J6-L6-N6-P6</f>
        <v>228</v>
      </c>
      <c r="S6" s="38">
        <f t="shared" si="2"/>
        <v>6.1286399999999999</v>
      </c>
      <c r="T6" s="12"/>
      <c r="U6" s="13">
        <f t="shared" ref="U6:U66" si="8">E6*T6</f>
        <v>0</v>
      </c>
      <c r="V6" s="49">
        <f t="shared" ref="V6:V69" si="9">R6+T6</f>
        <v>228</v>
      </c>
      <c r="W6" s="50">
        <f t="shared" ref="W6:W69" si="10">E6*V6</f>
        <v>6.1286399999999999</v>
      </c>
    </row>
    <row r="7" spans="1:23" x14ac:dyDescent="0.25">
      <c r="A7" s="42" t="s">
        <v>4</v>
      </c>
      <c r="B7" s="34">
        <v>140</v>
      </c>
      <c r="C7" s="35">
        <v>240</v>
      </c>
      <c r="D7" s="35">
        <v>1.4</v>
      </c>
      <c r="E7" s="19">
        <f t="shared" si="3"/>
        <v>4.7039999999999998E-2</v>
      </c>
      <c r="F7" s="23">
        <f>'EKİM 2 HAFTA '!V7</f>
        <v>302</v>
      </c>
      <c r="G7" s="26">
        <f t="shared" si="4"/>
        <v>14.20608</v>
      </c>
      <c r="H7" s="22">
        <v>21</v>
      </c>
      <c r="I7" s="11">
        <f t="shared" si="5"/>
        <v>0.98783999999999994</v>
      </c>
      <c r="J7" s="21">
        <v>69</v>
      </c>
      <c r="K7" s="10">
        <f t="shared" si="0"/>
        <v>3.2457599999999998</v>
      </c>
      <c r="L7" s="21">
        <v>12</v>
      </c>
      <c r="M7" s="11">
        <f t="shared" si="1"/>
        <v>0.56447999999999998</v>
      </c>
      <c r="N7" s="21">
        <v>15</v>
      </c>
      <c r="O7" s="10">
        <f t="shared" si="6"/>
        <v>0.7056</v>
      </c>
      <c r="P7" s="21">
        <v>1</v>
      </c>
      <c r="Q7" s="11">
        <f t="shared" si="7"/>
        <v>4.7039999999999998E-2</v>
      </c>
      <c r="R7" s="39">
        <f t="shared" ref="R7:R71" si="11">F7-H7-J7-L7-N7-P7</f>
        <v>184</v>
      </c>
      <c r="S7" s="38">
        <f t="shared" si="2"/>
        <v>8.6553599999999999</v>
      </c>
      <c r="T7" s="12"/>
      <c r="U7" s="13">
        <f t="shared" si="8"/>
        <v>0</v>
      </c>
      <c r="V7" s="49">
        <f t="shared" si="9"/>
        <v>184</v>
      </c>
      <c r="W7" s="50">
        <f t="shared" si="10"/>
        <v>8.6553599999999999</v>
      </c>
    </row>
    <row r="8" spans="1:23" x14ac:dyDescent="0.25">
      <c r="A8" s="42" t="s">
        <v>5</v>
      </c>
      <c r="B8" s="34">
        <v>140</v>
      </c>
      <c r="C8" s="35">
        <v>240</v>
      </c>
      <c r="D8" s="35">
        <v>4</v>
      </c>
      <c r="E8" s="19">
        <f t="shared" si="3"/>
        <v>0.13439999999999999</v>
      </c>
      <c r="F8" s="23">
        <f>'EKİM 2 HAFTA '!V8</f>
        <v>31</v>
      </c>
      <c r="G8" s="26">
        <f t="shared" si="4"/>
        <v>4.1663999999999994</v>
      </c>
      <c r="H8" s="22">
        <v>0</v>
      </c>
      <c r="I8" s="11">
        <f t="shared" si="5"/>
        <v>0</v>
      </c>
      <c r="J8" s="21">
        <v>3</v>
      </c>
      <c r="K8" s="10">
        <f t="shared" si="0"/>
        <v>0.4032</v>
      </c>
      <c r="L8" s="21">
        <v>0</v>
      </c>
      <c r="M8" s="11">
        <f t="shared" si="1"/>
        <v>0</v>
      </c>
      <c r="N8" s="21">
        <v>0</v>
      </c>
      <c r="O8" s="10">
        <f t="shared" si="6"/>
        <v>0</v>
      </c>
      <c r="P8" s="21">
        <v>0</v>
      </c>
      <c r="Q8" s="11">
        <f t="shared" si="7"/>
        <v>0</v>
      </c>
      <c r="R8" s="39">
        <f t="shared" si="11"/>
        <v>28</v>
      </c>
      <c r="S8" s="38">
        <f t="shared" si="2"/>
        <v>3.7631999999999999</v>
      </c>
      <c r="T8" s="12"/>
      <c r="U8" s="13">
        <f t="shared" si="8"/>
        <v>0</v>
      </c>
      <c r="V8" s="49">
        <f t="shared" si="9"/>
        <v>28</v>
      </c>
      <c r="W8" s="50">
        <f t="shared" si="10"/>
        <v>3.7631999999999999</v>
      </c>
    </row>
    <row r="9" spans="1:23" x14ac:dyDescent="0.25">
      <c r="A9" s="42" t="s">
        <v>6</v>
      </c>
      <c r="B9" s="34">
        <v>140</v>
      </c>
      <c r="C9" s="35">
        <v>240</v>
      </c>
      <c r="D9" s="35">
        <v>2</v>
      </c>
      <c r="E9" s="19">
        <f t="shared" si="3"/>
        <v>6.7199999999999996E-2</v>
      </c>
      <c r="F9" s="23">
        <f>'EKİM 2 HAFTA '!V9</f>
        <v>0</v>
      </c>
      <c r="G9" s="26">
        <f t="shared" si="4"/>
        <v>0</v>
      </c>
      <c r="H9" s="22">
        <v>0</v>
      </c>
      <c r="I9" s="11">
        <f t="shared" si="5"/>
        <v>0</v>
      </c>
      <c r="J9" s="21">
        <v>0</v>
      </c>
      <c r="K9" s="10">
        <f t="shared" si="0"/>
        <v>0</v>
      </c>
      <c r="L9" s="21">
        <v>0</v>
      </c>
      <c r="M9" s="11">
        <f t="shared" si="1"/>
        <v>0</v>
      </c>
      <c r="N9" s="21">
        <v>0</v>
      </c>
      <c r="O9" s="10">
        <f t="shared" si="6"/>
        <v>0</v>
      </c>
      <c r="P9" s="21">
        <v>0</v>
      </c>
      <c r="Q9" s="11">
        <f t="shared" si="7"/>
        <v>0</v>
      </c>
      <c r="R9" s="39">
        <f t="shared" si="11"/>
        <v>0</v>
      </c>
      <c r="S9" s="38">
        <f t="shared" si="2"/>
        <v>0</v>
      </c>
      <c r="T9" s="12"/>
      <c r="U9" s="13">
        <f t="shared" si="8"/>
        <v>0</v>
      </c>
      <c r="V9" s="49">
        <f t="shared" si="9"/>
        <v>0</v>
      </c>
      <c r="W9" s="50">
        <f t="shared" si="10"/>
        <v>0</v>
      </c>
    </row>
    <row r="10" spans="1:23" x14ac:dyDescent="0.25">
      <c r="A10" s="42" t="s">
        <v>7</v>
      </c>
      <c r="B10" s="34">
        <v>140</v>
      </c>
      <c r="C10" s="35">
        <v>240</v>
      </c>
      <c r="D10" s="35">
        <v>2</v>
      </c>
      <c r="E10" s="19">
        <f t="shared" si="3"/>
        <v>6.7199999999999996E-2</v>
      </c>
      <c r="F10" s="23">
        <f>'EKİM 2 HAFTA '!V10</f>
        <v>239</v>
      </c>
      <c r="G10" s="26">
        <f t="shared" si="4"/>
        <v>16.0608</v>
      </c>
      <c r="H10" s="22"/>
      <c r="I10" s="11">
        <f t="shared" si="5"/>
        <v>0</v>
      </c>
      <c r="J10" s="21">
        <v>15</v>
      </c>
      <c r="K10" s="10">
        <f t="shared" si="0"/>
        <v>1.008</v>
      </c>
      <c r="L10" s="21">
        <v>0</v>
      </c>
      <c r="M10" s="11">
        <f t="shared" si="1"/>
        <v>0</v>
      </c>
      <c r="N10" s="21">
        <v>2</v>
      </c>
      <c r="O10" s="10">
        <f t="shared" si="6"/>
        <v>0.13439999999999999</v>
      </c>
      <c r="P10" s="21">
        <v>0</v>
      </c>
      <c r="Q10" s="11">
        <f t="shared" si="7"/>
        <v>0</v>
      </c>
      <c r="R10" s="39">
        <f t="shared" si="11"/>
        <v>222</v>
      </c>
      <c r="S10" s="38">
        <f t="shared" si="2"/>
        <v>14.918399999999998</v>
      </c>
      <c r="T10" s="12"/>
      <c r="U10" s="13">
        <f t="shared" si="8"/>
        <v>0</v>
      </c>
      <c r="V10" s="49">
        <f t="shared" si="9"/>
        <v>222</v>
      </c>
      <c r="W10" s="50">
        <f t="shared" si="10"/>
        <v>14.918399999999998</v>
      </c>
    </row>
    <row r="11" spans="1:23" x14ac:dyDescent="0.25">
      <c r="A11" s="42" t="s">
        <v>8</v>
      </c>
      <c r="B11" s="34">
        <v>140</v>
      </c>
      <c r="C11" s="35">
        <v>240</v>
      </c>
      <c r="D11" s="35">
        <v>7</v>
      </c>
      <c r="E11" s="19">
        <f t="shared" si="3"/>
        <v>0.23519999999999999</v>
      </c>
      <c r="F11" s="23">
        <f>'EKİM 2 HAFTA '!V11</f>
        <v>0</v>
      </c>
      <c r="G11" s="26">
        <f t="shared" si="4"/>
        <v>0</v>
      </c>
      <c r="H11" s="22"/>
      <c r="I11" s="11">
        <f t="shared" si="5"/>
        <v>0</v>
      </c>
      <c r="J11" s="21">
        <v>0</v>
      </c>
      <c r="K11" s="10">
        <f t="shared" si="0"/>
        <v>0</v>
      </c>
      <c r="L11" s="21">
        <v>0</v>
      </c>
      <c r="M11" s="11">
        <f t="shared" si="1"/>
        <v>0</v>
      </c>
      <c r="N11" s="21">
        <v>0</v>
      </c>
      <c r="O11" s="10">
        <f t="shared" si="6"/>
        <v>0</v>
      </c>
      <c r="P11" s="21">
        <v>0</v>
      </c>
      <c r="Q11" s="11">
        <f t="shared" si="7"/>
        <v>0</v>
      </c>
      <c r="R11" s="39">
        <f t="shared" si="11"/>
        <v>0</v>
      </c>
      <c r="S11" s="38">
        <f t="shared" si="2"/>
        <v>0</v>
      </c>
      <c r="T11" s="12">
        <v>46</v>
      </c>
      <c r="U11" s="13">
        <f t="shared" si="8"/>
        <v>10.8192</v>
      </c>
      <c r="V11" s="49">
        <f t="shared" si="9"/>
        <v>46</v>
      </c>
      <c r="W11" s="50">
        <f t="shared" si="10"/>
        <v>10.8192</v>
      </c>
    </row>
    <row r="12" spans="1:23" x14ac:dyDescent="0.25">
      <c r="A12" s="42" t="s">
        <v>9</v>
      </c>
      <c r="B12" s="34">
        <v>140</v>
      </c>
      <c r="C12" s="35">
        <v>240</v>
      </c>
      <c r="D12" s="35">
        <v>5</v>
      </c>
      <c r="E12" s="19">
        <f t="shared" si="3"/>
        <v>0.16800000000000001</v>
      </c>
      <c r="F12" s="23">
        <f>'EKİM 2 HAFTA '!V12</f>
        <v>358</v>
      </c>
      <c r="G12" s="26">
        <f t="shared" si="4"/>
        <v>60.144000000000005</v>
      </c>
      <c r="H12" s="22">
        <v>1</v>
      </c>
      <c r="I12" s="11">
        <f t="shared" si="5"/>
        <v>0.16800000000000001</v>
      </c>
      <c r="J12" s="21">
        <v>7</v>
      </c>
      <c r="K12" s="10">
        <f t="shared" si="0"/>
        <v>1.1760000000000002</v>
      </c>
      <c r="L12" s="21">
        <v>1</v>
      </c>
      <c r="M12" s="11">
        <f t="shared" si="1"/>
        <v>0.16800000000000001</v>
      </c>
      <c r="N12" s="21">
        <v>18</v>
      </c>
      <c r="O12" s="10">
        <f t="shared" si="6"/>
        <v>3.024</v>
      </c>
      <c r="P12" s="21">
        <v>0</v>
      </c>
      <c r="Q12" s="11">
        <f t="shared" si="7"/>
        <v>0</v>
      </c>
      <c r="R12" s="39">
        <f t="shared" si="11"/>
        <v>331</v>
      </c>
      <c r="S12" s="38">
        <f t="shared" si="2"/>
        <v>55.608000000000004</v>
      </c>
      <c r="T12" s="12"/>
      <c r="U12" s="13">
        <f t="shared" si="8"/>
        <v>0</v>
      </c>
      <c r="V12" s="49">
        <f t="shared" si="9"/>
        <v>331</v>
      </c>
      <c r="W12" s="50">
        <f t="shared" si="10"/>
        <v>55.608000000000004</v>
      </c>
    </row>
    <row r="13" spans="1:23" x14ac:dyDescent="0.25">
      <c r="A13" s="42" t="s">
        <v>10</v>
      </c>
      <c r="B13" s="34">
        <v>140</v>
      </c>
      <c r="C13" s="35">
        <v>240</v>
      </c>
      <c r="D13" s="35">
        <v>5</v>
      </c>
      <c r="E13" s="19">
        <f t="shared" si="3"/>
        <v>0.16800000000000001</v>
      </c>
      <c r="F13" s="23">
        <f>'EKİM 2 HAFTA '!V13</f>
        <v>28</v>
      </c>
      <c r="G13" s="26">
        <f t="shared" si="4"/>
        <v>4.7040000000000006</v>
      </c>
      <c r="H13" s="22">
        <v>2</v>
      </c>
      <c r="I13" s="11">
        <f t="shared" si="5"/>
        <v>0.33600000000000002</v>
      </c>
      <c r="J13" s="21">
        <v>8</v>
      </c>
      <c r="K13" s="10">
        <f t="shared" si="0"/>
        <v>1.3440000000000001</v>
      </c>
      <c r="L13" s="21">
        <v>0</v>
      </c>
      <c r="M13" s="11">
        <f t="shared" si="1"/>
        <v>0</v>
      </c>
      <c r="N13" s="21">
        <v>7</v>
      </c>
      <c r="O13" s="10">
        <f t="shared" si="6"/>
        <v>1.1760000000000002</v>
      </c>
      <c r="P13" s="21">
        <v>4</v>
      </c>
      <c r="Q13" s="11">
        <f t="shared" si="7"/>
        <v>0.67200000000000004</v>
      </c>
      <c r="R13" s="39">
        <f t="shared" si="11"/>
        <v>7</v>
      </c>
      <c r="S13" s="38">
        <f t="shared" si="2"/>
        <v>1.1760000000000002</v>
      </c>
      <c r="T13" s="12"/>
      <c r="U13" s="13">
        <f t="shared" si="8"/>
        <v>0</v>
      </c>
      <c r="V13" s="49">
        <f t="shared" si="9"/>
        <v>7</v>
      </c>
      <c r="W13" s="50">
        <f t="shared" si="10"/>
        <v>1.1760000000000002</v>
      </c>
    </row>
    <row r="14" spans="1:23" x14ac:dyDescent="0.25">
      <c r="A14" s="42" t="s">
        <v>11</v>
      </c>
      <c r="B14" s="34">
        <v>140</v>
      </c>
      <c r="C14" s="35">
        <v>240</v>
      </c>
      <c r="D14" s="35">
        <v>5</v>
      </c>
      <c r="E14" s="19">
        <f t="shared" si="3"/>
        <v>0.16800000000000001</v>
      </c>
      <c r="F14" s="23">
        <f>'EKİM 2 HAFTA '!V14</f>
        <v>11</v>
      </c>
      <c r="G14" s="26">
        <f t="shared" si="4"/>
        <v>1.8480000000000001</v>
      </c>
      <c r="H14" s="22">
        <v>0</v>
      </c>
      <c r="I14" s="11">
        <f t="shared" si="5"/>
        <v>0</v>
      </c>
      <c r="J14" s="21">
        <v>0</v>
      </c>
      <c r="K14" s="10">
        <f t="shared" si="0"/>
        <v>0</v>
      </c>
      <c r="L14" s="21">
        <v>0</v>
      </c>
      <c r="M14" s="11">
        <f t="shared" si="1"/>
        <v>0</v>
      </c>
      <c r="N14" s="21">
        <v>0</v>
      </c>
      <c r="O14" s="10">
        <f t="shared" si="6"/>
        <v>0</v>
      </c>
      <c r="P14" s="21">
        <v>0</v>
      </c>
      <c r="Q14" s="11">
        <f t="shared" si="7"/>
        <v>0</v>
      </c>
      <c r="R14" s="39">
        <f t="shared" si="11"/>
        <v>11</v>
      </c>
      <c r="S14" s="38">
        <f t="shared" si="2"/>
        <v>1.8480000000000001</v>
      </c>
      <c r="T14" s="12"/>
      <c r="U14" s="13">
        <f t="shared" si="8"/>
        <v>0</v>
      </c>
      <c r="V14" s="49">
        <f t="shared" si="9"/>
        <v>11</v>
      </c>
      <c r="W14" s="50">
        <f t="shared" si="10"/>
        <v>1.8480000000000001</v>
      </c>
    </row>
    <row r="15" spans="1:23" x14ac:dyDescent="0.25">
      <c r="A15" s="42" t="s">
        <v>12</v>
      </c>
      <c r="B15" s="34">
        <v>140</v>
      </c>
      <c r="C15" s="35">
        <v>240</v>
      </c>
      <c r="D15" s="35">
        <v>10</v>
      </c>
      <c r="E15" s="19">
        <f t="shared" si="3"/>
        <v>0.33600000000000002</v>
      </c>
      <c r="F15" s="23">
        <f>'EKİM 2 HAFTA '!V15</f>
        <v>24</v>
      </c>
      <c r="G15" s="26">
        <f t="shared" si="4"/>
        <v>8.0640000000000001</v>
      </c>
      <c r="H15" s="22">
        <v>0</v>
      </c>
      <c r="I15" s="11">
        <f t="shared" si="5"/>
        <v>0</v>
      </c>
      <c r="J15" s="21">
        <v>1</v>
      </c>
      <c r="K15" s="10">
        <f t="shared" si="0"/>
        <v>0.33600000000000002</v>
      </c>
      <c r="L15" s="21">
        <v>0</v>
      </c>
      <c r="M15" s="11">
        <f t="shared" si="1"/>
        <v>0</v>
      </c>
      <c r="N15" s="21">
        <v>0</v>
      </c>
      <c r="O15" s="10">
        <f t="shared" si="6"/>
        <v>0</v>
      </c>
      <c r="P15" s="21">
        <v>2</v>
      </c>
      <c r="Q15" s="11">
        <f t="shared" si="7"/>
        <v>0.67200000000000004</v>
      </c>
      <c r="R15" s="39">
        <f t="shared" si="11"/>
        <v>21</v>
      </c>
      <c r="S15" s="38">
        <f t="shared" si="2"/>
        <v>7.056</v>
      </c>
      <c r="T15" s="12"/>
      <c r="U15" s="13">
        <f t="shared" si="8"/>
        <v>0</v>
      </c>
      <c r="V15" s="49">
        <f t="shared" si="9"/>
        <v>21</v>
      </c>
      <c r="W15" s="50">
        <f t="shared" si="10"/>
        <v>7.056</v>
      </c>
    </row>
    <row r="16" spans="1:23" x14ac:dyDescent="0.25">
      <c r="A16" s="42" t="s">
        <v>13</v>
      </c>
      <c r="B16" s="34">
        <v>140</v>
      </c>
      <c r="C16" s="35">
        <v>240</v>
      </c>
      <c r="D16" s="35">
        <v>3</v>
      </c>
      <c r="E16" s="19">
        <f t="shared" si="3"/>
        <v>0.1008</v>
      </c>
      <c r="F16" s="23">
        <f>'EKİM 2 HAFTA '!V16</f>
        <v>117</v>
      </c>
      <c r="G16" s="26">
        <f t="shared" si="4"/>
        <v>11.7936</v>
      </c>
      <c r="H16" s="22">
        <v>8</v>
      </c>
      <c r="I16" s="11">
        <f t="shared" si="5"/>
        <v>0.80640000000000001</v>
      </c>
      <c r="J16" s="21">
        <v>20</v>
      </c>
      <c r="K16" s="10">
        <f t="shared" si="0"/>
        <v>2.016</v>
      </c>
      <c r="L16" s="21">
        <v>0</v>
      </c>
      <c r="M16" s="11">
        <f t="shared" si="1"/>
        <v>0</v>
      </c>
      <c r="N16" s="21">
        <v>1</v>
      </c>
      <c r="O16" s="10">
        <f t="shared" si="6"/>
        <v>0.1008</v>
      </c>
      <c r="P16" s="21">
        <v>5</v>
      </c>
      <c r="Q16" s="11">
        <f t="shared" si="7"/>
        <v>0.504</v>
      </c>
      <c r="R16" s="39">
        <f t="shared" si="11"/>
        <v>83</v>
      </c>
      <c r="S16" s="38">
        <f t="shared" si="2"/>
        <v>8.3664000000000005</v>
      </c>
      <c r="T16" s="12"/>
      <c r="U16" s="13">
        <f t="shared" si="8"/>
        <v>0</v>
      </c>
      <c r="V16" s="49">
        <f t="shared" si="9"/>
        <v>83</v>
      </c>
      <c r="W16" s="50">
        <f t="shared" si="10"/>
        <v>8.3664000000000005</v>
      </c>
    </row>
    <row r="17" spans="1:23" x14ac:dyDescent="0.25">
      <c r="A17" s="42" t="s">
        <v>14</v>
      </c>
      <c r="B17" s="34">
        <v>140</v>
      </c>
      <c r="C17" s="35">
        <v>240</v>
      </c>
      <c r="D17" s="35">
        <v>5</v>
      </c>
      <c r="E17" s="19">
        <f t="shared" si="3"/>
        <v>0.16800000000000001</v>
      </c>
      <c r="F17" s="23">
        <f>'EKİM 2 HAFTA '!V17</f>
        <v>0</v>
      </c>
      <c r="G17" s="26">
        <f t="shared" si="4"/>
        <v>0</v>
      </c>
      <c r="H17" s="22"/>
      <c r="I17" s="11">
        <f t="shared" si="5"/>
        <v>0</v>
      </c>
      <c r="J17" s="21">
        <v>0</v>
      </c>
      <c r="K17" s="10">
        <f t="shared" si="0"/>
        <v>0</v>
      </c>
      <c r="L17" s="21">
        <v>0</v>
      </c>
      <c r="M17" s="11">
        <f t="shared" si="1"/>
        <v>0</v>
      </c>
      <c r="N17" s="21">
        <v>0</v>
      </c>
      <c r="O17" s="10">
        <f t="shared" si="6"/>
        <v>0</v>
      </c>
      <c r="P17" s="21">
        <v>0</v>
      </c>
      <c r="Q17" s="11">
        <f t="shared" si="7"/>
        <v>0</v>
      </c>
      <c r="R17" s="39">
        <f t="shared" si="11"/>
        <v>0</v>
      </c>
      <c r="S17" s="38">
        <f t="shared" si="2"/>
        <v>0</v>
      </c>
      <c r="T17" s="12"/>
      <c r="U17" s="13">
        <f t="shared" si="8"/>
        <v>0</v>
      </c>
      <c r="V17" s="49">
        <f t="shared" si="9"/>
        <v>0</v>
      </c>
      <c r="W17" s="50">
        <f t="shared" si="10"/>
        <v>0</v>
      </c>
    </row>
    <row r="18" spans="1:23" x14ac:dyDescent="0.25">
      <c r="A18" s="42" t="s">
        <v>15</v>
      </c>
      <c r="B18" s="34">
        <v>140</v>
      </c>
      <c r="C18" s="35">
        <v>240</v>
      </c>
      <c r="D18" s="35">
        <v>3</v>
      </c>
      <c r="E18" s="19">
        <f t="shared" si="3"/>
        <v>0.1008</v>
      </c>
      <c r="F18" s="23">
        <f>'EKİM 2 HAFTA '!V18</f>
        <v>155</v>
      </c>
      <c r="G18" s="26">
        <f t="shared" si="4"/>
        <v>15.624000000000001</v>
      </c>
      <c r="H18" s="22">
        <v>1</v>
      </c>
      <c r="I18" s="11">
        <f t="shared" si="5"/>
        <v>0.1008</v>
      </c>
      <c r="J18" s="21">
        <v>2</v>
      </c>
      <c r="K18" s="10">
        <f t="shared" si="0"/>
        <v>0.2016</v>
      </c>
      <c r="L18" s="21">
        <v>2</v>
      </c>
      <c r="M18" s="11">
        <f t="shared" si="1"/>
        <v>0.2016</v>
      </c>
      <c r="N18" s="21">
        <v>3</v>
      </c>
      <c r="O18" s="10">
        <f t="shared" si="6"/>
        <v>0.3024</v>
      </c>
      <c r="P18" s="21">
        <v>0</v>
      </c>
      <c r="Q18" s="11">
        <f t="shared" si="7"/>
        <v>0</v>
      </c>
      <c r="R18" s="39">
        <f t="shared" si="11"/>
        <v>147</v>
      </c>
      <c r="S18" s="38">
        <f t="shared" si="2"/>
        <v>14.817600000000001</v>
      </c>
      <c r="T18" s="12"/>
      <c r="U18" s="13">
        <f t="shared" si="8"/>
        <v>0</v>
      </c>
      <c r="V18" s="49">
        <f t="shared" si="9"/>
        <v>147</v>
      </c>
      <c r="W18" s="50">
        <f t="shared" si="10"/>
        <v>14.817600000000001</v>
      </c>
    </row>
    <row r="19" spans="1:23" x14ac:dyDescent="0.25">
      <c r="A19" s="42" t="s">
        <v>16</v>
      </c>
      <c r="B19" s="34">
        <v>140</v>
      </c>
      <c r="C19" s="35">
        <v>240</v>
      </c>
      <c r="D19" s="35">
        <v>8</v>
      </c>
      <c r="E19" s="19">
        <f t="shared" si="3"/>
        <v>0.26879999999999998</v>
      </c>
      <c r="F19" s="23">
        <f>'EKİM 2 HAFTA '!V19</f>
        <v>13</v>
      </c>
      <c r="G19" s="26">
        <f t="shared" si="4"/>
        <v>3.4943999999999997</v>
      </c>
      <c r="H19" s="22"/>
      <c r="I19" s="11">
        <f t="shared" si="5"/>
        <v>0</v>
      </c>
      <c r="J19" s="21">
        <v>0</v>
      </c>
      <c r="K19" s="10">
        <f t="shared" si="0"/>
        <v>0</v>
      </c>
      <c r="L19" s="21">
        <v>0</v>
      </c>
      <c r="M19" s="11">
        <f t="shared" si="1"/>
        <v>0</v>
      </c>
      <c r="N19" s="21">
        <v>0</v>
      </c>
      <c r="O19" s="10">
        <f t="shared" si="6"/>
        <v>0</v>
      </c>
      <c r="P19" s="21">
        <v>0</v>
      </c>
      <c r="Q19" s="11">
        <f t="shared" si="7"/>
        <v>0</v>
      </c>
      <c r="R19" s="39">
        <f t="shared" si="11"/>
        <v>13</v>
      </c>
      <c r="S19" s="38">
        <f t="shared" si="2"/>
        <v>3.4943999999999997</v>
      </c>
      <c r="T19" s="12"/>
      <c r="U19" s="13">
        <f t="shared" si="8"/>
        <v>0</v>
      </c>
      <c r="V19" s="49">
        <f t="shared" si="9"/>
        <v>13</v>
      </c>
      <c r="W19" s="50">
        <f t="shared" si="10"/>
        <v>3.4943999999999997</v>
      </c>
    </row>
    <row r="20" spans="1:23" x14ac:dyDescent="0.25">
      <c r="A20" s="42" t="s">
        <v>17</v>
      </c>
      <c r="B20" s="34">
        <v>140</v>
      </c>
      <c r="C20" s="35">
        <v>240</v>
      </c>
      <c r="D20" s="35">
        <v>8</v>
      </c>
      <c r="E20" s="19">
        <f t="shared" si="3"/>
        <v>0.26879999999999998</v>
      </c>
      <c r="F20" s="23">
        <f>'EKİM 2 HAFTA '!V20</f>
        <v>0</v>
      </c>
      <c r="G20" s="26">
        <f t="shared" si="4"/>
        <v>0</v>
      </c>
      <c r="H20" s="22"/>
      <c r="I20" s="11">
        <f t="shared" si="5"/>
        <v>0</v>
      </c>
      <c r="J20" s="21">
        <v>0</v>
      </c>
      <c r="K20" s="10">
        <f t="shared" si="0"/>
        <v>0</v>
      </c>
      <c r="L20" s="21">
        <v>0</v>
      </c>
      <c r="M20" s="11">
        <f t="shared" si="1"/>
        <v>0</v>
      </c>
      <c r="N20" s="21">
        <v>0</v>
      </c>
      <c r="O20" s="10">
        <f t="shared" si="6"/>
        <v>0</v>
      </c>
      <c r="P20" s="21">
        <v>0</v>
      </c>
      <c r="Q20" s="11">
        <f t="shared" si="7"/>
        <v>0</v>
      </c>
      <c r="R20" s="39">
        <f t="shared" si="11"/>
        <v>0</v>
      </c>
      <c r="S20" s="38">
        <f t="shared" si="2"/>
        <v>0</v>
      </c>
      <c r="T20" s="12"/>
      <c r="U20" s="13">
        <f t="shared" si="8"/>
        <v>0</v>
      </c>
      <c r="V20" s="49">
        <f t="shared" si="9"/>
        <v>0</v>
      </c>
      <c r="W20" s="50">
        <f t="shared" si="10"/>
        <v>0</v>
      </c>
    </row>
    <row r="21" spans="1:23" x14ac:dyDescent="0.25">
      <c r="A21" s="42" t="s">
        <v>19</v>
      </c>
      <c r="B21" s="34">
        <v>77</v>
      </c>
      <c r="C21" s="35">
        <v>55</v>
      </c>
      <c r="D21" s="35">
        <v>8</v>
      </c>
      <c r="E21" s="19">
        <f t="shared" si="3"/>
        <v>3.388E-2</v>
      </c>
      <c r="F21" s="23">
        <f>'EKİM 2 HAFTA '!V21</f>
        <v>4</v>
      </c>
      <c r="G21" s="26">
        <f t="shared" si="4"/>
        <v>0.13552</v>
      </c>
      <c r="H21" s="22"/>
      <c r="I21" s="11">
        <f t="shared" si="5"/>
        <v>0</v>
      </c>
      <c r="J21" s="21">
        <v>0</v>
      </c>
      <c r="K21" s="10">
        <f t="shared" si="0"/>
        <v>0</v>
      </c>
      <c r="L21" s="21">
        <v>0</v>
      </c>
      <c r="M21" s="11">
        <f t="shared" si="1"/>
        <v>0</v>
      </c>
      <c r="N21" s="21">
        <v>0</v>
      </c>
      <c r="O21" s="10">
        <f t="shared" si="6"/>
        <v>0</v>
      </c>
      <c r="P21" s="21">
        <v>0</v>
      </c>
      <c r="Q21" s="11">
        <f t="shared" si="7"/>
        <v>0</v>
      </c>
      <c r="R21" s="39">
        <f t="shared" si="11"/>
        <v>4</v>
      </c>
      <c r="S21" s="38">
        <f t="shared" si="2"/>
        <v>0.13552</v>
      </c>
      <c r="T21" s="12"/>
      <c r="U21" s="13">
        <f t="shared" si="8"/>
        <v>0</v>
      </c>
      <c r="V21" s="49">
        <f t="shared" si="9"/>
        <v>4</v>
      </c>
      <c r="W21" s="50">
        <f t="shared" si="10"/>
        <v>0.13552</v>
      </c>
    </row>
    <row r="22" spans="1:23" x14ac:dyDescent="0.25">
      <c r="A22" s="42" t="s">
        <v>20</v>
      </c>
      <c r="B22" s="34">
        <v>65</v>
      </c>
      <c r="C22" s="35">
        <v>50</v>
      </c>
      <c r="D22" s="35">
        <v>12</v>
      </c>
      <c r="E22" s="19">
        <f t="shared" si="3"/>
        <v>3.9E-2</v>
      </c>
      <c r="F22" s="23">
        <f>'EKİM 2 HAFTA '!V22</f>
        <v>26</v>
      </c>
      <c r="G22" s="26">
        <f t="shared" si="4"/>
        <v>1.014</v>
      </c>
      <c r="H22" s="22"/>
      <c r="I22" s="11">
        <f t="shared" si="5"/>
        <v>0</v>
      </c>
      <c r="J22" s="21">
        <v>0</v>
      </c>
      <c r="K22" s="10">
        <f t="shared" si="0"/>
        <v>0</v>
      </c>
      <c r="L22" s="21">
        <v>0</v>
      </c>
      <c r="M22" s="11">
        <f t="shared" si="1"/>
        <v>0</v>
      </c>
      <c r="N22" s="21">
        <v>0</v>
      </c>
      <c r="O22" s="10">
        <f t="shared" si="6"/>
        <v>0</v>
      </c>
      <c r="P22" s="21">
        <v>0</v>
      </c>
      <c r="Q22" s="11">
        <f t="shared" si="7"/>
        <v>0</v>
      </c>
      <c r="R22" s="39">
        <f t="shared" si="11"/>
        <v>26</v>
      </c>
      <c r="S22" s="38">
        <f t="shared" si="2"/>
        <v>1.014</v>
      </c>
      <c r="T22" s="12"/>
      <c r="U22" s="13">
        <f t="shared" si="8"/>
        <v>0</v>
      </c>
      <c r="V22" s="49">
        <f t="shared" si="9"/>
        <v>26</v>
      </c>
      <c r="W22" s="50">
        <f t="shared" si="10"/>
        <v>1.014</v>
      </c>
    </row>
    <row r="23" spans="1:23" x14ac:dyDescent="0.25">
      <c r="A23" s="42" t="s">
        <v>21</v>
      </c>
      <c r="B23" s="34"/>
      <c r="C23" s="35"/>
      <c r="D23" s="35"/>
      <c r="E23" s="19">
        <f t="shared" si="3"/>
        <v>0</v>
      </c>
      <c r="F23" s="23">
        <f>'EKİM 2 HAFTA '!V23</f>
        <v>74</v>
      </c>
      <c r="G23" s="26">
        <f t="shared" si="4"/>
        <v>0</v>
      </c>
      <c r="H23" s="22"/>
      <c r="I23" s="11">
        <f t="shared" si="5"/>
        <v>0</v>
      </c>
      <c r="J23" s="21">
        <v>0</v>
      </c>
      <c r="K23" s="10">
        <f t="shared" si="0"/>
        <v>0</v>
      </c>
      <c r="L23" s="21">
        <v>0</v>
      </c>
      <c r="M23" s="11">
        <f t="shared" si="1"/>
        <v>0</v>
      </c>
      <c r="N23" s="21">
        <v>0</v>
      </c>
      <c r="O23" s="10">
        <f t="shared" si="6"/>
        <v>0</v>
      </c>
      <c r="P23" s="21">
        <v>0</v>
      </c>
      <c r="Q23" s="11">
        <f t="shared" si="7"/>
        <v>0</v>
      </c>
      <c r="R23" s="39">
        <f t="shared" si="11"/>
        <v>74</v>
      </c>
      <c r="S23" s="38">
        <f t="shared" si="2"/>
        <v>0</v>
      </c>
      <c r="T23" s="12"/>
      <c r="U23" s="13">
        <f t="shared" si="8"/>
        <v>0</v>
      </c>
      <c r="V23" s="49">
        <f t="shared" si="9"/>
        <v>74</v>
      </c>
      <c r="W23" s="50">
        <f t="shared" si="10"/>
        <v>0</v>
      </c>
    </row>
    <row r="24" spans="1:23" x14ac:dyDescent="0.25">
      <c r="A24" s="42" t="s">
        <v>22</v>
      </c>
      <c r="B24" s="34">
        <v>66</v>
      </c>
      <c r="C24" s="35">
        <v>56</v>
      </c>
      <c r="D24" s="35">
        <v>12</v>
      </c>
      <c r="E24" s="19">
        <f t="shared" si="3"/>
        <v>4.4352000000000003E-2</v>
      </c>
      <c r="F24" s="23">
        <f>'EKİM 2 HAFTA '!V24</f>
        <v>28</v>
      </c>
      <c r="G24" s="26">
        <f t="shared" si="4"/>
        <v>1.2418560000000001</v>
      </c>
      <c r="H24" s="22"/>
      <c r="I24" s="11">
        <f t="shared" si="5"/>
        <v>0</v>
      </c>
      <c r="J24" s="21">
        <v>0</v>
      </c>
      <c r="K24" s="10">
        <f t="shared" si="0"/>
        <v>0</v>
      </c>
      <c r="L24" s="21">
        <v>0</v>
      </c>
      <c r="M24" s="11">
        <f t="shared" si="1"/>
        <v>0</v>
      </c>
      <c r="N24" s="21">
        <v>0</v>
      </c>
      <c r="O24" s="10">
        <f t="shared" si="6"/>
        <v>0</v>
      </c>
      <c r="P24" s="21">
        <v>0</v>
      </c>
      <c r="Q24" s="11">
        <f t="shared" si="7"/>
        <v>0</v>
      </c>
      <c r="R24" s="39">
        <f t="shared" si="11"/>
        <v>28</v>
      </c>
      <c r="S24" s="38">
        <f t="shared" si="2"/>
        <v>1.2418560000000001</v>
      </c>
      <c r="T24" s="12"/>
      <c r="U24" s="13">
        <f t="shared" si="8"/>
        <v>0</v>
      </c>
      <c r="V24" s="49">
        <f t="shared" si="9"/>
        <v>28</v>
      </c>
      <c r="W24" s="50">
        <f t="shared" si="10"/>
        <v>1.2418560000000001</v>
      </c>
    </row>
    <row r="25" spans="1:23" x14ac:dyDescent="0.25">
      <c r="A25" s="42" t="s">
        <v>23</v>
      </c>
      <c r="B25" s="34">
        <v>61.5</v>
      </c>
      <c r="C25" s="35">
        <v>61.5</v>
      </c>
      <c r="D25" s="35">
        <v>10</v>
      </c>
      <c r="E25" s="19">
        <f t="shared" si="3"/>
        <v>3.7822500000000002E-2</v>
      </c>
      <c r="F25" s="23">
        <f>'EKİM 2 HAFTA '!V25</f>
        <v>48</v>
      </c>
      <c r="G25" s="26">
        <f t="shared" si="4"/>
        <v>1.81548</v>
      </c>
      <c r="H25" s="22"/>
      <c r="I25" s="11">
        <f t="shared" si="5"/>
        <v>0</v>
      </c>
      <c r="J25" s="21">
        <v>0</v>
      </c>
      <c r="K25" s="10">
        <f t="shared" si="0"/>
        <v>0</v>
      </c>
      <c r="L25" s="21">
        <v>0</v>
      </c>
      <c r="M25" s="11">
        <f t="shared" si="1"/>
        <v>0</v>
      </c>
      <c r="N25" s="21">
        <v>0</v>
      </c>
      <c r="O25" s="10">
        <f t="shared" si="6"/>
        <v>0</v>
      </c>
      <c r="P25" s="21">
        <v>0</v>
      </c>
      <c r="Q25" s="11">
        <f t="shared" si="7"/>
        <v>0</v>
      </c>
      <c r="R25" s="39">
        <f t="shared" si="11"/>
        <v>48</v>
      </c>
      <c r="S25" s="38">
        <f t="shared" si="2"/>
        <v>1.81548</v>
      </c>
      <c r="T25" s="12"/>
      <c r="U25" s="13">
        <f t="shared" si="8"/>
        <v>0</v>
      </c>
      <c r="V25" s="49">
        <f t="shared" si="9"/>
        <v>48</v>
      </c>
      <c r="W25" s="50">
        <f t="shared" si="10"/>
        <v>1.81548</v>
      </c>
    </row>
    <row r="26" spans="1:23" x14ac:dyDescent="0.25">
      <c r="A26" s="42" t="s">
        <v>24</v>
      </c>
      <c r="B26" s="34">
        <v>82</v>
      </c>
      <c r="C26" s="35">
        <v>67</v>
      </c>
      <c r="D26" s="35">
        <v>5</v>
      </c>
      <c r="E26" s="19">
        <f t="shared" si="3"/>
        <v>2.7470000000000001E-2</v>
      </c>
      <c r="F26" s="23">
        <f>'EKİM 2 HAFTA '!V26</f>
        <v>30</v>
      </c>
      <c r="G26" s="26">
        <f t="shared" si="4"/>
        <v>0.82410000000000005</v>
      </c>
      <c r="H26" s="22"/>
      <c r="I26" s="11">
        <f t="shared" si="5"/>
        <v>0</v>
      </c>
      <c r="J26" s="21">
        <v>0</v>
      </c>
      <c r="K26" s="10">
        <f t="shared" si="0"/>
        <v>0</v>
      </c>
      <c r="L26" s="21">
        <v>0</v>
      </c>
      <c r="M26" s="11">
        <f t="shared" si="1"/>
        <v>0</v>
      </c>
      <c r="N26" s="21">
        <v>0</v>
      </c>
      <c r="O26" s="10">
        <f t="shared" si="6"/>
        <v>0</v>
      </c>
      <c r="P26" s="21">
        <v>0</v>
      </c>
      <c r="Q26" s="11">
        <f t="shared" si="7"/>
        <v>0</v>
      </c>
      <c r="R26" s="39">
        <f t="shared" si="11"/>
        <v>30</v>
      </c>
      <c r="S26" s="38">
        <f t="shared" si="2"/>
        <v>0.82410000000000005</v>
      </c>
      <c r="T26" s="12"/>
      <c r="U26" s="13">
        <f t="shared" si="8"/>
        <v>0</v>
      </c>
      <c r="V26" s="49">
        <f t="shared" si="9"/>
        <v>30</v>
      </c>
      <c r="W26" s="50">
        <f t="shared" si="10"/>
        <v>0.82410000000000005</v>
      </c>
    </row>
    <row r="27" spans="1:23" x14ac:dyDescent="0.25">
      <c r="A27" s="42" t="s">
        <v>25</v>
      </c>
      <c r="B27" s="34">
        <v>80</v>
      </c>
      <c r="C27" s="35">
        <v>62</v>
      </c>
      <c r="D27" s="35">
        <v>2</v>
      </c>
      <c r="E27" s="19">
        <f t="shared" si="3"/>
        <v>9.92E-3</v>
      </c>
      <c r="F27" s="23">
        <f>'EKİM 2 HAFTA '!V27</f>
        <v>36</v>
      </c>
      <c r="G27" s="26">
        <f t="shared" si="4"/>
        <v>0.35711999999999999</v>
      </c>
      <c r="H27" s="22"/>
      <c r="I27" s="11">
        <f t="shared" si="5"/>
        <v>0</v>
      </c>
      <c r="J27" s="21">
        <v>0</v>
      </c>
      <c r="K27" s="10">
        <f t="shared" si="0"/>
        <v>0</v>
      </c>
      <c r="L27" s="21">
        <v>0</v>
      </c>
      <c r="M27" s="11">
        <f t="shared" si="1"/>
        <v>0</v>
      </c>
      <c r="N27" s="21">
        <v>0</v>
      </c>
      <c r="O27" s="10">
        <f t="shared" si="6"/>
        <v>0</v>
      </c>
      <c r="P27" s="21">
        <v>0</v>
      </c>
      <c r="Q27" s="11">
        <f t="shared" si="7"/>
        <v>0</v>
      </c>
      <c r="R27" s="39">
        <f t="shared" si="11"/>
        <v>36</v>
      </c>
      <c r="S27" s="38">
        <f t="shared" si="2"/>
        <v>0.35711999999999999</v>
      </c>
      <c r="T27" s="12"/>
      <c r="U27" s="13">
        <f t="shared" si="8"/>
        <v>0</v>
      </c>
      <c r="V27" s="49">
        <f t="shared" si="9"/>
        <v>36</v>
      </c>
      <c r="W27" s="50">
        <f t="shared" si="10"/>
        <v>0.35711999999999999</v>
      </c>
    </row>
    <row r="28" spans="1:23" x14ac:dyDescent="0.25">
      <c r="A28" s="42" t="s">
        <v>26</v>
      </c>
      <c r="B28" s="34">
        <v>63</v>
      </c>
      <c r="C28" s="35">
        <v>55</v>
      </c>
      <c r="D28" s="35">
        <v>5</v>
      </c>
      <c r="E28" s="19">
        <f t="shared" si="3"/>
        <v>1.7325E-2</v>
      </c>
      <c r="F28" s="23">
        <f>'EKİM 2 HAFTA '!V28</f>
        <v>19</v>
      </c>
      <c r="G28" s="26">
        <f t="shared" si="4"/>
        <v>0.329175</v>
      </c>
      <c r="H28" s="22"/>
      <c r="I28" s="11">
        <f t="shared" si="5"/>
        <v>0</v>
      </c>
      <c r="J28" s="21">
        <v>0</v>
      </c>
      <c r="K28" s="10">
        <f t="shared" si="0"/>
        <v>0</v>
      </c>
      <c r="L28" s="21">
        <v>0</v>
      </c>
      <c r="M28" s="11">
        <f t="shared" si="1"/>
        <v>0</v>
      </c>
      <c r="N28" s="21">
        <v>0</v>
      </c>
      <c r="O28" s="10">
        <f t="shared" si="6"/>
        <v>0</v>
      </c>
      <c r="P28" s="21">
        <v>0</v>
      </c>
      <c r="Q28" s="11">
        <f t="shared" si="7"/>
        <v>0</v>
      </c>
      <c r="R28" s="39">
        <f t="shared" si="11"/>
        <v>19</v>
      </c>
      <c r="S28" s="38">
        <f t="shared" si="2"/>
        <v>0.329175</v>
      </c>
      <c r="T28" s="12"/>
      <c r="U28" s="13">
        <f t="shared" si="8"/>
        <v>0</v>
      </c>
      <c r="V28" s="49">
        <f t="shared" si="9"/>
        <v>19</v>
      </c>
      <c r="W28" s="50">
        <f t="shared" si="10"/>
        <v>0.329175</v>
      </c>
    </row>
    <row r="29" spans="1:23" x14ac:dyDescent="0.25">
      <c r="A29" s="42" t="s">
        <v>27</v>
      </c>
      <c r="B29" s="34">
        <v>140</v>
      </c>
      <c r="C29" s="35">
        <v>240</v>
      </c>
      <c r="D29" s="35">
        <v>5</v>
      </c>
      <c r="E29" s="19">
        <f t="shared" si="3"/>
        <v>0.16800000000000001</v>
      </c>
      <c r="F29" s="23">
        <f>'EKİM 2 HAFTA '!V29</f>
        <v>6</v>
      </c>
      <c r="G29" s="26">
        <f t="shared" si="4"/>
        <v>1.008</v>
      </c>
      <c r="H29" s="22"/>
      <c r="I29" s="11">
        <f t="shared" si="5"/>
        <v>0</v>
      </c>
      <c r="J29" s="21">
        <v>0</v>
      </c>
      <c r="K29" s="10">
        <f t="shared" si="0"/>
        <v>0</v>
      </c>
      <c r="L29" s="21">
        <v>0</v>
      </c>
      <c r="M29" s="11">
        <f t="shared" si="1"/>
        <v>0</v>
      </c>
      <c r="N29" s="21">
        <v>0</v>
      </c>
      <c r="O29" s="10">
        <f t="shared" si="6"/>
        <v>0</v>
      </c>
      <c r="P29" s="21">
        <v>0</v>
      </c>
      <c r="Q29" s="11">
        <f t="shared" si="7"/>
        <v>0</v>
      </c>
      <c r="R29" s="39">
        <f t="shared" si="11"/>
        <v>6</v>
      </c>
      <c r="S29" s="38">
        <f t="shared" si="2"/>
        <v>1.008</v>
      </c>
      <c r="T29" s="12"/>
      <c r="U29" s="13">
        <f t="shared" si="8"/>
        <v>0</v>
      </c>
      <c r="V29" s="49">
        <f t="shared" si="9"/>
        <v>6</v>
      </c>
      <c r="W29" s="50">
        <f t="shared" si="10"/>
        <v>1.008</v>
      </c>
    </row>
    <row r="30" spans="1:23" x14ac:dyDescent="0.25">
      <c r="A30" s="42" t="s">
        <v>28</v>
      </c>
      <c r="B30" s="34">
        <v>140</v>
      </c>
      <c r="C30" s="35">
        <v>240</v>
      </c>
      <c r="D30" s="35">
        <v>10</v>
      </c>
      <c r="E30" s="19">
        <f t="shared" si="3"/>
        <v>0.33600000000000002</v>
      </c>
      <c r="F30" s="23">
        <f>'EKİM 2 HAFTA '!V30</f>
        <v>11</v>
      </c>
      <c r="G30" s="26">
        <f t="shared" si="4"/>
        <v>3.6960000000000002</v>
      </c>
      <c r="H30" s="22"/>
      <c r="I30" s="11">
        <f t="shared" si="5"/>
        <v>0</v>
      </c>
      <c r="J30" s="21">
        <v>0</v>
      </c>
      <c r="K30" s="10">
        <f t="shared" si="0"/>
        <v>0</v>
      </c>
      <c r="L30" s="21">
        <v>0</v>
      </c>
      <c r="M30" s="11">
        <f t="shared" si="1"/>
        <v>0</v>
      </c>
      <c r="N30" s="21">
        <v>0</v>
      </c>
      <c r="O30" s="10">
        <f t="shared" si="6"/>
        <v>0</v>
      </c>
      <c r="P30" s="21">
        <v>0</v>
      </c>
      <c r="Q30" s="11">
        <f t="shared" si="7"/>
        <v>0</v>
      </c>
      <c r="R30" s="39">
        <f t="shared" si="11"/>
        <v>11</v>
      </c>
      <c r="S30" s="38">
        <f t="shared" si="2"/>
        <v>3.6960000000000002</v>
      </c>
      <c r="T30" s="12"/>
      <c r="U30" s="13">
        <f t="shared" si="8"/>
        <v>0</v>
      </c>
      <c r="V30" s="49">
        <f t="shared" si="9"/>
        <v>11</v>
      </c>
      <c r="W30" s="50">
        <f t="shared" si="10"/>
        <v>3.6960000000000002</v>
      </c>
    </row>
    <row r="31" spans="1:23" x14ac:dyDescent="0.25">
      <c r="A31" s="42" t="s">
        <v>29</v>
      </c>
      <c r="B31" s="34">
        <v>140</v>
      </c>
      <c r="C31" s="35">
        <v>240</v>
      </c>
      <c r="D31" s="35">
        <v>3</v>
      </c>
      <c r="E31" s="19">
        <f t="shared" si="3"/>
        <v>0.1008</v>
      </c>
      <c r="F31" s="23">
        <f>'EKİM 2 HAFTA '!V31</f>
        <v>26</v>
      </c>
      <c r="G31" s="26">
        <f t="shared" si="4"/>
        <v>2.6208</v>
      </c>
      <c r="H31" s="22"/>
      <c r="I31" s="11">
        <f t="shared" si="5"/>
        <v>0</v>
      </c>
      <c r="J31" s="21">
        <v>0</v>
      </c>
      <c r="K31" s="10">
        <f t="shared" si="0"/>
        <v>0</v>
      </c>
      <c r="L31" s="21">
        <v>0</v>
      </c>
      <c r="M31" s="11">
        <f t="shared" si="1"/>
        <v>0</v>
      </c>
      <c r="N31" s="21">
        <v>0</v>
      </c>
      <c r="O31" s="10">
        <f t="shared" si="6"/>
        <v>0</v>
      </c>
      <c r="P31" s="21">
        <v>0</v>
      </c>
      <c r="Q31" s="11">
        <f t="shared" si="7"/>
        <v>0</v>
      </c>
      <c r="R31" s="39">
        <f t="shared" si="11"/>
        <v>26</v>
      </c>
      <c r="S31" s="38">
        <f t="shared" si="2"/>
        <v>2.6208</v>
      </c>
      <c r="T31" s="12"/>
      <c r="U31" s="13">
        <f t="shared" si="8"/>
        <v>0</v>
      </c>
      <c r="V31" s="49">
        <f t="shared" si="9"/>
        <v>26</v>
      </c>
      <c r="W31" s="50">
        <f t="shared" si="10"/>
        <v>2.6208</v>
      </c>
    </row>
    <row r="32" spans="1:23" x14ac:dyDescent="0.25">
      <c r="A32" s="42" t="s">
        <v>30</v>
      </c>
      <c r="B32" s="34">
        <v>90</v>
      </c>
      <c r="C32" s="35">
        <v>80</v>
      </c>
      <c r="D32" s="35">
        <v>8</v>
      </c>
      <c r="E32" s="19">
        <f t="shared" si="3"/>
        <v>5.7599999999999998E-2</v>
      </c>
      <c r="F32" s="23">
        <f>'EKİM 2 HAFTA '!V32</f>
        <v>0</v>
      </c>
      <c r="G32" s="26">
        <f t="shared" si="4"/>
        <v>0</v>
      </c>
      <c r="H32" s="22"/>
      <c r="I32" s="11">
        <f t="shared" si="5"/>
        <v>0</v>
      </c>
      <c r="J32" s="21">
        <v>0</v>
      </c>
      <c r="K32" s="10">
        <f t="shared" si="0"/>
        <v>0</v>
      </c>
      <c r="L32" s="21">
        <v>0</v>
      </c>
      <c r="M32" s="11">
        <f t="shared" si="1"/>
        <v>0</v>
      </c>
      <c r="N32" s="21">
        <v>0</v>
      </c>
      <c r="O32" s="10">
        <f t="shared" si="6"/>
        <v>0</v>
      </c>
      <c r="P32" s="21">
        <v>0</v>
      </c>
      <c r="Q32" s="11">
        <f t="shared" si="7"/>
        <v>0</v>
      </c>
      <c r="R32" s="39">
        <f t="shared" si="11"/>
        <v>0</v>
      </c>
      <c r="S32" s="38">
        <f t="shared" si="2"/>
        <v>0</v>
      </c>
      <c r="T32" s="12"/>
      <c r="U32" s="13">
        <f t="shared" si="8"/>
        <v>0</v>
      </c>
      <c r="V32" s="49">
        <f t="shared" si="9"/>
        <v>0</v>
      </c>
      <c r="W32" s="50">
        <f t="shared" si="10"/>
        <v>0</v>
      </c>
    </row>
    <row r="33" spans="1:23" x14ac:dyDescent="0.25">
      <c r="A33" s="42" t="s">
        <v>31</v>
      </c>
      <c r="B33" s="34">
        <v>90</v>
      </c>
      <c r="C33" s="35">
        <v>80</v>
      </c>
      <c r="D33" s="35">
        <v>8</v>
      </c>
      <c r="E33" s="19">
        <f t="shared" si="3"/>
        <v>5.7599999999999998E-2</v>
      </c>
      <c r="F33" s="23">
        <f>'EKİM 2 HAFTA '!V33</f>
        <v>0</v>
      </c>
      <c r="G33" s="26">
        <f t="shared" si="4"/>
        <v>0</v>
      </c>
      <c r="H33" s="22"/>
      <c r="I33" s="11">
        <f t="shared" si="5"/>
        <v>0</v>
      </c>
      <c r="J33" s="21">
        <v>0</v>
      </c>
      <c r="K33" s="10">
        <f t="shared" si="0"/>
        <v>0</v>
      </c>
      <c r="L33" s="21">
        <v>0</v>
      </c>
      <c r="M33" s="11">
        <f t="shared" si="1"/>
        <v>0</v>
      </c>
      <c r="N33" s="21">
        <v>0</v>
      </c>
      <c r="O33" s="10">
        <f t="shared" si="6"/>
        <v>0</v>
      </c>
      <c r="P33" s="21">
        <v>0</v>
      </c>
      <c r="Q33" s="11">
        <f t="shared" si="7"/>
        <v>0</v>
      </c>
      <c r="R33" s="39">
        <f t="shared" si="11"/>
        <v>0</v>
      </c>
      <c r="S33" s="38">
        <f t="shared" si="2"/>
        <v>0</v>
      </c>
      <c r="T33" s="12"/>
      <c r="U33" s="13">
        <f t="shared" si="8"/>
        <v>0</v>
      </c>
      <c r="V33" s="49">
        <f t="shared" si="9"/>
        <v>0</v>
      </c>
      <c r="W33" s="50">
        <f t="shared" si="10"/>
        <v>0</v>
      </c>
    </row>
    <row r="34" spans="1:23" x14ac:dyDescent="0.25">
      <c r="A34" s="42" t="s">
        <v>32</v>
      </c>
      <c r="B34" s="34"/>
      <c r="C34" s="35"/>
      <c r="D34" s="35"/>
      <c r="E34" s="19">
        <f t="shared" si="3"/>
        <v>0</v>
      </c>
      <c r="F34" s="23">
        <f>'EKİM 2 HAFTA '!V34</f>
        <v>300</v>
      </c>
      <c r="G34" s="26">
        <f t="shared" si="4"/>
        <v>0</v>
      </c>
      <c r="H34" s="22"/>
      <c r="I34" s="11">
        <f t="shared" si="5"/>
        <v>0</v>
      </c>
      <c r="J34" s="21">
        <v>0</v>
      </c>
      <c r="K34" s="10">
        <f t="shared" si="0"/>
        <v>0</v>
      </c>
      <c r="L34" s="21">
        <v>0</v>
      </c>
      <c r="M34" s="11">
        <f t="shared" si="1"/>
        <v>0</v>
      </c>
      <c r="N34" s="21">
        <v>0</v>
      </c>
      <c r="O34" s="10">
        <f t="shared" si="6"/>
        <v>0</v>
      </c>
      <c r="P34" s="21">
        <v>0</v>
      </c>
      <c r="Q34" s="11">
        <f t="shared" si="7"/>
        <v>0</v>
      </c>
      <c r="R34" s="39">
        <f t="shared" si="11"/>
        <v>300</v>
      </c>
      <c r="S34" s="38">
        <f t="shared" si="2"/>
        <v>0</v>
      </c>
      <c r="T34" s="12"/>
      <c r="U34" s="13">
        <f t="shared" si="8"/>
        <v>0</v>
      </c>
      <c r="V34" s="49">
        <f t="shared" si="9"/>
        <v>300</v>
      </c>
      <c r="W34" s="50">
        <f t="shared" si="10"/>
        <v>0</v>
      </c>
    </row>
    <row r="35" spans="1:23" x14ac:dyDescent="0.25">
      <c r="A35" s="42" t="s">
        <v>33</v>
      </c>
      <c r="B35" s="34">
        <v>80</v>
      </c>
      <c r="C35" s="35">
        <v>66</v>
      </c>
      <c r="D35" s="35">
        <v>5</v>
      </c>
      <c r="E35" s="19">
        <f t="shared" si="3"/>
        <v>2.64E-2</v>
      </c>
      <c r="F35" s="23">
        <f>'EKİM 2 HAFTA '!V35</f>
        <v>56</v>
      </c>
      <c r="G35" s="26">
        <f t="shared" si="4"/>
        <v>1.4783999999999999</v>
      </c>
      <c r="H35" s="22"/>
      <c r="I35" s="11">
        <f t="shared" si="5"/>
        <v>0</v>
      </c>
      <c r="J35" s="21">
        <v>0</v>
      </c>
      <c r="K35" s="10">
        <f t="shared" si="0"/>
        <v>0</v>
      </c>
      <c r="L35" s="21">
        <v>0</v>
      </c>
      <c r="M35" s="11">
        <f t="shared" si="1"/>
        <v>0</v>
      </c>
      <c r="N35" s="21">
        <v>0</v>
      </c>
      <c r="O35" s="10">
        <f t="shared" si="6"/>
        <v>0</v>
      </c>
      <c r="P35" s="21">
        <v>0</v>
      </c>
      <c r="Q35" s="11">
        <f t="shared" si="7"/>
        <v>0</v>
      </c>
      <c r="R35" s="39">
        <f t="shared" si="11"/>
        <v>56</v>
      </c>
      <c r="S35" s="38">
        <f t="shared" si="2"/>
        <v>1.4783999999999999</v>
      </c>
      <c r="T35" s="12"/>
      <c r="U35" s="13">
        <f t="shared" si="8"/>
        <v>0</v>
      </c>
      <c r="V35" s="49">
        <f t="shared" si="9"/>
        <v>56</v>
      </c>
      <c r="W35" s="50">
        <f t="shared" si="10"/>
        <v>1.4783999999999999</v>
      </c>
    </row>
    <row r="36" spans="1:23" x14ac:dyDescent="0.25">
      <c r="A36" s="42" t="s">
        <v>34</v>
      </c>
      <c r="B36" s="34">
        <v>60</v>
      </c>
      <c r="C36" s="35">
        <v>62</v>
      </c>
      <c r="D36" s="35">
        <v>5</v>
      </c>
      <c r="E36" s="19">
        <f t="shared" si="3"/>
        <v>1.8599999999999998E-2</v>
      </c>
      <c r="F36" s="23">
        <f>'EKİM 2 HAFTA '!V36</f>
        <v>9</v>
      </c>
      <c r="G36" s="26">
        <f t="shared" si="4"/>
        <v>0.16739999999999999</v>
      </c>
      <c r="H36" s="22"/>
      <c r="I36" s="11">
        <f t="shared" si="5"/>
        <v>0</v>
      </c>
      <c r="J36" s="21">
        <v>0</v>
      </c>
      <c r="K36" s="10">
        <f t="shared" si="0"/>
        <v>0</v>
      </c>
      <c r="L36" s="21">
        <v>0</v>
      </c>
      <c r="M36" s="11">
        <f t="shared" si="1"/>
        <v>0</v>
      </c>
      <c r="N36" s="21">
        <v>0</v>
      </c>
      <c r="O36" s="10">
        <f t="shared" si="6"/>
        <v>0</v>
      </c>
      <c r="P36" s="21">
        <v>0</v>
      </c>
      <c r="Q36" s="11">
        <f t="shared" si="7"/>
        <v>0</v>
      </c>
      <c r="R36" s="39">
        <f t="shared" si="11"/>
        <v>9</v>
      </c>
      <c r="S36" s="38">
        <f t="shared" si="2"/>
        <v>0.16739999999999999</v>
      </c>
      <c r="T36" s="12"/>
      <c r="U36" s="13">
        <f t="shared" si="8"/>
        <v>0</v>
      </c>
      <c r="V36" s="49">
        <f t="shared" si="9"/>
        <v>9</v>
      </c>
      <c r="W36" s="50">
        <f t="shared" si="10"/>
        <v>0.16739999999999999</v>
      </c>
    </row>
    <row r="37" spans="1:23" x14ac:dyDescent="0.25">
      <c r="A37" s="42" t="s">
        <v>41</v>
      </c>
      <c r="B37" s="34">
        <v>60</v>
      </c>
      <c r="C37" s="35">
        <v>67</v>
      </c>
      <c r="D37" s="35">
        <v>3</v>
      </c>
      <c r="E37" s="19">
        <f t="shared" si="3"/>
        <v>1.206E-2</v>
      </c>
      <c r="F37" s="23">
        <f>'EKİM 2 HAFTA '!V37</f>
        <v>12</v>
      </c>
      <c r="G37" s="26">
        <f t="shared" si="4"/>
        <v>0.14471999999999999</v>
      </c>
      <c r="H37" s="22"/>
      <c r="I37" s="11">
        <f t="shared" si="5"/>
        <v>0</v>
      </c>
      <c r="J37" s="21">
        <v>0</v>
      </c>
      <c r="K37" s="10">
        <f t="shared" si="0"/>
        <v>0</v>
      </c>
      <c r="L37" s="21">
        <v>0</v>
      </c>
      <c r="M37" s="11">
        <f t="shared" si="1"/>
        <v>0</v>
      </c>
      <c r="N37" s="21">
        <v>0</v>
      </c>
      <c r="O37" s="10">
        <f t="shared" si="6"/>
        <v>0</v>
      </c>
      <c r="P37" s="21">
        <v>0</v>
      </c>
      <c r="Q37" s="11">
        <f t="shared" si="7"/>
        <v>0</v>
      </c>
      <c r="R37" s="39">
        <f t="shared" si="11"/>
        <v>12</v>
      </c>
      <c r="S37" s="38">
        <f t="shared" si="2"/>
        <v>0.14471999999999999</v>
      </c>
      <c r="T37" s="12"/>
      <c r="U37" s="13">
        <f t="shared" si="8"/>
        <v>0</v>
      </c>
      <c r="V37" s="49">
        <f t="shared" si="9"/>
        <v>12</v>
      </c>
      <c r="W37" s="50">
        <f t="shared" si="10"/>
        <v>0.14471999999999999</v>
      </c>
    </row>
    <row r="38" spans="1:23" x14ac:dyDescent="0.25">
      <c r="A38" s="42" t="s">
        <v>35</v>
      </c>
      <c r="B38" s="34">
        <v>140</v>
      </c>
      <c r="C38" s="35">
        <v>240</v>
      </c>
      <c r="D38" s="35">
        <v>7</v>
      </c>
      <c r="E38" s="19">
        <f t="shared" si="3"/>
        <v>0.23519999999999999</v>
      </c>
      <c r="F38" s="23">
        <f>'EKİM 2 HAFTA '!V38</f>
        <v>4</v>
      </c>
      <c r="G38" s="26">
        <f t="shared" si="4"/>
        <v>0.94079999999999997</v>
      </c>
      <c r="H38" s="22"/>
      <c r="I38" s="11">
        <f t="shared" si="5"/>
        <v>0</v>
      </c>
      <c r="J38" s="21">
        <v>0</v>
      </c>
      <c r="K38" s="10">
        <f t="shared" si="0"/>
        <v>0</v>
      </c>
      <c r="L38" s="21">
        <v>0</v>
      </c>
      <c r="M38" s="11">
        <f t="shared" si="1"/>
        <v>0</v>
      </c>
      <c r="N38" s="21">
        <v>0</v>
      </c>
      <c r="O38" s="10">
        <f t="shared" si="6"/>
        <v>0</v>
      </c>
      <c r="P38" s="21">
        <v>0</v>
      </c>
      <c r="Q38" s="11">
        <f t="shared" si="7"/>
        <v>0</v>
      </c>
      <c r="R38" s="39">
        <f t="shared" si="11"/>
        <v>4</v>
      </c>
      <c r="S38" s="38">
        <f t="shared" si="2"/>
        <v>0.94079999999999997</v>
      </c>
      <c r="T38" s="12"/>
      <c r="U38" s="13">
        <f t="shared" si="8"/>
        <v>0</v>
      </c>
      <c r="V38" s="49">
        <f t="shared" si="9"/>
        <v>4</v>
      </c>
      <c r="W38" s="50">
        <f t="shared" si="10"/>
        <v>0.94079999999999997</v>
      </c>
    </row>
    <row r="39" spans="1:23" x14ac:dyDescent="0.25">
      <c r="A39" s="42" t="s">
        <v>36</v>
      </c>
      <c r="B39" s="34">
        <v>60</v>
      </c>
      <c r="C39" s="35">
        <v>56</v>
      </c>
      <c r="D39" s="35">
        <v>10</v>
      </c>
      <c r="E39" s="19">
        <f t="shared" si="3"/>
        <v>3.3599999999999998E-2</v>
      </c>
      <c r="F39" s="23">
        <f>'EKİM 2 HAFTA '!V39</f>
        <v>30</v>
      </c>
      <c r="G39" s="26">
        <f t="shared" si="4"/>
        <v>1.008</v>
      </c>
      <c r="H39" s="22"/>
      <c r="I39" s="11">
        <f t="shared" si="5"/>
        <v>0</v>
      </c>
      <c r="J39" s="21">
        <v>0</v>
      </c>
      <c r="K39" s="10">
        <f t="shared" si="0"/>
        <v>0</v>
      </c>
      <c r="L39" s="21">
        <v>0</v>
      </c>
      <c r="M39" s="11">
        <f t="shared" si="1"/>
        <v>0</v>
      </c>
      <c r="N39" s="21">
        <v>0</v>
      </c>
      <c r="O39" s="10">
        <f t="shared" si="6"/>
        <v>0</v>
      </c>
      <c r="P39" s="21">
        <v>0</v>
      </c>
      <c r="Q39" s="11">
        <f t="shared" si="7"/>
        <v>0</v>
      </c>
      <c r="R39" s="39">
        <f t="shared" si="11"/>
        <v>30</v>
      </c>
      <c r="S39" s="38">
        <f t="shared" si="2"/>
        <v>1.008</v>
      </c>
      <c r="T39" s="12"/>
      <c r="U39" s="13">
        <f t="shared" si="8"/>
        <v>0</v>
      </c>
      <c r="V39" s="49">
        <f t="shared" si="9"/>
        <v>30</v>
      </c>
      <c r="W39" s="50">
        <f t="shared" si="10"/>
        <v>1.008</v>
      </c>
    </row>
    <row r="40" spans="1:23" x14ac:dyDescent="0.25">
      <c r="A40" s="42" t="s">
        <v>37</v>
      </c>
      <c r="B40" s="34">
        <v>58</v>
      </c>
      <c r="C40" s="35">
        <v>55</v>
      </c>
      <c r="D40" s="35">
        <v>10</v>
      </c>
      <c r="E40" s="19">
        <f t="shared" si="3"/>
        <v>3.1899999999999998E-2</v>
      </c>
      <c r="F40" s="23">
        <f>'EKİM 2 HAFTA '!V40</f>
        <v>66</v>
      </c>
      <c r="G40" s="26">
        <f t="shared" si="4"/>
        <v>2.1053999999999999</v>
      </c>
      <c r="H40" s="22"/>
      <c r="I40" s="11">
        <f t="shared" si="5"/>
        <v>0</v>
      </c>
      <c r="J40" s="21">
        <v>0</v>
      </c>
      <c r="K40" s="10">
        <f t="shared" si="0"/>
        <v>0</v>
      </c>
      <c r="L40" s="21">
        <v>0</v>
      </c>
      <c r="M40" s="11">
        <f t="shared" si="1"/>
        <v>0</v>
      </c>
      <c r="N40" s="21">
        <v>0</v>
      </c>
      <c r="O40" s="10">
        <f t="shared" si="6"/>
        <v>0</v>
      </c>
      <c r="P40" s="21">
        <v>0</v>
      </c>
      <c r="Q40" s="11">
        <f t="shared" si="7"/>
        <v>0</v>
      </c>
      <c r="R40" s="39">
        <f t="shared" si="11"/>
        <v>66</v>
      </c>
      <c r="S40" s="38">
        <f t="shared" si="2"/>
        <v>2.1053999999999999</v>
      </c>
      <c r="T40" s="12"/>
      <c r="U40" s="13">
        <f t="shared" si="8"/>
        <v>0</v>
      </c>
      <c r="V40" s="49">
        <f t="shared" si="9"/>
        <v>66</v>
      </c>
      <c r="W40" s="50">
        <f t="shared" si="10"/>
        <v>2.1053999999999999</v>
      </c>
    </row>
    <row r="41" spans="1:23" x14ac:dyDescent="0.25">
      <c r="A41" s="42" t="s">
        <v>38</v>
      </c>
      <c r="B41" s="34">
        <v>63</v>
      </c>
      <c r="C41" s="35">
        <v>55</v>
      </c>
      <c r="D41" s="35">
        <v>5</v>
      </c>
      <c r="E41" s="19">
        <f t="shared" si="3"/>
        <v>1.7325E-2</v>
      </c>
      <c r="F41" s="23">
        <f>'EKİM 2 HAFTA '!V41</f>
        <v>10</v>
      </c>
      <c r="G41" s="26">
        <f t="shared" si="4"/>
        <v>0.17325000000000002</v>
      </c>
      <c r="H41" s="22"/>
      <c r="I41" s="11">
        <f t="shared" si="5"/>
        <v>0</v>
      </c>
      <c r="J41" s="21">
        <v>0</v>
      </c>
      <c r="K41" s="10">
        <f t="shared" si="0"/>
        <v>0</v>
      </c>
      <c r="L41" s="21">
        <v>0</v>
      </c>
      <c r="M41" s="11">
        <f t="shared" si="1"/>
        <v>0</v>
      </c>
      <c r="N41" s="21">
        <v>0</v>
      </c>
      <c r="O41" s="10">
        <f t="shared" si="6"/>
        <v>0</v>
      </c>
      <c r="P41" s="21">
        <v>0</v>
      </c>
      <c r="Q41" s="11">
        <f t="shared" si="7"/>
        <v>0</v>
      </c>
      <c r="R41" s="39">
        <f t="shared" si="11"/>
        <v>10</v>
      </c>
      <c r="S41" s="38">
        <f t="shared" si="2"/>
        <v>0.17325000000000002</v>
      </c>
      <c r="T41" s="12"/>
      <c r="U41" s="13">
        <f t="shared" si="8"/>
        <v>0</v>
      </c>
      <c r="V41" s="49">
        <f t="shared" si="9"/>
        <v>10</v>
      </c>
      <c r="W41" s="50">
        <f t="shared" si="10"/>
        <v>0.17325000000000002</v>
      </c>
    </row>
    <row r="42" spans="1:23" x14ac:dyDescent="0.25">
      <c r="A42" s="42" t="s">
        <v>39</v>
      </c>
      <c r="B42" s="34">
        <v>52</v>
      </c>
      <c r="C42" s="35">
        <v>52</v>
      </c>
      <c r="D42" s="35">
        <v>5</v>
      </c>
      <c r="E42" s="19">
        <f t="shared" si="3"/>
        <v>1.3520000000000001E-2</v>
      </c>
      <c r="F42" s="23">
        <f>'EKİM 2 HAFTA '!V42</f>
        <v>0</v>
      </c>
      <c r="G42" s="26">
        <f t="shared" si="4"/>
        <v>0</v>
      </c>
      <c r="H42" s="22"/>
      <c r="I42" s="11">
        <f t="shared" si="5"/>
        <v>0</v>
      </c>
      <c r="J42" s="21">
        <v>0</v>
      </c>
      <c r="K42" s="10">
        <f t="shared" si="0"/>
        <v>0</v>
      </c>
      <c r="L42" s="21">
        <v>0</v>
      </c>
      <c r="M42" s="11">
        <f t="shared" si="1"/>
        <v>0</v>
      </c>
      <c r="N42" s="21">
        <v>0</v>
      </c>
      <c r="O42" s="10">
        <f t="shared" si="6"/>
        <v>0</v>
      </c>
      <c r="P42" s="21">
        <v>0</v>
      </c>
      <c r="Q42" s="11">
        <f t="shared" si="7"/>
        <v>0</v>
      </c>
      <c r="R42" s="39">
        <f t="shared" si="11"/>
        <v>0</v>
      </c>
      <c r="S42" s="38">
        <f t="shared" si="2"/>
        <v>0</v>
      </c>
      <c r="T42" s="12"/>
      <c r="U42" s="13">
        <f t="shared" si="8"/>
        <v>0</v>
      </c>
      <c r="V42" s="49">
        <f t="shared" si="9"/>
        <v>0</v>
      </c>
      <c r="W42" s="50">
        <f t="shared" si="10"/>
        <v>0</v>
      </c>
    </row>
    <row r="43" spans="1:23" x14ac:dyDescent="0.25">
      <c r="A43" s="42" t="s">
        <v>40</v>
      </c>
      <c r="B43" s="34">
        <v>80</v>
      </c>
      <c r="C43" s="35">
        <v>70</v>
      </c>
      <c r="D43" s="35">
        <v>8</v>
      </c>
      <c r="E43" s="19">
        <f t="shared" si="3"/>
        <v>4.48E-2</v>
      </c>
      <c r="F43" s="23">
        <f>'EKİM 2 HAFTA '!V43</f>
        <v>382</v>
      </c>
      <c r="G43" s="26">
        <f t="shared" si="4"/>
        <v>17.113599999999998</v>
      </c>
      <c r="H43" s="22"/>
      <c r="I43" s="11">
        <f t="shared" si="5"/>
        <v>0</v>
      </c>
      <c r="J43" s="21">
        <v>0</v>
      </c>
      <c r="K43" s="10">
        <f t="shared" si="0"/>
        <v>0</v>
      </c>
      <c r="L43" s="21">
        <v>0</v>
      </c>
      <c r="M43" s="11">
        <f t="shared" si="1"/>
        <v>0</v>
      </c>
      <c r="N43" s="21">
        <v>0</v>
      </c>
      <c r="O43" s="10">
        <f t="shared" si="6"/>
        <v>0</v>
      </c>
      <c r="P43" s="21">
        <v>0</v>
      </c>
      <c r="Q43" s="11">
        <f t="shared" si="7"/>
        <v>0</v>
      </c>
      <c r="R43" s="39">
        <f t="shared" si="11"/>
        <v>382</v>
      </c>
      <c r="S43" s="38">
        <f t="shared" si="2"/>
        <v>17.113599999999998</v>
      </c>
      <c r="T43" s="12"/>
      <c r="U43" s="13">
        <f t="shared" si="8"/>
        <v>0</v>
      </c>
      <c r="V43" s="49">
        <f t="shared" si="9"/>
        <v>382</v>
      </c>
      <c r="W43" s="50">
        <f t="shared" si="10"/>
        <v>17.113599999999998</v>
      </c>
    </row>
    <row r="44" spans="1:23" x14ac:dyDescent="0.25">
      <c r="A44" s="42" t="s">
        <v>42</v>
      </c>
      <c r="B44" s="34">
        <v>70</v>
      </c>
      <c r="C44" s="35">
        <v>64</v>
      </c>
      <c r="D44" s="35">
        <v>8</v>
      </c>
      <c r="E44" s="19">
        <f t="shared" si="3"/>
        <v>3.5839999999999997E-2</v>
      </c>
      <c r="F44" s="23">
        <f>'EKİM 2 HAFTA '!V44</f>
        <v>438</v>
      </c>
      <c r="G44" s="26">
        <f t="shared" si="4"/>
        <v>15.697919999999998</v>
      </c>
      <c r="H44" s="22"/>
      <c r="I44" s="11">
        <f t="shared" si="5"/>
        <v>0</v>
      </c>
      <c r="J44" s="21">
        <v>0</v>
      </c>
      <c r="K44" s="10">
        <f t="shared" si="0"/>
        <v>0</v>
      </c>
      <c r="L44" s="21">
        <v>0</v>
      </c>
      <c r="M44" s="11">
        <f t="shared" si="1"/>
        <v>0</v>
      </c>
      <c r="N44" s="21">
        <v>0</v>
      </c>
      <c r="O44" s="10">
        <f t="shared" si="6"/>
        <v>0</v>
      </c>
      <c r="P44" s="21">
        <v>0</v>
      </c>
      <c r="Q44" s="11">
        <f t="shared" si="7"/>
        <v>0</v>
      </c>
      <c r="R44" s="39">
        <f t="shared" si="11"/>
        <v>438</v>
      </c>
      <c r="S44" s="38">
        <f t="shared" si="2"/>
        <v>15.697919999999998</v>
      </c>
      <c r="T44" s="12"/>
      <c r="U44" s="13">
        <f t="shared" si="8"/>
        <v>0</v>
      </c>
      <c r="V44" s="49">
        <f t="shared" si="9"/>
        <v>438</v>
      </c>
      <c r="W44" s="50">
        <f t="shared" si="10"/>
        <v>15.697919999999998</v>
      </c>
    </row>
    <row r="45" spans="1:23" x14ac:dyDescent="0.25">
      <c r="A45" s="42" t="s">
        <v>43</v>
      </c>
      <c r="B45" s="34">
        <v>75</v>
      </c>
      <c r="C45" s="35">
        <v>70</v>
      </c>
      <c r="D45" s="35">
        <v>8</v>
      </c>
      <c r="E45" s="19">
        <f t="shared" si="3"/>
        <v>4.2000000000000003E-2</v>
      </c>
      <c r="F45" s="23">
        <f>'EKİM 2 HAFTA '!V45</f>
        <v>294</v>
      </c>
      <c r="G45" s="26">
        <f t="shared" si="4"/>
        <v>12.348000000000001</v>
      </c>
      <c r="H45" s="22"/>
      <c r="I45" s="11">
        <f t="shared" si="5"/>
        <v>0</v>
      </c>
      <c r="J45" s="21">
        <v>0</v>
      </c>
      <c r="K45" s="10">
        <f t="shared" si="0"/>
        <v>0</v>
      </c>
      <c r="L45" s="21">
        <v>0</v>
      </c>
      <c r="M45" s="11">
        <f t="shared" si="1"/>
        <v>0</v>
      </c>
      <c r="N45" s="21">
        <v>0</v>
      </c>
      <c r="O45" s="10">
        <f t="shared" si="6"/>
        <v>0</v>
      </c>
      <c r="P45" s="21">
        <v>0</v>
      </c>
      <c r="Q45" s="11">
        <f t="shared" si="7"/>
        <v>0</v>
      </c>
      <c r="R45" s="39">
        <f t="shared" si="11"/>
        <v>294</v>
      </c>
      <c r="S45" s="38">
        <f t="shared" si="2"/>
        <v>12.348000000000001</v>
      </c>
      <c r="T45" s="12"/>
      <c r="U45" s="13">
        <f t="shared" si="8"/>
        <v>0</v>
      </c>
      <c r="V45" s="49">
        <f t="shared" si="9"/>
        <v>294</v>
      </c>
      <c r="W45" s="50">
        <f t="shared" si="10"/>
        <v>12.348000000000001</v>
      </c>
    </row>
    <row r="46" spans="1:23" x14ac:dyDescent="0.25">
      <c r="A46" s="42" t="s">
        <v>77</v>
      </c>
      <c r="B46" s="34">
        <v>140</v>
      </c>
      <c r="C46" s="35">
        <v>67</v>
      </c>
      <c r="D46" s="35">
        <v>5</v>
      </c>
      <c r="E46" s="19">
        <f t="shared" si="3"/>
        <v>4.6899999999999997E-2</v>
      </c>
      <c r="F46" s="23">
        <f>'EKİM 2 HAFTA '!V46</f>
        <v>562</v>
      </c>
      <c r="G46" s="26">
        <f t="shared" si="4"/>
        <v>26.357799999999997</v>
      </c>
      <c r="H46" s="22">
        <v>20</v>
      </c>
      <c r="I46" s="11">
        <f t="shared" si="5"/>
        <v>0.93799999999999994</v>
      </c>
      <c r="J46" s="21">
        <v>2</v>
      </c>
      <c r="K46" s="10">
        <f t="shared" si="0"/>
        <v>9.3799999999999994E-2</v>
      </c>
      <c r="L46" s="21">
        <v>0</v>
      </c>
      <c r="M46" s="11">
        <f t="shared" si="1"/>
        <v>0</v>
      </c>
      <c r="N46" s="21">
        <v>2</v>
      </c>
      <c r="O46" s="10">
        <f t="shared" si="6"/>
        <v>9.3799999999999994E-2</v>
      </c>
      <c r="P46" s="21">
        <v>8</v>
      </c>
      <c r="Q46" s="11">
        <f t="shared" si="7"/>
        <v>0.37519999999999998</v>
      </c>
      <c r="R46" s="39">
        <f t="shared" si="11"/>
        <v>530</v>
      </c>
      <c r="S46" s="38">
        <f t="shared" si="2"/>
        <v>24.856999999999999</v>
      </c>
      <c r="T46" s="12"/>
      <c r="U46" s="13">
        <f t="shared" si="8"/>
        <v>0</v>
      </c>
      <c r="V46" s="49">
        <f t="shared" si="9"/>
        <v>530</v>
      </c>
      <c r="W46" s="50">
        <f t="shared" si="10"/>
        <v>24.856999999999999</v>
      </c>
    </row>
    <row r="47" spans="1:23" x14ac:dyDescent="0.25">
      <c r="A47" s="42" t="s">
        <v>45</v>
      </c>
      <c r="B47" s="34">
        <v>80</v>
      </c>
      <c r="C47" s="35">
        <v>63</v>
      </c>
      <c r="D47" s="35">
        <v>5</v>
      </c>
      <c r="E47" s="19">
        <f t="shared" si="3"/>
        <v>2.52E-2</v>
      </c>
      <c r="F47" s="23">
        <f>'EKİM 2 HAFTA '!V47</f>
        <v>315</v>
      </c>
      <c r="G47" s="26">
        <f t="shared" si="4"/>
        <v>7.9379999999999997</v>
      </c>
      <c r="H47" s="22"/>
      <c r="I47" s="11">
        <f t="shared" si="5"/>
        <v>0</v>
      </c>
      <c r="J47" s="21">
        <v>0</v>
      </c>
      <c r="K47" s="10">
        <f t="shared" si="0"/>
        <v>0</v>
      </c>
      <c r="L47" s="21">
        <v>0</v>
      </c>
      <c r="M47" s="11">
        <f t="shared" si="1"/>
        <v>0</v>
      </c>
      <c r="N47" s="21">
        <v>0</v>
      </c>
      <c r="O47" s="10">
        <f t="shared" si="6"/>
        <v>0</v>
      </c>
      <c r="P47" s="21">
        <v>0</v>
      </c>
      <c r="Q47" s="11">
        <f t="shared" si="7"/>
        <v>0</v>
      </c>
      <c r="R47" s="39">
        <f t="shared" si="11"/>
        <v>315</v>
      </c>
      <c r="S47" s="38">
        <f t="shared" si="2"/>
        <v>7.9379999999999997</v>
      </c>
      <c r="T47" s="12"/>
      <c r="U47" s="13">
        <f t="shared" si="8"/>
        <v>0</v>
      </c>
      <c r="V47" s="49">
        <f t="shared" si="9"/>
        <v>315</v>
      </c>
      <c r="W47" s="50">
        <f t="shared" si="10"/>
        <v>7.9379999999999997</v>
      </c>
    </row>
    <row r="48" spans="1:23" x14ac:dyDescent="0.25">
      <c r="A48" s="42" t="s">
        <v>46</v>
      </c>
      <c r="B48" s="34">
        <v>77</v>
      </c>
      <c r="C48" s="35">
        <v>68</v>
      </c>
      <c r="D48" s="35">
        <v>8</v>
      </c>
      <c r="E48" s="19">
        <f t="shared" si="3"/>
        <v>4.1888000000000002E-2</v>
      </c>
      <c r="F48" s="23">
        <f>'EKİM 2 HAFTA '!V48</f>
        <v>189</v>
      </c>
      <c r="G48" s="26">
        <f t="shared" si="4"/>
        <v>7.9168320000000003</v>
      </c>
      <c r="H48" s="22"/>
      <c r="I48" s="11">
        <f t="shared" si="5"/>
        <v>0</v>
      </c>
      <c r="J48" s="21">
        <v>0</v>
      </c>
      <c r="K48" s="10">
        <f t="shared" si="0"/>
        <v>0</v>
      </c>
      <c r="L48" s="21">
        <v>0</v>
      </c>
      <c r="M48" s="11">
        <f t="shared" si="1"/>
        <v>0</v>
      </c>
      <c r="N48" s="21">
        <v>0</v>
      </c>
      <c r="O48" s="10">
        <f t="shared" si="6"/>
        <v>0</v>
      </c>
      <c r="P48" s="21">
        <v>0</v>
      </c>
      <c r="Q48" s="11">
        <f t="shared" si="7"/>
        <v>0</v>
      </c>
      <c r="R48" s="39">
        <f t="shared" si="11"/>
        <v>189</v>
      </c>
      <c r="S48" s="38">
        <f t="shared" si="2"/>
        <v>7.9168320000000003</v>
      </c>
      <c r="T48" s="12"/>
      <c r="U48" s="13">
        <f t="shared" si="8"/>
        <v>0</v>
      </c>
      <c r="V48" s="49">
        <f t="shared" si="9"/>
        <v>189</v>
      </c>
      <c r="W48" s="50">
        <f t="shared" si="10"/>
        <v>7.9168320000000003</v>
      </c>
    </row>
    <row r="49" spans="1:23" x14ac:dyDescent="0.25">
      <c r="A49" s="42" t="s">
        <v>47</v>
      </c>
      <c r="B49" s="34">
        <v>79</v>
      </c>
      <c r="C49" s="35">
        <v>79</v>
      </c>
      <c r="D49" s="35">
        <v>2</v>
      </c>
      <c r="E49" s="19">
        <f t="shared" si="3"/>
        <v>1.2482E-2</v>
      </c>
      <c r="F49" s="23">
        <f>'EKİM 2 HAFTA '!V49</f>
        <v>33</v>
      </c>
      <c r="G49" s="26">
        <f t="shared" si="4"/>
        <v>0.41190599999999999</v>
      </c>
      <c r="H49" s="22"/>
      <c r="I49" s="11">
        <f t="shared" si="5"/>
        <v>0</v>
      </c>
      <c r="J49" s="21">
        <v>0</v>
      </c>
      <c r="K49" s="10">
        <f t="shared" si="0"/>
        <v>0</v>
      </c>
      <c r="L49" s="21">
        <v>0</v>
      </c>
      <c r="M49" s="11">
        <f t="shared" si="1"/>
        <v>0</v>
      </c>
      <c r="N49" s="21">
        <v>0</v>
      </c>
      <c r="O49" s="10">
        <f t="shared" si="6"/>
        <v>0</v>
      </c>
      <c r="P49" s="21">
        <v>0</v>
      </c>
      <c r="Q49" s="11">
        <f t="shared" si="7"/>
        <v>0</v>
      </c>
      <c r="R49" s="39">
        <f t="shared" si="11"/>
        <v>33</v>
      </c>
      <c r="S49" s="38">
        <f t="shared" si="2"/>
        <v>0.41190599999999999</v>
      </c>
      <c r="T49" s="12"/>
      <c r="U49" s="13">
        <f t="shared" si="8"/>
        <v>0</v>
      </c>
      <c r="V49" s="49">
        <f t="shared" si="9"/>
        <v>33</v>
      </c>
      <c r="W49" s="50">
        <f t="shared" si="10"/>
        <v>0.41190599999999999</v>
      </c>
    </row>
    <row r="50" spans="1:23" x14ac:dyDescent="0.25">
      <c r="A50" s="42" t="s">
        <v>48</v>
      </c>
      <c r="B50" s="34">
        <v>61</v>
      </c>
      <c r="C50" s="35">
        <v>56</v>
      </c>
      <c r="D50" s="35">
        <v>10</v>
      </c>
      <c r="E50" s="19">
        <f t="shared" si="3"/>
        <v>3.4160000000000003E-2</v>
      </c>
      <c r="F50" s="23">
        <f>'EKİM 2 HAFTA '!V50</f>
        <v>399</v>
      </c>
      <c r="G50" s="26">
        <f t="shared" si="4"/>
        <v>13.629840000000002</v>
      </c>
      <c r="H50" s="22"/>
      <c r="I50" s="11">
        <f t="shared" si="5"/>
        <v>0</v>
      </c>
      <c r="J50" s="21">
        <v>0</v>
      </c>
      <c r="K50" s="10">
        <f t="shared" si="0"/>
        <v>0</v>
      </c>
      <c r="L50" s="21">
        <v>0</v>
      </c>
      <c r="M50" s="11">
        <f t="shared" si="1"/>
        <v>0</v>
      </c>
      <c r="N50" s="21">
        <v>14</v>
      </c>
      <c r="O50" s="10">
        <f t="shared" si="6"/>
        <v>0.47824000000000005</v>
      </c>
      <c r="P50" s="21">
        <v>0</v>
      </c>
      <c r="Q50" s="11">
        <f t="shared" si="7"/>
        <v>0</v>
      </c>
      <c r="R50" s="39">
        <f t="shared" si="11"/>
        <v>385</v>
      </c>
      <c r="S50" s="38">
        <f t="shared" si="2"/>
        <v>13.151600000000002</v>
      </c>
      <c r="T50" s="12"/>
      <c r="U50" s="13">
        <f t="shared" si="8"/>
        <v>0</v>
      </c>
      <c r="V50" s="49">
        <f t="shared" si="9"/>
        <v>385</v>
      </c>
      <c r="W50" s="50">
        <f t="shared" si="10"/>
        <v>13.151600000000002</v>
      </c>
    </row>
    <row r="51" spans="1:23" x14ac:dyDescent="0.25">
      <c r="A51" s="42" t="s">
        <v>49</v>
      </c>
      <c r="B51" s="34">
        <v>66</v>
      </c>
      <c r="C51" s="35">
        <v>61</v>
      </c>
      <c r="D51" s="35">
        <v>10</v>
      </c>
      <c r="E51" s="19">
        <f t="shared" si="3"/>
        <v>4.0259999999999997E-2</v>
      </c>
      <c r="F51" s="23">
        <f>'EKİM 2 HAFTA '!V51</f>
        <v>400</v>
      </c>
      <c r="G51" s="26">
        <f t="shared" si="4"/>
        <v>16.103999999999999</v>
      </c>
      <c r="H51" s="22"/>
      <c r="I51" s="11">
        <f t="shared" si="5"/>
        <v>0</v>
      </c>
      <c r="J51" s="21">
        <v>0</v>
      </c>
      <c r="K51" s="10">
        <f t="shared" si="0"/>
        <v>0</v>
      </c>
      <c r="L51" s="21">
        <v>0</v>
      </c>
      <c r="M51" s="11">
        <f t="shared" si="1"/>
        <v>0</v>
      </c>
      <c r="N51" s="21">
        <v>14</v>
      </c>
      <c r="O51" s="10">
        <f t="shared" si="6"/>
        <v>0.56363999999999992</v>
      </c>
      <c r="P51" s="21">
        <v>0</v>
      </c>
      <c r="Q51" s="11">
        <f t="shared" si="7"/>
        <v>0</v>
      </c>
      <c r="R51" s="39">
        <f t="shared" si="11"/>
        <v>386</v>
      </c>
      <c r="S51" s="38">
        <f t="shared" si="2"/>
        <v>15.54036</v>
      </c>
      <c r="T51" s="12"/>
      <c r="U51" s="13">
        <f t="shared" si="8"/>
        <v>0</v>
      </c>
      <c r="V51" s="49">
        <f t="shared" si="9"/>
        <v>386</v>
      </c>
      <c r="W51" s="50">
        <f t="shared" si="10"/>
        <v>15.54036</v>
      </c>
    </row>
    <row r="52" spans="1:23" x14ac:dyDescent="0.25">
      <c r="A52" s="42" t="s">
        <v>50</v>
      </c>
      <c r="B52" s="34">
        <v>63</v>
      </c>
      <c r="C52" s="35">
        <v>61</v>
      </c>
      <c r="D52" s="35">
        <v>10</v>
      </c>
      <c r="E52" s="19">
        <f t="shared" si="3"/>
        <v>3.8429999999999999E-2</v>
      </c>
      <c r="F52" s="23">
        <f>'EKİM 2 HAFTA '!V52</f>
        <v>420</v>
      </c>
      <c r="G52" s="26">
        <f t="shared" si="4"/>
        <v>16.140599999999999</v>
      </c>
      <c r="H52" s="22"/>
      <c r="I52" s="11">
        <f t="shared" si="5"/>
        <v>0</v>
      </c>
      <c r="J52" s="21">
        <v>0</v>
      </c>
      <c r="K52" s="10">
        <f t="shared" si="0"/>
        <v>0</v>
      </c>
      <c r="L52" s="21">
        <v>0</v>
      </c>
      <c r="M52" s="11">
        <f t="shared" si="1"/>
        <v>0</v>
      </c>
      <c r="N52" s="21">
        <v>14</v>
      </c>
      <c r="O52" s="10">
        <f t="shared" si="6"/>
        <v>0.53801999999999994</v>
      </c>
      <c r="P52" s="21">
        <v>0</v>
      </c>
      <c r="Q52" s="11">
        <f t="shared" si="7"/>
        <v>0</v>
      </c>
      <c r="R52" s="39">
        <f t="shared" si="11"/>
        <v>406</v>
      </c>
      <c r="S52" s="38">
        <f t="shared" si="2"/>
        <v>15.60258</v>
      </c>
      <c r="T52" s="12"/>
      <c r="U52" s="13">
        <f t="shared" si="8"/>
        <v>0</v>
      </c>
      <c r="V52" s="49">
        <f t="shared" si="9"/>
        <v>406</v>
      </c>
      <c r="W52" s="50">
        <f t="shared" si="10"/>
        <v>15.60258</v>
      </c>
    </row>
    <row r="53" spans="1:23" x14ac:dyDescent="0.25">
      <c r="A53" s="42" t="s">
        <v>51</v>
      </c>
      <c r="B53" s="34">
        <v>58</v>
      </c>
      <c r="C53" s="35">
        <v>58</v>
      </c>
      <c r="D53" s="35">
        <v>2.2999999999999998</v>
      </c>
      <c r="E53" s="19">
        <f t="shared" si="3"/>
        <v>7.7371999999999996E-3</v>
      </c>
      <c r="F53" s="23">
        <f>'EKİM 2 HAFTA '!V53</f>
        <v>3800</v>
      </c>
      <c r="G53" s="26">
        <f t="shared" si="4"/>
        <v>29.401359999999997</v>
      </c>
      <c r="H53" s="22"/>
      <c r="I53" s="11">
        <f t="shared" si="5"/>
        <v>0</v>
      </c>
      <c r="J53" s="21">
        <v>0</v>
      </c>
      <c r="K53" s="10">
        <f t="shared" si="0"/>
        <v>0</v>
      </c>
      <c r="L53" s="21">
        <v>0</v>
      </c>
      <c r="M53" s="11">
        <f t="shared" si="1"/>
        <v>0</v>
      </c>
      <c r="N53" s="21">
        <v>0</v>
      </c>
      <c r="O53" s="10">
        <f t="shared" si="6"/>
        <v>0</v>
      </c>
      <c r="P53" s="21">
        <v>0</v>
      </c>
      <c r="Q53" s="11">
        <f t="shared" si="7"/>
        <v>0</v>
      </c>
      <c r="R53" s="39">
        <f t="shared" si="11"/>
        <v>3800</v>
      </c>
      <c r="S53" s="38">
        <f t="shared" si="2"/>
        <v>29.401359999999997</v>
      </c>
      <c r="T53" s="12"/>
      <c r="U53" s="13">
        <f t="shared" si="8"/>
        <v>0</v>
      </c>
      <c r="V53" s="49">
        <f t="shared" si="9"/>
        <v>3800</v>
      </c>
      <c r="W53" s="50">
        <f t="shared" si="10"/>
        <v>29.401359999999997</v>
      </c>
    </row>
    <row r="54" spans="1:23" x14ac:dyDescent="0.25">
      <c r="A54" s="42" t="s">
        <v>52</v>
      </c>
      <c r="B54" s="34">
        <v>79</v>
      </c>
      <c r="C54" s="35">
        <v>62</v>
      </c>
      <c r="D54" s="35">
        <v>2.2999999999999998</v>
      </c>
      <c r="E54" s="19">
        <f t="shared" si="3"/>
        <v>1.12654E-2</v>
      </c>
      <c r="F54" s="23">
        <f>'EKİM 2 HAFTA '!V54</f>
        <v>3537</v>
      </c>
      <c r="G54" s="26">
        <f t="shared" si="4"/>
        <v>39.845719799999998</v>
      </c>
      <c r="H54" s="22"/>
      <c r="I54" s="11">
        <f t="shared" si="5"/>
        <v>0</v>
      </c>
      <c r="J54" s="21">
        <v>0</v>
      </c>
      <c r="K54" s="10">
        <f t="shared" si="0"/>
        <v>0</v>
      </c>
      <c r="L54" s="21">
        <v>0</v>
      </c>
      <c r="M54" s="11">
        <f t="shared" si="1"/>
        <v>0</v>
      </c>
      <c r="N54" s="21">
        <v>0</v>
      </c>
      <c r="O54" s="10">
        <f t="shared" si="6"/>
        <v>0</v>
      </c>
      <c r="P54" s="21">
        <v>0</v>
      </c>
      <c r="Q54" s="11">
        <f t="shared" si="7"/>
        <v>0</v>
      </c>
      <c r="R54" s="39">
        <f t="shared" si="11"/>
        <v>3537</v>
      </c>
      <c r="S54" s="38">
        <f t="shared" si="2"/>
        <v>39.845719799999998</v>
      </c>
      <c r="T54" s="12"/>
      <c r="U54" s="13">
        <f t="shared" si="8"/>
        <v>0</v>
      </c>
      <c r="V54" s="49">
        <f t="shared" si="9"/>
        <v>3537</v>
      </c>
      <c r="W54" s="50">
        <f t="shared" si="10"/>
        <v>39.845719799999998</v>
      </c>
    </row>
    <row r="55" spans="1:23" x14ac:dyDescent="0.25">
      <c r="A55" s="42" t="s">
        <v>53</v>
      </c>
      <c r="B55" s="34">
        <v>200</v>
      </c>
      <c r="C55" s="35">
        <v>176</v>
      </c>
      <c r="D55" s="35">
        <v>2.2999999999999998</v>
      </c>
      <c r="E55" s="19">
        <f t="shared" si="3"/>
        <v>8.0960000000000004E-2</v>
      </c>
      <c r="F55" s="23">
        <f>'EKİM 2 HAFTA '!V55</f>
        <v>1</v>
      </c>
      <c r="G55" s="26">
        <f t="shared" si="4"/>
        <v>8.0960000000000004E-2</v>
      </c>
      <c r="H55" s="22"/>
      <c r="I55" s="11">
        <f t="shared" si="5"/>
        <v>0</v>
      </c>
      <c r="J55" s="21">
        <v>0</v>
      </c>
      <c r="K55" s="10">
        <f t="shared" si="0"/>
        <v>0</v>
      </c>
      <c r="L55" s="21">
        <v>0</v>
      </c>
      <c r="M55" s="11">
        <f t="shared" si="1"/>
        <v>0</v>
      </c>
      <c r="N55" s="21">
        <v>0</v>
      </c>
      <c r="O55" s="10">
        <f t="shared" si="6"/>
        <v>0</v>
      </c>
      <c r="P55" s="21">
        <v>0</v>
      </c>
      <c r="Q55" s="11">
        <f t="shared" si="7"/>
        <v>0</v>
      </c>
      <c r="R55" s="39">
        <f t="shared" si="11"/>
        <v>1</v>
      </c>
      <c r="S55" s="38">
        <f t="shared" si="2"/>
        <v>8.0960000000000004E-2</v>
      </c>
      <c r="T55" s="12"/>
      <c r="U55" s="13">
        <f t="shared" si="8"/>
        <v>0</v>
      </c>
      <c r="V55" s="49">
        <f t="shared" si="9"/>
        <v>1</v>
      </c>
      <c r="W55" s="50">
        <f t="shared" si="10"/>
        <v>8.0960000000000004E-2</v>
      </c>
    </row>
    <row r="56" spans="1:23" x14ac:dyDescent="0.25">
      <c r="A56" s="42" t="s">
        <v>54</v>
      </c>
      <c r="B56" s="34">
        <v>79</v>
      </c>
      <c r="C56" s="35">
        <v>79</v>
      </c>
      <c r="D56" s="35">
        <v>2.2999999999999998</v>
      </c>
      <c r="E56" s="19">
        <f t="shared" si="3"/>
        <v>1.4354299999999999E-2</v>
      </c>
      <c r="F56" s="23">
        <f>'EKİM 2 HAFTA '!V56</f>
        <v>241</v>
      </c>
      <c r="G56" s="26">
        <f t="shared" si="4"/>
        <v>3.4593862999999998</v>
      </c>
      <c r="H56" s="22"/>
      <c r="I56" s="11">
        <f t="shared" si="5"/>
        <v>0</v>
      </c>
      <c r="J56" s="21">
        <v>0</v>
      </c>
      <c r="K56" s="10">
        <f t="shared" si="0"/>
        <v>0</v>
      </c>
      <c r="L56" s="21">
        <v>0</v>
      </c>
      <c r="M56" s="11">
        <f t="shared" si="1"/>
        <v>0</v>
      </c>
      <c r="N56" s="21">
        <v>0</v>
      </c>
      <c r="O56" s="10">
        <f t="shared" si="6"/>
        <v>0</v>
      </c>
      <c r="P56" s="21">
        <v>0</v>
      </c>
      <c r="Q56" s="11">
        <f t="shared" si="7"/>
        <v>0</v>
      </c>
      <c r="R56" s="39">
        <f t="shared" si="11"/>
        <v>241</v>
      </c>
      <c r="S56" s="38">
        <f t="shared" si="2"/>
        <v>3.4593862999999998</v>
      </c>
      <c r="T56" s="12"/>
      <c r="U56" s="13">
        <f t="shared" si="8"/>
        <v>0</v>
      </c>
      <c r="V56" s="49">
        <f t="shared" si="9"/>
        <v>241</v>
      </c>
      <c r="W56" s="50">
        <f t="shared" si="10"/>
        <v>3.4593862999999998</v>
      </c>
    </row>
    <row r="57" spans="1:23" ht="15.75" x14ac:dyDescent="0.25">
      <c r="A57" s="42" t="s">
        <v>55</v>
      </c>
      <c r="B57" s="111">
        <v>50</v>
      </c>
      <c r="C57" s="112">
        <v>45</v>
      </c>
      <c r="D57" s="112">
        <v>4</v>
      </c>
      <c r="E57" s="19">
        <f t="shared" si="3"/>
        <v>8.9999999999999993E-3</v>
      </c>
      <c r="F57" s="23">
        <f>'EKİM 2 HAFTA '!V57</f>
        <v>809</v>
      </c>
      <c r="G57" s="26">
        <f t="shared" si="4"/>
        <v>7.2809999999999997</v>
      </c>
      <c r="H57" s="22">
        <v>16</v>
      </c>
      <c r="I57" s="11">
        <f t="shared" si="5"/>
        <v>0.14399999999999999</v>
      </c>
      <c r="J57" s="21">
        <v>0</v>
      </c>
      <c r="K57" s="10">
        <f t="shared" si="0"/>
        <v>0</v>
      </c>
      <c r="L57" s="21">
        <v>0</v>
      </c>
      <c r="M57" s="11">
        <f t="shared" si="1"/>
        <v>0</v>
      </c>
      <c r="N57" s="21">
        <v>0</v>
      </c>
      <c r="O57" s="10">
        <f t="shared" si="6"/>
        <v>0</v>
      </c>
      <c r="P57" s="21">
        <v>70</v>
      </c>
      <c r="Q57" s="11">
        <f t="shared" si="7"/>
        <v>0.63</v>
      </c>
      <c r="R57" s="39">
        <f t="shared" si="11"/>
        <v>723</v>
      </c>
      <c r="S57" s="38">
        <f t="shared" si="2"/>
        <v>6.5069999999999997</v>
      </c>
      <c r="T57" s="12"/>
      <c r="U57" s="13">
        <f t="shared" si="8"/>
        <v>0</v>
      </c>
      <c r="V57" s="49">
        <f t="shared" si="9"/>
        <v>723</v>
      </c>
      <c r="W57" s="50">
        <f t="shared" si="10"/>
        <v>6.5069999999999997</v>
      </c>
    </row>
    <row r="58" spans="1:23" ht="15.75" x14ac:dyDescent="0.25">
      <c r="A58" s="42" t="s">
        <v>56</v>
      </c>
      <c r="B58" s="111">
        <v>50</v>
      </c>
      <c r="C58" s="112">
        <v>35</v>
      </c>
      <c r="D58" s="112">
        <v>4</v>
      </c>
      <c r="E58" s="19">
        <f t="shared" si="3"/>
        <v>7.0000000000000001E-3</v>
      </c>
      <c r="F58" s="23">
        <f>'EKİM 2 HAFTA '!V58</f>
        <v>866</v>
      </c>
      <c r="G58" s="26">
        <f t="shared" si="4"/>
        <v>6.0620000000000003</v>
      </c>
      <c r="H58" s="22"/>
      <c r="I58" s="11">
        <f t="shared" si="5"/>
        <v>0</v>
      </c>
      <c r="J58" s="21">
        <v>0</v>
      </c>
      <c r="K58" s="10">
        <f t="shared" si="0"/>
        <v>0</v>
      </c>
      <c r="L58" s="21">
        <v>0</v>
      </c>
      <c r="M58" s="11">
        <f t="shared" si="1"/>
        <v>0</v>
      </c>
      <c r="N58" s="21">
        <v>0</v>
      </c>
      <c r="O58" s="10">
        <f t="shared" si="6"/>
        <v>0</v>
      </c>
      <c r="P58" s="21">
        <v>70</v>
      </c>
      <c r="Q58" s="11">
        <f t="shared" si="7"/>
        <v>0.49</v>
      </c>
      <c r="R58" s="39">
        <f t="shared" si="11"/>
        <v>796</v>
      </c>
      <c r="S58" s="38">
        <f t="shared" si="2"/>
        <v>5.5720000000000001</v>
      </c>
      <c r="T58" s="12"/>
      <c r="U58" s="13">
        <f t="shared" si="8"/>
        <v>0</v>
      </c>
      <c r="V58" s="49">
        <f t="shared" si="9"/>
        <v>796</v>
      </c>
      <c r="W58" s="50">
        <f t="shared" si="10"/>
        <v>5.5720000000000001</v>
      </c>
    </row>
    <row r="59" spans="1:23" ht="15.75" x14ac:dyDescent="0.25">
      <c r="A59" s="42" t="s">
        <v>57</v>
      </c>
      <c r="B59" s="111">
        <v>45</v>
      </c>
      <c r="C59" s="112">
        <v>50</v>
      </c>
      <c r="D59" s="112">
        <v>3</v>
      </c>
      <c r="E59" s="19">
        <f t="shared" si="3"/>
        <v>6.7499999999999999E-3</v>
      </c>
      <c r="F59" s="23">
        <f>'EKİM 2 HAFTA '!V59</f>
        <v>0</v>
      </c>
      <c r="G59" s="26">
        <f t="shared" si="4"/>
        <v>0</v>
      </c>
      <c r="H59" s="22"/>
      <c r="I59" s="11">
        <f t="shared" si="5"/>
        <v>0</v>
      </c>
      <c r="J59" s="21">
        <v>0</v>
      </c>
      <c r="K59" s="10">
        <f t="shared" si="0"/>
        <v>0</v>
      </c>
      <c r="L59" s="21">
        <v>0</v>
      </c>
      <c r="M59" s="11">
        <f t="shared" si="1"/>
        <v>0</v>
      </c>
      <c r="N59" s="21">
        <v>0</v>
      </c>
      <c r="O59" s="10">
        <f t="shared" si="6"/>
        <v>0</v>
      </c>
      <c r="P59" s="21">
        <v>0</v>
      </c>
      <c r="Q59" s="11">
        <f t="shared" si="7"/>
        <v>0</v>
      </c>
      <c r="R59" s="39">
        <f t="shared" si="11"/>
        <v>0</v>
      </c>
      <c r="S59" s="38">
        <f t="shared" si="2"/>
        <v>0</v>
      </c>
      <c r="T59" s="12"/>
      <c r="U59" s="13">
        <f t="shared" si="8"/>
        <v>0</v>
      </c>
      <c r="V59" s="49">
        <f t="shared" si="9"/>
        <v>0</v>
      </c>
      <c r="W59" s="50">
        <f t="shared" si="10"/>
        <v>0</v>
      </c>
    </row>
    <row r="60" spans="1:23" ht="15.75" x14ac:dyDescent="0.25">
      <c r="A60" s="42" t="s">
        <v>58</v>
      </c>
      <c r="B60" s="111">
        <v>50</v>
      </c>
      <c r="C60" s="112">
        <v>35</v>
      </c>
      <c r="D60" s="112">
        <v>3</v>
      </c>
      <c r="E60" s="19">
        <f t="shared" si="3"/>
        <v>5.2500000000000003E-3</v>
      </c>
      <c r="F60" s="23">
        <f>'EKİM 2 HAFTA '!V60</f>
        <v>0</v>
      </c>
      <c r="G60" s="26">
        <f t="shared" si="4"/>
        <v>0</v>
      </c>
      <c r="H60" s="22"/>
      <c r="I60" s="11">
        <f t="shared" si="5"/>
        <v>0</v>
      </c>
      <c r="J60" s="21">
        <v>0</v>
      </c>
      <c r="K60" s="10">
        <f t="shared" si="0"/>
        <v>0</v>
      </c>
      <c r="L60" s="21">
        <v>0</v>
      </c>
      <c r="M60" s="11">
        <f t="shared" si="1"/>
        <v>0</v>
      </c>
      <c r="N60" s="21">
        <v>0</v>
      </c>
      <c r="O60" s="10">
        <f t="shared" si="6"/>
        <v>0</v>
      </c>
      <c r="P60" s="21">
        <v>0</v>
      </c>
      <c r="Q60" s="11">
        <f t="shared" si="7"/>
        <v>0</v>
      </c>
      <c r="R60" s="39">
        <f t="shared" si="11"/>
        <v>0</v>
      </c>
      <c r="S60" s="38">
        <f t="shared" si="2"/>
        <v>0</v>
      </c>
      <c r="T60" s="12"/>
      <c r="U60" s="13">
        <f t="shared" si="8"/>
        <v>0</v>
      </c>
      <c r="V60" s="49">
        <f t="shared" si="9"/>
        <v>0</v>
      </c>
      <c r="W60" s="50">
        <f t="shared" si="10"/>
        <v>0</v>
      </c>
    </row>
    <row r="61" spans="1:23" ht="15.75" x14ac:dyDescent="0.25">
      <c r="A61" s="42" t="s">
        <v>59</v>
      </c>
      <c r="B61" s="111">
        <v>42</v>
      </c>
      <c r="C61" s="112">
        <v>36</v>
      </c>
      <c r="D61" s="112">
        <v>4</v>
      </c>
      <c r="E61" s="19">
        <f t="shared" si="3"/>
        <v>6.0480000000000004E-3</v>
      </c>
      <c r="F61" s="23">
        <f>'EKİM 2 HAFTA '!V61</f>
        <v>88</v>
      </c>
      <c r="G61" s="26">
        <f t="shared" si="4"/>
        <v>0.53222400000000003</v>
      </c>
      <c r="H61" s="22"/>
      <c r="I61" s="11">
        <f t="shared" si="5"/>
        <v>0</v>
      </c>
      <c r="J61" s="21">
        <v>88</v>
      </c>
      <c r="K61" s="10">
        <f t="shared" si="0"/>
        <v>0.53222400000000003</v>
      </c>
      <c r="L61" s="21">
        <v>0</v>
      </c>
      <c r="M61" s="11">
        <f t="shared" si="1"/>
        <v>0</v>
      </c>
      <c r="N61" s="21">
        <v>0</v>
      </c>
      <c r="O61" s="10">
        <f t="shared" si="6"/>
        <v>0</v>
      </c>
      <c r="P61" s="21">
        <v>0</v>
      </c>
      <c r="Q61" s="11">
        <f t="shared" si="7"/>
        <v>0</v>
      </c>
      <c r="R61" s="39">
        <f t="shared" si="11"/>
        <v>0</v>
      </c>
      <c r="S61" s="38">
        <f t="shared" si="2"/>
        <v>0</v>
      </c>
      <c r="T61" s="12"/>
      <c r="U61" s="13">
        <f t="shared" si="8"/>
        <v>0</v>
      </c>
      <c r="V61" s="49">
        <f t="shared" si="9"/>
        <v>0</v>
      </c>
      <c r="W61" s="50">
        <f t="shared" si="10"/>
        <v>0</v>
      </c>
    </row>
    <row r="62" spans="1:23" ht="15.75" x14ac:dyDescent="0.25">
      <c r="A62" s="42" t="s">
        <v>60</v>
      </c>
      <c r="B62" s="111">
        <v>50</v>
      </c>
      <c r="C62" s="112">
        <v>35</v>
      </c>
      <c r="D62" s="112">
        <v>3</v>
      </c>
      <c r="E62" s="19">
        <f t="shared" si="3"/>
        <v>5.2500000000000003E-3</v>
      </c>
      <c r="F62" s="23">
        <f>'EKİM 2 HAFTA '!V62</f>
        <v>1586</v>
      </c>
      <c r="G62" s="26">
        <f t="shared" si="4"/>
        <v>8.3265000000000011</v>
      </c>
      <c r="H62" s="22">
        <v>50</v>
      </c>
      <c r="I62" s="11">
        <f t="shared" si="5"/>
        <v>0.26250000000000001</v>
      </c>
      <c r="J62" s="21">
        <v>0</v>
      </c>
      <c r="K62" s="10">
        <f t="shared" si="0"/>
        <v>0</v>
      </c>
      <c r="L62" s="21">
        <v>0</v>
      </c>
      <c r="M62" s="11">
        <f t="shared" si="1"/>
        <v>0</v>
      </c>
      <c r="N62" s="21">
        <v>0</v>
      </c>
      <c r="O62" s="10">
        <f t="shared" si="6"/>
        <v>0</v>
      </c>
      <c r="P62" s="21">
        <v>4</v>
      </c>
      <c r="Q62" s="11">
        <f t="shared" si="7"/>
        <v>2.1000000000000001E-2</v>
      </c>
      <c r="R62" s="39">
        <f t="shared" si="11"/>
        <v>1532</v>
      </c>
      <c r="S62" s="38">
        <f t="shared" si="2"/>
        <v>8.043000000000001</v>
      </c>
      <c r="T62" s="12"/>
      <c r="U62" s="13">
        <f t="shared" si="8"/>
        <v>0</v>
      </c>
      <c r="V62" s="49">
        <f t="shared" si="9"/>
        <v>1532</v>
      </c>
      <c r="W62" s="50">
        <f t="shared" si="10"/>
        <v>8.043000000000001</v>
      </c>
    </row>
    <row r="63" spans="1:23" ht="15.75" x14ac:dyDescent="0.25">
      <c r="A63" s="43" t="s">
        <v>61</v>
      </c>
      <c r="B63" s="111">
        <v>45</v>
      </c>
      <c r="C63" s="112">
        <v>50</v>
      </c>
      <c r="D63" s="112">
        <v>3</v>
      </c>
      <c r="E63" s="19">
        <f t="shared" si="3"/>
        <v>6.7499999999999999E-3</v>
      </c>
      <c r="F63" s="23">
        <f>'EKİM 2 HAFTA '!V63</f>
        <v>1104</v>
      </c>
      <c r="G63" s="26">
        <f t="shared" si="4"/>
        <v>7.452</v>
      </c>
      <c r="H63" s="22">
        <v>50</v>
      </c>
      <c r="I63" s="11">
        <f t="shared" si="5"/>
        <v>0.33750000000000002</v>
      </c>
      <c r="J63" s="21">
        <v>0</v>
      </c>
      <c r="K63" s="10">
        <f t="shared" si="0"/>
        <v>0</v>
      </c>
      <c r="L63" s="21">
        <v>0</v>
      </c>
      <c r="M63" s="11">
        <f t="shared" si="1"/>
        <v>0</v>
      </c>
      <c r="N63" s="21">
        <v>0</v>
      </c>
      <c r="O63" s="10">
        <f t="shared" si="6"/>
        <v>0</v>
      </c>
      <c r="P63" s="21">
        <v>4</v>
      </c>
      <c r="Q63" s="11">
        <f t="shared" si="7"/>
        <v>2.7E-2</v>
      </c>
      <c r="R63" s="39">
        <f t="shared" si="11"/>
        <v>1050</v>
      </c>
      <c r="S63" s="38">
        <f t="shared" si="2"/>
        <v>7.0875000000000004</v>
      </c>
      <c r="T63" s="12"/>
      <c r="U63" s="13">
        <f t="shared" si="8"/>
        <v>0</v>
      </c>
      <c r="V63" s="49">
        <f t="shared" si="9"/>
        <v>1050</v>
      </c>
      <c r="W63" s="50">
        <f t="shared" si="10"/>
        <v>7.0875000000000004</v>
      </c>
    </row>
    <row r="64" spans="1:23" ht="15.75" thickBot="1" x14ac:dyDescent="0.3">
      <c r="A64" s="44" t="s">
        <v>90</v>
      </c>
      <c r="B64" s="36">
        <v>140</v>
      </c>
      <c r="C64" s="37">
        <v>9.5</v>
      </c>
      <c r="D64" s="37">
        <v>6.5</v>
      </c>
      <c r="E64" s="20">
        <f t="shared" si="3"/>
        <v>8.6449999999999999E-3</v>
      </c>
      <c r="F64" s="23">
        <v>0</v>
      </c>
      <c r="G64" s="27">
        <f t="shared" si="4"/>
        <v>0</v>
      </c>
      <c r="H64" s="45"/>
      <c r="I64" s="46">
        <f t="shared" si="5"/>
        <v>0</v>
      </c>
      <c r="J64" s="21">
        <v>0</v>
      </c>
      <c r="K64" s="48">
        <f t="shared" si="0"/>
        <v>0</v>
      </c>
      <c r="L64" s="21">
        <v>0</v>
      </c>
      <c r="M64" s="46">
        <f t="shared" si="1"/>
        <v>0</v>
      </c>
      <c r="N64" s="21">
        <v>0</v>
      </c>
      <c r="O64" s="48">
        <f t="shared" si="6"/>
        <v>0</v>
      </c>
      <c r="P64" s="21">
        <v>0</v>
      </c>
      <c r="Q64" s="46">
        <f t="shared" si="7"/>
        <v>0</v>
      </c>
      <c r="R64" s="40">
        <f t="shared" si="11"/>
        <v>0</v>
      </c>
      <c r="S64" s="41">
        <f t="shared" si="2"/>
        <v>0</v>
      </c>
      <c r="T64" s="51"/>
      <c r="U64" s="13">
        <f t="shared" si="8"/>
        <v>0</v>
      </c>
      <c r="V64" s="49">
        <f t="shared" si="9"/>
        <v>0</v>
      </c>
      <c r="W64" s="50">
        <f t="shared" si="10"/>
        <v>0</v>
      </c>
    </row>
    <row r="65" spans="1:23" ht="16.5" thickBot="1" x14ac:dyDescent="0.3">
      <c r="A65" s="91" t="s">
        <v>79</v>
      </c>
      <c r="B65" s="112">
        <v>90</v>
      </c>
      <c r="C65" s="112">
        <v>83</v>
      </c>
      <c r="D65" s="112">
        <v>2</v>
      </c>
      <c r="E65" s="114">
        <f t="shared" si="3"/>
        <v>1.494E-2</v>
      </c>
      <c r="F65" s="23">
        <f>'EKİM 2 HAFTA '!V65</f>
        <v>328</v>
      </c>
      <c r="G65" s="116">
        <f t="shared" si="4"/>
        <v>4.9003199999999998</v>
      </c>
      <c r="H65" s="127">
        <v>0</v>
      </c>
      <c r="I65" s="118">
        <f t="shared" si="5"/>
        <v>0</v>
      </c>
      <c r="J65" s="21">
        <v>52</v>
      </c>
      <c r="K65" s="119">
        <f t="shared" si="0"/>
        <v>0.77688000000000001</v>
      </c>
      <c r="L65" s="21">
        <v>0</v>
      </c>
      <c r="M65" s="120">
        <f t="shared" si="1"/>
        <v>0</v>
      </c>
      <c r="N65" s="21">
        <v>2</v>
      </c>
      <c r="O65" s="121">
        <f t="shared" si="6"/>
        <v>2.988E-2</v>
      </c>
      <c r="P65" s="21">
        <v>0</v>
      </c>
      <c r="Q65" s="46">
        <f t="shared" si="7"/>
        <v>0</v>
      </c>
      <c r="R65" s="122">
        <f t="shared" si="11"/>
        <v>274</v>
      </c>
      <c r="S65" s="123">
        <f t="shared" si="2"/>
        <v>4.0935600000000001</v>
      </c>
      <c r="T65" s="101">
        <v>0</v>
      </c>
      <c r="U65" s="139">
        <f t="shared" si="8"/>
        <v>0</v>
      </c>
      <c r="V65" s="144">
        <f t="shared" si="9"/>
        <v>274</v>
      </c>
      <c r="W65" s="50">
        <f t="shared" si="10"/>
        <v>4.0935600000000001</v>
      </c>
    </row>
    <row r="66" spans="1:23" ht="16.5" thickBot="1" x14ac:dyDescent="0.3">
      <c r="A66" s="102" t="s">
        <v>80</v>
      </c>
      <c r="B66" s="113">
        <v>92</v>
      </c>
      <c r="C66" s="113">
        <v>82</v>
      </c>
      <c r="D66" s="113">
        <v>2</v>
      </c>
      <c r="E66" s="124">
        <f t="shared" si="3"/>
        <v>1.5088000000000001E-2</v>
      </c>
      <c r="F66" s="23">
        <f>'EKİM 2 HAFTA '!V66</f>
        <v>412</v>
      </c>
      <c r="G66" s="125">
        <f t="shared" si="4"/>
        <v>6.2162560000000004</v>
      </c>
      <c r="H66" s="128">
        <v>0</v>
      </c>
      <c r="I66" s="118">
        <f t="shared" si="5"/>
        <v>0</v>
      </c>
      <c r="J66" s="21">
        <v>72</v>
      </c>
      <c r="K66" s="119">
        <f t="shared" si="0"/>
        <v>1.086336</v>
      </c>
      <c r="L66" s="21">
        <v>0</v>
      </c>
      <c r="M66" s="120">
        <f t="shared" si="1"/>
        <v>0</v>
      </c>
      <c r="N66" s="21">
        <v>0</v>
      </c>
      <c r="O66" s="121">
        <f t="shared" si="6"/>
        <v>0</v>
      </c>
      <c r="P66" s="21">
        <v>30</v>
      </c>
      <c r="Q66" s="46">
        <f t="shared" si="7"/>
        <v>0.45264000000000004</v>
      </c>
      <c r="R66" s="122">
        <f t="shared" si="11"/>
        <v>310</v>
      </c>
      <c r="S66" s="123">
        <f t="shared" si="2"/>
        <v>4.6772800000000005</v>
      </c>
      <c r="T66" s="106">
        <v>0</v>
      </c>
      <c r="U66" s="139">
        <f t="shared" si="8"/>
        <v>0</v>
      </c>
      <c r="V66" s="171">
        <f t="shared" si="9"/>
        <v>310</v>
      </c>
      <c r="W66" s="107">
        <f t="shared" si="10"/>
        <v>4.6772800000000005</v>
      </c>
    </row>
    <row r="67" spans="1:23" ht="15.75" thickBot="1" x14ac:dyDescent="0.3">
      <c r="A67" s="108" t="s">
        <v>82</v>
      </c>
      <c r="B67" s="35">
        <v>82</v>
      </c>
      <c r="C67" s="35">
        <v>80</v>
      </c>
      <c r="D67" s="35">
        <v>2</v>
      </c>
      <c r="E67" s="114">
        <f t="shared" si="3"/>
        <v>1.312E-2</v>
      </c>
      <c r="F67" s="23">
        <f>'EKİM 2 HAFTA '!V67</f>
        <v>432</v>
      </c>
      <c r="G67" s="110">
        <f t="shared" si="4"/>
        <v>5.66784</v>
      </c>
      <c r="H67" s="115"/>
      <c r="I67" s="100">
        <f t="shared" si="5"/>
        <v>0</v>
      </c>
      <c r="J67" s="21">
        <v>24</v>
      </c>
      <c r="K67" s="48">
        <f t="shared" si="0"/>
        <v>0.31487999999999999</v>
      </c>
      <c r="L67" s="21">
        <v>0</v>
      </c>
      <c r="M67" s="11">
        <f t="shared" si="1"/>
        <v>0</v>
      </c>
      <c r="N67" s="21">
        <v>0</v>
      </c>
      <c r="O67" s="10">
        <f t="shared" si="6"/>
        <v>0</v>
      </c>
      <c r="P67" s="21">
        <v>38</v>
      </c>
      <c r="Q67" s="46">
        <f t="shared" si="7"/>
        <v>0.49856</v>
      </c>
      <c r="R67" s="86">
        <f t="shared" si="11"/>
        <v>370</v>
      </c>
      <c r="S67" s="87">
        <f t="shared" si="2"/>
        <v>4.8544</v>
      </c>
      <c r="T67" s="101"/>
      <c r="U67" s="115">
        <f t="shared" si="5"/>
        <v>0</v>
      </c>
      <c r="V67" s="171">
        <f t="shared" si="9"/>
        <v>370</v>
      </c>
      <c r="W67" s="107">
        <f t="shared" si="10"/>
        <v>4.8544</v>
      </c>
    </row>
    <row r="68" spans="1:23" ht="15.75" thickBot="1" x14ac:dyDescent="0.3">
      <c r="A68" s="108" t="s">
        <v>83</v>
      </c>
      <c r="B68" s="35">
        <v>86</v>
      </c>
      <c r="C68" s="35">
        <v>77</v>
      </c>
      <c r="D68" s="35">
        <v>8</v>
      </c>
      <c r="E68" s="114">
        <f t="shared" si="3"/>
        <v>5.2976000000000002E-2</v>
      </c>
      <c r="F68" s="23">
        <f>'EKİM 2 HAFTA '!V68</f>
        <v>54</v>
      </c>
      <c r="G68" s="110">
        <f t="shared" si="4"/>
        <v>2.8607040000000001</v>
      </c>
      <c r="H68" s="115"/>
      <c r="I68" s="100">
        <f t="shared" ref="I68:U72" si="12">E68*H68</f>
        <v>0</v>
      </c>
      <c r="J68" s="21">
        <v>0</v>
      </c>
      <c r="K68" s="48">
        <f t="shared" si="0"/>
        <v>0</v>
      </c>
      <c r="L68" s="21">
        <v>0</v>
      </c>
      <c r="M68" s="11">
        <f t="shared" si="1"/>
        <v>0</v>
      </c>
      <c r="N68" s="21">
        <v>0</v>
      </c>
      <c r="O68" s="10">
        <f t="shared" si="6"/>
        <v>0</v>
      </c>
      <c r="P68" s="21">
        <v>0</v>
      </c>
      <c r="Q68" s="46">
        <f t="shared" si="7"/>
        <v>0</v>
      </c>
      <c r="R68" s="86">
        <f t="shared" si="11"/>
        <v>54</v>
      </c>
      <c r="S68" s="87">
        <f t="shared" si="2"/>
        <v>2.8607040000000001</v>
      </c>
      <c r="T68" s="101"/>
      <c r="U68" s="115">
        <f t="shared" si="12"/>
        <v>0</v>
      </c>
      <c r="V68" s="171">
        <f t="shared" si="9"/>
        <v>54</v>
      </c>
      <c r="W68" s="107">
        <f t="shared" si="10"/>
        <v>2.8607040000000001</v>
      </c>
    </row>
    <row r="69" spans="1:23" ht="15.75" thickBot="1" x14ac:dyDescent="0.3">
      <c r="A69" s="108" t="s">
        <v>84</v>
      </c>
      <c r="B69" s="35">
        <v>76</v>
      </c>
      <c r="C69" s="35">
        <v>75</v>
      </c>
      <c r="D69" s="35">
        <v>8</v>
      </c>
      <c r="E69" s="114">
        <f t="shared" si="3"/>
        <v>4.5600000000000002E-2</v>
      </c>
      <c r="F69" s="23">
        <f>'EKİM 2 HAFTA '!V69</f>
        <v>86</v>
      </c>
      <c r="G69" s="110">
        <f t="shared" si="4"/>
        <v>3.9216000000000002</v>
      </c>
      <c r="H69" s="115"/>
      <c r="I69" s="100">
        <f t="shared" si="12"/>
        <v>0</v>
      </c>
      <c r="J69" s="21">
        <v>0</v>
      </c>
      <c r="K69" s="48">
        <f t="shared" ref="K69:K72" si="13">E69*J69</f>
        <v>0</v>
      </c>
      <c r="L69" s="115"/>
      <c r="M69" s="11">
        <f t="shared" ref="M69" si="14">E69*L69</f>
        <v>0</v>
      </c>
      <c r="N69" s="21">
        <v>0</v>
      </c>
      <c r="O69" s="10">
        <f t="shared" si="6"/>
        <v>0</v>
      </c>
      <c r="P69" s="21">
        <v>0</v>
      </c>
      <c r="Q69" s="46">
        <f t="shared" si="7"/>
        <v>0</v>
      </c>
      <c r="R69" s="86">
        <f t="shared" si="11"/>
        <v>86</v>
      </c>
      <c r="S69" s="87">
        <f t="shared" ref="S69:S72" si="15">E69*R69</f>
        <v>3.9216000000000002</v>
      </c>
      <c r="T69" s="101"/>
      <c r="U69" s="115">
        <f t="shared" si="12"/>
        <v>0</v>
      </c>
      <c r="V69" s="171">
        <f t="shared" si="9"/>
        <v>86</v>
      </c>
      <c r="W69" s="107">
        <f t="shared" si="10"/>
        <v>3.9216000000000002</v>
      </c>
    </row>
    <row r="70" spans="1:23" ht="15.75" thickBot="1" x14ac:dyDescent="0.3">
      <c r="A70" s="108" t="s">
        <v>85</v>
      </c>
      <c r="B70" s="35">
        <v>140</v>
      </c>
      <c r="C70" s="35">
        <v>240</v>
      </c>
      <c r="D70" s="35">
        <v>12</v>
      </c>
      <c r="E70" s="114">
        <f t="shared" ref="E70:E72" si="16">(B70*C70*D70)/1000000</f>
        <v>0.4032</v>
      </c>
      <c r="F70" s="23">
        <f>'EKİM 2 HAFTA '!V70</f>
        <v>6</v>
      </c>
      <c r="G70" s="110">
        <f t="shared" ref="G70:G72" si="17">E70*F70</f>
        <v>2.4192</v>
      </c>
      <c r="H70" s="115"/>
      <c r="I70" s="100">
        <f t="shared" si="12"/>
        <v>0</v>
      </c>
      <c r="J70" s="21">
        <v>0</v>
      </c>
      <c r="K70" s="48">
        <f t="shared" si="13"/>
        <v>0</v>
      </c>
      <c r="L70" s="115"/>
      <c r="M70" s="100">
        <f t="shared" ref="M70" si="18">I70*L70</f>
        <v>0</v>
      </c>
      <c r="N70" s="21">
        <v>2</v>
      </c>
      <c r="O70" s="10">
        <f t="shared" ref="O70:O72" si="19">E70*N70</f>
        <v>0.80640000000000001</v>
      </c>
      <c r="P70" s="21">
        <v>0</v>
      </c>
      <c r="Q70" s="46">
        <f t="shared" ref="Q70:Q72" si="20">E70*P70</f>
        <v>0</v>
      </c>
      <c r="R70" s="86">
        <f t="shared" si="11"/>
        <v>4</v>
      </c>
      <c r="S70" s="87">
        <f t="shared" si="15"/>
        <v>1.6128</v>
      </c>
      <c r="T70" s="101"/>
      <c r="U70" s="115">
        <f t="shared" si="12"/>
        <v>0</v>
      </c>
      <c r="V70" s="171">
        <f t="shared" ref="V70:V72" si="21">R70+T70</f>
        <v>4</v>
      </c>
      <c r="W70" s="107">
        <f t="shared" ref="W70:W72" si="22">E70*V70</f>
        <v>1.6128</v>
      </c>
    </row>
    <row r="71" spans="1:23" x14ac:dyDescent="0.25">
      <c r="A71" s="108" t="s">
        <v>96</v>
      </c>
      <c r="B71" s="130">
        <v>140</v>
      </c>
      <c r="C71" s="130">
        <v>240</v>
      </c>
      <c r="D71" s="130">
        <v>2</v>
      </c>
      <c r="E71" s="131">
        <f t="shared" si="16"/>
        <v>6.7199999999999996E-2</v>
      </c>
      <c r="F71" s="135">
        <v>145</v>
      </c>
      <c r="G71" s="135">
        <f t="shared" si="17"/>
        <v>9.7439999999999998</v>
      </c>
      <c r="H71" s="115">
        <v>24</v>
      </c>
      <c r="I71" s="115">
        <f t="shared" si="12"/>
        <v>1.6128</v>
      </c>
      <c r="J71" s="154">
        <v>7</v>
      </c>
      <c r="K71" s="154">
        <f t="shared" si="13"/>
        <v>0.47039999999999998</v>
      </c>
      <c r="L71" s="154"/>
      <c r="M71" s="11">
        <f t="shared" ref="M71:M72" si="23">E71*L71</f>
        <v>0</v>
      </c>
      <c r="N71" s="154">
        <v>6</v>
      </c>
      <c r="O71" s="154">
        <f t="shared" si="19"/>
        <v>0.4032</v>
      </c>
      <c r="P71" s="154">
        <v>6</v>
      </c>
      <c r="Q71" s="154">
        <f t="shared" si="20"/>
        <v>0.4032</v>
      </c>
      <c r="R71" s="86">
        <f t="shared" si="11"/>
        <v>102</v>
      </c>
      <c r="S71" s="97">
        <f t="shared" si="15"/>
        <v>6.8543999999999992</v>
      </c>
      <c r="T71" s="138">
        <v>0</v>
      </c>
      <c r="U71" s="139">
        <f t="shared" ref="U71:U72" si="24">E71*T71</f>
        <v>0</v>
      </c>
      <c r="V71" s="141">
        <f t="shared" si="21"/>
        <v>102</v>
      </c>
      <c r="W71" s="141">
        <f t="shared" si="22"/>
        <v>6.8543999999999992</v>
      </c>
    </row>
    <row r="72" spans="1:23" x14ac:dyDescent="0.25">
      <c r="A72" s="108" t="s">
        <v>95</v>
      </c>
      <c r="B72" s="132">
        <v>61</v>
      </c>
      <c r="C72" s="132">
        <v>61</v>
      </c>
      <c r="D72" s="132">
        <v>3</v>
      </c>
      <c r="E72" s="133">
        <f t="shared" si="16"/>
        <v>1.1162999999999999E-2</v>
      </c>
      <c r="F72" s="136">
        <v>306</v>
      </c>
      <c r="G72" s="136">
        <f t="shared" si="17"/>
        <v>3.4158779999999997</v>
      </c>
      <c r="H72" s="115"/>
      <c r="I72" s="115">
        <f t="shared" si="12"/>
        <v>0</v>
      </c>
      <c r="J72" s="115"/>
      <c r="K72" s="115">
        <f t="shared" si="13"/>
        <v>0</v>
      </c>
      <c r="L72" s="115"/>
      <c r="M72" s="11">
        <f t="shared" si="23"/>
        <v>0</v>
      </c>
      <c r="N72" s="115">
        <v>14</v>
      </c>
      <c r="O72" s="115">
        <f t="shared" si="19"/>
        <v>0.15628199999999998</v>
      </c>
      <c r="P72" s="115"/>
      <c r="Q72" s="115">
        <f t="shared" si="20"/>
        <v>0</v>
      </c>
      <c r="R72" s="86">
        <f t="shared" ref="R72" si="25">F72-H72-J72-L72-N72-P72</f>
        <v>292</v>
      </c>
      <c r="S72" s="97">
        <f t="shared" si="15"/>
        <v>3.2595959999999997</v>
      </c>
      <c r="T72" s="138">
        <v>0</v>
      </c>
      <c r="U72" s="139">
        <f t="shared" si="24"/>
        <v>0</v>
      </c>
      <c r="V72" s="141">
        <f t="shared" si="21"/>
        <v>292</v>
      </c>
      <c r="W72" s="141">
        <f t="shared" si="22"/>
        <v>3.2595959999999997</v>
      </c>
    </row>
  </sheetData>
  <mergeCells count="24">
    <mergeCell ref="B1:G1"/>
    <mergeCell ref="F2:G3"/>
    <mergeCell ref="H2:I2"/>
    <mergeCell ref="J2:K2"/>
    <mergeCell ref="L2:M2"/>
    <mergeCell ref="P2:Q2"/>
    <mergeCell ref="R2:S3"/>
    <mergeCell ref="T2:U3"/>
    <mergeCell ref="V2:W3"/>
    <mergeCell ref="H3:I3"/>
    <mergeCell ref="J3:K3"/>
    <mergeCell ref="L3:M3"/>
    <mergeCell ref="N3:O3"/>
    <mergeCell ref="P3:Q3"/>
    <mergeCell ref="N2:O2"/>
    <mergeCell ref="R4:S4"/>
    <mergeCell ref="T4:U4"/>
    <mergeCell ref="V4:W4"/>
    <mergeCell ref="F4:G4"/>
    <mergeCell ref="H4:I4"/>
    <mergeCell ref="J4:K4"/>
    <mergeCell ref="L4:M4"/>
    <mergeCell ref="N4:O4"/>
    <mergeCell ref="P4:Q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72"/>
  <sheetViews>
    <sheetView topLeftCell="A52" workbookViewId="0">
      <selection activeCell="V5" sqref="V5"/>
    </sheetView>
  </sheetViews>
  <sheetFormatPr defaultRowHeight="15" x14ac:dyDescent="0.25"/>
  <cols>
    <col min="1" max="1" width="23.85546875" style="3" customWidth="1"/>
    <col min="2" max="4" width="6.140625" style="2" hidden="1" customWidth="1"/>
    <col min="5" max="5" width="9" style="4" hidden="1" customWidth="1"/>
    <col min="6" max="7" width="9" style="5" customWidth="1"/>
    <col min="8" max="19" width="8.140625" style="2" customWidth="1"/>
  </cols>
  <sheetData>
    <row r="1" spans="1:23" ht="15.75" thickBot="1" x14ac:dyDescent="0.3">
      <c r="A1" s="4" t="s">
        <v>18</v>
      </c>
      <c r="B1" s="320" t="s">
        <v>94</v>
      </c>
      <c r="C1" s="320"/>
      <c r="D1" s="320"/>
      <c r="E1" s="320"/>
      <c r="F1" s="320"/>
      <c r="G1" s="320"/>
    </row>
    <row r="2" spans="1:23" s="1" customFormat="1" ht="15.75" thickBot="1" x14ac:dyDescent="0.3">
      <c r="A2" s="8" t="s">
        <v>0</v>
      </c>
      <c r="B2" s="28"/>
      <c r="C2" s="29"/>
      <c r="D2" s="29"/>
      <c r="E2" s="14"/>
      <c r="F2" s="321" t="s">
        <v>1</v>
      </c>
      <c r="G2" s="322"/>
      <c r="H2" s="325">
        <v>44858</v>
      </c>
      <c r="I2" s="326"/>
      <c r="J2" s="327">
        <v>44859</v>
      </c>
      <c r="K2" s="328"/>
      <c r="L2" s="325">
        <v>44860</v>
      </c>
      <c r="M2" s="329"/>
      <c r="N2" s="327">
        <v>44861</v>
      </c>
      <c r="O2" s="346"/>
      <c r="P2" s="325">
        <v>44862</v>
      </c>
      <c r="Q2" s="329"/>
      <c r="R2" s="330" t="s">
        <v>69</v>
      </c>
      <c r="S2" s="331"/>
      <c r="T2" s="334" t="s">
        <v>70</v>
      </c>
      <c r="U2" s="335"/>
      <c r="V2" s="338" t="s">
        <v>71</v>
      </c>
      <c r="W2" s="339"/>
    </row>
    <row r="3" spans="1:23" s="1" customFormat="1" ht="15.75" thickBot="1" x14ac:dyDescent="0.3">
      <c r="A3" s="7"/>
      <c r="B3" s="30"/>
      <c r="C3" s="31"/>
      <c r="D3" s="31"/>
      <c r="E3" s="15"/>
      <c r="F3" s="323"/>
      <c r="G3" s="324"/>
      <c r="H3" s="342" t="s">
        <v>68</v>
      </c>
      <c r="I3" s="343"/>
      <c r="J3" s="344" t="s">
        <v>68</v>
      </c>
      <c r="K3" s="345"/>
      <c r="L3" s="342" t="s">
        <v>68</v>
      </c>
      <c r="M3" s="343"/>
      <c r="N3" s="344" t="s">
        <v>68</v>
      </c>
      <c r="O3" s="345"/>
      <c r="P3" s="342" t="s">
        <v>68</v>
      </c>
      <c r="Q3" s="343"/>
      <c r="R3" s="332"/>
      <c r="S3" s="333"/>
      <c r="T3" s="336"/>
      <c r="U3" s="337"/>
      <c r="V3" s="340"/>
      <c r="W3" s="341"/>
    </row>
    <row r="4" spans="1:23" ht="15.75" thickBot="1" x14ac:dyDescent="0.3">
      <c r="A4" s="42"/>
      <c r="B4" s="16" t="s">
        <v>65</v>
      </c>
      <c r="C4" s="17" t="s">
        <v>66</v>
      </c>
      <c r="D4" s="17" t="s">
        <v>67</v>
      </c>
      <c r="E4" s="18" t="s">
        <v>64</v>
      </c>
      <c r="F4" s="323" t="s">
        <v>63</v>
      </c>
      <c r="G4" s="324"/>
      <c r="H4" s="353" t="s">
        <v>63</v>
      </c>
      <c r="I4" s="354"/>
      <c r="J4" s="355" t="s">
        <v>63</v>
      </c>
      <c r="K4" s="356"/>
      <c r="L4" s="353" t="s">
        <v>63</v>
      </c>
      <c r="M4" s="354"/>
      <c r="N4" s="355" t="s">
        <v>63</v>
      </c>
      <c r="O4" s="356"/>
      <c r="P4" s="353" t="s">
        <v>63</v>
      </c>
      <c r="Q4" s="354"/>
      <c r="R4" s="347" t="s">
        <v>63</v>
      </c>
      <c r="S4" s="348"/>
      <c r="T4" s="349" t="s">
        <v>63</v>
      </c>
      <c r="U4" s="350"/>
      <c r="V4" s="351" t="s">
        <v>63</v>
      </c>
      <c r="W4" s="357"/>
    </row>
    <row r="5" spans="1:23" x14ac:dyDescent="0.25">
      <c r="A5" s="42" t="s">
        <v>2</v>
      </c>
      <c r="B5" s="32">
        <v>140</v>
      </c>
      <c r="C5" s="33">
        <v>240</v>
      </c>
      <c r="D5" s="33">
        <v>1</v>
      </c>
      <c r="E5" s="15">
        <f>(B5*C5*D5)/1000000</f>
        <v>3.3599999999999998E-2</v>
      </c>
      <c r="F5" s="23">
        <f>'EKİM 3 HAFTA '!V5</f>
        <v>133</v>
      </c>
      <c r="G5" s="24">
        <f>E5*F5</f>
        <v>4.4687999999999999</v>
      </c>
      <c r="H5" s="21">
        <v>57</v>
      </c>
      <c r="I5" s="11">
        <f>E5*H5</f>
        <v>1.9151999999999998</v>
      </c>
      <c r="J5" s="21">
        <v>28</v>
      </c>
      <c r="K5" s="10">
        <f t="shared" ref="K5:K68" si="0">E5*J5</f>
        <v>0.94079999999999997</v>
      </c>
      <c r="L5" s="21">
        <v>8</v>
      </c>
      <c r="M5" s="11">
        <f t="shared" ref="M5:M67" si="1">E5*L5</f>
        <v>0.26879999999999998</v>
      </c>
      <c r="N5" s="21">
        <v>11</v>
      </c>
      <c r="O5" s="10">
        <f>E5*N5</f>
        <v>0.36959999999999998</v>
      </c>
      <c r="P5" s="21">
        <v>1</v>
      </c>
      <c r="Q5" s="11">
        <f>E5*P5</f>
        <v>3.3599999999999998E-2</v>
      </c>
      <c r="R5" s="39">
        <f>F5-H5-J5-L5-N5-P5</f>
        <v>28</v>
      </c>
      <c r="S5" s="38">
        <f t="shared" ref="S5:S68" si="2">E5*R5</f>
        <v>0.94079999999999997</v>
      </c>
      <c r="T5" s="12">
        <v>90</v>
      </c>
      <c r="U5" s="13">
        <f>E5*T5</f>
        <v>3.024</v>
      </c>
      <c r="V5" s="49">
        <f>R5+T5</f>
        <v>118</v>
      </c>
      <c r="W5" s="50">
        <f>E5*V5</f>
        <v>3.9647999999999999</v>
      </c>
    </row>
    <row r="6" spans="1:23" x14ac:dyDescent="0.25">
      <c r="A6" s="42" t="s">
        <v>3</v>
      </c>
      <c r="B6" s="34">
        <v>140</v>
      </c>
      <c r="C6" s="35">
        <v>240</v>
      </c>
      <c r="D6" s="35">
        <v>0.8</v>
      </c>
      <c r="E6" s="19">
        <f t="shared" ref="E6:E69" si="3">(B6*C6*D6)/1000000</f>
        <v>2.6880000000000001E-2</v>
      </c>
      <c r="F6" s="23">
        <f>'EKİM 3 HAFTA '!V6</f>
        <v>228</v>
      </c>
      <c r="G6" s="26">
        <f t="shared" ref="G6:G69" si="4">E6*F6</f>
        <v>6.1286399999999999</v>
      </c>
      <c r="H6" s="22">
        <v>5</v>
      </c>
      <c r="I6" s="11">
        <f t="shared" ref="I6:U67" si="5">E6*H6</f>
        <v>0.13440000000000002</v>
      </c>
      <c r="J6" s="21">
        <v>4</v>
      </c>
      <c r="K6" s="10">
        <f t="shared" si="0"/>
        <v>0.10752</v>
      </c>
      <c r="L6" s="21">
        <v>17</v>
      </c>
      <c r="M6" s="11">
        <f t="shared" si="1"/>
        <v>0.45696000000000003</v>
      </c>
      <c r="N6" s="21">
        <v>1</v>
      </c>
      <c r="O6" s="10">
        <f t="shared" ref="O6:O69" si="6">E6*N6</f>
        <v>2.6880000000000001E-2</v>
      </c>
      <c r="P6" s="21">
        <v>4</v>
      </c>
      <c r="Q6" s="11">
        <f t="shared" ref="Q6:Q69" si="7">E6*P6</f>
        <v>0.10752</v>
      </c>
      <c r="R6" s="39">
        <f>F6-H6-J6-L6-N6-P6</f>
        <v>197</v>
      </c>
      <c r="S6" s="38">
        <f t="shared" si="2"/>
        <v>5.2953600000000005</v>
      </c>
      <c r="T6" s="12"/>
      <c r="U6" s="13">
        <f t="shared" ref="U6:U66" si="8">E6*T6</f>
        <v>0</v>
      </c>
      <c r="V6" s="49">
        <f t="shared" ref="V6:V69" si="9">R6+T6</f>
        <v>197</v>
      </c>
      <c r="W6" s="50">
        <f t="shared" ref="W6:W69" si="10">E6*V6</f>
        <v>5.2953600000000005</v>
      </c>
    </row>
    <row r="7" spans="1:23" x14ac:dyDescent="0.25">
      <c r="A7" s="42" t="s">
        <v>4</v>
      </c>
      <c r="B7" s="34">
        <v>140</v>
      </c>
      <c r="C7" s="35">
        <v>240</v>
      </c>
      <c r="D7" s="35">
        <v>1.4</v>
      </c>
      <c r="E7" s="19">
        <f t="shared" si="3"/>
        <v>4.7039999999999998E-2</v>
      </c>
      <c r="F7" s="23">
        <f>'EKİM 3 HAFTA '!V7</f>
        <v>184</v>
      </c>
      <c r="G7" s="26">
        <f t="shared" si="4"/>
        <v>8.6553599999999999</v>
      </c>
      <c r="H7" s="22">
        <v>53</v>
      </c>
      <c r="I7" s="11">
        <f t="shared" si="5"/>
        <v>2.4931199999999998</v>
      </c>
      <c r="J7" s="21">
        <v>15</v>
      </c>
      <c r="K7" s="10">
        <f t="shared" si="0"/>
        <v>0.7056</v>
      </c>
      <c r="L7" s="21">
        <v>10</v>
      </c>
      <c r="M7" s="11">
        <f t="shared" si="1"/>
        <v>0.47039999999999998</v>
      </c>
      <c r="N7" s="21">
        <v>27</v>
      </c>
      <c r="O7" s="10">
        <f t="shared" si="6"/>
        <v>1.2700799999999999</v>
      </c>
      <c r="P7" s="21">
        <v>30</v>
      </c>
      <c r="Q7" s="11">
        <f t="shared" si="7"/>
        <v>1.4112</v>
      </c>
      <c r="R7" s="39">
        <f t="shared" ref="R7:R70" si="11">F7-H7-J7-L7-N7-P7</f>
        <v>49</v>
      </c>
      <c r="S7" s="38">
        <f t="shared" si="2"/>
        <v>2.3049599999999999</v>
      </c>
      <c r="T7" s="12"/>
      <c r="U7" s="13">
        <f t="shared" si="8"/>
        <v>0</v>
      </c>
      <c r="V7" s="49">
        <f t="shared" si="9"/>
        <v>49</v>
      </c>
      <c r="W7" s="50">
        <f t="shared" si="10"/>
        <v>2.3049599999999999</v>
      </c>
    </row>
    <row r="8" spans="1:23" x14ac:dyDescent="0.25">
      <c r="A8" s="42" t="s">
        <v>5</v>
      </c>
      <c r="B8" s="34">
        <v>140</v>
      </c>
      <c r="C8" s="35">
        <v>240</v>
      </c>
      <c r="D8" s="35">
        <v>4</v>
      </c>
      <c r="E8" s="19">
        <f t="shared" si="3"/>
        <v>0.13439999999999999</v>
      </c>
      <c r="F8" s="23">
        <f>'EKİM 3 HAFTA '!V8</f>
        <v>28</v>
      </c>
      <c r="G8" s="26">
        <f t="shared" si="4"/>
        <v>3.7631999999999999</v>
      </c>
      <c r="H8" s="22">
        <v>0</v>
      </c>
      <c r="I8" s="11">
        <f t="shared" si="5"/>
        <v>0</v>
      </c>
      <c r="J8" s="21">
        <v>0</v>
      </c>
      <c r="K8" s="10">
        <f t="shared" si="0"/>
        <v>0</v>
      </c>
      <c r="L8" s="21">
        <v>0</v>
      </c>
      <c r="M8" s="11">
        <f t="shared" si="1"/>
        <v>0</v>
      </c>
      <c r="N8" s="21">
        <v>0</v>
      </c>
      <c r="O8" s="10">
        <f t="shared" si="6"/>
        <v>0</v>
      </c>
      <c r="P8" s="21">
        <v>1</v>
      </c>
      <c r="Q8" s="11">
        <f t="shared" si="7"/>
        <v>0.13439999999999999</v>
      </c>
      <c r="R8" s="39">
        <f t="shared" si="11"/>
        <v>27</v>
      </c>
      <c r="S8" s="38">
        <f t="shared" si="2"/>
        <v>3.6287999999999996</v>
      </c>
      <c r="T8" s="12"/>
      <c r="U8" s="13">
        <f t="shared" si="8"/>
        <v>0</v>
      </c>
      <c r="V8" s="49">
        <f t="shared" si="9"/>
        <v>27</v>
      </c>
      <c r="W8" s="50">
        <f t="shared" si="10"/>
        <v>3.6287999999999996</v>
      </c>
    </row>
    <row r="9" spans="1:23" x14ac:dyDescent="0.25">
      <c r="A9" s="42" t="s">
        <v>6</v>
      </c>
      <c r="B9" s="34">
        <v>140</v>
      </c>
      <c r="C9" s="35">
        <v>240</v>
      </c>
      <c r="D9" s="35">
        <v>2</v>
      </c>
      <c r="E9" s="19">
        <f t="shared" si="3"/>
        <v>6.7199999999999996E-2</v>
      </c>
      <c r="F9" s="23">
        <f>'EKİM 3 HAFTA '!V9</f>
        <v>0</v>
      </c>
      <c r="G9" s="26">
        <f t="shared" si="4"/>
        <v>0</v>
      </c>
      <c r="H9" s="22">
        <v>0</v>
      </c>
      <c r="I9" s="11">
        <f t="shared" si="5"/>
        <v>0</v>
      </c>
      <c r="J9" s="21">
        <v>0</v>
      </c>
      <c r="K9" s="10">
        <f t="shared" si="0"/>
        <v>0</v>
      </c>
      <c r="L9" s="21">
        <v>0</v>
      </c>
      <c r="M9" s="11">
        <f t="shared" si="1"/>
        <v>0</v>
      </c>
      <c r="N9" s="21">
        <v>0</v>
      </c>
      <c r="O9" s="10">
        <f t="shared" si="6"/>
        <v>0</v>
      </c>
      <c r="P9" s="21">
        <v>0</v>
      </c>
      <c r="Q9" s="11">
        <f t="shared" si="7"/>
        <v>0</v>
      </c>
      <c r="R9" s="39">
        <f t="shared" si="11"/>
        <v>0</v>
      </c>
      <c r="S9" s="38">
        <f t="shared" si="2"/>
        <v>0</v>
      </c>
      <c r="T9" s="12"/>
      <c r="U9" s="13">
        <f t="shared" si="8"/>
        <v>0</v>
      </c>
      <c r="V9" s="49">
        <f t="shared" si="9"/>
        <v>0</v>
      </c>
      <c r="W9" s="50">
        <f t="shared" si="10"/>
        <v>0</v>
      </c>
    </row>
    <row r="10" spans="1:23" x14ac:dyDescent="0.25">
      <c r="A10" s="42" t="s">
        <v>7</v>
      </c>
      <c r="B10" s="34">
        <v>140</v>
      </c>
      <c r="C10" s="35">
        <v>240</v>
      </c>
      <c r="D10" s="35">
        <v>2</v>
      </c>
      <c r="E10" s="19">
        <f t="shared" si="3"/>
        <v>6.7199999999999996E-2</v>
      </c>
      <c r="F10" s="23">
        <f>'EKİM 3 HAFTA '!V10</f>
        <v>222</v>
      </c>
      <c r="G10" s="26">
        <f t="shared" si="4"/>
        <v>14.918399999999998</v>
      </c>
      <c r="H10" s="22"/>
      <c r="I10" s="11">
        <f t="shared" si="5"/>
        <v>0</v>
      </c>
      <c r="J10" s="21">
        <v>6</v>
      </c>
      <c r="K10" s="10">
        <f t="shared" si="0"/>
        <v>0.4032</v>
      </c>
      <c r="L10" s="21">
        <v>26</v>
      </c>
      <c r="M10" s="11">
        <f t="shared" si="1"/>
        <v>1.7471999999999999</v>
      </c>
      <c r="N10" s="21">
        <v>3</v>
      </c>
      <c r="O10" s="10">
        <f t="shared" si="6"/>
        <v>0.2016</v>
      </c>
      <c r="P10" s="21">
        <v>5</v>
      </c>
      <c r="Q10" s="11">
        <f t="shared" si="7"/>
        <v>0.33599999999999997</v>
      </c>
      <c r="R10" s="39">
        <f t="shared" si="11"/>
        <v>182</v>
      </c>
      <c r="S10" s="38">
        <f t="shared" si="2"/>
        <v>12.230399999999999</v>
      </c>
      <c r="T10" s="12"/>
      <c r="U10" s="13">
        <f t="shared" si="8"/>
        <v>0</v>
      </c>
      <c r="V10" s="49">
        <f t="shared" si="9"/>
        <v>182</v>
      </c>
      <c r="W10" s="50">
        <f t="shared" si="10"/>
        <v>12.230399999999999</v>
      </c>
    </row>
    <row r="11" spans="1:23" x14ac:dyDescent="0.25">
      <c r="A11" s="42" t="s">
        <v>8</v>
      </c>
      <c r="B11" s="34">
        <v>140</v>
      </c>
      <c r="C11" s="35">
        <v>240</v>
      </c>
      <c r="D11" s="35">
        <v>7</v>
      </c>
      <c r="E11" s="19">
        <f t="shared" si="3"/>
        <v>0.23519999999999999</v>
      </c>
      <c r="F11" s="23">
        <f>'EKİM 3 HAFTA '!V11</f>
        <v>46</v>
      </c>
      <c r="G11" s="26">
        <f t="shared" si="4"/>
        <v>10.8192</v>
      </c>
      <c r="H11" s="22">
        <v>4</v>
      </c>
      <c r="I11" s="11">
        <f t="shared" si="5"/>
        <v>0.94079999999999997</v>
      </c>
      <c r="J11" s="21">
        <v>1</v>
      </c>
      <c r="K11" s="10">
        <f t="shared" si="0"/>
        <v>0.23519999999999999</v>
      </c>
      <c r="L11" s="21">
        <v>0</v>
      </c>
      <c r="M11" s="11">
        <f t="shared" si="1"/>
        <v>0</v>
      </c>
      <c r="N11" s="21">
        <v>4</v>
      </c>
      <c r="O11" s="10">
        <f t="shared" si="6"/>
        <v>0.94079999999999997</v>
      </c>
      <c r="P11" s="21">
        <v>3</v>
      </c>
      <c r="Q11" s="11">
        <f t="shared" si="7"/>
        <v>0.7056</v>
      </c>
      <c r="R11" s="39">
        <f t="shared" si="11"/>
        <v>34</v>
      </c>
      <c r="S11" s="38">
        <f t="shared" si="2"/>
        <v>7.9967999999999995</v>
      </c>
      <c r="T11" s="12">
        <v>14</v>
      </c>
      <c r="U11" s="13">
        <f t="shared" si="8"/>
        <v>3.2927999999999997</v>
      </c>
      <c r="V11" s="49">
        <f t="shared" si="9"/>
        <v>48</v>
      </c>
      <c r="W11" s="50">
        <f t="shared" si="10"/>
        <v>11.2896</v>
      </c>
    </row>
    <row r="12" spans="1:23" x14ac:dyDescent="0.25">
      <c r="A12" s="42" t="s">
        <v>9</v>
      </c>
      <c r="B12" s="34">
        <v>140</v>
      </c>
      <c r="C12" s="35">
        <v>240</v>
      </c>
      <c r="D12" s="35">
        <v>5</v>
      </c>
      <c r="E12" s="19">
        <f t="shared" si="3"/>
        <v>0.16800000000000001</v>
      </c>
      <c r="F12" s="23">
        <f>'EKİM 3 HAFTA '!V12</f>
        <v>331</v>
      </c>
      <c r="G12" s="26">
        <f t="shared" si="4"/>
        <v>55.608000000000004</v>
      </c>
      <c r="H12" s="22">
        <v>0</v>
      </c>
      <c r="I12" s="11">
        <f t="shared" si="5"/>
        <v>0</v>
      </c>
      <c r="J12" s="21">
        <v>6</v>
      </c>
      <c r="K12" s="10">
        <f t="shared" si="0"/>
        <v>1.008</v>
      </c>
      <c r="L12" s="21">
        <v>3</v>
      </c>
      <c r="M12" s="11">
        <f t="shared" si="1"/>
        <v>0.504</v>
      </c>
      <c r="N12" s="21">
        <v>0</v>
      </c>
      <c r="O12" s="10">
        <f t="shared" si="6"/>
        <v>0</v>
      </c>
      <c r="P12" s="21">
        <v>0</v>
      </c>
      <c r="Q12" s="11">
        <f t="shared" si="7"/>
        <v>0</v>
      </c>
      <c r="R12" s="39">
        <f t="shared" si="11"/>
        <v>322</v>
      </c>
      <c r="S12" s="38">
        <f t="shared" si="2"/>
        <v>54.096000000000004</v>
      </c>
      <c r="T12" s="12"/>
      <c r="U12" s="13">
        <f t="shared" si="8"/>
        <v>0</v>
      </c>
      <c r="V12" s="49">
        <f t="shared" si="9"/>
        <v>322</v>
      </c>
      <c r="W12" s="50">
        <f t="shared" si="10"/>
        <v>54.096000000000004</v>
      </c>
    </row>
    <row r="13" spans="1:23" x14ac:dyDescent="0.25">
      <c r="A13" s="42" t="s">
        <v>10</v>
      </c>
      <c r="B13" s="34">
        <v>140</v>
      </c>
      <c r="C13" s="35">
        <v>240</v>
      </c>
      <c r="D13" s="35">
        <v>5</v>
      </c>
      <c r="E13" s="19">
        <f t="shared" si="3"/>
        <v>0.16800000000000001</v>
      </c>
      <c r="F13" s="23">
        <f>'EKİM 3 HAFTA '!V13</f>
        <v>7</v>
      </c>
      <c r="G13" s="26">
        <f t="shared" si="4"/>
        <v>1.1760000000000002</v>
      </c>
      <c r="H13" s="22">
        <v>7</v>
      </c>
      <c r="I13" s="11">
        <f t="shared" si="5"/>
        <v>1.1760000000000002</v>
      </c>
      <c r="J13" s="21">
        <v>0</v>
      </c>
      <c r="K13" s="10">
        <f t="shared" si="0"/>
        <v>0</v>
      </c>
      <c r="L13" s="21">
        <v>0</v>
      </c>
      <c r="M13" s="11">
        <f t="shared" si="1"/>
        <v>0</v>
      </c>
      <c r="N13" s="21">
        <v>4</v>
      </c>
      <c r="O13" s="10">
        <f t="shared" si="6"/>
        <v>0.67200000000000004</v>
      </c>
      <c r="P13" s="21">
        <v>2</v>
      </c>
      <c r="Q13" s="11">
        <f t="shared" si="7"/>
        <v>0.33600000000000002</v>
      </c>
      <c r="R13" s="39">
        <f t="shared" si="11"/>
        <v>-6</v>
      </c>
      <c r="S13" s="38">
        <f t="shared" si="2"/>
        <v>-1.008</v>
      </c>
      <c r="T13" s="12">
        <v>20</v>
      </c>
      <c r="U13" s="13">
        <f t="shared" si="8"/>
        <v>3.3600000000000003</v>
      </c>
      <c r="V13" s="49">
        <f t="shared" si="9"/>
        <v>14</v>
      </c>
      <c r="W13" s="50">
        <f t="shared" si="10"/>
        <v>2.3520000000000003</v>
      </c>
    </row>
    <row r="14" spans="1:23" x14ac:dyDescent="0.25">
      <c r="A14" s="42" t="s">
        <v>11</v>
      </c>
      <c r="B14" s="34">
        <v>140</v>
      </c>
      <c r="C14" s="35">
        <v>240</v>
      </c>
      <c r="D14" s="35">
        <v>5</v>
      </c>
      <c r="E14" s="19">
        <f t="shared" si="3"/>
        <v>0.16800000000000001</v>
      </c>
      <c r="F14" s="23">
        <f>'EKİM 3 HAFTA '!V14</f>
        <v>11</v>
      </c>
      <c r="G14" s="26">
        <f t="shared" si="4"/>
        <v>1.8480000000000001</v>
      </c>
      <c r="H14" s="22">
        <v>0</v>
      </c>
      <c r="I14" s="11">
        <f t="shared" si="5"/>
        <v>0</v>
      </c>
      <c r="J14" s="21">
        <v>4</v>
      </c>
      <c r="K14" s="10">
        <f t="shared" si="0"/>
        <v>0.67200000000000004</v>
      </c>
      <c r="L14" s="21">
        <v>0</v>
      </c>
      <c r="M14" s="11">
        <f t="shared" si="1"/>
        <v>0</v>
      </c>
      <c r="N14" s="21">
        <v>1</v>
      </c>
      <c r="O14" s="10">
        <f t="shared" si="6"/>
        <v>0.16800000000000001</v>
      </c>
      <c r="P14" s="21">
        <v>5</v>
      </c>
      <c r="Q14" s="11">
        <f t="shared" si="7"/>
        <v>0.84000000000000008</v>
      </c>
      <c r="R14" s="39">
        <f t="shared" si="11"/>
        <v>1</v>
      </c>
      <c r="S14" s="38">
        <f t="shared" si="2"/>
        <v>0.16800000000000001</v>
      </c>
      <c r="T14" s="12"/>
      <c r="U14" s="13">
        <f t="shared" si="8"/>
        <v>0</v>
      </c>
      <c r="V14" s="49">
        <f t="shared" si="9"/>
        <v>1</v>
      </c>
      <c r="W14" s="50">
        <f t="shared" si="10"/>
        <v>0.16800000000000001</v>
      </c>
    </row>
    <row r="15" spans="1:23" x14ac:dyDescent="0.25">
      <c r="A15" s="42" t="s">
        <v>12</v>
      </c>
      <c r="B15" s="34">
        <v>140</v>
      </c>
      <c r="C15" s="35">
        <v>240</v>
      </c>
      <c r="D15" s="35">
        <v>10</v>
      </c>
      <c r="E15" s="19">
        <f t="shared" si="3"/>
        <v>0.33600000000000002</v>
      </c>
      <c r="F15" s="23">
        <f>'EKİM 3 HAFTA '!V15</f>
        <v>21</v>
      </c>
      <c r="G15" s="26">
        <f t="shared" si="4"/>
        <v>7.056</v>
      </c>
      <c r="H15" s="22">
        <v>0</v>
      </c>
      <c r="I15" s="11">
        <f t="shared" si="5"/>
        <v>0</v>
      </c>
      <c r="J15" s="21">
        <v>0</v>
      </c>
      <c r="K15" s="10">
        <f t="shared" si="0"/>
        <v>0</v>
      </c>
      <c r="L15" s="21">
        <v>0</v>
      </c>
      <c r="M15" s="11">
        <f t="shared" si="1"/>
        <v>0</v>
      </c>
      <c r="N15" s="21">
        <v>1</v>
      </c>
      <c r="O15" s="10">
        <f t="shared" si="6"/>
        <v>0.33600000000000002</v>
      </c>
      <c r="P15" s="21">
        <v>0</v>
      </c>
      <c r="Q15" s="11">
        <f t="shared" si="7"/>
        <v>0</v>
      </c>
      <c r="R15" s="39">
        <f t="shared" si="11"/>
        <v>20</v>
      </c>
      <c r="S15" s="38">
        <f t="shared" si="2"/>
        <v>6.7200000000000006</v>
      </c>
      <c r="T15" s="12"/>
      <c r="U15" s="13">
        <f t="shared" si="8"/>
        <v>0</v>
      </c>
      <c r="V15" s="49">
        <f t="shared" si="9"/>
        <v>20</v>
      </c>
      <c r="W15" s="50">
        <f t="shared" si="10"/>
        <v>6.7200000000000006</v>
      </c>
    </row>
    <row r="16" spans="1:23" x14ac:dyDescent="0.25">
      <c r="A16" s="42" t="s">
        <v>13</v>
      </c>
      <c r="B16" s="34">
        <v>140</v>
      </c>
      <c r="C16" s="35">
        <v>240</v>
      </c>
      <c r="D16" s="35">
        <v>3</v>
      </c>
      <c r="E16" s="19">
        <f t="shared" si="3"/>
        <v>0.1008</v>
      </c>
      <c r="F16" s="23">
        <f>'EKİM 3 HAFTA '!V16</f>
        <v>83</v>
      </c>
      <c r="G16" s="26">
        <f t="shared" si="4"/>
        <v>8.3664000000000005</v>
      </c>
      <c r="H16" s="22">
        <v>10</v>
      </c>
      <c r="I16" s="11">
        <f t="shared" si="5"/>
        <v>1.008</v>
      </c>
      <c r="J16" s="21">
        <v>40</v>
      </c>
      <c r="K16" s="10">
        <f t="shared" si="0"/>
        <v>4.032</v>
      </c>
      <c r="L16" s="21">
        <v>6</v>
      </c>
      <c r="M16" s="11">
        <f t="shared" si="1"/>
        <v>0.6048</v>
      </c>
      <c r="N16" s="21">
        <v>3</v>
      </c>
      <c r="O16" s="10">
        <f t="shared" si="6"/>
        <v>0.3024</v>
      </c>
      <c r="P16" s="21">
        <v>2</v>
      </c>
      <c r="Q16" s="11">
        <f t="shared" si="7"/>
        <v>0.2016</v>
      </c>
      <c r="R16" s="39">
        <f t="shared" si="11"/>
        <v>22</v>
      </c>
      <c r="S16" s="38">
        <f t="shared" si="2"/>
        <v>2.2176</v>
      </c>
      <c r="T16" s="12"/>
      <c r="U16" s="13">
        <f t="shared" si="8"/>
        <v>0</v>
      </c>
      <c r="V16" s="49">
        <f t="shared" si="9"/>
        <v>22</v>
      </c>
      <c r="W16" s="50">
        <f t="shared" si="10"/>
        <v>2.2176</v>
      </c>
    </row>
    <row r="17" spans="1:23" x14ac:dyDescent="0.25">
      <c r="A17" s="42" t="s">
        <v>14</v>
      </c>
      <c r="B17" s="34">
        <v>140</v>
      </c>
      <c r="C17" s="35">
        <v>240</v>
      </c>
      <c r="D17" s="35">
        <v>5</v>
      </c>
      <c r="E17" s="19">
        <f t="shared" si="3"/>
        <v>0.16800000000000001</v>
      </c>
      <c r="F17" s="23">
        <f>'EKİM 3 HAFTA '!V17</f>
        <v>0</v>
      </c>
      <c r="G17" s="26">
        <f t="shared" si="4"/>
        <v>0</v>
      </c>
      <c r="H17" s="22"/>
      <c r="I17" s="11">
        <f t="shared" si="5"/>
        <v>0</v>
      </c>
      <c r="J17" s="21">
        <v>0</v>
      </c>
      <c r="K17" s="10">
        <f t="shared" si="0"/>
        <v>0</v>
      </c>
      <c r="L17" s="21">
        <v>0</v>
      </c>
      <c r="M17" s="11">
        <f t="shared" si="1"/>
        <v>0</v>
      </c>
      <c r="N17" s="21">
        <v>0</v>
      </c>
      <c r="O17" s="10">
        <f t="shared" si="6"/>
        <v>0</v>
      </c>
      <c r="P17" s="21">
        <v>0</v>
      </c>
      <c r="Q17" s="11">
        <f t="shared" si="7"/>
        <v>0</v>
      </c>
      <c r="R17" s="39">
        <f t="shared" si="11"/>
        <v>0</v>
      </c>
      <c r="S17" s="38">
        <f t="shared" si="2"/>
        <v>0</v>
      </c>
      <c r="T17" s="12"/>
      <c r="U17" s="13">
        <f t="shared" si="8"/>
        <v>0</v>
      </c>
      <c r="V17" s="49">
        <f t="shared" si="9"/>
        <v>0</v>
      </c>
      <c r="W17" s="50">
        <f t="shared" si="10"/>
        <v>0</v>
      </c>
    </row>
    <row r="18" spans="1:23" x14ac:dyDescent="0.25">
      <c r="A18" s="42" t="s">
        <v>15</v>
      </c>
      <c r="B18" s="34">
        <v>140</v>
      </c>
      <c r="C18" s="35">
        <v>240</v>
      </c>
      <c r="D18" s="35">
        <v>3</v>
      </c>
      <c r="E18" s="19">
        <f t="shared" si="3"/>
        <v>0.1008</v>
      </c>
      <c r="F18" s="23">
        <f>'EKİM 3 HAFTA '!V18</f>
        <v>147</v>
      </c>
      <c r="G18" s="26">
        <f t="shared" si="4"/>
        <v>14.817600000000001</v>
      </c>
      <c r="H18" s="22">
        <v>10</v>
      </c>
      <c r="I18" s="11">
        <f t="shared" si="5"/>
        <v>1.008</v>
      </c>
      <c r="J18" s="21">
        <v>2</v>
      </c>
      <c r="K18" s="10">
        <f t="shared" si="0"/>
        <v>0.2016</v>
      </c>
      <c r="L18" s="21">
        <v>0</v>
      </c>
      <c r="M18" s="11">
        <f t="shared" si="1"/>
        <v>0</v>
      </c>
      <c r="N18" s="21">
        <v>0</v>
      </c>
      <c r="O18" s="10">
        <f t="shared" si="6"/>
        <v>0</v>
      </c>
      <c r="P18" s="21">
        <v>6</v>
      </c>
      <c r="Q18" s="11">
        <f t="shared" si="7"/>
        <v>0.6048</v>
      </c>
      <c r="R18" s="39">
        <f t="shared" si="11"/>
        <v>129</v>
      </c>
      <c r="S18" s="38">
        <f t="shared" si="2"/>
        <v>13.0032</v>
      </c>
      <c r="T18" s="12"/>
      <c r="U18" s="13">
        <f t="shared" si="8"/>
        <v>0</v>
      </c>
      <c r="V18" s="49">
        <f t="shared" si="9"/>
        <v>129</v>
      </c>
      <c r="W18" s="50">
        <f t="shared" si="10"/>
        <v>13.0032</v>
      </c>
    </row>
    <row r="19" spans="1:23" x14ac:dyDescent="0.25">
      <c r="A19" s="42" t="s">
        <v>16</v>
      </c>
      <c r="B19" s="34">
        <v>140</v>
      </c>
      <c r="C19" s="35">
        <v>240</v>
      </c>
      <c r="D19" s="35">
        <v>8</v>
      </c>
      <c r="E19" s="19">
        <f t="shared" si="3"/>
        <v>0.26879999999999998</v>
      </c>
      <c r="F19" s="23">
        <f>'EKİM 3 HAFTA '!V19</f>
        <v>13</v>
      </c>
      <c r="G19" s="26">
        <f t="shared" si="4"/>
        <v>3.4943999999999997</v>
      </c>
      <c r="H19" s="22"/>
      <c r="I19" s="11">
        <f t="shared" si="5"/>
        <v>0</v>
      </c>
      <c r="J19" s="21">
        <v>0</v>
      </c>
      <c r="K19" s="10">
        <f t="shared" si="0"/>
        <v>0</v>
      </c>
      <c r="L19" s="21">
        <v>1</v>
      </c>
      <c r="M19" s="11">
        <f t="shared" si="1"/>
        <v>0.26879999999999998</v>
      </c>
      <c r="N19" s="21">
        <v>0</v>
      </c>
      <c r="O19" s="10">
        <f t="shared" si="6"/>
        <v>0</v>
      </c>
      <c r="P19" s="21">
        <v>0</v>
      </c>
      <c r="Q19" s="11">
        <f t="shared" si="7"/>
        <v>0</v>
      </c>
      <c r="R19" s="39">
        <f t="shared" si="11"/>
        <v>12</v>
      </c>
      <c r="S19" s="38">
        <f t="shared" si="2"/>
        <v>3.2256</v>
      </c>
      <c r="T19" s="12"/>
      <c r="U19" s="13">
        <f t="shared" si="8"/>
        <v>0</v>
      </c>
      <c r="V19" s="49">
        <f t="shared" si="9"/>
        <v>12</v>
      </c>
      <c r="W19" s="50">
        <f t="shared" si="10"/>
        <v>3.2256</v>
      </c>
    </row>
    <row r="20" spans="1:23" x14ac:dyDescent="0.25">
      <c r="A20" s="42" t="s">
        <v>17</v>
      </c>
      <c r="B20" s="34">
        <v>140</v>
      </c>
      <c r="C20" s="35">
        <v>240</v>
      </c>
      <c r="D20" s="35">
        <v>8</v>
      </c>
      <c r="E20" s="19">
        <f t="shared" si="3"/>
        <v>0.26879999999999998</v>
      </c>
      <c r="F20" s="23">
        <f>'EKİM 3 HAFTA '!V20</f>
        <v>0</v>
      </c>
      <c r="G20" s="26">
        <f t="shared" si="4"/>
        <v>0</v>
      </c>
      <c r="H20" s="22"/>
      <c r="I20" s="11">
        <f t="shared" si="5"/>
        <v>0</v>
      </c>
      <c r="J20" s="21">
        <v>0</v>
      </c>
      <c r="K20" s="10">
        <f t="shared" si="0"/>
        <v>0</v>
      </c>
      <c r="L20" s="21">
        <v>0</v>
      </c>
      <c r="M20" s="11">
        <f t="shared" si="1"/>
        <v>0</v>
      </c>
      <c r="N20" s="21">
        <v>0</v>
      </c>
      <c r="O20" s="10">
        <f t="shared" si="6"/>
        <v>0</v>
      </c>
      <c r="P20" s="21">
        <v>0</v>
      </c>
      <c r="Q20" s="11">
        <f t="shared" si="7"/>
        <v>0</v>
      </c>
      <c r="R20" s="39">
        <f t="shared" si="11"/>
        <v>0</v>
      </c>
      <c r="S20" s="38">
        <f t="shared" si="2"/>
        <v>0</v>
      </c>
      <c r="T20" s="12"/>
      <c r="U20" s="13">
        <f t="shared" si="8"/>
        <v>0</v>
      </c>
      <c r="V20" s="49">
        <f t="shared" si="9"/>
        <v>0</v>
      </c>
      <c r="W20" s="50">
        <f t="shared" si="10"/>
        <v>0</v>
      </c>
    </row>
    <row r="21" spans="1:23" x14ac:dyDescent="0.25">
      <c r="A21" s="42" t="s">
        <v>19</v>
      </c>
      <c r="B21" s="34">
        <v>77</v>
      </c>
      <c r="C21" s="35">
        <v>55</v>
      </c>
      <c r="D21" s="35">
        <v>8</v>
      </c>
      <c r="E21" s="19">
        <f t="shared" si="3"/>
        <v>3.388E-2</v>
      </c>
      <c r="F21" s="23">
        <f>'EKİM 3 HAFTA '!V21</f>
        <v>4</v>
      </c>
      <c r="G21" s="26">
        <f t="shared" si="4"/>
        <v>0.13552</v>
      </c>
      <c r="H21" s="22"/>
      <c r="I21" s="11">
        <f t="shared" si="5"/>
        <v>0</v>
      </c>
      <c r="J21" s="21">
        <v>0</v>
      </c>
      <c r="K21" s="10">
        <f t="shared" si="0"/>
        <v>0</v>
      </c>
      <c r="L21" s="21">
        <v>0</v>
      </c>
      <c r="M21" s="11">
        <f t="shared" si="1"/>
        <v>0</v>
      </c>
      <c r="N21" s="21">
        <v>0</v>
      </c>
      <c r="O21" s="10">
        <f t="shared" si="6"/>
        <v>0</v>
      </c>
      <c r="P21" s="21">
        <v>0</v>
      </c>
      <c r="Q21" s="11">
        <f t="shared" si="7"/>
        <v>0</v>
      </c>
      <c r="R21" s="39">
        <f t="shared" si="11"/>
        <v>4</v>
      </c>
      <c r="S21" s="38">
        <f t="shared" si="2"/>
        <v>0.13552</v>
      </c>
      <c r="T21" s="12"/>
      <c r="U21" s="13">
        <f t="shared" si="8"/>
        <v>0</v>
      </c>
      <c r="V21" s="49">
        <f t="shared" si="9"/>
        <v>4</v>
      </c>
      <c r="W21" s="50">
        <f t="shared" si="10"/>
        <v>0.13552</v>
      </c>
    </row>
    <row r="22" spans="1:23" x14ac:dyDescent="0.25">
      <c r="A22" s="42" t="s">
        <v>20</v>
      </c>
      <c r="B22" s="34">
        <v>65</v>
      </c>
      <c r="C22" s="35">
        <v>50</v>
      </c>
      <c r="D22" s="35">
        <v>12</v>
      </c>
      <c r="E22" s="19">
        <f t="shared" si="3"/>
        <v>3.9E-2</v>
      </c>
      <c r="F22" s="23">
        <f>'EKİM 3 HAFTA '!V22</f>
        <v>26</v>
      </c>
      <c r="G22" s="26">
        <f t="shared" si="4"/>
        <v>1.014</v>
      </c>
      <c r="H22" s="22"/>
      <c r="I22" s="11">
        <f t="shared" si="5"/>
        <v>0</v>
      </c>
      <c r="J22" s="21">
        <v>0</v>
      </c>
      <c r="K22" s="10">
        <f t="shared" si="0"/>
        <v>0</v>
      </c>
      <c r="L22" s="21">
        <v>0</v>
      </c>
      <c r="M22" s="11">
        <f t="shared" si="1"/>
        <v>0</v>
      </c>
      <c r="N22" s="21">
        <v>0</v>
      </c>
      <c r="O22" s="10">
        <f t="shared" si="6"/>
        <v>0</v>
      </c>
      <c r="P22" s="21">
        <v>0</v>
      </c>
      <c r="Q22" s="11">
        <f t="shared" si="7"/>
        <v>0</v>
      </c>
      <c r="R22" s="39">
        <f t="shared" si="11"/>
        <v>26</v>
      </c>
      <c r="S22" s="38">
        <f t="shared" si="2"/>
        <v>1.014</v>
      </c>
      <c r="T22" s="12"/>
      <c r="U22" s="13">
        <f t="shared" si="8"/>
        <v>0</v>
      </c>
      <c r="V22" s="49">
        <f t="shared" si="9"/>
        <v>26</v>
      </c>
      <c r="W22" s="50">
        <f t="shared" si="10"/>
        <v>1.014</v>
      </c>
    </row>
    <row r="23" spans="1:23" x14ac:dyDescent="0.25">
      <c r="A23" s="42" t="s">
        <v>21</v>
      </c>
      <c r="B23" s="34"/>
      <c r="C23" s="35"/>
      <c r="D23" s="35"/>
      <c r="E23" s="19">
        <f t="shared" si="3"/>
        <v>0</v>
      </c>
      <c r="F23" s="23">
        <f>'EKİM 3 HAFTA '!V23</f>
        <v>74</v>
      </c>
      <c r="G23" s="26">
        <f t="shared" si="4"/>
        <v>0</v>
      </c>
      <c r="H23" s="22"/>
      <c r="I23" s="11">
        <f t="shared" si="5"/>
        <v>0</v>
      </c>
      <c r="J23" s="21">
        <v>0</v>
      </c>
      <c r="K23" s="10">
        <f t="shared" si="0"/>
        <v>0</v>
      </c>
      <c r="L23" s="21">
        <v>0</v>
      </c>
      <c r="M23" s="11">
        <f t="shared" si="1"/>
        <v>0</v>
      </c>
      <c r="N23" s="21">
        <v>0</v>
      </c>
      <c r="O23" s="10">
        <f t="shared" si="6"/>
        <v>0</v>
      </c>
      <c r="P23" s="21">
        <v>0</v>
      </c>
      <c r="Q23" s="11">
        <f t="shared" si="7"/>
        <v>0</v>
      </c>
      <c r="R23" s="39">
        <f t="shared" si="11"/>
        <v>74</v>
      </c>
      <c r="S23" s="38">
        <f t="shared" si="2"/>
        <v>0</v>
      </c>
      <c r="T23" s="12"/>
      <c r="U23" s="13">
        <f t="shared" si="8"/>
        <v>0</v>
      </c>
      <c r="V23" s="49">
        <f t="shared" si="9"/>
        <v>74</v>
      </c>
      <c r="W23" s="50">
        <f t="shared" si="10"/>
        <v>0</v>
      </c>
    </row>
    <row r="24" spans="1:23" x14ac:dyDescent="0.25">
      <c r="A24" s="42" t="s">
        <v>22</v>
      </c>
      <c r="B24" s="34">
        <v>66</v>
      </c>
      <c r="C24" s="35">
        <v>56</v>
      </c>
      <c r="D24" s="35">
        <v>12</v>
      </c>
      <c r="E24" s="19">
        <f t="shared" si="3"/>
        <v>4.4352000000000003E-2</v>
      </c>
      <c r="F24" s="23">
        <f>'EKİM 3 HAFTA '!V24</f>
        <v>28</v>
      </c>
      <c r="G24" s="26">
        <f t="shared" si="4"/>
        <v>1.2418560000000001</v>
      </c>
      <c r="H24" s="22"/>
      <c r="I24" s="11">
        <f t="shared" si="5"/>
        <v>0</v>
      </c>
      <c r="J24" s="21">
        <v>0</v>
      </c>
      <c r="K24" s="10">
        <f t="shared" si="0"/>
        <v>0</v>
      </c>
      <c r="L24" s="21">
        <v>0</v>
      </c>
      <c r="M24" s="11">
        <f t="shared" si="1"/>
        <v>0</v>
      </c>
      <c r="N24" s="21">
        <v>0</v>
      </c>
      <c r="O24" s="10">
        <f t="shared" si="6"/>
        <v>0</v>
      </c>
      <c r="P24" s="21">
        <v>0</v>
      </c>
      <c r="Q24" s="11">
        <f t="shared" si="7"/>
        <v>0</v>
      </c>
      <c r="R24" s="39">
        <f t="shared" si="11"/>
        <v>28</v>
      </c>
      <c r="S24" s="38">
        <f t="shared" si="2"/>
        <v>1.2418560000000001</v>
      </c>
      <c r="T24" s="12"/>
      <c r="U24" s="13">
        <f t="shared" si="8"/>
        <v>0</v>
      </c>
      <c r="V24" s="49">
        <f t="shared" si="9"/>
        <v>28</v>
      </c>
      <c r="W24" s="50">
        <f t="shared" si="10"/>
        <v>1.2418560000000001</v>
      </c>
    </row>
    <row r="25" spans="1:23" x14ac:dyDescent="0.25">
      <c r="A25" s="42" t="s">
        <v>23</v>
      </c>
      <c r="B25" s="34">
        <v>61.5</v>
      </c>
      <c r="C25" s="35">
        <v>61.5</v>
      </c>
      <c r="D25" s="35">
        <v>10</v>
      </c>
      <c r="E25" s="19">
        <f t="shared" si="3"/>
        <v>3.7822500000000002E-2</v>
      </c>
      <c r="F25" s="23">
        <f>'EKİM 3 HAFTA '!V25</f>
        <v>48</v>
      </c>
      <c r="G25" s="26">
        <f t="shared" si="4"/>
        <v>1.81548</v>
      </c>
      <c r="H25" s="22"/>
      <c r="I25" s="11">
        <f t="shared" si="5"/>
        <v>0</v>
      </c>
      <c r="J25" s="21">
        <v>0</v>
      </c>
      <c r="K25" s="10">
        <f t="shared" si="0"/>
        <v>0</v>
      </c>
      <c r="L25" s="21">
        <v>0</v>
      </c>
      <c r="M25" s="11">
        <f t="shared" si="1"/>
        <v>0</v>
      </c>
      <c r="N25" s="21">
        <v>0</v>
      </c>
      <c r="O25" s="10">
        <f t="shared" si="6"/>
        <v>0</v>
      </c>
      <c r="P25" s="21">
        <v>0</v>
      </c>
      <c r="Q25" s="11">
        <f t="shared" si="7"/>
        <v>0</v>
      </c>
      <c r="R25" s="39">
        <f t="shared" si="11"/>
        <v>48</v>
      </c>
      <c r="S25" s="38">
        <f t="shared" si="2"/>
        <v>1.81548</v>
      </c>
      <c r="T25" s="12"/>
      <c r="U25" s="13">
        <f t="shared" si="8"/>
        <v>0</v>
      </c>
      <c r="V25" s="49">
        <f t="shared" si="9"/>
        <v>48</v>
      </c>
      <c r="W25" s="50">
        <f t="shared" si="10"/>
        <v>1.81548</v>
      </c>
    </row>
    <row r="26" spans="1:23" x14ac:dyDescent="0.25">
      <c r="A26" s="42" t="s">
        <v>24</v>
      </c>
      <c r="B26" s="34">
        <v>82</v>
      </c>
      <c r="C26" s="35">
        <v>67</v>
      </c>
      <c r="D26" s="35">
        <v>5</v>
      </c>
      <c r="E26" s="19">
        <f t="shared" si="3"/>
        <v>2.7470000000000001E-2</v>
      </c>
      <c r="F26" s="23">
        <f>'EKİM 3 HAFTA '!V26</f>
        <v>30</v>
      </c>
      <c r="G26" s="26">
        <f t="shared" si="4"/>
        <v>0.82410000000000005</v>
      </c>
      <c r="H26" s="22"/>
      <c r="I26" s="11">
        <f t="shared" si="5"/>
        <v>0</v>
      </c>
      <c r="J26" s="21">
        <v>0</v>
      </c>
      <c r="K26" s="10">
        <f t="shared" si="0"/>
        <v>0</v>
      </c>
      <c r="L26" s="21">
        <v>0</v>
      </c>
      <c r="M26" s="11">
        <f t="shared" si="1"/>
        <v>0</v>
      </c>
      <c r="N26" s="21">
        <v>0</v>
      </c>
      <c r="O26" s="10">
        <f t="shared" si="6"/>
        <v>0</v>
      </c>
      <c r="P26" s="21">
        <v>0</v>
      </c>
      <c r="Q26" s="11">
        <f t="shared" si="7"/>
        <v>0</v>
      </c>
      <c r="R26" s="39">
        <f t="shared" si="11"/>
        <v>30</v>
      </c>
      <c r="S26" s="38">
        <f t="shared" si="2"/>
        <v>0.82410000000000005</v>
      </c>
      <c r="T26" s="12"/>
      <c r="U26" s="13">
        <f t="shared" si="8"/>
        <v>0</v>
      </c>
      <c r="V26" s="49">
        <f t="shared" si="9"/>
        <v>30</v>
      </c>
      <c r="W26" s="50">
        <f t="shared" si="10"/>
        <v>0.82410000000000005</v>
      </c>
    </row>
    <row r="27" spans="1:23" x14ac:dyDescent="0.25">
      <c r="A27" s="42" t="s">
        <v>25</v>
      </c>
      <c r="B27" s="34">
        <v>80</v>
      </c>
      <c r="C27" s="35">
        <v>62</v>
      </c>
      <c r="D27" s="35">
        <v>2</v>
      </c>
      <c r="E27" s="19">
        <f t="shared" si="3"/>
        <v>9.92E-3</v>
      </c>
      <c r="F27" s="23">
        <f>'EKİM 3 HAFTA '!V27</f>
        <v>36</v>
      </c>
      <c r="G27" s="26">
        <f t="shared" si="4"/>
        <v>0.35711999999999999</v>
      </c>
      <c r="H27" s="22"/>
      <c r="I27" s="11">
        <f t="shared" si="5"/>
        <v>0</v>
      </c>
      <c r="J27" s="21">
        <v>0</v>
      </c>
      <c r="K27" s="10">
        <f t="shared" si="0"/>
        <v>0</v>
      </c>
      <c r="L27" s="21">
        <v>0</v>
      </c>
      <c r="M27" s="11">
        <f t="shared" si="1"/>
        <v>0</v>
      </c>
      <c r="N27" s="21">
        <v>0</v>
      </c>
      <c r="O27" s="10">
        <f t="shared" si="6"/>
        <v>0</v>
      </c>
      <c r="P27" s="21">
        <v>0</v>
      </c>
      <c r="Q27" s="11">
        <f t="shared" si="7"/>
        <v>0</v>
      </c>
      <c r="R27" s="39">
        <f t="shared" si="11"/>
        <v>36</v>
      </c>
      <c r="S27" s="38">
        <f t="shared" si="2"/>
        <v>0.35711999999999999</v>
      </c>
      <c r="T27" s="12"/>
      <c r="U27" s="13">
        <f t="shared" si="8"/>
        <v>0</v>
      </c>
      <c r="V27" s="49">
        <f t="shared" si="9"/>
        <v>36</v>
      </c>
      <c r="W27" s="50">
        <f t="shared" si="10"/>
        <v>0.35711999999999999</v>
      </c>
    </row>
    <row r="28" spans="1:23" x14ac:dyDescent="0.25">
      <c r="A28" s="42" t="s">
        <v>26</v>
      </c>
      <c r="B28" s="34">
        <v>63</v>
      </c>
      <c r="C28" s="35">
        <v>55</v>
      </c>
      <c r="D28" s="35">
        <v>5</v>
      </c>
      <c r="E28" s="19">
        <f t="shared" si="3"/>
        <v>1.7325E-2</v>
      </c>
      <c r="F28" s="23">
        <f>'EKİM 3 HAFTA '!V28</f>
        <v>19</v>
      </c>
      <c r="G28" s="26">
        <f t="shared" si="4"/>
        <v>0.329175</v>
      </c>
      <c r="H28" s="22"/>
      <c r="I28" s="11">
        <f t="shared" si="5"/>
        <v>0</v>
      </c>
      <c r="J28" s="21">
        <v>0</v>
      </c>
      <c r="K28" s="10">
        <f t="shared" si="0"/>
        <v>0</v>
      </c>
      <c r="L28" s="21">
        <v>0</v>
      </c>
      <c r="M28" s="11">
        <f t="shared" si="1"/>
        <v>0</v>
      </c>
      <c r="N28" s="21">
        <v>0</v>
      </c>
      <c r="O28" s="10">
        <f t="shared" si="6"/>
        <v>0</v>
      </c>
      <c r="P28" s="21">
        <v>0</v>
      </c>
      <c r="Q28" s="11">
        <f t="shared" si="7"/>
        <v>0</v>
      </c>
      <c r="R28" s="39">
        <f t="shared" si="11"/>
        <v>19</v>
      </c>
      <c r="S28" s="38">
        <f t="shared" si="2"/>
        <v>0.329175</v>
      </c>
      <c r="T28" s="12"/>
      <c r="U28" s="13">
        <f t="shared" si="8"/>
        <v>0</v>
      </c>
      <c r="V28" s="49">
        <f t="shared" si="9"/>
        <v>19</v>
      </c>
      <c r="W28" s="50">
        <f t="shared" si="10"/>
        <v>0.329175</v>
      </c>
    </row>
    <row r="29" spans="1:23" x14ac:dyDescent="0.25">
      <c r="A29" s="42" t="s">
        <v>27</v>
      </c>
      <c r="B29" s="34">
        <v>140</v>
      </c>
      <c r="C29" s="35">
        <v>240</v>
      </c>
      <c r="D29" s="35">
        <v>5</v>
      </c>
      <c r="E29" s="19">
        <f t="shared" si="3"/>
        <v>0.16800000000000001</v>
      </c>
      <c r="F29" s="23">
        <f>'EKİM 3 HAFTA '!V29</f>
        <v>6</v>
      </c>
      <c r="G29" s="26">
        <f t="shared" si="4"/>
        <v>1.008</v>
      </c>
      <c r="H29" s="22"/>
      <c r="I29" s="11">
        <f t="shared" si="5"/>
        <v>0</v>
      </c>
      <c r="J29" s="21">
        <v>0</v>
      </c>
      <c r="K29" s="10">
        <f t="shared" si="0"/>
        <v>0</v>
      </c>
      <c r="L29" s="21">
        <v>0</v>
      </c>
      <c r="M29" s="11">
        <f t="shared" si="1"/>
        <v>0</v>
      </c>
      <c r="N29" s="21">
        <v>0</v>
      </c>
      <c r="O29" s="10">
        <f t="shared" si="6"/>
        <v>0</v>
      </c>
      <c r="P29" s="21">
        <v>0</v>
      </c>
      <c r="Q29" s="11">
        <f t="shared" si="7"/>
        <v>0</v>
      </c>
      <c r="R29" s="39">
        <f t="shared" si="11"/>
        <v>6</v>
      </c>
      <c r="S29" s="38">
        <f t="shared" si="2"/>
        <v>1.008</v>
      </c>
      <c r="T29" s="12"/>
      <c r="U29" s="13">
        <f t="shared" si="8"/>
        <v>0</v>
      </c>
      <c r="V29" s="49">
        <f t="shared" si="9"/>
        <v>6</v>
      </c>
      <c r="W29" s="50">
        <f t="shared" si="10"/>
        <v>1.008</v>
      </c>
    </row>
    <row r="30" spans="1:23" x14ac:dyDescent="0.25">
      <c r="A30" s="42" t="s">
        <v>28</v>
      </c>
      <c r="B30" s="34">
        <v>140</v>
      </c>
      <c r="C30" s="35">
        <v>240</v>
      </c>
      <c r="D30" s="35">
        <v>10</v>
      </c>
      <c r="E30" s="19">
        <f t="shared" si="3"/>
        <v>0.33600000000000002</v>
      </c>
      <c r="F30" s="23">
        <f>'EKİM 3 HAFTA '!V30</f>
        <v>11</v>
      </c>
      <c r="G30" s="26">
        <f t="shared" si="4"/>
        <v>3.6960000000000002</v>
      </c>
      <c r="H30" s="22"/>
      <c r="I30" s="11">
        <f t="shared" si="5"/>
        <v>0</v>
      </c>
      <c r="J30" s="21">
        <v>0</v>
      </c>
      <c r="K30" s="10">
        <f t="shared" si="0"/>
        <v>0</v>
      </c>
      <c r="L30" s="21">
        <v>0</v>
      </c>
      <c r="M30" s="11">
        <f t="shared" si="1"/>
        <v>0</v>
      </c>
      <c r="N30" s="21">
        <v>0</v>
      </c>
      <c r="O30" s="10">
        <f t="shared" si="6"/>
        <v>0</v>
      </c>
      <c r="P30" s="21">
        <v>0</v>
      </c>
      <c r="Q30" s="11">
        <f t="shared" si="7"/>
        <v>0</v>
      </c>
      <c r="R30" s="39">
        <f t="shared" si="11"/>
        <v>11</v>
      </c>
      <c r="S30" s="38">
        <f t="shared" si="2"/>
        <v>3.6960000000000002</v>
      </c>
      <c r="T30" s="12"/>
      <c r="U30" s="13">
        <f t="shared" si="8"/>
        <v>0</v>
      </c>
      <c r="V30" s="49">
        <f t="shared" si="9"/>
        <v>11</v>
      </c>
      <c r="W30" s="50">
        <f t="shared" si="10"/>
        <v>3.6960000000000002</v>
      </c>
    </row>
    <row r="31" spans="1:23" x14ac:dyDescent="0.25">
      <c r="A31" s="42" t="s">
        <v>29</v>
      </c>
      <c r="B31" s="34">
        <v>140</v>
      </c>
      <c r="C31" s="35">
        <v>240</v>
      </c>
      <c r="D31" s="35">
        <v>3</v>
      </c>
      <c r="E31" s="19">
        <f t="shared" si="3"/>
        <v>0.1008</v>
      </c>
      <c r="F31" s="23">
        <f>'EKİM 3 HAFTA '!V31</f>
        <v>26</v>
      </c>
      <c r="G31" s="26">
        <f t="shared" si="4"/>
        <v>2.6208</v>
      </c>
      <c r="H31" s="22"/>
      <c r="I31" s="11">
        <f t="shared" si="5"/>
        <v>0</v>
      </c>
      <c r="J31" s="21">
        <v>0</v>
      </c>
      <c r="K31" s="10">
        <f t="shared" si="0"/>
        <v>0</v>
      </c>
      <c r="L31" s="21">
        <v>0</v>
      </c>
      <c r="M31" s="11">
        <f t="shared" si="1"/>
        <v>0</v>
      </c>
      <c r="N31" s="21">
        <v>0</v>
      </c>
      <c r="O31" s="10">
        <f t="shared" si="6"/>
        <v>0</v>
      </c>
      <c r="P31" s="21">
        <v>0</v>
      </c>
      <c r="Q31" s="11">
        <f t="shared" si="7"/>
        <v>0</v>
      </c>
      <c r="R31" s="39">
        <f t="shared" si="11"/>
        <v>26</v>
      </c>
      <c r="S31" s="38">
        <f t="shared" si="2"/>
        <v>2.6208</v>
      </c>
      <c r="T31" s="12"/>
      <c r="U31" s="13">
        <f t="shared" si="8"/>
        <v>0</v>
      </c>
      <c r="V31" s="49">
        <f t="shared" si="9"/>
        <v>26</v>
      </c>
      <c r="W31" s="50">
        <f t="shared" si="10"/>
        <v>2.6208</v>
      </c>
    </row>
    <row r="32" spans="1:23" x14ac:dyDescent="0.25">
      <c r="A32" s="42" t="s">
        <v>30</v>
      </c>
      <c r="B32" s="34">
        <v>90</v>
      </c>
      <c r="C32" s="35">
        <v>80</v>
      </c>
      <c r="D32" s="35">
        <v>8</v>
      </c>
      <c r="E32" s="19">
        <f t="shared" si="3"/>
        <v>5.7599999999999998E-2</v>
      </c>
      <c r="F32" s="23">
        <f>'EKİM 3 HAFTA '!V32</f>
        <v>0</v>
      </c>
      <c r="G32" s="26">
        <f t="shared" si="4"/>
        <v>0</v>
      </c>
      <c r="H32" s="22"/>
      <c r="I32" s="11">
        <f t="shared" si="5"/>
        <v>0</v>
      </c>
      <c r="J32" s="21">
        <v>0</v>
      </c>
      <c r="K32" s="10">
        <f t="shared" si="0"/>
        <v>0</v>
      </c>
      <c r="L32" s="21">
        <v>0</v>
      </c>
      <c r="M32" s="11">
        <f t="shared" si="1"/>
        <v>0</v>
      </c>
      <c r="N32" s="21">
        <v>0</v>
      </c>
      <c r="O32" s="10">
        <f t="shared" si="6"/>
        <v>0</v>
      </c>
      <c r="P32" s="21">
        <v>0</v>
      </c>
      <c r="Q32" s="11">
        <f t="shared" si="7"/>
        <v>0</v>
      </c>
      <c r="R32" s="39">
        <f t="shared" si="11"/>
        <v>0</v>
      </c>
      <c r="S32" s="38">
        <f t="shared" si="2"/>
        <v>0</v>
      </c>
      <c r="T32" s="12"/>
      <c r="U32" s="13">
        <f t="shared" si="8"/>
        <v>0</v>
      </c>
      <c r="V32" s="49">
        <f t="shared" si="9"/>
        <v>0</v>
      </c>
      <c r="W32" s="50">
        <f t="shared" si="10"/>
        <v>0</v>
      </c>
    </row>
    <row r="33" spans="1:23" x14ac:dyDescent="0.25">
      <c r="A33" s="42" t="s">
        <v>31</v>
      </c>
      <c r="B33" s="34">
        <v>90</v>
      </c>
      <c r="C33" s="35">
        <v>80</v>
      </c>
      <c r="D33" s="35">
        <v>8</v>
      </c>
      <c r="E33" s="19">
        <f t="shared" si="3"/>
        <v>5.7599999999999998E-2</v>
      </c>
      <c r="F33" s="23">
        <f>'EKİM 3 HAFTA '!V33</f>
        <v>0</v>
      </c>
      <c r="G33" s="26">
        <f t="shared" si="4"/>
        <v>0</v>
      </c>
      <c r="H33" s="22"/>
      <c r="I33" s="11">
        <f t="shared" si="5"/>
        <v>0</v>
      </c>
      <c r="J33" s="21">
        <v>0</v>
      </c>
      <c r="K33" s="10">
        <f t="shared" si="0"/>
        <v>0</v>
      </c>
      <c r="L33" s="21">
        <v>0</v>
      </c>
      <c r="M33" s="11">
        <f t="shared" si="1"/>
        <v>0</v>
      </c>
      <c r="N33" s="21">
        <v>0</v>
      </c>
      <c r="O33" s="10">
        <f t="shared" si="6"/>
        <v>0</v>
      </c>
      <c r="P33" s="21">
        <v>0</v>
      </c>
      <c r="Q33" s="11">
        <f t="shared" si="7"/>
        <v>0</v>
      </c>
      <c r="R33" s="39">
        <f t="shared" si="11"/>
        <v>0</v>
      </c>
      <c r="S33" s="38">
        <f t="shared" si="2"/>
        <v>0</v>
      </c>
      <c r="T33" s="12"/>
      <c r="U33" s="13">
        <f t="shared" si="8"/>
        <v>0</v>
      </c>
      <c r="V33" s="49">
        <f t="shared" si="9"/>
        <v>0</v>
      </c>
      <c r="W33" s="50">
        <f t="shared" si="10"/>
        <v>0</v>
      </c>
    </row>
    <row r="34" spans="1:23" x14ac:dyDescent="0.25">
      <c r="A34" s="42" t="s">
        <v>32</v>
      </c>
      <c r="B34" s="34"/>
      <c r="C34" s="35"/>
      <c r="D34" s="35"/>
      <c r="E34" s="19">
        <f t="shared" si="3"/>
        <v>0</v>
      </c>
      <c r="F34" s="23">
        <f>'EKİM 3 HAFTA '!V34</f>
        <v>300</v>
      </c>
      <c r="G34" s="26">
        <f t="shared" si="4"/>
        <v>0</v>
      </c>
      <c r="H34" s="22"/>
      <c r="I34" s="11">
        <f t="shared" si="5"/>
        <v>0</v>
      </c>
      <c r="J34" s="21">
        <v>0</v>
      </c>
      <c r="K34" s="10">
        <f t="shared" si="0"/>
        <v>0</v>
      </c>
      <c r="L34" s="21">
        <v>0</v>
      </c>
      <c r="M34" s="11">
        <f t="shared" si="1"/>
        <v>0</v>
      </c>
      <c r="N34" s="21">
        <v>0</v>
      </c>
      <c r="O34" s="10">
        <f t="shared" si="6"/>
        <v>0</v>
      </c>
      <c r="P34" s="21">
        <v>0</v>
      </c>
      <c r="Q34" s="11">
        <f t="shared" si="7"/>
        <v>0</v>
      </c>
      <c r="R34" s="39">
        <f t="shared" si="11"/>
        <v>300</v>
      </c>
      <c r="S34" s="38">
        <f t="shared" si="2"/>
        <v>0</v>
      </c>
      <c r="T34" s="12"/>
      <c r="U34" s="13">
        <f t="shared" si="8"/>
        <v>0</v>
      </c>
      <c r="V34" s="49">
        <f t="shared" si="9"/>
        <v>300</v>
      </c>
      <c r="W34" s="50">
        <f t="shared" si="10"/>
        <v>0</v>
      </c>
    </row>
    <row r="35" spans="1:23" x14ac:dyDescent="0.25">
      <c r="A35" s="42" t="s">
        <v>33</v>
      </c>
      <c r="B35" s="34">
        <v>80</v>
      </c>
      <c r="C35" s="35">
        <v>66</v>
      </c>
      <c r="D35" s="35">
        <v>5</v>
      </c>
      <c r="E35" s="19">
        <f t="shared" si="3"/>
        <v>2.64E-2</v>
      </c>
      <c r="F35" s="23">
        <f>'EKİM 3 HAFTA '!V35</f>
        <v>56</v>
      </c>
      <c r="G35" s="26">
        <f t="shared" si="4"/>
        <v>1.4783999999999999</v>
      </c>
      <c r="H35" s="22"/>
      <c r="I35" s="11">
        <f t="shared" si="5"/>
        <v>0</v>
      </c>
      <c r="J35" s="21">
        <v>0</v>
      </c>
      <c r="K35" s="10">
        <f t="shared" si="0"/>
        <v>0</v>
      </c>
      <c r="L35" s="21">
        <v>0</v>
      </c>
      <c r="M35" s="11">
        <f t="shared" si="1"/>
        <v>0</v>
      </c>
      <c r="N35" s="21">
        <v>0</v>
      </c>
      <c r="O35" s="10">
        <f t="shared" si="6"/>
        <v>0</v>
      </c>
      <c r="P35" s="21">
        <v>0</v>
      </c>
      <c r="Q35" s="11">
        <f t="shared" si="7"/>
        <v>0</v>
      </c>
      <c r="R35" s="39">
        <f t="shared" si="11"/>
        <v>56</v>
      </c>
      <c r="S35" s="38">
        <f t="shared" si="2"/>
        <v>1.4783999999999999</v>
      </c>
      <c r="T35" s="12"/>
      <c r="U35" s="13">
        <f t="shared" si="8"/>
        <v>0</v>
      </c>
      <c r="V35" s="49">
        <f t="shared" si="9"/>
        <v>56</v>
      </c>
      <c r="W35" s="50">
        <f t="shared" si="10"/>
        <v>1.4783999999999999</v>
      </c>
    </row>
    <row r="36" spans="1:23" x14ac:dyDescent="0.25">
      <c r="A36" s="42" t="s">
        <v>34</v>
      </c>
      <c r="B36" s="34">
        <v>60</v>
      </c>
      <c r="C36" s="35">
        <v>62</v>
      </c>
      <c r="D36" s="35">
        <v>5</v>
      </c>
      <c r="E36" s="19">
        <f t="shared" si="3"/>
        <v>1.8599999999999998E-2</v>
      </c>
      <c r="F36" s="23">
        <f>'EKİM 3 HAFTA '!V36</f>
        <v>9</v>
      </c>
      <c r="G36" s="26">
        <f t="shared" si="4"/>
        <v>0.16739999999999999</v>
      </c>
      <c r="H36" s="22"/>
      <c r="I36" s="11">
        <f t="shared" si="5"/>
        <v>0</v>
      </c>
      <c r="J36" s="21">
        <v>5</v>
      </c>
      <c r="K36" s="10">
        <f t="shared" si="0"/>
        <v>9.2999999999999999E-2</v>
      </c>
      <c r="L36" s="21">
        <v>0</v>
      </c>
      <c r="M36" s="11">
        <f t="shared" si="1"/>
        <v>0</v>
      </c>
      <c r="N36" s="21">
        <v>0</v>
      </c>
      <c r="O36" s="10">
        <f t="shared" si="6"/>
        <v>0</v>
      </c>
      <c r="P36" s="21">
        <v>0</v>
      </c>
      <c r="Q36" s="11">
        <f t="shared" si="7"/>
        <v>0</v>
      </c>
      <c r="R36" s="39">
        <f t="shared" si="11"/>
        <v>4</v>
      </c>
      <c r="S36" s="38">
        <f t="shared" si="2"/>
        <v>7.4399999999999994E-2</v>
      </c>
      <c r="T36" s="12"/>
      <c r="U36" s="13">
        <f t="shared" si="8"/>
        <v>0</v>
      </c>
      <c r="V36" s="49">
        <f t="shared" si="9"/>
        <v>4</v>
      </c>
      <c r="W36" s="50">
        <f t="shared" si="10"/>
        <v>7.4399999999999994E-2</v>
      </c>
    </row>
    <row r="37" spans="1:23" x14ac:dyDescent="0.25">
      <c r="A37" s="42" t="s">
        <v>41</v>
      </c>
      <c r="B37" s="34">
        <v>60</v>
      </c>
      <c r="C37" s="35">
        <v>67</v>
      </c>
      <c r="D37" s="35">
        <v>3</v>
      </c>
      <c r="E37" s="19">
        <f t="shared" si="3"/>
        <v>1.206E-2</v>
      </c>
      <c r="F37" s="23">
        <f>'EKİM 3 HAFTA '!V37</f>
        <v>12</v>
      </c>
      <c r="G37" s="26">
        <f t="shared" si="4"/>
        <v>0.14471999999999999</v>
      </c>
      <c r="H37" s="22"/>
      <c r="I37" s="11">
        <f t="shared" si="5"/>
        <v>0</v>
      </c>
      <c r="J37" s="21">
        <v>0</v>
      </c>
      <c r="K37" s="10">
        <f t="shared" si="0"/>
        <v>0</v>
      </c>
      <c r="L37" s="21">
        <v>0</v>
      </c>
      <c r="M37" s="11">
        <f t="shared" si="1"/>
        <v>0</v>
      </c>
      <c r="N37" s="21">
        <v>0</v>
      </c>
      <c r="O37" s="10">
        <f t="shared" si="6"/>
        <v>0</v>
      </c>
      <c r="P37" s="21">
        <v>0</v>
      </c>
      <c r="Q37" s="11">
        <f t="shared" si="7"/>
        <v>0</v>
      </c>
      <c r="R37" s="39">
        <f t="shared" si="11"/>
        <v>12</v>
      </c>
      <c r="S37" s="38">
        <f t="shared" si="2"/>
        <v>0.14471999999999999</v>
      </c>
      <c r="T37" s="12"/>
      <c r="U37" s="13">
        <f t="shared" si="8"/>
        <v>0</v>
      </c>
      <c r="V37" s="49">
        <f t="shared" si="9"/>
        <v>12</v>
      </c>
      <c r="W37" s="50">
        <f t="shared" si="10"/>
        <v>0.14471999999999999</v>
      </c>
    </row>
    <row r="38" spans="1:23" x14ac:dyDescent="0.25">
      <c r="A38" s="42" t="s">
        <v>35</v>
      </c>
      <c r="B38" s="34">
        <v>140</v>
      </c>
      <c r="C38" s="35">
        <v>240</v>
      </c>
      <c r="D38" s="35">
        <v>7</v>
      </c>
      <c r="E38" s="19">
        <f t="shared" si="3"/>
        <v>0.23519999999999999</v>
      </c>
      <c r="F38" s="23">
        <f>'EKİM 3 HAFTA '!V38</f>
        <v>4</v>
      </c>
      <c r="G38" s="26">
        <f t="shared" si="4"/>
        <v>0.94079999999999997</v>
      </c>
      <c r="H38" s="22"/>
      <c r="I38" s="11">
        <f t="shared" si="5"/>
        <v>0</v>
      </c>
      <c r="J38" s="21">
        <v>0</v>
      </c>
      <c r="K38" s="10">
        <f t="shared" si="0"/>
        <v>0</v>
      </c>
      <c r="L38" s="21">
        <v>0</v>
      </c>
      <c r="M38" s="11">
        <f t="shared" si="1"/>
        <v>0</v>
      </c>
      <c r="N38" s="21">
        <v>0</v>
      </c>
      <c r="O38" s="10">
        <f t="shared" si="6"/>
        <v>0</v>
      </c>
      <c r="P38" s="21">
        <v>0</v>
      </c>
      <c r="Q38" s="11">
        <f t="shared" si="7"/>
        <v>0</v>
      </c>
      <c r="R38" s="39">
        <f t="shared" si="11"/>
        <v>4</v>
      </c>
      <c r="S38" s="38">
        <f t="shared" si="2"/>
        <v>0.94079999999999997</v>
      </c>
      <c r="T38" s="12"/>
      <c r="U38" s="13">
        <f t="shared" si="8"/>
        <v>0</v>
      </c>
      <c r="V38" s="49">
        <f t="shared" si="9"/>
        <v>4</v>
      </c>
      <c r="W38" s="50">
        <f t="shared" si="10"/>
        <v>0.94079999999999997</v>
      </c>
    </row>
    <row r="39" spans="1:23" x14ac:dyDescent="0.25">
      <c r="A39" s="42" t="s">
        <v>36</v>
      </c>
      <c r="B39" s="34">
        <v>60</v>
      </c>
      <c r="C39" s="35">
        <v>56</v>
      </c>
      <c r="D39" s="35">
        <v>10</v>
      </c>
      <c r="E39" s="19">
        <f t="shared" si="3"/>
        <v>3.3599999999999998E-2</v>
      </c>
      <c r="F39" s="23">
        <f>'EKİM 3 HAFTA '!V39</f>
        <v>30</v>
      </c>
      <c r="G39" s="26">
        <f t="shared" si="4"/>
        <v>1.008</v>
      </c>
      <c r="H39" s="22"/>
      <c r="I39" s="11">
        <f t="shared" si="5"/>
        <v>0</v>
      </c>
      <c r="J39" s="21">
        <v>30</v>
      </c>
      <c r="K39" s="10">
        <f t="shared" si="0"/>
        <v>1.008</v>
      </c>
      <c r="L39" s="21">
        <v>0</v>
      </c>
      <c r="M39" s="11">
        <f t="shared" si="1"/>
        <v>0</v>
      </c>
      <c r="N39" s="21">
        <v>0</v>
      </c>
      <c r="O39" s="10">
        <f t="shared" si="6"/>
        <v>0</v>
      </c>
      <c r="P39" s="21">
        <v>0</v>
      </c>
      <c r="Q39" s="11">
        <f t="shared" si="7"/>
        <v>0</v>
      </c>
      <c r="R39" s="39">
        <f t="shared" si="11"/>
        <v>0</v>
      </c>
      <c r="S39" s="38">
        <f t="shared" si="2"/>
        <v>0</v>
      </c>
      <c r="T39" s="12"/>
      <c r="U39" s="13">
        <f t="shared" si="8"/>
        <v>0</v>
      </c>
      <c r="V39" s="49">
        <f t="shared" si="9"/>
        <v>0</v>
      </c>
      <c r="W39" s="50">
        <f t="shared" si="10"/>
        <v>0</v>
      </c>
    </row>
    <row r="40" spans="1:23" x14ac:dyDescent="0.25">
      <c r="A40" s="42" t="s">
        <v>37</v>
      </c>
      <c r="B40" s="34">
        <v>58</v>
      </c>
      <c r="C40" s="35">
        <v>55</v>
      </c>
      <c r="D40" s="35">
        <v>10</v>
      </c>
      <c r="E40" s="19">
        <f t="shared" si="3"/>
        <v>3.1899999999999998E-2</v>
      </c>
      <c r="F40" s="23">
        <f>'EKİM 3 HAFTA '!V40</f>
        <v>66</v>
      </c>
      <c r="G40" s="26">
        <f t="shared" si="4"/>
        <v>2.1053999999999999</v>
      </c>
      <c r="H40" s="22"/>
      <c r="I40" s="11">
        <f t="shared" si="5"/>
        <v>0</v>
      </c>
      <c r="J40" s="21">
        <v>66</v>
      </c>
      <c r="K40" s="10">
        <f t="shared" si="0"/>
        <v>2.1053999999999999</v>
      </c>
      <c r="L40" s="21">
        <v>0</v>
      </c>
      <c r="M40" s="11">
        <f t="shared" si="1"/>
        <v>0</v>
      </c>
      <c r="N40" s="21">
        <v>0</v>
      </c>
      <c r="O40" s="10">
        <f t="shared" si="6"/>
        <v>0</v>
      </c>
      <c r="P40" s="21">
        <v>0</v>
      </c>
      <c r="Q40" s="11">
        <f t="shared" si="7"/>
        <v>0</v>
      </c>
      <c r="R40" s="39">
        <f t="shared" si="11"/>
        <v>0</v>
      </c>
      <c r="S40" s="38">
        <f t="shared" si="2"/>
        <v>0</v>
      </c>
      <c r="T40" s="12"/>
      <c r="U40" s="13">
        <f t="shared" si="8"/>
        <v>0</v>
      </c>
      <c r="V40" s="49">
        <f t="shared" si="9"/>
        <v>0</v>
      </c>
      <c r="W40" s="50">
        <f t="shared" si="10"/>
        <v>0</v>
      </c>
    </row>
    <row r="41" spans="1:23" x14ac:dyDescent="0.25">
      <c r="A41" s="42" t="s">
        <v>38</v>
      </c>
      <c r="B41" s="34">
        <v>63</v>
      </c>
      <c r="C41" s="35">
        <v>55</v>
      </c>
      <c r="D41" s="35">
        <v>5</v>
      </c>
      <c r="E41" s="19">
        <f t="shared" si="3"/>
        <v>1.7325E-2</v>
      </c>
      <c r="F41" s="23">
        <f>'EKİM 3 HAFTA '!V41</f>
        <v>10</v>
      </c>
      <c r="G41" s="26">
        <f t="shared" si="4"/>
        <v>0.17325000000000002</v>
      </c>
      <c r="H41" s="22"/>
      <c r="I41" s="11">
        <f t="shared" si="5"/>
        <v>0</v>
      </c>
      <c r="J41" s="21">
        <v>0</v>
      </c>
      <c r="K41" s="10">
        <f t="shared" si="0"/>
        <v>0</v>
      </c>
      <c r="L41" s="21">
        <v>0</v>
      </c>
      <c r="M41" s="11">
        <f t="shared" si="1"/>
        <v>0</v>
      </c>
      <c r="N41" s="21">
        <v>0</v>
      </c>
      <c r="O41" s="10">
        <f t="shared" si="6"/>
        <v>0</v>
      </c>
      <c r="P41" s="21">
        <v>0</v>
      </c>
      <c r="Q41" s="11">
        <f t="shared" si="7"/>
        <v>0</v>
      </c>
      <c r="R41" s="39">
        <f t="shared" si="11"/>
        <v>10</v>
      </c>
      <c r="S41" s="38">
        <f t="shared" si="2"/>
        <v>0.17325000000000002</v>
      </c>
      <c r="T41" s="12"/>
      <c r="U41" s="13">
        <f t="shared" si="8"/>
        <v>0</v>
      </c>
      <c r="V41" s="49">
        <f t="shared" si="9"/>
        <v>10</v>
      </c>
      <c r="W41" s="50">
        <f t="shared" si="10"/>
        <v>0.17325000000000002</v>
      </c>
    </row>
    <row r="42" spans="1:23" x14ac:dyDescent="0.25">
      <c r="A42" s="42" t="s">
        <v>39</v>
      </c>
      <c r="B42" s="34">
        <v>52</v>
      </c>
      <c r="C42" s="35">
        <v>52</v>
      </c>
      <c r="D42" s="35">
        <v>5</v>
      </c>
      <c r="E42" s="19">
        <f t="shared" si="3"/>
        <v>1.3520000000000001E-2</v>
      </c>
      <c r="F42" s="23">
        <f>'EKİM 3 HAFTA '!V42</f>
        <v>0</v>
      </c>
      <c r="G42" s="26">
        <f t="shared" si="4"/>
        <v>0</v>
      </c>
      <c r="H42" s="22"/>
      <c r="I42" s="11">
        <f t="shared" si="5"/>
        <v>0</v>
      </c>
      <c r="J42" s="21">
        <v>0</v>
      </c>
      <c r="K42" s="10">
        <f t="shared" si="0"/>
        <v>0</v>
      </c>
      <c r="L42" s="21">
        <v>0</v>
      </c>
      <c r="M42" s="11">
        <f t="shared" si="1"/>
        <v>0</v>
      </c>
      <c r="N42" s="21">
        <v>0</v>
      </c>
      <c r="O42" s="10">
        <f t="shared" si="6"/>
        <v>0</v>
      </c>
      <c r="P42" s="21">
        <v>0</v>
      </c>
      <c r="Q42" s="11">
        <f t="shared" si="7"/>
        <v>0</v>
      </c>
      <c r="R42" s="39">
        <f t="shared" si="11"/>
        <v>0</v>
      </c>
      <c r="S42" s="38">
        <f t="shared" si="2"/>
        <v>0</v>
      </c>
      <c r="T42" s="12"/>
      <c r="U42" s="13">
        <f t="shared" si="8"/>
        <v>0</v>
      </c>
      <c r="V42" s="49">
        <f t="shared" si="9"/>
        <v>0</v>
      </c>
      <c r="W42" s="50">
        <f t="shared" si="10"/>
        <v>0</v>
      </c>
    </row>
    <row r="43" spans="1:23" x14ac:dyDescent="0.25">
      <c r="A43" s="42" t="s">
        <v>40</v>
      </c>
      <c r="B43" s="34">
        <v>80</v>
      </c>
      <c r="C43" s="35">
        <v>70</v>
      </c>
      <c r="D43" s="35">
        <v>8</v>
      </c>
      <c r="E43" s="19">
        <f t="shared" si="3"/>
        <v>4.48E-2</v>
      </c>
      <c r="F43" s="23">
        <f>'EKİM 3 HAFTA '!V43</f>
        <v>382</v>
      </c>
      <c r="G43" s="26">
        <f t="shared" si="4"/>
        <v>17.113599999999998</v>
      </c>
      <c r="H43" s="22">
        <v>18</v>
      </c>
      <c r="I43" s="11">
        <f t="shared" si="5"/>
        <v>0.80640000000000001</v>
      </c>
      <c r="J43" s="21">
        <v>0</v>
      </c>
      <c r="K43" s="10">
        <f t="shared" si="0"/>
        <v>0</v>
      </c>
      <c r="L43" s="21">
        <v>0</v>
      </c>
      <c r="M43" s="11">
        <f t="shared" si="1"/>
        <v>0</v>
      </c>
      <c r="N43" s="21">
        <v>5</v>
      </c>
      <c r="O43" s="10">
        <f t="shared" si="6"/>
        <v>0.224</v>
      </c>
      <c r="P43" s="21">
        <v>0</v>
      </c>
      <c r="Q43" s="11">
        <f t="shared" si="7"/>
        <v>0</v>
      </c>
      <c r="R43" s="39">
        <f t="shared" si="11"/>
        <v>359</v>
      </c>
      <c r="S43" s="38">
        <f t="shared" si="2"/>
        <v>16.083200000000001</v>
      </c>
      <c r="T43" s="12"/>
      <c r="U43" s="13">
        <f t="shared" si="8"/>
        <v>0</v>
      </c>
      <c r="V43" s="49">
        <f t="shared" si="9"/>
        <v>359</v>
      </c>
      <c r="W43" s="50">
        <f t="shared" si="10"/>
        <v>16.083200000000001</v>
      </c>
    </row>
    <row r="44" spans="1:23" x14ac:dyDescent="0.25">
      <c r="A44" s="42" t="s">
        <v>42</v>
      </c>
      <c r="B44" s="34">
        <v>70</v>
      </c>
      <c r="C44" s="35">
        <v>64</v>
      </c>
      <c r="D44" s="35">
        <v>8</v>
      </c>
      <c r="E44" s="19">
        <f t="shared" si="3"/>
        <v>3.5839999999999997E-2</v>
      </c>
      <c r="F44" s="23">
        <f>'EKİM 3 HAFTA '!V44</f>
        <v>438</v>
      </c>
      <c r="G44" s="26">
        <f t="shared" si="4"/>
        <v>15.697919999999998</v>
      </c>
      <c r="H44" s="22">
        <v>48</v>
      </c>
      <c r="I44" s="11">
        <f t="shared" si="5"/>
        <v>1.7203199999999998</v>
      </c>
      <c r="J44" s="21">
        <v>0</v>
      </c>
      <c r="K44" s="10">
        <f t="shared" si="0"/>
        <v>0</v>
      </c>
      <c r="L44" s="21">
        <v>0</v>
      </c>
      <c r="M44" s="11">
        <f t="shared" si="1"/>
        <v>0</v>
      </c>
      <c r="N44" s="21">
        <v>0</v>
      </c>
      <c r="O44" s="10">
        <f t="shared" si="6"/>
        <v>0</v>
      </c>
      <c r="P44" s="21">
        <v>0</v>
      </c>
      <c r="Q44" s="11">
        <f t="shared" si="7"/>
        <v>0</v>
      </c>
      <c r="R44" s="39">
        <f t="shared" si="11"/>
        <v>390</v>
      </c>
      <c r="S44" s="38">
        <f t="shared" si="2"/>
        <v>13.977599999999999</v>
      </c>
      <c r="T44" s="12"/>
      <c r="U44" s="13">
        <f t="shared" si="8"/>
        <v>0</v>
      </c>
      <c r="V44" s="49">
        <f t="shared" si="9"/>
        <v>390</v>
      </c>
      <c r="W44" s="50">
        <f t="shared" si="10"/>
        <v>13.977599999999999</v>
      </c>
    </row>
    <row r="45" spans="1:23" x14ac:dyDescent="0.25">
      <c r="A45" s="42" t="s">
        <v>43</v>
      </c>
      <c r="B45" s="34">
        <v>75</v>
      </c>
      <c r="C45" s="35">
        <v>70</v>
      </c>
      <c r="D45" s="35">
        <v>8</v>
      </c>
      <c r="E45" s="19">
        <f t="shared" si="3"/>
        <v>4.2000000000000003E-2</v>
      </c>
      <c r="F45" s="23">
        <f>'EKİM 3 HAFTA '!V45</f>
        <v>294</v>
      </c>
      <c r="G45" s="26">
        <f t="shared" si="4"/>
        <v>12.348000000000001</v>
      </c>
      <c r="H45" s="22">
        <v>36</v>
      </c>
      <c r="I45" s="11">
        <f t="shared" si="5"/>
        <v>1.512</v>
      </c>
      <c r="J45" s="21">
        <v>0</v>
      </c>
      <c r="K45" s="10">
        <f t="shared" si="0"/>
        <v>0</v>
      </c>
      <c r="L45" s="21">
        <v>0</v>
      </c>
      <c r="M45" s="11">
        <f t="shared" si="1"/>
        <v>0</v>
      </c>
      <c r="N45" s="21">
        <v>0</v>
      </c>
      <c r="O45" s="10">
        <f t="shared" si="6"/>
        <v>0</v>
      </c>
      <c r="P45" s="21">
        <v>0</v>
      </c>
      <c r="Q45" s="11">
        <f t="shared" si="7"/>
        <v>0</v>
      </c>
      <c r="R45" s="39">
        <f t="shared" si="11"/>
        <v>258</v>
      </c>
      <c r="S45" s="38">
        <f t="shared" si="2"/>
        <v>10.836</v>
      </c>
      <c r="T45" s="12"/>
      <c r="U45" s="13">
        <f t="shared" si="8"/>
        <v>0</v>
      </c>
      <c r="V45" s="49">
        <f t="shared" si="9"/>
        <v>258</v>
      </c>
      <c r="W45" s="50">
        <f t="shared" si="10"/>
        <v>10.836</v>
      </c>
    </row>
    <row r="46" spans="1:23" x14ac:dyDescent="0.25">
      <c r="A46" s="42" t="s">
        <v>77</v>
      </c>
      <c r="B46" s="34">
        <v>140</v>
      </c>
      <c r="C46" s="35">
        <v>67</v>
      </c>
      <c r="D46" s="35">
        <v>5</v>
      </c>
      <c r="E46" s="19">
        <f t="shared" si="3"/>
        <v>4.6899999999999997E-2</v>
      </c>
      <c r="F46" s="23">
        <f>'EKİM 3 HAFTA '!V46</f>
        <v>530</v>
      </c>
      <c r="G46" s="26">
        <f t="shared" si="4"/>
        <v>24.856999999999999</v>
      </c>
      <c r="H46" s="22">
        <v>5</v>
      </c>
      <c r="I46" s="11">
        <f t="shared" si="5"/>
        <v>0.23449999999999999</v>
      </c>
      <c r="J46" s="21">
        <v>0</v>
      </c>
      <c r="K46" s="10">
        <f t="shared" si="0"/>
        <v>0</v>
      </c>
      <c r="L46" s="21">
        <v>13</v>
      </c>
      <c r="M46" s="11">
        <f t="shared" si="1"/>
        <v>0.60969999999999991</v>
      </c>
      <c r="N46" s="21">
        <v>0</v>
      </c>
      <c r="O46" s="10">
        <f t="shared" si="6"/>
        <v>0</v>
      </c>
      <c r="P46" s="21">
        <v>12</v>
      </c>
      <c r="Q46" s="11">
        <f t="shared" si="7"/>
        <v>0.56279999999999997</v>
      </c>
      <c r="R46" s="39">
        <f t="shared" si="11"/>
        <v>500</v>
      </c>
      <c r="S46" s="38">
        <f t="shared" si="2"/>
        <v>23.45</v>
      </c>
      <c r="T46" s="12"/>
      <c r="U46" s="13">
        <f t="shared" si="8"/>
        <v>0</v>
      </c>
      <c r="V46" s="49">
        <f t="shared" si="9"/>
        <v>500</v>
      </c>
      <c r="W46" s="50">
        <f t="shared" si="10"/>
        <v>23.45</v>
      </c>
    </row>
    <row r="47" spans="1:23" x14ac:dyDescent="0.25">
      <c r="A47" s="42" t="s">
        <v>45</v>
      </c>
      <c r="B47" s="34">
        <v>80</v>
      </c>
      <c r="C47" s="35">
        <v>63</v>
      </c>
      <c r="D47" s="35">
        <v>5</v>
      </c>
      <c r="E47" s="19">
        <f t="shared" si="3"/>
        <v>2.52E-2</v>
      </c>
      <c r="F47" s="23">
        <f>'EKİM 3 HAFTA '!V47</f>
        <v>315</v>
      </c>
      <c r="G47" s="26">
        <f t="shared" si="4"/>
        <v>7.9379999999999997</v>
      </c>
      <c r="H47" s="22"/>
      <c r="I47" s="11">
        <f t="shared" si="5"/>
        <v>0</v>
      </c>
      <c r="J47" s="21">
        <v>0</v>
      </c>
      <c r="K47" s="10">
        <f t="shared" si="0"/>
        <v>0</v>
      </c>
      <c r="L47" s="21">
        <v>0</v>
      </c>
      <c r="M47" s="11">
        <f t="shared" si="1"/>
        <v>0</v>
      </c>
      <c r="N47" s="21">
        <v>0</v>
      </c>
      <c r="O47" s="10">
        <f t="shared" si="6"/>
        <v>0</v>
      </c>
      <c r="P47" s="21">
        <v>0</v>
      </c>
      <c r="Q47" s="11">
        <f t="shared" si="7"/>
        <v>0</v>
      </c>
      <c r="R47" s="39">
        <f t="shared" si="11"/>
        <v>315</v>
      </c>
      <c r="S47" s="38">
        <f t="shared" si="2"/>
        <v>7.9379999999999997</v>
      </c>
      <c r="T47" s="12"/>
      <c r="U47" s="13">
        <f t="shared" si="8"/>
        <v>0</v>
      </c>
      <c r="V47" s="49">
        <f t="shared" si="9"/>
        <v>315</v>
      </c>
      <c r="W47" s="50">
        <f t="shared" si="10"/>
        <v>7.9379999999999997</v>
      </c>
    </row>
    <row r="48" spans="1:23" x14ac:dyDescent="0.25">
      <c r="A48" s="42" t="s">
        <v>46</v>
      </c>
      <c r="B48" s="34">
        <v>77</v>
      </c>
      <c r="C48" s="35">
        <v>68</v>
      </c>
      <c r="D48" s="35">
        <v>8</v>
      </c>
      <c r="E48" s="19">
        <f t="shared" si="3"/>
        <v>4.1888000000000002E-2</v>
      </c>
      <c r="F48" s="23">
        <f>'EKİM 3 HAFTA '!V48</f>
        <v>189</v>
      </c>
      <c r="G48" s="26">
        <f t="shared" si="4"/>
        <v>7.9168320000000003</v>
      </c>
      <c r="H48" s="22">
        <v>18</v>
      </c>
      <c r="I48" s="11">
        <f t="shared" si="5"/>
        <v>0.75398399999999999</v>
      </c>
      <c r="J48" s="21">
        <v>0</v>
      </c>
      <c r="K48" s="10">
        <f t="shared" si="0"/>
        <v>0</v>
      </c>
      <c r="L48" s="21">
        <v>0</v>
      </c>
      <c r="M48" s="11">
        <f t="shared" si="1"/>
        <v>0</v>
      </c>
      <c r="N48" s="21">
        <v>0</v>
      </c>
      <c r="O48" s="10">
        <f t="shared" si="6"/>
        <v>0</v>
      </c>
      <c r="P48" s="21">
        <v>0</v>
      </c>
      <c r="Q48" s="11">
        <f t="shared" si="7"/>
        <v>0</v>
      </c>
      <c r="R48" s="39">
        <f t="shared" si="11"/>
        <v>171</v>
      </c>
      <c r="S48" s="38">
        <f t="shared" si="2"/>
        <v>7.1628480000000003</v>
      </c>
      <c r="T48" s="12"/>
      <c r="U48" s="13">
        <f t="shared" si="8"/>
        <v>0</v>
      </c>
      <c r="V48" s="49">
        <f t="shared" si="9"/>
        <v>171</v>
      </c>
      <c r="W48" s="50">
        <f t="shared" si="10"/>
        <v>7.1628480000000003</v>
      </c>
    </row>
    <row r="49" spans="1:23" x14ac:dyDescent="0.25">
      <c r="A49" s="42" t="s">
        <v>47</v>
      </c>
      <c r="B49" s="34">
        <v>79</v>
      </c>
      <c r="C49" s="35">
        <v>79</v>
      </c>
      <c r="D49" s="35">
        <v>2</v>
      </c>
      <c r="E49" s="19">
        <f t="shared" si="3"/>
        <v>1.2482E-2</v>
      </c>
      <c r="F49" s="23">
        <f>'EKİM 3 HAFTA '!V49</f>
        <v>33</v>
      </c>
      <c r="G49" s="26">
        <f t="shared" si="4"/>
        <v>0.41190599999999999</v>
      </c>
      <c r="H49" s="22"/>
      <c r="I49" s="11">
        <f t="shared" si="5"/>
        <v>0</v>
      </c>
      <c r="J49" s="21">
        <v>0</v>
      </c>
      <c r="K49" s="10">
        <f t="shared" si="0"/>
        <v>0</v>
      </c>
      <c r="L49" s="21">
        <v>0</v>
      </c>
      <c r="M49" s="11">
        <f t="shared" si="1"/>
        <v>0</v>
      </c>
      <c r="N49" s="21">
        <v>0</v>
      </c>
      <c r="O49" s="10">
        <f t="shared" si="6"/>
        <v>0</v>
      </c>
      <c r="P49" s="21">
        <v>0</v>
      </c>
      <c r="Q49" s="11">
        <f t="shared" si="7"/>
        <v>0</v>
      </c>
      <c r="R49" s="39">
        <f t="shared" si="11"/>
        <v>33</v>
      </c>
      <c r="S49" s="38">
        <f t="shared" si="2"/>
        <v>0.41190599999999999</v>
      </c>
      <c r="T49" s="12"/>
      <c r="U49" s="13">
        <f t="shared" si="8"/>
        <v>0</v>
      </c>
      <c r="V49" s="49">
        <f t="shared" si="9"/>
        <v>33</v>
      </c>
      <c r="W49" s="50">
        <f t="shared" si="10"/>
        <v>0.41190599999999999</v>
      </c>
    </row>
    <row r="50" spans="1:23" x14ac:dyDescent="0.25">
      <c r="A50" s="42" t="s">
        <v>48</v>
      </c>
      <c r="B50" s="34">
        <v>61</v>
      </c>
      <c r="C50" s="35">
        <v>56</v>
      </c>
      <c r="D50" s="35">
        <v>10</v>
      </c>
      <c r="E50" s="19">
        <f t="shared" si="3"/>
        <v>3.4160000000000003E-2</v>
      </c>
      <c r="F50" s="23">
        <f>'EKİM 3 HAFTA '!V50</f>
        <v>385</v>
      </c>
      <c r="G50" s="26">
        <f t="shared" si="4"/>
        <v>13.151600000000002</v>
      </c>
      <c r="H50" s="22"/>
      <c r="I50" s="11">
        <f t="shared" si="5"/>
        <v>0</v>
      </c>
      <c r="J50" s="21">
        <v>0</v>
      </c>
      <c r="K50" s="10">
        <f t="shared" si="0"/>
        <v>0</v>
      </c>
      <c r="L50" s="21">
        <v>0</v>
      </c>
      <c r="M50" s="11">
        <f t="shared" si="1"/>
        <v>0</v>
      </c>
      <c r="N50" s="21">
        <v>0</v>
      </c>
      <c r="O50" s="10">
        <f t="shared" si="6"/>
        <v>0</v>
      </c>
      <c r="P50" s="21">
        <v>0</v>
      </c>
      <c r="Q50" s="11">
        <f t="shared" si="7"/>
        <v>0</v>
      </c>
      <c r="R50" s="39">
        <f t="shared" si="11"/>
        <v>385</v>
      </c>
      <c r="S50" s="38">
        <f t="shared" si="2"/>
        <v>13.151600000000002</v>
      </c>
      <c r="T50" s="12"/>
      <c r="U50" s="13">
        <f t="shared" si="8"/>
        <v>0</v>
      </c>
      <c r="V50" s="49">
        <f t="shared" si="9"/>
        <v>385</v>
      </c>
      <c r="W50" s="50">
        <f t="shared" si="10"/>
        <v>13.151600000000002</v>
      </c>
    </row>
    <row r="51" spans="1:23" x14ac:dyDescent="0.25">
      <c r="A51" s="42" t="s">
        <v>49</v>
      </c>
      <c r="B51" s="34">
        <v>66</v>
      </c>
      <c r="C51" s="35">
        <v>61</v>
      </c>
      <c r="D51" s="35">
        <v>10</v>
      </c>
      <c r="E51" s="19">
        <f t="shared" si="3"/>
        <v>4.0259999999999997E-2</v>
      </c>
      <c r="F51" s="23">
        <f>'EKİM 3 HAFTA '!V51</f>
        <v>386</v>
      </c>
      <c r="G51" s="26">
        <f t="shared" si="4"/>
        <v>15.54036</v>
      </c>
      <c r="H51" s="22"/>
      <c r="I51" s="11">
        <f t="shared" si="5"/>
        <v>0</v>
      </c>
      <c r="J51" s="21">
        <v>0</v>
      </c>
      <c r="K51" s="10">
        <f t="shared" si="0"/>
        <v>0</v>
      </c>
      <c r="L51" s="21">
        <v>0</v>
      </c>
      <c r="M51" s="11">
        <f t="shared" si="1"/>
        <v>0</v>
      </c>
      <c r="N51" s="21">
        <v>0</v>
      </c>
      <c r="O51" s="10">
        <f t="shared" si="6"/>
        <v>0</v>
      </c>
      <c r="P51" s="21">
        <v>0</v>
      </c>
      <c r="Q51" s="11">
        <f t="shared" si="7"/>
        <v>0</v>
      </c>
      <c r="R51" s="39">
        <f t="shared" si="11"/>
        <v>386</v>
      </c>
      <c r="S51" s="38">
        <f t="shared" si="2"/>
        <v>15.54036</v>
      </c>
      <c r="T51" s="12"/>
      <c r="U51" s="13">
        <f t="shared" si="8"/>
        <v>0</v>
      </c>
      <c r="V51" s="49">
        <f t="shared" si="9"/>
        <v>386</v>
      </c>
      <c r="W51" s="50">
        <f t="shared" si="10"/>
        <v>15.54036</v>
      </c>
    </row>
    <row r="52" spans="1:23" x14ac:dyDescent="0.25">
      <c r="A52" s="42" t="s">
        <v>50</v>
      </c>
      <c r="B52" s="34">
        <v>63</v>
      </c>
      <c r="C52" s="35">
        <v>61</v>
      </c>
      <c r="D52" s="35">
        <v>10</v>
      </c>
      <c r="E52" s="19">
        <f t="shared" si="3"/>
        <v>3.8429999999999999E-2</v>
      </c>
      <c r="F52" s="23">
        <f>'EKİM 3 HAFTA '!V52</f>
        <v>406</v>
      </c>
      <c r="G52" s="26">
        <f t="shared" si="4"/>
        <v>15.60258</v>
      </c>
      <c r="H52" s="22"/>
      <c r="I52" s="11">
        <f t="shared" si="5"/>
        <v>0</v>
      </c>
      <c r="J52" s="21">
        <v>0</v>
      </c>
      <c r="K52" s="10">
        <f t="shared" si="0"/>
        <v>0</v>
      </c>
      <c r="L52" s="21">
        <v>0</v>
      </c>
      <c r="M52" s="11">
        <f t="shared" si="1"/>
        <v>0</v>
      </c>
      <c r="N52" s="21">
        <v>0</v>
      </c>
      <c r="O52" s="10">
        <f t="shared" si="6"/>
        <v>0</v>
      </c>
      <c r="P52" s="21">
        <v>0</v>
      </c>
      <c r="Q52" s="11">
        <f t="shared" si="7"/>
        <v>0</v>
      </c>
      <c r="R52" s="39">
        <f t="shared" si="11"/>
        <v>406</v>
      </c>
      <c r="S52" s="38">
        <f t="shared" si="2"/>
        <v>15.60258</v>
      </c>
      <c r="T52" s="12"/>
      <c r="U52" s="13">
        <f t="shared" si="8"/>
        <v>0</v>
      </c>
      <c r="V52" s="49">
        <f t="shared" si="9"/>
        <v>406</v>
      </c>
      <c r="W52" s="50">
        <f t="shared" si="10"/>
        <v>15.60258</v>
      </c>
    </row>
    <row r="53" spans="1:23" x14ac:dyDescent="0.25">
      <c r="A53" s="42" t="s">
        <v>51</v>
      </c>
      <c r="B53" s="34">
        <v>58</v>
      </c>
      <c r="C53" s="35">
        <v>58</v>
      </c>
      <c r="D53" s="35">
        <v>2.2999999999999998</v>
      </c>
      <c r="E53" s="19">
        <f t="shared" si="3"/>
        <v>7.7371999999999996E-3</v>
      </c>
      <c r="F53" s="23">
        <f>'EKİM 3 HAFTA '!V53</f>
        <v>3800</v>
      </c>
      <c r="G53" s="26">
        <f t="shared" si="4"/>
        <v>29.401359999999997</v>
      </c>
      <c r="H53" s="22"/>
      <c r="I53" s="11">
        <f t="shared" si="5"/>
        <v>0</v>
      </c>
      <c r="J53" s="21">
        <v>0</v>
      </c>
      <c r="K53" s="10">
        <f t="shared" si="0"/>
        <v>0</v>
      </c>
      <c r="L53" s="21">
        <v>0</v>
      </c>
      <c r="M53" s="11">
        <f t="shared" si="1"/>
        <v>0</v>
      </c>
      <c r="N53" s="21">
        <v>0</v>
      </c>
      <c r="O53" s="10">
        <f t="shared" si="6"/>
        <v>0</v>
      </c>
      <c r="P53" s="21">
        <v>0</v>
      </c>
      <c r="Q53" s="11">
        <f t="shared" si="7"/>
        <v>0</v>
      </c>
      <c r="R53" s="39">
        <f t="shared" si="11"/>
        <v>3800</v>
      </c>
      <c r="S53" s="38">
        <f t="shared" si="2"/>
        <v>29.401359999999997</v>
      </c>
      <c r="T53" s="12"/>
      <c r="U53" s="13">
        <f t="shared" si="8"/>
        <v>0</v>
      </c>
      <c r="V53" s="49">
        <f t="shared" si="9"/>
        <v>3800</v>
      </c>
      <c r="W53" s="50">
        <f t="shared" si="10"/>
        <v>29.401359999999997</v>
      </c>
    </row>
    <row r="54" spans="1:23" x14ac:dyDescent="0.25">
      <c r="A54" s="42" t="s">
        <v>52</v>
      </c>
      <c r="B54" s="34">
        <v>79</v>
      </c>
      <c r="C54" s="35">
        <v>62</v>
      </c>
      <c r="D54" s="35">
        <v>2.2999999999999998</v>
      </c>
      <c r="E54" s="19">
        <f t="shared" si="3"/>
        <v>1.12654E-2</v>
      </c>
      <c r="F54" s="23">
        <f>'EKİM 3 HAFTA '!V54</f>
        <v>3537</v>
      </c>
      <c r="G54" s="26">
        <f t="shared" si="4"/>
        <v>39.845719799999998</v>
      </c>
      <c r="H54" s="22"/>
      <c r="I54" s="11">
        <f t="shared" si="5"/>
        <v>0</v>
      </c>
      <c r="J54" s="21">
        <v>0</v>
      </c>
      <c r="K54" s="10">
        <f t="shared" si="0"/>
        <v>0</v>
      </c>
      <c r="L54" s="21">
        <v>0</v>
      </c>
      <c r="M54" s="11">
        <f t="shared" si="1"/>
        <v>0</v>
      </c>
      <c r="N54" s="21">
        <v>0</v>
      </c>
      <c r="O54" s="10">
        <f t="shared" si="6"/>
        <v>0</v>
      </c>
      <c r="P54" s="21">
        <v>0</v>
      </c>
      <c r="Q54" s="11">
        <f t="shared" si="7"/>
        <v>0</v>
      </c>
      <c r="R54" s="39">
        <f t="shared" si="11"/>
        <v>3537</v>
      </c>
      <c r="S54" s="38">
        <f t="shared" si="2"/>
        <v>39.845719799999998</v>
      </c>
      <c r="T54" s="12"/>
      <c r="U54" s="13">
        <f t="shared" si="8"/>
        <v>0</v>
      </c>
      <c r="V54" s="49">
        <f t="shared" si="9"/>
        <v>3537</v>
      </c>
      <c r="W54" s="50">
        <f t="shared" si="10"/>
        <v>39.845719799999998</v>
      </c>
    </row>
    <row r="55" spans="1:23" x14ac:dyDescent="0.25">
      <c r="A55" s="42" t="s">
        <v>53</v>
      </c>
      <c r="B55" s="34">
        <v>200</v>
      </c>
      <c r="C55" s="35">
        <v>176</v>
      </c>
      <c r="D55" s="35">
        <v>2.2999999999999998</v>
      </c>
      <c r="E55" s="19">
        <f t="shared" si="3"/>
        <v>8.0960000000000004E-2</v>
      </c>
      <c r="F55" s="23">
        <f>'EKİM 3 HAFTA '!V55</f>
        <v>1</v>
      </c>
      <c r="G55" s="26">
        <f t="shared" si="4"/>
        <v>8.0960000000000004E-2</v>
      </c>
      <c r="H55" s="22"/>
      <c r="I55" s="11">
        <f t="shared" si="5"/>
        <v>0</v>
      </c>
      <c r="J55" s="21">
        <v>0</v>
      </c>
      <c r="K55" s="10">
        <f t="shared" si="0"/>
        <v>0</v>
      </c>
      <c r="L55" s="21">
        <v>0</v>
      </c>
      <c r="M55" s="11">
        <f t="shared" si="1"/>
        <v>0</v>
      </c>
      <c r="N55" s="21">
        <v>0</v>
      </c>
      <c r="O55" s="10">
        <f t="shared" si="6"/>
        <v>0</v>
      </c>
      <c r="P55" s="21">
        <v>0</v>
      </c>
      <c r="Q55" s="11">
        <f t="shared" si="7"/>
        <v>0</v>
      </c>
      <c r="R55" s="39">
        <f t="shared" si="11"/>
        <v>1</v>
      </c>
      <c r="S55" s="38">
        <f t="shared" si="2"/>
        <v>8.0960000000000004E-2</v>
      </c>
      <c r="T55" s="12"/>
      <c r="U55" s="13">
        <f t="shared" si="8"/>
        <v>0</v>
      </c>
      <c r="V55" s="49">
        <f t="shared" si="9"/>
        <v>1</v>
      </c>
      <c r="W55" s="50">
        <f t="shared" si="10"/>
        <v>8.0960000000000004E-2</v>
      </c>
    </row>
    <row r="56" spans="1:23" x14ac:dyDescent="0.25">
      <c r="A56" s="42" t="s">
        <v>54</v>
      </c>
      <c r="B56" s="34">
        <v>79</v>
      </c>
      <c r="C56" s="35">
        <v>79</v>
      </c>
      <c r="D56" s="35">
        <v>2.2999999999999998</v>
      </c>
      <c r="E56" s="19">
        <f t="shared" si="3"/>
        <v>1.4354299999999999E-2</v>
      </c>
      <c r="F56" s="23">
        <f>'EKİM 3 HAFTA '!V56</f>
        <v>241</v>
      </c>
      <c r="G56" s="26">
        <f t="shared" si="4"/>
        <v>3.4593862999999998</v>
      </c>
      <c r="H56" s="22"/>
      <c r="I56" s="11">
        <f t="shared" si="5"/>
        <v>0</v>
      </c>
      <c r="J56" s="21">
        <v>0</v>
      </c>
      <c r="K56" s="10">
        <f t="shared" si="0"/>
        <v>0</v>
      </c>
      <c r="L56" s="21">
        <v>0</v>
      </c>
      <c r="M56" s="11">
        <f t="shared" si="1"/>
        <v>0</v>
      </c>
      <c r="N56" s="21">
        <v>0</v>
      </c>
      <c r="O56" s="10">
        <f t="shared" si="6"/>
        <v>0</v>
      </c>
      <c r="P56" s="21">
        <v>0</v>
      </c>
      <c r="Q56" s="11">
        <f t="shared" si="7"/>
        <v>0</v>
      </c>
      <c r="R56" s="39">
        <f t="shared" si="11"/>
        <v>241</v>
      </c>
      <c r="S56" s="38">
        <f t="shared" si="2"/>
        <v>3.4593862999999998</v>
      </c>
      <c r="T56" s="12"/>
      <c r="U56" s="13">
        <f t="shared" si="8"/>
        <v>0</v>
      </c>
      <c r="V56" s="49">
        <f t="shared" si="9"/>
        <v>241</v>
      </c>
      <c r="W56" s="50">
        <f t="shared" si="10"/>
        <v>3.4593862999999998</v>
      </c>
    </row>
    <row r="57" spans="1:23" ht="15.75" x14ac:dyDescent="0.25">
      <c r="A57" s="42" t="s">
        <v>55</v>
      </c>
      <c r="B57" s="111">
        <v>50</v>
      </c>
      <c r="C57" s="112">
        <v>45</v>
      </c>
      <c r="D57" s="112">
        <v>4</v>
      </c>
      <c r="E57" s="19">
        <f t="shared" si="3"/>
        <v>8.9999999999999993E-3</v>
      </c>
      <c r="F57" s="23">
        <f>'EKİM 3 HAFTA '!V57</f>
        <v>723</v>
      </c>
      <c r="G57" s="26">
        <f t="shared" si="4"/>
        <v>6.5069999999999997</v>
      </c>
      <c r="H57" s="22"/>
      <c r="I57" s="11">
        <f t="shared" si="5"/>
        <v>0</v>
      </c>
      <c r="J57" s="21">
        <v>0</v>
      </c>
      <c r="K57" s="10">
        <f t="shared" si="0"/>
        <v>0</v>
      </c>
      <c r="L57" s="21">
        <v>70</v>
      </c>
      <c r="M57" s="11">
        <f t="shared" si="1"/>
        <v>0.63</v>
      </c>
      <c r="N57" s="21">
        <v>0</v>
      </c>
      <c r="O57" s="10">
        <f t="shared" si="6"/>
        <v>0</v>
      </c>
      <c r="P57" s="21">
        <v>14</v>
      </c>
      <c r="Q57" s="11">
        <f t="shared" si="7"/>
        <v>0.126</v>
      </c>
      <c r="R57" s="39">
        <f t="shared" si="11"/>
        <v>639</v>
      </c>
      <c r="S57" s="38">
        <f t="shared" si="2"/>
        <v>5.7509999999999994</v>
      </c>
      <c r="T57" s="12"/>
      <c r="U57" s="13">
        <f t="shared" si="8"/>
        <v>0</v>
      </c>
      <c r="V57" s="49">
        <f t="shared" si="9"/>
        <v>639</v>
      </c>
      <c r="W57" s="50">
        <f t="shared" si="10"/>
        <v>5.7509999999999994</v>
      </c>
    </row>
    <row r="58" spans="1:23" ht="15.75" x14ac:dyDescent="0.25">
      <c r="A58" s="42" t="s">
        <v>56</v>
      </c>
      <c r="B58" s="111">
        <v>50</v>
      </c>
      <c r="C58" s="112">
        <v>35</v>
      </c>
      <c r="D58" s="112">
        <v>4</v>
      </c>
      <c r="E58" s="19">
        <f t="shared" si="3"/>
        <v>7.0000000000000001E-3</v>
      </c>
      <c r="F58" s="23">
        <f>'EKİM 3 HAFTA '!V58</f>
        <v>796</v>
      </c>
      <c r="G58" s="26">
        <f t="shared" si="4"/>
        <v>5.5720000000000001</v>
      </c>
      <c r="H58" s="22">
        <v>8</v>
      </c>
      <c r="I58" s="11">
        <f t="shared" si="5"/>
        <v>5.6000000000000001E-2</v>
      </c>
      <c r="J58" s="21">
        <v>0</v>
      </c>
      <c r="K58" s="10">
        <f t="shared" si="0"/>
        <v>0</v>
      </c>
      <c r="L58" s="21">
        <v>60</v>
      </c>
      <c r="M58" s="11">
        <f t="shared" si="1"/>
        <v>0.42</v>
      </c>
      <c r="N58" s="21">
        <v>0</v>
      </c>
      <c r="O58" s="10">
        <f t="shared" si="6"/>
        <v>0</v>
      </c>
      <c r="P58" s="21">
        <v>3</v>
      </c>
      <c r="Q58" s="11">
        <f t="shared" si="7"/>
        <v>2.1000000000000001E-2</v>
      </c>
      <c r="R58" s="39">
        <f t="shared" si="11"/>
        <v>725</v>
      </c>
      <c r="S58" s="38">
        <f t="shared" si="2"/>
        <v>5.0750000000000002</v>
      </c>
      <c r="T58" s="12"/>
      <c r="U58" s="13">
        <f t="shared" si="8"/>
        <v>0</v>
      </c>
      <c r="V58" s="49">
        <f t="shared" si="9"/>
        <v>725</v>
      </c>
      <c r="W58" s="50">
        <f t="shared" si="10"/>
        <v>5.0750000000000002</v>
      </c>
    </row>
    <row r="59" spans="1:23" ht="15.75" x14ac:dyDescent="0.25">
      <c r="A59" s="42" t="s">
        <v>57</v>
      </c>
      <c r="B59" s="111">
        <v>45</v>
      </c>
      <c r="C59" s="112">
        <v>50</v>
      </c>
      <c r="D59" s="112">
        <v>3</v>
      </c>
      <c r="E59" s="19">
        <f t="shared" si="3"/>
        <v>6.7499999999999999E-3</v>
      </c>
      <c r="F59" s="23">
        <f>'EKİM 3 HAFTA '!V59</f>
        <v>0</v>
      </c>
      <c r="G59" s="26">
        <f t="shared" si="4"/>
        <v>0</v>
      </c>
      <c r="H59" s="22"/>
      <c r="I59" s="11">
        <f t="shared" si="5"/>
        <v>0</v>
      </c>
      <c r="J59" s="21">
        <v>0</v>
      </c>
      <c r="K59" s="10">
        <f t="shared" si="0"/>
        <v>0</v>
      </c>
      <c r="L59" s="21">
        <v>0</v>
      </c>
      <c r="M59" s="11">
        <f t="shared" si="1"/>
        <v>0</v>
      </c>
      <c r="N59" s="21">
        <v>0</v>
      </c>
      <c r="O59" s="10">
        <f t="shared" si="6"/>
        <v>0</v>
      </c>
      <c r="P59" s="21">
        <v>0</v>
      </c>
      <c r="Q59" s="11">
        <f t="shared" si="7"/>
        <v>0</v>
      </c>
      <c r="R59" s="39">
        <f t="shared" si="11"/>
        <v>0</v>
      </c>
      <c r="S59" s="38">
        <f t="shared" si="2"/>
        <v>0</v>
      </c>
      <c r="T59" s="12"/>
      <c r="U59" s="13">
        <f t="shared" si="8"/>
        <v>0</v>
      </c>
      <c r="V59" s="49">
        <f t="shared" si="9"/>
        <v>0</v>
      </c>
      <c r="W59" s="50">
        <f t="shared" si="10"/>
        <v>0</v>
      </c>
    </row>
    <row r="60" spans="1:23" ht="15.75" x14ac:dyDescent="0.25">
      <c r="A60" s="42" t="s">
        <v>58</v>
      </c>
      <c r="B60" s="111">
        <v>50</v>
      </c>
      <c r="C60" s="112">
        <v>35</v>
      </c>
      <c r="D60" s="112">
        <v>3</v>
      </c>
      <c r="E60" s="19">
        <f t="shared" si="3"/>
        <v>5.2500000000000003E-3</v>
      </c>
      <c r="F60" s="23">
        <f>'EKİM 3 HAFTA '!V60</f>
        <v>0</v>
      </c>
      <c r="G60" s="26">
        <f t="shared" si="4"/>
        <v>0</v>
      </c>
      <c r="H60" s="22"/>
      <c r="I60" s="11">
        <f t="shared" si="5"/>
        <v>0</v>
      </c>
      <c r="J60" s="21">
        <v>0</v>
      </c>
      <c r="K60" s="10">
        <f t="shared" si="0"/>
        <v>0</v>
      </c>
      <c r="L60" s="21">
        <v>0</v>
      </c>
      <c r="M60" s="11">
        <f t="shared" si="1"/>
        <v>0</v>
      </c>
      <c r="N60" s="21">
        <v>0</v>
      </c>
      <c r="O60" s="10">
        <f t="shared" si="6"/>
        <v>0</v>
      </c>
      <c r="P60" s="21">
        <v>0</v>
      </c>
      <c r="Q60" s="11">
        <f t="shared" si="7"/>
        <v>0</v>
      </c>
      <c r="R60" s="39">
        <f t="shared" si="11"/>
        <v>0</v>
      </c>
      <c r="S60" s="38">
        <f t="shared" si="2"/>
        <v>0</v>
      </c>
      <c r="T60" s="12"/>
      <c r="U60" s="13">
        <f t="shared" si="8"/>
        <v>0</v>
      </c>
      <c r="V60" s="49">
        <f t="shared" si="9"/>
        <v>0</v>
      </c>
      <c r="W60" s="50">
        <f t="shared" si="10"/>
        <v>0</v>
      </c>
    </row>
    <row r="61" spans="1:23" ht="15.75" x14ac:dyDescent="0.25">
      <c r="A61" s="42" t="s">
        <v>59</v>
      </c>
      <c r="B61" s="111">
        <v>42</v>
      </c>
      <c r="C61" s="112">
        <v>36</v>
      </c>
      <c r="D61" s="112">
        <v>4</v>
      </c>
      <c r="E61" s="19">
        <f t="shared" si="3"/>
        <v>6.0480000000000004E-3</v>
      </c>
      <c r="F61" s="23">
        <f>'EKİM 3 HAFTA '!V61</f>
        <v>0</v>
      </c>
      <c r="G61" s="26">
        <f t="shared" si="4"/>
        <v>0</v>
      </c>
      <c r="H61" s="22"/>
      <c r="I61" s="11">
        <f t="shared" si="5"/>
        <v>0</v>
      </c>
      <c r="J61" s="21">
        <v>0</v>
      </c>
      <c r="K61" s="10">
        <f t="shared" si="0"/>
        <v>0</v>
      </c>
      <c r="L61" s="21">
        <v>0</v>
      </c>
      <c r="M61" s="11">
        <f t="shared" si="1"/>
        <v>0</v>
      </c>
      <c r="N61" s="21">
        <v>0</v>
      </c>
      <c r="O61" s="10">
        <f t="shared" si="6"/>
        <v>0</v>
      </c>
      <c r="P61" s="21">
        <v>0</v>
      </c>
      <c r="Q61" s="11">
        <f t="shared" si="7"/>
        <v>0</v>
      </c>
      <c r="R61" s="39">
        <f t="shared" si="11"/>
        <v>0</v>
      </c>
      <c r="S61" s="38">
        <f t="shared" si="2"/>
        <v>0</v>
      </c>
      <c r="T61" s="12"/>
      <c r="U61" s="13">
        <f t="shared" si="8"/>
        <v>0</v>
      </c>
      <c r="V61" s="49">
        <f t="shared" si="9"/>
        <v>0</v>
      </c>
      <c r="W61" s="50">
        <f t="shared" si="10"/>
        <v>0</v>
      </c>
    </row>
    <row r="62" spans="1:23" ht="15.75" x14ac:dyDescent="0.25">
      <c r="A62" s="42" t="s">
        <v>60</v>
      </c>
      <c r="B62" s="111">
        <v>50</v>
      </c>
      <c r="C62" s="112">
        <v>35</v>
      </c>
      <c r="D62" s="112">
        <v>3</v>
      </c>
      <c r="E62" s="19">
        <f t="shared" si="3"/>
        <v>5.2500000000000003E-3</v>
      </c>
      <c r="F62" s="23">
        <f>'EKİM 3 HAFTA '!V62</f>
        <v>1532</v>
      </c>
      <c r="G62" s="26">
        <f t="shared" si="4"/>
        <v>8.043000000000001</v>
      </c>
      <c r="H62" s="22"/>
      <c r="I62" s="11">
        <f t="shared" si="5"/>
        <v>0</v>
      </c>
      <c r="J62" s="21">
        <v>0</v>
      </c>
      <c r="K62" s="10">
        <f t="shared" si="0"/>
        <v>0</v>
      </c>
      <c r="L62" s="21">
        <v>0</v>
      </c>
      <c r="M62" s="11">
        <f t="shared" si="1"/>
        <v>0</v>
      </c>
      <c r="N62" s="21">
        <v>0</v>
      </c>
      <c r="O62" s="10">
        <f t="shared" si="6"/>
        <v>0</v>
      </c>
      <c r="P62" s="21">
        <v>0</v>
      </c>
      <c r="Q62" s="11">
        <f t="shared" si="7"/>
        <v>0</v>
      </c>
      <c r="R62" s="39">
        <f t="shared" si="11"/>
        <v>1532</v>
      </c>
      <c r="S62" s="38">
        <f t="shared" si="2"/>
        <v>8.043000000000001</v>
      </c>
      <c r="T62" s="12"/>
      <c r="U62" s="13">
        <f t="shared" si="8"/>
        <v>0</v>
      </c>
      <c r="V62" s="49">
        <f t="shared" si="9"/>
        <v>1532</v>
      </c>
      <c r="W62" s="50">
        <f t="shared" si="10"/>
        <v>8.043000000000001</v>
      </c>
    </row>
    <row r="63" spans="1:23" ht="15.75" x14ac:dyDescent="0.25">
      <c r="A63" s="43" t="s">
        <v>61</v>
      </c>
      <c r="B63" s="111">
        <v>45</v>
      </c>
      <c r="C63" s="112">
        <v>50</v>
      </c>
      <c r="D63" s="112">
        <v>3</v>
      </c>
      <c r="E63" s="19">
        <f t="shared" si="3"/>
        <v>6.7499999999999999E-3</v>
      </c>
      <c r="F63" s="23">
        <f>'EKİM 3 HAFTA '!V63</f>
        <v>1050</v>
      </c>
      <c r="G63" s="26">
        <f t="shared" si="4"/>
        <v>7.0875000000000004</v>
      </c>
      <c r="H63" s="22"/>
      <c r="I63" s="11">
        <f t="shared" si="5"/>
        <v>0</v>
      </c>
      <c r="J63" s="21">
        <v>0</v>
      </c>
      <c r="K63" s="10">
        <f t="shared" si="0"/>
        <v>0</v>
      </c>
      <c r="L63" s="21">
        <v>0</v>
      </c>
      <c r="M63" s="11">
        <f t="shared" si="1"/>
        <v>0</v>
      </c>
      <c r="N63" s="21">
        <v>0</v>
      </c>
      <c r="O63" s="10">
        <f t="shared" si="6"/>
        <v>0</v>
      </c>
      <c r="P63" s="21">
        <v>0</v>
      </c>
      <c r="Q63" s="11">
        <f t="shared" si="7"/>
        <v>0</v>
      </c>
      <c r="R63" s="39">
        <f t="shared" si="11"/>
        <v>1050</v>
      </c>
      <c r="S63" s="38">
        <f t="shared" si="2"/>
        <v>7.0875000000000004</v>
      </c>
      <c r="T63" s="12"/>
      <c r="U63" s="13">
        <f t="shared" si="8"/>
        <v>0</v>
      </c>
      <c r="V63" s="49">
        <f t="shared" si="9"/>
        <v>1050</v>
      </c>
      <c r="W63" s="50">
        <f t="shared" si="10"/>
        <v>7.0875000000000004</v>
      </c>
    </row>
    <row r="64" spans="1:23" ht="15.75" thickBot="1" x14ac:dyDescent="0.3">
      <c r="A64" s="44" t="s">
        <v>90</v>
      </c>
      <c r="B64" s="36">
        <v>140</v>
      </c>
      <c r="C64" s="37">
        <v>9.5</v>
      </c>
      <c r="D64" s="37">
        <v>6.5</v>
      </c>
      <c r="E64" s="20">
        <f t="shared" si="3"/>
        <v>8.6449999999999999E-3</v>
      </c>
      <c r="F64" s="23">
        <f>'EKİM 3 HAFTA '!V64</f>
        <v>0</v>
      </c>
      <c r="G64" s="27">
        <f t="shared" si="4"/>
        <v>0</v>
      </c>
      <c r="H64" s="45"/>
      <c r="I64" s="100">
        <f t="shared" si="5"/>
        <v>0</v>
      </c>
      <c r="J64" s="21">
        <v>0</v>
      </c>
      <c r="K64" s="48">
        <f t="shared" si="0"/>
        <v>0</v>
      </c>
      <c r="L64" s="21">
        <v>0</v>
      </c>
      <c r="M64" s="46">
        <f t="shared" si="1"/>
        <v>0</v>
      </c>
      <c r="N64" s="21">
        <v>0</v>
      </c>
      <c r="O64" s="48">
        <f t="shared" si="6"/>
        <v>0</v>
      </c>
      <c r="P64" s="21">
        <v>0</v>
      </c>
      <c r="Q64" s="46">
        <f t="shared" si="7"/>
        <v>0</v>
      </c>
      <c r="R64" s="40">
        <f t="shared" si="11"/>
        <v>0</v>
      </c>
      <c r="S64" s="41">
        <f t="shared" si="2"/>
        <v>0</v>
      </c>
      <c r="T64" s="51"/>
      <c r="U64" s="13">
        <f t="shared" si="8"/>
        <v>0</v>
      </c>
      <c r="V64" s="49">
        <f t="shared" si="9"/>
        <v>0</v>
      </c>
      <c r="W64" s="50">
        <f t="shared" si="10"/>
        <v>0</v>
      </c>
    </row>
    <row r="65" spans="1:23" ht="16.5" thickBot="1" x14ac:dyDescent="0.3">
      <c r="A65" s="91" t="s">
        <v>79</v>
      </c>
      <c r="B65" s="112">
        <v>90</v>
      </c>
      <c r="C65" s="112">
        <v>83</v>
      </c>
      <c r="D65" s="112">
        <v>2</v>
      </c>
      <c r="E65" s="114">
        <f t="shared" si="3"/>
        <v>1.494E-2</v>
      </c>
      <c r="F65" s="23">
        <f>'EKİM 3 HAFTA '!V65</f>
        <v>274</v>
      </c>
      <c r="G65" s="116">
        <f t="shared" si="4"/>
        <v>4.0935600000000001</v>
      </c>
      <c r="H65" s="127">
        <v>0</v>
      </c>
      <c r="I65" s="127">
        <f t="shared" si="5"/>
        <v>0</v>
      </c>
      <c r="J65" s="21">
        <v>0</v>
      </c>
      <c r="K65" s="119">
        <f t="shared" si="0"/>
        <v>0</v>
      </c>
      <c r="L65" s="21">
        <v>0</v>
      </c>
      <c r="M65" s="120">
        <f t="shared" si="1"/>
        <v>0</v>
      </c>
      <c r="N65" s="21">
        <v>0</v>
      </c>
      <c r="O65" s="121">
        <f t="shared" si="6"/>
        <v>0</v>
      </c>
      <c r="P65" s="21">
        <v>0</v>
      </c>
      <c r="Q65" s="46">
        <f t="shared" si="7"/>
        <v>0</v>
      </c>
      <c r="R65" s="122">
        <f t="shared" si="11"/>
        <v>274</v>
      </c>
      <c r="S65" s="123">
        <f t="shared" si="2"/>
        <v>4.0935600000000001</v>
      </c>
      <c r="T65" s="138">
        <v>0</v>
      </c>
      <c r="U65" s="139">
        <f t="shared" si="8"/>
        <v>0</v>
      </c>
      <c r="V65" s="141">
        <f t="shared" si="9"/>
        <v>274</v>
      </c>
      <c r="W65" s="50">
        <f t="shared" si="10"/>
        <v>4.0935600000000001</v>
      </c>
    </row>
    <row r="66" spans="1:23" ht="16.5" thickBot="1" x14ac:dyDescent="0.3">
      <c r="A66" s="102" t="s">
        <v>80</v>
      </c>
      <c r="B66" s="113">
        <v>92</v>
      </c>
      <c r="C66" s="113">
        <v>82</v>
      </c>
      <c r="D66" s="113">
        <v>2</v>
      </c>
      <c r="E66" s="124">
        <f t="shared" si="3"/>
        <v>1.5088000000000001E-2</v>
      </c>
      <c r="F66" s="23">
        <f>'EKİM 3 HAFTA '!V66</f>
        <v>310</v>
      </c>
      <c r="G66" s="125">
        <f t="shared" si="4"/>
        <v>4.6772800000000005</v>
      </c>
      <c r="H66" s="128">
        <v>4</v>
      </c>
      <c r="I66" s="127">
        <f t="shared" si="5"/>
        <v>6.0352000000000003E-2</v>
      </c>
      <c r="J66" s="21">
        <v>44</v>
      </c>
      <c r="K66" s="119">
        <f t="shared" si="0"/>
        <v>0.66387200000000002</v>
      </c>
      <c r="L66" s="21">
        <v>0</v>
      </c>
      <c r="M66" s="120">
        <f t="shared" si="1"/>
        <v>0</v>
      </c>
      <c r="N66" s="21">
        <v>0</v>
      </c>
      <c r="O66" s="121">
        <f t="shared" si="6"/>
        <v>0</v>
      </c>
      <c r="P66" s="21">
        <v>0</v>
      </c>
      <c r="Q66" s="46">
        <f t="shared" si="7"/>
        <v>0</v>
      </c>
      <c r="R66" s="122">
        <f t="shared" si="11"/>
        <v>262</v>
      </c>
      <c r="S66" s="123">
        <f t="shared" si="2"/>
        <v>3.9530560000000001</v>
      </c>
      <c r="T66" s="172">
        <v>0</v>
      </c>
      <c r="U66" s="139">
        <f t="shared" si="8"/>
        <v>0</v>
      </c>
      <c r="V66" s="141">
        <f t="shared" si="9"/>
        <v>262</v>
      </c>
      <c r="W66" s="107">
        <f t="shared" si="10"/>
        <v>3.9530560000000001</v>
      </c>
    </row>
    <row r="67" spans="1:23" ht="15.75" thickBot="1" x14ac:dyDescent="0.3">
      <c r="A67" s="108" t="s">
        <v>82</v>
      </c>
      <c r="B67" s="35">
        <v>82</v>
      </c>
      <c r="C67" s="35">
        <v>80</v>
      </c>
      <c r="D67" s="35">
        <v>2</v>
      </c>
      <c r="E67" s="114">
        <f t="shared" si="3"/>
        <v>1.312E-2</v>
      </c>
      <c r="F67" s="23">
        <f>'EKİM 3 HAFTA '!V67</f>
        <v>370</v>
      </c>
      <c r="G67" s="110">
        <f t="shared" si="4"/>
        <v>4.8544</v>
      </c>
      <c r="H67" s="115">
        <v>195</v>
      </c>
      <c r="I67" s="115">
        <f t="shared" si="5"/>
        <v>2.5583999999999998</v>
      </c>
      <c r="J67" s="21">
        <v>0</v>
      </c>
      <c r="K67" s="48">
        <f t="shared" si="0"/>
        <v>0</v>
      </c>
      <c r="L67" s="21">
        <v>0</v>
      </c>
      <c r="M67" s="11">
        <f t="shared" si="1"/>
        <v>0</v>
      </c>
      <c r="N67" s="21">
        <v>0</v>
      </c>
      <c r="O67" s="10">
        <f t="shared" si="6"/>
        <v>0</v>
      </c>
      <c r="P67" s="21">
        <v>0</v>
      </c>
      <c r="Q67" s="46">
        <f t="shared" si="7"/>
        <v>0</v>
      </c>
      <c r="R67" s="86">
        <f t="shared" si="11"/>
        <v>175</v>
      </c>
      <c r="S67" s="87">
        <f t="shared" si="2"/>
        <v>2.2959999999999998</v>
      </c>
      <c r="T67" s="138"/>
      <c r="U67" s="139">
        <f t="shared" si="5"/>
        <v>0</v>
      </c>
      <c r="V67" s="141">
        <f t="shared" si="9"/>
        <v>175</v>
      </c>
      <c r="W67" s="107">
        <f t="shared" si="10"/>
        <v>2.2959999999999998</v>
      </c>
    </row>
    <row r="68" spans="1:23" ht="15.75" thickBot="1" x14ac:dyDescent="0.3">
      <c r="A68" s="108" t="s">
        <v>83</v>
      </c>
      <c r="B68" s="35">
        <v>86</v>
      </c>
      <c r="C68" s="35">
        <v>77</v>
      </c>
      <c r="D68" s="35">
        <v>8</v>
      </c>
      <c r="E68" s="114">
        <f t="shared" si="3"/>
        <v>5.2976000000000002E-2</v>
      </c>
      <c r="F68" s="23">
        <f>'EKİM 3 HAFTA '!V68</f>
        <v>54</v>
      </c>
      <c r="G68" s="110">
        <f t="shared" si="4"/>
        <v>2.8607040000000001</v>
      </c>
      <c r="H68" s="115">
        <v>18</v>
      </c>
      <c r="I68" s="115">
        <f t="shared" ref="I68:U72" si="12">E68*H68</f>
        <v>0.95356800000000008</v>
      </c>
      <c r="J68" s="21">
        <v>0</v>
      </c>
      <c r="K68" s="48">
        <f t="shared" si="0"/>
        <v>0</v>
      </c>
      <c r="L68" s="21">
        <v>0</v>
      </c>
      <c r="M68" s="11">
        <v>0</v>
      </c>
      <c r="N68" s="21">
        <v>4</v>
      </c>
      <c r="O68" s="10">
        <f t="shared" si="6"/>
        <v>0.21190400000000001</v>
      </c>
      <c r="P68" s="21">
        <v>0</v>
      </c>
      <c r="Q68" s="46">
        <f t="shared" si="7"/>
        <v>0</v>
      </c>
      <c r="R68" s="86">
        <f t="shared" si="11"/>
        <v>32</v>
      </c>
      <c r="S68" s="87">
        <f t="shared" si="2"/>
        <v>1.6952320000000001</v>
      </c>
      <c r="T68" s="138"/>
      <c r="U68" s="139">
        <f t="shared" si="12"/>
        <v>0</v>
      </c>
      <c r="V68" s="141">
        <f t="shared" si="9"/>
        <v>32</v>
      </c>
      <c r="W68" s="107">
        <f t="shared" si="10"/>
        <v>1.6952320000000001</v>
      </c>
    </row>
    <row r="69" spans="1:23" ht="15.75" thickBot="1" x14ac:dyDescent="0.3">
      <c r="A69" s="108" t="s">
        <v>84</v>
      </c>
      <c r="B69" s="35">
        <v>76</v>
      </c>
      <c r="C69" s="35">
        <v>75</v>
      </c>
      <c r="D69" s="35">
        <v>8</v>
      </c>
      <c r="E69" s="114">
        <f t="shared" si="3"/>
        <v>4.5600000000000002E-2</v>
      </c>
      <c r="F69" s="23">
        <f>'EKİM 3 HAFTA '!V69</f>
        <v>86</v>
      </c>
      <c r="G69" s="110">
        <f t="shared" si="4"/>
        <v>3.9216000000000002</v>
      </c>
      <c r="H69" s="115">
        <v>36</v>
      </c>
      <c r="I69" s="115">
        <f t="shared" si="12"/>
        <v>1.6415999999999999</v>
      </c>
      <c r="J69" s="21">
        <v>0</v>
      </c>
      <c r="K69" s="48">
        <f t="shared" ref="K69:K72" si="13">E69*J69</f>
        <v>0</v>
      </c>
      <c r="L69" s="115"/>
      <c r="M69" s="11">
        <f t="shared" ref="M69" si="14">E69*L69</f>
        <v>0</v>
      </c>
      <c r="N69" s="21">
        <v>0</v>
      </c>
      <c r="O69" s="10">
        <f t="shared" si="6"/>
        <v>0</v>
      </c>
      <c r="P69" s="21">
        <v>0</v>
      </c>
      <c r="Q69" s="46">
        <f t="shared" si="7"/>
        <v>0</v>
      </c>
      <c r="R69" s="86">
        <f t="shared" si="11"/>
        <v>50</v>
      </c>
      <c r="S69" s="87">
        <f t="shared" ref="S69:S72" si="15">E69*R69</f>
        <v>2.2800000000000002</v>
      </c>
      <c r="T69" s="138"/>
      <c r="U69" s="139">
        <f t="shared" si="12"/>
        <v>0</v>
      </c>
      <c r="V69" s="141">
        <f t="shared" si="9"/>
        <v>50</v>
      </c>
      <c r="W69" s="107">
        <f t="shared" si="10"/>
        <v>2.2800000000000002</v>
      </c>
    </row>
    <row r="70" spans="1:23" ht="15.75" thickBot="1" x14ac:dyDescent="0.3">
      <c r="A70" s="108" t="s">
        <v>85</v>
      </c>
      <c r="B70" s="35">
        <v>140</v>
      </c>
      <c r="C70" s="35">
        <v>240</v>
      </c>
      <c r="D70" s="35">
        <v>12</v>
      </c>
      <c r="E70" s="114">
        <f t="shared" ref="E70:E72" si="16">(B70*C70*D70)/1000000</f>
        <v>0.4032</v>
      </c>
      <c r="F70" s="23">
        <f>'EKİM 3 HAFTA '!V70</f>
        <v>4</v>
      </c>
      <c r="G70" s="110">
        <f t="shared" ref="G70:G72" si="17">E70*F70</f>
        <v>1.6128</v>
      </c>
      <c r="H70" s="115"/>
      <c r="I70" s="115">
        <f t="shared" si="12"/>
        <v>0</v>
      </c>
      <c r="J70" s="21">
        <v>0</v>
      </c>
      <c r="K70" s="48">
        <f t="shared" si="13"/>
        <v>0</v>
      </c>
      <c r="L70" s="115"/>
      <c r="M70" s="100">
        <f t="shared" ref="M70" si="18">I70*L70</f>
        <v>0</v>
      </c>
      <c r="N70" s="21">
        <v>0</v>
      </c>
      <c r="O70" s="10">
        <f t="shared" ref="O70:O72" si="19">E70*N70</f>
        <v>0</v>
      </c>
      <c r="P70" s="21">
        <v>0</v>
      </c>
      <c r="Q70" s="46">
        <f t="shared" ref="Q70:Q72" si="20">E70*P70</f>
        <v>0</v>
      </c>
      <c r="R70" s="86">
        <f t="shared" si="11"/>
        <v>4</v>
      </c>
      <c r="S70" s="87">
        <f t="shared" si="15"/>
        <v>1.6128</v>
      </c>
      <c r="T70" s="138"/>
      <c r="U70" s="139">
        <f t="shared" si="12"/>
        <v>0</v>
      </c>
      <c r="V70" s="141">
        <f t="shared" ref="V70:V72" si="21">R70+T70</f>
        <v>4</v>
      </c>
      <c r="W70" s="107">
        <f t="shared" ref="W70:W72" si="22">E70*V70</f>
        <v>1.6128</v>
      </c>
    </row>
    <row r="71" spans="1:23" x14ac:dyDescent="0.25">
      <c r="A71" s="108" t="s">
        <v>96</v>
      </c>
      <c r="B71" s="130">
        <v>140</v>
      </c>
      <c r="C71" s="130">
        <v>240</v>
      </c>
      <c r="D71" s="130">
        <v>2</v>
      </c>
      <c r="E71" s="131">
        <f t="shared" si="16"/>
        <v>6.7199999999999996E-2</v>
      </c>
      <c r="F71" s="23">
        <f>'EKİM 3 HAFTA '!V71</f>
        <v>102</v>
      </c>
      <c r="G71" s="135">
        <f t="shared" si="17"/>
        <v>6.8543999999999992</v>
      </c>
      <c r="H71" s="115">
        <v>6</v>
      </c>
      <c r="I71" s="115">
        <f t="shared" si="12"/>
        <v>0.4032</v>
      </c>
      <c r="J71" s="154">
        <v>4</v>
      </c>
      <c r="K71" s="173">
        <f t="shared" si="13"/>
        <v>0.26879999999999998</v>
      </c>
      <c r="L71" s="154"/>
      <c r="M71" s="11">
        <f t="shared" ref="M71:M72" si="23">E71*L71</f>
        <v>0</v>
      </c>
      <c r="N71" s="154">
        <v>6</v>
      </c>
      <c r="O71" s="173">
        <f t="shared" si="19"/>
        <v>0.4032</v>
      </c>
      <c r="P71" s="154">
        <v>4</v>
      </c>
      <c r="Q71" s="154">
        <f t="shared" si="20"/>
        <v>0.26879999999999998</v>
      </c>
      <c r="R71" s="86">
        <f t="shared" ref="R71:R72" si="24">F71-H71-J71-L71-N71-P71</f>
        <v>82</v>
      </c>
      <c r="S71" s="97">
        <f t="shared" si="15"/>
        <v>5.5103999999999997</v>
      </c>
      <c r="T71" s="138">
        <v>0</v>
      </c>
      <c r="U71" s="139">
        <f t="shared" ref="U71:U72" si="25">E71*T71</f>
        <v>0</v>
      </c>
      <c r="V71" s="141">
        <f t="shared" si="21"/>
        <v>82</v>
      </c>
      <c r="W71" s="141">
        <f t="shared" si="22"/>
        <v>5.5103999999999997</v>
      </c>
    </row>
    <row r="72" spans="1:23" x14ac:dyDescent="0.25">
      <c r="A72" s="108" t="s">
        <v>95</v>
      </c>
      <c r="B72" s="132">
        <v>61</v>
      </c>
      <c r="C72" s="132">
        <v>61</v>
      </c>
      <c r="D72" s="132">
        <v>3</v>
      </c>
      <c r="E72" s="133">
        <f t="shared" si="16"/>
        <v>1.1162999999999999E-2</v>
      </c>
      <c r="F72" s="23">
        <f>'EKİM 3 HAFTA '!V72</f>
        <v>292</v>
      </c>
      <c r="G72" s="136">
        <f t="shared" si="17"/>
        <v>3.2595959999999997</v>
      </c>
      <c r="H72" s="115"/>
      <c r="I72" s="115">
        <f t="shared" si="12"/>
        <v>0</v>
      </c>
      <c r="J72" s="115"/>
      <c r="K72" s="174">
        <f t="shared" si="13"/>
        <v>0</v>
      </c>
      <c r="L72" s="115"/>
      <c r="M72" s="11">
        <f t="shared" si="23"/>
        <v>0</v>
      </c>
      <c r="N72" s="115">
        <v>0</v>
      </c>
      <c r="O72" s="174">
        <f t="shared" si="19"/>
        <v>0</v>
      </c>
      <c r="P72" s="115"/>
      <c r="Q72" s="115">
        <f t="shared" si="20"/>
        <v>0</v>
      </c>
      <c r="R72" s="86">
        <f t="shared" si="24"/>
        <v>292</v>
      </c>
      <c r="S72" s="97">
        <f t="shared" si="15"/>
        <v>3.2595959999999997</v>
      </c>
      <c r="T72" s="138">
        <v>0</v>
      </c>
      <c r="U72" s="139">
        <f t="shared" si="25"/>
        <v>0</v>
      </c>
      <c r="V72" s="141">
        <f t="shared" si="21"/>
        <v>292</v>
      </c>
      <c r="W72" s="141">
        <f t="shared" si="22"/>
        <v>3.2595959999999997</v>
      </c>
    </row>
  </sheetData>
  <mergeCells count="24">
    <mergeCell ref="B1:G1"/>
    <mergeCell ref="F2:G3"/>
    <mergeCell ref="H2:I2"/>
    <mergeCell ref="J2:K2"/>
    <mergeCell ref="L2:M2"/>
    <mergeCell ref="P2:Q2"/>
    <mergeCell ref="R2:S3"/>
    <mergeCell ref="T2:U3"/>
    <mergeCell ref="V2:W3"/>
    <mergeCell ref="H3:I3"/>
    <mergeCell ref="J3:K3"/>
    <mergeCell ref="L3:M3"/>
    <mergeCell ref="N3:O3"/>
    <mergeCell ref="P3:Q3"/>
    <mergeCell ref="N2:O2"/>
    <mergeCell ref="R4:S4"/>
    <mergeCell ref="T4:U4"/>
    <mergeCell ref="V4:W4"/>
    <mergeCell ref="F4:G4"/>
    <mergeCell ref="H4:I4"/>
    <mergeCell ref="J4:K4"/>
    <mergeCell ref="L4:M4"/>
    <mergeCell ref="N4:O4"/>
    <mergeCell ref="P4:Q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73"/>
  <sheetViews>
    <sheetView topLeftCell="A43" workbookViewId="0">
      <selection activeCell="G64" sqref="G64"/>
    </sheetView>
  </sheetViews>
  <sheetFormatPr defaultRowHeight="15" x14ac:dyDescent="0.25"/>
  <cols>
    <col min="1" max="1" width="23.85546875" style="3" customWidth="1"/>
    <col min="2" max="4" width="6.140625" style="2" hidden="1" customWidth="1"/>
    <col min="5" max="5" width="9" style="4" hidden="1" customWidth="1"/>
    <col min="6" max="7" width="9" style="5" customWidth="1"/>
    <col min="8" max="19" width="8.140625" style="2" customWidth="1"/>
  </cols>
  <sheetData>
    <row r="1" spans="1:23" ht="15.75" thickBot="1" x14ac:dyDescent="0.3">
      <c r="A1" s="4" t="s">
        <v>18</v>
      </c>
      <c r="B1" s="320" t="s">
        <v>94</v>
      </c>
      <c r="C1" s="320"/>
      <c r="D1" s="320"/>
      <c r="E1" s="320"/>
      <c r="F1" s="320"/>
      <c r="G1" s="320"/>
    </row>
    <row r="2" spans="1:23" s="1" customFormat="1" ht="15.75" thickBot="1" x14ac:dyDescent="0.3">
      <c r="A2" s="8" t="s">
        <v>0</v>
      </c>
      <c r="B2" s="28"/>
      <c r="C2" s="29"/>
      <c r="D2" s="29"/>
      <c r="E2" s="14"/>
      <c r="F2" s="321" t="s">
        <v>1</v>
      </c>
      <c r="G2" s="322"/>
      <c r="H2" s="325">
        <v>44865</v>
      </c>
      <c r="I2" s="326"/>
      <c r="J2" s="327">
        <v>44866</v>
      </c>
      <c r="K2" s="328"/>
      <c r="L2" s="325">
        <v>44867</v>
      </c>
      <c r="M2" s="329"/>
      <c r="N2" s="327">
        <v>44868</v>
      </c>
      <c r="O2" s="346"/>
      <c r="P2" s="325">
        <v>44869</v>
      </c>
      <c r="Q2" s="329"/>
      <c r="R2" s="330" t="s">
        <v>69</v>
      </c>
      <c r="S2" s="331"/>
      <c r="T2" s="334" t="s">
        <v>70</v>
      </c>
      <c r="U2" s="335"/>
      <c r="V2" s="338" t="s">
        <v>71</v>
      </c>
      <c r="W2" s="339"/>
    </row>
    <row r="3" spans="1:23" s="1" customFormat="1" ht="15.75" thickBot="1" x14ac:dyDescent="0.3">
      <c r="A3" s="7"/>
      <c r="B3" s="30"/>
      <c r="C3" s="31"/>
      <c r="D3" s="31"/>
      <c r="E3" s="15"/>
      <c r="F3" s="323"/>
      <c r="G3" s="324"/>
      <c r="H3" s="342" t="s">
        <v>68</v>
      </c>
      <c r="I3" s="343"/>
      <c r="J3" s="344" t="s">
        <v>68</v>
      </c>
      <c r="K3" s="345"/>
      <c r="L3" s="342" t="s">
        <v>68</v>
      </c>
      <c r="M3" s="343"/>
      <c r="N3" s="344" t="s">
        <v>68</v>
      </c>
      <c r="O3" s="345"/>
      <c r="P3" s="342" t="s">
        <v>68</v>
      </c>
      <c r="Q3" s="343"/>
      <c r="R3" s="332"/>
      <c r="S3" s="333"/>
      <c r="T3" s="336"/>
      <c r="U3" s="337"/>
      <c r="V3" s="340"/>
      <c r="W3" s="341"/>
    </row>
    <row r="4" spans="1:23" ht="15.75" thickBot="1" x14ac:dyDescent="0.3">
      <c r="A4" s="42"/>
      <c r="B4" s="16" t="s">
        <v>65</v>
      </c>
      <c r="C4" s="17" t="s">
        <v>66</v>
      </c>
      <c r="D4" s="17" t="s">
        <v>67</v>
      </c>
      <c r="E4" s="18" t="s">
        <v>64</v>
      </c>
      <c r="F4" s="323" t="s">
        <v>63</v>
      </c>
      <c r="G4" s="324"/>
      <c r="H4" s="353" t="s">
        <v>63</v>
      </c>
      <c r="I4" s="354"/>
      <c r="J4" s="355" t="s">
        <v>63</v>
      </c>
      <c r="K4" s="356"/>
      <c r="L4" s="353" t="s">
        <v>63</v>
      </c>
      <c r="M4" s="354"/>
      <c r="N4" s="355" t="s">
        <v>63</v>
      </c>
      <c r="O4" s="356"/>
      <c r="P4" s="353" t="s">
        <v>63</v>
      </c>
      <c r="Q4" s="354"/>
      <c r="R4" s="347" t="s">
        <v>63</v>
      </c>
      <c r="S4" s="348"/>
      <c r="T4" s="349" t="s">
        <v>63</v>
      </c>
      <c r="U4" s="350"/>
      <c r="V4" s="351" t="s">
        <v>63</v>
      </c>
      <c r="W4" s="357"/>
    </row>
    <row r="5" spans="1:23" x14ac:dyDescent="0.25">
      <c r="A5" s="42" t="s">
        <v>2</v>
      </c>
      <c r="B5" s="32">
        <v>140</v>
      </c>
      <c r="C5" s="33">
        <v>240</v>
      </c>
      <c r="D5" s="33">
        <v>1</v>
      </c>
      <c r="E5" s="15">
        <f>(B5*C5*D5)/1000000</f>
        <v>3.3599999999999998E-2</v>
      </c>
      <c r="F5" s="23">
        <f>'EKİM 4 HAFTA '!V5</f>
        <v>118</v>
      </c>
      <c r="G5" s="24">
        <f>E5*F5</f>
        <v>3.9647999999999999</v>
      </c>
      <c r="H5" s="21">
        <v>0</v>
      </c>
      <c r="I5" s="11">
        <f>E5*H5</f>
        <v>0</v>
      </c>
      <c r="J5" s="21">
        <v>63</v>
      </c>
      <c r="K5" s="10">
        <f t="shared" ref="K5:K68" si="0">E5*J5</f>
        <v>2.1168</v>
      </c>
      <c r="L5" s="21">
        <v>0</v>
      </c>
      <c r="M5" s="11">
        <f t="shared" ref="M5:M67" si="1">E5*L5</f>
        <v>0</v>
      </c>
      <c r="N5" s="21">
        <v>0</v>
      </c>
      <c r="O5" s="10">
        <f>E5*N5</f>
        <v>0</v>
      </c>
      <c r="P5" s="21">
        <v>0</v>
      </c>
      <c r="Q5" s="11">
        <f>E5*P5</f>
        <v>0</v>
      </c>
      <c r="R5" s="39">
        <f>F5-H5-J5-L5-N5-P5</f>
        <v>55</v>
      </c>
      <c r="S5" s="38">
        <f t="shared" ref="S5:S68" si="2">E5*R5</f>
        <v>1.8479999999999999</v>
      </c>
      <c r="T5" s="12">
        <v>0</v>
      </c>
      <c r="U5" s="13">
        <f>E5*T5</f>
        <v>0</v>
      </c>
      <c r="V5" s="49">
        <f>R5+T5</f>
        <v>55</v>
      </c>
      <c r="W5" s="50">
        <f>E5*V5</f>
        <v>1.8479999999999999</v>
      </c>
    </row>
    <row r="6" spans="1:23" x14ac:dyDescent="0.25">
      <c r="A6" s="42" t="s">
        <v>3</v>
      </c>
      <c r="B6" s="34">
        <v>140</v>
      </c>
      <c r="C6" s="35">
        <v>240</v>
      </c>
      <c r="D6" s="35">
        <v>0.8</v>
      </c>
      <c r="E6" s="19">
        <f t="shared" ref="E6:E69" si="3">(B6*C6*D6)/1000000</f>
        <v>2.6880000000000001E-2</v>
      </c>
      <c r="F6" s="23">
        <f>'EKİM 4 HAFTA '!V6</f>
        <v>197</v>
      </c>
      <c r="G6" s="26">
        <f t="shared" ref="G6:G69" si="4">E6*F6</f>
        <v>5.2953600000000005</v>
      </c>
      <c r="H6" s="21">
        <v>0</v>
      </c>
      <c r="I6" s="11">
        <f t="shared" ref="I6:I67" si="5">E6*H6</f>
        <v>0</v>
      </c>
      <c r="J6" s="21">
        <v>0</v>
      </c>
      <c r="K6" s="10">
        <f t="shared" si="0"/>
        <v>0</v>
      </c>
      <c r="L6" s="21">
        <v>15</v>
      </c>
      <c r="M6" s="11">
        <f t="shared" si="1"/>
        <v>0.4032</v>
      </c>
      <c r="N6" s="21">
        <v>0</v>
      </c>
      <c r="O6" s="10">
        <f t="shared" ref="O6:O45" si="6">E6*N6</f>
        <v>0</v>
      </c>
      <c r="P6" s="21">
        <v>10</v>
      </c>
      <c r="Q6" s="11">
        <f t="shared" ref="Q6:Q69" si="7">E6*P6</f>
        <v>0.26880000000000004</v>
      </c>
      <c r="R6" s="39">
        <f>F6-H6-J6-L6-N6-P6</f>
        <v>172</v>
      </c>
      <c r="S6" s="38">
        <f t="shared" si="2"/>
        <v>4.6233599999999999</v>
      </c>
      <c r="T6" s="12"/>
      <c r="U6" s="13">
        <f t="shared" ref="U6:U69" si="8">E6*T6</f>
        <v>0</v>
      </c>
      <c r="V6" s="49">
        <f t="shared" ref="V6:V69" si="9">R6+T6</f>
        <v>172</v>
      </c>
      <c r="W6" s="50">
        <f t="shared" ref="W6:W69" si="10">E6*V6</f>
        <v>4.6233599999999999</v>
      </c>
    </row>
    <row r="7" spans="1:23" x14ac:dyDescent="0.25">
      <c r="A7" s="42" t="s">
        <v>4</v>
      </c>
      <c r="B7" s="34">
        <v>140</v>
      </c>
      <c r="C7" s="35">
        <v>240</v>
      </c>
      <c r="D7" s="35">
        <v>1.4</v>
      </c>
      <c r="E7" s="19">
        <f t="shared" si="3"/>
        <v>4.7039999999999998E-2</v>
      </c>
      <c r="F7" s="23">
        <v>27</v>
      </c>
      <c r="G7" s="26">
        <f t="shared" si="4"/>
        <v>1.2700799999999999</v>
      </c>
      <c r="H7" s="21">
        <v>67</v>
      </c>
      <c r="I7" s="11">
        <f t="shared" si="5"/>
        <v>3.1516799999999998</v>
      </c>
      <c r="J7" s="21">
        <v>90</v>
      </c>
      <c r="K7" s="10">
        <f t="shared" si="0"/>
        <v>4.2336</v>
      </c>
      <c r="L7" s="21">
        <v>17</v>
      </c>
      <c r="M7" s="11">
        <f t="shared" si="1"/>
        <v>0.79967999999999995</v>
      </c>
      <c r="N7" s="21">
        <v>34</v>
      </c>
      <c r="O7" s="10">
        <f t="shared" si="6"/>
        <v>1.5993599999999999</v>
      </c>
      <c r="P7" s="21">
        <v>53</v>
      </c>
      <c r="Q7" s="11">
        <f t="shared" si="7"/>
        <v>2.4931199999999998</v>
      </c>
      <c r="R7" s="39">
        <f t="shared" ref="R7:R70" si="11">F7-H7-J7-L7-N7-P7</f>
        <v>-234</v>
      </c>
      <c r="S7" s="38">
        <f t="shared" si="2"/>
        <v>-11.00736</v>
      </c>
      <c r="T7" s="12">
        <v>590</v>
      </c>
      <c r="U7" s="13">
        <f t="shared" si="8"/>
        <v>27.753599999999999</v>
      </c>
      <c r="V7" s="49">
        <f t="shared" si="9"/>
        <v>356</v>
      </c>
      <c r="W7" s="50">
        <v>229975</v>
      </c>
    </row>
    <row r="8" spans="1:23" x14ac:dyDescent="0.25">
      <c r="A8" s="42" t="s">
        <v>5</v>
      </c>
      <c r="B8" s="34">
        <v>140</v>
      </c>
      <c r="C8" s="35">
        <v>240</v>
      </c>
      <c r="D8" s="35">
        <v>4</v>
      </c>
      <c r="E8" s="19">
        <f t="shared" si="3"/>
        <v>0.13439999999999999</v>
      </c>
      <c r="F8" s="23">
        <f>'EKİM 4 HAFTA '!V8</f>
        <v>27</v>
      </c>
      <c r="G8" s="26">
        <f t="shared" si="4"/>
        <v>3.6287999999999996</v>
      </c>
      <c r="H8" s="21">
        <v>4</v>
      </c>
      <c r="I8" s="11">
        <f t="shared" si="5"/>
        <v>0.53759999999999997</v>
      </c>
      <c r="J8" s="21">
        <v>0</v>
      </c>
      <c r="K8" s="10">
        <f t="shared" si="0"/>
        <v>0</v>
      </c>
      <c r="L8" s="21">
        <v>6</v>
      </c>
      <c r="M8" s="11">
        <f t="shared" si="1"/>
        <v>0.80640000000000001</v>
      </c>
      <c r="N8" s="21">
        <v>0</v>
      </c>
      <c r="O8" s="10">
        <f t="shared" si="6"/>
        <v>0</v>
      </c>
      <c r="P8" s="21">
        <v>0</v>
      </c>
      <c r="Q8" s="11">
        <f t="shared" si="7"/>
        <v>0</v>
      </c>
      <c r="R8" s="39">
        <f t="shared" si="11"/>
        <v>17</v>
      </c>
      <c r="S8" s="38">
        <f t="shared" si="2"/>
        <v>2.2847999999999997</v>
      </c>
      <c r="T8" s="12"/>
      <c r="U8" s="13">
        <f t="shared" si="8"/>
        <v>0</v>
      </c>
      <c r="V8" s="49">
        <f t="shared" si="9"/>
        <v>17</v>
      </c>
      <c r="W8" s="50">
        <f t="shared" si="10"/>
        <v>2.2847999999999997</v>
      </c>
    </row>
    <row r="9" spans="1:23" x14ac:dyDescent="0.25">
      <c r="A9" s="42" t="s">
        <v>6</v>
      </c>
      <c r="B9" s="34">
        <v>140</v>
      </c>
      <c r="C9" s="35">
        <v>240</v>
      </c>
      <c r="D9" s="35">
        <v>2</v>
      </c>
      <c r="E9" s="19">
        <f t="shared" si="3"/>
        <v>6.7199999999999996E-2</v>
      </c>
      <c r="F9" s="23">
        <f>'EKİM 4 HAFTA '!V9</f>
        <v>0</v>
      </c>
      <c r="G9" s="26">
        <f t="shared" si="4"/>
        <v>0</v>
      </c>
      <c r="H9" s="21">
        <v>0</v>
      </c>
      <c r="I9" s="11">
        <f t="shared" si="5"/>
        <v>0</v>
      </c>
      <c r="J9" s="21">
        <v>0</v>
      </c>
      <c r="K9" s="10">
        <f t="shared" si="0"/>
        <v>0</v>
      </c>
      <c r="L9" s="21">
        <v>0</v>
      </c>
      <c r="M9" s="11">
        <f t="shared" si="1"/>
        <v>0</v>
      </c>
      <c r="N9" s="21">
        <v>0</v>
      </c>
      <c r="O9" s="10">
        <f t="shared" si="6"/>
        <v>0</v>
      </c>
      <c r="P9" s="21">
        <v>2</v>
      </c>
      <c r="Q9" s="11">
        <f t="shared" si="7"/>
        <v>0.13439999999999999</v>
      </c>
      <c r="R9" s="39">
        <f t="shared" si="11"/>
        <v>-2</v>
      </c>
      <c r="S9" s="38">
        <f t="shared" si="2"/>
        <v>-0.13439999999999999</v>
      </c>
      <c r="T9" s="12">
        <v>145</v>
      </c>
      <c r="U9" s="13">
        <f t="shared" si="8"/>
        <v>9.7439999999999998</v>
      </c>
      <c r="V9" s="49">
        <f t="shared" si="9"/>
        <v>143</v>
      </c>
      <c r="W9" s="50">
        <f t="shared" si="10"/>
        <v>9.6095999999999986</v>
      </c>
    </row>
    <row r="10" spans="1:23" x14ac:dyDescent="0.25">
      <c r="A10" s="42" t="s">
        <v>7</v>
      </c>
      <c r="B10" s="34">
        <v>140</v>
      </c>
      <c r="C10" s="35">
        <v>240</v>
      </c>
      <c r="D10" s="35">
        <v>2</v>
      </c>
      <c r="E10" s="19">
        <f t="shared" si="3"/>
        <v>6.7199999999999996E-2</v>
      </c>
      <c r="F10" s="23">
        <f>'EKİM 4 HAFTA '!V10</f>
        <v>182</v>
      </c>
      <c r="G10" s="26">
        <f t="shared" si="4"/>
        <v>12.230399999999999</v>
      </c>
      <c r="H10" s="21">
        <v>27</v>
      </c>
      <c r="I10" s="11">
        <f t="shared" si="5"/>
        <v>1.8143999999999998</v>
      </c>
      <c r="J10" s="21">
        <v>0</v>
      </c>
      <c r="K10" s="10">
        <f t="shared" si="0"/>
        <v>0</v>
      </c>
      <c r="L10" s="21">
        <v>0</v>
      </c>
      <c r="M10" s="11">
        <f t="shared" si="1"/>
        <v>0</v>
      </c>
      <c r="N10" s="21">
        <v>0</v>
      </c>
      <c r="O10" s="10">
        <f t="shared" si="6"/>
        <v>0</v>
      </c>
      <c r="P10" s="21">
        <v>0</v>
      </c>
      <c r="Q10" s="11">
        <f t="shared" si="7"/>
        <v>0</v>
      </c>
      <c r="R10" s="39">
        <f t="shared" si="11"/>
        <v>155</v>
      </c>
      <c r="S10" s="38">
        <f t="shared" si="2"/>
        <v>10.415999999999999</v>
      </c>
      <c r="T10" s="12"/>
      <c r="U10" s="13">
        <f t="shared" si="8"/>
        <v>0</v>
      </c>
      <c r="V10" s="49">
        <f t="shared" si="9"/>
        <v>155</v>
      </c>
      <c r="W10" s="50">
        <f t="shared" si="10"/>
        <v>10.415999999999999</v>
      </c>
    </row>
    <row r="11" spans="1:23" x14ac:dyDescent="0.25">
      <c r="A11" s="42" t="s">
        <v>8</v>
      </c>
      <c r="B11" s="34">
        <v>140</v>
      </c>
      <c r="C11" s="35">
        <v>240</v>
      </c>
      <c r="D11" s="35">
        <v>7</v>
      </c>
      <c r="E11" s="19">
        <f t="shared" si="3"/>
        <v>0.23519999999999999</v>
      </c>
      <c r="F11" s="23">
        <f>'EKİM 4 HAFTA '!V11</f>
        <v>48</v>
      </c>
      <c r="G11" s="26">
        <f t="shared" si="4"/>
        <v>11.2896</v>
      </c>
      <c r="H11" s="21">
        <v>1</v>
      </c>
      <c r="I11" s="11">
        <f t="shared" si="5"/>
        <v>0.23519999999999999</v>
      </c>
      <c r="J11" s="21">
        <v>3</v>
      </c>
      <c r="K11" s="10">
        <f t="shared" si="0"/>
        <v>0.7056</v>
      </c>
      <c r="L11" s="21">
        <v>0</v>
      </c>
      <c r="M11" s="11">
        <f t="shared" si="1"/>
        <v>0</v>
      </c>
      <c r="N11" s="21">
        <v>0</v>
      </c>
      <c r="O11" s="10">
        <f t="shared" si="6"/>
        <v>0</v>
      </c>
      <c r="P11" s="21">
        <v>0</v>
      </c>
      <c r="Q11" s="11">
        <f t="shared" si="7"/>
        <v>0</v>
      </c>
      <c r="R11" s="39">
        <f t="shared" si="11"/>
        <v>44</v>
      </c>
      <c r="S11" s="38">
        <f t="shared" si="2"/>
        <v>10.348799999999999</v>
      </c>
      <c r="T11" s="12">
        <v>68</v>
      </c>
      <c r="U11" s="13">
        <f t="shared" si="8"/>
        <v>15.993599999999999</v>
      </c>
      <c r="V11" s="49">
        <f t="shared" si="9"/>
        <v>112</v>
      </c>
      <c r="W11" s="50">
        <f t="shared" si="10"/>
        <v>26.342399999999998</v>
      </c>
    </row>
    <row r="12" spans="1:23" x14ac:dyDescent="0.25">
      <c r="A12" s="42" t="s">
        <v>9</v>
      </c>
      <c r="B12" s="34">
        <v>140</v>
      </c>
      <c r="C12" s="35">
        <v>240</v>
      </c>
      <c r="D12" s="35">
        <v>5</v>
      </c>
      <c r="E12" s="19">
        <f t="shared" si="3"/>
        <v>0.16800000000000001</v>
      </c>
      <c r="F12" s="23">
        <f>'EKİM 4 HAFTA '!V12</f>
        <v>322</v>
      </c>
      <c r="G12" s="26">
        <f t="shared" si="4"/>
        <v>54.096000000000004</v>
      </c>
      <c r="H12" s="21">
        <v>3</v>
      </c>
      <c r="I12" s="11">
        <f t="shared" si="5"/>
        <v>0.504</v>
      </c>
      <c r="J12" s="21">
        <v>2</v>
      </c>
      <c r="K12" s="10">
        <f t="shared" si="0"/>
        <v>0.33600000000000002</v>
      </c>
      <c r="L12" s="21">
        <v>5</v>
      </c>
      <c r="M12" s="11">
        <f t="shared" si="1"/>
        <v>0.84000000000000008</v>
      </c>
      <c r="N12" s="21">
        <v>5</v>
      </c>
      <c r="O12" s="10">
        <f t="shared" si="6"/>
        <v>0.84000000000000008</v>
      </c>
      <c r="P12" s="21">
        <v>0</v>
      </c>
      <c r="Q12" s="11">
        <f t="shared" si="7"/>
        <v>0</v>
      </c>
      <c r="R12" s="39">
        <f t="shared" si="11"/>
        <v>307</v>
      </c>
      <c r="S12" s="38">
        <f t="shared" si="2"/>
        <v>51.576000000000001</v>
      </c>
      <c r="T12" s="12"/>
      <c r="U12" s="13">
        <f t="shared" si="8"/>
        <v>0</v>
      </c>
      <c r="V12" s="49">
        <f t="shared" si="9"/>
        <v>307</v>
      </c>
      <c r="W12" s="50">
        <f t="shared" si="10"/>
        <v>51.576000000000001</v>
      </c>
    </row>
    <row r="13" spans="1:23" x14ac:dyDescent="0.25">
      <c r="A13" s="42" t="s">
        <v>10</v>
      </c>
      <c r="B13" s="34">
        <v>140</v>
      </c>
      <c r="C13" s="35">
        <v>240</v>
      </c>
      <c r="D13" s="35">
        <v>5</v>
      </c>
      <c r="E13" s="19">
        <f t="shared" si="3"/>
        <v>0.16800000000000001</v>
      </c>
      <c r="F13" s="23">
        <f>'EKİM 4 HAFTA '!V13</f>
        <v>14</v>
      </c>
      <c r="G13" s="26">
        <f t="shared" si="4"/>
        <v>2.3520000000000003</v>
      </c>
      <c r="H13" s="21">
        <v>0</v>
      </c>
      <c r="I13" s="11">
        <f t="shared" si="5"/>
        <v>0</v>
      </c>
      <c r="J13" s="21">
        <v>8</v>
      </c>
      <c r="K13" s="10">
        <f t="shared" si="0"/>
        <v>1.3440000000000001</v>
      </c>
      <c r="L13" s="21">
        <v>0</v>
      </c>
      <c r="M13" s="11">
        <f t="shared" si="1"/>
        <v>0</v>
      </c>
      <c r="N13" s="21">
        <v>0</v>
      </c>
      <c r="O13" s="10">
        <f t="shared" si="6"/>
        <v>0</v>
      </c>
      <c r="P13" s="21">
        <v>0</v>
      </c>
      <c r="Q13" s="11">
        <f t="shared" si="7"/>
        <v>0</v>
      </c>
      <c r="R13" s="39">
        <f t="shared" si="11"/>
        <v>6</v>
      </c>
      <c r="S13" s="38">
        <f t="shared" si="2"/>
        <v>1.008</v>
      </c>
      <c r="T13" s="12">
        <v>0</v>
      </c>
      <c r="U13" s="13">
        <f t="shared" si="8"/>
        <v>0</v>
      </c>
      <c r="V13" s="49">
        <f t="shared" si="9"/>
        <v>6</v>
      </c>
      <c r="W13" s="50">
        <f t="shared" si="10"/>
        <v>1.008</v>
      </c>
    </row>
    <row r="14" spans="1:23" x14ac:dyDescent="0.25">
      <c r="A14" s="42" t="s">
        <v>11</v>
      </c>
      <c r="B14" s="34">
        <v>140</v>
      </c>
      <c r="C14" s="35">
        <v>240</v>
      </c>
      <c r="D14" s="35">
        <v>5</v>
      </c>
      <c r="E14" s="19">
        <f t="shared" si="3"/>
        <v>0.16800000000000001</v>
      </c>
      <c r="F14" s="23">
        <f>'EKİM 4 HAFTA '!V14</f>
        <v>1</v>
      </c>
      <c r="G14" s="26">
        <f t="shared" si="4"/>
        <v>0.16800000000000001</v>
      </c>
      <c r="H14" s="21">
        <v>1</v>
      </c>
      <c r="I14" s="11">
        <f t="shared" si="5"/>
        <v>0.16800000000000001</v>
      </c>
      <c r="J14" s="21">
        <v>5</v>
      </c>
      <c r="K14" s="10">
        <f t="shared" si="0"/>
        <v>0.84000000000000008</v>
      </c>
      <c r="L14" s="21">
        <v>0</v>
      </c>
      <c r="M14" s="11">
        <f t="shared" si="1"/>
        <v>0</v>
      </c>
      <c r="N14" s="21">
        <v>0</v>
      </c>
      <c r="O14" s="10">
        <f t="shared" si="6"/>
        <v>0</v>
      </c>
      <c r="P14" s="21">
        <v>0</v>
      </c>
      <c r="Q14" s="11">
        <f t="shared" si="7"/>
        <v>0</v>
      </c>
      <c r="R14" s="39">
        <f t="shared" si="11"/>
        <v>-5</v>
      </c>
      <c r="S14" s="38">
        <f t="shared" si="2"/>
        <v>-0.84000000000000008</v>
      </c>
      <c r="T14" s="12">
        <v>85</v>
      </c>
      <c r="U14" s="13">
        <f t="shared" si="8"/>
        <v>14.280000000000001</v>
      </c>
      <c r="V14" s="49">
        <f t="shared" si="9"/>
        <v>80</v>
      </c>
      <c r="W14" s="50">
        <f t="shared" si="10"/>
        <v>13.440000000000001</v>
      </c>
    </row>
    <row r="15" spans="1:23" x14ac:dyDescent="0.25">
      <c r="A15" s="42" t="s">
        <v>12</v>
      </c>
      <c r="B15" s="34">
        <v>140</v>
      </c>
      <c r="C15" s="35">
        <v>240</v>
      </c>
      <c r="D15" s="35">
        <v>10</v>
      </c>
      <c r="E15" s="19">
        <f t="shared" si="3"/>
        <v>0.33600000000000002</v>
      </c>
      <c r="F15" s="23">
        <f>'EKİM 4 HAFTA '!V15</f>
        <v>20</v>
      </c>
      <c r="G15" s="26">
        <f t="shared" si="4"/>
        <v>6.7200000000000006</v>
      </c>
      <c r="H15" s="21">
        <v>0</v>
      </c>
      <c r="I15" s="11">
        <f t="shared" si="5"/>
        <v>0</v>
      </c>
      <c r="J15" s="21">
        <v>0</v>
      </c>
      <c r="K15" s="10">
        <f t="shared" si="0"/>
        <v>0</v>
      </c>
      <c r="L15" s="21">
        <v>2</v>
      </c>
      <c r="M15" s="11">
        <f t="shared" si="1"/>
        <v>0.67200000000000004</v>
      </c>
      <c r="N15" s="21">
        <v>5</v>
      </c>
      <c r="O15" s="10">
        <f t="shared" si="6"/>
        <v>1.6800000000000002</v>
      </c>
      <c r="P15" s="21">
        <v>2</v>
      </c>
      <c r="Q15" s="11">
        <f t="shared" si="7"/>
        <v>0.67200000000000004</v>
      </c>
      <c r="R15" s="39">
        <f t="shared" si="11"/>
        <v>11</v>
      </c>
      <c r="S15" s="38">
        <f t="shared" si="2"/>
        <v>3.6960000000000002</v>
      </c>
      <c r="T15" s="12"/>
      <c r="U15" s="13">
        <f t="shared" si="8"/>
        <v>0</v>
      </c>
      <c r="V15" s="49">
        <f t="shared" si="9"/>
        <v>11</v>
      </c>
      <c r="W15" s="50">
        <f t="shared" si="10"/>
        <v>3.6960000000000002</v>
      </c>
    </row>
    <row r="16" spans="1:23" x14ac:dyDescent="0.25">
      <c r="A16" s="42" t="s">
        <v>13</v>
      </c>
      <c r="B16" s="34">
        <v>140</v>
      </c>
      <c r="C16" s="35">
        <v>240</v>
      </c>
      <c r="D16" s="35">
        <v>3</v>
      </c>
      <c r="E16" s="19">
        <f t="shared" si="3"/>
        <v>0.1008</v>
      </c>
      <c r="F16" s="23">
        <f>'EKİM 4 HAFTA '!V16</f>
        <v>22</v>
      </c>
      <c r="G16" s="26">
        <f t="shared" si="4"/>
        <v>2.2176</v>
      </c>
      <c r="H16" s="21">
        <v>7</v>
      </c>
      <c r="I16" s="11">
        <f t="shared" si="5"/>
        <v>0.7056</v>
      </c>
      <c r="J16" s="21">
        <v>15</v>
      </c>
      <c r="K16" s="10">
        <f t="shared" si="0"/>
        <v>1.512</v>
      </c>
      <c r="L16" s="21">
        <v>0</v>
      </c>
      <c r="M16" s="11">
        <f t="shared" si="1"/>
        <v>0</v>
      </c>
      <c r="N16" s="21">
        <v>0</v>
      </c>
      <c r="O16" s="10">
        <f t="shared" si="6"/>
        <v>0</v>
      </c>
      <c r="P16" s="21">
        <v>0</v>
      </c>
      <c r="Q16" s="11">
        <f t="shared" si="7"/>
        <v>0</v>
      </c>
      <c r="R16" s="39">
        <f t="shared" si="11"/>
        <v>0</v>
      </c>
      <c r="S16" s="38">
        <f t="shared" si="2"/>
        <v>0</v>
      </c>
      <c r="T16" s="12"/>
      <c r="U16" s="13">
        <f t="shared" si="8"/>
        <v>0</v>
      </c>
      <c r="V16" s="49">
        <f t="shared" si="9"/>
        <v>0</v>
      </c>
      <c r="W16" s="50">
        <f t="shared" si="10"/>
        <v>0</v>
      </c>
    </row>
    <row r="17" spans="1:23" x14ac:dyDescent="0.25">
      <c r="A17" s="42" t="s">
        <v>14</v>
      </c>
      <c r="B17" s="34">
        <v>140</v>
      </c>
      <c r="C17" s="35">
        <v>240</v>
      </c>
      <c r="D17" s="35">
        <v>5</v>
      </c>
      <c r="E17" s="19">
        <f t="shared" si="3"/>
        <v>0.16800000000000001</v>
      </c>
      <c r="F17" s="23">
        <f>'EKİM 4 HAFTA '!V17</f>
        <v>0</v>
      </c>
      <c r="G17" s="26">
        <f t="shared" si="4"/>
        <v>0</v>
      </c>
      <c r="H17" s="21">
        <v>0</v>
      </c>
      <c r="I17" s="11">
        <f t="shared" si="5"/>
        <v>0</v>
      </c>
      <c r="J17" s="21">
        <v>0</v>
      </c>
      <c r="K17" s="10">
        <f t="shared" si="0"/>
        <v>0</v>
      </c>
      <c r="L17" s="21">
        <v>0</v>
      </c>
      <c r="M17" s="11">
        <f t="shared" si="1"/>
        <v>0</v>
      </c>
      <c r="N17" s="21">
        <v>0</v>
      </c>
      <c r="O17" s="10">
        <f t="shared" si="6"/>
        <v>0</v>
      </c>
      <c r="P17" s="21">
        <v>0</v>
      </c>
      <c r="Q17" s="11">
        <f t="shared" si="7"/>
        <v>0</v>
      </c>
      <c r="R17" s="39">
        <f t="shared" si="11"/>
        <v>0</v>
      </c>
      <c r="S17" s="38">
        <f t="shared" si="2"/>
        <v>0</v>
      </c>
      <c r="T17" s="12">
        <v>105</v>
      </c>
      <c r="U17" s="13">
        <f t="shared" si="8"/>
        <v>17.64</v>
      </c>
      <c r="V17" s="49">
        <f t="shared" si="9"/>
        <v>105</v>
      </c>
      <c r="W17" s="50">
        <f t="shared" si="10"/>
        <v>17.64</v>
      </c>
    </row>
    <row r="18" spans="1:23" x14ac:dyDescent="0.25">
      <c r="A18" s="42" t="s">
        <v>15</v>
      </c>
      <c r="B18" s="34">
        <v>140</v>
      </c>
      <c r="C18" s="35">
        <v>240</v>
      </c>
      <c r="D18" s="35">
        <v>3</v>
      </c>
      <c r="E18" s="19">
        <f t="shared" si="3"/>
        <v>0.1008</v>
      </c>
      <c r="F18" s="23">
        <f>'EKİM 4 HAFTA '!V18</f>
        <v>129</v>
      </c>
      <c r="G18" s="26">
        <f t="shared" si="4"/>
        <v>13.0032</v>
      </c>
      <c r="H18" s="21">
        <v>4</v>
      </c>
      <c r="I18" s="11">
        <f t="shared" si="5"/>
        <v>0.4032</v>
      </c>
      <c r="J18" s="21">
        <v>1</v>
      </c>
      <c r="K18" s="10">
        <f t="shared" si="0"/>
        <v>0.1008</v>
      </c>
      <c r="L18" s="21">
        <v>0</v>
      </c>
      <c r="M18" s="11">
        <f t="shared" si="1"/>
        <v>0</v>
      </c>
      <c r="N18" s="21">
        <v>4</v>
      </c>
      <c r="O18" s="10">
        <f t="shared" si="6"/>
        <v>0.4032</v>
      </c>
      <c r="P18" s="21">
        <v>5</v>
      </c>
      <c r="Q18" s="11">
        <f t="shared" si="7"/>
        <v>0.504</v>
      </c>
      <c r="R18" s="39">
        <f t="shared" si="11"/>
        <v>115</v>
      </c>
      <c r="S18" s="38">
        <f t="shared" si="2"/>
        <v>11.592000000000001</v>
      </c>
      <c r="T18" s="12"/>
      <c r="U18" s="13">
        <f t="shared" si="8"/>
        <v>0</v>
      </c>
      <c r="V18" s="49">
        <f t="shared" si="9"/>
        <v>115</v>
      </c>
      <c r="W18" s="50">
        <f t="shared" si="10"/>
        <v>11.592000000000001</v>
      </c>
    </row>
    <row r="19" spans="1:23" x14ac:dyDescent="0.25">
      <c r="A19" s="42" t="s">
        <v>16</v>
      </c>
      <c r="B19" s="34">
        <v>140</v>
      </c>
      <c r="C19" s="35">
        <v>240</v>
      </c>
      <c r="D19" s="35">
        <v>8</v>
      </c>
      <c r="E19" s="19">
        <f t="shared" si="3"/>
        <v>0.26879999999999998</v>
      </c>
      <c r="F19" s="23">
        <f>'EKİM 4 HAFTA '!V19</f>
        <v>12</v>
      </c>
      <c r="G19" s="26">
        <f t="shared" si="4"/>
        <v>3.2256</v>
      </c>
      <c r="H19" s="21">
        <v>8</v>
      </c>
      <c r="I19" s="11">
        <f t="shared" si="5"/>
        <v>2.1503999999999999</v>
      </c>
      <c r="J19" s="21">
        <v>0</v>
      </c>
      <c r="K19" s="10">
        <f t="shared" si="0"/>
        <v>0</v>
      </c>
      <c r="L19" s="21">
        <v>0</v>
      </c>
      <c r="M19" s="11">
        <f t="shared" si="1"/>
        <v>0</v>
      </c>
      <c r="N19" s="21">
        <v>0</v>
      </c>
      <c r="O19" s="10">
        <f t="shared" si="6"/>
        <v>0</v>
      </c>
      <c r="P19" s="21">
        <v>0</v>
      </c>
      <c r="Q19" s="11">
        <f t="shared" si="7"/>
        <v>0</v>
      </c>
      <c r="R19" s="39">
        <f t="shared" si="11"/>
        <v>4</v>
      </c>
      <c r="S19" s="38">
        <f t="shared" si="2"/>
        <v>1.0751999999999999</v>
      </c>
      <c r="T19" s="12"/>
      <c r="U19" s="13">
        <f t="shared" si="8"/>
        <v>0</v>
      </c>
      <c r="V19" s="49">
        <f t="shared" si="9"/>
        <v>4</v>
      </c>
      <c r="W19" s="50">
        <f t="shared" si="10"/>
        <v>1.0751999999999999</v>
      </c>
    </row>
    <row r="20" spans="1:23" x14ac:dyDescent="0.25">
      <c r="A20" s="42" t="s">
        <v>17</v>
      </c>
      <c r="B20" s="34">
        <v>140</v>
      </c>
      <c r="C20" s="35">
        <v>240</v>
      </c>
      <c r="D20" s="35">
        <v>8</v>
      </c>
      <c r="E20" s="19">
        <f t="shared" si="3"/>
        <v>0.26879999999999998</v>
      </c>
      <c r="F20" s="23">
        <f>'EKİM 4 HAFTA '!V20</f>
        <v>0</v>
      </c>
      <c r="G20" s="26">
        <f t="shared" si="4"/>
        <v>0</v>
      </c>
      <c r="H20" s="21">
        <v>0</v>
      </c>
      <c r="I20" s="11">
        <f t="shared" si="5"/>
        <v>0</v>
      </c>
      <c r="J20" s="21">
        <v>0</v>
      </c>
      <c r="K20" s="10">
        <f t="shared" si="0"/>
        <v>0</v>
      </c>
      <c r="L20" s="21">
        <v>0</v>
      </c>
      <c r="M20" s="11">
        <f t="shared" si="1"/>
        <v>0</v>
      </c>
      <c r="N20" s="21">
        <v>0</v>
      </c>
      <c r="O20" s="10">
        <f t="shared" si="6"/>
        <v>0</v>
      </c>
      <c r="P20" s="21">
        <v>0</v>
      </c>
      <c r="Q20" s="11">
        <f t="shared" si="7"/>
        <v>0</v>
      </c>
      <c r="R20" s="39">
        <f t="shared" si="11"/>
        <v>0</v>
      </c>
      <c r="S20" s="38">
        <f t="shared" si="2"/>
        <v>0</v>
      </c>
      <c r="T20" s="12"/>
      <c r="U20" s="13">
        <f t="shared" si="8"/>
        <v>0</v>
      </c>
      <c r="V20" s="49">
        <f t="shared" si="9"/>
        <v>0</v>
      </c>
      <c r="W20" s="50">
        <f t="shared" si="10"/>
        <v>0</v>
      </c>
    </row>
    <row r="21" spans="1:23" x14ac:dyDescent="0.25">
      <c r="A21" s="42" t="s">
        <v>19</v>
      </c>
      <c r="B21" s="34">
        <v>77</v>
      </c>
      <c r="C21" s="35">
        <v>55</v>
      </c>
      <c r="D21" s="35">
        <v>8</v>
      </c>
      <c r="E21" s="19">
        <f t="shared" si="3"/>
        <v>3.388E-2</v>
      </c>
      <c r="F21" s="23">
        <f>'EKİM 4 HAFTA '!V21</f>
        <v>4</v>
      </c>
      <c r="G21" s="26">
        <f t="shared" si="4"/>
        <v>0.13552</v>
      </c>
      <c r="H21" s="21">
        <v>0</v>
      </c>
      <c r="I21" s="11">
        <f t="shared" si="5"/>
        <v>0</v>
      </c>
      <c r="J21" s="21">
        <v>0</v>
      </c>
      <c r="K21" s="10">
        <f t="shared" si="0"/>
        <v>0</v>
      </c>
      <c r="L21" s="21">
        <v>0</v>
      </c>
      <c r="M21" s="11">
        <f t="shared" si="1"/>
        <v>0</v>
      </c>
      <c r="N21" s="21">
        <v>0</v>
      </c>
      <c r="O21" s="10">
        <f t="shared" si="6"/>
        <v>0</v>
      </c>
      <c r="P21" s="21">
        <v>0</v>
      </c>
      <c r="Q21" s="11">
        <f t="shared" si="7"/>
        <v>0</v>
      </c>
      <c r="R21" s="39">
        <f t="shared" si="11"/>
        <v>4</v>
      </c>
      <c r="S21" s="38">
        <f t="shared" si="2"/>
        <v>0.13552</v>
      </c>
      <c r="T21" s="12"/>
      <c r="U21" s="13">
        <f t="shared" si="8"/>
        <v>0</v>
      </c>
      <c r="V21" s="49">
        <f t="shared" si="9"/>
        <v>4</v>
      </c>
      <c r="W21" s="50">
        <f t="shared" si="10"/>
        <v>0.13552</v>
      </c>
    </row>
    <row r="22" spans="1:23" x14ac:dyDescent="0.25">
      <c r="A22" s="42" t="s">
        <v>20</v>
      </c>
      <c r="B22" s="34">
        <v>65</v>
      </c>
      <c r="C22" s="35">
        <v>50</v>
      </c>
      <c r="D22" s="35">
        <v>12</v>
      </c>
      <c r="E22" s="19">
        <f t="shared" si="3"/>
        <v>3.9E-2</v>
      </c>
      <c r="F22" s="23">
        <f>'EKİM 4 HAFTA '!V22</f>
        <v>26</v>
      </c>
      <c r="G22" s="26">
        <f t="shared" si="4"/>
        <v>1.014</v>
      </c>
      <c r="H22" s="21">
        <v>0</v>
      </c>
      <c r="I22" s="11">
        <f t="shared" si="5"/>
        <v>0</v>
      </c>
      <c r="J22" s="21">
        <v>0</v>
      </c>
      <c r="K22" s="10">
        <f t="shared" si="0"/>
        <v>0</v>
      </c>
      <c r="L22" s="21">
        <v>0</v>
      </c>
      <c r="M22" s="11">
        <f t="shared" si="1"/>
        <v>0</v>
      </c>
      <c r="N22" s="21">
        <v>0</v>
      </c>
      <c r="O22" s="10">
        <f t="shared" si="6"/>
        <v>0</v>
      </c>
      <c r="P22" s="21">
        <v>0</v>
      </c>
      <c r="Q22" s="11">
        <f t="shared" si="7"/>
        <v>0</v>
      </c>
      <c r="R22" s="39">
        <f t="shared" si="11"/>
        <v>26</v>
      </c>
      <c r="S22" s="38">
        <f t="shared" si="2"/>
        <v>1.014</v>
      </c>
      <c r="T22" s="12"/>
      <c r="U22" s="13">
        <f t="shared" si="8"/>
        <v>0</v>
      </c>
      <c r="V22" s="49">
        <f t="shared" si="9"/>
        <v>26</v>
      </c>
      <c r="W22" s="50">
        <f t="shared" si="10"/>
        <v>1.014</v>
      </c>
    </row>
    <row r="23" spans="1:23" x14ac:dyDescent="0.25">
      <c r="A23" s="42" t="s">
        <v>21</v>
      </c>
      <c r="B23" s="34"/>
      <c r="C23" s="35"/>
      <c r="D23" s="35"/>
      <c r="E23" s="19">
        <f t="shared" si="3"/>
        <v>0</v>
      </c>
      <c r="F23" s="23">
        <f>'EKİM 4 HAFTA '!V23</f>
        <v>74</v>
      </c>
      <c r="G23" s="26">
        <f t="shared" si="4"/>
        <v>0</v>
      </c>
      <c r="H23" s="21">
        <v>0</v>
      </c>
      <c r="I23" s="11">
        <f t="shared" si="5"/>
        <v>0</v>
      </c>
      <c r="J23" s="21">
        <v>0</v>
      </c>
      <c r="K23" s="10">
        <f t="shared" si="0"/>
        <v>0</v>
      </c>
      <c r="L23" s="21">
        <v>0</v>
      </c>
      <c r="M23" s="11">
        <f t="shared" si="1"/>
        <v>0</v>
      </c>
      <c r="N23" s="21">
        <v>0</v>
      </c>
      <c r="O23" s="10">
        <f t="shared" si="6"/>
        <v>0</v>
      </c>
      <c r="P23" s="21">
        <v>0</v>
      </c>
      <c r="Q23" s="11">
        <f t="shared" si="7"/>
        <v>0</v>
      </c>
      <c r="R23" s="39">
        <f t="shared" si="11"/>
        <v>74</v>
      </c>
      <c r="S23" s="38">
        <f t="shared" si="2"/>
        <v>0</v>
      </c>
      <c r="T23" s="12"/>
      <c r="U23" s="13">
        <f t="shared" si="8"/>
        <v>0</v>
      </c>
      <c r="V23" s="49">
        <f t="shared" si="9"/>
        <v>74</v>
      </c>
      <c r="W23" s="50">
        <f t="shared" si="10"/>
        <v>0</v>
      </c>
    </row>
    <row r="24" spans="1:23" x14ac:dyDescent="0.25">
      <c r="A24" s="42" t="s">
        <v>22</v>
      </c>
      <c r="B24" s="34">
        <v>66</v>
      </c>
      <c r="C24" s="35">
        <v>56</v>
      </c>
      <c r="D24" s="35">
        <v>12</v>
      </c>
      <c r="E24" s="19">
        <f t="shared" si="3"/>
        <v>4.4352000000000003E-2</v>
      </c>
      <c r="F24" s="23">
        <f>'EKİM 4 HAFTA '!V24</f>
        <v>28</v>
      </c>
      <c r="G24" s="26">
        <f t="shared" si="4"/>
        <v>1.2418560000000001</v>
      </c>
      <c r="H24" s="21">
        <v>0</v>
      </c>
      <c r="I24" s="11">
        <f t="shared" si="5"/>
        <v>0</v>
      </c>
      <c r="J24" s="21">
        <v>0</v>
      </c>
      <c r="K24" s="10">
        <f t="shared" si="0"/>
        <v>0</v>
      </c>
      <c r="L24" s="21">
        <v>0</v>
      </c>
      <c r="M24" s="11">
        <f t="shared" si="1"/>
        <v>0</v>
      </c>
      <c r="N24" s="21">
        <v>0</v>
      </c>
      <c r="O24" s="10">
        <f t="shared" si="6"/>
        <v>0</v>
      </c>
      <c r="P24" s="21">
        <v>0</v>
      </c>
      <c r="Q24" s="11">
        <f t="shared" si="7"/>
        <v>0</v>
      </c>
      <c r="R24" s="39">
        <f t="shared" si="11"/>
        <v>28</v>
      </c>
      <c r="S24" s="38">
        <f t="shared" si="2"/>
        <v>1.2418560000000001</v>
      </c>
      <c r="T24" s="12"/>
      <c r="U24" s="13">
        <f t="shared" si="8"/>
        <v>0</v>
      </c>
      <c r="V24" s="49">
        <f t="shared" si="9"/>
        <v>28</v>
      </c>
      <c r="W24" s="50">
        <f t="shared" si="10"/>
        <v>1.2418560000000001</v>
      </c>
    </row>
    <row r="25" spans="1:23" x14ac:dyDescent="0.25">
      <c r="A25" s="42" t="s">
        <v>23</v>
      </c>
      <c r="B25" s="34">
        <v>61.5</v>
      </c>
      <c r="C25" s="35">
        <v>61.5</v>
      </c>
      <c r="D25" s="35">
        <v>10</v>
      </c>
      <c r="E25" s="19">
        <f t="shared" si="3"/>
        <v>3.7822500000000002E-2</v>
      </c>
      <c r="F25" s="23">
        <f>'EKİM 4 HAFTA '!V25</f>
        <v>48</v>
      </c>
      <c r="G25" s="26">
        <f t="shared" si="4"/>
        <v>1.81548</v>
      </c>
      <c r="H25" s="21">
        <v>48</v>
      </c>
      <c r="I25" s="11">
        <f t="shared" si="5"/>
        <v>1.81548</v>
      </c>
      <c r="J25" s="21">
        <v>0</v>
      </c>
      <c r="K25" s="10">
        <f t="shared" si="0"/>
        <v>0</v>
      </c>
      <c r="L25" s="21">
        <v>0</v>
      </c>
      <c r="M25" s="11">
        <f t="shared" si="1"/>
        <v>0</v>
      </c>
      <c r="N25" s="21">
        <v>0</v>
      </c>
      <c r="O25" s="10">
        <f t="shared" si="6"/>
        <v>0</v>
      </c>
      <c r="P25" s="21">
        <v>0</v>
      </c>
      <c r="Q25" s="11">
        <f t="shared" si="7"/>
        <v>0</v>
      </c>
      <c r="R25" s="39">
        <f t="shared" si="11"/>
        <v>0</v>
      </c>
      <c r="S25" s="38">
        <f t="shared" si="2"/>
        <v>0</v>
      </c>
      <c r="T25" s="12"/>
      <c r="U25" s="13">
        <f t="shared" si="8"/>
        <v>0</v>
      </c>
      <c r="V25" s="49">
        <f t="shared" si="9"/>
        <v>0</v>
      </c>
      <c r="W25" s="50">
        <f t="shared" si="10"/>
        <v>0</v>
      </c>
    </row>
    <row r="26" spans="1:23" x14ac:dyDescent="0.25">
      <c r="A26" s="42" t="s">
        <v>24</v>
      </c>
      <c r="B26" s="34">
        <v>82</v>
      </c>
      <c r="C26" s="35">
        <v>67</v>
      </c>
      <c r="D26" s="35">
        <v>5</v>
      </c>
      <c r="E26" s="19">
        <f t="shared" si="3"/>
        <v>2.7470000000000001E-2</v>
      </c>
      <c r="F26" s="23">
        <f>'EKİM 4 HAFTA '!V26</f>
        <v>30</v>
      </c>
      <c r="G26" s="26">
        <f t="shared" si="4"/>
        <v>0.82410000000000005</v>
      </c>
      <c r="H26" s="21">
        <v>0</v>
      </c>
      <c r="I26" s="11">
        <f t="shared" si="5"/>
        <v>0</v>
      </c>
      <c r="J26" s="21">
        <v>0</v>
      </c>
      <c r="K26" s="10">
        <f t="shared" si="0"/>
        <v>0</v>
      </c>
      <c r="L26" s="21">
        <v>0</v>
      </c>
      <c r="M26" s="11">
        <f t="shared" si="1"/>
        <v>0</v>
      </c>
      <c r="N26" s="21">
        <v>0</v>
      </c>
      <c r="O26" s="10">
        <f t="shared" si="6"/>
        <v>0</v>
      </c>
      <c r="P26" s="21">
        <v>0</v>
      </c>
      <c r="Q26" s="11">
        <f t="shared" si="7"/>
        <v>0</v>
      </c>
      <c r="R26" s="39">
        <f t="shared" si="11"/>
        <v>30</v>
      </c>
      <c r="S26" s="38">
        <f t="shared" si="2"/>
        <v>0.82410000000000005</v>
      </c>
      <c r="T26" s="12"/>
      <c r="U26" s="13">
        <f t="shared" si="8"/>
        <v>0</v>
      </c>
      <c r="V26" s="49">
        <f t="shared" si="9"/>
        <v>30</v>
      </c>
      <c r="W26" s="50">
        <f t="shared" si="10"/>
        <v>0.82410000000000005</v>
      </c>
    </row>
    <row r="27" spans="1:23" x14ac:dyDescent="0.25">
      <c r="A27" s="42" t="s">
        <v>25</v>
      </c>
      <c r="B27" s="34">
        <v>80</v>
      </c>
      <c r="C27" s="35">
        <v>62</v>
      </c>
      <c r="D27" s="35">
        <v>2</v>
      </c>
      <c r="E27" s="19">
        <f t="shared" si="3"/>
        <v>9.92E-3</v>
      </c>
      <c r="F27" s="23">
        <f>'EKİM 4 HAFTA '!V27</f>
        <v>36</v>
      </c>
      <c r="G27" s="26">
        <f t="shared" si="4"/>
        <v>0.35711999999999999</v>
      </c>
      <c r="H27" s="21">
        <v>0</v>
      </c>
      <c r="I27" s="11">
        <f t="shared" si="5"/>
        <v>0</v>
      </c>
      <c r="J27" s="21">
        <v>0</v>
      </c>
      <c r="K27" s="10">
        <f t="shared" si="0"/>
        <v>0</v>
      </c>
      <c r="L27" s="21">
        <v>0</v>
      </c>
      <c r="M27" s="11">
        <f t="shared" si="1"/>
        <v>0</v>
      </c>
      <c r="N27" s="21">
        <v>0</v>
      </c>
      <c r="O27" s="10">
        <f t="shared" si="6"/>
        <v>0</v>
      </c>
      <c r="P27" s="21">
        <v>0</v>
      </c>
      <c r="Q27" s="11">
        <f t="shared" si="7"/>
        <v>0</v>
      </c>
      <c r="R27" s="39">
        <f t="shared" si="11"/>
        <v>36</v>
      </c>
      <c r="S27" s="38">
        <f t="shared" si="2"/>
        <v>0.35711999999999999</v>
      </c>
      <c r="T27" s="12"/>
      <c r="U27" s="13">
        <f t="shared" si="8"/>
        <v>0</v>
      </c>
      <c r="V27" s="49">
        <f t="shared" si="9"/>
        <v>36</v>
      </c>
      <c r="W27" s="50">
        <f t="shared" si="10"/>
        <v>0.35711999999999999</v>
      </c>
    </row>
    <row r="28" spans="1:23" x14ac:dyDescent="0.25">
      <c r="A28" s="42" t="s">
        <v>26</v>
      </c>
      <c r="B28" s="34">
        <v>63</v>
      </c>
      <c r="C28" s="35">
        <v>55</v>
      </c>
      <c r="D28" s="35">
        <v>5</v>
      </c>
      <c r="E28" s="19">
        <f t="shared" si="3"/>
        <v>1.7325E-2</v>
      </c>
      <c r="F28" s="23">
        <f>'EKİM 4 HAFTA '!V28</f>
        <v>19</v>
      </c>
      <c r="G28" s="26">
        <f t="shared" si="4"/>
        <v>0.329175</v>
      </c>
      <c r="H28" s="21">
        <v>0</v>
      </c>
      <c r="I28" s="11">
        <f t="shared" si="5"/>
        <v>0</v>
      </c>
      <c r="J28" s="21">
        <v>0</v>
      </c>
      <c r="K28" s="10">
        <f t="shared" si="0"/>
        <v>0</v>
      </c>
      <c r="L28" s="21">
        <v>0</v>
      </c>
      <c r="M28" s="11">
        <f t="shared" si="1"/>
        <v>0</v>
      </c>
      <c r="N28" s="21">
        <v>0</v>
      </c>
      <c r="O28" s="10">
        <f t="shared" si="6"/>
        <v>0</v>
      </c>
      <c r="P28" s="21">
        <v>0</v>
      </c>
      <c r="Q28" s="11">
        <f t="shared" si="7"/>
        <v>0</v>
      </c>
      <c r="R28" s="39">
        <f t="shared" si="11"/>
        <v>19</v>
      </c>
      <c r="S28" s="38">
        <f t="shared" si="2"/>
        <v>0.329175</v>
      </c>
      <c r="T28" s="12"/>
      <c r="U28" s="13">
        <f t="shared" si="8"/>
        <v>0</v>
      </c>
      <c r="V28" s="49">
        <f t="shared" si="9"/>
        <v>19</v>
      </c>
      <c r="W28" s="50">
        <f t="shared" si="10"/>
        <v>0.329175</v>
      </c>
    </row>
    <row r="29" spans="1:23" x14ac:dyDescent="0.25">
      <c r="A29" s="42" t="s">
        <v>27</v>
      </c>
      <c r="B29" s="34">
        <v>140</v>
      </c>
      <c r="C29" s="35">
        <v>240</v>
      </c>
      <c r="D29" s="35">
        <v>5</v>
      </c>
      <c r="E29" s="19">
        <f t="shared" si="3"/>
        <v>0.16800000000000001</v>
      </c>
      <c r="F29" s="23">
        <f>'EKİM 4 HAFTA '!V29</f>
        <v>6</v>
      </c>
      <c r="G29" s="26">
        <f t="shared" si="4"/>
        <v>1.008</v>
      </c>
      <c r="H29" s="21">
        <v>0</v>
      </c>
      <c r="I29" s="11">
        <f t="shared" si="5"/>
        <v>0</v>
      </c>
      <c r="J29" s="21">
        <v>0</v>
      </c>
      <c r="K29" s="10">
        <f t="shared" si="0"/>
        <v>0</v>
      </c>
      <c r="L29" s="21">
        <v>0</v>
      </c>
      <c r="M29" s="11">
        <f t="shared" si="1"/>
        <v>0</v>
      </c>
      <c r="N29" s="21">
        <v>0</v>
      </c>
      <c r="O29" s="10">
        <f t="shared" si="6"/>
        <v>0</v>
      </c>
      <c r="P29" s="21">
        <v>0</v>
      </c>
      <c r="Q29" s="11">
        <f t="shared" si="7"/>
        <v>0</v>
      </c>
      <c r="R29" s="39">
        <f t="shared" si="11"/>
        <v>6</v>
      </c>
      <c r="S29" s="38">
        <f t="shared" si="2"/>
        <v>1.008</v>
      </c>
      <c r="T29" s="12"/>
      <c r="U29" s="13">
        <f t="shared" si="8"/>
        <v>0</v>
      </c>
      <c r="V29" s="49">
        <f t="shared" si="9"/>
        <v>6</v>
      </c>
      <c r="W29" s="50">
        <f t="shared" si="10"/>
        <v>1.008</v>
      </c>
    </row>
    <row r="30" spans="1:23" x14ac:dyDescent="0.25">
      <c r="A30" s="42" t="s">
        <v>28</v>
      </c>
      <c r="B30" s="34">
        <v>140</v>
      </c>
      <c r="C30" s="35">
        <v>240</v>
      </c>
      <c r="D30" s="35">
        <v>10</v>
      </c>
      <c r="E30" s="19">
        <f t="shared" si="3"/>
        <v>0.33600000000000002</v>
      </c>
      <c r="F30" s="23">
        <f>'EKİM 4 HAFTA '!V30</f>
        <v>11</v>
      </c>
      <c r="G30" s="26">
        <f t="shared" si="4"/>
        <v>3.6960000000000002</v>
      </c>
      <c r="H30" s="21">
        <v>0</v>
      </c>
      <c r="I30" s="11">
        <f t="shared" si="5"/>
        <v>0</v>
      </c>
      <c r="J30" s="21">
        <v>0</v>
      </c>
      <c r="K30" s="10">
        <f t="shared" si="0"/>
        <v>0</v>
      </c>
      <c r="L30" s="21">
        <v>0</v>
      </c>
      <c r="M30" s="11">
        <f t="shared" si="1"/>
        <v>0</v>
      </c>
      <c r="N30" s="21">
        <v>0</v>
      </c>
      <c r="O30" s="10">
        <f t="shared" si="6"/>
        <v>0</v>
      </c>
      <c r="P30" s="21">
        <v>0</v>
      </c>
      <c r="Q30" s="11">
        <f t="shared" si="7"/>
        <v>0</v>
      </c>
      <c r="R30" s="39">
        <f t="shared" si="11"/>
        <v>11</v>
      </c>
      <c r="S30" s="38">
        <f t="shared" si="2"/>
        <v>3.6960000000000002</v>
      </c>
      <c r="T30" s="12"/>
      <c r="U30" s="13">
        <f t="shared" si="8"/>
        <v>0</v>
      </c>
      <c r="V30" s="49">
        <f t="shared" si="9"/>
        <v>11</v>
      </c>
      <c r="W30" s="50">
        <f t="shared" si="10"/>
        <v>3.6960000000000002</v>
      </c>
    </row>
    <row r="31" spans="1:23" x14ac:dyDescent="0.25">
      <c r="A31" s="42" t="s">
        <v>29</v>
      </c>
      <c r="B31" s="34">
        <v>140</v>
      </c>
      <c r="C31" s="35">
        <v>240</v>
      </c>
      <c r="D31" s="35">
        <v>3</v>
      </c>
      <c r="E31" s="19">
        <f t="shared" si="3"/>
        <v>0.1008</v>
      </c>
      <c r="F31" s="23">
        <f>'EKİM 4 HAFTA '!V31</f>
        <v>26</v>
      </c>
      <c r="G31" s="26">
        <f t="shared" si="4"/>
        <v>2.6208</v>
      </c>
      <c r="H31" s="21">
        <v>0</v>
      </c>
      <c r="I31" s="11">
        <f t="shared" si="5"/>
        <v>0</v>
      </c>
      <c r="J31" s="21">
        <v>0</v>
      </c>
      <c r="K31" s="10">
        <f t="shared" si="0"/>
        <v>0</v>
      </c>
      <c r="L31" s="21">
        <v>0</v>
      </c>
      <c r="M31" s="11">
        <f t="shared" si="1"/>
        <v>0</v>
      </c>
      <c r="N31" s="21">
        <v>0</v>
      </c>
      <c r="O31" s="10">
        <f t="shared" si="6"/>
        <v>0</v>
      </c>
      <c r="P31" s="21">
        <v>0</v>
      </c>
      <c r="Q31" s="11">
        <f t="shared" si="7"/>
        <v>0</v>
      </c>
      <c r="R31" s="39">
        <f t="shared" si="11"/>
        <v>26</v>
      </c>
      <c r="S31" s="38">
        <f t="shared" si="2"/>
        <v>2.6208</v>
      </c>
      <c r="T31" s="12"/>
      <c r="U31" s="13">
        <f t="shared" si="8"/>
        <v>0</v>
      </c>
      <c r="V31" s="49">
        <f t="shared" si="9"/>
        <v>26</v>
      </c>
      <c r="W31" s="50">
        <f t="shared" si="10"/>
        <v>2.6208</v>
      </c>
    </row>
    <row r="32" spans="1:23" x14ac:dyDescent="0.25">
      <c r="A32" s="42" t="s">
        <v>30</v>
      </c>
      <c r="B32" s="34">
        <v>90</v>
      </c>
      <c r="C32" s="35">
        <v>80</v>
      </c>
      <c r="D32" s="35">
        <v>8</v>
      </c>
      <c r="E32" s="19">
        <f t="shared" si="3"/>
        <v>5.7599999999999998E-2</v>
      </c>
      <c r="F32" s="23">
        <f>'EKİM 4 HAFTA '!V32</f>
        <v>0</v>
      </c>
      <c r="G32" s="26">
        <f t="shared" si="4"/>
        <v>0</v>
      </c>
      <c r="H32" s="21">
        <v>0</v>
      </c>
      <c r="I32" s="11">
        <f t="shared" si="5"/>
        <v>0</v>
      </c>
      <c r="J32" s="21">
        <v>0</v>
      </c>
      <c r="K32" s="10">
        <f t="shared" si="0"/>
        <v>0</v>
      </c>
      <c r="L32" s="21">
        <v>0</v>
      </c>
      <c r="M32" s="11">
        <f t="shared" si="1"/>
        <v>0</v>
      </c>
      <c r="N32" s="21">
        <v>0</v>
      </c>
      <c r="O32" s="10">
        <f t="shared" si="6"/>
        <v>0</v>
      </c>
      <c r="P32" s="21">
        <v>0</v>
      </c>
      <c r="Q32" s="11">
        <f t="shared" si="7"/>
        <v>0</v>
      </c>
      <c r="R32" s="39">
        <f t="shared" si="11"/>
        <v>0</v>
      </c>
      <c r="S32" s="38">
        <f t="shared" si="2"/>
        <v>0</v>
      </c>
      <c r="T32" s="12"/>
      <c r="U32" s="13">
        <f t="shared" si="8"/>
        <v>0</v>
      </c>
      <c r="V32" s="49">
        <f t="shared" si="9"/>
        <v>0</v>
      </c>
      <c r="W32" s="50">
        <f t="shared" si="10"/>
        <v>0</v>
      </c>
    </row>
    <row r="33" spans="1:23" x14ac:dyDescent="0.25">
      <c r="A33" s="42" t="s">
        <v>31</v>
      </c>
      <c r="B33" s="34">
        <v>90</v>
      </c>
      <c r="C33" s="35">
        <v>80</v>
      </c>
      <c r="D33" s="35">
        <v>8</v>
      </c>
      <c r="E33" s="19">
        <f t="shared" si="3"/>
        <v>5.7599999999999998E-2</v>
      </c>
      <c r="F33" s="23">
        <f>'EKİM 4 HAFTA '!V33</f>
        <v>0</v>
      </c>
      <c r="G33" s="26">
        <f t="shared" si="4"/>
        <v>0</v>
      </c>
      <c r="H33" s="21">
        <v>0</v>
      </c>
      <c r="I33" s="11">
        <f t="shared" si="5"/>
        <v>0</v>
      </c>
      <c r="J33" s="21">
        <v>0</v>
      </c>
      <c r="K33" s="10">
        <f t="shared" si="0"/>
        <v>0</v>
      </c>
      <c r="L33" s="21">
        <v>0</v>
      </c>
      <c r="M33" s="11">
        <f t="shared" si="1"/>
        <v>0</v>
      </c>
      <c r="N33" s="21">
        <v>0</v>
      </c>
      <c r="O33" s="10">
        <f t="shared" si="6"/>
        <v>0</v>
      </c>
      <c r="P33" s="21">
        <v>0</v>
      </c>
      <c r="Q33" s="11">
        <f t="shared" si="7"/>
        <v>0</v>
      </c>
      <c r="R33" s="39">
        <f t="shared" si="11"/>
        <v>0</v>
      </c>
      <c r="S33" s="38">
        <f t="shared" si="2"/>
        <v>0</v>
      </c>
      <c r="T33" s="12"/>
      <c r="U33" s="13">
        <f t="shared" si="8"/>
        <v>0</v>
      </c>
      <c r="V33" s="49">
        <f t="shared" si="9"/>
        <v>0</v>
      </c>
      <c r="W33" s="50">
        <f t="shared" si="10"/>
        <v>0</v>
      </c>
    </row>
    <row r="34" spans="1:23" x14ac:dyDescent="0.25">
      <c r="A34" s="42" t="s">
        <v>32</v>
      </c>
      <c r="B34" s="34"/>
      <c r="C34" s="35"/>
      <c r="D34" s="35"/>
      <c r="E34" s="19">
        <f t="shared" si="3"/>
        <v>0</v>
      </c>
      <c r="F34" s="23">
        <f>'EKİM 4 HAFTA '!V34</f>
        <v>300</v>
      </c>
      <c r="G34" s="26">
        <f t="shared" si="4"/>
        <v>0</v>
      </c>
      <c r="H34" s="21">
        <v>0</v>
      </c>
      <c r="I34" s="11">
        <f t="shared" si="5"/>
        <v>0</v>
      </c>
      <c r="J34" s="21">
        <v>0</v>
      </c>
      <c r="K34" s="10">
        <f t="shared" si="0"/>
        <v>0</v>
      </c>
      <c r="L34" s="21">
        <v>0</v>
      </c>
      <c r="M34" s="11">
        <f t="shared" si="1"/>
        <v>0</v>
      </c>
      <c r="N34" s="21">
        <v>0</v>
      </c>
      <c r="O34" s="10">
        <f t="shared" si="6"/>
        <v>0</v>
      </c>
      <c r="P34" s="21">
        <v>0</v>
      </c>
      <c r="Q34" s="11">
        <f t="shared" si="7"/>
        <v>0</v>
      </c>
      <c r="R34" s="39">
        <f t="shared" si="11"/>
        <v>300</v>
      </c>
      <c r="S34" s="38">
        <f t="shared" si="2"/>
        <v>0</v>
      </c>
      <c r="T34" s="12"/>
      <c r="U34" s="13">
        <f t="shared" si="8"/>
        <v>0</v>
      </c>
      <c r="V34" s="49">
        <f t="shared" si="9"/>
        <v>300</v>
      </c>
      <c r="W34" s="50">
        <f t="shared" si="10"/>
        <v>0</v>
      </c>
    </row>
    <row r="35" spans="1:23" x14ac:dyDescent="0.25">
      <c r="A35" s="42" t="s">
        <v>33</v>
      </c>
      <c r="B35" s="34">
        <v>80</v>
      </c>
      <c r="C35" s="35">
        <v>66</v>
      </c>
      <c r="D35" s="35">
        <v>5</v>
      </c>
      <c r="E35" s="19">
        <f t="shared" si="3"/>
        <v>2.64E-2</v>
      </c>
      <c r="F35" s="23">
        <f>'EKİM 4 HAFTA '!V35</f>
        <v>56</v>
      </c>
      <c r="G35" s="26">
        <f t="shared" si="4"/>
        <v>1.4783999999999999</v>
      </c>
      <c r="H35" s="21">
        <v>0</v>
      </c>
      <c r="I35" s="11">
        <f t="shared" si="5"/>
        <v>0</v>
      </c>
      <c r="J35" s="21">
        <v>0</v>
      </c>
      <c r="K35" s="10">
        <f t="shared" si="0"/>
        <v>0</v>
      </c>
      <c r="L35" s="21">
        <v>0</v>
      </c>
      <c r="M35" s="11">
        <f t="shared" si="1"/>
        <v>0</v>
      </c>
      <c r="N35" s="21">
        <v>0</v>
      </c>
      <c r="O35" s="10">
        <f t="shared" si="6"/>
        <v>0</v>
      </c>
      <c r="P35" s="21">
        <v>0</v>
      </c>
      <c r="Q35" s="11">
        <f t="shared" si="7"/>
        <v>0</v>
      </c>
      <c r="R35" s="39">
        <f t="shared" si="11"/>
        <v>56</v>
      </c>
      <c r="S35" s="38">
        <f t="shared" si="2"/>
        <v>1.4783999999999999</v>
      </c>
      <c r="T35" s="12"/>
      <c r="U35" s="13">
        <f t="shared" si="8"/>
        <v>0</v>
      </c>
      <c r="V35" s="49">
        <f t="shared" si="9"/>
        <v>56</v>
      </c>
      <c r="W35" s="50">
        <f t="shared" si="10"/>
        <v>1.4783999999999999</v>
      </c>
    </row>
    <row r="36" spans="1:23" x14ac:dyDescent="0.25">
      <c r="A36" s="42" t="s">
        <v>34</v>
      </c>
      <c r="B36" s="34">
        <v>60</v>
      </c>
      <c r="C36" s="35">
        <v>62</v>
      </c>
      <c r="D36" s="35">
        <v>5</v>
      </c>
      <c r="E36" s="19">
        <f t="shared" si="3"/>
        <v>1.8599999999999998E-2</v>
      </c>
      <c r="F36" s="23">
        <f>'EKİM 4 HAFTA '!V36</f>
        <v>4</v>
      </c>
      <c r="G36" s="26">
        <f t="shared" si="4"/>
        <v>7.4399999999999994E-2</v>
      </c>
      <c r="H36" s="21">
        <v>0</v>
      </c>
      <c r="I36" s="11">
        <f t="shared" si="5"/>
        <v>0</v>
      </c>
      <c r="J36" s="21">
        <v>0</v>
      </c>
      <c r="K36" s="10">
        <f t="shared" si="0"/>
        <v>0</v>
      </c>
      <c r="L36" s="21">
        <v>0</v>
      </c>
      <c r="M36" s="11">
        <f t="shared" si="1"/>
        <v>0</v>
      </c>
      <c r="N36" s="21">
        <v>0</v>
      </c>
      <c r="O36" s="10">
        <f t="shared" si="6"/>
        <v>0</v>
      </c>
      <c r="P36" s="21">
        <v>0</v>
      </c>
      <c r="Q36" s="11">
        <f t="shared" si="7"/>
        <v>0</v>
      </c>
      <c r="R36" s="39">
        <f t="shared" si="11"/>
        <v>4</v>
      </c>
      <c r="S36" s="38">
        <f t="shared" si="2"/>
        <v>7.4399999999999994E-2</v>
      </c>
      <c r="T36" s="12"/>
      <c r="U36" s="13">
        <f t="shared" si="8"/>
        <v>0</v>
      </c>
      <c r="V36" s="49">
        <f t="shared" si="9"/>
        <v>4</v>
      </c>
      <c r="W36" s="50">
        <f t="shared" si="10"/>
        <v>7.4399999999999994E-2</v>
      </c>
    </row>
    <row r="37" spans="1:23" x14ac:dyDescent="0.25">
      <c r="A37" s="42" t="s">
        <v>41</v>
      </c>
      <c r="B37" s="34">
        <v>60</v>
      </c>
      <c r="C37" s="35">
        <v>67</v>
      </c>
      <c r="D37" s="35">
        <v>3</v>
      </c>
      <c r="E37" s="19">
        <f t="shared" si="3"/>
        <v>1.206E-2</v>
      </c>
      <c r="F37" s="23">
        <f>'EKİM 4 HAFTA '!V37</f>
        <v>12</v>
      </c>
      <c r="G37" s="26">
        <f t="shared" si="4"/>
        <v>0.14471999999999999</v>
      </c>
      <c r="H37" s="21">
        <v>0</v>
      </c>
      <c r="I37" s="11">
        <f t="shared" si="5"/>
        <v>0</v>
      </c>
      <c r="J37" s="21">
        <v>0</v>
      </c>
      <c r="K37" s="10">
        <f t="shared" si="0"/>
        <v>0</v>
      </c>
      <c r="L37" s="21">
        <v>0</v>
      </c>
      <c r="M37" s="11">
        <f t="shared" si="1"/>
        <v>0</v>
      </c>
      <c r="N37" s="21">
        <v>0</v>
      </c>
      <c r="O37" s="10">
        <f t="shared" si="6"/>
        <v>0</v>
      </c>
      <c r="P37" s="21">
        <v>0</v>
      </c>
      <c r="Q37" s="11">
        <f t="shared" si="7"/>
        <v>0</v>
      </c>
      <c r="R37" s="39">
        <f t="shared" si="11"/>
        <v>12</v>
      </c>
      <c r="S37" s="38">
        <f t="shared" si="2"/>
        <v>0.14471999999999999</v>
      </c>
      <c r="T37" s="12"/>
      <c r="U37" s="13">
        <f t="shared" si="8"/>
        <v>0</v>
      </c>
      <c r="V37" s="49">
        <f t="shared" si="9"/>
        <v>12</v>
      </c>
      <c r="W37" s="50">
        <f t="shared" si="10"/>
        <v>0.14471999999999999</v>
      </c>
    </row>
    <row r="38" spans="1:23" x14ac:dyDescent="0.25">
      <c r="A38" s="42" t="s">
        <v>35</v>
      </c>
      <c r="B38" s="34">
        <v>140</v>
      </c>
      <c r="C38" s="35">
        <v>240</v>
      </c>
      <c r="D38" s="35">
        <v>7</v>
      </c>
      <c r="E38" s="19">
        <f t="shared" si="3"/>
        <v>0.23519999999999999</v>
      </c>
      <c r="F38" s="23">
        <f>'EKİM 4 HAFTA '!V38</f>
        <v>4</v>
      </c>
      <c r="G38" s="26">
        <f t="shared" si="4"/>
        <v>0.94079999999999997</v>
      </c>
      <c r="H38" s="21">
        <v>0</v>
      </c>
      <c r="I38" s="11">
        <f t="shared" si="5"/>
        <v>0</v>
      </c>
      <c r="J38" s="21">
        <v>4</v>
      </c>
      <c r="K38" s="10">
        <f t="shared" si="0"/>
        <v>0.94079999999999997</v>
      </c>
      <c r="L38" s="21">
        <v>0</v>
      </c>
      <c r="M38" s="11">
        <f t="shared" si="1"/>
        <v>0</v>
      </c>
      <c r="N38" s="21">
        <v>0</v>
      </c>
      <c r="O38" s="10">
        <f t="shared" si="6"/>
        <v>0</v>
      </c>
      <c r="P38" s="21">
        <v>0</v>
      </c>
      <c r="Q38" s="11">
        <f t="shared" si="7"/>
        <v>0</v>
      </c>
      <c r="R38" s="39">
        <f t="shared" si="11"/>
        <v>0</v>
      </c>
      <c r="S38" s="38">
        <f t="shared" si="2"/>
        <v>0</v>
      </c>
      <c r="T38" s="12"/>
      <c r="U38" s="13">
        <f t="shared" si="8"/>
        <v>0</v>
      </c>
      <c r="V38" s="49">
        <f t="shared" si="9"/>
        <v>0</v>
      </c>
      <c r="W38" s="50">
        <f t="shared" si="10"/>
        <v>0</v>
      </c>
    </row>
    <row r="39" spans="1:23" x14ac:dyDescent="0.25">
      <c r="A39" s="42" t="s">
        <v>36</v>
      </c>
      <c r="B39" s="34">
        <v>60</v>
      </c>
      <c r="C39" s="35">
        <v>56</v>
      </c>
      <c r="D39" s="35">
        <v>10</v>
      </c>
      <c r="E39" s="19">
        <f t="shared" si="3"/>
        <v>3.3599999999999998E-2</v>
      </c>
      <c r="F39" s="23">
        <f>'EKİM 4 HAFTA '!V39</f>
        <v>0</v>
      </c>
      <c r="G39" s="26">
        <f t="shared" si="4"/>
        <v>0</v>
      </c>
      <c r="H39" s="21">
        <v>0</v>
      </c>
      <c r="I39" s="11">
        <f t="shared" si="5"/>
        <v>0</v>
      </c>
      <c r="J39" s="21">
        <v>0</v>
      </c>
      <c r="K39" s="10">
        <f t="shared" si="0"/>
        <v>0</v>
      </c>
      <c r="L39" s="21">
        <v>0</v>
      </c>
      <c r="M39" s="11">
        <f t="shared" si="1"/>
        <v>0</v>
      </c>
      <c r="N39" s="21">
        <v>0</v>
      </c>
      <c r="O39" s="10">
        <f t="shared" si="6"/>
        <v>0</v>
      </c>
      <c r="P39" s="21">
        <v>0</v>
      </c>
      <c r="Q39" s="11">
        <f t="shared" si="7"/>
        <v>0</v>
      </c>
      <c r="R39" s="39">
        <f t="shared" si="11"/>
        <v>0</v>
      </c>
      <c r="S39" s="38">
        <f t="shared" si="2"/>
        <v>0</v>
      </c>
      <c r="T39" s="12"/>
      <c r="U39" s="13">
        <f t="shared" si="8"/>
        <v>0</v>
      </c>
      <c r="V39" s="49">
        <f t="shared" si="9"/>
        <v>0</v>
      </c>
      <c r="W39" s="50">
        <f t="shared" si="10"/>
        <v>0</v>
      </c>
    </row>
    <row r="40" spans="1:23" x14ac:dyDescent="0.25">
      <c r="A40" s="42" t="s">
        <v>37</v>
      </c>
      <c r="B40" s="34">
        <v>58</v>
      </c>
      <c r="C40" s="35">
        <v>55</v>
      </c>
      <c r="D40" s="35">
        <v>10</v>
      </c>
      <c r="E40" s="19">
        <f t="shared" si="3"/>
        <v>3.1899999999999998E-2</v>
      </c>
      <c r="F40" s="23">
        <f>'EKİM 4 HAFTA '!V40</f>
        <v>0</v>
      </c>
      <c r="G40" s="26">
        <f t="shared" si="4"/>
        <v>0</v>
      </c>
      <c r="H40" s="21">
        <v>0</v>
      </c>
      <c r="I40" s="11">
        <f t="shared" si="5"/>
        <v>0</v>
      </c>
      <c r="J40" s="21">
        <v>0</v>
      </c>
      <c r="K40" s="10">
        <f t="shared" si="0"/>
        <v>0</v>
      </c>
      <c r="L40" s="21">
        <v>0</v>
      </c>
      <c r="M40" s="11">
        <f t="shared" si="1"/>
        <v>0</v>
      </c>
      <c r="N40" s="21">
        <v>0</v>
      </c>
      <c r="O40" s="10">
        <f t="shared" si="6"/>
        <v>0</v>
      </c>
      <c r="P40" s="21">
        <v>0</v>
      </c>
      <c r="Q40" s="11">
        <f t="shared" si="7"/>
        <v>0</v>
      </c>
      <c r="R40" s="39">
        <f t="shared" si="11"/>
        <v>0</v>
      </c>
      <c r="S40" s="38">
        <f t="shared" si="2"/>
        <v>0</v>
      </c>
      <c r="T40" s="12"/>
      <c r="U40" s="13">
        <f t="shared" si="8"/>
        <v>0</v>
      </c>
      <c r="V40" s="49">
        <f t="shared" si="9"/>
        <v>0</v>
      </c>
      <c r="W40" s="50">
        <f t="shared" si="10"/>
        <v>0</v>
      </c>
    </row>
    <row r="41" spans="1:23" x14ac:dyDescent="0.25">
      <c r="A41" s="42" t="s">
        <v>38</v>
      </c>
      <c r="B41" s="34">
        <v>63</v>
      </c>
      <c r="C41" s="35">
        <v>55</v>
      </c>
      <c r="D41" s="35">
        <v>5</v>
      </c>
      <c r="E41" s="19">
        <f t="shared" si="3"/>
        <v>1.7325E-2</v>
      </c>
      <c r="F41" s="23">
        <f>'EKİM 4 HAFTA '!V41</f>
        <v>10</v>
      </c>
      <c r="G41" s="26">
        <f t="shared" si="4"/>
        <v>0.17325000000000002</v>
      </c>
      <c r="H41" s="21">
        <v>0</v>
      </c>
      <c r="I41" s="11">
        <f t="shared" si="5"/>
        <v>0</v>
      </c>
      <c r="J41" s="21">
        <v>0</v>
      </c>
      <c r="K41" s="10">
        <f t="shared" si="0"/>
        <v>0</v>
      </c>
      <c r="L41" s="21">
        <v>0</v>
      </c>
      <c r="M41" s="11">
        <f t="shared" si="1"/>
        <v>0</v>
      </c>
      <c r="N41" s="21">
        <v>0</v>
      </c>
      <c r="O41" s="10">
        <f t="shared" si="6"/>
        <v>0</v>
      </c>
      <c r="P41" s="21">
        <v>0</v>
      </c>
      <c r="Q41" s="11">
        <f t="shared" si="7"/>
        <v>0</v>
      </c>
      <c r="R41" s="39">
        <f t="shared" si="11"/>
        <v>10</v>
      </c>
      <c r="S41" s="38">
        <f t="shared" si="2"/>
        <v>0.17325000000000002</v>
      </c>
      <c r="T41" s="12"/>
      <c r="U41" s="13">
        <f t="shared" si="8"/>
        <v>0</v>
      </c>
      <c r="V41" s="49">
        <f t="shared" si="9"/>
        <v>10</v>
      </c>
      <c r="W41" s="50">
        <f t="shared" si="10"/>
        <v>0.17325000000000002</v>
      </c>
    </row>
    <row r="42" spans="1:23" x14ac:dyDescent="0.25">
      <c r="A42" s="42" t="s">
        <v>39</v>
      </c>
      <c r="B42" s="34">
        <v>52</v>
      </c>
      <c r="C42" s="35">
        <v>52</v>
      </c>
      <c r="D42" s="35">
        <v>5</v>
      </c>
      <c r="E42" s="19">
        <f t="shared" si="3"/>
        <v>1.3520000000000001E-2</v>
      </c>
      <c r="F42" s="23">
        <f>'EKİM 4 HAFTA '!V42</f>
        <v>0</v>
      </c>
      <c r="G42" s="26">
        <f t="shared" si="4"/>
        <v>0</v>
      </c>
      <c r="H42" s="21">
        <v>0</v>
      </c>
      <c r="I42" s="11">
        <f t="shared" si="5"/>
        <v>0</v>
      </c>
      <c r="J42" s="21">
        <v>0</v>
      </c>
      <c r="K42" s="10">
        <f t="shared" si="0"/>
        <v>0</v>
      </c>
      <c r="L42" s="21">
        <v>0</v>
      </c>
      <c r="M42" s="11">
        <f t="shared" si="1"/>
        <v>0</v>
      </c>
      <c r="N42" s="21">
        <v>0</v>
      </c>
      <c r="O42" s="10">
        <f t="shared" si="6"/>
        <v>0</v>
      </c>
      <c r="P42" s="21">
        <v>0</v>
      </c>
      <c r="Q42" s="11">
        <f t="shared" si="7"/>
        <v>0</v>
      </c>
      <c r="R42" s="39">
        <f t="shared" si="11"/>
        <v>0</v>
      </c>
      <c r="S42" s="38">
        <f t="shared" si="2"/>
        <v>0</v>
      </c>
      <c r="T42" s="12"/>
      <c r="U42" s="13">
        <f t="shared" si="8"/>
        <v>0</v>
      </c>
      <c r="V42" s="49">
        <f t="shared" si="9"/>
        <v>0</v>
      </c>
      <c r="W42" s="50">
        <f t="shared" si="10"/>
        <v>0</v>
      </c>
    </row>
    <row r="43" spans="1:23" x14ac:dyDescent="0.25">
      <c r="A43" s="42" t="s">
        <v>40</v>
      </c>
      <c r="B43" s="34">
        <v>80</v>
      </c>
      <c r="C43" s="35">
        <v>70</v>
      </c>
      <c r="D43" s="35">
        <v>8</v>
      </c>
      <c r="E43" s="19">
        <f t="shared" si="3"/>
        <v>4.48E-2</v>
      </c>
      <c r="F43" s="23">
        <f>'EKİM 4 HAFTA '!V43</f>
        <v>359</v>
      </c>
      <c r="G43" s="26">
        <f t="shared" si="4"/>
        <v>16.083200000000001</v>
      </c>
      <c r="H43" s="21">
        <v>0</v>
      </c>
      <c r="I43" s="11">
        <f t="shared" si="5"/>
        <v>0</v>
      </c>
      <c r="J43" s="21">
        <v>22</v>
      </c>
      <c r="K43" s="10">
        <f t="shared" si="0"/>
        <v>0.98560000000000003</v>
      </c>
      <c r="L43" s="21">
        <v>0</v>
      </c>
      <c r="M43" s="11">
        <f t="shared" si="1"/>
        <v>0</v>
      </c>
      <c r="N43" s="21">
        <v>0</v>
      </c>
      <c r="O43" s="10">
        <f t="shared" si="6"/>
        <v>0</v>
      </c>
      <c r="P43" s="21">
        <v>20</v>
      </c>
      <c r="Q43" s="11">
        <f t="shared" si="7"/>
        <v>0.89600000000000002</v>
      </c>
      <c r="R43" s="39">
        <f t="shared" si="11"/>
        <v>317</v>
      </c>
      <c r="S43" s="38">
        <f t="shared" si="2"/>
        <v>14.201599999999999</v>
      </c>
      <c r="T43" s="12"/>
      <c r="U43" s="13">
        <f t="shared" si="8"/>
        <v>0</v>
      </c>
      <c r="V43" s="49">
        <f t="shared" si="9"/>
        <v>317</v>
      </c>
      <c r="W43" s="50">
        <f t="shared" si="10"/>
        <v>14.201599999999999</v>
      </c>
    </row>
    <row r="44" spans="1:23" x14ac:dyDescent="0.25">
      <c r="A44" s="42" t="s">
        <v>42</v>
      </c>
      <c r="B44" s="34">
        <v>70</v>
      </c>
      <c r="C44" s="35">
        <v>64</v>
      </c>
      <c r="D44" s="35">
        <v>8</v>
      </c>
      <c r="E44" s="19">
        <f t="shared" si="3"/>
        <v>3.5839999999999997E-2</v>
      </c>
      <c r="F44" s="23">
        <f>'EKİM 4 HAFTA '!V44</f>
        <v>390</v>
      </c>
      <c r="G44" s="26">
        <f t="shared" si="4"/>
        <v>13.977599999999999</v>
      </c>
      <c r="H44" s="21">
        <v>0</v>
      </c>
      <c r="I44" s="11">
        <f t="shared" si="5"/>
        <v>0</v>
      </c>
      <c r="J44" s="21">
        <v>18</v>
      </c>
      <c r="K44" s="10">
        <f t="shared" si="0"/>
        <v>0.64511999999999992</v>
      </c>
      <c r="L44" s="21">
        <v>0</v>
      </c>
      <c r="M44" s="11">
        <f t="shared" si="1"/>
        <v>0</v>
      </c>
      <c r="N44" s="21">
        <v>0</v>
      </c>
      <c r="O44" s="10">
        <f t="shared" si="6"/>
        <v>0</v>
      </c>
      <c r="P44" s="21">
        <v>10</v>
      </c>
      <c r="Q44" s="11">
        <f t="shared" si="7"/>
        <v>0.35839999999999994</v>
      </c>
      <c r="R44" s="39">
        <f t="shared" si="11"/>
        <v>362</v>
      </c>
      <c r="S44" s="38">
        <f t="shared" si="2"/>
        <v>12.974079999999999</v>
      </c>
      <c r="T44" s="12"/>
      <c r="U44" s="13">
        <f t="shared" si="8"/>
        <v>0</v>
      </c>
      <c r="V44" s="49">
        <f t="shared" si="9"/>
        <v>362</v>
      </c>
      <c r="W44" s="50">
        <f t="shared" si="10"/>
        <v>12.974079999999999</v>
      </c>
    </row>
    <row r="45" spans="1:23" x14ac:dyDescent="0.25">
      <c r="A45" s="42" t="s">
        <v>43</v>
      </c>
      <c r="B45" s="34">
        <v>75</v>
      </c>
      <c r="C45" s="35">
        <v>70</v>
      </c>
      <c r="D45" s="35">
        <v>8</v>
      </c>
      <c r="E45" s="19">
        <f t="shared" si="3"/>
        <v>4.2000000000000003E-2</v>
      </c>
      <c r="F45" s="23">
        <f>'EKİM 4 HAFTA '!V45</f>
        <v>258</v>
      </c>
      <c r="G45" s="26">
        <f t="shared" si="4"/>
        <v>10.836</v>
      </c>
      <c r="H45" s="21">
        <v>0</v>
      </c>
      <c r="I45" s="11">
        <f t="shared" si="5"/>
        <v>0</v>
      </c>
      <c r="J45" s="21">
        <v>36</v>
      </c>
      <c r="K45" s="10">
        <f t="shared" si="0"/>
        <v>1.512</v>
      </c>
      <c r="L45" s="21">
        <v>0</v>
      </c>
      <c r="M45" s="11">
        <f t="shared" si="1"/>
        <v>0</v>
      </c>
      <c r="N45" s="21">
        <v>0</v>
      </c>
      <c r="O45" s="10">
        <f t="shared" si="6"/>
        <v>0</v>
      </c>
      <c r="P45" s="21">
        <v>20</v>
      </c>
      <c r="Q45" s="11">
        <f t="shared" si="7"/>
        <v>0.84000000000000008</v>
      </c>
      <c r="R45" s="39">
        <f t="shared" si="11"/>
        <v>202</v>
      </c>
      <c r="S45" s="38">
        <f t="shared" si="2"/>
        <v>8.484</v>
      </c>
      <c r="T45" s="12"/>
      <c r="U45" s="13">
        <f t="shared" si="8"/>
        <v>0</v>
      </c>
      <c r="V45" s="49">
        <f t="shared" si="9"/>
        <v>202</v>
      </c>
      <c r="W45" s="50">
        <f t="shared" si="10"/>
        <v>8.484</v>
      </c>
    </row>
    <row r="46" spans="1:23" x14ac:dyDescent="0.25">
      <c r="A46" s="42" t="s">
        <v>77</v>
      </c>
      <c r="B46" s="34">
        <v>140</v>
      </c>
      <c r="C46" s="35">
        <v>67</v>
      </c>
      <c r="D46" s="35">
        <v>5</v>
      </c>
      <c r="E46" s="19">
        <f t="shared" si="3"/>
        <v>4.6899999999999997E-2</v>
      </c>
      <c r="F46" s="23">
        <f>'EKİM 4 HAFTA '!V46</f>
        <v>500</v>
      </c>
      <c r="G46" s="26">
        <f t="shared" si="4"/>
        <v>23.45</v>
      </c>
      <c r="H46" s="21">
        <v>73</v>
      </c>
      <c r="I46" s="11">
        <f t="shared" si="5"/>
        <v>3.4236999999999997</v>
      </c>
      <c r="J46" s="21">
        <v>13</v>
      </c>
      <c r="K46" s="10">
        <f t="shared" si="0"/>
        <v>0.60969999999999991</v>
      </c>
      <c r="L46" s="21">
        <v>0</v>
      </c>
      <c r="M46" s="11">
        <f t="shared" si="1"/>
        <v>0</v>
      </c>
      <c r="N46" s="21">
        <v>61</v>
      </c>
      <c r="O46" s="10"/>
      <c r="P46" s="21">
        <v>12</v>
      </c>
      <c r="Q46" s="11">
        <f t="shared" si="7"/>
        <v>0.56279999999999997</v>
      </c>
      <c r="R46" s="39">
        <f t="shared" si="11"/>
        <v>341</v>
      </c>
      <c r="S46" s="38">
        <f t="shared" si="2"/>
        <v>15.992899999999999</v>
      </c>
      <c r="T46" s="12"/>
      <c r="U46" s="13">
        <f t="shared" si="8"/>
        <v>0</v>
      </c>
      <c r="V46" s="49">
        <f t="shared" si="9"/>
        <v>341</v>
      </c>
      <c r="W46" s="50">
        <f t="shared" si="10"/>
        <v>15.992899999999999</v>
      </c>
    </row>
    <row r="47" spans="1:23" x14ac:dyDescent="0.25">
      <c r="A47" s="42" t="s">
        <v>45</v>
      </c>
      <c r="B47" s="34">
        <v>80</v>
      </c>
      <c r="C47" s="35">
        <v>63</v>
      </c>
      <c r="D47" s="35">
        <v>5</v>
      </c>
      <c r="E47" s="19">
        <f t="shared" si="3"/>
        <v>2.52E-2</v>
      </c>
      <c r="F47" s="23">
        <f>'EKİM 4 HAFTA '!V47</f>
        <v>315</v>
      </c>
      <c r="G47" s="26">
        <f t="shared" si="4"/>
        <v>7.9379999999999997</v>
      </c>
      <c r="H47" s="21">
        <v>0</v>
      </c>
      <c r="I47" s="11">
        <f t="shared" si="5"/>
        <v>0</v>
      </c>
      <c r="J47" s="21">
        <v>0</v>
      </c>
      <c r="K47" s="10">
        <f t="shared" si="0"/>
        <v>0</v>
      </c>
      <c r="L47" s="21">
        <v>0</v>
      </c>
      <c r="M47" s="11">
        <f t="shared" si="1"/>
        <v>0</v>
      </c>
      <c r="N47" s="21">
        <v>0</v>
      </c>
      <c r="O47" s="10">
        <f t="shared" ref="O47:O73" si="12">E46*N46</f>
        <v>2.8609</v>
      </c>
      <c r="P47" s="21">
        <v>0</v>
      </c>
      <c r="Q47" s="11">
        <f t="shared" si="7"/>
        <v>0</v>
      </c>
      <c r="R47" s="39">
        <f t="shared" si="11"/>
        <v>315</v>
      </c>
      <c r="S47" s="38">
        <f t="shared" si="2"/>
        <v>7.9379999999999997</v>
      </c>
      <c r="T47" s="12"/>
      <c r="U47" s="13">
        <f t="shared" si="8"/>
        <v>0</v>
      </c>
      <c r="V47" s="49">
        <f t="shared" si="9"/>
        <v>315</v>
      </c>
      <c r="W47" s="50">
        <f t="shared" si="10"/>
        <v>7.9379999999999997</v>
      </c>
    </row>
    <row r="48" spans="1:23" x14ac:dyDescent="0.25">
      <c r="A48" s="42" t="s">
        <v>46</v>
      </c>
      <c r="B48" s="34">
        <v>77</v>
      </c>
      <c r="C48" s="35">
        <v>68</v>
      </c>
      <c r="D48" s="35">
        <v>8</v>
      </c>
      <c r="E48" s="19">
        <f t="shared" si="3"/>
        <v>4.1888000000000002E-2</v>
      </c>
      <c r="F48" s="23">
        <f>'EKİM 4 HAFTA '!V48</f>
        <v>171</v>
      </c>
      <c r="G48" s="26">
        <f t="shared" si="4"/>
        <v>7.1628480000000003</v>
      </c>
      <c r="H48" s="21">
        <v>0</v>
      </c>
      <c r="I48" s="11">
        <f t="shared" si="5"/>
        <v>0</v>
      </c>
      <c r="J48" s="21">
        <v>56</v>
      </c>
      <c r="K48" s="10">
        <f t="shared" si="0"/>
        <v>2.3457280000000003</v>
      </c>
      <c r="L48" s="21">
        <v>0</v>
      </c>
      <c r="M48" s="11">
        <f t="shared" si="1"/>
        <v>0</v>
      </c>
      <c r="N48" s="21">
        <v>0</v>
      </c>
      <c r="O48" s="10">
        <f t="shared" si="12"/>
        <v>0</v>
      </c>
      <c r="P48" s="21">
        <v>20</v>
      </c>
      <c r="Q48" s="11">
        <f t="shared" si="7"/>
        <v>0.83776000000000006</v>
      </c>
      <c r="R48" s="39">
        <f t="shared" si="11"/>
        <v>95</v>
      </c>
      <c r="S48" s="38">
        <f t="shared" si="2"/>
        <v>3.9793600000000002</v>
      </c>
      <c r="T48" s="12"/>
      <c r="U48" s="13">
        <f t="shared" si="8"/>
        <v>0</v>
      </c>
      <c r="V48" s="49">
        <f t="shared" si="9"/>
        <v>95</v>
      </c>
      <c r="W48" s="50">
        <f t="shared" si="10"/>
        <v>3.9793600000000002</v>
      </c>
    </row>
    <row r="49" spans="1:23" x14ac:dyDescent="0.25">
      <c r="A49" s="42" t="s">
        <v>47</v>
      </c>
      <c r="B49" s="34">
        <v>79</v>
      </c>
      <c r="C49" s="35">
        <v>79</v>
      </c>
      <c r="D49" s="35">
        <v>2</v>
      </c>
      <c r="E49" s="19">
        <f t="shared" si="3"/>
        <v>1.2482E-2</v>
      </c>
      <c r="F49" s="23">
        <f>'EKİM 4 HAFTA '!V49</f>
        <v>33</v>
      </c>
      <c r="G49" s="26">
        <f t="shared" si="4"/>
        <v>0.41190599999999999</v>
      </c>
      <c r="H49" s="21">
        <v>0</v>
      </c>
      <c r="I49" s="11">
        <f t="shared" si="5"/>
        <v>0</v>
      </c>
      <c r="J49" s="21">
        <v>0</v>
      </c>
      <c r="K49" s="10">
        <f t="shared" si="0"/>
        <v>0</v>
      </c>
      <c r="L49" s="21">
        <v>0</v>
      </c>
      <c r="M49" s="11">
        <f t="shared" si="1"/>
        <v>0</v>
      </c>
      <c r="N49" s="21">
        <v>0</v>
      </c>
      <c r="O49" s="10">
        <f t="shared" si="12"/>
        <v>0</v>
      </c>
      <c r="P49" s="21">
        <v>0</v>
      </c>
      <c r="Q49" s="11">
        <f t="shared" si="7"/>
        <v>0</v>
      </c>
      <c r="R49" s="39">
        <f t="shared" si="11"/>
        <v>33</v>
      </c>
      <c r="S49" s="38">
        <f t="shared" si="2"/>
        <v>0.41190599999999999</v>
      </c>
      <c r="T49" s="12"/>
      <c r="U49" s="13">
        <f t="shared" si="8"/>
        <v>0</v>
      </c>
      <c r="V49" s="49">
        <f t="shared" si="9"/>
        <v>33</v>
      </c>
      <c r="W49" s="50">
        <f t="shared" si="10"/>
        <v>0.41190599999999999</v>
      </c>
    </row>
    <row r="50" spans="1:23" x14ac:dyDescent="0.25">
      <c r="A50" s="42" t="s">
        <v>48</v>
      </c>
      <c r="B50" s="34">
        <v>61</v>
      </c>
      <c r="C50" s="35">
        <v>56</v>
      </c>
      <c r="D50" s="35">
        <v>10</v>
      </c>
      <c r="E50" s="19">
        <f t="shared" si="3"/>
        <v>3.4160000000000003E-2</v>
      </c>
      <c r="F50" s="23">
        <f>'EKİM 4 HAFTA '!V50</f>
        <v>385</v>
      </c>
      <c r="G50" s="26">
        <f t="shared" si="4"/>
        <v>13.151600000000002</v>
      </c>
      <c r="H50" s="21">
        <v>0</v>
      </c>
      <c r="I50" s="11">
        <f t="shared" si="5"/>
        <v>0</v>
      </c>
      <c r="J50" s="21">
        <v>0</v>
      </c>
      <c r="K50" s="10">
        <f t="shared" si="0"/>
        <v>0</v>
      </c>
      <c r="L50" s="21">
        <v>0</v>
      </c>
      <c r="M50" s="11">
        <f t="shared" si="1"/>
        <v>0</v>
      </c>
      <c r="N50" s="21">
        <v>0</v>
      </c>
      <c r="O50" s="10">
        <f t="shared" si="12"/>
        <v>0</v>
      </c>
      <c r="P50" s="21">
        <v>0</v>
      </c>
      <c r="Q50" s="11">
        <f t="shared" si="7"/>
        <v>0</v>
      </c>
      <c r="R50" s="39">
        <f t="shared" si="11"/>
        <v>385</v>
      </c>
      <c r="S50" s="38">
        <f t="shared" si="2"/>
        <v>13.151600000000002</v>
      </c>
      <c r="T50" s="12"/>
      <c r="U50" s="13">
        <f t="shared" si="8"/>
        <v>0</v>
      </c>
      <c r="V50" s="49">
        <f t="shared" si="9"/>
        <v>385</v>
      </c>
      <c r="W50" s="50">
        <f t="shared" si="10"/>
        <v>13.151600000000002</v>
      </c>
    </row>
    <row r="51" spans="1:23" x14ac:dyDescent="0.25">
      <c r="A51" s="42" t="s">
        <v>49</v>
      </c>
      <c r="B51" s="34">
        <v>66</v>
      </c>
      <c r="C51" s="35">
        <v>61</v>
      </c>
      <c r="D51" s="35">
        <v>10</v>
      </c>
      <c r="E51" s="19">
        <f t="shared" si="3"/>
        <v>4.0259999999999997E-2</v>
      </c>
      <c r="F51" s="23">
        <f>'EKİM 4 HAFTA '!V51</f>
        <v>386</v>
      </c>
      <c r="G51" s="26">
        <f t="shared" si="4"/>
        <v>15.54036</v>
      </c>
      <c r="H51" s="21">
        <v>0</v>
      </c>
      <c r="I51" s="11">
        <f t="shared" si="5"/>
        <v>0</v>
      </c>
      <c r="J51" s="21">
        <v>0</v>
      </c>
      <c r="K51" s="10">
        <f t="shared" si="0"/>
        <v>0</v>
      </c>
      <c r="L51" s="21">
        <v>0</v>
      </c>
      <c r="M51" s="11">
        <f t="shared" si="1"/>
        <v>0</v>
      </c>
      <c r="N51" s="21">
        <v>0</v>
      </c>
      <c r="O51" s="10">
        <f t="shared" si="12"/>
        <v>0</v>
      </c>
      <c r="P51" s="21">
        <v>0</v>
      </c>
      <c r="Q51" s="11">
        <f t="shared" si="7"/>
        <v>0</v>
      </c>
      <c r="R51" s="39">
        <f t="shared" si="11"/>
        <v>386</v>
      </c>
      <c r="S51" s="38">
        <f t="shared" si="2"/>
        <v>15.54036</v>
      </c>
      <c r="T51" s="12"/>
      <c r="U51" s="13">
        <f t="shared" si="8"/>
        <v>0</v>
      </c>
      <c r="V51" s="49">
        <f t="shared" si="9"/>
        <v>386</v>
      </c>
      <c r="W51" s="50">
        <f t="shared" si="10"/>
        <v>15.54036</v>
      </c>
    </row>
    <row r="52" spans="1:23" x14ac:dyDescent="0.25">
      <c r="A52" s="42" t="s">
        <v>50</v>
      </c>
      <c r="B52" s="34">
        <v>63</v>
      </c>
      <c r="C52" s="35">
        <v>61</v>
      </c>
      <c r="D52" s="35">
        <v>10</v>
      </c>
      <c r="E52" s="19">
        <f t="shared" si="3"/>
        <v>3.8429999999999999E-2</v>
      </c>
      <c r="F52" s="23">
        <f>'EKİM 4 HAFTA '!V52</f>
        <v>406</v>
      </c>
      <c r="G52" s="26">
        <f t="shared" si="4"/>
        <v>15.60258</v>
      </c>
      <c r="H52" s="21">
        <v>0</v>
      </c>
      <c r="I52" s="11">
        <f t="shared" si="5"/>
        <v>0</v>
      </c>
      <c r="J52" s="21">
        <v>0</v>
      </c>
      <c r="K52" s="10">
        <f t="shared" si="0"/>
        <v>0</v>
      </c>
      <c r="L52" s="21">
        <v>0</v>
      </c>
      <c r="M52" s="11">
        <f t="shared" si="1"/>
        <v>0</v>
      </c>
      <c r="N52" s="21">
        <v>0</v>
      </c>
      <c r="O52" s="10">
        <f t="shared" si="12"/>
        <v>0</v>
      </c>
      <c r="P52" s="21">
        <v>0</v>
      </c>
      <c r="Q52" s="11">
        <f t="shared" si="7"/>
        <v>0</v>
      </c>
      <c r="R52" s="39">
        <f t="shared" si="11"/>
        <v>406</v>
      </c>
      <c r="S52" s="38">
        <f t="shared" si="2"/>
        <v>15.60258</v>
      </c>
      <c r="T52" s="12"/>
      <c r="U52" s="13">
        <f t="shared" si="8"/>
        <v>0</v>
      </c>
      <c r="V52" s="49">
        <f t="shared" si="9"/>
        <v>406</v>
      </c>
      <c r="W52" s="50">
        <f t="shared" si="10"/>
        <v>15.60258</v>
      </c>
    </row>
    <row r="53" spans="1:23" x14ac:dyDescent="0.25">
      <c r="A53" s="42" t="s">
        <v>51</v>
      </c>
      <c r="B53" s="34">
        <v>58</v>
      </c>
      <c r="C53" s="35">
        <v>58</v>
      </c>
      <c r="D53" s="35">
        <v>2.2999999999999998</v>
      </c>
      <c r="E53" s="19">
        <f t="shared" si="3"/>
        <v>7.7371999999999996E-3</v>
      </c>
      <c r="F53" s="23">
        <f>'EKİM 4 HAFTA '!V53</f>
        <v>3800</v>
      </c>
      <c r="G53" s="26">
        <f t="shared" si="4"/>
        <v>29.401359999999997</v>
      </c>
      <c r="H53" s="21">
        <v>0</v>
      </c>
      <c r="I53" s="11">
        <f t="shared" si="5"/>
        <v>0</v>
      </c>
      <c r="J53" s="21">
        <v>0</v>
      </c>
      <c r="K53" s="10">
        <f t="shared" si="0"/>
        <v>0</v>
      </c>
      <c r="L53" s="21">
        <v>0</v>
      </c>
      <c r="M53" s="11">
        <f t="shared" si="1"/>
        <v>0</v>
      </c>
      <c r="N53" s="21">
        <v>0</v>
      </c>
      <c r="O53" s="10">
        <f t="shared" si="12"/>
        <v>0</v>
      </c>
      <c r="P53" s="21">
        <v>0</v>
      </c>
      <c r="Q53" s="11">
        <f t="shared" si="7"/>
        <v>0</v>
      </c>
      <c r="R53" s="39">
        <f t="shared" si="11"/>
        <v>3800</v>
      </c>
      <c r="S53" s="38">
        <f t="shared" si="2"/>
        <v>29.401359999999997</v>
      </c>
      <c r="T53" s="12"/>
      <c r="U53" s="13">
        <f t="shared" si="8"/>
        <v>0</v>
      </c>
      <c r="V53" s="49">
        <f t="shared" si="9"/>
        <v>3800</v>
      </c>
      <c r="W53" s="50">
        <f t="shared" si="10"/>
        <v>29.401359999999997</v>
      </c>
    </row>
    <row r="54" spans="1:23" x14ac:dyDescent="0.25">
      <c r="A54" s="42" t="s">
        <v>52</v>
      </c>
      <c r="B54" s="34">
        <v>79</v>
      </c>
      <c r="C54" s="35">
        <v>62</v>
      </c>
      <c r="D54" s="35">
        <v>2.2999999999999998</v>
      </c>
      <c r="E54" s="19">
        <f t="shared" si="3"/>
        <v>1.12654E-2</v>
      </c>
      <c r="F54" s="23">
        <f>'EKİM 4 HAFTA '!V54</f>
        <v>3537</v>
      </c>
      <c r="G54" s="26">
        <f t="shared" si="4"/>
        <v>39.845719799999998</v>
      </c>
      <c r="H54" s="21">
        <v>0</v>
      </c>
      <c r="I54" s="11">
        <f t="shared" si="5"/>
        <v>0</v>
      </c>
      <c r="J54" s="21">
        <v>0</v>
      </c>
      <c r="K54" s="10">
        <f t="shared" si="0"/>
        <v>0</v>
      </c>
      <c r="L54" s="21">
        <v>0</v>
      </c>
      <c r="M54" s="11">
        <f t="shared" si="1"/>
        <v>0</v>
      </c>
      <c r="N54" s="21">
        <v>0</v>
      </c>
      <c r="O54" s="10">
        <f t="shared" si="12"/>
        <v>0</v>
      </c>
      <c r="P54" s="21">
        <v>0</v>
      </c>
      <c r="Q54" s="11">
        <f t="shared" si="7"/>
        <v>0</v>
      </c>
      <c r="R54" s="39">
        <f t="shared" si="11"/>
        <v>3537</v>
      </c>
      <c r="S54" s="38">
        <f t="shared" si="2"/>
        <v>39.845719799999998</v>
      </c>
      <c r="T54" s="12"/>
      <c r="U54" s="13">
        <f t="shared" si="8"/>
        <v>0</v>
      </c>
      <c r="V54" s="49">
        <f t="shared" si="9"/>
        <v>3537</v>
      </c>
      <c r="W54" s="50">
        <f t="shared" si="10"/>
        <v>39.845719799999998</v>
      </c>
    </row>
    <row r="55" spans="1:23" x14ac:dyDescent="0.25">
      <c r="A55" s="42" t="s">
        <v>53</v>
      </c>
      <c r="B55" s="34">
        <v>200</v>
      </c>
      <c r="C55" s="35">
        <v>176</v>
      </c>
      <c r="D55" s="35">
        <v>2.2999999999999998</v>
      </c>
      <c r="E55" s="19">
        <f t="shared" si="3"/>
        <v>8.0960000000000004E-2</v>
      </c>
      <c r="F55" s="23">
        <f>'EKİM 4 HAFTA '!V55</f>
        <v>1</v>
      </c>
      <c r="G55" s="26">
        <f t="shared" si="4"/>
        <v>8.0960000000000004E-2</v>
      </c>
      <c r="H55" s="21">
        <v>0</v>
      </c>
      <c r="I55" s="11">
        <f t="shared" si="5"/>
        <v>0</v>
      </c>
      <c r="J55" s="21">
        <v>0</v>
      </c>
      <c r="K55" s="10">
        <f t="shared" si="0"/>
        <v>0</v>
      </c>
      <c r="L55" s="21">
        <v>0</v>
      </c>
      <c r="M55" s="11">
        <f t="shared" si="1"/>
        <v>0</v>
      </c>
      <c r="N55" s="21">
        <v>0</v>
      </c>
      <c r="O55" s="10">
        <f t="shared" si="12"/>
        <v>0</v>
      </c>
      <c r="P55" s="21">
        <v>0</v>
      </c>
      <c r="Q55" s="11">
        <f t="shared" si="7"/>
        <v>0</v>
      </c>
      <c r="R55" s="39">
        <f t="shared" si="11"/>
        <v>1</v>
      </c>
      <c r="S55" s="38">
        <f t="shared" si="2"/>
        <v>8.0960000000000004E-2</v>
      </c>
      <c r="T55" s="12"/>
      <c r="U55" s="13">
        <f t="shared" si="8"/>
        <v>0</v>
      </c>
      <c r="V55" s="49">
        <f t="shared" si="9"/>
        <v>1</v>
      </c>
      <c r="W55" s="50">
        <f t="shared" si="10"/>
        <v>8.0960000000000004E-2</v>
      </c>
    </row>
    <row r="56" spans="1:23" x14ac:dyDescent="0.25">
      <c r="A56" s="42" t="s">
        <v>54</v>
      </c>
      <c r="B56" s="34">
        <v>79</v>
      </c>
      <c r="C56" s="35">
        <v>79</v>
      </c>
      <c r="D56" s="35">
        <v>2.2999999999999998</v>
      </c>
      <c r="E56" s="19">
        <f t="shared" si="3"/>
        <v>1.4354299999999999E-2</v>
      </c>
      <c r="F56" s="23">
        <f>'EKİM 4 HAFTA '!V56</f>
        <v>241</v>
      </c>
      <c r="G56" s="26">
        <f t="shared" si="4"/>
        <v>3.4593862999999998</v>
      </c>
      <c r="H56" s="21">
        <v>0</v>
      </c>
      <c r="I56" s="11">
        <f t="shared" si="5"/>
        <v>0</v>
      </c>
      <c r="J56" s="21">
        <v>0</v>
      </c>
      <c r="K56" s="10">
        <f t="shared" si="0"/>
        <v>0</v>
      </c>
      <c r="L56" s="21">
        <v>0</v>
      </c>
      <c r="M56" s="11">
        <f t="shared" si="1"/>
        <v>0</v>
      </c>
      <c r="N56" s="21">
        <v>0</v>
      </c>
      <c r="O56" s="10">
        <f t="shared" si="12"/>
        <v>0</v>
      </c>
      <c r="P56" s="21">
        <v>0</v>
      </c>
      <c r="Q56" s="11">
        <f t="shared" si="7"/>
        <v>0</v>
      </c>
      <c r="R56" s="39">
        <f t="shared" si="11"/>
        <v>241</v>
      </c>
      <c r="S56" s="38">
        <f t="shared" si="2"/>
        <v>3.4593862999999998</v>
      </c>
      <c r="T56" s="12"/>
      <c r="U56" s="13">
        <f t="shared" si="8"/>
        <v>0</v>
      </c>
      <c r="V56" s="49">
        <f t="shared" si="9"/>
        <v>241</v>
      </c>
      <c r="W56" s="50">
        <f t="shared" si="10"/>
        <v>3.4593862999999998</v>
      </c>
    </row>
    <row r="57" spans="1:23" ht="15.75" x14ac:dyDescent="0.25">
      <c r="A57" s="42" t="s">
        <v>55</v>
      </c>
      <c r="B57" s="111">
        <v>50</v>
      </c>
      <c r="C57" s="112">
        <v>45</v>
      </c>
      <c r="D57" s="112">
        <v>4</v>
      </c>
      <c r="E57" s="19">
        <f t="shared" si="3"/>
        <v>8.9999999999999993E-3</v>
      </c>
      <c r="F57" s="23">
        <f>'EKİM 4 HAFTA '!V57</f>
        <v>639</v>
      </c>
      <c r="G57" s="26">
        <f t="shared" si="4"/>
        <v>5.7509999999999994</v>
      </c>
      <c r="H57" s="21">
        <v>77</v>
      </c>
      <c r="I57" s="11">
        <f t="shared" si="5"/>
        <v>0.69299999999999995</v>
      </c>
      <c r="J57" s="21">
        <v>25</v>
      </c>
      <c r="K57" s="10">
        <f t="shared" si="0"/>
        <v>0.22499999999999998</v>
      </c>
      <c r="L57" s="21">
        <v>0</v>
      </c>
      <c r="M57" s="11">
        <f t="shared" si="1"/>
        <v>0</v>
      </c>
      <c r="N57" s="21">
        <v>0</v>
      </c>
      <c r="O57" s="10">
        <f t="shared" si="12"/>
        <v>0</v>
      </c>
      <c r="P57" s="21">
        <v>0</v>
      </c>
      <c r="Q57" s="11">
        <f t="shared" si="7"/>
        <v>0</v>
      </c>
      <c r="R57" s="39">
        <f t="shared" si="11"/>
        <v>537</v>
      </c>
      <c r="S57" s="38">
        <f t="shared" si="2"/>
        <v>4.8329999999999993</v>
      </c>
      <c r="T57" s="12"/>
      <c r="U57" s="13">
        <f t="shared" si="8"/>
        <v>0</v>
      </c>
      <c r="V57" s="49">
        <f t="shared" si="9"/>
        <v>537</v>
      </c>
      <c r="W57" s="50">
        <f t="shared" si="10"/>
        <v>4.8329999999999993</v>
      </c>
    </row>
    <row r="58" spans="1:23" ht="15.75" x14ac:dyDescent="0.25">
      <c r="A58" s="42" t="s">
        <v>56</v>
      </c>
      <c r="B58" s="111">
        <v>50</v>
      </c>
      <c r="C58" s="112">
        <v>35</v>
      </c>
      <c r="D58" s="112">
        <v>4</v>
      </c>
      <c r="E58" s="19">
        <f t="shared" si="3"/>
        <v>7.0000000000000001E-3</v>
      </c>
      <c r="F58" s="23">
        <f>'EKİM 4 HAFTA '!V58</f>
        <v>725</v>
      </c>
      <c r="G58" s="26">
        <f t="shared" si="4"/>
        <v>5.0750000000000002</v>
      </c>
      <c r="H58" s="21">
        <v>0</v>
      </c>
      <c r="I58" s="11">
        <f t="shared" si="5"/>
        <v>0</v>
      </c>
      <c r="J58" s="21">
        <v>125</v>
      </c>
      <c r="K58" s="10">
        <f t="shared" si="0"/>
        <v>0.875</v>
      </c>
      <c r="L58" s="21">
        <v>0</v>
      </c>
      <c r="M58" s="11">
        <f t="shared" si="1"/>
        <v>0</v>
      </c>
      <c r="N58" s="21">
        <v>0</v>
      </c>
      <c r="O58" s="10">
        <f t="shared" si="12"/>
        <v>0</v>
      </c>
      <c r="P58" s="21">
        <v>0</v>
      </c>
      <c r="Q58" s="11">
        <f t="shared" si="7"/>
        <v>0</v>
      </c>
      <c r="R58" s="39">
        <f t="shared" si="11"/>
        <v>600</v>
      </c>
      <c r="S58" s="38">
        <f t="shared" si="2"/>
        <v>4.2</v>
      </c>
      <c r="T58" s="12"/>
      <c r="U58" s="13">
        <f t="shared" si="8"/>
        <v>0</v>
      </c>
      <c r="V58" s="49">
        <f t="shared" si="9"/>
        <v>600</v>
      </c>
      <c r="W58" s="50">
        <f t="shared" si="10"/>
        <v>4.2</v>
      </c>
    </row>
    <row r="59" spans="1:23" ht="15.75" x14ac:dyDescent="0.25">
      <c r="A59" s="42" t="s">
        <v>57</v>
      </c>
      <c r="B59" s="111">
        <v>45</v>
      </c>
      <c r="C59" s="112">
        <v>50</v>
      </c>
      <c r="D59" s="112">
        <v>3</v>
      </c>
      <c r="E59" s="19">
        <f t="shared" si="3"/>
        <v>6.7499999999999999E-3</v>
      </c>
      <c r="F59" s="23">
        <f>'EKİM 4 HAFTA '!V59</f>
        <v>0</v>
      </c>
      <c r="G59" s="26">
        <f t="shared" si="4"/>
        <v>0</v>
      </c>
      <c r="H59" s="21">
        <v>0</v>
      </c>
      <c r="I59" s="11">
        <f t="shared" si="5"/>
        <v>0</v>
      </c>
      <c r="J59" s="21">
        <v>0</v>
      </c>
      <c r="K59" s="10">
        <f t="shared" si="0"/>
        <v>0</v>
      </c>
      <c r="L59" s="21">
        <v>0</v>
      </c>
      <c r="M59" s="11">
        <f t="shared" si="1"/>
        <v>0</v>
      </c>
      <c r="N59" s="21">
        <v>0</v>
      </c>
      <c r="O59" s="10">
        <f t="shared" si="12"/>
        <v>0</v>
      </c>
      <c r="P59" s="21">
        <v>6</v>
      </c>
      <c r="Q59" s="11">
        <f t="shared" si="7"/>
        <v>4.0500000000000001E-2</v>
      </c>
      <c r="R59" s="39">
        <f t="shared" si="11"/>
        <v>-6</v>
      </c>
      <c r="S59" s="38">
        <f t="shared" si="2"/>
        <v>-4.0500000000000001E-2</v>
      </c>
      <c r="T59" s="12">
        <v>1620</v>
      </c>
      <c r="U59" s="13">
        <f t="shared" si="8"/>
        <v>10.935</v>
      </c>
      <c r="V59" s="49">
        <f t="shared" si="9"/>
        <v>1614</v>
      </c>
      <c r="W59" s="50">
        <f t="shared" si="10"/>
        <v>10.894500000000001</v>
      </c>
    </row>
    <row r="60" spans="1:23" ht="15.75" x14ac:dyDescent="0.25">
      <c r="A60" s="42" t="s">
        <v>58</v>
      </c>
      <c r="B60" s="111">
        <v>50</v>
      </c>
      <c r="C60" s="112">
        <v>35</v>
      </c>
      <c r="D60" s="112">
        <v>3</v>
      </c>
      <c r="E60" s="19">
        <f t="shared" si="3"/>
        <v>5.2500000000000003E-3</v>
      </c>
      <c r="F60" s="23">
        <f>'EKİM 4 HAFTA '!V60</f>
        <v>0</v>
      </c>
      <c r="G60" s="26">
        <f t="shared" si="4"/>
        <v>0</v>
      </c>
      <c r="H60" s="21">
        <v>0</v>
      </c>
      <c r="I60" s="11">
        <f t="shared" si="5"/>
        <v>0</v>
      </c>
      <c r="J60" s="21">
        <v>0</v>
      </c>
      <c r="K60" s="10">
        <f t="shared" si="0"/>
        <v>0</v>
      </c>
      <c r="L60" s="21">
        <v>0</v>
      </c>
      <c r="M60" s="11">
        <f t="shared" si="1"/>
        <v>0</v>
      </c>
      <c r="N60" s="21">
        <v>0</v>
      </c>
      <c r="O60" s="10">
        <f t="shared" si="12"/>
        <v>0</v>
      </c>
      <c r="P60" s="21">
        <v>0</v>
      </c>
      <c r="Q60" s="11">
        <f t="shared" si="7"/>
        <v>0</v>
      </c>
      <c r="R60" s="39">
        <f t="shared" si="11"/>
        <v>0</v>
      </c>
      <c r="S60" s="38">
        <f t="shared" si="2"/>
        <v>0</v>
      </c>
      <c r="T60" s="12">
        <v>1170</v>
      </c>
      <c r="U60" s="13">
        <f t="shared" si="8"/>
        <v>6.1425000000000001</v>
      </c>
      <c r="V60" s="49">
        <f t="shared" si="9"/>
        <v>1170</v>
      </c>
      <c r="W60" s="50">
        <f t="shared" si="10"/>
        <v>6.1425000000000001</v>
      </c>
    </row>
    <row r="61" spans="1:23" ht="15.75" x14ac:dyDescent="0.25">
      <c r="A61" s="42" t="s">
        <v>59</v>
      </c>
      <c r="B61" s="111">
        <v>42</v>
      </c>
      <c r="C61" s="112">
        <v>36</v>
      </c>
      <c r="D61" s="112">
        <v>4</v>
      </c>
      <c r="E61" s="19">
        <f t="shared" si="3"/>
        <v>6.0480000000000004E-3</v>
      </c>
      <c r="F61" s="23">
        <f>'EKİM 4 HAFTA '!V61</f>
        <v>0</v>
      </c>
      <c r="G61" s="26">
        <f t="shared" si="4"/>
        <v>0</v>
      </c>
      <c r="H61" s="21">
        <v>0</v>
      </c>
      <c r="I61" s="11">
        <f t="shared" si="5"/>
        <v>0</v>
      </c>
      <c r="J61" s="21">
        <v>0</v>
      </c>
      <c r="K61" s="10">
        <f t="shared" si="0"/>
        <v>0</v>
      </c>
      <c r="L61" s="21">
        <v>0</v>
      </c>
      <c r="M61" s="11">
        <f t="shared" si="1"/>
        <v>0</v>
      </c>
      <c r="N61" s="21">
        <v>0</v>
      </c>
      <c r="O61" s="10">
        <f t="shared" si="12"/>
        <v>0</v>
      </c>
      <c r="P61" s="21">
        <v>0</v>
      </c>
      <c r="Q61" s="11">
        <f t="shared" si="7"/>
        <v>0</v>
      </c>
      <c r="R61" s="39">
        <f t="shared" si="11"/>
        <v>0</v>
      </c>
      <c r="S61" s="38">
        <f t="shared" si="2"/>
        <v>0</v>
      </c>
      <c r="T61" s="12"/>
      <c r="U61" s="13">
        <f t="shared" si="8"/>
        <v>0</v>
      </c>
      <c r="V61" s="49">
        <f t="shared" si="9"/>
        <v>0</v>
      </c>
      <c r="W61" s="50">
        <f t="shared" si="10"/>
        <v>0</v>
      </c>
    </row>
    <row r="62" spans="1:23" ht="15.75" x14ac:dyDescent="0.25">
      <c r="A62" s="42" t="s">
        <v>60</v>
      </c>
      <c r="B62" s="111">
        <v>50</v>
      </c>
      <c r="C62" s="112">
        <v>35</v>
      </c>
      <c r="D62" s="112">
        <v>3</v>
      </c>
      <c r="E62" s="19">
        <f t="shared" si="3"/>
        <v>5.2500000000000003E-3</v>
      </c>
      <c r="F62" s="23">
        <f>'EKİM 4 HAFTA '!V62</f>
        <v>1532</v>
      </c>
      <c r="G62" s="26">
        <f t="shared" si="4"/>
        <v>8.043000000000001</v>
      </c>
      <c r="H62" s="21">
        <v>0</v>
      </c>
      <c r="I62" s="11">
        <f t="shared" si="5"/>
        <v>0</v>
      </c>
      <c r="J62" s="21">
        <v>60</v>
      </c>
      <c r="K62" s="10">
        <f t="shared" si="0"/>
        <v>0.315</v>
      </c>
      <c r="L62" s="21">
        <v>0</v>
      </c>
      <c r="M62" s="11">
        <f t="shared" si="1"/>
        <v>0</v>
      </c>
      <c r="N62" s="21">
        <v>0</v>
      </c>
      <c r="O62" s="10">
        <f t="shared" si="12"/>
        <v>0</v>
      </c>
      <c r="P62" s="21">
        <v>0</v>
      </c>
      <c r="Q62" s="11">
        <f t="shared" si="7"/>
        <v>0</v>
      </c>
      <c r="R62" s="39">
        <f t="shared" si="11"/>
        <v>1472</v>
      </c>
      <c r="S62" s="38">
        <f t="shared" si="2"/>
        <v>7.7280000000000006</v>
      </c>
      <c r="T62" s="12"/>
      <c r="U62" s="13">
        <f t="shared" si="8"/>
        <v>0</v>
      </c>
      <c r="V62" s="49">
        <f t="shared" si="9"/>
        <v>1472</v>
      </c>
      <c r="W62" s="50">
        <f t="shared" si="10"/>
        <v>7.7280000000000006</v>
      </c>
    </row>
    <row r="63" spans="1:23" ht="15.75" x14ac:dyDescent="0.25">
      <c r="A63" s="43" t="s">
        <v>61</v>
      </c>
      <c r="B63" s="111">
        <v>45</v>
      </c>
      <c r="C63" s="112">
        <v>50</v>
      </c>
      <c r="D63" s="112">
        <v>3</v>
      </c>
      <c r="E63" s="19">
        <f t="shared" si="3"/>
        <v>6.7499999999999999E-3</v>
      </c>
      <c r="F63" s="23">
        <f>'EKİM 4 HAFTA '!V63</f>
        <v>1050</v>
      </c>
      <c r="G63" s="26">
        <f t="shared" si="4"/>
        <v>7.0875000000000004</v>
      </c>
      <c r="H63" s="21">
        <v>0</v>
      </c>
      <c r="I63" s="11">
        <f t="shared" si="5"/>
        <v>0</v>
      </c>
      <c r="J63" s="21">
        <v>0</v>
      </c>
      <c r="K63" s="10">
        <f t="shared" si="0"/>
        <v>0</v>
      </c>
      <c r="L63" s="21">
        <v>0</v>
      </c>
      <c r="M63" s="11">
        <f t="shared" si="1"/>
        <v>0</v>
      </c>
      <c r="N63" s="21">
        <v>0</v>
      </c>
      <c r="O63" s="10">
        <f t="shared" si="12"/>
        <v>0</v>
      </c>
      <c r="P63" s="21">
        <v>0</v>
      </c>
      <c r="Q63" s="11">
        <f t="shared" si="7"/>
        <v>0</v>
      </c>
      <c r="R63" s="39">
        <f t="shared" si="11"/>
        <v>1050</v>
      </c>
      <c r="S63" s="38">
        <f t="shared" si="2"/>
        <v>7.0875000000000004</v>
      </c>
      <c r="T63" s="12"/>
      <c r="U63" s="13">
        <f t="shared" si="8"/>
        <v>0</v>
      </c>
      <c r="V63" s="49">
        <f t="shared" si="9"/>
        <v>1050</v>
      </c>
      <c r="W63" s="50">
        <f t="shared" si="10"/>
        <v>7.0875000000000004</v>
      </c>
    </row>
    <row r="64" spans="1:23" ht="15.75" thickBot="1" x14ac:dyDescent="0.3">
      <c r="A64" s="44" t="s">
        <v>90</v>
      </c>
      <c r="B64" s="36">
        <v>140</v>
      </c>
      <c r="C64" s="37">
        <v>9.5</v>
      </c>
      <c r="D64" s="37">
        <v>6.5</v>
      </c>
      <c r="E64" s="20">
        <f t="shared" si="3"/>
        <v>8.6449999999999999E-3</v>
      </c>
      <c r="F64" s="23">
        <f>'EKİM 4 HAFTA '!V64</f>
        <v>0</v>
      </c>
      <c r="G64" s="27">
        <f t="shared" si="4"/>
        <v>0</v>
      </c>
      <c r="H64" s="21">
        <v>0</v>
      </c>
      <c r="I64" s="100">
        <f t="shared" si="5"/>
        <v>0</v>
      </c>
      <c r="J64" s="21">
        <v>0</v>
      </c>
      <c r="K64" s="48">
        <f t="shared" si="0"/>
        <v>0</v>
      </c>
      <c r="L64" s="21">
        <v>0</v>
      </c>
      <c r="M64" s="46">
        <f t="shared" si="1"/>
        <v>0</v>
      </c>
      <c r="N64" s="21">
        <v>0</v>
      </c>
      <c r="O64" s="10">
        <f t="shared" si="12"/>
        <v>0</v>
      </c>
      <c r="P64" s="21">
        <v>0</v>
      </c>
      <c r="Q64" s="46">
        <f t="shared" si="7"/>
        <v>0</v>
      </c>
      <c r="R64" s="40">
        <f t="shared" si="11"/>
        <v>0</v>
      </c>
      <c r="S64" s="41">
        <f t="shared" si="2"/>
        <v>0</v>
      </c>
      <c r="T64" s="51">
        <v>1555</v>
      </c>
      <c r="U64" s="13">
        <f t="shared" si="8"/>
        <v>13.442975000000001</v>
      </c>
      <c r="V64" s="49">
        <f t="shared" si="9"/>
        <v>1555</v>
      </c>
      <c r="W64" s="50">
        <f t="shared" si="10"/>
        <v>13.442975000000001</v>
      </c>
    </row>
    <row r="65" spans="1:23" ht="16.5" thickBot="1" x14ac:dyDescent="0.3">
      <c r="A65" s="91" t="s">
        <v>79</v>
      </c>
      <c r="B65" s="112">
        <v>90</v>
      </c>
      <c r="C65" s="112">
        <v>83</v>
      </c>
      <c r="D65" s="112">
        <v>2</v>
      </c>
      <c r="E65" s="114">
        <f t="shared" si="3"/>
        <v>1.494E-2</v>
      </c>
      <c r="F65" s="23">
        <f>'EKİM 4 HAFTA '!V65</f>
        <v>274</v>
      </c>
      <c r="G65" s="116">
        <f t="shared" si="4"/>
        <v>4.0935600000000001</v>
      </c>
      <c r="H65" s="21">
        <v>0</v>
      </c>
      <c r="I65" s="127">
        <f t="shared" si="5"/>
        <v>0</v>
      </c>
      <c r="J65" s="21">
        <v>0</v>
      </c>
      <c r="K65" s="119">
        <f t="shared" si="0"/>
        <v>0</v>
      </c>
      <c r="L65" s="21">
        <v>0</v>
      </c>
      <c r="M65" s="120">
        <f t="shared" si="1"/>
        <v>0</v>
      </c>
      <c r="N65" s="21">
        <v>0</v>
      </c>
      <c r="O65" s="48">
        <f t="shared" si="12"/>
        <v>0</v>
      </c>
      <c r="P65" s="21">
        <v>0</v>
      </c>
      <c r="Q65" s="46">
        <f t="shared" si="7"/>
        <v>0</v>
      </c>
      <c r="R65" s="122">
        <f t="shared" si="11"/>
        <v>274</v>
      </c>
      <c r="S65" s="123">
        <f t="shared" si="2"/>
        <v>4.0935600000000001</v>
      </c>
      <c r="T65" s="138">
        <v>154</v>
      </c>
      <c r="U65" s="13">
        <f t="shared" si="8"/>
        <v>2.3007599999999999</v>
      </c>
      <c r="V65" s="141">
        <f t="shared" si="9"/>
        <v>428</v>
      </c>
      <c r="W65" s="50">
        <f t="shared" si="10"/>
        <v>6.3943200000000004</v>
      </c>
    </row>
    <row r="66" spans="1:23" ht="16.5" thickBot="1" x14ac:dyDescent="0.3">
      <c r="A66" s="102" t="s">
        <v>80</v>
      </c>
      <c r="B66" s="113">
        <v>92</v>
      </c>
      <c r="C66" s="113">
        <v>82</v>
      </c>
      <c r="D66" s="113">
        <v>2</v>
      </c>
      <c r="E66" s="124">
        <f t="shared" si="3"/>
        <v>1.5088000000000001E-2</v>
      </c>
      <c r="F66" s="23">
        <f>'EKİM 4 HAFTA '!V66</f>
        <v>262</v>
      </c>
      <c r="G66" s="125">
        <f t="shared" si="4"/>
        <v>3.9530560000000001</v>
      </c>
      <c r="H66" s="21">
        <v>0</v>
      </c>
      <c r="I66" s="127">
        <f t="shared" si="5"/>
        <v>0</v>
      </c>
      <c r="J66" s="21">
        <v>0</v>
      </c>
      <c r="K66" s="119">
        <f t="shared" si="0"/>
        <v>0</v>
      </c>
      <c r="L66" s="21">
        <v>0</v>
      </c>
      <c r="M66" s="120">
        <f t="shared" si="1"/>
        <v>0</v>
      </c>
      <c r="N66" s="21">
        <v>0</v>
      </c>
      <c r="O66" s="121">
        <f t="shared" si="12"/>
        <v>0</v>
      </c>
      <c r="P66" s="21">
        <v>0</v>
      </c>
      <c r="Q66" s="46">
        <f t="shared" si="7"/>
        <v>0</v>
      </c>
      <c r="R66" s="122">
        <f t="shared" si="11"/>
        <v>262</v>
      </c>
      <c r="S66" s="123">
        <f t="shared" si="2"/>
        <v>3.9530560000000001</v>
      </c>
      <c r="T66" s="172">
        <v>0</v>
      </c>
      <c r="U66" s="13">
        <f t="shared" si="8"/>
        <v>0</v>
      </c>
      <c r="V66" s="141">
        <f t="shared" si="9"/>
        <v>262</v>
      </c>
      <c r="W66" s="107">
        <f t="shared" si="10"/>
        <v>3.9530560000000001</v>
      </c>
    </row>
    <row r="67" spans="1:23" ht="15.75" thickBot="1" x14ac:dyDescent="0.3">
      <c r="A67" s="108" t="s">
        <v>82</v>
      </c>
      <c r="B67" s="35">
        <v>82</v>
      </c>
      <c r="C67" s="35">
        <v>80</v>
      </c>
      <c r="D67" s="35">
        <v>2</v>
      </c>
      <c r="E67" s="114">
        <f t="shared" si="3"/>
        <v>1.312E-2</v>
      </c>
      <c r="F67" s="23">
        <f>'EKİM 4 HAFTA '!V67</f>
        <v>175</v>
      </c>
      <c r="G67" s="110">
        <f t="shared" si="4"/>
        <v>2.2959999999999998</v>
      </c>
      <c r="H67" s="21">
        <v>0</v>
      </c>
      <c r="I67" s="115">
        <f t="shared" si="5"/>
        <v>0</v>
      </c>
      <c r="J67" s="21">
        <v>0</v>
      </c>
      <c r="K67" s="48">
        <f t="shared" si="0"/>
        <v>0</v>
      </c>
      <c r="L67" s="21">
        <v>0</v>
      </c>
      <c r="M67" s="11">
        <f t="shared" si="1"/>
        <v>0</v>
      </c>
      <c r="N67" s="21">
        <v>0</v>
      </c>
      <c r="O67" s="121">
        <f t="shared" si="12"/>
        <v>0</v>
      </c>
      <c r="P67" s="21">
        <v>0</v>
      </c>
      <c r="Q67" s="46">
        <f t="shared" si="7"/>
        <v>0</v>
      </c>
      <c r="R67" s="86">
        <f t="shared" si="11"/>
        <v>175</v>
      </c>
      <c r="S67" s="87">
        <f t="shared" si="2"/>
        <v>2.2959999999999998</v>
      </c>
      <c r="T67" s="138"/>
      <c r="U67" s="13">
        <f t="shared" si="8"/>
        <v>0</v>
      </c>
      <c r="V67" s="141">
        <f t="shared" si="9"/>
        <v>175</v>
      </c>
      <c r="W67" s="107">
        <f t="shared" si="10"/>
        <v>2.2959999999999998</v>
      </c>
    </row>
    <row r="68" spans="1:23" ht="15.75" thickBot="1" x14ac:dyDescent="0.3">
      <c r="A68" s="108" t="s">
        <v>83</v>
      </c>
      <c r="B68" s="35">
        <v>86</v>
      </c>
      <c r="C68" s="35">
        <v>77</v>
      </c>
      <c r="D68" s="35">
        <v>8</v>
      </c>
      <c r="E68" s="114">
        <f t="shared" si="3"/>
        <v>5.2976000000000002E-2</v>
      </c>
      <c r="F68" s="23">
        <f>'EKİM 4 HAFTA '!V68</f>
        <v>32</v>
      </c>
      <c r="G68" s="110">
        <f t="shared" si="4"/>
        <v>1.6952320000000001</v>
      </c>
      <c r="H68" s="21">
        <v>0</v>
      </c>
      <c r="I68" s="115">
        <f t="shared" ref="I68:I72" si="13">E68*H68</f>
        <v>0</v>
      </c>
      <c r="J68" s="21">
        <v>22</v>
      </c>
      <c r="K68" s="48">
        <f t="shared" si="0"/>
        <v>1.1654720000000001</v>
      </c>
      <c r="L68" s="21">
        <v>0</v>
      </c>
      <c r="M68" s="11">
        <v>0</v>
      </c>
      <c r="N68" s="21">
        <v>0</v>
      </c>
      <c r="O68" s="10">
        <f t="shared" si="12"/>
        <v>0</v>
      </c>
      <c r="P68" s="21">
        <v>0</v>
      </c>
      <c r="Q68" s="46">
        <f t="shared" si="7"/>
        <v>0</v>
      </c>
      <c r="R68" s="86">
        <f t="shared" si="11"/>
        <v>10</v>
      </c>
      <c r="S68" s="87">
        <f t="shared" si="2"/>
        <v>0.52976000000000001</v>
      </c>
      <c r="T68" s="138"/>
      <c r="U68" s="13">
        <f t="shared" si="8"/>
        <v>0</v>
      </c>
      <c r="V68" s="141">
        <f t="shared" si="9"/>
        <v>10</v>
      </c>
      <c r="W68" s="107">
        <f t="shared" si="10"/>
        <v>0.52976000000000001</v>
      </c>
    </row>
    <row r="69" spans="1:23" ht="15.75" thickBot="1" x14ac:dyDescent="0.3">
      <c r="A69" s="108" t="s">
        <v>84</v>
      </c>
      <c r="B69" s="35">
        <v>76</v>
      </c>
      <c r="C69" s="35">
        <v>75</v>
      </c>
      <c r="D69" s="35">
        <v>8</v>
      </c>
      <c r="E69" s="114">
        <f t="shared" si="3"/>
        <v>4.5600000000000002E-2</v>
      </c>
      <c r="F69" s="23">
        <f>'EKİM 4 HAFTA '!V69</f>
        <v>50</v>
      </c>
      <c r="G69" s="110">
        <f t="shared" si="4"/>
        <v>2.2800000000000002</v>
      </c>
      <c r="H69" s="21">
        <v>0</v>
      </c>
      <c r="I69" s="115">
        <f t="shared" si="13"/>
        <v>0</v>
      </c>
      <c r="J69" s="21">
        <v>36</v>
      </c>
      <c r="K69" s="48">
        <f t="shared" ref="K69:K72" si="14">E69*J69</f>
        <v>1.6415999999999999</v>
      </c>
      <c r="L69" s="21">
        <v>0</v>
      </c>
      <c r="M69" s="11">
        <f t="shared" ref="M69" si="15">E69*L69</f>
        <v>0</v>
      </c>
      <c r="N69" s="21">
        <v>0</v>
      </c>
      <c r="O69" s="10">
        <f t="shared" si="12"/>
        <v>0</v>
      </c>
      <c r="P69" s="21">
        <v>0</v>
      </c>
      <c r="Q69" s="46">
        <f t="shared" si="7"/>
        <v>0</v>
      </c>
      <c r="R69" s="86">
        <f t="shared" si="11"/>
        <v>14</v>
      </c>
      <c r="S69" s="87">
        <f t="shared" ref="S69:S72" si="16">E69*R69</f>
        <v>0.63840000000000008</v>
      </c>
      <c r="T69" s="138"/>
      <c r="U69" s="13">
        <f t="shared" si="8"/>
        <v>0</v>
      </c>
      <c r="V69" s="141">
        <f t="shared" si="9"/>
        <v>14</v>
      </c>
      <c r="W69" s="107">
        <f t="shared" si="10"/>
        <v>0.63840000000000008</v>
      </c>
    </row>
    <row r="70" spans="1:23" ht="15.75" thickBot="1" x14ac:dyDescent="0.3">
      <c r="A70" s="108" t="s">
        <v>85</v>
      </c>
      <c r="B70" s="35">
        <v>140</v>
      </c>
      <c r="C70" s="35">
        <v>240</v>
      </c>
      <c r="D70" s="35">
        <v>12</v>
      </c>
      <c r="E70" s="114">
        <f t="shared" ref="E70:E72" si="17">(B70*C70*D70)/1000000</f>
        <v>0.4032</v>
      </c>
      <c r="F70" s="23">
        <f>'EKİM 4 HAFTA '!V70</f>
        <v>4</v>
      </c>
      <c r="G70" s="110">
        <f t="shared" ref="G70:G72" si="18">E70*F70</f>
        <v>1.6128</v>
      </c>
      <c r="H70" s="21">
        <v>0</v>
      </c>
      <c r="I70" s="115">
        <f t="shared" si="13"/>
        <v>0</v>
      </c>
      <c r="J70" s="21">
        <v>0</v>
      </c>
      <c r="K70" s="48">
        <f t="shared" si="14"/>
        <v>0</v>
      </c>
      <c r="L70" s="21">
        <v>0</v>
      </c>
      <c r="M70" s="100">
        <f t="shared" ref="M70" si="19">I70*L70</f>
        <v>0</v>
      </c>
      <c r="N70" s="21">
        <v>0</v>
      </c>
      <c r="O70" s="10">
        <f t="shared" si="12"/>
        <v>0</v>
      </c>
      <c r="P70" s="21">
        <v>0</v>
      </c>
      <c r="Q70" s="46">
        <f t="shared" ref="Q70:Q72" si="20">E70*P70</f>
        <v>0</v>
      </c>
      <c r="R70" s="86">
        <f t="shared" si="11"/>
        <v>4</v>
      </c>
      <c r="S70" s="87">
        <f t="shared" si="16"/>
        <v>1.6128</v>
      </c>
      <c r="T70" s="138"/>
      <c r="U70" s="13">
        <f t="shared" ref="U70:U72" si="21">E70*T70</f>
        <v>0</v>
      </c>
      <c r="V70" s="141">
        <f t="shared" ref="V70:V72" si="22">R70+T70</f>
        <v>4</v>
      </c>
      <c r="W70" s="107">
        <f t="shared" ref="W70:W72" si="23">E70*V70</f>
        <v>1.6128</v>
      </c>
    </row>
    <row r="71" spans="1:23" x14ac:dyDescent="0.25">
      <c r="A71" s="108" t="s">
        <v>96</v>
      </c>
      <c r="B71" s="130">
        <v>140</v>
      </c>
      <c r="C71" s="130">
        <v>240</v>
      </c>
      <c r="D71" s="130">
        <v>2</v>
      </c>
      <c r="E71" s="131">
        <f t="shared" si="17"/>
        <v>6.7199999999999996E-2</v>
      </c>
      <c r="F71" s="23">
        <f>'EKİM 4 HAFTA '!V71</f>
        <v>82</v>
      </c>
      <c r="G71" s="135">
        <f t="shared" si="18"/>
        <v>5.5103999999999997</v>
      </c>
      <c r="H71" s="21">
        <v>0</v>
      </c>
      <c r="I71" s="115">
        <f t="shared" si="13"/>
        <v>0</v>
      </c>
      <c r="J71" s="21">
        <v>7</v>
      </c>
      <c r="K71" s="173">
        <f t="shared" si="14"/>
        <v>0.47039999999999998</v>
      </c>
      <c r="L71" s="21">
        <v>10</v>
      </c>
      <c r="M71" s="11">
        <f t="shared" ref="M71:M72" si="24">E71*L71</f>
        <v>0.67199999999999993</v>
      </c>
      <c r="N71" s="21">
        <v>0</v>
      </c>
      <c r="O71" s="10">
        <f t="shared" si="12"/>
        <v>0</v>
      </c>
      <c r="P71" s="21">
        <v>0</v>
      </c>
      <c r="Q71" s="154">
        <f t="shared" si="20"/>
        <v>0</v>
      </c>
      <c r="R71" s="86">
        <f t="shared" ref="R71:R72" si="25">F71-H71-J71-L71-N71-P71</f>
        <v>65</v>
      </c>
      <c r="S71" s="97">
        <f t="shared" si="16"/>
        <v>4.3679999999999994</v>
      </c>
      <c r="T71" s="138">
        <v>157</v>
      </c>
      <c r="U71" s="13">
        <f t="shared" si="21"/>
        <v>10.5504</v>
      </c>
      <c r="V71" s="141">
        <f t="shared" si="22"/>
        <v>222</v>
      </c>
      <c r="W71" s="141">
        <f t="shared" si="23"/>
        <v>14.918399999999998</v>
      </c>
    </row>
    <row r="72" spans="1:23" x14ac:dyDescent="0.25">
      <c r="A72" s="108" t="s">
        <v>95</v>
      </c>
      <c r="B72" s="132">
        <v>61</v>
      </c>
      <c r="C72" s="132">
        <v>61</v>
      </c>
      <c r="D72" s="132">
        <v>3</v>
      </c>
      <c r="E72" s="133">
        <f t="shared" si="17"/>
        <v>1.1162999999999999E-2</v>
      </c>
      <c r="F72" s="23">
        <f>'EKİM 4 HAFTA '!V72</f>
        <v>292</v>
      </c>
      <c r="G72" s="136">
        <f t="shared" si="18"/>
        <v>3.2595959999999997</v>
      </c>
      <c r="H72" s="21">
        <v>106</v>
      </c>
      <c r="I72" s="115">
        <f t="shared" si="13"/>
        <v>1.1832779999999998</v>
      </c>
      <c r="J72" s="21">
        <v>0</v>
      </c>
      <c r="K72" s="174">
        <f t="shared" si="14"/>
        <v>0</v>
      </c>
      <c r="L72" s="21">
        <v>145</v>
      </c>
      <c r="M72" s="11">
        <f t="shared" si="24"/>
        <v>1.6186349999999998</v>
      </c>
      <c r="N72" s="21">
        <v>0</v>
      </c>
      <c r="O72" s="173">
        <f t="shared" si="12"/>
        <v>0</v>
      </c>
      <c r="P72" s="21">
        <v>0</v>
      </c>
      <c r="Q72" s="115">
        <f t="shared" si="20"/>
        <v>0</v>
      </c>
      <c r="R72" s="86">
        <f t="shared" si="25"/>
        <v>41</v>
      </c>
      <c r="S72" s="97">
        <f t="shared" si="16"/>
        <v>0.45768299999999995</v>
      </c>
      <c r="T72" s="138">
        <v>0</v>
      </c>
      <c r="U72" s="13">
        <f t="shared" si="21"/>
        <v>0</v>
      </c>
      <c r="V72" s="141">
        <f t="shared" si="22"/>
        <v>41</v>
      </c>
      <c r="W72" s="141">
        <f t="shared" si="23"/>
        <v>0.45768299999999995</v>
      </c>
    </row>
    <row r="73" spans="1:23" x14ac:dyDescent="0.25">
      <c r="O73" s="174">
        <f t="shared" si="12"/>
        <v>0</v>
      </c>
    </row>
  </sheetData>
  <mergeCells count="24">
    <mergeCell ref="R4:S4"/>
    <mergeCell ref="T4:U4"/>
    <mergeCell ref="V4:W4"/>
    <mergeCell ref="F4:G4"/>
    <mergeCell ref="H4:I4"/>
    <mergeCell ref="J4:K4"/>
    <mergeCell ref="L4:M4"/>
    <mergeCell ref="N4:O4"/>
    <mergeCell ref="P4:Q4"/>
    <mergeCell ref="P2:Q2"/>
    <mergeCell ref="R2:S3"/>
    <mergeCell ref="T2:U3"/>
    <mergeCell ref="V2:W3"/>
    <mergeCell ref="H3:I3"/>
    <mergeCell ref="J3:K3"/>
    <mergeCell ref="L3:M3"/>
    <mergeCell ref="N3:O3"/>
    <mergeCell ref="P3:Q3"/>
    <mergeCell ref="N2:O2"/>
    <mergeCell ref="B1:G1"/>
    <mergeCell ref="F2:G3"/>
    <mergeCell ref="H2:I2"/>
    <mergeCell ref="J2:K2"/>
    <mergeCell ref="L2:M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73"/>
  <sheetViews>
    <sheetView topLeftCell="A10" workbookViewId="0">
      <selection activeCell="A23" sqref="A23"/>
    </sheetView>
  </sheetViews>
  <sheetFormatPr defaultRowHeight="15" x14ac:dyDescent="0.25"/>
  <cols>
    <col min="1" max="1" width="23.5703125" style="3" customWidth="1"/>
    <col min="2" max="2" width="10.28515625" style="2" hidden="1" customWidth="1"/>
    <col min="3" max="3" width="8.85546875" style="2" hidden="1" customWidth="1"/>
    <col min="4" max="4" width="8" style="2" hidden="1" customWidth="1"/>
    <col min="5" max="5" width="9" style="4" hidden="1" customWidth="1"/>
    <col min="6" max="7" width="9" style="5" customWidth="1"/>
    <col min="8" max="16" width="8.140625" style="2" customWidth="1"/>
    <col min="17" max="17" width="8" style="2" customWidth="1"/>
    <col min="18" max="18" width="6.5703125" style="2" customWidth="1"/>
    <col min="19" max="19" width="8.85546875" style="2" customWidth="1"/>
    <col min="20" max="20" width="6" customWidth="1"/>
    <col min="21" max="21" width="7.5703125" customWidth="1"/>
    <col min="22" max="22" width="7.7109375" customWidth="1"/>
    <col min="24" max="24" width="9.85546875" customWidth="1"/>
  </cols>
  <sheetData>
    <row r="1" spans="1:25" ht="15.75" thickBot="1" x14ac:dyDescent="0.3">
      <c r="A1" s="4" t="s">
        <v>18</v>
      </c>
      <c r="B1" s="320" t="s">
        <v>94</v>
      </c>
      <c r="C1" s="320"/>
      <c r="D1" s="320"/>
      <c r="E1" s="320"/>
      <c r="F1" s="320"/>
      <c r="G1" s="320"/>
    </row>
    <row r="2" spans="1:25" s="1" customFormat="1" ht="15.75" thickBot="1" x14ac:dyDescent="0.3">
      <c r="A2" s="8" t="s">
        <v>0</v>
      </c>
      <c r="B2" s="28"/>
      <c r="C2" s="29"/>
      <c r="D2" s="29"/>
      <c r="E2" s="14"/>
      <c r="F2" s="321" t="s">
        <v>1</v>
      </c>
      <c r="G2" s="322"/>
      <c r="H2" s="325">
        <v>44872</v>
      </c>
      <c r="I2" s="326"/>
      <c r="J2" s="327">
        <v>44873</v>
      </c>
      <c r="K2" s="328"/>
      <c r="L2" s="325">
        <v>44874</v>
      </c>
      <c r="M2" s="329"/>
      <c r="N2" s="327">
        <v>44875</v>
      </c>
      <c r="O2" s="346"/>
      <c r="P2" s="325">
        <v>44876</v>
      </c>
      <c r="Q2" s="329"/>
      <c r="R2" s="330" t="s">
        <v>69</v>
      </c>
      <c r="S2" s="331"/>
      <c r="T2" s="334" t="s">
        <v>70</v>
      </c>
      <c r="U2" s="335"/>
      <c r="V2" s="338" t="s">
        <v>71</v>
      </c>
      <c r="W2" s="339"/>
      <c r="X2" s="180"/>
      <c r="Y2" s="181"/>
    </row>
    <row r="3" spans="1:25" s="1" customFormat="1" ht="15.75" thickBot="1" x14ac:dyDescent="0.3">
      <c r="A3" s="7"/>
      <c r="B3" s="30"/>
      <c r="C3" s="31"/>
      <c r="D3" s="31"/>
      <c r="E3" s="15"/>
      <c r="F3" s="323"/>
      <c r="G3" s="324"/>
      <c r="H3" s="342" t="s">
        <v>68</v>
      </c>
      <c r="I3" s="343"/>
      <c r="J3" s="344" t="s">
        <v>68</v>
      </c>
      <c r="K3" s="345"/>
      <c r="L3" s="342" t="s">
        <v>68</v>
      </c>
      <c r="M3" s="343"/>
      <c r="N3" s="344" t="s">
        <v>68</v>
      </c>
      <c r="O3" s="345"/>
      <c r="P3" s="342" t="s">
        <v>68</v>
      </c>
      <c r="Q3" s="343"/>
      <c r="R3" s="332"/>
      <c r="S3" s="333"/>
      <c r="T3" s="336"/>
      <c r="U3" s="337"/>
      <c r="V3" s="340"/>
      <c r="W3" s="341"/>
      <c r="X3" s="182"/>
      <c r="Y3" s="183"/>
    </row>
    <row r="4" spans="1:25" ht="15.75" thickBot="1" x14ac:dyDescent="0.3">
      <c r="A4" s="42"/>
      <c r="B4" s="16" t="s">
        <v>65</v>
      </c>
      <c r="C4" s="17" t="s">
        <v>66</v>
      </c>
      <c r="D4" s="17" t="s">
        <v>67</v>
      </c>
      <c r="E4" s="18" t="s">
        <v>64</v>
      </c>
      <c r="F4" s="323" t="s">
        <v>63</v>
      </c>
      <c r="G4" s="324"/>
      <c r="H4" s="353" t="s">
        <v>63</v>
      </c>
      <c r="I4" s="379"/>
      <c r="J4" s="380" t="s">
        <v>63</v>
      </c>
      <c r="K4" s="381"/>
      <c r="L4" s="382" t="s">
        <v>63</v>
      </c>
      <c r="M4" s="383"/>
      <c r="N4" s="320" t="s">
        <v>63</v>
      </c>
      <c r="O4" s="356"/>
      <c r="P4" s="353" t="s">
        <v>63</v>
      </c>
      <c r="Q4" s="354"/>
      <c r="R4" s="347" t="s">
        <v>63</v>
      </c>
      <c r="S4" s="348"/>
      <c r="T4" s="349" t="s">
        <v>63</v>
      </c>
      <c r="U4" s="350"/>
      <c r="V4" s="351" t="s">
        <v>63</v>
      </c>
      <c r="W4" s="352"/>
      <c r="X4" s="179" t="s">
        <v>99</v>
      </c>
      <c r="Y4" s="179" t="s">
        <v>100</v>
      </c>
    </row>
    <row r="5" spans="1:25" ht="15.75" thickBot="1" x14ac:dyDescent="0.3">
      <c r="A5" s="42" t="s">
        <v>2</v>
      </c>
      <c r="B5" s="32">
        <v>140</v>
      </c>
      <c r="C5" s="33">
        <v>240</v>
      </c>
      <c r="D5" s="33">
        <v>1</v>
      </c>
      <c r="E5" s="186">
        <f>(B5*C5*D5)/1000000</f>
        <v>3.3599999999999998E-2</v>
      </c>
      <c r="F5" s="192">
        <f>'KASIM 1 HAFTA'!V5</f>
        <v>55</v>
      </c>
      <c r="G5" s="193">
        <f>E5*F5</f>
        <v>1.8479999999999999</v>
      </c>
      <c r="H5" s="21">
        <v>145</v>
      </c>
      <c r="I5" s="176">
        <f>E5*H5</f>
        <v>4.8719999999999999</v>
      </c>
      <c r="J5" s="202">
        <v>46</v>
      </c>
      <c r="K5" s="210">
        <f t="shared" ref="K5:K67" si="0">E5*J5</f>
        <v>1.5455999999999999</v>
      </c>
      <c r="L5" s="202">
        <v>43</v>
      </c>
      <c r="M5" s="176">
        <f t="shared" ref="M5:M66" si="1">E5*L5</f>
        <v>1.4447999999999999</v>
      </c>
      <c r="N5" s="217">
        <v>30</v>
      </c>
      <c r="O5" s="218">
        <f>E5*N5</f>
        <v>1.008</v>
      </c>
      <c r="P5" s="129">
        <v>14</v>
      </c>
      <c r="Q5" s="100">
        <f>E5*P5</f>
        <v>0.47039999999999998</v>
      </c>
      <c r="R5" s="225">
        <f>F5-H5-J5-L5-N5-P5</f>
        <v>-223</v>
      </c>
      <c r="S5" s="226">
        <f t="shared" ref="S5:S67" si="2">E5*R5</f>
        <v>-7.4927999999999999</v>
      </c>
      <c r="T5" s="220">
        <v>389</v>
      </c>
      <c r="U5" s="235">
        <f>E5*T5</f>
        <v>13.070399999999999</v>
      </c>
      <c r="V5" s="239">
        <f>R5+T5</f>
        <v>166</v>
      </c>
      <c r="W5" s="240">
        <f>E5*V5</f>
        <v>5.5775999999999994</v>
      </c>
      <c r="X5" s="238">
        <v>250</v>
      </c>
      <c r="Y5" s="101">
        <v>750</v>
      </c>
    </row>
    <row r="6" spans="1:25" x14ac:dyDescent="0.25">
      <c r="A6" s="42" t="s">
        <v>3</v>
      </c>
      <c r="B6" s="34">
        <v>140</v>
      </c>
      <c r="C6" s="35">
        <v>240</v>
      </c>
      <c r="D6" s="35">
        <v>0.8</v>
      </c>
      <c r="E6" s="187">
        <f t="shared" ref="E6:E68" si="3">(B6*C6*D6)/1000000</f>
        <v>2.6880000000000001E-2</v>
      </c>
      <c r="F6" s="23">
        <f>'KASIM 1 HAFTA'!V6</f>
        <v>172</v>
      </c>
      <c r="G6" s="26">
        <f t="shared" ref="G6:G68" si="4">E6*F6</f>
        <v>4.6233599999999999</v>
      </c>
      <c r="H6" s="21">
        <v>10</v>
      </c>
      <c r="I6" s="176">
        <f t="shared" ref="I6:U66" si="5">E6*H6</f>
        <v>0.26880000000000004</v>
      </c>
      <c r="J6" s="202">
        <v>6</v>
      </c>
      <c r="K6" s="210">
        <f t="shared" si="0"/>
        <v>0.16128000000000001</v>
      </c>
      <c r="L6" s="202">
        <v>0</v>
      </c>
      <c r="M6" s="176">
        <f t="shared" si="1"/>
        <v>0</v>
      </c>
      <c r="N6" s="202">
        <v>0</v>
      </c>
      <c r="O6" s="10">
        <f t="shared" ref="O6:O68" si="6">E6*N6</f>
        <v>0</v>
      </c>
      <c r="P6" s="217">
        <v>5</v>
      </c>
      <c r="Q6" s="219">
        <f t="shared" ref="Q6:Q68" si="7">E6*P6</f>
        <v>0.13440000000000002</v>
      </c>
      <c r="R6" s="39">
        <f>F6-H6-J6-L6-N6-P6</f>
        <v>151</v>
      </c>
      <c r="S6" s="38">
        <f t="shared" si="2"/>
        <v>4.0588800000000003</v>
      </c>
      <c r="T6" s="220"/>
      <c r="U6" s="235">
        <f t="shared" ref="U6:U65" si="8">E6*T6</f>
        <v>0</v>
      </c>
      <c r="V6" s="49">
        <f t="shared" ref="V6:V68" si="9">R6+T6</f>
        <v>151</v>
      </c>
      <c r="W6" s="50">
        <f t="shared" ref="W6:W68" si="10">E6*V6</f>
        <v>4.0588800000000003</v>
      </c>
      <c r="X6" s="238">
        <v>100</v>
      </c>
      <c r="Y6" s="101">
        <v>300</v>
      </c>
    </row>
    <row r="7" spans="1:25" x14ac:dyDescent="0.25">
      <c r="A7" s="42" t="s">
        <v>4</v>
      </c>
      <c r="B7" s="34">
        <v>140</v>
      </c>
      <c r="C7" s="35">
        <v>240</v>
      </c>
      <c r="D7" s="35">
        <v>1.4</v>
      </c>
      <c r="E7" s="187">
        <f t="shared" si="3"/>
        <v>4.7039999999999998E-2</v>
      </c>
      <c r="F7" s="23">
        <f>'KASIM 1 HAFTA'!V7</f>
        <v>356</v>
      </c>
      <c r="G7" s="26">
        <f t="shared" si="4"/>
        <v>16.74624</v>
      </c>
      <c r="H7" s="21">
        <v>33</v>
      </c>
      <c r="I7" s="176">
        <f t="shared" si="5"/>
        <v>1.5523199999999999</v>
      </c>
      <c r="J7" s="202">
        <v>32</v>
      </c>
      <c r="K7" s="210">
        <f t="shared" si="0"/>
        <v>1.50528</v>
      </c>
      <c r="L7" s="202">
        <v>40</v>
      </c>
      <c r="M7" s="176">
        <f t="shared" si="1"/>
        <v>1.8815999999999999</v>
      </c>
      <c r="N7" s="202">
        <v>4</v>
      </c>
      <c r="O7" s="10">
        <f t="shared" si="6"/>
        <v>0.18815999999999999</v>
      </c>
      <c r="P7" s="202">
        <v>10</v>
      </c>
      <c r="Q7" s="11">
        <f t="shared" si="7"/>
        <v>0.47039999999999998</v>
      </c>
      <c r="R7" s="39">
        <f t="shared" ref="R7:R69" si="11">F7-H7-J7-L7-N7-P7</f>
        <v>237</v>
      </c>
      <c r="S7" s="38">
        <f t="shared" si="2"/>
        <v>11.148479999999999</v>
      </c>
      <c r="T7" s="220"/>
      <c r="U7" s="235">
        <f t="shared" si="8"/>
        <v>0</v>
      </c>
      <c r="V7" s="49">
        <f t="shared" si="9"/>
        <v>237</v>
      </c>
      <c r="W7" s="50">
        <f t="shared" si="10"/>
        <v>11.148479999999999</v>
      </c>
      <c r="X7" s="238">
        <v>250</v>
      </c>
      <c r="Y7" s="101">
        <v>750</v>
      </c>
    </row>
    <row r="8" spans="1:25" x14ac:dyDescent="0.25">
      <c r="A8" s="42" t="s">
        <v>5</v>
      </c>
      <c r="B8" s="34">
        <v>140</v>
      </c>
      <c r="C8" s="35">
        <v>240</v>
      </c>
      <c r="D8" s="35">
        <v>4</v>
      </c>
      <c r="E8" s="187">
        <f t="shared" si="3"/>
        <v>0.13439999999999999</v>
      </c>
      <c r="F8" s="23">
        <f>'KASIM 1 HAFTA'!V8</f>
        <v>17</v>
      </c>
      <c r="G8" s="26">
        <f t="shared" si="4"/>
        <v>2.2847999999999997</v>
      </c>
      <c r="H8" s="21">
        <v>0</v>
      </c>
      <c r="I8" s="176">
        <f t="shared" si="5"/>
        <v>0</v>
      </c>
      <c r="J8" s="202">
        <v>0</v>
      </c>
      <c r="K8" s="210">
        <f t="shared" si="0"/>
        <v>0</v>
      </c>
      <c r="L8" s="202">
        <v>0</v>
      </c>
      <c r="M8" s="176">
        <f t="shared" si="1"/>
        <v>0</v>
      </c>
      <c r="N8" s="202">
        <v>1</v>
      </c>
      <c r="O8" s="10">
        <f t="shared" si="6"/>
        <v>0.13439999999999999</v>
      </c>
      <c r="P8" s="202">
        <v>1</v>
      </c>
      <c r="Q8" s="11">
        <f t="shared" si="7"/>
        <v>0.13439999999999999</v>
      </c>
      <c r="R8" s="39">
        <f t="shared" si="11"/>
        <v>15</v>
      </c>
      <c r="S8" s="38">
        <f t="shared" si="2"/>
        <v>2.016</v>
      </c>
      <c r="T8" s="220"/>
      <c r="U8" s="235">
        <f t="shared" si="8"/>
        <v>0</v>
      </c>
      <c r="V8" s="49">
        <f t="shared" si="9"/>
        <v>15</v>
      </c>
      <c r="W8" s="50">
        <f t="shared" si="10"/>
        <v>2.016</v>
      </c>
      <c r="X8" s="238">
        <v>20</v>
      </c>
      <c r="Y8" s="101">
        <v>50</v>
      </c>
    </row>
    <row r="9" spans="1:25" x14ac:dyDescent="0.25">
      <c r="A9" s="42" t="s">
        <v>6</v>
      </c>
      <c r="B9" s="34">
        <v>140</v>
      </c>
      <c r="C9" s="35">
        <v>240</v>
      </c>
      <c r="D9" s="35">
        <v>2</v>
      </c>
      <c r="E9" s="187">
        <f t="shared" si="3"/>
        <v>6.7199999999999996E-2</v>
      </c>
      <c r="F9" s="23">
        <f>'KASIM 1 HAFTA'!V9</f>
        <v>143</v>
      </c>
      <c r="G9" s="26">
        <f t="shared" si="4"/>
        <v>9.6095999999999986</v>
      </c>
      <c r="H9" s="21">
        <v>12</v>
      </c>
      <c r="I9" s="176">
        <f t="shared" si="5"/>
        <v>0.80640000000000001</v>
      </c>
      <c r="J9" s="202">
        <v>0</v>
      </c>
      <c r="K9" s="210">
        <f t="shared" si="0"/>
        <v>0</v>
      </c>
      <c r="L9" s="202">
        <v>2</v>
      </c>
      <c r="M9" s="176">
        <f t="shared" si="1"/>
        <v>0.13439999999999999</v>
      </c>
      <c r="N9" s="202">
        <v>3</v>
      </c>
      <c r="O9" s="10">
        <f t="shared" si="6"/>
        <v>0.2016</v>
      </c>
      <c r="P9" s="202">
        <v>9</v>
      </c>
      <c r="Q9" s="11">
        <f t="shared" si="7"/>
        <v>0.6048</v>
      </c>
      <c r="R9" s="39">
        <f t="shared" si="11"/>
        <v>117</v>
      </c>
      <c r="S9" s="38">
        <f t="shared" si="2"/>
        <v>7.8623999999999992</v>
      </c>
      <c r="T9" s="220"/>
      <c r="U9" s="235">
        <f t="shared" si="8"/>
        <v>0</v>
      </c>
      <c r="V9" s="49">
        <f t="shared" si="9"/>
        <v>117</v>
      </c>
      <c r="W9" s="50">
        <f t="shared" si="10"/>
        <v>7.8623999999999992</v>
      </c>
      <c r="X9" s="238">
        <v>50</v>
      </c>
      <c r="Y9" s="101">
        <v>150</v>
      </c>
    </row>
    <row r="10" spans="1:25" x14ac:dyDescent="0.25">
      <c r="A10" s="42" t="s">
        <v>7</v>
      </c>
      <c r="B10" s="34">
        <v>140</v>
      </c>
      <c r="C10" s="35">
        <v>240</v>
      </c>
      <c r="D10" s="35">
        <v>2</v>
      </c>
      <c r="E10" s="187">
        <f t="shared" si="3"/>
        <v>6.7199999999999996E-2</v>
      </c>
      <c r="F10" s="23">
        <f>'KASIM 1 HAFTA'!V10</f>
        <v>155</v>
      </c>
      <c r="G10" s="26">
        <f t="shared" si="4"/>
        <v>10.415999999999999</v>
      </c>
      <c r="H10" s="21">
        <v>131</v>
      </c>
      <c r="I10" s="176">
        <f t="shared" si="5"/>
        <v>8.8031999999999986</v>
      </c>
      <c r="J10" s="202">
        <v>6</v>
      </c>
      <c r="K10" s="210">
        <f t="shared" si="0"/>
        <v>0.4032</v>
      </c>
      <c r="L10" s="202">
        <v>18</v>
      </c>
      <c r="M10" s="176">
        <f t="shared" si="1"/>
        <v>1.2096</v>
      </c>
      <c r="N10" s="202">
        <v>0</v>
      </c>
      <c r="O10" s="10">
        <f t="shared" si="6"/>
        <v>0</v>
      </c>
      <c r="P10" s="202">
        <v>0</v>
      </c>
      <c r="Q10" s="11">
        <f t="shared" si="7"/>
        <v>0</v>
      </c>
      <c r="R10" s="39">
        <f t="shared" si="11"/>
        <v>0</v>
      </c>
      <c r="S10" s="38">
        <f t="shared" si="2"/>
        <v>0</v>
      </c>
      <c r="T10" s="220">
        <v>54</v>
      </c>
      <c r="U10" s="235">
        <f t="shared" si="8"/>
        <v>3.6287999999999996</v>
      </c>
      <c r="V10" s="49">
        <f t="shared" si="9"/>
        <v>54</v>
      </c>
      <c r="W10" s="50">
        <f t="shared" si="10"/>
        <v>3.6287999999999996</v>
      </c>
      <c r="X10" s="238">
        <v>75</v>
      </c>
      <c r="Y10" s="101">
        <v>300</v>
      </c>
    </row>
    <row r="11" spans="1:25" x14ac:dyDescent="0.25">
      <c r="A11" s="42" t="s">
        <v>8</v>
      </c>
      <c r="B11" s="34">
        <v>140</v>
      </c>
      <c r="C11" s="35">
        <v>240</v>
      </c>
      <c r="D11" s="35">
        <v>7</v>
      </c>
      <c r="E11" s="187">
        <f t="shared" si="3"/>
        <v>0.23519999999999999</v>
      </c>
      <c r="F11" s="23">
        <f>'KASIM 1 HAFTA'!V11</f>
        <v>112</v>
      </c>
      <c r="G11" s="26">
        <f t="shared" si="4"/>
        <v>26.342399999999998</v>
      </c>
      <c r="H11" s="21">
        <v>4</v>
      </c>
      <c r="I11" s="176">
        <f t="shared" si="5"/>
        <v>0.94079999999999997</v>
      </c>
      <c r="J11" s="202">
        <v>5</v>
      </c>
      <c r="K11" s="210">
        <f t="shared" si="0"/>
        <v>1.1759999999999999</v>
      </c>
      <c r="L11" s="202">
        <v>2</v>
      </c>
      <c r="M11" s="176">
        <f t="shared" si="1"/>
        <v>0.47039999999999998</v>
      </c>
      <c r="N11" s="202">
        <v>6</v>
      </c>
      <c r="O11" s="10">
        <f t="shared" si="6"/>
        <v>1.4112</v>
      </c>
      <c r="P11" s="202">
        <v>0</v>
      </c>
      <c r="Q11" s="11">
        <f t="shared" si="7"/>
        <v>0</v>
      </c>
      <c r="R11" s="39">
        <f t="shared" si="11"/>
        <v>95</v>
      </c>
      <c r="S11" s="38">
        <f t="shared" si="2"/>
        <v>22.343999999999998</v>
      </c>
      <c r="T11" s="220">
        <v>0</v>
      </c>
      <c r="U11" s="235">
        <f t="shared" si="8"/>
        <v>0</v>
      </c>
      <c r="V11" s="49">
        <f t="shared" si="9"/>
        <v>95</v>
      </c>
      <c r="W11" s="50">
        <f t="shared" si="10"/>
        <v>22.343999999999998</v>
      </c>
      <c r="X11" s="238">
        <v>20</v>
      </c>
      <c r="Y11" s="101">
        <v>50</v>
      </c>
    </row>
    <row r="12" spans="1:25" x14ac:dyDescent="0.25">
      <c r="A12" s="42" t="s">
        <v>9</v>
      </c>
      <c r="B12" s="34">
        <v>140</v>
      </c>
      <c r="C12" s="35">
        <v>240</v>
      </c>
      <c r="D12" s="35">
        <v>5</v>
      </c>
      <c r="E12" s="187">
        <f t="shared" si="3"/>
        <v>0.16800000000000001</v>
      </c>
      <c r="F12" s="23">
        <f>'KASIM 1 HAFTA'!V12</f>
        <v>307</v>
      </c>
      <c r="G12" s="26">
        <f t="shared" si="4"/>
        <v>51.576000000000001</v>
      </c>
      <c r="H12" s="21">
        <v>0</v>
      </c>
      <c r="I12" s="176">
        <f t="shared" si="5"/>
        <v>0</v>
      </c>
      <c r="J12" s="202">
        <v>0</v>
      </c>
      <c r="K12" s="210">
        <f t="shared" si="0"/>
        <v>0</v>
      </c>
      <c r="L12" s="202">
        <v>1</v>
      </c>
      <c r="M12" s="176">
        <f t="shared" si="1"/>
        <v>0.16800000000000001</v>
      </c>
      <c r="N12" s="202">
        <v>0</v>
      </c>
      <c r="O12" s="10">
        <f t="shared" si="6"/>
        <v>0</v>
      </c>
      <c r="P12" s="202">
        <v>2</v>
      </c>
      <c r="Q12" s="11">
        <f t="shared" si="7"/>
        <v>0.33600000000000002</v>
      </c>
      <c r="R12" s="39">
        <f t="shared" si="11"/>
        <v>304</v>
      </c>
      <c r="S12" s="38">
        <f t="shared" si="2"/>
        <v>51.072000000000003</v>
      </c>
      <c r="T12" s="220"/>
      <c r="U12" s="235">
        <f t="shared" si="8"/>
        <v>0</v>
      </c>
      <c r="V12" s="49">
        <f t="shared" si="9"/>
        <v>304</v>
      </c>
      <c r="W12" s="50">
        <f t="shared" si="10"/>
        <v>51.072000000000003</v>
      </c>
      <c r="X12" s="238">
        <v>30</v>
      </c>
      <c r="Y12" s="101">
        <v>100</v>
      </c>
    </row>
    <row r="13" spans="1:25" x14ac:dyDescent="0.25">
      <c r="A13" s="42" t="s">
        <v>10</v>
      </c>
      <c r="B13" s="34">
        <v>140</v>
      </c>
      <c r="C13" s="35">
        <v>240</v>
      </c>
      <c r="D13" s="35">
        <v>5</v>
      </c>
      <c r="E13" s="187">
        <f t="shared" si="3"/>
        <v>0.16800000000000001</v>
      </c>
      <c r="F13" s="23">
        <f>'KASIM 1 HAFTA'!V13</f>
        <v>6</v>
      </c>
      <c r="G13" s="26">
        <f t="shared" si="4"/>
        <v>1.008</v>
      </c>
      <c r="H13" s="21">
        <v>0</v>
      </c>
      <c r="I13" s="176">
        <f t="shared" si="5"/>
        <v>0</v>
      </c>
      <c r="J13" s="202">
        <v>0</v>
      </c>
      <c r="K13" s="210">
        <f t="shared" si="0"/>
        <v>0</v>
      </c>
      <c r="L13" s="202">
        <v>0</v>
      </c>
      <c r="M13" s="176">
        <f t="shared" si="1"/>
        <v>0</v>
      </c>
      <c r="N13" s="202">
        <v>1</v>
      </c>
      <c r="O13" s="10">
        <f t="shared" si="6"/>
        <v>0.16800000000000001</v>
      </c>
      <c r="P13" s="202">
        <v>0</v>
      </c>
      <c r="Q13" s="11">
        <f t="shared" si="7"/>
        <v>0</v>
      </c>
      <c r="R13" s="39">
        <f t="shared" si="11"/>
        <v>5</v>
      </c>
      <c r="S13" s="38">
        <f t="shared" si="2"/>
        <v>0.84000000000000008</v>
      </c>
      <c r="T13" s="220">
        <v>0</v>
      </c>
      <c r="U13" s="235">
        <f t="shared" si="8"/>
        <v>0</v>
      </c>
      <c r="V13" s="49">
        <f t="shared" si="9"/>
        <v>5</v>
      </c>
      <c r="W13" s="50">
        <f t="shared" si="10"/>
        <v>0.84000000000000008</v>
      </c>
      <c r="X13" s="238">
        <v>20</v>
      </c>
      <c r="Y13" s="101">
        <v>50</v>
      </c>
    </row>
    <row r="14" spans="1:25" x14ac:dyDescent="0.25">
      <c r="A14" s="42" t="s">
        <v>11</v>
      </c>
      <c r="B14" s="34">
        <v>140</v>
      </c>
      <c r="C14" s="35">
        <v>240</v>
      </c>
      <c r="D14" s="35">
        <v>5</v>
      </c>
      <c r="E14" s="187">
        <f t="shared" si="3"/>
        <v>0.16800000000000001</v>
      </c>
      <c r="F14" s="23">
        <f>'KASIM 1 HAFTA'!V14</f>
        <v>80</v>
      </c>
      <c r="G14" s="26">
        <f t="shared" si="4"/>
        <v>13.440000000000001</v>
      </c>
      <c r="H14" s="21">
        <v>17</v>
      </c>
      <c r="I14" s="176">
        <f t="shared" si="5"/>
        <v>2.8560000000000003</v>
      </c>
      <c r="J14" s="202">
        <v>3</v>
      </c>
      <c r="K14" s="210">
        <f t="shared" si="0"/>
        <v>0.504</v>
      </c>
      <c r="L14" s="202">
        <v>4</v>
      </c>
      <c r="M14" s="176">
        <f t="shared" si="1"/>
        <v>0.67200000000000004</v>
      </c>
      <c r="N14" s="202">
        <v>18</v>
      </c>
      <c r="O14" s="10">
        <f t="shared" si="6"/>
        <v>3.024</v>
      </c>
      <c r="P14" s="202">
        <v>0</v>
      </c>
      <c r="Q14" s="11">
        <f t="shared" si="7"/>
        <v>0</v>
      </c>
      <c r="R14" s="39">
        <f t="shared" si="11"/>
        <v>38</v>
      </c>
      <c r="S14" s="38">
        <f t="shared" si="2"/>
        <v>6.3840000000000003</v>
      </c>
      <c r="T14" s="220"/>
      <c r="U14" s="235">
        <f t="shared" si="8"/>
        <v>0</v>
      </c>
      <c r="V14" s="49">
        <f t="shared" si="9"/>
        <v>38</v>
      </c>
      <c r="W14" s="50">
        <f t="shared" si="10"/>
        <v>6.3840000000000003</v>
      </c>
      <c r="X14" s="238">
        <v>30</v>
      </c>
      <c r="Y14" s="101">
        <v>100</v>
      </c>
    </row>
    <row r="15" spans="1:25" x14ac:dyDescent="0.25">
      <c r="A15" s="42" t="s">
        <v>12</v>
      </c>
      <c r="B15" s="34">
        <v>140</v>
      </c>
      <c r="C15" s="35">
        <v>240</v>
      </c>
      <c r="D15" s="35">
        <v>10</v>
      </c>
      <c r="E15" s="187">
        <f t="shared" si="3"/>
        <v>0.33600000000000002</v>
      </c>
      <c r="F15" s="23">
        <f>'KASIM 1 HAFTA'!V15</f>
        <v>11</v>
      </c>
      <c r="G15" s="26">
        <f t="shared" si="4"/>
        <v>3.6960000000000002</v>
      </c>
      <c r="H15" s="21">
        <v>0</v>
      </c>
      <c r="I15" s="176">
        <f t="shared" si="5"/>
        <v>0</v>
      </c>
      <c r="J15" s="202">
        <v>0</v>
      </c>
      <c r="K15" s="210">
        <f t="shared" si="0"/>
        <v>0</v>
      </c>
      <c r="L15" s="202">
        <v>1</v>
      </c>
      <c r="M15" s="176">
        <f t="shared" si="1"/>
        <v>0.33600000000000002</v>
      </c>
      <c r="N15" s="202">
        <v>0</v>
      </c>
      <c r="O15" s="10">
        <f t="shared" si="6"/>
        <v>0</v>
      </c>
      <c r="P15" s="202">
        <v>1</v>
      </c>
      <c r="Q15" s="11">
        <f t="shared" si="7"/>
        <v>0.33600000000000002</v>
      </c>
      <c r="R15" s="39">
        <f t="shared" si="11"/>
        <v>9</v>
      </c>
      <c r="S15" s="38">
        <f t="shared" si="2"/>
        <v>3.024</v>
      </c>
      <c r="T15" s="220"/>
      <c r="U15" s="235">
        <f t="shared" si="8"/>
        <v>0</v>
      </c>
      <c r="V15" s="49">
        <f t="shared" si="9"/>
        <v>9</v>
      </c>
      <c r="W15" s="50">
        <f t="shared" si="10"/>
        <v>3.024</v>
      </c>
      <c r="X15" s="238">
        <v>20</v>
      </c>
      <c r="Y15" s="101">
        <v>70</v>
      </c>
    </row>
    <row r="16" spans="1:25" x14ac:dyDescent="0.25">
      <c r="A16" s="42" t="s">
        <v>13</v>
      </c>
      <c r="B16" s="34">
        <v>140</v>
      </c>
      <c r="C16" s="35">
        <v>240</v>
      </c>
      <c r="D16" s="35">
        <v>3</v>
      </c>
      <c r="E16" s="187">
        <f t="shared" si="3"/>
        <v>0.1008</v>
      </c>
      <c r="F16" s="23">
        <f>'KASIM 1 HAFTA'!V16</f>
        <v>0</v>
      </c>
      <c r="G16" s="26">
        <f t="shared" si="4"/>
        <v>0</v>
      </c>
      <c r="H16" s="21">
        <v>0</v>
      </c>
      <c r="I16" s="176">
        <f t="shared" si="5"/>
        <v>0</v>
      </c>
      <c r="J16" s="202">
        <v>0</v>
      </c>
      <c r="K16" s="210">
        <f t="shared" si="0"/>
        <v>0</v>
      </c>
      <c r="L16" s="202">
        <v>0</v>
      </c>
      <c r="M16" s="176">
        <f t="shared" si="1"/>
        <v>0</v>
      </c>
      <c r="N16" s="202">
        <v>0</v>
      </c>
      <c r="O16" s="10">
        <f t="shared" si="6"/>
        <v>0</v>
      </c>
      <c r="P16" s="202">
        <v>0</v>
      </c>
      <c r="Q16" s="11">
        <f t="shared" si="7"/>
        <v>0</v>
      </c>
      <c r="R16" s="39">
        <f t="shared" si="11"/>
        <v>0</v>
      </c>
      <c r="S16" s="38">
        <f t="shared" si="2"/>
        <v>0</v>
      </c>
      <c r="T16" s="220"/>
      <c r="U16" s="235">
        <f t="shared" si="8"/>
        <v>0</v>
      </c>
      <c r="V16" s="49">
        <f t="shared" si="9"/>
        <v>0</v>
      </c>
      <c r="W16" s="50">
        <f t="shared" si="10"/>
        <v>0</v>
      </c>
      <c r="X16" s="238">
        <v>50</v>
      </c>
      <c r="Y16" s="101">
        <v>150</v>
      </c>
    </row>
    <row r="17" spans="1:25" x14ac:dyDescent="0.25">
      <c r="A17" s="42" t="s">
        <v>14</v>
      </c>
      <c r="B17" s="34">
        <v>140</v>
      </c>
      <c r="C17" s="35">
        <v>240</v>
      </c>
      <c r="D17" s="35">
        <v>5</v>
      </c>
      <c r="E17" s="187">
        <f t="shared" si="3"/>
        <v>0.16800000000000001</v>
      </c>
      <c r="F17" s="23">
        <f>'KASIM 1 HAFTA'!V17</f>
        <v>105</v>
      </c>
      <c r="G17" s="26">
        <f t="shared" si="4"/>
        <v>17.64</v>
      </c>
      <c r="H17" s="21">
        <v>0</v>
      </c>
      <c r="I17" s="176">
        <f t="shared" si="5"/>
        <v>0</v>
      </c>
      <c r="J17" s="202">
        <v>9</v>
      </c>
      <c r="K17" s="210">
        <f t="shared" si="0"/>
        <v>1.512</v>
      </c>
      <c r="L17" s="202">
        <v>0</v>
      </c>
      <c r="M17" s="176">
        <f t="shared" si="1"/>
        <v>0</v>
      </c>
      <c r="N17" s="202">
        <v>0</v>
      </c>
      <c r="O17" s="10">
        <f t="shared" si="6"/>
        <v>0</v>
      </c>
      <c r="P17" s="202">
        <v>1</v>
      </c>
      <c r="Q17" s="11">
        <f t="shared" si="7"/>
        <v>0.16800000000000001</v>
      </c>
      <c r="R17" s="39">
        <f t="shared" si="11"/>
        <v>95</v>
      </c>
      <c r="S17" s="38">
        <f t="shared" si="2"/>
        <v>15.96</v>
      </c>
      <c r="T17" s="220"/>
      <c r="U17" s="235">
        <f t="shared" si="8"/>
        <v>0</v>
      </c>
      <c r="V17" s="49">
        <f t="shared" si="9"/>
        <v>95</v>
      </c>
      <c r="W17" s="50">
        <f t="shared" si="10"/>
        <v>15.96</v>
      </c>
      <c r="X17" s="238">
        <v>50</v>
      </c>
      <c r="Y17" s="101">
        <v>150</v>
      </c>
    </row>
    <row r="18" spans="1:25" x14ac:dyDescent="0.25">
      <c r="A18" s="42" t="s">
        <v>15</v>
      </c>
      <c r="B18" s="34">
        <v>140</v>
      </c>
      <c r="C18" s="35">
        <v>240</v>
      </c>
      <c r="D18" s="35">
        <v>3</v>
      </c>
      <c r="E18" s="187">
        <f t="shared" si="3"/>
        <v>0.1008</v>
      </c>
      <c r="F18" s="23">
        <f>'KASIM 1 HAFTA'!V18</f>
        <v>115</v>
      </c>
      <c r="G18" s="26">
        <f t="shared" si="4"/>
        <v>11.592000000000001</v>
      </c>
      <c r="H18" s="21">
        <v>16</v>
      </c>
      <c r="I18" s="176">
        <f t="shared" si="5"/>
        <v>1.6128</v>
      </c>
      <c r="J18" s="202">
        <v>5</v>
      </c>
      <c r="K18" s="210">
        <f t="shared" si="0"/>
        <v>0.504</v>
      </c>
      <c r="L18" s="202">
        <v>0</v>
      </c>
      <c r="M18" s="176">
        <f t="shared" si="1"/>
        <v>0</v>
      </c>
      <c r="N18" s="202">
        <v>6</v>
      </c>
      <c r="O18" s="10">
        <f t="shared" si="6"/>
        <v>0.6048</v>
      </c>
      <c r="P18" s="202">
        <v>3</v>
      </c>
      <c r="Q18" s="11">
        <f t="shared" si="7"/>
        <v>0.3024</v>
      </c>
      <c r="R18" s="39">
        <f t="shared" si="11"/>
        <v>85</v>
      </c>
      <c r="S18" s="38">
        <f t="shared" si="2"/>
        <v>8.5679999999999996</v>
      </c>
      <c r="T18" s="220"/>
      <c r="U18" s="235">
        <f t="shared" si="8"/>
        <v>0</v>
      </c>
      <c r="V18" s="49">
        <f t="shared" si="9"/>
        <v>85</v>
      </c>
      <c r="W18" s="50">
        <f t="shared" si="10"/>
        <v>8.5679999999999996</v>
      </c>
      <c r="X18" s="238">
        <v>30</v>
      </c>
      <c r="Y18" s="101">
        <v>100</v>
      </c>
    </row>
    <row r="19" spans="1:25" x14ac:dyDescent="0.25">
      <c r="A19" s="42" t="s">
        <v>16</v>
      </c>
      <c r="B19" s="34">
        <v>140</v>
      </c>
      <c r="C19" s="35">
        <v>240</v>
      </c>
      <c r="D19" s="35">
        <v>8</v>
      </c>
      <c r="E19" s="187">
        <f t="shared" si="3"/>
        <v>0.26879999999999998</v>
      </c>
      <c r="F19" s="23">
        <f>'KASIM 1 HAFTA'!V19</f>
        <v>4</v>
      </c>
      <c r="G19" s="26">
        <f t="shared" si="4"/>
        <v>1.0751999999999999</v>
      </c>
      <c r="H19" s="21">
        <v>0</v>
      </c>
      <c r="I19" s="176">
        <f t="shared" si="5"/>
        <v>0</v>
      </c>
      <c r="J19" s="202">
        <v>1</v>
      </c>
      <c r="K19" s="210">
        <f t="shared" si="0"/>
        <v>0.26879999999999998</v>
      </c>
      <c r="L19" s="202">
        <v>0</v>
      </c>
      <c r="M19" s="176">
        <f t="shared" si="1"/>
        <v>0</v>
      </c>
      <c r="N19" s="202">
        <v>0</v>
      </c>
      <c r="O19" s="10">
        <f t="shared" si="6"/>
        <v>0</v>
      </c>
      <c r="P19" s="202">
        <v>0</v>
      </c>
      <c r="Q19" s="11">
        <f t="shared" si="7"/>
        <v>0</v>
      </c>
      <c r="R19" s="39">
        <f t="shared" si="11"/>
        <v>3</v>
      </c>
      <c r="S19" s="38">
        <f t="shared" si="2"/>
        <v>0.80640000000000001</v>
      </c>
      <c r="T19" s="220"/>
      <c r="U19" s="235">
        <f t="shared" si="8"/>
        <v>0</v>
      </c>
      <c r="V19" s="49">
        <f t="shared" si="9"/>
        <v>3</v>
      </c>
      <c r="W19" s="50">
        <f t="shared" si="10"/>
        <v>0.80640000000000001</v>
      </c>
      <c r="X19" s="238">
        <v>10</v>
      </c>
      <c r="Y19" s="101">
        <v>30</v>
      </c>
    </row>
    <row r="20" spans="1:25" x14ac:dyDescent="0.25">
      <c r="A20" s="42" t="s">
        <v>17</v>
      </c>
      <c r="B20" s="34">
        <v>140</v>
      </c>
      <c r="C20" s="35">
        <v>240</v>
      </c>
      <c r="D20" s="35">
        <v>8</v>
      </c>
      <c r="E20" s="187">
        <f t="shared" si="3"/>
        <v>0.26879999999999998</v>
      </c>
      <c r="F20" s="23">
        <f>'KASIM 1 HAFTA'!V20</f>
        <v>0</v>
      </c>
      <c r="G20" s="26">
        <f t="shared" si="4"/>
        <v>0</v>
      </c>
      <c r="H20" s="21">
        <v>0</v>
      </c>
      <c r="I20" s="176">
        <f t="shared" si="5"/>
        <v>0</v>
      </c>
      <c r="J20" s="202">
        <v>0</v>
      </c>
      <c r="K20" s="210">
        <f t="shared" si="0"/>
        <v>0</v>
      </c>
      <c r="L20" s="202">
        <v>0</v>
      </c>
      <c r="M20" s="176">
        <f t="shared" si="1"/>
        <v>0</v>
      </c>
      <c r="N20" s="202">
        <v>0</v>
      </c>
      <c r="O20" s="10">
        <f t="shared" si="6"/>
        <v>0</v>
      </c>
      <c r="P20" s="202">
        <v>0</v>
      </c>
      <c r="Q20" s="11">
        <f t="shared" si="7"/>
        <v>0</v>
      </c>
      <c r="R20" s="39">
        <f t="shared" si="11"/>
        <v>0</v>
      </c>
      <c r="S20" s="38">
        <f t="shared" si="2"/>
        <v>0</v>
      </c>
      <c r="T20" s="220"/>
      <c r="U20" s="235">
        <f t="shared" si="8"/>
        <v>0</v>
      </c>
      <c r="V20" s="49">
        <f t="shared" si="9"/>
        <v>0</v>
      </c>
      <c r="W20" s="50">
        <f t="shared" si="10"/>
        <v>0</v>
      </c>
      <c r="X20" s="238">
        <v>0</v>
      </c>
      <c r="Y20" s="101">
        <v>0</v>
      </c>
    </row>
    <row r="21" spans="1:25" x14ac:dyDescent="0.25">
      <c r="A21" s="42" t="s">
        <v>19</v>
      </c>
      <c r="B21" s="34">
        <v>77</v>
      </c>
      <c r="C21" s="35">
        <v>55</v>
      </c>
      <c r="D21" s="35">
        <v>8</v>
      </c>
      <c r="E21" s="187">
        <f t="shared" si="3"/>
        <v>3.388E-2</v>
      </c>
      <c r="F21" s="23">
        <f>'KASIM 1 HAFTA'!V21</f>
        <v>4</v>
      </c>
      <c r="G21" s="26">
        <f t="shared" si="4"/>
        <v>0.13552</v>
      </c>
      <c r="H21" s="21">
        <v>0</v>
      </c>
      <c r="I21" s="176">
        <f t="shared" si="5"/>
        <v>0</v>
      </c>
      <c r="J21" s="202">
        <v>0</v>
      </c>
      <c r="K21" s="210">
        <f t="shared" si="0"/>
        <v>0</v>
      </c>
      <c r="L21" s="202">
        <v>0</v>
      </c>
      <c r="M21" s="176">
        <f t="shared" si="1"/>
        <v>0</v>
      </c>
      <c r="N21" s="202">
        <v>0</v>
      </c>
      <c r="O21" s="10">
        <f t="shared" si="6"/>
        <v>0</v>
      </c>
      <c r="P21" s="202">
        <v>0</v>
      </c>
      <c r="Q21" s="11">
        <f t="shared" si="7"/>
        <v>0</v>
      </c>
      <c r="R21" s="39">
        <f t="shared" si="11"/>
        <v>4</v>
      </c>
      <c r="S21" s="38">
        <f t="shared" si="2"/>
        <v>0.13552</v>
      </c>
      <c r="T21" s="220"/>
      <c r="U21" s="235">
        <f t="shared" si="8"/>
        <v>0</v>
      </c>
      <c r="V21" s="49">
        <f t="shared" si="9"/>
        <v>4</v>
      </c>
      <c r="W21" s="50">
        <f t="shared" si="10"/>
        <v>0.13552</v>
      </c>
      <c r="X21" s="238">
        <v>0</v>
      </c>
      <c r="Y21" s="101">
        <v>0</v>
      </c>
    </row>
    <row r="22" spans="1:25" x14ac:dyDescent="0.25">
      <c r="A22" s="42" t="s">
        <v>20</v>
      </c>
      <c r="B22" s="34">
        <v>65</v>
      </c>
      <c r="C22" s="35">
        <v>50</v>
      </c>
      <c r="D22" s="35">
        <v>12</v>
      </c>
      <c r="E22" s="187">
        <f t="shared" si="3"/>
        <v>3.9E-2</v>
      </c>
      <c r="F22" s="23">
        <f>'KASIM 1 HAFTA'!V22</f>
        <v>26</v>
      </c>
      <c r="G22" s="26">
        <f t="shared" si="4"/>
        <v>1.014</v>
      </c>
      <c r="H22" s="21">
        <v>0</v>
      </c>
      <c r="I22" s="176">
        <f t="shared" si="5"/>
        <v>0</v>
      </c>
      <c r="J22" s="202">
        <v>0</v>
      </c>
      <c r="K22" s="210">
        <f t="shared" si="0"/>
        <v>0</v>
      </c>
      <c r="L22" s="202">
        <v>0</v>
      </c>
      <c r="M22" s="176">
        <f t="shared" si="1"/>
        <v>0</v>
      </c>
      <c r="N22" s="202">
        <v>0</v>
      </c>
      <c r="O22" s="10">
        <f t="shared" si="6"/>
        <v>0</v>
      </c>
      <c r="P22" s="202">
        <v>0</v>
      </c>
      <c r="Q22" s="11">
        <f t="shared" si="7"/>
        <v>0</v>
      </c>
      <c r="R22" s="39">
        <f t="shared" si="11"/>
        <v>26</v>
      </c>
      <c r="S22" s="38">
        <f t="shared" si="2"/>
        <v>1.014</v>
      </c>
      <c r="T22" s="220"/>
      <c r="U22" s="235">
        <f t="shared" si="8"/>
        <v>0</v>
      </c>
      <c r="V22" s="49">
        <f t="shared" si="9"/>
        <v>26</v>
      </c>
      <c r="W22" s="50">
        <f t="shared" si="10"/>
        <v>1.014</v>
      </c>
      <c r="X22" s="238">
        <v>0</v>
      </c>
      <c r="Y22" s="101">
        <v>0</v>
      </c>
    </row>
    <row r="23" spans="1:25" x14ac:dyDescent="0.25">
      <c r="A23" s="42" t="s">
        <v>21</v>
      </c>
      <c r="B23" s="34"/>
      <c r="C23" s="35"/>
      <c r="D23" s="35"/>
      <c r="E23" s="187">
        <f t="shared" si="3"/>
        <v>0</v>
      </c>
      <c r="F23" s="23">
        <f>'KASIM 1 HAFTA'!V23</f>
        <v>74</v>
      </c>
      <c r="G23" s="26">
        <f t="shared" si="4"/>
        <v>0</v>
      </c>
      <c r="H23" s="21">
        <v>0</v>
      </c>
      <c r="I23" s="176">
        <f t="shared" si="5"/>
        <v>0</v>
      </c>
      <c r="J23" s="202">
        <v>0</v>
      </c>
      <c r="K23" s="210">
        <f t="shared" si="0"/>
        <v>0</v>
      </c>
      <c r="L23" s="202">
        <v>0</v>
      </c>
      <c r="M23" s="176">
        <f t="shared" si="1"/>
        <v>0</v>
      </c>
      <c r="N23" s="202">
        <v>0</v>
      </c>
      <c r="O23" s="10">
        <f t="shared" si="6"/>
        <v>0</v>
      </c>
      <c r="P23" s="202">
        <v>0</v>
      </c>
      <c r="Q23" s="11">
        <f t="shared" si="7"/>
        <v>0</v>
      </c>
      <c r="R23" s="39">
        <f t="shared" si="11"/>
        <v>74</v>
      </c>
      <c r="S23" s="38">
        <f t="shared" si="2"/>
        <v>0</v>
      </c>
      <c r="T23" s="220"/>
      <c r="U23" s="235">
        <f t="shared" si="8"/>
        <v>0</v>
      </c>
      <c r="V23" s="49">
        <f t="shared" si="9"/>
        <v>74</v>
      </c>
      <c r="W23" s="50">
        <f t="shared" si="10"/>
        <v>0</v>
      </c>
      <c r="X23" s="238">
        <v>0</v>
      </c>
      <c r="Y23" s="101">
        <v>0</v>
      </c>
    </row>
    <row r="24" spans="1:25" x14ac:dyDescent="0.25">
      <c r="A24" s="42" t="s">
        <v>22</v>
      </c>
      <c r="B24" s="34">
        <v>66</v>
      </c>
      <c r="C24" s="35">
        <v>56</v>
      </c>
      <c r="D24" s="35">
        <v>12</v>
      </c>
      <c r="E24" s="187">
        <f t="shared" si="3"/>
        <v>4.4352000000000003E-2</v>
      </c>
      <c r="F24" s="23">
        <f>'KASIM 1 HAFTA'!V24</f>
        <v>28</v>
      </c>
      <c r="G24" s="26">
        <f t="shared" si="4"/>
        <v>1.2418560000000001</v>
      </c>
      <c r="H24" s="21">
        <v>0</v>
      </c>
      <c r="I24" s="176">
        <f t="shared" si="5"/>
        <v>0</v>
      </c>
      <c r="J24" s="202">
        <v>0</v>
      </c>
      <c r="K24" s="210">
        <f t="shared" si="0"/>
        <v>0</v>
      </c>
      <c r="L24" s="202">
        <v>0</v>
      </c>
      <c r="M24" s="176">
        <f t="shared" si="1"/>
        <v>0</v>
      </c>
      <c r="N24" s="202">
        <v>0</v>
      </c>
      <c r="O24" s="10">
        <f t="shared" si="6"/>
        <v>0</v>
      </c>
      <c r="P24" s="202">
        <v>0</v>
      </c>
      <c r="Q24" s="11">
        <f t="shared" si="7"/>
        <v>0</v>
      </c>
      <c r="R24" s="39">
        <f t="shared" si="11"/>
        <v>28</v>
      </c>
      <c r="S24" s="38">
        <f t="shared" si="2"/>
        <v>1.2418560000000001</v>
      </c>
      <c r="T24" s="220"/>
      <c r="U24" s="235">
        <f t="shared" si="8"/>
        <v>0</v>
      </c>
      <c r="V24" s="49">
        <f t="shared" si="9"/>
        <v>28</v>
      </c>
      <c r="W24" s="50">
        <f t="shared" si="10"/>
        <v>1.2418560000000001</v>
      </c>
      <c r="X24" s="238">
        <v>0</v>
      </c>
      <c r="Y24" s="101">
        <v>0</v>
      </c>
    </row>
    <row r="25" spans="1:25" x14ac:dyDescent="0.25">
      <c r="A25" s="42" t="s">
        <v>102</v>
      </c>
      <c r="B25" s="34">
        <v>61.5</v>
      </c>
      <c r="C25" s="35">
        <v>61.5</v>
      </c>
      <c r="D25" s="35">
        <v>10</v>
      </c>
      <c r="E25" s="187">
        <f t="shared" si="3"/>
        <v>3.7822500000000002E-2</v>
      </c>
      <c r="F25" s="23">
        <f>'KASIM 1 HAFTA'!V25</f>
        <v>0</v>
      </c>
      <c r="G25" s="26">
        <f t="shared" si="4"/>
        <v>0</v>
      </c>
      <c r="H25" s="21">
        <v>0</v>
      </c>
      <c r="I25" s="176">
        <f t="shared" si="5"/>
        <v>0</v>
      </c>
      <c r="J25" s="202">
        <v>0</v>
      </c>
      <c r="K25" s="210">
        <f t="shared" si="0"/>
        <v>0</v>
      </c>
      <c r="L25" s="202">
        <v>0</v>
      </c>
      <c r="M25" s="176">
        <f t="shared" si="1"/>
        <v>0</v>
      </c>
      <c r="N25" s="202">
        <v>0</v>
      </c>
      <c r="O25" s="10">
        <f t="shared" si="6"/>
        <v>0</v>
      </c>
      <c r="P25" s="202">
        <v>0</v>
      </c>
      <c r="Q25" s="11">
        <f t="shared" si="7"/>
        <v>0</v>
      </c>
      <c r="R25" s="39">
        <f t="shared" si="11"/>
        <v>0</v>
      </c>
      <c r="S25" s="38">
        <f t="shared" si="2"/>
        <v>0</v>
      </c>
      <c r="T25" s="220"/>
      <c r="U25" s="235">
        <f t="shared" si="8"/>
        <v>0</v>
      </c>
      <c r="V25" s="49">
        <f t="shared" si="9"/>
        <v>0</v>
      </c>
      <c r="W25" s="50">
        <f t="shared" si="10"/>
        <v>0</v>
      </c>
      <c r="X25" s="238">
        <v>30</v>
      </c>
      <c r="Y25" s="101">
        <v>100</v>
      </c>
    </row>
    <row r="26" spans="1:25" x14ac:dyDescent="0.25">
      <c r="A26" s="42" t="s">
        <v>24</v>
      </c>
      <c r="B26" s="34">
        <v>82</v>
      </c>
      <c r="C26" s="35">
        <v>67</v>
      </c>
      <c r="D26" s="35">
        <v>5</v>
      </c>
      <c r="E26" s="187">
        <f t="shared" si="3"/>
        <v>2.7470000000000001E-2</v>
      </c>
      <c r="F26" s="23">
        <f>'KASIM 1 HAFTA'!V26</f>
        <v>30</v>
      </c>
      <c r="G26" s="26">
        <f t="shared" si="4"/>
        <v>0.82410000000000005</v>
      </c>
      <c r="H26" s="21">
        <v>0</v>
      </c>
      <c r="I26" s="176">
        <f t="shared" si="5"/>
        <v>0</v>
      </c>
      <c r="J26" s="202">
        <v>0</v>
      </c>
      <c r="K26" s="210">
        <f t="shared" si="0"/>
        <v>0</v>
      </c>
      <c r="L26" s="202">
        <v>0</v>
      </c>
      <c r="M26" s="176">
        <f t="shared" si="1"/>
        <v>0</v>
      </c>
      <c r="N26" s="202">
        <v>0</v>
      </c>
      <c r="O26" s="10">
        <f t="shared" si="6"/>
        <v>0</v>
      </c>
      <c r="P26" s="202">
        <v>0</v>
      </c>
      <c r="Q26" s="11">
        <f t="shared" si="7"/>
        <v>0</v>
      </c>
      <c r="R26" s="39">
        <f t="shared" si="11"/>
        <v>30</v>
      </c>
      <c r="S26" s="38">
        <f t="shared" si="2"/>
        <v>0.82410000000000005</v>
      </c>
      <c r="T26" s="220"/>
      <c r="U26" s="235">
        <f t="shared" si="8"/>
        <v>0</v>
      </c>
      <c r="V26" s="49">
        <f t="shared" si="9"/>
        <v>30</v>
      </c>
      <c r="W26" s="50">
        <f t="shared" si="10"/>
        <v>0.82410000000000005</v>
      </c>
      <c r="X26" s="238">
        <v>0</v>
      </c>
      <c r="Y26" s="101">
        <v>0</v>
      </c>
    </row>
    <row r="27" spans="1:25" x14ac:dyDescent="0.25">
      <c r="A27" s="42" t="s">
        <v>25</v>
      </c>
      <c r="B27" s="34">
        <v>80</v>
      </c>
      <c r="C27" s="35">
        <v>62</v>
      </c>
      <c r="D27" s="35">
        <v>2</v>
      </c>
      <c r="E27" s="187">
        <f t="shared" si="3"/>
        <v>9.92E-3</v>
      </c>
      <c r="F27" s="23">
        <f>'KASIM 1 HAFTA'!V27</f>
        <v>36</v>
      </c>
      <c r="G27" s="26">
        <f t="shared" si="4"/>
        <v>0.35711999999999999</v>
      </c>
      <c r="H27" s="21">
        <v>0</v>
      </c>
      <c r="I27" s="176">
        <f t="shared" si="5"/>
        <v>0</v>
      </c>
      <c r="J27" s="202">
        <v>0</v>
      </c>
      <c r="K27" s="210">
        <f t="shared" si="0"/>
        <v>0</v>
      </c>
      <c r="L27" s="202">
        <v>0</v>
      </c>
      <c r="M27" s="176">
        <f t="shared" si="1"/>
        <v>0</v>
      </c>
      <c r="N27" s="202">
        <v>0</v>
      </c>
      <c r="O27" s="10">
        <f t="shared" si="6"/>
        <v>0</v>
      </c>
      <c r="P27" s="202">
        <v>0</v>
      </c>
      <c r="Q27" s="11">
        <f t="shared" si="7"/>
        <v>0</v>
      </c>
      <c r="R27" s="39">
        <f t="shared" si="11"/>
        <v>36</v>
      </c>
      <c r="S27" s="38">
        <f t="shared" si="2"/>
        <v>0.35711999999999999</v>
      </c>
      <c r="T27" s="220"/>
      <c r="U27" s="235">
        <f t="shared" si="8"/>
        <v>0</v>
      </c>
      <c r="V27" s="49">
        <f t="shared" si="9"/>
        <v>36</v>
      </c>
      <c r="W27" s="50">
        <f t="shared" si="10"/>
        <v>0.35711999999999999</v>
      </c>
      <c r="X27" s="238">
        <v>0</v>
      </c>
      <c r="Y27" s="101">
        <v>0</v>
      </c>
    </row>
    <row r="28" spans="1:25" x14ac:dyDescent="0.25">
      <c r="A28" s="42" t="s">
        <v>26</v>
      </c>
      <c r="B28" s="34">
        <v>63</v>
      </c>
      <c r="C28" s="35">
        <v>55</v>
      </c>
      <c r="D28" s="35">
        <v>5</v>
      </c>
      <c r="E28" s="187">
        <f t="shared" si="3"/>
        <v>1.7325E-2</v>
      </c>
      <c r="F28" s="23">
        <f>'KASIM 1 HAFTA'!V28</f>
        <v>19</v>
      </c>
      <c r="G28" s="26">
        <f t="shared" si="4"/>
        <v>0.329175</v>
      </c>
      <c r="H28" s="21">
        <v>0</v>
      </c>
      <c r="I28" s="176">
        <f t="shared" si="5"/>
        <v>0</v>
      </c>
      <c r="J28" s="202">
        <v>0</v>
      </c>
      <c r="K28" s="210">
        <f t="shared" si="0"/>
        <v>0</v>
      </c>
      <c r="L28" s="202">
        <v>0</v>
      </c>
      <c r="M28" s="176">
        <f t="shared" si="1"/>
        <v>0</v>
      </c>
      <c r="N28" s="202">
        <v>0</v>
      </c>
      <c r="O28" s="10">
        <f t="shared" si="6"/>
        <v>0</v>
      </c>
      <c r="P28" s="202">
        <v>0</v>
      </c>
      <c r="Q28" s="11">
        <f t="shared" si="7"/>
        <v>0</v>
      </c>
      <c r="R28" s="39">
        <f t="shared" si="11"/>
        <v>19</v>
      </c>
      <c r="S28" s="38">
        <f t="shared" si="2"/>
        <v>0.329175</v>
      </c>
      <c r="T28" s="220"/>
      <c r="U28" s="235">
        <f t="shared" si="8"/>
        <v>0</v>
      </c>
      <c r="V28" s="49">
        <f t="shared" si="9"/>
        <v>19</v>
      </c>
      <c r="W28" s="50">
        <f t="shared" si="10"/>
        <v>0.329175</v>
      </c>
      <c r="X28" s="238">
        <v>0</v>
      </c>
      <c r="Y28" s="101">
        <v>0</v>
      </c>
    </row>
    <row r="29" spans="1:25" x14ac:dyDescent="0.25">
      <c r="A29" s="42" t="s">
        <v>27</v>
      </c>
      <c r="B29" s="34">
        <v>140</v>
      </c>
      <c r="C29" s="35">
        <v>240</v>
      </c>
      <c r="D29" s="35">
        <v>5</v>
      </c>
      <c r="E29" s="187">
        <f t="shared" si="3"/>
        <v>0.16800000000000001</v>
      </c>
      <c r="F29" s="23">
        <f>'KASIM 1 HAFTA'!V29</f>
        <v>6</v>
      </c>
      <c r="G29" s="26">
        <f t="shared" si="4"/>
        <v>1.008</v>
      </c>
      <c r="H29" s="21">
        <v>0</v>
      </c>
      <c r="I29" s="176">
        <f t="shared" si="5"/>
        <v>0</v>
      </c>
      <c r="J29" s="202">
        <v>0</v>
      </c>
      <c r="K29" s="210">
        <f t="shared" si="0"/>
        <v>0</v>
      </c>
      <c r="L29" s="202">
        <v>0</v>
      </c>
      <c r="M29" s="176">
        <f t="shared" si="1"/>
        <v>0</v>
      </c>
      <c r="N29" s="202">
        <v>0</v>
      </c>
      <c r="O29" s="10">
        <f t="shared" si="6"/>
        <v>0</v>
      </c>
      <c r="P29" s="202">
        <v>0</v>
      </c>
      <c r="Q29" s="11">
        <f t="shared" si="7"/>
        <v>0</v>
      </c>
      <c r="R29" s="39">
        <f t="shared" si="11"/>
        <v>6</v>
      </c>
      <c r="S29" s="38">
        <f t="shared" si="2"/>
        <v>1.008</v>
      </c>
      <c r="T29" s="220"/>
      <c r="U29" s="235">
        <f t="shared" si="8"/>
        <v>0</v>
      </c>
      <c r="V29" s="49">
        <f t="shared" si="9"/>
        <v>6</v>
      </c>
      <c r="W29" s="50">
        <f t="shared" si="10"/>
        <v>1.008</v>
      </c>
      <c r="X29" s="238">
        <v>0</v>
      </c>
      <c r="Y29" s="101">
        <v>0</v>
      </c>
    </row>
    <row r="30" spans="1:25" x14ac:dyDescent="0.25">
      <c r="A30" s="42" t="s">
        <v>28</v>
      </c>
      <c r="B30" s="34">
        <v>140</v>
      </c>
      <c r="C30" s="35">
        <v>240</v>
      </c>
      <c r="D30" s="35">
        <v>10</v>
      </c>
      <c r="E30" s="187">
        <f t="shared" si="3"/>
        <v>0.33600000000000002</v>
      </c>
      <c r="F30" s="23">
        <f>'KASIM 1 HAFTA'!V30</f>
        <v>11</v>
      </c>
      <c r="G30" s="26">
        <f t="shared" si="4"/>
        <v>3.6960000000000002</v>
      </c>
      <c r="H30" s="21">
        <v>0</v>
      </c>
      <c r="I30" s="176">
        <f t="shared" si="5"/>
        <v>0</v>
      </c>
      <c r="J30" s="202">
        <v>0</v>
      </c>
      <c r="K30" s="210">
        <f t="shared" si="0"/>
        <v>0</v>
      </c>
      <c r="L30" s="202">
        <v>0</v>
      </c>
      <c r="M30" s="176">
        <f t="shared" si="1"/>
        <v>0</v>
      </c>
      <c r="N30" s="202">
        <v>0</v>
      </c>
      <c r="O30" s="10">
        <f t="shared" si="6"/>
        <v>0</v>
      </c>
      <c r="P30" s="202">
        <v>0</v>
      </c>
      <c r="Q30" s="11">
        <f t="shared" si="7"/>
        <v>0</v>
      </c>
      <c r="R30" s="39">
        <f t="shared" si="11"/>
        <v>11</v>
      </c>
      <c r="S30" s="38">
        <f t="shared" si="2"/>
        <v>3.6960000000000002</v>
      </c>
      <c r="T30" s="220"/>
      <c r="U30" s="235">
        <f t="shared" si="8"/>
        <v>0</v>
      </c>
      <c r="V30" s="49">
        <f t="shared" si="9"/>
        <v>11</v>
      </c>
      <c r="W30" s="50">
        <f t="shared" si="10"/>
        <v>3.6960000000000002</v>
      </c>
      <c r="X30" s="238">
        <v>0</v>
      </c>
      <c r="Y30" s="101">
        <v>0</v>
      </c>
    </row>
    <row r="31" spans="1:25" x14ac:dyDescent="0.25">
      <c r="A31" s="42" t="s">
        <v>29</v>
      </c>
      <c r="B31" s="34">
        <v>140</v>
      </c>
      <c r="C31" s="35">
        <v>240</v>
      </c>
      <c r="D31" s="35">
        <v>3</v>
      </c>
      <c r="E31" s="187">
        <f t="shared" si="3"/>
        <v>0.1008</v>
      </c>
      <c r="F31" s="23">
        <f>'KASIM 1 HAFTA'!V31</f>
        <v>26</v>
      </c>
      <c r="G31" s="26">
        <f t="shared" si="4"/>
        <v>2.6208</v>
      </c>
      <c r="H31" s="21">
        <v>0</v>
      </c>
      <c r="I31" s="176">
        <f t="shared" si="5"/>
        <v>0</v>
      </c>
      <c r="J31" s="202">
        <v>0</v>
      </c>
      <c r="K31" s="210">
        <f t="shared" si="0"/>
        <v>0</v>
      </c>
      <c r="L31" s="202">
        <v>0</v>
      </c>
      <c r="M31" s="176">
        <f t="shared" si="1"/>
        <v>0</v>
      </c>
      <c r="N31" s="202">
        <v>0</v>
      </c>
      <c r="O31" s="10">
        <f t="shared" si="6"/>
        <v>0</v>
      </c>
      <c r="P31" s="202">
        <v>0</v>
      </c>
      <c r="Q31" s="11">
        <f t="shared" si="7"/>
        <v>0</v>
      </c>
      <c r="R31" s="39">
        <f t="shared" si="11"/>
        <v>26</v>
      </c>
      <c r="S31" s="38">
        <f t="shared" si="2"/>
        <v>2.6208</v>
      </c>
      <c r="T31" s="220"/>
      <c r="U31" s="235">
        <f t="shared" si="8"/>
        <v>0</v>
      </c>
      <c r="V31" s="49">
        <f t="shared" si="9"/>
        <v>26</v>
      </c>
      <c r="W31" s="50">
        <f t="shared" si="10"/>
        <v>2.6208</v>
      </c>
      <c r="X31" s="238">
        <v>0</v>
      </c>
      <c r="Y31" s="101">
        <v>0</v>
      </c>
    </row>
    <row r="32" spans="1:25" x14ac:dyDescent="0.25">
      <c r="A32" s="42" t="s">
        <v>30</v>
      </c>
      <c r="B32" s="34">
        <v>90</v>
      </c>
      <c r="C32" s="35">
        <v>80</v>
      </c>
      <c r="D32" s="35">
        <v>8</v>
      </c>
      <c r="E32" s="187">
        <f t="shared" si="3"/>
        <v>5.7599999999999998E-2</v>
      </c>
      <c r="F32" s="23">
        <f>'KASIM 1 HAFTA'!V32</f>
        <v>0</v>
      </c>
      <c r="G32" s="26">
        <f t="shared" si="4"/>
        <v>0</v>
      </c>
      <c r="H32" s="21">
        <v>0</v>
      </c>
      <c r="I32" s="176">
        <f t="shared" si="5"/>
        <v>0</v>
      </c>
      <c r="J32" s="202">
        <v>0</v>
      </c>
      <c r="K32" s="210">
        <f t="shared" si="0"/>
        <v>0</v>
      </c>
      <c r="L32" s="202">
        <v>0</v>
      </c>
      <c r="M32" s="176">
        <f t="shared" si="1"/>
        <v>0</v>
      </c>
      <c r="N32" s="202">
        <v>0</v>
      </c>
      <c r="O32" s="10">
        <f t="shared" si="6"/>
        <v>0</v>
      </c>
      <c r="P32" s="202">
        <v>0</v>
      </c>
      <c r="Q32" s="11">
        <f t="shared" si="7"/>
        <v>0</v>
      </c>
      <c r="R32" s="39">
        <f t="shared" si="11"/>
        <v>0</v>
      </c>
      <c r="S32" s="38">
        <f t="shared" si="2"/>
        <v>0</v>
      </c>
      <c r="T32" s="220"/>
      <c r="U32" s="235">
        <f t="shared" si="8"/>
        <v>0</v>
      </c>
      <c r="V32" s="49">
        <f t="shared" si="9"/>
        <v>0</v>
      </c>
      <c r="W32" s="50">
        <f t="shared" si="10"/>
        <v>0</v>
      </c>
      <c r="X32" s="238">
        <v>0</v>
      </c>
      <c r="Y32" s="101">
        <v>0</v>
      </c>
    </row>
    <row r="33" spans="1:25" x14ac:dyDescent="0.25">
      <c r="A33" s="42" t="s">
        <v>31</v>
      </c>
      <c r="B33" s="34">
        <v>90</v>
      </c>
      <c r="C33" s="35">
        <v>80</v>
      </c>
      <c r="D33" s="35">
        <v>8</v>
      </c>
      <c r="E33" s="187">
        <f t="shared" si="3"/>
        <v>5.7599999999999998E-2</v>
      </c>
      <c r="F33" s="23">
        <f>'KASIM 1 HAFTA'!V33</f>
        <v>0</v>
      </c>
      <c r="G33" s="26">
        <f t="shared" si="4"/>
        <v>0</v>
      </c>
      <c r="H33" s="21">
        <v>0</v>
      </c>
      <c r="I33" s="176">
        <f t="shared" si="5"/>
        <v>0</v>
      </c>
      <c r="J33" s="202">
        <v>0</v>
      </c>
      <c r="K33" s="210">
        <f t="shared" si="0"/>
        <v>0</v>
      </c>
      <c r="L33" s="202">
        <v>0</v>
      </c>
      <c r="M33" s="176">
        <f t="shared" si="1"/>
        <v>0</v>
      </c>
      <c r="N33" s="202">
        <v>0</v>
      </c>
      <c r="O33" s="10">
        <f t="shared" si="6"/>
        <v>0</v>
      </c>
      <c r="P33" s="202">
        <v>0</v>
      </c>
      <c r="Q33" s="11">
        <f t="shared" si="7"/>
        <v>0</v>
      </c>
      <c r="R33" s="39">
        <f t="shared" si="11"/>
        <v>0</v>
      </c>
      <c r="S33" s="38">
        <f t="shared" si="2"/>
        <v>0</v>
      </c>
      <c r="T33" s="220"/>
      <c r="U33" s="235">
        <f t="shared" si="8"/>
        <v>0</v>
      </c>
      <c r="V33" s="49">
        <f t="shared" si="9"/>
        <v>0</v>
      </c>
      <c r="W33" s="50">
        <f t="shared" si="10"/>
        <v>0</v>
      </c>
      <c r="X33" s="238">
        <v>0</v>
      </c>
      <c r="Y33" s="101">
        <v>0</v>
      </c>
    </row>
    <row r="34" spans="1:25" x14ac:dyDescent="0.25">
      <c r="A34" s="42" t="s">
        <v>32</v>
      </c>
      <c r="B34" s="34"/>
      <c r="C34" s="35"/>
      <c r="D34" s="35"/>
      <c r="E34" s="187">
        <f t="shared" si="3"/>
        <v>0</v>
      </c>
      <c r="F34" s="23">
        <f>'KASIM 1 HAFTA'!V34</f>
        <v>300</v>
      </c>
      <c r="G34" s="26">
        <f t="shared" si="4"/>
        <v>0</v>
      </c>
      <c r="H34" s="21">
        <v>0</v>
      </c>
      <c r="I34" s="176">
        <f t="shared" si="5"/>
        <v>0</v>
      </c>
      <c r="J34" s="202">
        <v>0</v>
      </c>
      <c r="K34" s="210">
        <f t="shared" si="0"/>
        <v>0</v>
      </c>
      <c r="L34" s="202">
        <v>0</v>
      </c>
      <c r="M34" s="176">
        <f t="shared" si="1"/>
        <v>0</v>
      </c>
      <c r="N34" s="202">
        <v>0</v>
      </c>
      <c r="O34" s="10">
        <f t="shared" si="6"/>
        <v>0</v>
      </c>
      <c r="P34" s="202">
        <v>0</v>
      </c>
      <c r="Q34" s="11">
        <f t="shared" si="7"/>
        <v>0</v>
      </c>
      <c r="R34" s="39">
        <f t="shared" si="11"/>
        <v>300</v>
      </c>
      <c r="S34" s="38">
        <f t="shared" si="2"/>
        <v>0</v>
      </c>
      <c r="T34" s="220"/>
      <c r="U34" s="235">
        <f t="shared" si="8"/>
        <v>0</v>
      </c>
      <c r="V34" s="49">
        <f t="shared" si="9"/>
        <v>300</v>
      </c>
      <c r="W34" s="50">
        <f t="shared" si="10"/>
        <v>0</v>
      </c>
      <c r="X34" s="238">
        <v>0</v>
      </c>
      <c r="Y34" s="101">
        <v>0</v>
      </c>
    </row>
    <row r="35" spans="1:25" x14ac:dyDescent="0.25">
      <c r="A35" s="42" t="s">
        <v>33</v>
      </c>
      <c r="B35" s="34">
        <v>80</v>
      </c>
      <c r="C35" s="35">
        <v>66</v>
      </c>
      <c r="D35" s="35">
        <v>5</v>
      </c>
      <c r="E35" s="187">
        <f t="shared" si="3"/>
        <v>2.64E-2</v>
      </c>
      <c r="F35" s="23">
        <f>'KASIM 1 HAFTA'!V35</f>
        <v>56</v>
      </c>
      <c r="G35" s="26">
        <f t="shared" si="4"/>
        <v>1.4783999999999999</v>
      </c>
      <c r="H35" s="21">
        <v>0</v>
      </c>
      <c r="I35" s="176">
        <f t="shared" si="5"/>
        <v>0</v>
      </c>
      <c r="J35" s="202">
        <v>0</v>
      </c>
      <c r="K35" s="210">
        <f t="shared" si="0"/>
        <v>0</v>
      </c>
      <c r="L35" s="202">
        <v>0</v>
      </c>
      <c r="M35" s="176">
        <f t="shared" si="1"/>
        <v>0</v>
      </c>
      <c r="N35" s="202">
        <v>0</v>
      </c>
      <c r="O35" s="10">
        <f t="shared" si="6"/>
        <v>0</v>
      </c>
      <c r="P35" s="202">
        <v>0</v>
      </c>
      <c r="Q35" s="11">
        <f t="shared" si="7"/>
        <v>0</v>
      </c>
      <c r="R35" s="39">
        <f t="shared" si="11"/>
        <v>56</v>
      </c>
      <c r="S35" s="38">
        <f t="shared" si="2"/>
        <v>1.4783999999999999</v>
      </c>
      <c r="T35" s="220"/>
      <c r="U35" s="235">
        <f t="shared" si="8"/>
        <v>0</v>
      </c>
      <c r="V35" s="49">
        <f t="shared" si="9"/>
        <v>56</v>
      </c>
      <c r="W35" s="50">
        <f t="shared" si="10"/>
        <v>1.4783999999999999</v>
      </c>
      <c r="X35" s="238">
        <v>0</v>
      </c>
      <c r="Y35" s="101">
        <v>0</v>
      </c>
    </row>
    <row r="36" spans="1:25" x14ac:dyDescent="0.25">
      <c r="A36" s="42" t="s">
        <v>34</v>
      </c>
      <c r="B36" s="34">
        <v>60</v>
      </c>
      <c r="C36" s="35">
        <v>62</v>
      </c>
      <c r="D36" s="35">
        <v>5</v>
      </c>
      <c r="E36" s="187">
        <f t="shared" si="3"/>
        <v>1.8599999999999998E-2</v>
      </c>
      <c r="F36" s="23">
        <f>'KASIM 1 HAFTA'!V36</f>
        <v>4</v>
      </c>
      <c r="G36" s="26">
        <f t="shared" si="4"/>
        <v>7.4399999999999994E-2</v>
      </c>
      <c r="H36" s="21">
        <v>0</v>
      </c>
      <c r="I36" s="176">
        <f t="shared" si="5"/>
        <v>0</v>
      </c>
      <c r="J36" s="202">
        <v>0</v>
      </c>
      <c r="K36" s="210">
        <f t="shared" si="0"/>
        <v>0</v>
      </c>
      <c r="L36" s="202">
        <v>0</v>
      </c>
      <c r="M36" s="176">
        <f t="shared" si="1"/>
        <v>0</v>
      </c>
      <c r="N36" s="202">
        <v>0</v>
      </c>
      <c r="O36" s="10">
        <f t="shared" si="6"/>
        <v>0</v>
      </c>
      <c r="P36" s="202">
        <v>0</v>
      </c>
      <c r="Q36" s="11">
        <f t="shared" si="7"/>
        <v>0</v>
      </c>
      <c r="R36" s="39">
        <f t="shared" si="11"/>
        <v>4</v>
      </c>
      <c r="S36" s="38">
        <f t="shared" si="2"/>
        <v>7.4399999999999994E-2</v>
      </c>
      <c r="T36" s="220"/>
      <c r="U36" s="235">
        <f t="shared" si="8"/>
        <v>0</v>
      </c>
      <c r="V36" s="49">
        <f t="shared" si="9"/>
        <v>4</v>
      </c>
      <c r="W36" s="50">
        <f t="shared" si="10"/>
        <v>7.4399999999999994E-2</v>
      </c>
      <c r="X36" s="238">
        <v>0</v>
      </c>
      <c r="Y36" s="101">
        <v>0</v>
      </c>
    </row>
    <row r="37" spans="1:25" x14ac:dyDescent="0.25">
      <c r="A37" s="42" t="s">
        <v>41</v>
      </c>
      <c r="B37" s="34">
        <v>60</v>
      </c>
      <c r="C37" s="35">
        <v>67</v>
      </c>
      <c r="D37" s="35">
        <v>3</v>
      </c>
      <c r="E37" s="187">
        <f t="shared" si="3"/>
        <v>1.206E-2</v>
      </c>
      <c r="F37" s="23">
        <f>'KASIM 1 HAFTA'!V37</f>
        <v>12</v>
      </c>
      <c r="G37" s="26">
        <f t="shared" si="4"/>
        <v>0.14471999999999999</v>
      </c>
      <c r="H37" s="21">
        <v>0</v>
      </c>
      <c r="I37" s="176">
        <f t="shared" si="5"/>
        <v>0</v>
      </c>
      <c r="J37" s="202">
        <v>0</v>
      </c>
      <c r="K37" s="210">
        <f t="shared" si="0"/>
        <v>0</v>
      </c>
      <c r="L37" s="202">
        <v>0</v>
      </c>
      <c r="M37" s="176">
        <f t="shared" si="1"/>
        <v>0</v>
      </c>
      <c r="N37" s="202">
        <v>0</v>
      </c>
      <c r="O37" s="10">
        <f t="shared" si="6"/>
        <v>0</v>
      </c>
      <c r="P37" s="202">
        <v>0</v>
      </c>
      <c r="Q37" s="11">
        <f t="shared" si="7"/>
        <v>0</v>
      </c>
      <c r="R37" s="39">
        <f t="shared" si="11"/>
        <v>12</v>
      </c>
      <c r="S37" s="38">
        <f t="shared" si="2"/>
        <v>0.14471999999999999</v>
      </c>
      <c r="T37" s="220"/>
      <c r="U37" s="235">
        <f t="shared" si="8"/>
        <v>0</v>
      </c>
      <c r="V37" s="49">
        <f t="shared" si="9"/>
        <v>12</v>
      </c>
      <c r="W37" s="50">
        <f t="shared" si="10"/>
        <v>0.14471999999999999</v>
      </c>
      <c r="X37" s="238">
        <v>0</v>
      </c>
      <c r="Y37" s="101">
        <v>0</v>
      </c>
    </row>
    <row r="38" spans="1:25" x14ac:dyDescent="0.25">
      <c r="A38" s="42" t="s">
        <v>35</v>
      </c>
      <c r="B38" s="34">
        <v>140</v>
      </c>
      <c r="C38" s="35">
        <v>240</v>
      </c>
      <c r="D38" s="35">
        <v>7</v>
      </c>
      <c r="E38" s="187">
        <f t="shared" si="3"/>
        <v>0.23519999999999999</v>
      </c>
      <c r="F38" s="23">
        <f>'KASIM 1 HAFTA'!V38</f>
        <v>0</v>
      </c>
      <c r="G38" s="26">
        <f t="shared" si="4"/>
        <v>0</v>
      </c>
      <c r="H38" s="21">
        <v>0</v>
      </c>
      <c r="I38" s="176">
        <f t="shared" si="5"/>
        <v>0</v>
      </c>
      <c r="J38" s="202">
        <v>0</v>
      </c>
      <c r="K38" s="210">
        <f t="shared" si="0"/>
        <v>0</v>
      </c>
      <c r="L38" s="202">
        <v>0</v>
      </c>
      <c r="M38" s="176">
        <f t="shared" si="1"/>
        <v>0</v>
      </c>
      <c r="N38" s="202">
        <v>0</v>
      </c>
      <c r="O38" s="10">
        <f t="shared" si="6"/>
        <v>0</v>
      </c>
      <c r="P38" s="202">
        <v>0</v>
      </c>
      <c r="Q38" s="11">
        <f t="shared" si="7"/>
        <v>0</v>
      </c>
      <c r="R38" s="39">
        <f t="shared" si="11"/>
        <v>0</v>
      </c>
      <c r="S38" s="38">
        <f t="shared" si="2"/>
        <v>0</v>
      </c>
      <c r="T38" s="220"/>
      <c r="U38" s="235">
        <f t="shared" si="8"/>
        <v>0</v>
      </c>
      <c r="V38" s="49">
        <f t="shared" si="9"/>
        <v>0</v>
      </c>
      <c r="W38" s="50">
        <f t="shared" si="10"/>
        <v>0</v>
      </c>
      <c r="X38" s="238">
        <v>0</v>
      </c>
      <c r="Y38" s="101">
        <v>0</v>
      </c>
    </row>
    <row r="39" spans="1:25" x14ac:dyDescent="0.25">
      <c r="A39" s="42" t="s">
        <v>36</v>
      </c>
      <c r="B39" s="34">
        <v>60</v>
      </c>
      <c r="C39" s="35">
        <v>56</v>
      </c>
      <c r="D39" s="35">
        <v>10</v>
      </c>
      <c r="E39" s="187">
        <f t="shared" si="3"/>
        <v>3.3599999999999998E-2</v>
      </c>
      <c r="F39" s="23">
        <f>'KASIM 1 HAFTA'!V39</f>
        <v>0</v>
      </c>
      <c r="G39" s="26">
        <f t="shared" si="4"/>
        <v>0</v>
      </c>
      <c r="H39" s="21">
        <v>0</v>
      </c>
      <c r="I39" s="176">
        <f t="shared" si="5"/>
        <v>0</v>
      </c>
      <c r="J39" s="202">
        <v>0</v>
      </c>
      <c r="K39" s="210">
        <f t="shared" si="0"/>
        <v>0</v>
      </c>
      <c r="L39" s="202">
        <v>0</v>
      </c>
      <c r="M39" s="176">
        <f t="shared" si="1"/>
        <v>0</v>
      </c>
      <c r="N39" s="202">
        <v>0</v>
      </c>
      <c r="O39" s="10">
        <f t="shared" si="6"/>
        <v>0</v>
      </c>
      <c r="P39" s="202">
        <v>0</v>
      </c>
      <c r="Q39" s="11">
        <f t="shared" si="7"/>
        <v>0</v>
      </c>
      <c r="R39" s="39">
        <f t="shared" si="11"/>
        <v>0</v>
      </c>
      <c r="S39" s="38">
        <f t="shared" si="2"/>
        <v>0</v>
      </c>
      <c r="T39" s="220"/>
      <c r="U39" s="235">
        <f t="shared" si="8"/>
        <v>0</v>
      </c>
      <c r="V39" s="49">
        <f t="shared" si="9"/>
        <v>0</v>
      </c>
      <c r="W39" s="50">
        <f t="shared" si="10"/>
        <v>0</v>
      </c>
      <c r="X39" s="238">
        <v>0</v>
      </c>
      <c r="Y39" s="101">
        <v>0</v>
      </c>
    </row>
    <row r="40" spans="1:25" x14ac:dyDescent="0.25">
      <c r="A40" s="42" t="s">
        <v>37</v>
      </c>
      <c r="B40" s="34">
        <v>58</v>
      </c>
      <c r="C40" s="35">
        <v>55</v>
      </c>
      <c r="D40" s="35">
        <v>10</v>
      </c>
      <c r="E40" s="187">
        <f t="shared" si="3"/>
        <v>3.1899999999999998E-2</v>
      </c>
      <c r="F40" s="23">
        <f>'KASIM 1 HAFTA'!V40</f>
        <v>0</v>
      </c>
      <c r="G40" s="26">
        <f t="shared" si="4"/>
        <v>0</v>
      </c>
      <c r="H40" s="21">
        <v>0</v>
      </c>
      <c r="I40" s="176">
        <f t="shared" si="5"/>
        <v>0</v>
      </c>
      <c r="J40" s="202">
        <v>0</v>
      </c>
      <c r="K40" s="210">
        <f t="shared" si="0"/>
        <v>0</v>
      </c>
      <c r="L40" s="202">
        <v>0</v>
      </c>
      <c r="M40" s="176">
        <f t="shared" si="1"/>
        <v>0</v>
      </c>
      <c r="N40" s="202">
        <v>0</v>
      </c>
      <c r="O40" s="10">
        <f t="shared" si="6"/>
        <v>0</v>
      </c>
      <c r="P40" s="202">
        <v>0</v>
      </c>
      <c r="Q40" s="11">
        <f t="shared" si="7"/>
        <v>0</v>
      </c>
      <c r="R40" s="39">
        <f t="shared" si="11"/>
        <v>0</v>
      </c>
      <c r="S40" s="38">
        <f t="shared" si="2"/>
        <v>0</v>
      </c>
      <c r="T40" s="220"/>
      <c r="U40" s="235">
        <f t="shared" si="8"/>
        <v>0</v>
      </c>
      <c r="V40" s="49">
        <f t="shared" si="9"/>
        <v>0</v>
      </c>
      <c r="W40" s="50">
        <f t="shared" si="10"/>
        <v>0</v>
      </c>
      <c r="X40" s="238">
        <v>0</v>
      </c>
      <c r="Y40" s="101">
        <v>0</v>
      </c>
    </row>
    <row r="41" spans="1:25" x14ac:dyDescent="0.25">
      <c r="A41" s="42" t="s">
        <v>38</v>
      </c>
      <c r="B41" s="34">
        <v>63</v>
      </c>
      <c r="C41" s="35">
        <v>55</v>
      </c>
      <c r="D41" s="35">
        <v>5</v>
      </c>
      <c r="E41" s="187">
        <f t="shared" si="3"/>
        <v>1.7325E-2</v>
      </c>
      <c r="F41" s="23">
        <f>'KASIM 1 HAFTA'!V41</f>
        <v>10</v>
      </c>
      <c r="G41" s="26">
        <f t="shared" si="4"/>
        <v>0.17325000000000002</v>
      </c>
      <c r="H41" s="21">
        <v>0</v>
      </c>
      <c r="I41" s="176">
        <f t="shared" si="5"/>
        <v>0</v>
      </c>
      <c r="J41" s="202">
        <v>0</v>
      </c>
      <c r="K41" s="210">
        <f t="shared" si="0"/>
        <v>0</v>
      </c>
      <c r="L41" s="202">
        <v>0</v>
      </c>
      <c r="M41" s="176">
        <f t="shared" si="1"/>
        <v>0</v>
      </c>
      <c r="N41" s="202">
        <v>0</v>
      </c>
      <c r="O41" s="10">
        <f t="shared" si="6"/>
        <v>0</v>
      </c>
      <c r="P41" s="202">
        <v>0</v>
      </c>
      <c r="Q41" s="11">
        <f t="shared" si="7"/>
        <v>0</v>
      </c>
      <c r="R41" s="39">
        <f t="shared" si="11"/>
        <v>10</v>
      </c>
      <c r="S41" s="38">
        <f t="shared" si="2"/>
        <v>0.17325000000000002</v>
      </c>
      <c r="T41" s="220"/>
      <c r="U41" s="235">
        <f t="shared" si="8"/>
        <v>0</v>
      </c>
      <c r="V41" s="49">
        <f t="shared" si="9"/>
        <v>10</v>
      </c>
      <c r="W41" s="50">
        <f t="shared" si="10"/>
        <v>0.17325000000000002</v>
      </c>
      <c r="X41" s="238">
        <v>0</v>
      </c>
      <c r="Y41" s="101">
        <v>0</v>
      </c>
    </row>
    <row r="42" spans="1:25" x14ac:dyDescent="0.25">
      <c r="A42" s="42" t="s">
        <v>39</v>
      </c>
      <c r="B42" s="34">
        <v>52</v>
      </c>
      <c r="C42" s="35">
        <v>52</v>
      </c>
      <c r="D42" s="35">
        <v>5</v>
      </c>
      <c r="E42" s="187">
        <f t="shared" si="3"/>
        <v>1.3520000000000001E-2</v>
      </c>
      <c r="F42" s="23">
        <f>'KASIM 1 HAFTA'!V42</f>
        <v>0</v>
      </c>
      <c r="G42" s="26">
        <f t="shared" si="4"/>
        <v>0</v>
      </c>
      <c r="H42" s="21">
        <v>0</v>
      </c>
      <c r="I42" s="176">
        <f t="shared" si="5"/>
        <v>0</v>
      </c>
      <c r="J42" s="202">
        <v>0</v>
      </c>
      <c r="K42" s="210">
        <f t="shared" si="0"/>
        <v>0</v>
      </c>
      <c r="L42" s="202">
        <v>0</v>
      </c>
      <c r="M42" s="176">
        <f t="shared" si="1"/>
        <v>0</v>
      </c>
      <c r="N42" s="202">
        <v>0</v>
      </c>
      <c r="O42" s="10">
        <f t="shared" si="6"/>
        <v>0</v>
      </c>
      <c r="P42" s="202">
        <v>0</v>
      </c>
      <c r="Q42" s="11">
        <f t="shared" si="7"/>
        <v>0</v>
      </c>
      <c r="R42" s="39">
        <f t="shared" si="11"/>
        <v>0</v>
      </c>
      <c r="S42" s="38">
        <f t="shared" si="2"/>
        <v>0</v>
      </c>
      <c r="T42" s="220"/>
      <c r="U42" s="235">
        <f t="shared" si="8"/>
        <v>0</v>
      </c>
      <c r="V42" s="49">
        <f t="shared" si="9"/>
        <v>0</v>
      </c>
      <c r="W42" s="50">
        <f t="shared" si="10"/>
        <v>0</v>
      </c>
      <c r="X42" s="238">
        <v>0</v>
      </c>
      <c r="Y42" s="101">
        <v>0</v>
      </c>
    </row>
    <row r="43" spans="1:25" x14ac:dyDescent="0.25">
      <c r="A43" s="42" t="s">
        <v>40</v>
      </c>
      <c r="B43" s="34">
        <v>80</v>
      </c>
      <c r="C43" s="35">
        <v>70</v>
      </c>
      <c r="D43" s="35">
        <v>8</v>
      </c>
      <c r="E43" s="187">
        <f t="shared" si="3"/>
        <v>4.48E-2</v>
      </c>
      <c r="F43" s="23">
        <f>'KASIM 1 HAFTA'!V43</f>
        <v>317</v>
      </c>
      <c r="G43" s="26">
        <f t="shared" si="4"/>
        <v>14.201599999999999</v>
      </c>
      <c r="H43" s="21">
        <v>0</v>
      </c>
      <c r="I43" s="176">
        <f t="shared" si="5"/>
        <v>0</v>
      </c>
      <c r="J43" s="202">
        <v>0</v>
      </c>
      <c r="K43" s="210">
        <f t="shared" si="0"/>
        <v>0</v>
      </c>
      <c r="L43" s="202">
        <v>0</v>
      </c>
      <c r="M43" s="176">
        <f t="shared" si="1"/>
        <v>0</v>
      </c>
      <c r="N43" s="202">
        <v>0</v>
      </c>
      <c r="O43" s="10">
        <f t="shared" si="6"/>
        <v>0</v>
      </c>
      <c r="P43" s="202">
        <v>0</v>
      </c>
      <c r="Q43" s="11">
        <f t="shared" si="7"/>
        <v>0</v>
      </c>
      <c r="R43" s="39">
        <f t="shared" si="11"/>
        <v>317</v>
      </c>
      <c r="S43" s="38">
        <f t="shared" si="2"/>
        <v>14.201599999999999</v>
      </c>
      <c r="T43" s="220"/>
      <c r="U43" s="235">
        <f t="shared" si="8"/>
        <v>0</v>
      </c>
      <c r="V43" s="49">
        <f t="shared" si="9"/>
        <v>317</v>
      </c>
      <c r="W43" s="50">
        <f t="shared" si="10"/>
        <v>14.201599999999999</v>
      </c>
      <c r="X43" s="238">
        <v>50</v>
      </c>
      <c r="Y43" s="101">
        <v>200</v>
      </c>
    </row>
    <row r="44" spans="1:25" x14ac:dyDescent="0.25">
      <c r="A44" s="42" t="s">
        <v>42</v>
      </c>
      <c r="B44" s="34">
        <v>70</v>
      </c>
      <c r="C44" s="35">
        <v>64</v>
      </c>
      <c r="D44" s="35">
        <v>8</v>
      </c>
      <c r="E44" s="187">
        <f t="shared" si="3"/>
        <v>3.5839999999999997E-2</v>
      </c>
      <c r="F44" s="23">
        <f>'KASIM 1 HAFTA'!V44</f>
        <v>362</v>
      </c>
      <c r="G44" s="26">
        <f t="shared" si="4"/>
        <v>12.974079999999999</v>
      </c>
      <c r="H44" s="21">
        <v>0</v>
      </c>
      <c r="I44" s="176">
        <f t="shared" si="5"/>
        <v>0</v>
      </c>
      <c r="J44" s="202">
        <v>0</v>
      </c>
      <c r="K44" s="210">
        <f t="shared" si="0"/>
        <v>0</v>
      </c>
      <c r="L44" s="202">
        <v>0</v>
      </c>
      <c r="M44" s="176">
        <f t="shared" si="1"/>
        <v>0</v>
      </c>
      <c r="N44" s="202">
        <v>0</v>
      </c>
      <c r="O44" s="10">
        <f t="shared" si="6"/>
        <v>0</v>
      </c>
      <c r="P44" s="202">
        <v>0</v>
      </c>
      <c r="Q44" s="11">
        <f t="shared" si="7"/>
        <v>0</v>
      </c>
      <c r="R44" s="39">
        <f t="shared" si="11"/>
        <v>362</v>
      </c>
      <c r="S44" s="38">
        <f t="shared" si="2"/>
        <v>12.974079999999999</v>
      </c>
      <c r="T44" s="220"/>
      <c r="U44" s="235">
        <f t="shared" si="8"/>
        <v>0</v>
      </c>
      <c r="V44" s="49">
        <f t="shared" si="9"/>
        <v>362</v>
      </c>
      <c r="W44" s="50">
        <f t="shared" si="10"/>
        <v>12.974079999999999</v>
      </c>
      <c r="X44" s="238">
        <v>50</v>
      </c>
      <c r="Y44" s="101">
        <v>200</v>
      </c>
    </row>
    <row r="45" spans="1:25" x14ac:dyDescent="0.25">
      <c r="A45" s="42" t="s">
        <v>43</v>
      </c>
      <c r="B45" s="34">
        <v>75</v>
      </c>
      <c r="C45" s="35">
        <v>70</v>
      </c>
      <c r="D45" s="35">
        <v>8</v>
      </c>
      <c r="E45" s="187">
        <f t="shared" si="3"/>
        <v>4.2000000000000003E-2</v>
      </c>
      <c r="F45" s="23">
        <f>'KASIM 1 HAFTA'!V45</f>
        <v>202</v>
      </c>
      <c r="G45" s="26">
        <f t="shared" si="4"/>
        <v>8.484</v>
      </c>
      <c r="H45" s="21">
        <v>0</v>
      </c>
      <c r="I45" s="176">
        <f t="shared" si="5"/>
        <v>0</v>
      </c>
      <c r="J45" s="202">
        <v>0</v>
      </c>
      <c r="K45" s="210">
        <f t="shared" si="0"/>
        <v>0</v>
      </c>
      <c r="L45" s="202">
        <v>0</v>
      </c>
      <c r="M45" s="176">
        <f t="shared" si="1"/>
        <v>0</v>
      </c>
      <c r="N45" s="202">
        <v>0</v>
      </c>
      <c r="O45" s="10">
        <f t="shared" si="6"/>
        <v>0</v>
      </c>
      <c r="P45" s="202">
        <v>0</v>
      </c>
      <c r="Q45" s="11">
        <f t="shared" si="7"/>
        <v>0</v>
      </c>
      <c r="R45" s="39">
        <f t="shared" si="11"/>
        <v>202</v>
      </c>
      <c r="S45" s="38">
        <f t="shared" si="2"/>
        <v>8.484</v>
      </c>
      <c r="T45" s="220"/>
      <c r="U45" s="235">
        <f t="shared" si="8"/>
        <v>0</v>
      </c>
      <c r="V45" s="49">
        <f t="shared" si="9"/>
        <v>202</v>
      </c>
      <c r="W45" s="50">
        <f t="shared" si="10"/>
        <v>8.484</v>
      </c>
      <c r="X45" s="238">
        <v>50</v>
      </c>
      <c r="Y45" s="101">
        <v>200</v>
      </c>
    </row>
    <row r="46" spans="1:25" x14ac:dyDescent="0.25">
      <c r="A46" s="42" t="s">
        <v>101</v>
      </c>
      <c r="B46" s="34">
        <v>140</v>
      </c>
      <c r="C46" s="35">
        <v>67</v>
      </c>
      <c r="D46" s="35">
        <v>5</v>
      </c>
      <c r="E46" s="187">
        <f t="shared" si="3"/>
        <v>4.6899999999999997E-2</v>
      </c>
      <c r="F46" s="23">
        <f>'KASIM 1 HAFTA'!V46</f>
        <v>341</v>
      </c>
      <c r="G46" s="26">
        <f t="shared" si="4"/>
        <v>15.992899999999999</v>
      </c>
      <c r="H46" s="21">
        <v>44</v>
      </c>
      <c r="I46" s="176">
        <f t="shared" si="5"/>
        <v>2.0636000000000001</v>
      </c>
      <c r="J46" s="202">
        <v>0</v>
      </c>
      <c r="K46" s="210">
        <f t="shared" si="0"/>
        <v>0</v>
      </c>
      <c r="L46" s="202">
        <v>0</v>
      </c>
      <c r="M46" s="176">
        <f t="shared" si="1"/>
        <v>0</v>
      </c>
      <c r="N46" s="202">
        <v>0</v>
      </c>
      <c r="O46" s="10">
        <f t="shared" si="6"/>
        <v>0</v>
      </c>
      <c r="P46" s="202">
        <v>0</v>
      </c>
      <c r="Q46" s="11">
        <f t="shared" si="7"/>
        <v>0</v>
      </c>
      <c r="R46" s="39">
        <f t="shared" si="11"/>
        <v>297</v>
      </c>
      <c r="S46" s="38">
        <f t="shared" si="2"/>
        <v>13.9293</v>
      </c>
      <c r="T46" s="220"/>
      <c r="U46" s="235">
        <f t="shared" si="8"/>
        <v>0</v>
      </c>
      <c r="V46" s="49">
        <f t="shared" si="9"/>
        <v>297</v>
      </c>
      <c r="W46" s="50">
        <f t="shared" si="10"/>
        <v>13.9293</v>
      </c>
      <c r="X46" s="238">
        <v>50</v>
      </c>
      <c r="Y46" s="101">
        <v>100</v>
      </c>
    </row>
    <row r="47" spans="1:25" x14ac:dyDescent="0.25">
      <c r="A47" s="42" t="s">
        <v>45</v>
      </c>
      <c r="B47" s="34">
        <v>80</v>
      </c>
      <c r="C47" s="35">
        <v>63</v>
      </c>
      <c r="D47" s="35">
        <v>5</v>
      </c>
      <c r="E47" s="187">
        <f t="shared" si="3"/>
        <v>2.52E-2</v>
      </c>
      <c r="F47" s="23">
        <f>'KASIM 1 HAFTA'!V47</f>
        <v>315</v>
      </c>
      <c r="G47" s="26">
        <f t="shared" si="4"/>
        <v>7.9379999999999997</v>
      </c>
      <c r="H47" s="21">
        <v>0</v>
      </c>
      <c r="I47" s="176">
        <f t="shared" si="5"/>
        <v>0</v>
      </c>
      <c r="J47" s="202">
        <v>0</v>
      </c>
      <c r="K47" s="210">
        <f t="shared" si="0"/>
        <v>0</v>
      </c>
      <c r="L47" s="202">
        <v>0</v>
      </c>
      <c r="M47" s="176">
        <f t="shared" si="1"/>
        <v>0</v>
      </c>
      <c r="N47" s="202">
        <v>0</v>
      </c>
      <c r="O47" s="10">
        <f t="shared" si="6"/>
        <v>0</v>
      </c>
      <c r="P47" s="202">
        <v>0</v>
      </c>
      <c r="Q47" s="11">
        <f t="shared" si="7"/>
        <v>0</v>
      </c>
      <c r="R47" s="39">
        <f t="shared" si="11"/>
        <v>315</v>
      </c>
      <c r="S47" s="38">
        <f t="shared" si="2"/>
        <v>7.9379999999999997</v>
      </c>
      <c r="T47" s="220"/>
      <c r="U47" s="235">
        <f t="shared" si="8"/>
        <v>0</v>
      </c>
      <c r="V47" s="49">
        <f t="shared" si="9"/>
        <v>315</v>
      </c>
      <c r="W47" s="50">
        <f t="shared" si="10"/>
        <v>7.9379999999999997</v>
      </c>
      <c r="X47" s="238">
        <v>0</v>
      </c>
      <c r="Y47" s="101">
        <v>0</v>
      </c>
    </row>
    <row r="48" spans="1:25" x14ac:dyDescent="0.25">
      <c r="A48" s="42" t="s">
        <v>46</v>
      </c>
      <c r="B48" s="34">
        <v>77</v>
      </c>
      <c r="C48" s="35">
        <v>68</v>
      </c>
      <c r="D48" s="35">
        <v>8</v>
      </c>
      <c r="E48" s="187">
        <f t="shared" si="3"/>
        <v>4.1888000000000002E-2</v>
      </c>
      <c r="F48" s="23">
        <f>'KASIM 1 HAFTA'!V48</f>
        <v>95</v>
      </c>
      <c r="G48" s="26">
        <f t="shared" si="4"/>
        <v>3.9793600000000002</v>
      </c>
      <c r="H48" s="21">
        <v>0</v>
      </c>
      <c r="I48" s="176">
        <f t="shared" si="5"/>
        <v>0</v>
      </c>
      <c r="J48" s="202">
        <v>0</v>
      </c>
      <c r="K48" s="210">
        <f t="shared" si="0"/>
        <v>0</v>
      </c>
      <c r="L48" s="202">
        <v>0</v>
      </c>
      <c r="M48" s="176">
        <f t="shared" si="1"/>
        <v>0</v>
      </c>
      <c r="N48" s="202">
        <v>0</v>
      </c>
      <c r="O48" s="10">
        <f t="shared" si="6"/>
        <v>0</v>
      </c>
      <c r="P48" s="202">
        <v>2</v>
      </c>
      <c r="Q48" s="11">
        <f t="shared" si="7"/>
        <v>8.3776000000000003E-2</v>
      </c>
      <c r="R48" s="39">
        <f t="shared" si="11"/>
        <v>93</v>
      </c>
      <c r="S48" s="38">
        <f t="shared" si="2"/>
        <v>3.8955839999999999</v>
      </c>
      <c r="T48" s="220"/>
      <c r="U48" s="235">
        <f t="shared" si="8"/>
        <v>0</v>
      </c>
      <c r="V48" s="49">
        <f t="shared" si="9"/>
        <v>93</v>
      </c>
      <c r="W48" s="50">
        <f t="shared" si="10"/>
        <v>3.8955839999999999</v>
      </c>
      <c r="X48" s="238">
        <v>50</v>
      </c>
      <c r="Y48" s="101">
        <v>200</v>
      </c>
    </row>
    <row r="49" spans="1:25" x14ac:dyDescent="0.25">
      <c r="A49" s="42" t="s">
        <v>47</v>
      </c>
      <c r="B49" s="34">
        <v>79</v>
      </c>
      <c r="C49" s="35">
        <v>79</v>
      </c>
      <c r="D49" s="35">
        <v>2</v>
      </c>
      <c r="E49" s="187">
        <f t="shared" si="3"/>
        <v>1.2482E-2</v>
      </c>
      <c r="F49" s="23">
        <v>244</v>
      </c>
      <c r="G49" s="26">
        <f t="shared" si="4"/>
        <v>3.0456080000000001</v>
      </c>
      <c r="H49" s="21">
        <v>0</v>
      </c>
      <c r="I49" s="176">
        <f t="shared" si="5"/>
        <v>0</v>
      </c>
      <c r="J49" s="202">
        <v>0</v>
      </c>
      <c r="K49" s="210">
        <f t="shared" si="0"/>
        <v>0</v>
      </c>
      <c r="L49" s="202">
        <v>0</v>
      </c>
      <c r="M49" s="176">
        <f t="shared" si="1"/>
        <v>0</v>
      </c>
      <c r="N49" s="202">
        <v>0</v>
      </c>
      <c r="O49" s="10">
        <f t="shared" si="6"/>
        <v>0</v>
      </c>
      <c r="P49" s="202">
        <v>0</v>
      </c>
      <c r="Q49" s="11">
        <f t="shared" si="7"/>
        <v>0</v>
      </c>
      <c r="R49" s="39">
        <f t="shared" si="11"/>
        <v>244</v>
      </c>
      <c r="S49" s="38">
        <f t="shared" si="2"/>
        <v>3.0456080000000001</v>
      </c>
      <c r="T49" s="220"/>
      <c r="U49" s="235">
        <f t="shared" si="8"/>
        <v>0</v>
      </c>
      <c r="V49" s="49">
        <f t="shared" si="9"/>
        <v>244</v>
      </c>
      <c r="W49" s="50">
        <f t="shared" si="10"/>
        <v>3.0456080000000001</v>
      </c>
      <c r="X49" s="238">
        <v>100</v>
      </c>
      <c r="Y49" s="101">
        <v>300</v>
      </c>
    </row>
    <row r="50" spans="1:25" x14ac:dyDescent="0.25">
      <c r="A50" s="42" t="s">
        <v>48</v>
      </c>
      <c r="B50" s="34">
        <v>61</v>
      </c>
      <c r="C50" s="35">
        <v>56</v>
      </c>
      <c r="D50" s="35">
        <v>10</v>
      </c>
      <c r="E50" s="187">
        <f t="shared" si="3"/>
        <v>3.4160000000000003E-2</v>
      </c>
      <c r="F50" s="23">
        <f>'KASIM 1 HAFTA'!V50</f>
        <v>385</v>
      </c>
      <c r="G50" s="26">
        <f t="shared" si="4"/>
        <v>13.151600000000002</v>
      </c>
      <c r="H50" s="21">
        <v>90</v>
      </c>
      <c r="I50" s="176">
        <f t="shared" si="5"/>
        <v>3.0744000000000002</v>
      </c>
      <c r="J50" s="202">
        <v>134</v>
      </c>
      <c r="K50" s="210">
        <f t="shared" si="0"/>
        <v>4.5774400000000002</v>
      </c>
      <c r="L50" s="202">
        <v>80</v>
      </c>
      <c r="M50" s="176">
        <f t="shared" si="1"/>
        <v>2.7328000000000001</v>
      </c>
      <c r="N50" s="202">
        <v>0</v>
      </c>
      <c r="O50" s="10">
        <f t="shared" si="6"/>
        <v>0</v>
      </c>
      <c r="P50" s="202">
        <v>0</v>
      </c>
      <c r="Q50" s="11">
        <f t="shared" si="7"/>
        <v>0</v>
      </c>
      <c r="R50" s="39">
        <f t="shared" si="11"/>
        <v>81</v>
      </c>
      <c r="S50" s="38">
        <f t="shared" si="2"/>
        <v>2.7669600000000001</v>
      </c>
      <c r="T50" s="220"/>
      <c r="U50" s="235">
        <f t="shared" si="8"/>
        <v>0</v>
      </c>
      <c r="V50" s="49">
        <f t="shared" si="9"/>
        <v>81</v>
      </c>
      <c r="W50" s="50">
        <f t="shared" si="10"/>
        <v>2.7669600000000001</v>
      </c>
      <c r="X50" s="238">
        <v>30</v>
      </c>
      <c r="Y50" s="101">
        <v>100</v>
      </c>
    </row>
    <row r="51" spans="1:25" x14ac:dyDescent="0.25">
      <c r="A51" s="42" t="s">
        <v>49</v>
      </c>
      <c r="B51" s="34">
        <v>66</v>
      </c>
      <c r="C51" s="35">
        <v>61</v>
      </c>
      <c r="D51" s="35">
        <v>10</v>
      </c>
      <c r="E51" s="187">
        <f t="shared" si="3"/>
        <v>4.0259999999999997E-2</v>
      </c>
      <c r="F51" s="23">
        <f>'KASIM 1 HAFTA'!V51</f>
        <v>386</v>
      </c>
      <c r="G51" s="26">
        <f t="shared" si="4"/>
        <v>15.54036</v>
      </c>
      <c r="H51" s="21">
        <v>168</v>
      </c>
      <c r="I51" s="176">
        <f t="shared" si="5"/>
        <v>6.7636799999999999</v>
      </c>
      <c r="J51" s="202">
        <v>14</v>
      </c>
      <c r="K51" s="210">
        <f t="shared" si="0"/>
        <v>0.56363999999999992</v>
      </c>
      <c r="L51" s="202">
        <v>0</v>
      </c>
      <c r="M51" s="176">
        <f t="shared" si="1"/>
        <v>0</v>
      </c>
      <c r="N51" s="202">
        <v>0</v>
      </c>
      <c r="O51" s="10">
        <f t="shared" si="6"/>
        <v>0</v>
      </c>
      <c r="P51" s="202">
        <v>0</v>
      </c>
      <c r="Q51" s="11">
        <f t="shared" si="7"/>
        <v>0</v>
      </c>
      <c r="R51" s="39">
        <f t="shared" si="11"/>
        <v>204</v>
      </c>
      <c r="S51" s="38">
        <f t="shared" si="2"/>
        <v>8.2130399999999995</v>
      </c>
      <c r="T51" s="220"/>
      <c r="U51" s="235">
        <f t="shared" si="8"/>
        <v>0</v>
      </c>
      <c r="V51" s="49">
        <f t="shared" si="9"/>
        <v>204</v>
      </c>
      <c r="W51" s="50">
        <f t="shared" si="10"/>
        <v>8.2130399999999995</v>
      </c>
      <c r="X51" s="238">
        <v>30</v>
      </c>
      <c r="Y51" s="101">
        <v>100</v>
      </c>
    </row>
    <row r="52" spans="1:25" x14ac:dyDescent="0.25">
      <c r="A52" s="42" t="s">
        <v>50</v>
      </c>
      <c r="B52" s="34">
        <v>63</v>
      </c>
      <c r="C52" s="35">
        <v>61</v>
      </c>
      <c r="D52" s="35">
        <v>10</v>
      </c>
      <c r="E52" s="187">
        <f t="shared" si="3"/>
        <v>3.8429999999999999E-2</v>
      </c>
      <c r="F52" s="23">
        <f>'KASIM 1 HAFTA'!V52</f>
        <v>406</v>
      </c>
      <c r="G52" s="26">
        <f t="shared" si="4"/>
        <v>15.60258</v>
      </c>
      <c r="H52" s="21">
        <v>28</v>
      </c>
      <c r="I52" s="176">
        <f t="shared" si="5"/>
        <v>1.0760399999999999</v>
      </c>
      <c r="J52" s="202">
        <v>0</v>
      </c>
      <c r="K52" s="210">
        <f t="shared" si="0"/>
        <v>0</v>
      </c>
      <c r="L52" s="202">
        <v>0</v>
      </c>
      <c r="M52" s="176">
        <f t="shared" si="1"/>
        <v>0</v>
      </c>
      <c r="N52" s="202">
        <v>0</v>
      </c>
      <c r="O52" s="10">
        <f t="shared" si="6"/>
        <v>0</v>
      </c>
      <c r="P52" s="202">
        <v>0</v>
      </c>
      <c r="Q52" s="11">
        <f t="shared" si="7"/>
        <v>0</v>
      </c>
      <c r="R52" s="39">
        <f t="shared" si="11"/>
        <v>378</v>
      </c>
      <c r="S52" s="38">
        <f t="shared" si="2"/>
        <v>14.526539999999999</v>
      </c>
      <c r="T52" s="220"/>
      <c r="U52" s="235">
        <f t="shared" si="8"/>
        <v>0</v>
      </c>
      <c r="V52" s="49">
        <f t="shared" si="9"/>
        <v>378</v>
      </c>
      <c r="W52" s="50">
        <f t="shared" si="10"/>
        <v>14.526539999999999</v>
      </c>
      <c r="X52" s="238">
        <v>30</v>
      </c>
      <c r="Y52" s="101">
        <v>100</v>
      </c>
    </row>
    <row r="53" spans="1:25" x14ac:dyDescent="0.25">
      <c r="A53" s="42" t="s">
        <v>51</v>
      </c>
      <c r="B53" s="34">
        <v>58</v>
      </c>
      <c r="C53" s="35">
        <v>58</v>
      </c>
      <c r="D53" s="35">
        <v>2.2999999999999998</v>
      </c>
      <c r="E53" s="187">
        <f t="shared" si="3"/>
        <v>7.7371999999999996E-3</v>
      </c>
      <c r="F53" s="23">
        <f>'KASIM 1 HAFTA'!V53</f>
        <v>3800</v>
      </c>
      <c r="G53" s="26">
        <f t="shared" si="4"/>
        <v>29.401359999999997</v>
      </c>
      <c r="H53" s="21">
        <v>0</v>
      </c>
      <c r="I53" s="176">
        <f t="shared" si="5"/>
        <v>0</v>
      </c>
      <c r="J53" s="202">
        <v>0</v>
      </c>
      <c r="K53" s="210">
        <f t="shared" si="0"/>
        <v>0</v>
      </c>
      <c r="L53" s="202">
        <v>0</v>
      </c>
      <c r="M53" s="176">
        <f t="shared" si="1"/>
        <v>0</v>
      </c>
      <c r="N53" s="202">
        <v>0</v>
      </c>
      <c r="O53" s="10">
        <f t="shared" si="6"/>
        <v>0</v>
      </c>
      <c r="P53" s="202">
        <v>0</v>
      </c>
      <c r="Q53" s="11">
        <f t="shared" si="7"/>
        <v>0</v>
      </c>
      <c r="R53" s="39">
        <f t="shared" si="11"/>
        <v>3800</v>
      </c>
      <c r="S53" s="38">
        <f t="shared" si="2"/>
        <v>29.401359999999997</v>
      </c>
      <c r="T53" s="220"/>
      <c r="U53" s="235">
        <f t="shared" si="8"/>
        <v>0</v>
      </c>
      <c r="V53" s="49">
        <f t="shared" si="9"/>
        <v>3800</v>
      </c>
      <c r="W53" s="50">
        <f t="shared" si="10"/>
        <v>29.401359999999997</v>
      </c>
      <c r="X53" s="238">
        <v>200</v>
      </c>
      <c r="Y53" s="101">
        <v>500</v>
      </c>
    </row>
    <row r="54" spans="1:25" x14ac:dyDescent="0.25">
      <c r="A54" s="42" t="s">
        <v>52</v>
      </c>
      <c r="B54" s="34">
        <v>79</v>
      </c>
      <c r="C54" s="35">
        <v>62</v>
      </c>
      <c r="D54" s="35">
        <v>2.2999999999999998</v>
      </c>
      <c r="E54" s="187">
        <f t="shared" si="3"/>
        <v>1.12654E-2</v>
      </c>
      <c r="F54" s="23">
        <f>'KASIM 1 HAFTA'!V54</f>
        <v>3537</v>
      </c>
      <c r="G54" s="26">
        <f t="shared" si="4"/>
        <v>39.845719799999998</v>
      </c>
      <c r="H54" s="21">
        <v>0</v>
      </c>
      <c r="I54" s="176">
        <f t="shared" si="5"/>
        <v>0</v>
      </c>
      <c r="J54" s="202">
        <v>0</v>
      </c>
      <c r="K54" s="210">
        <f t="shared" si="0"/>
        <v>0</v>
      </c>
      <c r="L54" s="202">
        <v>0</v>
      </c>
      <c r="M54" s="176">
        <f t="shared" si="1"/>
        <v>0</v>
      </c>
      <c r="N54" s="202">
        <v>0</v>
      </c>
      <c r="O54" s="10">
        <f t="shared" si="6"/>
        <v>0</v>
      </c>
      <c r="P54" s="202">
        <v>0</v>
      </c>
      <c r="Q54" s="11">
        <f t="shared" si="7"/>
        <v>0</v>
      </c>
      <c r="R54" s="39">
        <f t="shared" si="11"/>
        <v>3537</v>
      </c>
      <c r="S54" s="38">
        <f t="shared" si="2"/>
        <v>39.845719799999998</v>
      </c>
      <c r="T54" s="220"/>
      <c r="U54" s="235">
        <f t="shared" si="8"/>
        <v>0</v>
      </c>
      <c r="V54" s="49">
        <f t="shared" si="9"/>
        <v>3537</v>
      </c>
      <c r="W54" s="50">
        <f t="shared" si="10"/>
        <v>39.845719799999998</v>
      </c>
      <c r="X54" s="238">
        <v>100</v>
      </c>
      <c r="Y54" s="101">
        <v>300</v>
      </c>
    </row>
    <row r="55" spans="1:25" x14ac:dyDescent="0.25">
      <c r="A55" s="42" t="s">
        <v>53</v>
      </c>
      <c r="B55" s="34">
        <v>200</v>
      </c>
      <c r="C55" s="35">
        <v>176</v>
      </c>
      <c r="D55" s="35">
        <v>2.2999999999999998</v>
      </c>
      <c r="E55" s="187">
        <f t="shared" si="3"/>
        <v>8.0960000000000004E-2</v>
      </c>
      <c r="F55" s="23">
        <f>'KASIM 1 HAFTA'!V55</f>
        <v>1</v>
      </c>
      <c r="G55" s="26">
        <f t="shared" si="4"/>
        <v>8.0960000000000004E-2</v>
      </c>
      <c r="H55" s="21">
        <v>0</v>
      </c>
      <c r="I55" s="176">
        <f t="shared" si="5"/>
        <v>0</v>
      </c>
      <c r="J55" s="202">
        <v>0</v>
      </c>
      <c r="K55" s="210">
        <f t="shared" si="0"/>
        <v>0</v>
      </c>
      <c r="L55" s="202">
        <v>0</v>
      </c>
      <c r="M55" s="176">
        <f t="shared" si="1"/>
        <v>0</v>
      </c>
      <c r="N55" s="202">
        <v>0</v>
      </c>
      <c r="O55" s="10">
        <f t="shared" si="6"/>
        <v>0</v>
      </c>
      <c r="P55" s="202">
        <v>0</v>
      </c>
      <c r="Q55" s="11">
        <f t="shared" si="7"/>
        <v>0</v>
      </c>
      <c r="R55" s="39">
        <f t="shared" si="11"/>
        <v>1</v>
      </c>
      <c r="S55" s="38">
        <f t="shared" si="2"/>
        <v>8.0960000000000004E-2</v>
      </c>
      <c r="T55" s="220"/>
      <c r="U55" s="235">
        <f t="shared" si="8"/>
        <v>0</v>
      </c>
      <c r="V55" s="49">
        <f t="shared" si="9"/>
        <v>1</v>
      </c>
      <c r="W55" s="50">
        <f t="shared" si="10"/>
        <v>8.0960000000000004E-2</v>
      </c>
      <c r="X55" s="238">
        <v>0</v>
      </c>
      <c r="Y55" s="101">
        <v>0</v>
      </c>
    </row>
    <row r="56" spans="1:25" ht="15.75" x14ac:dyDescent="0.25">
      <c r="A56" s="42" t="s">
        <v>55</v>
      </c>
      <c r="B56" s="111">
        <v>50</v>
      </c>
      <c r="C56" s="112">
        <v>45</v>
      </c>
      <c r="D56" s="112">
        <v>4</v>
      </c>
      <c r="E56" s="187">
        <f t="shared" si="3"/>
        <v>8.9999999999999993E-3</v>
      </c>
      <c r="F56" s="23">
        <f>'KASIM 1 HAFTA'!V57</f>
        <v>537</v>
      </c>
      <c r="G56" s="26">
        <f t="shared" si="4"/>
        <v>4.8329999999999993</v>
      </c>
      <c r="H56" s="21">
        <v>40</v>
      </c>
      <c r="I56" s="176">
        <f t="shared" si="5"/>
        <v>0.36</v>
      </c>
      <c r="J56" s="202">
        <v>0</v>
      </c>
      <c r="K56" s="210">
        <f t="shared" si="0"/>
        <v>0</v>
      </c>
      <c r="L56" s="202">
        <v>0</v>
      </c>
      <c r="M56" s="176">
        <f t="shared" si="1"/>
        <v>0</v>
      </c>
      <c r="N56" s="202">
        <v>0</v>
      </c>
      <c r="O56" s="10">
        <f t="shared" si="6"/>
        <v>0</v>
      </c>
      <c r="P56" s="202">
        <v>0</v>
      </c>
      <c r="Q56" s="11">
        <f t="shared" si="7"/>
        <v>0</v>
      </c>
      <c r="R56" s="39">
        <f t="shared" si="11"/>
        <v>497</v>
      </c>
      <c r="S56" s="38">
        <f t="shared" si="2"/>
        <v>4.4729999999999999</v>
      </c>
      <c r="T56" s="220"/>
      <c r="U56" s="235">
        <f t="shared" si="8"/>
        <v>0</v>
      </c>
      <c r="V56" s="49">
        <f t="shared" si="9"/>
        <v>497</v>
      </c>
      <c r="W56" s="50">
        <f t="shared" si="10"/>
        <v>4.4729999999999999</v>
      </c>
      <c r="X56" s="238">
        <v>300</v>
      </c>
      <c r="Y56" s="101">
        <v>1000</v>
      </c>
    </row>
    <row r="57" spans="1:25" ht="15.75" x14ac:dyDescent="0.25">
      <c r="A57" s="42" t="s">
        <v>56</v>
      </c>
      <c r="B57" s="111">
        <v>50</v>
      </c>
      <c r="C57" s="112">
        <v>35</v>
      </c>
      <c r="D57" s="112">
        <v>4</v>
      </c>
      <c r="E57" s="187">
        <f t="shared" si="3"/>
        <v>7.0000000000000001E-3</v>
      </c>
      <c r="F57" s="23">
        <f>'KASIM 1 HAFTA'!V58</f>
        <v>600</v>
      </c>
      <c r="G57" s="26">
        <f t="shared" si="4"/>
        <v>4.2</v>
      </c>
      <c r="H57" s="21">
        <v>20</v>
      </c>
      <c r="I57" s="176">
        <f t="shared" si="5"/>
        <v>0.14000000000000001</v>
      </c>
      <c r="J57" s="202">
        <v>0</v>
      </c>
      <c r="K57" s="210">
        <f t="shared" si="0"/>
        <v>0</v>
      </c>
      <c r="L57" s="202">
        <v>0</v>
      </c>
      <c r="M57" s="176">
        <f t="shared" si="1"/>
        <v>0</v>
      </c>
      <c r="N57" s="202">
        <v>0</v>
      </c>
      <c r="O57" s="10">
        <f t="shared" si="6"/>
        <v>0</v>
      </c>
      <c r="P57" s="202">
        <v>0</v>
      </c>
      <c r="Q57" s="11">
        <f t="shared" si="7"/>
        <v>0</v>
      </c>
      <c r="R57" s="39">
        <f t="shared" si="11"/>
        <v>580</v>
      </c>
      <c r="S57" s="38">
        <f t="shared" si="2"/>
        <v>4.0600000000000005</v>
      </c>
      <c r="T57" s="220"/>
      <c r="U57" s="235">
        <f t="shared" si="8"/>
        <v>0</v>
      </c>
      <c r="V57" s="49">
        <f t="shared" si="9"/>
        <v>580</v>
      </c>
      <c r="W57" s="50">
        <f t="shared" si="10"/>
        <v>4.0600000000000005</v>
      </c>
      <c r="X57" s="238">
        <v>300</v>
      </c>
      <c r="Y57" s="101">
        <v>1000</v>
      </c>
    </row>
    <row r="58" spans="1:25" ht="15.75" x14ac:dyDescent="0.25">
      <c r="A58" s="42" t="s">
        <v>57</v>
      </c>
      <c r="B58" s="111">
        <v>45</v>
      </c>
      <c r="C58" s="112">
        <v>50</v>
      </c>
      <c r="D58" s="112">
        <v>3</v>
      </c>
      <c r="E58" s="187">
        <f t="shared" si="3"/>
        <v>6.7499999999999999E-3</v>
      </c>
      <c r="F58" s="23">
        <f>'KASIM 1 HAFTA'!V59</f>
        <v>1614</v>
      </c>
      <c r="G58" s="26">
        <f t="shared" si="4"/>
        <v>10.894500000000001</v>
      </c>
      <c r="H58" s="21">
        <v>349</v>
      </c>
      <c r="I58" s="176">
        <f t="shared" si="5"/>
        <v>2.35575</v>
      </c>
      <c r="J58" s="202">
        <v>132</v>
      </c>
      <c r="K58" s="210">
        <f t="shared" si="0"/>
        <v>0.89100000000000001</v>
      </c>
      <c r="L58" s="202">
        <v>0</v>
      </c>
      <c r="M58" s="176">
        <f t="shared" si="1"/>
        <v>0</v>
      </c>
      <c r="N58" s="202">
        <v>0</v>
      </c>
      <c r="O58" s="10">
        <f t="shared" si="6"/>
        <v>0</v>
      </c>
      <c r="P58" s="202">
        <v>130</v>
      </c>
      <c r="Q58" s="11">
        <f t="shared" si="7"/>
        <v>0.87749999999999995</v>
      </c>
      <c r="R58" s="39">
        <f t="shared" si="11"/>
        <v>1003</v>
      </c>
      <c r="S58" s="38">
        <f t="shared" si="2"/>
        <v>6.7702499999999999</v>
      </c>
      <c r="T58" s="220"/>
      <c r="U58" s="235">
        <f t="shared" si="8"/>
        <v>0</v>
      </c>
      <c r="V58" s="49">
        <f t="shared" si="9"/>
        <v>1003</v>
      </c>
      <c r="W58" s="50">
        <f t="shared" si="10"/>
        <v>6.7702499999999999</v>
      </c>
      <c r="X58" s="238">
        <v>500</v>
      </c>
      <c r="Y58" s="101">
        <v>1500</v>
      </c>
    </row>
    <row r="59" spans="1:25" ht="15.75" x14ac:dyDescent="0.25">
      <c r="A59" s="42" t="s">
        <v>58</v>
      </c>
      <c r="B59" s="111">
        <v>50</v>
      </c>
      <c r="C59" s="112">
        <v>35</v>
      </c>
      <c r="D59" s="112">
        <v>3</v>
      </c>
      <c r="E59" s="187">
        <f t="shared" si="3"/>
        <v>5.2500000000000003E-3</v>
      </c>
      <c r="F59" s="23">
        <f>'KASIM 1 HAFTA'!V60</f>
        <v>1170</v>
      </c>
      <c r="G59" s="26">
        <f t="shared" si="4"/>
        <v>6.1425000000000001</v>
      </c>
      <c r="H59" s="21">
        <v>192</v>
      </c>
      <c r="I59" s="176">
        <f t="shared" si="5"/>
        <v>1.008</v>
      </c>
      <c r="J59" s="202">
        <v>0</v>
      </c>
      <c r="K59" s="210">
        <f t="shared" si="0"/>
        <v>0</v>
      </c>
      <c r="L59" s="202">
        <v>0</v>
      </c>
      <c r="M59" s="176">
        <f t="shared" si="1"/>
        <v>0</v>
      </c>
      <c r="N59" s="202">
        <v>0</v>
      </c>
      <c r="O59" s="10">
        <f t="shared" si="6"/>
        <v>0</v>
      </c>
      <c r="P59" s="202">
        <v>0</v>
      </c>
      <c r="Q59" s="11">
        <f t="shared" si="7"/>
        <v>0</v>
      </c>
      <c r="R59" s="39">
        <f t="shared" si="11"/>
        <v>978</v>
      </c>
      <c r="S59" s="38">
        <f t="shared" si="2"/>
        <v>5.1345000000000001</v>
      </c>
      <c r="T59" s="220"/>
      <c r="U59" s="235">
        <f t="shared" si="8"/>
        <v>0</v>
      </c>
      <c r="V59" s="49">
        <f t="shared" si="9"/>
        <v>978</v>
      </c>
      <c r="W59" s="50">
        <f t="shared" si="10"/>
        <v>5.1345000000000001</v>
      </c>
      <c r="X59" s="238">
        <v>500</v>
      </c>
      <c r="Y59" s="101">
        <v>1500</v>
      </c>
    </row>
    <row r="60" spans="1:25" ht="15.75" x14ac:dyDescent="0.25">
      <c r="A60" s="42" t="s">
        <v>59</v>
      </c>
      <c r="B60" s="111">
        <v>42</v>
      </c>
      <c r="C60" s="112">
        <v>36</v>
      </c>
      <c r="D60" s="112">
        <v>4</v>
      </c>
      <c r="E60" s="187">
        <f t="shared" si="3"/>
        <v>6.0480000000000004E-3</v>
      </c>
      <c r="F60" s="23">
        <f>'KASIM 1 HAFTA'!V61</f>
        <v>0</v>
      </c>
      <c r="G60" s="26">
        <f t="shared" si="4"/>
        <v>0</v>
      </c>
      <c r="H60" s="21">
        <v>0</v>
      </c>
      <c r="I60" s="176">
        <f t="shared" si="5"/>
        <v>0</v>
      </c>
      <c r="J60" s="202">
        <v>0</v>
      </c>
      <c r="K60" s="210">
        <f t="shared" si="0"/>
        <v>0</v>
      </c>
      <c r="L60" s="202">
        <v>0</v>
      </c>
      <c r="M60" s="176">
        <f t="shared" si="1"/>
        <v>0</v>
      </c>
      <c r="N60" s="202">
        <v>0</v>
      </c>
      <c r="O60" s="10">
        <f t="shared" si="6"/>
        <v>0</v>
      </c>
      <c r="P60" s="202">
        <v>0</v>
      </c>
      <c r="Q60" s="11">
        <f t="shared" si="7"/>
        <v>0</v>
      </c>
      <c r="R60" s="39">
        <f t="shared" si="11"/>
        <v>0</v>
      </c>
      <c r="S60" s="38">
        <f t="shared" si="2"/>
        <v>0</v>
      </c>
      <c r="T60" s="220"/>
      <c r="U60" s="235">
        <f t="shared" si="8"/>
        <v>0</v>
      </c>
      <c r="V60" s="49">
        <f t="shared" si="9"/>
        <v>0</v>
      </c>
      <c r="W60" s="50">
        <f t="shared" si="10"/>
        <v>0</v>
      </c>
      <c r="X60" s="238">
        <v>0</v>
      </c>
      <c r="Y60" s="101">
        <v>0</v>
      </c>
    </row>
    <row r="61" spans="1:25" ht="15.75" x14ac:dyDescent="0.25">
      <c r="A61" s="42" t="s">
        <v>60</v>
      </c>
      <c r="B61" s="111">
        <v>50</v>
      </c>
      <c r="C61" s="112">
        <v>35</v>
      </c>
      <c r="D61" s="112">
        <v>3</v>
      </c>
      <c r="E61" s="187">
        <f t="shared" si="3"/>
        <v>5.2500000000000003E-3</v>
      </c>
      <c r="F61" s="23">
        <f>'KASIM 1 HAFTA'!V62</f>
        <v>1472</v>
      </c>
      <c r="G61" s="26">
        <f t="shared" si="4"/>
        <v>7.7280000000000006</v>
      </c>
      <c r="H61" s="21">
        <v>0</v>
      </c>
      <c r="I61" s="176">
        <f t="shared" si="5"/>
        <v>0</v>
      </c>
      <c r="J61" s="202">
        <v>0</v>
      </c>
      <c r="K61" s="210">
        <f t="shared" si="0"/>
        <v>0</v>
      </c>
      <c r="L61" s="202">
        <v>0</v>
      </c>
      <c r="M61" s="176">
        <f t="shared" si="1"/>
        <v>0</v>
      </c>
      <c r="N61" s="202">
        <v>0</v>
      </c>
      <c r="O61" s="10">
        <f t="shared" si="6"/>
        <v>0</v>
      </c>
      <c r="P61" s="202">
        <v>0</v>
      </c>
      <c r="Q61" s="11">
        <f t="shared" si="7"/>
        <v>0</v>
      </c>
      <c r="R61" s="39">
        <f t="shared" si="11"/>
        <v>1472</v>
      </c>
      <c r="S61" s="38">
        <f t="shared" si="2"/>
        <v>7.7280000000000006</v>
      </c>
      <c r="T61" s="220"/>
      <c r="U61" s="235">
        <f t="shared" si="8"/>
        <v>0</v>
      </c>
      <c r="V61" s="49">
        <f t="shared" si="9"/>
        <v>1472</v>
      </c>
      <c r="W61" s="50">
        <f t="shared" si="10"/>
        <v>7.7280000000000006</v>
      </c>
      <c r="X61" s="238">
        <v>300</v>
      </c>
      <c r="Y61" s="101">
        <v>1000</v>
      </c>
    </row>
    <row r="62" spans="1:25" ht="15.75" x14ac:dyDescent="0.25">
      <c r="A62" s="43" t="s">
        <v>61</v>
      </c>
      <c r="B62" s="111">
        <v>45</v>
      </c>
      <c r="C62" s="112">
        <v>50</v>
      </c>
      <c r="D62" s="112">
        <v>3</v>
      </c>
      <c r="E62" s="187">
        <f t="shared" si="3"/>
        <v>6.7499999999999999E-3</v>
      </c>
      <c r="F62" s="23">
        <f>'KASIM 1 HAFTA'!V63</f>
        <v>1050</v>
      </c>
      <c r="G62" s="26">
        <f t="shared" si="4"/>
        <v>7.0875000000000004</v>
      </c>
      <c r="H62" s="21">
        <v>0</v>
      </c>
      <c r="I62" s="176">
        <f t="shared" si="5"/>
        <v>0</v>
      </c>
      <c r="J62" s="202">
        <v>0</v>
      </c>
      <c r="K62" s="210">
        <f t="shared" si="0"/>
        <v>0</v>
      </c>
      <c r="L62" s="202">
        <v>0</v>
      </c>
      <c r="M62" s="176">
        <f t="shared" si="1"/>
        <v>0</v>
      </c>
      <c r="N62" s="202">
        <v>0</v>
      </c>
      <c r="O62" s="10">
        <f t="shared" si="6"/>
        <v>0</v>
      </c>
      <c r="P62" s="202">
        <v>0</v>
      </c>
      <c r="Q62" s="11">
        <f t="shared" si="7"/>
        <v>0</v>
      </c>
      <c r="R62" s="39">
        <f t="shared" si="11"/>
        <v>1050</v>
      </c>
      <c r="S62" s="38">
        <f t="shared" si="2"/>
        <v>7.0875000000000004</v>
      </c>
      <c r="T62" s="220"/>
      <c r="U62" s="235">
        <f t="shared" si="8"/>
        <v>0</v>
      </c>
      <c r="V62" s="49">
        <f t="shared" si="9"/>
        <v>1050</v>
      </c>
      <c r="W62" s="50">
        <f t="shared" si="10"/>
        <v>7.0875000000000004</v>
      </c>
      <c r="X62" s="238">
        <v>300</v>
      </c>
      <c r="Y62" s="101">
        <v>1000</v>
      </c>
    </row>
    <row r="63" spans="1:25" ht="15.75" thickBot="1" x14ac:dyDescent="0.3">
      <c r="A63" s="44" t="s">
        <v>90</v>
      </c>
      <c r="B63" s="36">
        <v>140</v>
      </c>
      <c r="C63" s="37">
        <v>9.5</v>
      </c>
      <c r="D63" s="37">
        <v>6.5</v>
      </c>
      <c r="E63" s="188">
        <f t="shared" si="3"/>
        <v>8.6449999999999999E-3</v>
      </c>
      <c r="F63" s="23">
        <f>'KASIM 1 HAFTA'!V64</f>
        <v>1555</v>
      </c>
      <c r="G63" s="26">
        <f t="shared" si="4"/>
        <v>13.442975000000001</v>
      </c>
      <c r="H63" s="22">
        <v>0</v>
      </c>
      <c r="I63" s="184">
        <f t="shared" si="5"/>
        <v>0</v>
      </c>
      <c r="J63" s="203">
        <v>0</v>
      </c>
      <c r="K63" s="178">
        <f t="shared" si="0"/>
        <v>0</v>
      </c>
      <c r="L63" s="203">
        <v>0</v>
      </c>
      <c r="M63" s="184">
        <f t="shared" si="1"/>
        <v>0</v>
      </c>
      <c r="N63" s="203">
        <v>0</v>
      </c>
      <c r="O63" s="167">
        <f t="shared" si="6"/>
        <v>0</v>
      </c>
      <c r="P63" s="203">
        <v>150</v>
      </c>
      <c r="Q63" s="168">
        <f t="shared" si="7"/>
        <v>1.2967500000000001</v>
      </c>
      <c r="R63" s="227">
        <f t="shared" si="11"/>
        <v>1405</v>
      </c>
      <c r="S63" s="228">
        <f t="shared" si="2"/>
        <v>12.146224999999999</v>
      </c>
      <c r="T63" s="221"/>
      <c r="U63" s="235">
        <f t="shared" si="8"/>
        <v>0</v>
      </c>
      <c r="V63" s="49">
        <f t="shared" si="9"/>
        <v>1405</v>
      </c>
      <c r="W63" s="50">
        <f t="shared" si="10"/>
        <v>12.146224999999999</v>
      </c>
      <c r="X63" s="238">
        <v>500</v>
      </c>
      <c r="Y63" s="101">
        <v>1500</v>
      </c>
    </row>
    <row r="64" spans="1:25" ht="15.75" x14ac:dyDescent="0.25">
      <c r="A64" s="91" t="s">
        <v>79</v>
      </c>
      <c r="B64" s="112">
        <v>90</v>
      </c>
      <c r="C64" s="112">
        <v>83</v>
      </c>
      <c r="D64" s="112">
        <v>2</v>
      </c>
      <c r="E64" s="187">
        <f t="shared" si="3"/>
        <v>1.494E-2</v>
      </c>
      <c r="F64" s="185">
        <f>'KASIM 1 HAFTA'!V65</f>
        <v>428</v>
      </c>
      <c r="G64" s="194">
        <f t="shared" si="4"/>
        <v>6.3943200000000004</v>
      </c>
      <c r="H64" s="22">
        <v>4</v>
      </c>
      <c r="I64" s="200">
        <f t="shared" si="5"/>
        <v>5.9760000000000001E-2</v>
      </c>
      <c r="J64" s="203">
        <v>12</v>
      </c>
      <c r="K64" s="211">
        <f t="shared" si="0"/>
        <v>0.17927999999999999</v>
      </c>
      <c r="L64" s="203">
        <v>0</v>
      </c>
      <c r="M64" s="200">
        <f t="shared" si="1"/>
        <v>0</v>
      </c>
      <c r="N64" s="203">
        <v>0</v>
      </c>
      <c r="O64" s="204">
        <f t="shared" si="6"/>
        <v>0</v>
      </c>
      <c r="P64" s="203">
        <v>0</v>
      </c>
      <c r="Q64" s="168">
        <f t="shared" si="7"/>
        <v>0</v>
      </c>
      <c r="R64" s="229">
        <f t="shared" si="11"/>
        <v>412</v>
      </c>
      <c r="S64" s="230">
        <f t="shared" si="2"/>
        <v>6.1552800000000003</v>
      </c>
      <c r="T64" s="222">
        <v>0</v>
      </c>
      <c r="U64" s="236">
        <f t="shared" si="8"/>
        <v>0</v>
      </c>
      <c r="V64" s="241">
        <f t="shared" si="9"/>
        <v>412</v>
      </c>
      <c r="W64" s="50">
        <f t="shared" si="10"/>
        <v>6.1552800000000003</v>
      </c>
      <c r="X64" s="238">
        <v>100</v>
      </c>
      <c r="Y64" s="101">
        <v>300</v>
      </c>
    </row>
    <row r="65" spans="1:25" ht="15.75" x14ac:dyDescent="0.25">
      <c r="A65" s="102" t="s">
        <v>80</v>
      </c>
      <c r="B65" s="113">
        <v>92</v>
      </c>
      <c r="C65" s="113">
        <v>82</v>
      </c>
      <c r="D65" s="113">
        <v>2</v>
      </c>
      <c r="E65" s="189">
        <f t="shared" si="3"/>
        <v>1.5088000000000001E-2</v>
      </c>
      <c r="F65" s="185">
        <f>'KASIM 1 HAFTA'!V66</f>
        <v>262</v>
      </c>
      <c r="G65" s="195">
        <f t="shared" si="4"/>
        <v>3.9530560000000001</v>
      </c>
      <c r="H65" s="21">
        <v>0</v>
      </c>
      <c r="I65" s="201">
        <f t="shared" si="5"/>
        <v>0</v>
      </c>
      <c r="J65" s="202">
        <v>0</v>
      </c>
      <c r="K65" s="211">
        <f t="shared" si="0"/>
        <v>0</v>
      </c>
      <c r="L65" s="202">
        <v>0</v>
      </c>
      <c r="M65" s="201">
        <f t="shared" si="1"/>
        <v>0</v>
      </c>
      <c r="N65" s="202">
        <v>20</v>
      </c>
      <c r="O65" s="121">
        <f t="shared" si="6"/>
        <v>0.30176000000000003</v>
      </c>
      <c r="P65" s="202">
        <v>0</v>
      </c>
      <c r="Q65" s="100">
        <f t="shared" si="7"/>
        <v>0</v>
      </c>
      <c r="R65" s="231">
        <f t="shared" si="11"/>
        <v>242</v>
      </c>
      <c r="S65" s="123">
        <f t="shared" si="2"/>
        <v>3.6512960000000003</v>
      </c>
      <c r="T65" s="223">
        <v>0</v>
      </c>
      <c r="U65" s="236">
        <f t="shared" si="8"/>
        <v>0</v>
      </c>
      <c r="V65" s="241">
        <f t="shared" si="9"/>
        <v>242</v>
      </c>
      <c r="W65" s="107">
        <f t="shared" si="10"/>
        <v>3.6512960000000003</v>
      </c>
      <c r="X65" s="238">
        <v>100</v>
      </c>
      <c r="Y65" s="101">
        <v>300</v>
      </c>
    </row>
    <row r="66" spans="1:25" x14ac:dyDescent="0.25">
      <c r="A66" s="108" t="s">
        <v>82</v>
      </c>
      <c r="B66" s="35">
        <v>82</v>
      </c>
      <c r="C66" s="35">
        <v>80</v>
      </c>
      <c r="D66" s="35">
        <v>2</v>
      </c>
      <c r="E66" s="187">
        <f t="shared" si="3"/>
        <v>1.312E-2</v>
      </c>
      <c r="F66" s="185">
        <f>'KASIM 1 HAFTA'!V67</f>
        <v>175</v>
      </c>
      <c r="G66" s="194">
        <f t="shared" si="4"/>
        <v>2.2959999999999998</v>
      </c>
      <c r="H66" s="21">
        <v>0</v>
      </c>
      <c r="I66" s="184">
        <f t="shared" si="5"/>
        <v>0</v>
      </c>
      <c r="J66" s="202">
        <v>0</v>
      </c>
      <c r="K66" s="178">
        <f t="shared" si="0"/>
        <v>0</v>
      </c>
      <c r="L66" s="202">
        <v>0</v>
      </c>
      <c r="M66" s="176">
        <f t="shared" si="1"/>
        <v>0</v>
      </c>
      <c r="N66" s="202">
        <v>0</v>
      </c>
      <c r="O66" s="10">
        <f t="shared" si="6"/>
        <v>0</v>
      </c>
      <c r="P66" s="202">
        <v>0</v>
      </c>
      <c r="Q66" s="168">
        <f t="shared" si="7"/>
        <v>0</v>
      </c>
      <c r="R66" s="227">
        <f t="shared" si="11"/>
        <v>175</v>
      </c>
      <c r="S66" s="87">
        <f t="shared" si="2"/>
        <v>2.2959999999999998</v>
      </c>
      <c r="T66" s="222"/>
      <c r="U66" s="236">
        <f t="shared" si="5"/>
        <v>0</v>
      </c>
      <c r="V66" s="241">
        <f t="shared" si="9"/>
        <v>175</v>
      </c>
      <c r="W66" s="107">
        <f t="shared" si="10"/>
        <v>2.2959999999999998</v>
      </c>
      <c r="X66" s="238">
        <v>100</v>
      </c>
      <c r="Y66" s="101">
        <v>300</v>
      </c>
    </row>
    <row r="67" spans="1:25" x14ac:dyDescent="0.25">
      <c r="A67" s="108" t="s">
        <v>83</v>
      </c>
      <c r="B67" s="35">
        <v>86</v>
      </c>
      <c r="C67" s="35">
        <v>77</v>
      </c>
      <c r="D67" s="35">
        <v>8</v>
      </c>
      <c r="E67" s="187">
        <f t="shared" si="3"/>
        <v>5.2976000000000002E-2</v>
      </c>
      <c r="F67" s="185">
        <f>'KASIM 1 HAFTA'!V68</f>
        <v>10</v>
      </c>
      <c r="G67" s="194">
        <f t="shared" si="4"/>
        <v>0.52976000000000001</v>
      </c>
      <c r="H67" s="21">
        <v>0</v>
      </c>
      <c r="I67" s="184">
        <f t="shared" ref="I67:U73" si="12">E67*H67</f>
        <v>0</v>
      </c>
      <c r="J67" s="202">
        <v>0</v>
      </c>
      <c r="K67" s="178">
        <f t="shared" si="0"/>
        <v>0</v>
      </c>
      <c r="L67" s="202">
        <v>0</v>
      </c>
      <c r="M67" s="176">
        <v>0</v>
      </c>
      <c r="N67" s="202">
        <v>0</v>
      </c>
      <c r="O67" s="10">
        <f t="shared" si="6"/>
        <v>0</v>
      </c>
      <c r="P67" s="202">
        <v>0</v>
      </c>
      <c r="Q67" s="168">
        <f t="shared" si="7"/>
        <v>0</v>
      </c>
      <c r="R67" s="227">
        <f t="shared" si="11"/>
        <v>10</v>
      </c>
      <c r="S67" s="87">
        <f t="shared" si="2"/>
        <v>0.52976000000000001</v>
      </c>
      <c r="T67" s="222"/>
      <c r="U67" s="236">
        <f t="shared" si="12"/>
        <v>0</v>
      </c>
      <c r="V67" s="241">
        <f t="shared" si="9"/>
        <v>10</v>
      </c>
      <c r="W67" s="107">
        <f t="shared" si="10"/>
        <v>0.52976000000000001</v>
      </c>
      <c r="X67" s="238">
        <v>50</v>
      </c>
      <c r="Y67" s="101">
        <v>200</v>
      </c>
    </row>
    <row r="68" spans="1:25" x14ac:dyDescent="0.25">
      <c r="A68" s="108" t="s">
        <v>84</v>
      </c>
      <c r="B68" s="35">
        <v>76</v>
      </c>
      <c r="C68" s="35">
        <v>75</v>
      </c>
      <c r="D68" s="35">
        <v>8</v>
      </c>
      <c r="E68" s="187">
        <f t="shared" si="3"/>
        <v>4.5600000000000002E-2</v>
      </c>
      <c r="F68" s="185">
        <f>'KASIM 1 HAFTA'!V69</f>
        <v>14</v>
      </c>
      <c r="G68" s="194">
        <f t="shared" si="4"/>
        <v>0.63840000000000008</v>
      </c>
      <c r="H68" s="21">
        <v>0</v>
      </c>
      <c r="I68" s="184">
        <f t="shared" si="12"/>
        <v>0</v>
      </c>
      <c r="J68" s="202">
        <v>0</v>
      </c>
      <c r="K68" s="178">
        <f t="shared" ref="K68:K71" si="13">E68*J68</f>
        <v>0</v>
      </c>
      <c r="L68" s="202">
        <v>0</v>
      </c>
      <c r="M68" s="176">
        <f t="shared" ref="M68" si="14">E68*L68</f>
        <v>0</v>
      </c>
      <c r="N68" s="202">
        <v>0</v>
      </c>
      <c r="O68" s="10">
        <f t="shared" si="6"/>
        <v>0</v>
      </c>
      <c r="P68" s="202">
        <v>0</v>
      </c>
      <c r="Q68" s="168">
        <f t="shared" si="7"/>
        <v>0</v>
      </c>
      <c r="R68" s="227">
        <f t="shared" si="11"/>
        <v>14</v>
      </c>
      <c r="S68" s="87">
        <f t="shared" ref="S68:S73" si="15">E68*R68</f>
        <v>0.63840000000000008</v>
      </c>
      <c r="T68" s="222"/>
      <c r="U68" s="236">
        <f t="shared" si="12"/>
        <v>0</v>
      </c>
      <c r="V68" s="241">
        <f t="shared" si="9"/>
        <v>14</v>
      </c>
      <c r="W68" s="107">
        <f t="shared" si="10"/>
        <v>0.63840000000000008</v>
      </c>
      <c r="X68" s="238">
        <v>50</v>
      </c>
      <c r="Y68" s="101">
        <v>200</v>
      </c>
    </row>
    <row r="69" spans="1:25" x14ac:dyDescent="0.25">
      <c r="A69" s="108" t="s">
        <v>85</v>
      </c>
      <c r="B69" s="35">
        <v>140</v>
      </c>
      <c r="C69" s="35">
        <v>240</v>
      </c>
      <c r="D69" s="35">
        <v>12</v>
      </c>
      <c r="E69" s="187">
        <f t="shared" ref="E69:E73" si="16">(B69*C69*D69)/1000000</f>
        <v>0.4032</v>
      </c>
      <c r="F69" s="185">
        <f>'KASIM 1 HAFTA'!V70</f>
        <v>4</v>
      </c>
      <c r="G69" s="194">
        <f t="shared" ref="G69:G73" si="17">E69*F69</f>
        <v>1.6128</v>
      </c>
      <c r="H69" s="21">
        <v>0</v>
      </c>
      <c r="I69" s="184">
        <f t="shared" si="12"/>
        <v>0</v>
      </c>
      <c r="J69" s="202">
        <v>0</v>
      </c>
      <c r="K69" s="178">
        <f t="shared" si="13"/>
        <v>0</v>
      </c>
      <c r="L69" s="202">
        <v>0</v>
      </c>
      <c r="M69" s="184">
        <f t="shared" ref="M69" si="18">I69*L69</f>
        <v>0</v>
      </c>
      <c r="N69" s="202">
        <v>0</v>
      </c>
      <c r="O69" s="10">
        <f t="shared" ref="O69:O71" si="19">E69*N69</f>
        <v>0</v>
      </c>
      <c r="P69" s="202">
        <v>0</v>
      </c>
      <c r="Q69" s="168">
        <f t="shared" ref="Q69:Q72" si="20">E69*P69</f>
        <v>0</v>
      </c>
      <c r="R69" s="227">
        <f t="shared" si="11"/>
        <v>4</v>
      </c>
      <c r="S69" s="87">
        <f t="shared" si="15"/>
        <v>1.6128</v>
      </c>
      <c r="T69" s="222"/>
      <c r="U69" s="236">
        <f t="shared" si="12"/>
        <v>0</v>
      </c>
      <c r="V69" s="241">
        <f t="shared" ref="V69:V73" si="21">R69+T69</f>
        <v>4</v>
      </c>
      <c r="W69" s="107">
        <f t="shared" ref="W69:W73" si="22">E69*V69</f>
        <v>1.6128</v>
      </c>
      <c r="X69" s="238">
        <v>5</v>
      </c>
      <c r="Y69" s="101">
        <v>10</v>
      </c>
    </row>
    <row r="70" spans="1:25" x14ac:dyDescent="0.25">
      <c r="A70" s="108" t="s">
        <v>96</v>
      </c>
      <c r="B70" s="130">
        <v>140</v>
      </c>
      <c r="C70" s="130">
        <v>240</v>
      </c>
      <c r="D70" s="130">
        <v>2</v>
      </c>
      <c r="E70" s="190">
        <f t="shared" si="16"/>
        <v>6.7199999999999996E-2</v>
      </c>
      <c r="F70" s="185">
        <f>'KASIM 1 HAFTA'!V71</f>
        <v>222</v>
      </c>
      <c r="G70" s="196">
        <f t="shared" si="17"/>
        <v>14.918399999999998</v>
      </c>
      <c r="H70" s="21">
        <v>0</v>
      </c>
      <c r="I70" s="184">
        <f t="shared" si="12"/>
        <v>0</v>
      </c>
      <c r="J70" s="202">
        <v>1</v>
      </c>
      <c r="K70" s="212">
        <f t="shared" si="13"/>
        <v>6.7199999999999996E-2</v>
      </c>
      <c r="L70" s="202">
        <v>0</v>
      </c>
      <c r="M70" s="184">
        <f t="shared" ref="M70:M71" si="23">E70*L70</f>
        <v>0</v>
      </c>
      <c r="N70" s="202">
        <v>0</v>
      </c>
      <c r="O70" s="205">
        <f t="shared" si="19"/>
        <v>0</v>
      </c>
      <c r="P70" s="202">
        <v>0</v>
      </c>
      <c r="Q70" s="11">
        <f t="shared" si="20"/>
        <v>0</v>
      </c>
      <c r="R70" s="227">
        <f t="shared" ref="R70:R73" si="24">F70-H70-J70-L70-N70-P70</f>
        <v>221</v>
      </c>
      <c r="S70" s="228">
        <f t="shared" si="15"/>
        <v>14.851199999999999</v>
      </c>
      <c r="T70" s="222">
        <v>0</v>
      </c>
      <c r="U70" s="236">
        <f t="shared" ref="U70:U73" si="25">E70*T70</f>
        <v>0</v>
      </c>
      <c r="V70" s="241">
        <f t="shared" si="21"/>
        <v>221</v>
      </c>
      <c r="W70" s="242">
        <f t="shared" si="22"/>
        <v>14.851199999999999</v>
      </c>
      <c r="X70" s="238">
        <v>20</v>
      </c>
      <c r="Y70" s="101">
        <v>50</v>
      </c>
    </row>
    <row r="71" spans="1:25" x14ac:dyDescent="0.25">
      <c r="A71" s="175" t="s">
        <v>95</v>
      </c>
      <c r="B71" s="130">
        <v>61</v>
      </c>
      <c r="C71" s="130">
        <v>61</v>
      </c>
      <c r="D71" s="130">
        <v>3</v>
      </c>
      <c r="E71" s="190">
        <f t="shared" si="16"/>
        <v>1.1162999999999999E-2</v>
      </c>
      <c r="F71" s="185">
        <f>'KASIM 1 HAFTA'!V72</f>
        <v>41</v>
      </c>
      <c r="G71" s="196">
        <f t="shared" si="17"/>
        <v>0.45768299999999995</v>
      </c>
      <c r="H71" s="129">
        <v>28</v>
      </c>
      <c r="I71" s="177">
        <f t="shared" si="12"/>
        <v>0.31256399999999995</v>
      </c>
      <c r="J71" s="206">
        <v>0</v>
      </c>
      <c r="K71" s="213">
        <f t="shared" si="13"/>
        <v>0</v>
      </c>
      <c r="L71" s="206">
        <v>0</v>
      </c>
      <c r="M71" s="169">
        <f t="shared" si="23"/>
        <v>0</v>
      </c>
      <c r="N71" s="206">
        <v>0</v>
      </c>
      <c r="O71" s="207">
        <f t="shared" si="19"/>
        <v>0</v>
      </c>
      <c r="P71" s="206">
        <v>0</v>
      </c>
      <c r="Q71" s="164">
        <f t="shared" si="20"/>
        <v>0</v>
      </c>
      <c r="R71" s="227">
        <f t="shared" si="24"/>
        <v>13</v>
      </c>
      <c r="S71" s="232">
        <f t="shared" si="15"/>
        <v>0.145119</v>
      </c>
      <c r="T71" s="224">
        <v>0</v>
      </c>
      <c r="U71" s="237">
        <f t="shared" si="25"/>
        <v>0</v>
      </c>
      <c r="V71" s="243">
        <f t="shared" si="21"/>
        <v>13</v>
      </c>
      <c r="W71" s="244">
        <f t="shared" si="22"/>
        <v>0.145119</v>
      </c>
      <c r="X71" s="238">
        <v>30</v>
      </c>
      <c r="Y71" s="101">
        <v>100</v>
      </c>
    </row>
    <row r="72" spans="1:25" x14ac:dyDescent="0.25">
      <c r="A72" s="108" t="s">
        <v>97</v>
      </c>
      <c r="B72" s="96">
        <v>140</v>
      </c>
      <c r="C72" s="96">
        <v>240</v>
      </c>
      <c r="D72" s="96">
        <v>6</v>
      </c>
      <c r="E72" s="191">
        <f t="shared" si="16"/>
        <v>0.2016</v>
      </c>
      <c r="F72" s="197">
        <v>10</v>
      </c>
      <c r="G72" s="196">
        <f t="shared" si="17"/>
        <v>2.016</v>
      </c>
      <c r="H72" s="22"/>
      <c r="I72" s="177">
        <f t="shared" si="12"/>
        <v>0</v>
      </c>
      <c r="J72" s="203"/>
      <c r="K72" s="178"/>
      <c r="L72" s="203"/>
      <c r="M72" s="184"/>
      <c r="N72" s="203"/>
      <c r="O72" s="167"/>
      <c r="P72" s="203">
        <v>10</v>
      </c>
      <c r="Q72" s="168">
        <f t="shared" si="20"/>
        <v>2.016</v>
      </c>
      <c r="R72" s="227">
        <f t="shared" si="24"/>
        <v>0</v>
      </c>
      <c r="S72" s="232">
        <f t="shared" si="15"/>
        <v>0</v>
      </c>
      <c r="T72" s="222"/>
      <c r="U72" s="237">
        <f t="shared" si="25"/>
        <v>0</v>
      </c>
      <c r="V72" s="243">
        <f t="shared" si="21"/>
        <v>0</v>
      </c>
      <c r="W72" s="244">
        <f t="shared" si="22"/>
        <v>0</v>
      </c>
      <c r="X72" s="238">
        <v>0</v>
      </c>
      <c r="Y72" s="101">
        <v>0</v>
      </c>
    </row>
    <row r="73" spans="1:25" ht="15.75" thickBot="1" x14ac:dyDescent="0.3">
      <c r="A73" s="108" t="s">
        <v>98</v>
      </c>
      <c r="B73" s="96">
        <v>140</v>
      </c>
      <c r="C73" s="96">
        <v>240</v>
      </c>
      <c r="D73" s="96">
        <v>4</v>
      </c>
      <c r="E73" s="191">
        <f t="shared" si="16"/>
        <v>0.13439999999999999</v>
      </c>
      <c r="F73" s="198">
        <v>40</v>
      </c>
      <c r="G73" s="199">
        <f t="shared" si="17"/>
        <v>5.3759999999999994</v>
      </c>
      <c r="H73" s="22">
        <v>40</v>
      </c>
      <c r="I73" s="184">
        <f t="shared" si="12"/>
        <v>5.3759999999999994</v>
      </c>
      <c r="J73" s="208"/>
      <c r="K73" s="214"/>
      <c r="L73" s="208"/>
      <c r="M73" s="216"/>
      <c r="N73" s="208"/>
      <c r="O73" s="209"/>
      <c r="P73" s="208"/>
      <c r="Q73" s="215"/>
      <c r="R73" s="233">
        <f t="shared" si="24"/>
        <v>0</v>
      </c>
      <c r="S73" s="234">
        <f t="shared" si="15"/>
        <v>0</v>
      </c>
      <c r="T73" s="222"/>
      <c r="U73" s="236">
        <f t="shared" si="25"/>
        <v>0</v>
      </c>
      <c r="V73" s="245">
        <f t="shared" si="21"/>
        <v>0</v>
      </c>
      <c r="W73" s="246">
        <f t="shared" si="22"/>
        <v>0</v>
      </c>
      <c r="X73" s="238">
        <v>0</v>
      </c>
      <c r="Y73" s="101">
        <v>0</v>
      </c>
    </row>
  </sheetData>
  <mergeCells count="24">
    <mergeCell ref="R4:S4"/>
    <mergeCell ref="T4:U4"/>
    <mergeCell ref="V4:W4"/>
    <mergeCell ref="F4:G4"/>
    <mergeCell ref="H4:I4"/>
    <mergeCell ref="J4:K4"/>
    <mergeCell ref="L4:M4"/>
    <mergeCell ref="N4:O4"/>
    <mergeCell ref="P4:Q4"/>
    <mergeCell ref="P2:Q2"/>
    <mergeCell ref="R2:S3"/>
    <mergeCell ref="T2:U3"/>
    <mergeCell ref="V2:W3"/>
    <mergeCell ref="H3:I3"/>
    <mergeCell ref="J3:K3"/>
    <mergeCell ref="L3:M3"/>
    <mergeCell ref="N3:O3"/>
    <mergeCell ref="P3:Q3"/>
    <mergeCell ref="N2:O2"/>
    <mergeCell ref="B1:G1"/>
    <mergeCell ref="F2:G3"/>
    <mergeCell ref="H2:I2"/>
    <mergeCell ref="J2:K2"/>
    <mergeCell ref="L2:M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72"/>
  <sheetViews>
    <sheetView workbookViewId="0">
      <selection activeCell="A27" sqref="A27"/>
    </sheetView>
  </sheetViews>
  <sheetFormatPr defaultRowHeight="15" x14ac:dyDescent="0.25"/>
  <cols>
    <col min="1" max="1" width="23.85546875" style="3" customWidth="1"/>
    <col min="2" max="2" width="11.7109375" style="2" hidden="1" customWidth="1"/>
    <col min="3" max="3" width="10.7109375" style="2" hidden="1" customWidth="1"/>
    <col min="4" max="4" width="13.85546875" style="2" hidden="1" customWidth="1"/>
    <col min="5" max="5" width="12.140625" style="4" hidden="1" customWidth="1"/>
    <col min="6" max="7" width="9" style="5" customWidth="1"/>
    <col min="8" max="19" width="8.140625" style="2" customWidth="1"/>
    <col min="24" max="24" width="9.42578125" customWidth="1"/>
  </cols>
  <sheetData>
    <row r="1" spans="1:25" ht="15.75" thickBot="1" x14ac:dyDescent="0.3">
      <c r="A1" s="4" t="s">
        <v>18</v>
      </c>
      <c r="B1" s="320" t="s">
        <v>94</v>
      </c>
      <c r="C1" s="320"/>
      <c r="D1" s="320"/>
      <c r="E1" s="320"/>
      <c r="F1" s="320"/>
      <c r="G1" s="320"/>
    </row>
    <row r="2" spans="1:25" s="1" customFormat="1" ht="15.75" thickBot="1" x14ac:dyDescent="0.3">
      <c r="A2" s="8" t="s">
        <v>0</v>
      </c>
      <c r="B2" s="28"/>
      <c r="C2" s="29"/>
      <c r="D2" s="29"/>
      <c r="E2" s="14"/>
      <c r="F2" s="321" t="s">
        <v>1</v>
      </c>
      <c r="G2" s="322"/>
      <c r="H2" s="325">
        <v>44879</v>
      </c>
      <c r="I2" s="326"/>
      <c r="J2" s="327">
        <v>44880</v>
      </c>
      <c r="K2" s="328"/>
      <c r="L2" s="325">
        <v>44881</v>
      </c>
      <c r="M2" s="329"/>
      <c r="N2" s="327">
        <v>44882</v>
      </c>
      <c r="O2" s="346"/>
      <c r="P2" s="325">
        <v>44883</v>
      </c>
      <c r="Q2" s="329"/>
      <c r="R2" s="330" t="s">
        <v>69</v>
      </c>
      <c r="S2" s="331"/>
      <c r="T2" s="334" t="s">
        <v>70</v>
      </c>
      <c r="U2" s="335"/>
      <c r="V2" s="338" t="s">
        <v>71</v>
      </c>
      <c r="W2" s="339"/>
      <c r="X2" s="180"/>
      <c r="Y2" s="181"/>
    </row>
    <row r="3" spans="1:25" s="1" customFormat="1" ht="15.75" thickBot="1" x14ac:dyDescent="0.3">
      <c r="A3" s="7"/>
      <c r="B3" s="30"/>
      <c r="C3" s="31"/>
      <c r="D3" s="31"/>
      <c r="E3" s="15"/>
      <c r="F3" s="323"/>
      <c r="G3" s="324"/>
      <c r="H3" s="342" t="s">
        <v>68</v>
      </c>
      <c r="I3" s="343"/>
      <c r="J3" s="344" t="s">
        <v>68</v>
      </c>
      <c r="K3" s="345"/>
      <c r="L3" s="342" t="s">
        <v>68</v>
      </c>
      <c r="M3" s="343"/>
      <c r="N3" s="344" t="s">
        <v>68</v>
      </c>
      <c r="O3" s="345"/>
      <c r="P3" s="342" t="s">
        <v>68</v>
      </c>
      <c r="Q3" s="343"/>
      <c r="R3" s="332"/>
      <c r="S3" s="333"/>
      <c r="T3" s="336"/>
      <c r="U3" s="337"/>
      <c r="V3" s="340"/>
      <c r="W3" s="341"/>
      <c r="X3" s="182"/>
      <c r="Y3" s="183"/>
    </row>
    <row r="4" spans="1:25" ht="15.75" thickBot="1" x14ac:dyDescent="0.3">
      <c r="A4" s="42"/>
      <c r="B4" s="16" t="s">
        <v>65</v>
      </c>
      <c r="C4" s="17" t="s">
        <v>66</v>
      </c>
      <c r="D4" s="17" t="s">
        <v>67</v>
      </c>
      <c r="E4" s="18" t="s">
        <v>64</v>
      </c>
      <c r="F4" s="323" t="s">
        <v>63</v>
      </c>
      <c r="G4" s="324"/>
      <c r="H4" s="353" t="s">
        <v>63</v>
      </c>
      <c r="I4" s="354"/>
      <c r="J4" s="355" t="s">
        <v>63</v>
      </c>
      <c r="K4" s="356"/>
      <c r="L4" s="353" t="s">
        <v>63</v>
      </c>
      <c r="M4" s="354"/>
      <c r="N4" s="355" t="s">
        <v>63</v>
      </c>
      <c r="O4" s="356"/>
      <c r="P4" s="353" t="s">
        <v>63</v>
      </c>
      <c r="Q4" s="354"/>
      <c r="R4" s="347" t="s">
        <v>63</v>
      </c>
      <c r="S4" s="348"/>
      <c r="T4" s="349" t="s">
        <v>63</v>
      </c>
      <c r="U4" s="350"/>
      <c r="V4" s="351" t="s">
        <v>63</v>
      </c>
      <c r="W4" s="357"/>
      <c r="X4" s="179" t="s">
        <v>99</v>
      </c>
      <c r="Y4" s="179" t="s">
        <v>100</v>
      </c>
    </row>
    <row r="5" spans="1:25" x14ac:dyDescent="0.25">
      <c r="A5" s="42" t="s">
        <v>2</v>
      </c>
      <c r="B5" s="32">
        <v>140</v>
      </c>
      <c r="C5" s="33">
        <v>240</v>
      </c>
      <c r="D5" s="33">
        <v>1</v>
      </c>
      <c r="E5" s="15">
        <f>(B5*C5*D5)/1000000</f>
        <v>3.3599999999999998E-2</v>
      </c>
      <c r="F5" s="23">
        <f>'KASIM 2 HAFTA '!V5</f>
        <v>166</v>
      </c>
      <c r="G5" s="24">
        <f>E5*F5</f>
        <v>5.5775999999999994</v>
      </c>
      <c r="H5" s="21">
        <v>142</v>
      </c>
      <c r="I5" s="11">
        <f>E5*H5</f>
        <v>4.7711999999999994</v>
      </c>
      <c r="J5" s="21">
        <v>24</v>
      </c>
      <c r="K5" s="10">
        <f t="shared" ref="K5:K68" si="0">E5*J5</f>
        <v>0.80640000000000001</v>
      </c>
      <c r="L5" s="21">
        <v>120</v>
      </c>
      <c r="M5" s="11">
        <f t="shared" ref="M5:M67" si="1">E5*L5</f>
        <v>4.032</v>
      </c>
      <c r="N5" s="21">
        <v>42</v>
      </c>
      <c r="O5" s="10">
        <f>E5*N5</f>
        <v>1.4112</v>
      </c>
      <c r="P5" s="21">
        <v>13</v>
      </c>
      <c r="Q5" s="11">
        <f>E5*P5</f>
        <v>0.43679999999999997</v>
      </c>
      <c r="R5" s="39">
        <f>F5-H5-J5-L5-N5-P5</f>
        <v>-175</v>
      </c>
      <c r="S5" s="38">
        <f t="shared" ref="S5:S68" si="2">E5*R5</f>
        <v>-5.88</v>
      </c>
      <c r="T5" s="12">
        <v>796</v>
      </c>
      <c r="U5" s="13">
        <f>E5*T5</f>
        <v>26.7456</v>
      </c>
      <c r="V5" s="49">
        <f>R5+T5</f>
        <v>621</v>
      </c>
      <c r="W5" s="50">
        <f>E5*V5</f>
        <v>20.865599999999997</v>
      </c>
      <c r="X5" s="238">
        <v>250</v>
      </c>
      <c r="Y5" s="101">
        <v>750</v>
      </c>
    </row>
    <row r="6" spans="1:25" x14ac:dyDescent="0.25">
      <c r="A6" s="42" t="s">
        <v>3</v>
      </c>
      <c r="B6" s="34">
        <v>140</v>
      </c>
      <c r="C6" s="35">
        <v>240</v>
      </c>
      <c r="D6" s="35">
        <v>0.8</v>
      </c>
      <c r="E6" s="19">
        <f t="shared" ref="E6:E69" si="3">(B6*C6*D6)/1000000</f>
        <v>2.6880000000000001E-2</v>
      </c>
      <c r="F6" s="23">
        <f>'KASIM 2 HAFTA '!V6</f>
        <v>151</v>
      </c>
      <c r="G6" s="26">
        <f t="shared" ref="G6:G69" si="4">E6*F6</f>
        <v>4.0588800000000003</v>
      </c>
      <c r="H6" s="21">
        <v>0</v>
      </c>
      <c r="I6" s="11">
        <f t="shared" ref="I6:I67" si="5">E6*H6</f>
        <v>0</v>
      </c>
      <c r="J6" s="21">
        <v>11</v>
      </c>
      <c r="K6" s="10">
        <f t="shared" si="0"/>
        <v>0.29568</v>
      </c>
      <c r="L6" s="21">
        <v>17</v>
      </c>
      <c r="M6" s="11">
        <f t="shared" si="1"/>
        <v>0.45696000000000003</v>
      </c>
      <c r="N6" s="21">
        <v>17</v>
      </c>
      <c r="O6" s="10">
        <f t="shared" ref="O6:O69" si="6">E6*N6</f>
        <v>0.45696000000000003</v>
      </c>
      <c r="P6" s="21">
        <v>8</v>
      </c>
      <c r="Q6" s="11">
        <f t="shared" ref="Q6:Q69" si="7">E6*P6</f>
        <v>0.21504000000000001</v>
      </c>
      <c r="R6" s="39">
        <f>F6-H6-J6-L6-N6-P6</f>
        <v>98</v>
      </c>
      <c r="S6" s="38">
        <f t="shared" si="2"/>
        <v>2.6342400000000001</v>
      </c>
      <c r="T6" s="12"/>
      <c r="U6" s="13">
        <f t="shared" ref="U6:U68" si="8">E6*T6</f>
        <v>0</v>
      </c>
      <c r="V6" s="49">
        <f t="shared" ref="V6:V69" si="9">R6+T6</f>
        <v>98</v>
      </c>
      <c r="W6" s="50">
        <f t="shared" ref="W6:W69" si="10">E6*V6</f>
        <v>2.6342400000000001</v>
      </c>
      <c r="X6" s="238">
        <v>100</v>
      </c>
      <c r="Y6" s="101">
        <v>300</v>
      </c>
    </row>
    <row r="7" spans="1:25" x14ac:dyDescent="0.25">
      <c r="A7" s="42" t="s">
        <v>4</v>
      </c>
      <c r="B7" s="34">
        <v>140</v>
      </c>
      <c r="C7" s="35">
        <v>240</v>
      </c>
      <c r="D7" s="35">
        <v>1.4</v>
      </c>
      <c r="E7" s="19">
        <f t="shared" si="3"/>
        <v>4.7039999999999998E-2</v>
      </c>
      <c r="F7" s="23">
        <f>'KASIM 2 HAFTA '!V7</f>
        <v>237</v>
      </c>
      <c r="G7" s="26">
        <f t="shared" si="4"/>
        <v>11.148479999999999</v>
      </c>
      <c r="H7" s="21">
        <v>55</v>
      </c>
      <c r="I7" s="11">
        <f t="shared" si="5"/>
        <v>2.5871999999999997</v>
      </c>
      <c r="J7" s="21">
        <v>31</v>
      </c>
      <c r="K7" s="10">
        <f t="shared" si="0"/>
        <v>1.45824</v>
      </c>
      <c r="L7" s="21">
        <v>7</v>
      </c>
      <c r="M7" s="11">
        <f t="shared" si="1"/>
        <v>0.32928000000000002</v>
      </c>
      <c r="N7" s="21">
        <v>30</v>
      </c>
      <c r="O7" s="10">
        <f t="shared" si="6"/>
        <v>1.4112</v>
      </c>
      <c r="P7" s="21">
        <v>19</v>
      </c>
      <c r="Q7" s="11">
        <f t="shared" si="7"/>
        <v>0.89376</v>
      </c>
      <c r="R7" s="39">
        <f t="shared" ref="R7:R70" si="11">F7-H7-J7-L7-N7-P7</f>
        <v>95</v>
      </c>
      <c r="S7" s="38">
        <f t="shared" si="2"/>
        <v>4.4687999999999999</v>
      </c>
      <c r="T7" s="12"/>
      <c r="U7" s="13">
        <f t="shared" si="8"/>
        <v>0</v>
      </c>
      <c r="V7" s="49">
        <f t="shared" si="9"/>
        <v>95</v>
      </c>
      <c r="W7" s="50">
        <f t="shared" si="10"/>
        <v>4.4687999999999999</v>
      </c>
      <c r="X7" s="238">
        <v>250</v>
      </c>
      <c r="Y7" s="101">
        <v>750</v>
      </c>
    </row>
    <row r="8" spans="1:25" x14ac:dyDescent="0.25">
      <c r="A8" s="42" t="s">
        <v>5</v>
      </c>
      <c r="B8" s="34">
        <v>140</v>
      </c>
      <c r="C8" s="35">
        <v>240</v>
      </c>
      <c r="D8" s="35">
        <v>4</v>
      </c>
      <c r="E8" s="19">
        <f t="shared" si="3"/>
        <v>0.13439999999999999</v>
      </c>
      <c r="F8" s="23">
        <f>'KASIM 2 HAFTA '!V8</f>
        <v>15</v>
      </c>
      <c r="G8" s="26">
        <f t="shared" si="4"/>
        <v>2.016</v>
      </c>
      <c r="H8" s="21">
        <v>0</v>
      </c>
      <c r="I8" s="11">
        <f t="shared" si="5"/>
        <v>0</v>
      </c>
      <c r="J8" s="21">
        <v>0</v>
      </c>
      <c r="K8" s="10">
        <f t="shared" si="0"/>
        <v>0</v>
      </c>
      <c r="L8" s="21">
        <v>0</v>
      </c>
      <c r="M8" s="11">
        <f t="shared" si="1"/>
        <v>0</v>
      </c>
      <c r="N8" s="21">
        <v>0</v>
      </c>
      <c r="O8" s="10">
        <f t="shared" si="6"/>
        <v>0</v>
      </c>
      <c r="P8" s="21">
        <v>0</v>
      </c>
      <c r="Q8" s="11">
        <f t="shared" si="7"/>
        <v>0</v>
      </c>
      <c r="R8" s="39">
        <f t="shared" si="11"/>
        <v>15</v>
      </c>
      <c r="S8" s="38">
        <f t="shared" si="2"/>
        <v>2.016</v>
      </c>
      <c r="T8" s="12"/>
      <c r="U8" s="13">
        <f t="shared" si="8"/>
        <v>0</v>
      </c>
      <c r="V8" s="49">
        <f t="shared" si="9"/>
        <v>15</v>
      </c>
      <c r="W8" s="50">
        <f t="shared" si="10"/>
        <v>2.016</v>
      </c>
      <c r="X8" s="238">
        <v>20</v>
      </c>
      <c r="Y8" s="101">
        <v>50</v>
      </c>
    </row>
    <row r="9" spans="1:25" x14ac:dyDescent="0.25">
      <c r="A9" s="42" t="s">
        <v>6</v>
      </c>
      <c r="B9" s="34">
        <v>140</v>
      </c>
      <c r="C9" s="35">
        <v>240</v>
      </c>
      <c r="D9" s="35">
        <v>2</v>
      </c>
      <c r="E9" s="19">
        <f t="shared" si="3"/>
        <v>6.7199999999999996E-2</v>
      </c>
      <c r="F9" s="23">
        <f>'KASIM 2 HAFTA '!V9</f>
        <v>117</v>
      </c>
      <c r="G9" s="26">
        <f t="shared" si="4"/>
        <v>7.8623999999999992</v>
      </c>
      <c r="H9" s="21">
        <v>2</v>
      </c>
      <c r="I9" s="11">
        <f t="shared" si="5"/>
        <v>0.13439999999999999</v>
      </c>
      <c r="J9" s="21">
        <v>0</v>
      </c>
      <c r="K9" s="10">
        <f t="shared" si="0"/>
        <v>0</v>
      </c>
      <c r="L9" s="21">
        <v>2</v>
      </c>
      <c r="M9" s="11">
        <f t="shared" si="1"/>
        <v>0.13439999999999999</v>
      </c>
      <c r="N9" s="21">
        <v>3</v>
      </c>
      <c r="O9" s="10">
        <f t="shared" si="6"/>
        <v>0.2016</v>
      </c>
      <c r="P9" s="21">
        <v>11</v>
      </c>
      <c r="Q9" s="11">
        <f t="shared" si="7"/>
        <v>0.73919999999999997</v>
      </c>
      <c r="R9" s="39">
        <f t="shared" si="11"/>
        <v>99</v>
      </c>
      <c r="S9" s="38">
        <f t="shared" si="2"/>
        <v>6.6527999999999992</v>
      </c>
      <c r="T9" s="12"/>
      <c r="U9" s="13">
        <f t="shared" si="8"/>
        <v>0</v>
      </c>
      <c r="V9" s="49">
        <f t="shared" si="9"/>
        <v>99</v>
      </c>
      <c r="W9" s="50">
        <f t="shared" si="10"/>
        <v>6.6527999999999992</v>
      </c>
      <c r="X9" s="238">
        <v>50</v>
      </c>
      <c r="Y9" s="101">
        <v>150</v>
      </c>
    </row>
    <row r="10" spans="1:25" x14ac:dyDescent="0.25">
      <c r="A10" s="42" t="s">
        <v>7</v>
      </c>
      <c r="B10" s="34">
        <v>140</v>
      </c>
      <c r="C10" s="35">
        <v>240</v>
      </c>
      <c r="D10" s="35">
        <v>2</v>
      </c>
      <c r="E10" s="19">
        <f t="shared" si="3"/>
        <v>6.7199999999999996E-2</v>
      </c>
      <c r="F10" s="23">
        <f>'KASIM 2 HAFTA '!V10</f>
        <v>54</v>
      </c>
      <c r="G10" s="26">
        <f t="shared" si="4"/>
        <v>3.6287999999999996</v>
      </c>
      <c r="H10" s="21">
        <v>27</v>
      </c>
      <c r="I10" s="11">
        <f t="shared" si="5"/>
        <v>1.8143999999999998</v>
      </c>
      <c r="J10" s="21">
        <v>0</v>
      </c>
      <c r="K10" s="10">
        <f t="shared" si="0"/>
        <v>0</v>
      </c>
      <c r="L10" s="21">
        <v>17</v>
      </c>
      <c r="M10" s="11">
        <f t="shared" si="1"/>
        <v>1.1423999999999999</v>
      </c>
      <c r="N10" s="21">
        <v>0</v>
      </c>
      <c r="O10" s="10">
        <f t="shared" si="6"/>
        <v>0</v>
      </c>
      <c r="P10" s="21">
        <v>0</v>
      </c>
      <c r="Q10" s="11">
        <f t="shared" si="7"/>
        <v>0</v>
      </c>
      <c r="R10" s="39">
        <f t="shared" si="11"/>
        <v>10</v>
      </c>
      <c r="S10" s="38">
        <f t="shared" si="2"/>
        <v>0.67199999999999993</v>
      </c>
      <c r="T10" s="12">
        <v>154</v>
      </c>
      <c r="U10" s="13">
        <f t="shared" si="8"/>
        <v>10.348799999999999</v>
      </c>
      <c r="V10" s="49">
        <f t="shared" si="9"/>
        <v>164</v>
      </c>
      <c r="W10" s="50">
        <f t="shared" si="10"/>
        <v>11.020799999999999</v>
      </c>
      <c r="X10" s="238">
        <v>75</v>
      </c>
      <c r="Y10" s="101">
        <v>300</v>
      </c>
    </row>
    <row r="11" spans="1:25" x14ac:dyDescent="0.25">
      <c r="A11" s="42" t="s">
        <v>8</v>
      </c>
      <c r="B11" s="34">
        <v>140</v>
      </c>
      <c r="C11" s="35">
        <v>240</v>
      </c>
      <c r="D11" s="35">
        <v>7</v>
      </c>
      <c r="E11" s="19">
        <f t="shared" si="3"/>
        <v>0.23519999999999999</v>
      </c>
      <c r="F11" s="23">
        <f>'KASIM 2 HAFTA '!V11</f>
        <v>95</v>
      </c>
      <c r="G11" s="26">
        <f t="shared" si="4"/>
        <v>22.343999999999998</v>
      </c>
      <c r="H11" s="21">
        <v>7</v>
      </c>
      <c r="I11" s="11">
        <f t="shared" si="5"/>
        <v>1.6463999999999999</v>
      </c>
      <c r="J11" s="21">
        <v>0</v>
      </c>
      <c r="K11" s="10">
        <f t="shared" si="0"/>
        <v>0</v>
      </c>
      <c r="L11" s="21">
        <v>1</v>
      </c>
      <c r="M11" s="11">
        <f t="shared" si="1"/>
        <v>0.23519999999999999</v>
      </c>
      <c r="N11" s="21">
        <v>2</v>
      </c>
      <c r="O11" s="10">
        <f t="shared" si="6"/>
        <v>0.47039999999999998</v>
      </c>
      <c r="P11" s="21">
        <v>2</v>
      </c>
      <c r="Q11" s="11">
        <f t="shared" si="7"/>
        <v>0.47039999999999998</v>
      </c>
      <c r="R11" s="39">
        <f t="shared" si="11"/>
        <v>83</v>
      </c>
      <c r="S11" s="38">
        <f t="shared" si="2"/>
        <v>19.521599999999999</v>
      </c>
      <c r="T11" s="12">
        <v>0</v>
      </c>
      <c r="U11" s="13">
        <f t="shared" si="8"/>
        <v>0</v>
      </c>
      <c r="V11" s="49">
        <f t="shared" si="9"/>
        <v>83</v>
      </c>
      <c r="W11" s="50">
        <f t="shared" si="10"/>
        <v>19.521599999999999</v>
      </c>
      <c r="X11" s="238">
        <v>20</v>
      </c>
      <c r="Y11" s="101">
        <v>50</v>
      </c>
    </row>
    <row r="12" spans="1:25" x14ac:dyDescent="0.25">
      <c r="A12" s="42" t="s">
        <v>9</v>
      </c>
      <c r="B12" s="34">
        <v>140</v>
      </c>
      <c r="C12" s="35">
        <v>240</v>
      </c>
      <c r="D12" s="35">
        <v>5</v>
      </c>
      <c r="E12" s="19">
        <f t="shared" si="3"/>
        <v>0.16800000000000001</v>
      </c>
      <c r="F12" s="23">
        <f>'KASIM 2 HAFTA '!V12</f>
        <v>304</v>
      </c>
      <c r="G12" s="26">
        <f t="shared" si="4"/>
        <v>51.072000000000003</v>
      </c>
      <c r="H12" s="21">
        <v>1</v>
      </c>
      <c r="I12" s="11">
        <f t="shared" si="5"/>
        <v>0.16800000000000001</v>
      </c>
      <c r="J12" s="21">
        <v>2</v>
      </c>
      <c r="K12" s="10">
        <f t="shared" si="0"/>
        <v>0.33600000000000002</v>
      </c>
      <c r="L12" s="21">
        <v>1</v>
      </c>
      <c r="M12" s="11">
        <f t="shared" si="1"/>
        <v>0.16800000000000001</v>
      </c>
      <c r="N12" s="21">
        <v>1</v>
      </c>
      <c r="O12" s="10">
        <f t="shared" si="6"/>
        <v>0.16800000000000001</v>
      </c>
      <c r="P12" s="21">
        <v>0</v>
      </c>
      <c r="Q12" s="11">
        <f t="shared" si="7"/>
        <v>0</v>
      </c>
      <c r="R12" s="39">
        <f t="shared" si="11"/>
        <v>299</v>
      </c>
      <c r="S12" s="38">
        <f t="shared" si="2"/>
        <v>50.232000000000006</v>
      </c>
      <c r="T12" s="12"/>
      <c r="U12" s="13">
        <f t="shared" si="8"/>
        <v>0</v>
      </c>
      <c r="V12" s="49">
        <f t="shared" si="9"/>
        <v>299</v>
      </c>
      <c r="W12" s="50">
        <f t="shared" si="10"/>
        <v>50.232000000000006</v>
      </c>
      <c r="X12" s="238">
        <v>30</v>
      </c>
      <c r="Y12" s="101">
        <v>100</v>
      </c>
    </row>
    <row r="13" spans="1:25" x14ac:dyDescent="0.25">
      <c r="A13" s="42" t="s">
        <v>10</v>
      </c>
      <c r="B13" s="34">
        <v>140</v>
      </c>
      <c r="C13" s="35">
        <v>240</v>
      </c>
      <c r="D13" s="35">
        <v>5</v>
      </c>
      <c r="E13" s="19">
        <f t="shared" si="3"/>
        <v>0.16800000000000001</v>
      </c>
      <c r="F13" s="23">
        <f>'KASIM 2 HAFTA '!V13</f>
        <v>5</v>
      </c>
      <c r="G13" s="26">
        <f t="shared" si="4"/>
        <v>0.84000000000000008</v>
      </c>
      <c r="H13" s="21">
        <v>2</v>
      </c>
      <c r="I13" s="11">
        <f t="shared" si="5"/>
        <v>0.33600000000000002</v>
      </c>
      <c r="J13" s="21">
        <v>0</v>
      </c>
      <c r="K13" s="10">
        <f t="shared" si="0"/>
        <v>0</v>
      </c>
      <c r="L13" s="21">
        <v>0</v>
      </c>
      <c r="M13" s="11">
        <f t="shared" si="1"/>
        <v>0</v>
      </c>
      <c r="N13" s="21">
        <v>2</v>
      </c>
      <c r="O13" s="10">
        <f t="shared" si="6"/>
        <v>0.33600000000000002</v>
      </c>
      <c r="P13" s="21">
        <v>0</v>
      </c>
      <c r="Q13" s="11">
        <f t="shared" si="7"/>
        <v>0</v>
      </c>
      <c r="R13" s="39">
        <f t="shared" si="11"/>
        <v>1</v>
      </c>
      <c r="S13" s="38">
        <f t="shared" si="2"/>
        <v>0.16800000000000001</v>
      </c>
      <c r="T13" s="12">
        <v>3</v>
      </c>
      <c r="U13" s="13">
        <f t="shared" si="8"/>
        <v>0.504</v>
      </c>
      <c r="V13" s="49">
        <f t="shared" si="9"/>
        <v>4</v>
      </c>
      <c r="W13" s="50">
        <f t="shared" si="10"/>
        <v>0.67200000000000004</v>
      </c>
      <c r="X13" s="238">
        <v>20</v>
      </c>
      <c r="Y13" s="101">
        <v>50</v>
      </c>
    </row>
    <row r="14" spans="1:25" x14ac:dyDescent="0.25">
      <c r="A14" s="42" t="s">
        <v>11</v>
      </c>
      <c r="B14" s="34">
        <v>140</v>
      </c>
      <c r="C14" s="35">
        <v>240</v>
      </c>
      <c r="D14" s="35">
        <v>5</v>
      </c>
      <c r="E14" s="19">
        <f t="shared" si="3"/>
        <v>0.16800000000000001</v>
      </c>
      <c r="F14" s="23">
        <f>'KASIM 2 HAFTA '!V14</f>
        <v>38</v>
      </c>
      <c r="G14" s="26">
        <f t="shared" si="4"/>
        <v>6.3840000000000003</v>
      </c>
      <c r="H14" s="21">
        <v>0</v>
      </c>
      <c r="I14" s="11">
        <f t="shared" si="5"/>
        <v>0</v>
      </c>
      <c r="J14" s="21">
        <v>22</v>
      </c>
      <c r="K14" s="10">
        <f t="shared" si="0"/>
        <v>3.6960000000000002</v>
      </c>
      <c r="L14" s="21">
        <v>3</v>
      </c>
      <c r="M14" s="11">
        <f t="shared" si="1"/>
        <v>0.504</v>
      </c>
      <c r="N14" s="21">
        <v>1</v>
      </c>
      <c r="O14" s="10">
        <f t="shared" si="6"/>
        <v>0.16800000000000001</v>
      </c>
      <c r="P14" s="21">
        <v>0</v>
      </c>
      <c r="Q14" s="11">
        <f t="shared" si="7"/>
        <v>0</v>
      </c>
      <c r="R14" s="39">
        <f t="shared" si="11"/>
        <v>12</v>
      </c>
      <c r="S14" s="38">
        <f t="shared" si="2"/>
        <v>2.016</v>
      </c>
      <c r="T14" s="12">
        <v>83</v>
      </c>
      <c r="U14" s="13">
        <f t="shared" si="8"/>
        <v>13.944000000000001</v>
      </c>
      <c r="V14" s="49">
        <f t="shared" si="9"/>
        <v>95</v>
      </c>
      <c r="W14" s="50">
        <f t="shared" si="10"/>
        <v>15.96</v>
      </c>
      <c r="X14" s="238">
        <v>30</v>
      </c>
      <c r="Y14" s="101">
        <v>100</v>
      </c>
    </row>
    <row r="15" spans="1:25" x14ac:dyDescent="0.25">
      <c r="A15" s="42" t="s">
        <v>12</v>
      </c>
      <c r="B15" s="34">
        <v>140</v>
      </c>
      <c r="C15" s="35">
        <v>240</v>
      </c>
      <c r="D15" s="35">
        <v>10</v>
      </c>
      <c r="E15" s="19">
        <f t="shared" si="3"/>
        <v>0.33600000000000002</v>
      </c>
      <c r="F15" s="23">
        <f>'KASIM 2 HAFTA '!V15</f>
        <v>9</v>
      </c>
      <c r="G15" s="26">
        <f t="shared" si="4"/>
        <v>3.024</v>
      </c>
      <c r="H15" s="21">
        <v>2</v>
      </c>
      <c r="I15" s="11">
        <f t="shared" si="5"/>
        <v>0.67200000000000004</v>
      </c>
      <c r="J15" s="21">
        <v>0</v>
      </c>
      <c r="K15" s="10">
        <f t="shared" si="0"/>
        <v>0</v>
      </c>
      <c r="L15" s="21">
        <v>0</v>
      </c>
      <c r="M15" s="11">
        <f t="shared" si="1"/>
        <v>0</v>
      </c>
      <c r="N15" s="21">
        <v>1</v>
      </c>
      <c r="O15" s="10">
        <f t="shared" si="6"/>
        <v>0.33600000000000002</v>
      </c>
      <c r="P15" s="21">
        <v>1</v>
      </c>
      <c r="Q15" s="11">
        <f t="shared" si="7"/>
        <v>0.33600000000000002</v>
      </c>
      <c r="R15" s="39">
        <f t="shared" si="11"/>
        <v>5</v>
      </c>
      <c r="S15" s="38">
        <f t="shared" si="2"/>
        <v>1.6800000000000002</v>
      </c>
      <c r="T15" s="12">
        <v>3</v>
      </c>
      <c r="U15" s="13">
        <f t="shared" si="8"/>
        <v>1.008</v>
      </c>
      <c r="V15" s="49">
        <f t="shared" si="9"/>
        <v>8</v>
      </c>
      <c r="W15" s="50">
        <f t="shared" si="10"/>
        <v>2.6880000000000002</v>
      </c>
      <c r="X15" s="238">
        <v>20</v>
      </c>
      <c r="Y15" s="101">
        <v>70</v>
      </c>
    </row>
    <row r="16" spans="1:25" x14ac:dyDescent="0.25">
      <c r="A16" s="42" t="s">
        <v>13</v>
      </c>
      <c r="B16" s="34">
        <v>140</v>
      </c>
      <c r="C16" s="35">
        <v>240</v>
      </c>
      <c r="D16" s="35">
        <v>3</v>
      </c>
      <c r="E16" s="19">
        <f t="shared" si="3"/>
        <v>0.1008</v>
      </c>
      <c r="F16" s="23">
        <f>'KASIM 2 HAFTA '!V16</f>
        <v>0</v>
      </c>
      <c r="G16" s="26">
        <f t="shared" si="4"/>
        <v>0</v>
      </c>
      <c r="H16" s="21">
        <v>0</v>
      </c>
      <c r="I16" s="11">
        <f t="shared" si="5"/>
        <v>0</v>
      </c>
      <c r="J16" s="21">
        <v>0</v>
      </c>
      <c r="K16" s="10">
        <f t="shared" si="0"/>
        <v>0</v>
      </c>
      <c r="L16" s="21">
        <v>0</v>
      </c>
      <c r="M16" s="11">
        <f t="shared" si="1"/>
        <v>0</v>
      </c>
      <c r="N16" s="21">
        <v>0</v>
      </c>
      <c r="O16" s="10">
        <f t="shared" si="6"/>
        <v>0</v>
      </c>
      <c r="P16" s="21">
        <v>0</v>
      </c>
      <c r="Q16" s="11">
        <f t="shared" si="7"/>
        <v>0</v>
      </c>
      <c r="R16" s="39">
        <f t="shared" si="11"/>
        <v>0</v>
      </c>
      <c r="S16" s="38">
        <f t="shared" si="2"/>
        <v>0</v>
      </c>
      <c r="T16" s="12"/>
      <c r="U16" s="13">
        <f t="shared" si="8"/>
        <v>0</v>
      </c>
      <c r="V16" s="49">
        <f t="shared" si="9"/>
        <v>0</v>
      </c>
      <c r="W16" s="50">
        <f t="shared" si="10"/>
        <v>0</v>
      </c>
      <c r="X16" s="238">
        <v>50</v>
      </c>
      <c r="Y16" s="101">
        <v>150</v>
      </c>
    </row>
    <row r="17" spans="1:25" x14ac:dyDescent="0.25">
      <c r="A17" s="42" t="s">
        <v>14</v>
      </c>
      <c r="B17" s="34">
        <v>140</v>
      </c>
      <c r="C17" s="35">
        <v>240</v>
      </c>
      <c r="D17" s="35">
        <v>5</v>
      </c>
      <c r="E17" s="19">
        <f t="shared" si="3"/>
        <v>0.16800000000000001</v>
      </c>
      <c r="F17" s="23">
        <f>'KASIM 2 HAFTA '!V17</f>
        <v>95</v>
      </c>
      <c r="G17" s="26">
        <f t="shared" si="4"/>
        <v>15.96</v>
      </c>
      <c r="H17" s="21">
        <v>0</v>
      </c>
      <c r="I17" s="11">
        <f t="shared" si="5"/>
        <v>0</v>
      </c>
      <c r="J17" s="21">
        <v>0</v>
      </c>
      <c r="K17" s="10">
        <f t="shared" si="0"/>
        <v>0</v>
      </c>
      <c r="L17" s="21">
        <v>0</v>
      </c>
      <c r="M17" s="11">
        <f t="shared" si="1"/>
        <v>0</v>
      </c>
      <c r="N17" s="21">
        <v>0</v>
      </c>
      <c r="O17" s="10">
        <f t="shared" si="6"/>
        <v>0</v>
      </c>
      <c r="P17" s="21">
        <v>1</v>
      </c>
      <c r="Q17" s="11">
        <f t="shared" si="7"/>
        <v>0.16800000000000001</v>
      </c>
      <c r="R17" s="39">
        <f t="shared" si="11"/>
        <v>94</v>
      </c>
      <c r="S17" s="38">
        <f t="shared" si="2"/>
        <v>15.792000000000002</v>
      </c>
      <c r="T17" s="12"/>
      <c r="U17" s="13">
        <f t="shared" si="8"/>
        <v>0</v>
      </c>
      <c r="V17" s="49">
        <f t="shared" si="9"/>
        <v>94</v>
      </c>
      <c r="W17" s="50">
        <f t="shared" si="10"/>
        <v>15.792000000000002</v>
      </c>
      <c r="X17" s="238">
        <v>50</v>
      </c>
      <c r="Y17" s="101">
        <v>150</v>
      </c>
    </row>
    <row r="18" spans="1:25" x14ac:dyDescent="0.25">
      <c r="A18" s="42" t="s">
        <v>15</v>
      </c>
      <c r="B18" s="34">
        <v>140</v>
      </c>
      <c r="C18" s="35">
        <v>240</v>
      </c>
      <c r="D18" s="35">
        <v>3</v>
      </c>
      <c r="E18" s="19">
        <f t="shared" si="3"/>
        <v>0.1008</v>
      </c>
      <c r="F18" s="23">
        <f>'KASIM 2 HAFTA '!V18</f>
        <v>85</v>
      </c>
      <c r="G18" s="26">
        <f t="shared" si="4"/>
        <v>8.5679999999999996</v>
      </c>
      <c r="H18" s="21">
        <v>7</v>
      </c>
      <c r="I18" s="11">
        <f t="shared" si="5"/>
        <v>0.7056</v>
      </c>
      <c r="J18" s="21">
        <v>1</v>
      </c>
      <c r="K18" s="10">
        <f t="shared" si="0"/>
        <v>0.1008</v>
      </c>
      <c r="L18" s="21">
        <v>1</v>
      </c>
      <c r="M18" s="11">
        <f t="shared" si="1"/>
        <v>0.1008</v>
      </c>
      <c r="N18" s="21">
        <v>5</v>
      </c>
      <c r="O18" s="10">
        <f t="shared" si="6"/>
        <v>0.504</v>
      </c>
      <c r="P18" s="21">
        <v>8</v>
      </c>
      <c r="Q18" s="11">
        <f t="shared" si="7"/>
        <v>0.80640000000000001</v>
      </c>
      <c r="R18" s="39">
        <f t="shared" si="11"/>
        <v>63</v>
      </c>
      <c r="S18" s="38">
        <f t="shared" si="2"/>
        <v>6.3504000000000005</v>
      </c>
      <c r="T18" s="12"/>
      <c r="U18" s="13">
        <f t="shared" si="8"/>
        <v>0</v>
      </c>
      <c r="V18" s="49">
        <f t="shared" si="9"/>
        <v>63</v>
      </c>
      <c r="W18" s="50">
        <f t="shared" si="10"/>
        <v>6.3504000000000005</v>
      </c>
      <c r="X18" s="238">
        <v>30</v>
      </c>
      <c r="Y18" s="101">
        <v>100</v>
      </c>
    </row>
    <row r="19" spans="1:25" x14ac:dyDescent="0.25">
      <c r="A19" s="42" t="s">
        <v>16</v>
      </c>
      <c r="B19" s="34">
        <v>140</v>
      </c>
      <c r="C19" s="35">
        <v>240</v>
      </c>
      <c r="D19" s="35">
        <v>8</v>
      </c>
      <c r="E19" s="19">
        <f t="shared" si="3"/>
        <v>0.26879999999999998</v>
      </c>
      <c r="F19" s="23">
        <f>'KASIM 2 HAFTA '!V19</f>
        <v>3</v>
      </c>
      <c r="G19" s="26">
        <f t="shared" si="4"/>
        <v>0.80640000000000001</v>
      </c>
      <c r="H19" s="21">
        <v>2</v>
      </c>
      <c r="I19" s="11">
        <f t="shared" si="5"/>
        <v>0.53759999999999997</v>
      </c>
      <c r="J19" s="21">
        <v>0</v>
      </c>
      <c r="K19" s="10">
        <f t="shared" si="0"/>
        <v>0</v>
      </c>
      <c r="L19" s="21">
        <v>0</v>
      </c>
      <c r="M19" s="11">
        <f t="shared" si="1"/>
        <v>0</v>
      </c>
      <c r="N19" s="21">
        <v>0</v>
      </c>
      <c r="O19" s="10">
        <f t="shared" si="6"/>
        <v>0</v>
      </c>
      <c r="P19" s="21">
        <v>0</v>
      </c>
      <c r="Q19" s="11">
        <f t="shared" si="7"/>
        <v>0</v>
      </c>
      <c r="R19" s="39">
        <f t="shared" si="11"/>
        <v>1</v>
      </c>
      <c r="S19" s="38">
        <f t="shared" si="2"/>
        <v>0.26879999999999998</v>
      </c>
      <c r="T19" s="12"/>
      <c r="U19" s="13">
        <f t="shared" si="8"/>
        <v>0</v>
      </c>
      <c r="V19" s="49">
        <f t="shared" si="9"/>
        <v>1</v>
      </c>
      <c r="W19" s="50">
        <f t="shared" si="10"/>
        <v>0.26879999999999998</v>
      </c>
      <c r="X19" s="238">
        <v>10</v>
      </c>
      <c r="Y19" s="101">
        <v>30</v>
      </c>
    </row>
    <row r="20" spans="1:25" x14ac:dyDescent="0.25">
      <c r="A20" s="42" t="s">
        <v>17</v>
      </c>
      <c r="B20" s="34">
        <v>140</v>
      </c>
      <c r="C20" s="35">
        <v>240</v>
      </c>
      <c r="D20" s="35">
        <v>8</v>
      </c>
      <c r="E20" s="19">
        <f t="shared" si="3"/>
        <v>0.26879999999999998</v>
      </c>
      <c r="F20" s="23">
        <f>'KASIM 2 HAFTA '!V20</f>
        <v>0</v>
      </c>
      <c r="G20" s="26">
        <f t="shared" si="4"/>
        <v>0</v>
      </c>
      <c r="H20" s="21">
        <v>0</v>
      </c>
      <c r="I20" s="11">
        <f t="shared" si="5"/>
        <v>0</v>
      </c>
      <c r="J20" s="21">
        <v>0</v>
      </c>
      <c r="K20" s="10">
        <f t="shared" si="0"/>
        <v>0</v>
      </c>
      <c r="L20" s="21">
        <v>0</v>
      </c>
      <c r="M20" s="11">
        <f t="shared" si="1"/>
        <v>0</v>
      </c>
      <c r="N20" s="21">
        <v>0</v>
      </c>
      <c r="O20" s="10">
        <f t="shared" si="6"/>
        <v>0</v>
      </c>
      <c r="P20" s="21">
        <v>0</v>
      </c>
      <c r="Q20" s="11">
        <f t="shared" si="7"/>
        <v>0</v>
      </c>
      <c r="R20" s="39">
        <f t="shared" si="11"/>
        <v>0</v>
      </c>
      <c r="S20" s="38">
        <f t="shared" si="2"/>
        <v>0</v>
      </c>
      <c r="T20" s="12"/>
      <c r="U20" s="13">
        <f t="shared" si="8"/>
        <v>0</v>
      </c>
      <c r="V20" s="49">
        <f t="shared" si="9"/>
        <v>0</v>
      </c>
      <c r="W20" s="50">
        <f t="shared" si="10"/>
        <v>0</v>
      </c>
      <c r="X20" s="238">
        <v>0</v>
      </c>
      <c r="Y20" s="101">
        <v>0</v>
      </c>
    </row>
    <row r="21" spans="1:25" x14ac:dyDescent="0.25">
      <c r="A21" s="42" t="s">
        <v>19</v>
      </c>
      <c r="B21" s="34">
        <v>77</v>
      </c>
      <c r="C21" s="35">
        <v>55</v>
      </c>
      <c r="D21" s="35">
        <v>8</v>
      </c>
      <c r="E21" s="19">
        <f t="shared" si="3"/>
        <v>3.388E-2</v>
      </c>
      <c r="F21" s="23">
        <f>'KASIM 2 HAFTA '!V21</f>
        <v>4</v>
      </c>
      <c r="G21" s="26">
        <f t="shared" si="4"/>
        <v>0.13552</v>
      </c>
      <c r="H21" s="21">
        <v>0</v>
      </c>
      <c r="I21" s="11">
        <f t="shared" si="5"/>
        <v>0</v>
      </c>
      <c r="J21" s="21">
        <v>0</v>
      </c>
      <c r="K21" s="10">
        <f t="shared" si="0"/>
        <v>0</v>
      </c>
      <c r="L21" s="21">
        <v>0</v>
      </c>
      <c r="M21" s="11">
        <f t="shared" si="1"/>
        <v>0</v>
      </c>
      <c r="N21" s="21">
        <v>0</v>
      </c>
      <c r="O21" s="10">
        <f t="shared" si="6"/>
        <v>0</v>
      </c>
      <c r="P21" s="21">
        <v>0</v>
      </c>
      <c r="Q21" s="11">
        <f t="shared" si="7"/>
        <v>0</v>
      </c>
      <c r="R21" s="39">
        <f t="shared" si="11"/>
        <v>4</v>
      </c>
      <c r="S21" s="38">
        <f t="shared" si="2"/>
        <v>0.13552</v>
      </c>
      <c r="T21" s="12"/>
      <c r="U21" s="13">
        <f t="shared" si="8"/>
        <v>0</v>
      </c>
      <c r="V21" s="49">
        <f t="shared" si="9"/>
        <v>4</v>
      </c>
      <c r="W21" s="50">
        <f t="shared" si="10"/>
        <v>0.13552</v>
      </c>
      <c r="X21" s="238">
        <v>0</v>
      </c>
      <c r="Y21" s="101">
        <v>0</v>
      </c>
    </row>
    <row r="22" spans="1:25" x14ac:dyDescent="0.25">
      <c r="A22" s="42" t="s">
        <v>20</v>
      </c>
      <c r="B22" s="34">
        <v>65</v>
      </c>
      <c r="C22" s="35">
        <v>50</v>
      </c>
      <c r="D22" s="35">
        <v>12</v>
      </c>
      <c r="E22" s="19">
        <f t="shared" si="3"/>
        <v>3.9E-2</v>
      </c>
      <c r="F22" s="23">
        <f>'KASIM 2 HAFTA '!V22</f>
        <v>26</v>
      </c>
      <c r="G22" s="26">
        <f t="shared" si="4"/>
        <v>1.014</v>
      </c>
      <c r="H22" s="21">
        <v>0</v>
      </c>
      <c r="I22" s="11">
        <f t="shared" si="5"/>
        <v>0</v>
      </c>
      <c r="J22" s="21">
        <v>0</v>
      </c>
      <c r="K22" s="10">
        <f t="shared" si="0"/>
        <v>0</v>
      </c>
      <c r="L22" s="21">
        <v>0</v>
      </c>
      <c r="M22" s="11">
        <f t="shared" si="1"/>
        <v>0</v>
      </c>
      <c r="N22" s="21">
        <v>0</v>
      </c>
      <c r="O22" s="10">
        <f t="shared" si="6"/>
        <v>0</v>
      </c>
      <c r="P22" s="21">
        <v>0</v>
      </c>
      <c r="Q22" s="11">
        <f t="shared" si="7"/>
        <v>0</v>
      </c>
      <c r="R22" s="39">
        <f t="shared" si="11"/>
        <v>26</v>
      </c>
      <c r="S22" s="38">
        <f t="shared" si="2"/>
        <v>1.014</v>
      </c>
      <c r="T22" s="12"/>
      <c r="U22" s="13">
        <f t="shared" si="8"/>
        <v>0</v>
      </c>
      <c r="V22" s="49">
        <f t="shared" si="9"/>
        <v>26</v>
      </c>
      <c r="W22" s="50">
        <f t="shared" si="10"/>
        <v>1.014</v>
      </c>
      <c r="X22" s="238">
        <v>0</v>
      </c>
      <c r="Y22" s="101">
        <v>0</v>
      </c>
    </row>
    <row r="23" spans="1:25" x14ac:dyDescent="0.25">
      <c r="A23" s="42" t="s">
        <v>103</v>
      </c>
      <c r="B23" s="34">
        <v>58</v>
      </c>
      <c r="C23" s="35">
        <v>58</v>
      </c>
      <c r="D23" s="35">
        <v>5</v>
      </c>
      <c r="E23" s="19">
        <f t="shared" si="3"/>
        <v>1.6820000000000002E-2</v>
      </c>
      <c r="F23" s="23">
        <f>'KASIM 2 HAFTA '!V23</f>
        <v>74</v>
      </c>
      <c r="G23" s="26">
        <f t="shared" si="4"/>
        <v>1.2446800000000002</v>
      </c>
      <c r="H23" s="21">
        <v>0</v>
      </c>
      <c r="I23" s="11">
        <f t="shared" si="5"/>
        <v>0</v>
      </c>
      <c r="J23" s="21">
        <v>80</v>
      </c>
      <c r="K23" s="10">
        <f t="shared" si="0"/>
        <v>1.3456000000000001</v>
      </c>
      <c r="L23" s="21">
        <v>0</v>
      </c>
      <c r="M23" s="11">
        <f t="shared" si="1"/>
        <v>0</v>
      </c>
      <c r="N23" s="21">
        <v>0</v>
      </c>
      <c r="O23" s="10">
        <f t="shared" si="6"/>
        <v>0</v>
      </c>
      <c r="P23" s="21">
        <v>22</v>
      </c>
      <c r="Q23" s="11">
        <f t="shared" si="7"/>
        <v>0.37004000000000004</v>
      </c>
      <c r="R23" s="39">
        <f t="shared" si="11"/>
        <v>-28</v>
      </c>
      <c r="S23" s="38">
        <f t="shared" si="2"/>
        <v>-0.47096000000000005</v>
      </c>
      <c r="T23" s="12"/>
      <c r="U23" s="13">
        <f t="shared" si="8"/>
        <v>0</v>
      </c>
      <c r="V23" s="49">
        <f t="shared" si="9"/>
        <v>-28</v>
      </c>
      <c r="W23" s="50">
        <f t="shared" si="10"/>
        <v>-0.47096000000000005</v>
      </c>
      <c r="X23" s="238">
        <v>0</v>
      </c>
      <c r="Y23" s="101">
        <v>0</v>
      </c>
    </row>
    <row r="24" spans="1:25" x14ac:dyDescent="0.25">
      <c r="A24" s="42" t="s">
        <v>22</v>
      </c>
      <c r="B24" s="34">
        <v>66</v>
      </c>
      <c r="C24" s="35">
        <v>56</v>
      </c>
      <c r="D24" s="35">
        <v>12</v>
      </c>
      <c r="E24" s="19">
        <f t="shared" si="3"/>
        <v>4.4352000000000003E-2</v>
      </c>
      <c r="F24" s="23">
        <f>'KASIM 2 HAFTA '!V24</f>
        <v>28</v>
      </c>
      <c r="G24" s="26">
        <f t="shared" si="4"/>
        <v>1.2418560000000001</v>
      </c>
      <c r="H24" s="21">
        <v>0</v>
      </c>
      <c r="I24" s="11">
        <f t="shared" si="5"/>
        <v>0</v>
      </c>
      <c r="J24" s="21">
        <v>0</v>
      </c>
      <c r="K24" s="10">
        <f t="shared" si="0"/>
        <v>0</v>
      </c>
      <c r="L24" s="21">
        <v>0</v>
      </c>
      <c r="M24" s="11">
        <f t="shared" si="1"/>
        <v>0</v>
      </c>
      <c r="N24" s="21">
        <v>0</v>
      </c>
      <c r="O24" s="10">
        <f t="shared" si="6"/>
        <v>0</v>
      </c>
      <c r="P24" s="21">
        <v>0</v>
      </c>
      <c r="Q24" s="11">
        <f t="shared" si="7"/>
        <v>0</v>
      </c>
      <c r="R24" s="39">
        <f t="shared" si="11"/>
        <v>28</v>
      </c>
      <c r="S24" s="38">
        <f t="shared" si="2"/>
        <v>1.2418560000000001</v>
      </c>
      <c r="T24" s="12"/>
      <c r="U24" s="13">
        <f t="shared" si="8"/>
        <v>0</v>
      </c>
      <c r="V24" s="49">
        <f t="shared" si="9"/>
        <v>28</v>
      </c>
      <c r="W24" s="50">
        <f t="shared" si="10"/>
        <v>1.2418560000000001</v>
      </c>
      <c r="X24" s="238">
        <v>0</v>
      </c>
      <c r="Y24" s="101">
        <v>0</v>
      </c>
    </row>
    <row r="25" spans="1:25" x14ac:dyDescent="0.25">
      <c r="A25" s="42" t="s">
        <v>23</v>
      </c>
      <c r="B25" s="34">
        <v>61.5</v>
      </c>
      <c r="C25" s="35">
        <v>61.5</v>
      </c>
      <c r="D25" s="35">
        <v>10</v>
      </c>
      <c r="E25" s="19">
        <f t="shared" si="3"/>
        <v>3.7822500000000002E-2</v>
      </c>
      <c r="F25" s="23">
        <f>'KASIM 2 HAFTA '!V25</f>
        <v>0</v>
      </c>
      <c r="G25" s="26">
        <f t="shared" si="4"/>
        <v>0</v>
      </c>
      <c r="H25" s="21">
        <v>0</v>
      </c>
      <c r="I25" s="11">
        <f t="shared" si="5"/>
        <v>0</v>
      </c>
      <c r="J25" s="21">
        <v>0</v>
      </c>
      <c r="K25" s="10">
        <f t="shared" si="0"/>
        <v>0</v>
      </c>
      <c r="L25" s="21">
        <v>0</v>
      </c>
      <c r="M25" s="11">
        <f t="shared" si="1"/>
        <v>0</v>
      </c>
      <c r="N25" s="21">
        <v>0</v>
      </c>
      <c r="O25" s="10">
        <f t="shared" si="6"/>
        <v>0</v>
      </c>
      <c r="P25" s="21">
        <v>0</v>
      </c>
      <c r="Q25" s="11">
        <f t="shared" si="7"/>
        <v>0</v>
      </c>
      <c r="R25" s="39">
        <f t="shared" si="11"/>
        <v>0</v>
      </c>
      <c r="S25" s="38">
        <f t="shared" si="2"/>
        <v>0</v>
      </c>
      <c r="T25" s="12"/>
      <c r="U25" s="13">
        <f t="shared" si="8"/>
        <v>0</v>
      </c>
      <c r="V25" s="49">
        <f t="shared" si="9"/>
        <v>0</v>
      </c>
      <c r="W25" s="50">
        <f t="shared" si="10"/>
        <v>0</v>
      </c>
      <c r="X25" s="238">
        <v>30</v>
      </c>
      <c r="Y25" s="101">
        <v>100</v>
      </c>
    </row>
    <row r="26" spans="1:25" x14ac:dyDescent="0.25">
      <c r="A26" s="42" t="s">
        <v>24</v>
      </c>
      <c r="B26" s="34">
        <v>82</v>
      </c>
      <c r="C26" s="35">
        <v>67</v>
      </c>
      <c r="D26" s="35">
        <v>5</v>
      </c>
      <c r="E26" s="19">
        <f t="shared" si="3"/>
        <v>2.7470000000000001E-2</v>
      </c>
      <c r="F26" s="23">
        <f>'KASIM 2 HAFTA '!V26</f>
        <v>30</v>
      </c>
      <c r="G26" s="26">
        <f t="shared" si="4"/>
        <v>0.82410000000000005</v>
      </c>
      <c r="H26" s="21">
        <v>0</v>
      </c>
      <c r="I26" s="11">
        <f t="shared" si="5"/>
        <v>0</v>
      </c>
      <c r="J26" s="21">
        <v>0</v>
      </c>
      <c r="K26" s="10">
        <f t="shared" si="0"/>
        <v>0</v>
      </c>
      <c r="L26" s="21">
        <v>0</v>
      </c>
      <c r="M26" s="11">
        <f t="shared" si="1"/>
        <v>0</v>
      </c>
      <c r="N26" s="21">
        <v>0</v>
      </c>
      <c r="O26" s="10">
        <f t="shared" si="6"/>
        <v>0</v>
      </c>
      <c r="P26" s="21">
        <v>0</v>
      </c>
      <c r="Q26" s="11">
        <f t="shared" si="7"/>
        <v>0</v>
      </c>
      <c r="R26" s="39">
        <f t="shared" si="11"/>
        <v>30</v>
      </c>
      <c r="S26" s="38">
        <f t="shared" si="2"/>
        <v>0.82410000000000005</v>
      </c>
      <c r="T26" s="12"/>
      <c r="U26" s="13">
        <f t="shared" si="8"/>
        <v>0</v>
      </c>
      <c r="V26" s="49">
        <f t="shared" si="9"/>
        <v>30</v>
      </c>
      <c r="W26" s="50">
        <f t="shared" si="10"/>
        <v>0.82410000000000005</v>
      </c>
      <c r="X26" s="238">
        <v>0</v>
      </c>
      <c r="Y26" s="101">
        <v>0</v>
      </c>
    </row>
    <row r="27" spans="1:25" x14ac:dyDescent="0.25">
      <c r="A27" s="42" t="s">
        <v>25</v>
      </c>
      <c r="B27" s="34">
        <v>80</v>
      </c>
      <c r="C27" s="35">
        <v>62</v>
      </c>
      <c r="D27" s="35">
        <v>2</v>
      </c>
      <c r="E27" s="19">
        <f t="shared" si="3"/>
        <v>9.92E-3</v>
      </c>
      <c r="F27" s="23">
        <f>'KASIM 2 HAFTA '!V27</f>
        <v>36</v>
      </c>
      <c r="G27" s="26">
        <f t="shared" si="4"/>
        <v>0.35711999999999999</v>
      </c>
      <c r="H27" s="21">
        <v>0</v>
      </c>
      <c r="I27" s="11">
        <f t="shared" si="5"/>
        <v>0</v>
      </c>
      <c r="J27" s="21">
        <v>0</v>
      </c>
      <c r="K27" s="10">
        <f t="shared" si="0"/>
        <v>0</v>
      </c>
      <c r="L27" s="21">
        <v>0</v>
      </c>
      <c r="M27" s="11">
        <f t="shared" si="1"/>
        <v>0</v>
      </c>
      <c r="N27" s="21">
        <v>0</v>
      </c>
      <c r="O27" s="10">
        <f t="shared" si="6"/>
        <v>0</v>
      </c>
      <c r="P27" s="21">
        <v>0</v>
      </c>
      <c r="Q27" s="11">
        <f t="shared" si="7"/>
        <v>0</v>
      </c>
      <c r="R27" s="39">
        <f t="shared" si="11"/>
        <v>36</v>
      </c>
      <c r="S27" s="38">
        <f t="shared" si="2"/>
        <v>0.35711999999999999</v>
      </c>
      <c r="T27" s="12"/>
      <c r="U27" s="13">
        <f t="shared" si="8"/>
        <v>0</v>
      </c>
      <c r="V27" s="49">
        <f t="shared" si="9"/>
        <v>36</v>
      </c>
      <c r="W27" s="50">
        <f t="shared" si="10"/>
        <v>0.35711999999999999</v>
      </c>
      <c r="X27" s="238">
        <v>0</v>
      </c>
      <c r="Y27" s="101">
        <v>0</v>
      </c>
    </row>
    <row r="28" spans="1:25" x14ac:dyDescent="0.25">
      <c r="A28" s="42" t="s">
        <v>26</v>
      </c>
      <c r="B28" s="34">
        <v>63</v>
      </c>
      <c r="C28" s="35">
        <v>55</v>
      </c>
      <c r="D28" s="35">
        <v>5</v>
      </c>
      <c r="E28" s="19">
        <f t="shared" si="3"/>
        <v>1.7325E-2</v>
      </c>
      <c r="F28" s="23">
        <f>'KASIM 2 HAFTA '!V28</f>
        <v>19</v>
      </c>
      <c r="G28" s="26">
        <f t="shared" si="4"/>
        <v>0.329175</v>
      </c>
      <c r="H28" s="21">
        <v>0</v>
      </c>
      <c r="I28" s="11">
        <f t="shared" si="5"/>
        <v>0</v>
      </c>
      <c r="J28" s="21">
        <v>0</v>
      </c>
      <c r="K28" s="10">
        <f t="shared" si="0"/>
        <v>0</v>
      </c>
      <c r="L28" s="21">
        <v>0</v>
      </c>
      <c r="M28" s="11">
        <f t="shared" si="1"/>
        <v>0</v>
      </c>
      <c r="N28" s="21">
        <v>0</v>
      </c>
      <c r="O28" s="10">
        <f t="shared" si="6"/>
        <v>0</v>
      </c>
      <c r="P28" s="21">
        <v>0</v>
      </c>
      <c r="Q28" s="11">
        <f t="shared" si="7"/>
        <v>0</v>
      </c>
      <c r="R28" s="39">
        <f t="shared" si="11"/>
        <v>19</v>
      </c>
      <c r="S28" s="38">
        <f t="shared" si="2"/>
        <v>0.329175</v>
      </c>
      <c r="T28" s="12"/>
      <c r="U28" s="13">
        <f t="shared" si="8"/>
        <v>0</v>
      </c>
      <c r="V28" s="49">
        <f t="shared" si="9"/>
        <v>19</v>
      </c>
      <c r="W28" s="50">
        <f t="shared" si="10"/>
        <v>0.329175</v>
      </c>
      <c r="X28" s="238">
        <v>0</v>
      </c>
      <c r="Y28" s="101">
        <v>0</v>
      </c>
    </row>
    <row r="29" spans="1:25" x14ac:dyDescent="0.25">
      <c r="A29" s="42" t="s">
        <v>27</v>
      </c>
      <c r="B29" s="34">
        <v>140</v>
      </c>
      <c r="C29" s="35">
        <v>240</v>
      </c>
      <c r="D29" s="35">
        <v>5</v>
      </c>
      <c r="E29" s="19">
        <f t="shared" si="3"/>
        <v>0.16800000000000001</v>
      </c>
      <c r="F29" s="23">
        <f>'KASIM 2 HAFTA '!V29</f>
        <v>6</v>
      </c>
      <c r="G29" s="26">
        <f t="shared" si="4"/>
        <v>1.008</v>
      </c>
      <c r="H29" s="21">
        <v>0</v>
      </c>
      <c r="I29" s="11">
        <f t="shared" si="5"/>
        <v>0</v>
      </c>
      <c r="J29" s="21">
        <v>0</v>
      </c>
      <c r="K29" s="10">
        <f t="shared" si="0"/>
        <v>0</v>
      </c>
      <c r="L29" s="21">
        <v>0</v>
      </c>
      <c r="M29" s="11">
        <f t="shared" si="1"/>
        <v>0</v>
      </c>
      <c r="N29" s="21">
        <v>0</v>
      </c>
      <c r="O29" s="10">
        <f t="shared" si="6"/>
        <v>0</v>
      </c>
      <c r="P29" s="21">
        <v>0</v>
      </c>
      <c r="Q29" s="11">
        <f t="shared" si="7"/>
        <v>0</v>
      </c>
      <c r="R29" s="39">
        <f t="shared" si="11"/>
        <v>6</v>
      </c>
      <c r="S29" s="38">
        <f t="shared" si="2"/>
        <v>1.008</v>
      </c>
      <c r="T29" s="12"/>
      <c r="U29" s="13">
        <f t="shared" si="8"/>
        <v>0</v>
      </c>
      <c r="V29" s="49">
        <f t="shared" si="9"/>
        <v>6</v>
      </c>
      <c r="W29" s="50">
        <f t="shared" si="10"/>
        <v>1.008</v>
      </c>
      <c r="X29" s="238">
        <v>0</v>
      </c>
      <c r="Y29" s="101">
        <v>0</v>
      </c>
    </row>
    <row r="30" spans="1:25" x14ac:dyDescent="0.25">
      <c r="A30" s="42" t="s">
        <v>28</v>
      </c>
      <c r="B30" s="34">
        <v>140</v>
      </c>
      <c r="C30" s="35">
        <v>240</v>
      </c>
      <c r="D30" s="35">
        <v>10</v>
      </c>
      <c r="E30" s="19">
        <f t="shared" si="3"/>
        <v>0.33600000000000002</v>
      </c>
      <c r="F30" s="23">
        <f>'KASIM 2 HAFTA '!V30</f>
        <v>11</v>
      </c>
      <c r="G30" s="26">
        <f t="shared" si="4"/>
        <v>3.6960000000000002</v>
      </c>
      <c r="H30" s="21">
        <v>0</v>
      </c>
      <c r="I30" s="11">
        <f t="shared" si="5"/>
        <v>0</v>
      </c>
      <c r="J30" s="21">
        <v>0</v>
      </c>
      <c r="K30" s="10">
        <f t="shared" si="0"/>
        <v>0</v>
      </c>
      <c r="L30" s="21">
        <v>0</v>
      </c>
      <c r="M30" s="11">
        <f t="shared" si="1"/>
        <v>0</v>
      </c>
      <c r="N30" s="21">
        <v>0</v>
      </c>
      <c r="O30" s="10">
        <f t="shared" si="6"/>
        <v>0</v>
      </c>
      <c r="P30" s="21">
        <v>0</v>
      </c>
      <c r="Q30" s="11">
        <f t="shared" si="7"/>
        <v>0</v>
      </c>
      <c r="R30" s="39">
        <f t="shared" si="11"/>
        <v>11</v>
      </c>
      <c r="S30" s="38">
        <f t="shared" si="2"/>
        <v>3.6960000000000002</v>
      </c>
      <c r="T30" s="12"/>
      <c r="U30" s="13">
        <f t="shared" si="8"/>
        <v>0</v>
      </c>
      <c r="V30" s="49">
        <f t="shared" si="9"/>
        <v>11</v>
      </c>
      <c r="W30" s="50">
        <f t="shared" si="10"/>
        <v>3.6960000000000002</v>
      </c>
      <c r="X30" s="238">
        <v>0</v>
      </c>
      <c r="Y30" s="101">
        <v>0</v>
      </c>
    </row>
    <row r="31" spans="1:25" x14ac:dyDescent="0.25">
      <c r="A31" s="42" t="s">
        <v>29</v>
      </c>
      <c r="B31" s="34">
        <v>140</v>
      </c>
      <c r="C31" s="35">
        <v>240</v>
      </c>
      <c r="D31" s="35">
        <v>3</v>
      </c>
      <c r="E31" s="19">
        <f t="shared" si="3"/>
        <v>0.1008</v>
      </c>
      <c r="F31" s="23">
        <f>'KASIM 2 HAFTA '!V31</f>
        <v>26</v>
      </c>
      <c r="G31" s="26">
        <f t="shared" si="4"/>
        <v>2.6208</v>
      </c>
      <c r="H31" s="21">
        <v>0</v>
      </c>
      <c r="I31" s="11">
        <f t="shared" si="5"/>
        <v>0</v>
      </c>
      <c r="J31" s="21">
        <v>0</v>
      </c>
      <c r="K31" s="10">
        <f t="shared" si="0"/>
        <v>0</v>
      </c>
      <c r="L31" s="21">
        <v>0</v>
      </c>
      <c r="M31" s="11">
        <f t="shared" si="1"/>
        <v>0</v>
      </c>
      <c r="N31" s="21">
        <v>0</v>
      </c>
      <c r="O31" s="10">
        <f t="shared" si="6"/>
        <v>0</v>
      </c>
      <c r="P31" s="21">
        <v>0</v>
      </c>
      <c r="Q31" s="11">
        <f t="shared" si="7"/>
        <v>0</v>
      </c>
      <c r="R31" s="39">
        <f t="shared" si="11"/>
        <v>26</v>
      </c>
      <c r="S31" s="38">
        <f t="shared" si="2"/>
        <v>2.6208</v>
      </c>
      <c r="T31" s="12"/>
      <c r="U31" s="13">
        <f t="shared" si="8"/>
        <v>0</v>
      </c>
      <c r="V31" s="49">
        <f t="shared" si="9"/>
        <v>26</v>
      </c>
      <c r="W31" s="50">
        <f t="shared" si="10"/>
        <v>2.6208</v>
      </c>
      <c r="X31" s="238">
        <v>0</v>
      </c>
      <c r="Y31" s="101">
        <v>0</v>
      </c>
    </row>
    <row r="32" spans="1:25" x14ac:dyDescent="0.25">
      <c r="A32" s="42" t="s">
        <v>30</v>
      </c>
      <c r="B32" s="34">
        <v>90</v>
      </c>
      <c r="C32" s="35">
        <v>80</v>
      </c>
      <c r="D32" s="35">
        <v>8</v>
      </c>
      <c r="E32" s="19">
        <f t="shared" si="3"/>
        <v>5.7599999999999998E-2</v>
      </c>
      <c r="F32" s="23">
        <f>'KASIM 2 HAFTA '!V32</f>
        <v>0</v>
      </c>
      <c r="G32" s="26">
        <f t="shared" si="4"/>
        <v>0</v>
      </c>
      <c r="H32" s="21">
        <v>0</v>
      </c>
      <c r="I32" s="11">
        <f t="shared" si="5"/>
        <v>0</v>
      </c>
      <c r="J32" s="21">
        <v>0</v>
      </c>
      <c r="K32" s="10">
        <f t="shared" si="0"/>
        <v>0</v>
      </c>
      <c r="L32" s="21">
        <v>0</v>
      </c>
      <c r="M32" s="11">
        <f t="shared" si="1"/>
        <v>0</v>
      </c>
      <c r="N32" s="21">
        <v>0</v>
      </c>
      <c r="O32" s="10">
        <f t="shared" si="6"/>
        <v>0</v>
      </c>
      <c r="P32" s="21">
        <v>0</v>
      </c>
      <c r="Q32" s="11">
        <f t="shared" si="7"/>
        <v>0</v>
      </c>
      <c r="R32" s="39">
        <f t="shared" si="11"/>
        <v>0</v>
      </c>
      <c r="S32" s="38">
        <f t="shared" si="2"/>
        <v>0</v>
      </c>
      <c r="T32" s="12"/>
      <c r="U32" s="13">
        <f t="shared" si="8"/>
        <v>0</v>
      </c>
      <c r="V32" s="49">
        <f t="shared" si="9"/>
        <v>0</v>
      </c>
      <c r="W32" s="50">
        <f t="shared" si="10"/>
        <v>0</v>
      </c>
      <c r="X32" s="238">
        <v>0</v>
      </c>
      <c r="Y32" s="101">
        <v>0</v>
      </c>
    </row>
    <row r="33" spans="1:25" x14ac:dyDescent="0.25">
      <c r="A33" s="42" t="s">
        <v>31</v>
      </c>
      <c r="B33" s="34">
        <v>90</v>
      </c>
      <c r="C33" s="35">
        <v>80</v>
      </c>
      <c r="D33" s="35">
        <v>8</v>
      </c>
      <c r="E33" s="19">
        <f t="shared" si="3"/>
        <v>5.7599999999999998E-2</v>
      </c>
      <c r="F33" s="23">
        <f>'KASIM 2 HAFTA '!V33</f>
        <v>0</v>
      </c>
      <c r="G33" s="26">
        <f t="shared" si="4"/>
        <v>0</v>
      </c>
      <c r="H33" s="21">
        <v>0</v>
      </c>
      <c r="I33" s="11">
        <f t="shared" si="5"/>
        <v>0</v>
      </c>
      <c r="J33" s="21">
        <v>0</v>
      </c>
      <c r="K33" s="10">
        <f t="shared" si="0"/>
        <v>0</v>
      </c>
      <c r="L33" s="21">
        <v>0</v>
      </c>
      <c r="M33" s="11">
        <f t="shared" si="1"/>
        <v>0</v>
      </c>
      <c r="N33" s="21">
        <v>0</v>
      </c>
      <c r="O33" s="10">
        <f t="shared" si="6"/>
        <v>0</v>
      </c>
      <c r="P33" s="21">
        <v>0</v>
      </c>
      <c r="Q33" s="11">
        <f t="shared" si="7"/>
        <v>0</v>
      </c>
      <c r="R33" s="39">
        <f t="shared" si="11"/>
        <v>0</v>
      </c>
      <c r="S33" s="38">
        <f t="shared" si="2"/>
        <v>0</v>
      </c>
      <c r="T33" s="12"/>
      <c r="U33" s="13">
        <f t="shared" si="8"/>
        <v>0</v>
      </c>
      <c r="V33" s="49">
        <f t="shared" si="9"/>
        <v>0</v>
      </c>
      <c r="W33" s="50">
        <f t="shared" si="10"/>
        <v>0</v>
      </c>
      <c r="X33" s="238">
        <v>0</v>
      </c>
      <c r="Y33" s="101">
        <v>0</v>
      </c>
    </row>
    <row r="34" spans="1:25" x14ac:dyDescent="0.25">
      <c r="A34" s="42" t="s">
        <v>32</v>
      </c>
      <c r="B34" s="34"/>
      <c r="C34" s="35"/>
      <c r="D34" s="35"/>
      <c r="E34" s="19">
        <f t="shared" si="3"/>
        <v>0</v>
      </c>
      <c r="F34" s="23">
        <f>'KASIM 2 HAFTA '!V34</f>
        <v>300</v>
      </c>
      <c r="G34" s="26">
        <f t="shared" si="4"/>
        <v>0</v>
      </c>
      <c r="H34" s="21">
        <v>0</v>
      </c>
      <c r="I34" s="11">
        <f t="shared" si="5"/>
        <v>0</v>
      </c>
      <c r="J34" s="21">
        <v>0</v>
      </c>
      <c r="K34" s="10">
        <f t="shared" si="0"/>
        <v>0</v>
      </c>
      <c r="L34" s="21">
        <v>0</v>
      </c>
      <c r="M34" s="11">
        <f t="shared" si="1"/>
        <v>0</v>
      </c>
      <c r="N34" s="21">
        <v>0</v>
      </c>
      <c r="O34" s="10">
        <f t="shared" si="6"/>
        <v>0</v>
      </c>
      <c r="P34" s="21">
        <v>0</v>
      </c>
      <c r="Q34" s="11">
        <f t="shared" si="7"/>
        <v>0</v>
      </c>
      <c r="R34" s="39">
        <f t="shared" si="11"/>
        <v>300</v>
      </c>
      <c r="S34" s="38">
        <f t="shared" si="2"/>
        <v>0</v>
      </c>
      <c r="T34" s="12"/>
      <c r="U34" s="13">
        <f t="shared" si="8"/>
        <v>0</v>
      </c>
      <c r="V34" s="49">
        <f t="shared" si="9"/>
        <v>300</v>
      </c>
      <c r="W34" s="50">
        <f t="shared" si="10"/>
        <v>0</v>
      </c>
      <c r="X34" s="238">
        <v>0</v>
      </c>
      <c r="Y34" s="101">
        <v>0</v>
      </c>
    </row>
    <row r="35" spans="1:25" x14ac:dyDescent="0.25">
      <c r="A35" s="42" t="s">
        <v>33</v>
      </c>
      <c r="B35" s="34">
        <v>80</v>
      </c>
      <c r="C35" s="35">
        <v>66</v>
      </c>
      <c r="D35" s="35">
        <v>5</v>
      </c>
      <c r="E35" s="19">
        <f t="shared" si="3"/>
        <v>2.64E-2</v>
      </c>
      <c r="F35" s="23">
        <f>'KASIM 2 HAFTA '!V35</f>
        <v>56</v>
      </c>
      <c r="G35" s="26">
        <f t="shared" si="4"/>
        <v>1.4783999999999999</v>
      </c>
      <c r="H35" s="21">
        <v>0</v>
      </c>
      <c r="I35" s="11">
        <f t="shared" si="5"/>
        <v>0</v>
      </c>
      <c r="J35" s="21">
        <v>0</v>
      </c>
      <c r="K35" s="10">
        <f t="shared" si="0"/>
        <v>0</v>
      </c>
      <c r="L35" s="21">
        <v>0</v>
      </c>
      <c r="M35" s="11">
        <f t="shared" si="1"/>
        <v>0</v>
      </c>
      <c r="N35" s="21">
        <v>0</v>
      </c>
      <c r="O35" s="10">
        <f t="shared" si="6"/>
        <v>0</v>
      </c>
      <c r="P35" s="21">
        <v>0</v>
      </c>
      <c r="Q35" s="11">
        <f t="shared" si="7"/>
        <v>0</v>
      </c>
      <c r="R35" s="39">
        <f t="shared" si="11"/>
        <v>56</v>
      </c>
      <c r="S35" s="38">
        <f t="shared" si="2"/>
        <v>1.4783999999999999</v>
      </c>
      <c r="T35" s="12"/>
      <c r="U35" s="13">
        <f t="shared" si="8"/>
        <v>0</v>
      </c>
      <c r="V35" s="49">
        <f t="shared" si="9"/>
        <v>56</v>
      </c>
      <c r="W35" s="50">
        <f t="shared" si="10"/>
        <v>1.4783999999999999</v>
      </c>
      <c r="X35" s="238">
        <v>0</v>
      </c>
      <c r="Y35" s="101">
        <v>0</v>
      </c>
    </row>
    <row r="36" spans="1:25" x14ac:dyDescent="0.25">
      <c r="A36" s="42" t="s">
        <v>34</v>
      </c>
      <c r="B36" s="34">
        <v>60</v>
      </c>
      <c r="C36" s="35">
        <v>62</v>
      </c>
      <c r="D36" s="35">
        <v>5</v>
      </c>
      <c r="E36" s="19">
        <f t="shared" si="3"/>
        <v>1.8599999999999998E-2</v>
      </c>
      <c r="F36" s="23">
        <f>'KASIM 2 HAFTA '!V36</f>
        <v>4</v>
      </c>
      <c r="G36" s="26">
        <f t="shared" si="4"/>
        <v>7.4399999999999994E-2</v>
      </c>
      <c r="H36" s="21">
        <v>4</v>
      </c>
      <c r="I36" s="11">
        <f t="shared" si="5"/>
        <v>7.4399999999999994E-2</v>
      </c>
      <c r="J36" s="21">
        <v>0</v>
      </c>
      <c r="K36" s="10">
        <f t="shared" si="0"/>
        <v>0</v>
      </c>
      <c r="L36" s="21">
        <v>0</v>
      </c>
      <c r="M36" s="11">
        <f t="shared" si="1"/>
        <v>0</v>
      </c>
      <c r="N36" s="21">
        <v>0</v>
      </c>
      <c r="O36" s="10">
        <f t="shared" si="6"/>
        <v>0</v>
      </c>
      <c r="P36" s="21">
        <v>0</v>
      </c>
      <c r="Q36" s="11">
        <f t="shared" si="7"/>
        <v>0</v>
      </c>
      <c r="R36" s="39">
        <f t="shared" si="11"/>
        <v>0</v>
      </c>
      <c r="S36" s="38">
        <f t="shared" si="2"/>
        <v>0</v>
      </c>
      <c r="T36" s="12"/>
      <c r="U36" s="13">
        <f t="shared" si="8"/>
        <v>0</v>
      </c>
      <c r="V36" s="49">
        <f t="shared" si="9"/>
        <v>0</v>
      </c>
      <c r="W36" s="50">
        <f t="shared" si="10"/>
        <v>0</v>
      </c>
      <c r="X36" s="238">
        <v>0</v>
      </c>
      <c r="Y36" s="101">
        <v>0</v>
      </c>
    </row>
    <row r="37" spans="1:25" x14ac:dyDescent="0.25">
      <c r="A37" s="42" t="s">
        <v>41</v>
      </c>
      <c r="B37" s="34">
        <v>60</v>
      </c>
      <c r="C37" s="35">
        <v>67</v>
      </c>
      <c r="D37" s="35">
        <v>3</v>
      </c>
      <c r="E37" s="19">
        <f t="shared" si="3"/>
        <v>1.206E-2</v>
      </c>
      <c r="F37" s="23">
        <f>'KASIM 2 HAFTA '!V37</f>
        <v>12</v>
      </c>
      <c r="G37" s="26">
        <f t="shared" si="4"/>
        <v>0.14471999999999999</v>
      </c>
      <c r="H37" s="21">
        <v>0</v>
      </c>
      <c r="I37" s="11">
        <f t="shared" si="5"/>
        <v>0</v>
      </c>
      <c r="J37" s="21">
        <v>0</v>
      </c>
      <c r="K37" s="10">
        <f t="shared" si="0"/>
        <v>0</v>
      </c>
      <c r="L37" s="21">
        <v>0</v>
      </c>
      <c r="M37" s="11">
        <f t="shared" si="1"/>
        <v>0</v>
      </c>
      <c r="N37" s="21">
        <v>0</v>
      </c>
      <c r="O37" s="10">
        <f t="shared" si="6"/>
        <v>0</v>
      </c>
      <c r="P37" s="21">
        <v>0</v>
      </c>
      <c r="Q37" s="11">
        <f t="shared" si="7"/>
        <v>0</v>
      </c>
      <c r="R37" s="39">
        <f t="shared" si="11"/>
        <v>12</v>
      </c>
      <c r="S37" s="38">
        <f t="shared" si="2"/>
        <v>0.14471999999999999</v>
      </c>
      <c r="T37" s="12"/>
      <c r="U37" s="13">
        <f t="shared" si="8"/>
        <v>0</v>
      </c>
      <c r="V37" s="49">
        <f t="shared" si="9"/>
        <v>12</v>
      </c>
      <c r="W37" s="50">
        <f t="shared" si="10"/>
        <v>0.14471999999999999</v>
      </c>
      <c r="X37" s="238">
        <v>0</v>
      </c>
      <c r="Y37" s="101">
        <v>0</v>
      </c>
    </row>
    <row r="38" spans="1:25" x14ac:dyDescent="0.25">
      <c r="A38" s="42" t="s">
        <v>35</v>
      </c>
      <c r="B38" s="34">
        <v>140</v>
      </c>
      <c r="C38" s="35">
        <v>240</v>
      </c>
      <c r="D38" s="35">
        <v>7</v>
      </c>
      <c r="E38" s="19">
        <f t="shared" si="3"/>
        <v>0.23519999999999999</v>
      </c>
      <c r="F38" s="23">
        <f>'KASIM 2 HAFTA '!V38</f>
        <v>0</v>
      </c>
      <c r="G38" s="26">
        <f t="shared" si="4"/>
        <v>0</v>
      </c>
      <c r="H38" s="21">
        <v>0</v>
      </c>
      <c r="I38" s="11">
        <f t="shared" si="5"/>
        <v>0</v>
      </c>
      <c r="J38" s="21">
        <v>0</v>
      </c>
      <c r="K38" s="10">
        <f t="shared" si="0"/>
        <v>0</v>
      </c>
      <c r="L38" s="21">
        <v>0</v>
      </c>
      <c r="M38" s="11">
        <f t="shared" si="1"/>
        <v>0</v>
      </c>
      <c r="N38" s="21">
        <v>0</v>
      </c>
      <c r="O38" s="10">
        <f t="shared" si="6"/>
        <v>0</v>
      </c>
      <c r="P38" s="21">
        <v>0</v>
      </c>
      <c r="Q38" s="11">
        <f t="shared" si="7"/>
        <v>0</v>
      </c>
      <c r="R38" s="39">
        <f t="shared" si="11"/>
        <v>0</v>
      </c>
      <c r="S38" s="38">
        <f t="shared" si="2"/>
        <v>0</v>
      </c>
      <c r="T38" s="12"/>
      <c r="U38" s="13">
        <f t="shared" si="8"/>
        <v>0</v>
      </c>
      <c r="V38" s="49">
        <f t="shared" si="9"/>
        <v>0</v>
      </c>
      <c r="W38" s="50">
        <f t="shared" si="10"/>
        <v>0</v>
      </c>
      <c r="X38" s="238">
        <v>0</v>
      </c>
      <c r="Y38" s="101">
        <v>0</v>
      </c>
    </row>
    <row r="39" spans="1:25" x14ac:dyDescent="0.25">
      <c r="A39" s="42" t="s">
        <v>36</v>
      </c>
      <c r="B39" s="34">
        <v>60</v>
      </c>
      <c r="C39" s="35">
        <v>56</v>
      </c>
      <c r="D39" s="35">
        <v>10</v>
      </c>
      <c r="E39" s="19">
        <f t="shared" si="3"/>
        <v>3.3599999999999998E-2</v>
      </c>
      <c r="F39" s="23">
        <f>'KASIM 2 HAFTA '!V39</f>
        <v>0</v>
      </c>
      <c r="G39" s="26">
        <f t="shared" si="4"/>
        <v>0</v>
      </c>
      <c r="H39" s="21">
        <v>0</v>
      </c>
      <c r="I39" s="11">
        <f t="shared" si="5"/>
        <v>0</v>
      </c>
      <c r="J39" s="21">
        <v>0</v>
      </c>
      <c r="K39" s="10">
        <f t="shared" si="0"/>
        <v>0</v>
      </c>
      <c r="L39" s="21">
        <v>0</v>
      </c>
      <c r="M39" s="11">
        <f t="shared" si="1"/>
        <v>0</v>
      </c>
      <c r="N39" s="21">
        <v>0</v>
      </c>
      <c r="O39" s="10">
        <f t="shared" si="6"/>
        <v>0</v>
      </c>
      <c r="P39" s="21">
        <v>0</v>
      </c>
      <c r="Q39" s="11">
        <f t="shared" si="7"/>
        <v>0</v>
      </c>
      <c r="R39" s="39">
        <f t="shared" si="11"/>
        <v>0</v>
      </c>
      <c r="S39" s="38">
        <f t="shared" si="2"/>
        <v>0</v>
      </c>
      <c r="T39" s="12"/>
      <c r="U39" s="13">
        <f t="shared" si="8"/>
        <v>0</v>
      </c>
      <c r="V39" s="49">
        <f t="shared" si="9"/>
        <v>0</v>
      </c>
      <c r="W39" s="50">
        <f t="shared" si="10"/>
        <v>0</v>
      </c>
      <c r="X39" s="238">
        <v>0</v>
      </c>
      <c r="Y39" s="101">
        <v>0</v>
      </c>
    </row>
    <row r="40" spans="1:25" x14ac:dyDescent="0.25">
      <c r="A40" s="42" t="s">
        <v>37</v>
      </c>
      <c r="B40" s="34">
        <v>58</v>
      </c>
      <c r="C40" s="35">
        <v>55</v>
      </c>
      <c r="D40" s="35">
        <v>10</v>
      </c>
      <c r="E40" s="19">
        <f t="shared" si="3"/>
        <v>3.1899999999999998E-2</v>
      </c>
      <c r="F40" s="23">
        <f>'KASIM 2 HAFTA '!V40</f>
        <v>0</v>
      </c>
      <c r="G40" s="26">
        <f t="shared" si="4"/>
        <v>0</v>
      </c>
      <c r="H40" s="21">
        <v>0</v>
      </c>
      <c r="I40" s="11">
        <f t="shared" si="5"/>
        <v>0</v>
      </c>
      <c r="J40" s="21">
        <v>0</v>
      </c>
      <c r="K40" s="10">
        <f t="shared" si="0"/>
        <v>0</v>
      </c>
      <c r="L40" s="21">
        <v>0</v>
      </c>
      <c r="M40" s="11">
        <f t="shared" si="1"/>
        <v>0</v>
      </c>
      <c r="N40" s="21">
        <v>0</v>
      </c>
      <c r="O40" s="10">
        <f t="shared" si="6"/>
        <v>0</v>
      </c>
      <c r="P40" s="21">
        <v>0</v>
      </c>
      <c r="Q40" s="11">
        <f t="shared" si="7"/>
        <v>0</v>
      </c>
      <c r="R40" s="39">
        <f t="shared" si="11"/>
        <v>0</v>
      </c>
      <c r="S40" s="38">
        <f t="shared" si="2"/>
        <v>0</v>
      </c>
      <c r="T40" s="12"/>
      <c r="U40" s="13">
        <f t="shared" si="8"/>
        <v>0</v>
      </c>
      <c r="V40" s="49">
        <f t="shared" si="9"/>
        <v>0</v>
      </c>
      <c r="W40" s="50">
        <f t="shared" si="10"/>
        <v>0</v>
      </c>
      <c r="X40" s="238">
        <v>0</v>
      </c>
      <c r="Y40" s="101">
        <v>0</v>
      </c>
    </row>
    <row r="41" spans="1:25" x14ac:dyDescent="0.25">
      <c r="A41" s="42" t="s">
        <v>38</v>
      </c>
      <c r="B41" s="34">
        <v>63</v>
      </c>
      <c r="C41" s="35">
        <v>55</v>
      </c>
      <c r="D41" s="35">
        <v>5</v>
      </c>
      <c r="E41" s="19">
        <f t="shared" si="3"/>
        <v>1.7325E-2</v>
      </c>
      <c r="F41" s="23">
        <f>'KASIM 2 HAFTA '!V41</f>
        <v>10</v>
      </c>
      <c r="G41" s="26">
        <f t="shared" si="4"/>
        <v>0.17325000000000002</v>
      </c>
      <c r="H41" s="21">
        <v>0</v>
      </c>
      <c r="I41" s="11">
        <f t="shared" si="5"/>
        <v>0</v>
      </c>
      <c r="J41" s="21">
        <v>0</v>
      </c>
      <c r="K41" s="10">
        <f t="shared" si="0"/>
        <v>0</v>
      </c>
      <c r="L41" s="21">
        <v>0</v>
      </c>
      <c r="M41" s="11">
        <f t="shared" si="1"/>
        <v>0</v>
      </c>
      <c r="N41" s="21">
        <v>0</v>
      </c>
      <c r="O41" s="10">
        <f t="shared" si="6"/>
        <v>0</v>
      </c>
      <c r="P41" s="21">
        <v>0</v>
      </c>
      <c r="Q41" s="11">
        <f t="shared" si="7"/>
        <v>0</v>
      </c>
      <c r="R41" s="39">
        <f t="shared" si="11"/>
        <v>10</v>
      </c>
      <c r="S41" s="38">
        <f t="shared" si="2"/>
        <v>0.17325000000000002</v>
      </c>
      <c r="T41" s="12"/>
      <c r="U41" s="13">
        <f t="shared" si="8"/>
        <v>0</v>
      </c>
      <c r="V41" s="49">
        <f t="shared" si="9"/>
        <v>10</v>
      </c>
      <c r="W41" s="50">
        <f t="shared" si="10"/>
        <v>0.17325000000000002</v>
      </c>
      <c r="X41" s="238">
        <v>0</v>
      </c>
      <c r="Y41" s="101">
        <v>0</v>
      </c>
    </row>
    <row r="42" spans="1:25" x14ac:dyDescent="0.25">
      <c r="A42" s="42" t="s">
        <v>39</v>
      </c>
      <c r="B42" s="34">
        <v>52</v>
      </c>
      <c r="C42" s="35">
        <v>52</v>
      </c>
      <c r="D42" s="35">
        <v>5</v>
      </c>
      <c r="E42" s="19">
        <f t="shared" si="3"/>
        <v>1.3520000000000001E-2</v>
      </c>
      <c r="F42" s="23">
        <f>'KASIM 2 HAFTA '!V42</f>
        <v>0</v>
      </c>
      <c r="G42" s="26">
        <f t="shared" si="4"/>
        <v>0</v>
      </c>
      <c r="H42" s="21">
        <v>0</v>
      </c>
      <c r="I42" s="11">
        <f t="shared" si="5"/>
        <v>0</v>
      </c>
      <c r="J42" s="21">
        <v>0</v>
      </c>
      <c r="K42" s="10">
        <f t="shared" si="0"/>
        <v>0</v>
      </c>
      <c r="L42" s="21">
        <v>0</v>
      </c>
      <c r="M42" s="11">
        <f t="shared" si="1"/>
        <v>0</v>
      </c>
      <c r="N42" s="21">
        <v>0</v>
      </c>
      <c r="O42" s="10">
        <f t="shared" si="6"/>
        <v>0</v>
      </c>
      <c r="P42" s="21">
        <v>0</v>
      </c>
      <c r="Q42" s="11">
        <f t="shared" si="7"/>
        <v>0</v>
      </c>
      <c r="R42" s="39">
        <f t="shared" si="11"/>
        <v>0</v>
      </c>
      <c r="S42" s="38">
        <f t="shared" si="2"/>
        <v>0</v>
      </c>
      <c r="T42" s="12"/>
      <c r="U42" s="13">
        <f t="shared" si="8"/>
        <v>0</v>
      </c>
      <c r="V42" s="49">
        <f t="shared" si="9"/>
        <v>0</v>
      </c>
      <c r="W42" s="50">
        <f t="shared" si="10"/>
        <v>0</v>
      </c>
      <c r="X42" s="238">
        <v>0</v>
      </c>
      <c r="Y42" s="101">
        <v>0</v>
      </c>
    </row>
    <row r="43" spans="1:25" x14ac:dyDescent="0.25">
      <c r="A43" s="42" t="s">
        <v>40</v>
      </c>
      <c r="B43" s="34">
        <v>80</v>
      </c>
      <c r="C43" s="35">
        <v>70</v>
      </c>
      <c r="D43" s="35">
        <v>8</v>
      </c>
      <c r="E43" s="19">
        <f t="shared" si="3"/>
        <v>4.48E-2</v>
      </c>
      <c r="F43" s="23">
        <f>'KASIM 2 HAFTA '!V43</f>
        <v>317</v>
      </c>
      <c r="G43" s="26">
        <f t="shared" si="4"/>
        <v>14.201599999999999</v>
      </c>
      <c r="H43" s="21">
        <v>8</v>
      </c>
      <c r="I43" s="11">
        <f t="shared" si="5"/>
        <v>0.3584</v>
      </c>
      <c r="J43" s="21">
        <v>0</v>
      </c>
      <c r="K43" s="10">
        <f t="shared" si="0"/>
        <v>0</v>
      </c>
      <c r="L43" s="21">
        <v>8</v>
      </c>
      <c r="M43" s="11">
        <f t="shared" si="1"/>
        <v>0.3584</v>
      </c>
      <c r="N43" s="21">
        <v>8</v>
      </c>
      <c r="O43" s="10">
        <f t="shared" si="6"/>
        <v>0.3584</v>
      </c>
      <c r="P43" s="21">
        <v>2</v>
      </c>
      <c r="Q43" s="11">
        <f t="shared" si="7"/>
        <v>8.9599999999999999E-2</v>
      </c>
      <c r="R43" s="39">
        <f t="shared" si="11"/>
        <v>291</v>
      </c>
      <c r="S43" s="38">
        <f t="shared" si="2"/>
        <v>13.036799999999999</v>
      </c>
      <c r="T43" s="12"/>
      <c r="U43" s="13">
        <f t="shared" si="8"/>
        <v>0</v>
      </c>
      <c r="V43" s="49">
        <f t="shared" si="9"/>
        <v>291</v>
      </c>
      <c r="W43" s="50">
        <f t="shared" si="10"/>
        <v>13.036799999999999</v>
      </c>
      <c r="X43" s="238">
        <v>50</v>
      </c>
      <c r="Y43" s="101">
        <v>200</v>
      </c>
    </row>
    <row r="44" spans="1:25" x14ac:dyDescent="0.25">
      <c r="A44" s="42" t="s">
        <v>42</v>
      </c>
      <c r="B44" s="34">
        <v>70</v>
      </c>
      <c r="C44" s="35">
        <v>64</v>
      </c>
      <c r="D44" s="35">
        <v>8</v>
      </c>
      <c r="E44" s="19">
        <f t="shared" si="3"/>
        <v>3.5839999999999997E-2</v>
      </c>
      <c r="F44" s="23">
        <f>'KASIM 2 HAFTA '!V44</f>
        <v>362</v>
      </c>
      <c r="G44" s="26">
        <f t="shared" si="4"/>
        <v>12.974079999999999</v>
      </c>
      <c r="H44" s="21">
        <v>0</v>
      </c>
      <c r="I44" s="11">
        <f t="shared" si="5"/>
        <v>0</v>
      </c>
      <c r="J44" s="21">
        <v>0</v>
      </c>
      <c r="K44" s="10">
        <f t="shared" si="0"/>
        <v>0</v>
      </c>
      <c r="L44" s="21">
        <v>2</v>
      </c>
      <c r="M44" s="11">
        <f t="shared" si="1"/>
        <v>7.1679999999999994E-2</v>
      </c>
      <c r="N44" s="21">
        <v>0</v>
      </c>
      <c r="O44" s="10">
        <f t="shared" si="6"/>
        <v>0</v>
      </c>
      <c r="P44" s="21">
        <v>0</v>
      </c>
      <c r="Q44" s="11">
        <f t="shared" si="7"/>
        <v>0</v>
      </c>
      <c r="R44" s="39">
        <f t="shared" si="11"/>
        <v>360</v>
      </c>
      <c r="S44" s="38">
        <f t="shared" si="2"/>
        <v>12.902399999999998</v>
      </c>
      <c r="T44" s="12"/>
      <c r="U44" s="13">
        <f t="shared" si="8"/>
        <v>0</v>
      </c>
      <c r="V44" s="49">
        <f t="shared" si="9"/>
        <v>360</v>
      </c>
      <c r="W44" s="50">
        <f t="shared" si="10"/>
        <v>12.902399999999998</v>
      </c>
      <c r="X44" s="238">
        <v>50</v>
      </c>
      <c r="Y44" s="101">
        <v>200</v>
      </c>
    </row>
    <row r="45" spans="1:25" x14ac:dyDescent="0.25">
      <c r="A45" s="42" t="s">
        <v>43</v>
      </c>
      <c r="B45" s="34">
        <v>75</v>
      </c>
      <c r="C45" s="35">
        <v>70</v>
      </c>
      <c r="D45" s="35">
        <v>8</v>
      </c>
      <c r="E45" s="19">
        <f t="shared" si="3"/>
        <v>4.2000000000000003E-2</v>
      </c>
      <c r="F45" s="23">
        <f>'KASIM 2 HAFTA '!V45</f>
        <v>202</v>
      </c>
      <c r="G45" s="26">
        <f t="shared" si="4"/>
        <v>8.484</v>
      </c>
      <c r="H45" s="21">
        <v>4</v>
      </c>
      <c r="I45" s="11">
        <f t="shared" si="5"/>
        <v>0.16800000000000001</v>
      </c>
      <c r="J45" s="21">
        <v>0</v>
      </c>
      <c r="K45" s="10">
        <f t="shared" si="0"/>
        <v>0</v>
      </c>
      <c r="L45" s="21">
        <v>4</v>
      </c>
      <c r="M45" s="11">
        <f t="shared" si="1"/>
        <v>0.16800000000000001</v>
      </c>
      <c r="N45" s="21">
        <v>0</v>
      </c>
      <c r="O45" s="10">
        <f t="shared" si="6"/>
        <v>0</v>
      </c>
      <c r="P45" s="21">
        <v>0</v>
      </c>
      <c r="Q45" s="11">
        <f t="shared" si="7"/>
        <v>0</v>
      </c>
      <c r="R45" s="39">
        <f t="shared" si="11"/>
        <v>194</v>
      </c>
      <c r="S45" s="38">
        <f t="shared" si="2"/>
        <v>8.1479999999999997</v>
      </c>
      <c r="T45" s="12">
        <v>254</v>
      </c>
      <c r="U45" s="13">
        <f t="shared" si="8"/>
        <v>10.668000000000001</v>
      </c>
      <c r="V45" s="49">
        <f t="shared" si="9"/>
        <v>448</v>
      </c>
      <c r="W45" s="50">
        <f t="shared" si="10"/>
        <v>18.816000000000003</v>
      </c>
      <c r="X45" s="238">
        <v>50</v>
      </c>
      <c r="Y45" s="101">
        <v>200</v>
      </c>
    </row>
    <row r="46" spans="1:25" x14ac:dyDescent="0.25">
      <c r="A46" s="42" t="s">
        <v>77</v>
      </c>
      <c r="B46" s="34">
        <v>140</v>
      </c>
      <c r="C46" s="35">
        <v>67</v>
      </c>
      <c r="D46" s="35">
        <v>5</v>
      </c>
      <c r="E46" s="19">
        <f t="shared" si="3"/>
        <v>4.6899999999999997E-2</v>
      </c>
      <c r="F46" s="23">
        <f>'KASIM 2 HAFTA '!V46</f>
        <v>297</v>
      </c>
      <c r="G46" s="26">
        <f t="shared" si="4"/>
        <v>13.9293</v>
      </c>
      <c r="H46" s="21">
        <v>0</v>
      </c>
      <c r="I46" s="11">
        <f t="shared" si="5"/>
        <v>0</v>
      </c>
      <c r="J46" s="21">
        <v>7</v>
      </c>
      <c r="K46" s="10">
        <f t="shared" si="0"/>
        <v>0.32829999999999998</v>
      </c>
      <c r="L46" s="21">
        <v>0</v>
      </c>
      <c r="M46" s="11">
        <f t="shared" si="1"/>
        <v>0</v>
      </c>
      <c r="N46" s="21">
        <v>3</v>
      </c>
      <c r="O46" s="10">
        <f t="shared" si="6"/>
        <v>0.14069999999999999</v>
      </c>
      <c r="P46" s="21">
        <v>13</v>
      </c>
      <c r="Q46" s="11">
        <f t="shared" si="7"/>
        <v>0.60969999999999991</v>
      </c>
      <c r="R46" s="39">
        <f t="shared" si="11"/>
        <v>274</v>
      </c>
      <c r="S46" s="38">
        <f t="shared" si="2"/>
        <v>12.8506</v>
      </c>
      <c r="T46" s="12"/>
      <c r="U46" s="13">
        <f t="shared" si="8"/>
        <v>0</v>
      </c>
      <c r="V46" s="49">
        <f t="shared" si="9"/>
        <v>274</v>
      </c>
      <c r="W46" s="50">
        <f t="shared" si="10"/>
        <v>12.8506</v>
      </c>
      <c r="X46" s="238">
        <v>50</v>
      </c>
      <c r="Y46" s="101">
        <v>100</v>
      </c>
    </row>
    <row r="47" spans="1:25" x14ac:dyDescent="0.25">
      <c r="A47" s="42" t="s">
        <v>45</v>
      </c>
      <c r="B47" s="34">
        <v>80</v>
      </c>
      <c r="C47" s="35">
        <v>63</v>
      </c>
      <c r="D47" s="35">
        <v>5</v>
      </c>
      <c r="E47" s="19">
        <f t="shared" si="3"/>
        <v>2.52E-2</v>
      </c>
      <c r="F47" s="23">
        <f>'KASIM 2 HAFTA '!V47</f>
        <v>315</v>
      </c>
      <c r="G47" s="26">
        <f t="shared" si="4"/>
        <v>7.9379999999999997</v>
      </c>
      <c r="H47" s="21">
        <v>0</v>
      </c>
      <c r="I47" s="11">
        <f t="shared" si="5"/>
        <v>0</v>
      </c>
      <c r="J47" s="21">
        <v>0</v>
      </c>
      <c r="K47" s="10">
        <f t="shared" si="0"/>
        <v>0</v>
      </c>
      <c r="L47" s="21">
        <v>0</v>
      </c>
      <c r="M47" s="11">
        <f t="shared" si="1"/>
        <v>0</v>
      </c>
      <c r="N47" s="21">
        <v>0</v>
      </c>
      <c r="O47" s="10">
        <f t="shared" si="6"/>
        <v>0</v>
      </c>
      <c r="P47" s="21">
        <v>0</v>
      </c>
      <c r="Q47" s="11">
        <f t="shared" si="7"/>
        <v>0</v>
      </c>
      <c r="R47" s="39">
        <f t="shared" si="11"/>
        <v>315</v>
      </c>
      <c r="S47" s="38">
        <f t="shared" si="2"/>
        <v>7.9379999999999997</v>
      </c>
      <c r="T47" s="12"/>
      <c r="U47" s="13">
        <f t="shared" si="8"/>
        <v>0</v>
      </c>
      <c r="V47" s="49">
        <f t="shared" si="9"/>
        <v>315</v>
      </c>
      <c r="W47" s="50">
        <f t="shared" si="10"/>
        <v>7.9379999999999997</v>
      </c>
      <c r="X47" s="238">
        <v>0</v>
      </c>
      <c r="Y47" s="101">
        <v>0</v>
      </c>
    </row>
    <row r="48" spans="1:25" x14ac:dyDescent="0.25">
      <c r="A48" s="42" t="s">
        <v>46</v>
      </c>
      <c r="B48" s="34">
        <v>77</v>
      </c>
      <c r="C48" s="35">
        <v>68</v>
      </c>
      <c r="D48" s="35">
        <v>8</v>
      </c>
      <c r="E48" s="19">
        <f t="shared" si="3"/>
        <v>4.1888000000000002E-2</v>
      </c>
      <c r="F48" s="23">
        <f>'KASIM 2 HAFTA '!V48</f>
        <v>93</v>
      </c>
      <c r="G48" s="26">
        <f t="shared" si="4"/>
        <v>3.8955839999999999</v>
      </c>
      <c r="H48" s="21">
        <v>14</v>
      </c>
      <c r="I48" s="11">
        <f t="shared" si="5"/>
        <v>0.58643200000000006</v>
      </c>
      <c r="J48" s="21">
        <v>0</v>
      </c>
      <c r="K48" s="10">
        <f t="shared" si="0"/>
        <v>0</v>
      </c>
      <c r="L48" s="21">
        <v>15</v>
      </c>
      <c r="M48" s="11">
        <f t="shared" si="1"/>
        <v>0.62831999999999999</v>
      </c>
      <c r="N48" s="21">
        <v>8</v>
      </c>
      <c r="O48" s="10">
        <f t="shared" si="6"/>
        <v>0.33510400000000001</v>
      </c>
      <c r="P48" s="21">
        <v>0</v>
      </c>
      <c r="Q48" s="11">
        <f t="shared" si="7"/>
        <v>0</v>
      </c>
      <c r="R48" s="39">
        <f t="shared" si="11"/>
        <v>56</v>
      </c>
      <c r="S48" s="38">
        <f t="shared" si="2"/>
        <v>2.3457280000000003</v>
      </c>
      <c r="T48" s="12">
        <v>148</v>
      </c>
      <c r="U48" s="13">
        <f t="shared" si="8"/>
        <v>6.1994240000000005</v>
      </c>
      <c r="V48" s="49">
        <f t="shared" si="9"/>
        <v>204</v>
      </c>
      <c r="W48" s="50">
        <f t="shared" si="10"/>
        <v>8.5451519999999999</v>
      </c>
      <c r="X48" s="238">
        <v>50</v>
      </c>
      <c r="Y48" s="101">
        <v>200</v>
      </c>
    </row>
    <row r="49" spans="1:25" x14ac:dyDescent="0.25">
      <c r="A49" s="42" t="s">
        <v>47</v>
      </c>
      <c r="B49" s="34">
        <v>79</v>
      </c>
      <c r="C49" s="35">
        <v>79</v>
      </c>
      <c r="D49" s="35">
        <v>2</v>
      </c>
      <c r="E49" s="19">
        <f t="shared" si="3"/>
        <v>1.2482E-2</v>
      </c>
      <c r="F49" s="23">
        <f>'KASIM 2 HAFTA '!V49</f>
        <v>244</v>
      </c>
      <c r="G49" s="26">
        <f t="shared" si="4"/>
        <v>3.0456080000000001</v>
      </c>
      <c r="H49" s="21">
        <v>0</v>
      </c>
      <c r="I49" s="11">
        <f t="shared" si="5"/>
        <v>0</v>
      </c>
      <c r="J49" s="21">
        <v>0</v>
      </c>
      <c r="K49" s="10">
        <f t="shared" si="0"/>
        <v>0</v>
      </c>
      <c r="L49" s="21">
        <v>0</v>
      </c>
      <c r="M49" s="11">
        <f t="shared" si="1"/>
        <v>0</v>
      </c>
      <c r="N49" s="21">
        <v>0</v>
      </c>
      <c r="O49" s="10">
        <f t="shared" si="6"/>
        <v>0</v>
      </c>
      <c r="P49" s="21">
        <v>0</v>
      </c>
      <c r="Q49" s="11">
        <f t="shared" si="7"/>
        <v>0</v>
      </c>
      <c r="R49" s="39">
        <f t="shared" si="11"/>
        <v>244</v>
      </c>
      <c r="S49" s="38">
        <f t="shared" si="2"/>
        <v>3.0456080000000001</v>
      </c>
      <c r="T49" s="12"/>
      <c r="U49" s="13">
        <f t="shared" si="8"/>
        <v>0</v>
      </c>
      <c r="V49" s="49">
        <f t="shared" si="9"/>
        <v>244</v>
      </c>
      <c r="W49" s="50">
        <f t="shared" si="10"/>
        <v>3.0456080000000001</v>
      </c>
      <c r="X49" s="238">
        <v>100</v>
      </c>
      <c r="Y49" s="101">
        <v>300</v>
      </c>
    </row>
    <row r="50" spans="1:25" x14ac:dyDescent="0.25">
      <c r="A50" s="42" t="s">
        <v>48</v>
      </c>
      <c r="B50" s="34">
        <v>61</v>
      </c>
      <c r="C50" s="35">
        <v>56</v>
      </c>
      <c r="D50" s="35">
        <v>10</v>
      </c>
      <c r="E50" s="19">
        <f t="shared" si="3"/>
        <v>3.4160000000000003E-2</v>
      </c>
      <c r="F50" s="23">
        <f>'KASIM 2 HAFTA '!V50</f>
        <v>81</v>
      </c>
      <c r="G50" s="26">
        <f t="shared" si="4"/>
        <v>2.7669600000000001</v>
      </c>
      <c r="H50" s="21">
        <v>63</v>
      </c>
      <c r="I50" s="11">
        <f t="shared" si="5"/>
        <v>2.1520800000000002</v>
      </c>
      <c r="J50" s="21">
        <v>0</v>
      </c>
      <c r="K50" s="10">
        <f t="shared" si="0"/>
        <v>0</v>
      </c>
      <c r="L50" s="21">
        <v>0</v>
      </c>
      <c r="M50" s="11">
        <f t="shared" si="1"/>
        <v>0</v>
      </c>
      <c r="N50" s="21">
        <v>0</v>
      </c>
      <c r="O50" s="10">
        <f t="shared" si="6"/>
        <v>0</v>
      </c>
      <c r="P50" s="21">
        <v>0</v>
      </c>
      <c r="Q50" s="11">
        <f t="shared" si="7"/>
        <v>0</v>
      </c>
      <c r="R50" s="39">
        <f t="shared" si="11"/>
        <v>18</v>
      </c>
      <c r="S50" s="38">
        <f t="shared" si="2"/>
        <v>0.61488000000000009</v>
      </c>
      <c r="T50" s="12"/>
      <c r="U50" s="13">
        <f t="shared" si="8"/>
        <v>0</v>
      </c>
      <c r="V50" s="49">
        <f t="shared" si="9"/>
        <v>18</v>
      </c>
      <c r="W50" s="50">
        <f t="shared" si="10"/>
        <v>0.61488000000000009</v>
      </c>
      <c r="X50" s="238">
        <v>30</v>
      </c>
      <c r="Y50" s="101">
        <v>100</v>
      </c>
    </row>
    <row r="51" spans="1:25" x14ac:dyDescent="0.25">
      <c r="A51" s="42" t="s">
        <v>49</v>
      </c>
      <c r="B51" s="34">
        <v>66</v>
      </c>
      <c r="C51" s="35">
        <v>61</v>
      </c>
      <c r="D51" s="35">
        <v>10</v>
      </c>
      <c r="E51" s="19">
        <f t="shared" si="3"/>
        <v>4.0259999999999997E-2</v>
      </c>
      <c r="F51" s="23">
        <f>'KASIM 2 HAFTA '!V51</f>
        <v>204</v>
      </c>
      <c r="G51" s="26">
        <f t="shared" si="4"/>
        <v>8.2130399999999995</v>
      </c>
      <c r="H51" s="21">
        <v>0</v>
      </c>
      <c r="I51" s="11">
        <f t="shared" si="5"/>
        <v>0</v>
      </c>
      <c r="J51" s="21">
        <v>0</v>
      </c>
      <c r="K51" s="10">
        <f t="shared" si="0"/>
        <v>0</v>
      </c>
      <c r="L51" s="21">
        <v>0</v>
      </c>
      <c r="M51" s="11">
        <f t="shared" si="1"/>
        <v>0</v>
      </c>
      <c r="N51" s="21">
        <v>0</v>
      </c>
      <c r="O51" s="10">
        <f t="shared" si="6"/>
        <v>0</v>
      </c>
      <c r="P51" s="21">
        <v>0</v>
      </c>
      <c r="Q51" s="11">
        <f t="shared" si="7"/>
        <v>0</v>
      </c>
      <c r="R51" s="39">
        <f t="shared" si="11"/>
        <v>204</v>
      </c>
      <c r="S51" s="38">
        <f t="shared" si="2"/>
        <v>8.2130399999999995</v>
      </c>
      <c r="T51" s="12"/>
      <c r="U51" s="13">
        <f t="shared" si="8"/>
        <v>0</v>
      </c>
      <c r="V51" s="49">
        <f t="shared" si="9"/>
        <v>204</v>
      </c>
      <c r="W51" s="50">
        <f t="shared" si="10"/>
        <v>8.2130399999999995</v>
      </c>
      <c r="X51" s="238">
        <v>30</v>
      </c>
      <c r="Y51" s="101">
        <v>100</v>
      </c>
    </row>
    <row r="52" spans="1:25" x14ac:dyDescent="0.25">
      <c r="A52" s="42" t="s">
        <v>50</v>
      </c>
      <c r="B52" s="34">
        <v>63</v>
      </c>
      <c r="C52" s="35">
        <v>61</v>
      </c>
      <c r="D52" s="35">
        <v>10</v>
      </c>
      <c r="E52" s="19">
        <f t="shared" si="3"/>
        <v>3.8429999999999999E-2</v>
      </c>
      <c r="F52" s="23">
        <f>'KASIM 2 HAFTA '!V52</f>
        <v>378</v>
      </c>
      <c r="G52" s="26">
        <f t="shared" si="4"/>
        <v>14.526539999999999</v>
      </c>
      <c r="H52" s="21">
        <v>0</v>
      </c>
      <c r="I52" s="11">
        <f t="shared" si="5"/>
        <v>0</v>
      </c>
      <c r="J52" s="21">
        <v>3</v>
      </c>
      <c r="K52" s="10">
        <f t="shared" si="0"/>
        <v>0.11529</v>
      </c>
      <c r="L52" s="21">
        <v>0</v>
      </c>
      <c r="M52" s="11">
        <f t="shared" si="1"/>
        <v>0</v>
      </c>
      <c r="N52" s="21">
        <v>0</v>
      </c>
      <c r="O52" s="10">
        <f t="shared" si="6"/>
        <v>0</v>
      </c>
      <c r="P52" s="21">
        <v>0</v>
      </c>
      <c r="Q52" s="11">
        <f t="shared" si="7"/>
        <v>0</v>
      </c>
      <c r="R52" s="39">
        <f t="shared" si="11"/>
        <v>375</v>
      </c>
      <c r="S52" s="38">
        <f t="shared" si="2"/>
        <v>14.411249999999999</v>
      </c>
      <c r="T52" s="12"/>
      <c r="U52" s="13">
        <f t="shared" si="8"/>
        <v>0</v>
      </c>
      <c r="V52" s="49">
        <f t="shared" si="9"/>
        <v>375</v>
      </c>
      <c r="W52" s="50">
        <f t="shared" si="10"/>
        <v>14.411249999999999</v>
      </c>
      <c r="X52" s="238">
        <v>30</v>
      </c>
      <c r="Y52" s="101">
        <v>100</v>
      </c>
    </row>
    <row r="53" spans="1:25" x14ac:dyDescent="0.25">
      <c r="A53" s="42" t="s">
        <v>51</v>
      </c>
      <c r="B53" s="34">
        <v>58</v>
      </c>
      <c r="C53" s="35">
        <v>58</v>
      </c>
      <c r="D53" s="35">
        <v>2.2999999999999998</v>
      </c>
      <c r="E53" s="19">
        <f t="shared" si="3"/>
        <v>7.7371999999999996E-3</v>
      </c>
      <c r="F53" s="23">
        <f>'KASIM 2 HAFTA '!V53</f>
        <v>3800</v>
      </c>
      <c r="G53" s="26">
        <f t="shared" si="4"/>
        <v>29.401359999999997</v>
      </c>
      <c r="H53" s="21">
        <v>80</v>
      </c>
      <c r="I53" s="11">
        <f t="shared" si="5"/>
        <v>0.61897599999999997</v>
      </c>
      <c r="J53" s="21">
        <v>0</v>
      </c>
      <c r="K53" s="10">
        <f t="shared" si="0"/>
        <v>0</v>
      </c>
      <c r="L53" s="21">
        <v>0</v>
      </c>
      <c r="M53" s="11">
        <f t="shared" si="1"/>
        <v>0</v>
      </c>
      <c r="N53" s="21">
        <v>0</v>
      </c>
      <c r="O53" s="10">
        <f t="shared" si="6"/>
        <v>0</v>
      </c>
      <c r="P53" s="21">
        <v>0</v>
      </c>
      <c r="Q53" s="11">
        <f t="shared" si="7"/>
        <v>0</v>
      </c>
      <c r="R53" s="39">
        <f t="shared" si="11"/>
        <v>3720</v>
      </c>
      <c r="S53" s="38">
        <f t="shared" si="2"/>
        <v>28.782384</v>
      </c>
      <c r="T53" s="12"/>
      <c r="U53" s="13">
        <f t="shared" si="8"/>
        <v>0</v>
      </c>
      <c r="V53" s="49">
        <f t="shared" si="9"/>
        <v>3720</v>
      </c>
      <c r="W53" s="50">
        <f t="shared" si="10"/>
        <v>28.782384</v>
      </c>
      <c r="X53" s="238">
        <v>200</v>
      </c>
      <c r="Y53" s="101">
        <v>500</v>
      </c>
    </row>
    <row r="54" spans="1:25" x14ac:dyDescent="0.25">
      <c r="A54" s="42" t="s">
        <v>52</v>
      </c>
      <c r="B54" s="34">
        <v>79</v>
      </c>
      <c r="C54" s="35">
        <v>62</v>
      </c>
      <c r="D54" s="35">
        <v>2.2999999999999998</v>
      </c>
      <c r="E54" s="19">
        <f t="shared" si="3"/>
        <v>1.12654E-2</v>
      </c>
      <c r="F54" s="23">
        <f>'KASIM 2 HAFTA '!V54</f>
        <v>3537</v>
      </c>
      <c r="G54" s="26">
        <f t="shared" si="4"/>
        <v>39.845719799999998</v>
      </c>
      <c r="H54" s="21">
        <v>0</v>
      </c>
      <c r="I54" s="11">
        <f t="shared" si="5"/>
        <v>0</v>
      </c>
      <c r="J54" s="21">
        <v>0</v>
      </c>
      <c r="K54" s="10">
        <f t="shared" si="0"/>
        <v>0</v>
      </c>
      <c r="L54" s="21">
        <v>0</v>
      </c>
      <c r="M54" s="11">
        <f t="shared" si="1"/>
        <v>0</v>
      </c>
      <c r="N54" s="21">
        <v>0</v>
      </c>
      <c r="O54" s="10">
        <f t="shared" si="6"/>
        <v>0</v>
      </c>
      <c r="P54" s="21">
        <v>0</v>
      </c>
      <c r="Q54" s="11">
        <f t="shared" si="7"/>
        <v>0</v>
      </c>
      <c r="R54" s="39">
        <f t="shared" si="11"/>
        <v>3537</v>
      </c>
      <c r="S54" s="38">
        <f t="shared" si="2"/>
        <v>39.845719799999998</v>
      </c>
      <c r="T54" s="12"/>
      <c r="U54" s="13">
        <f t="shared" si="8"/>
        <v>0</v>
      </c>
      <c r="V54" s="49">
        <f t="shared" si="9"/>
        <v>3537</v>
      </c>
      <c r="W54" s="50">
        <f t="shared" si="10"/>
        <v>39.845719799999998</v>
      </c>
      <c r="X54" s="238">
        <v>100</v>
      </c>
      <c r="Y54" s="101">
        <v>300</v>
      </c>
    </row>
    <row r="55" spans="1:25" x14ac:dyDescent="0.25">
      <c r="A55" s="42" t="s">
        <v>53</v>
      </c>
      <c r="B55" s="34">
        <v>200</v>
      </c>
      <c r="C55" s="35">
        <v>176</v>
      </c>
      <c r="D55" s="35">
        <v>2.2999999999999998</v>
      </c>
      <c r="E55" s="19">
        <f t="shared" si="3"/>
        <v>8.0960000000000004E-2</v>
      </c>
      <c r="F55" s="23">
        <f>'KASIM 2 HAFTA '!V55</f>
        <v>1</v>
      </c>
      <c r="G55" s="26">
        <f t="shared" si="4"/>
        <v>8.0960000000000004E-2</v>
      </c>
      <c r="H55" s="21">
        <v>0</v>
      </c>
      <c r="I55" s="11">
        <f t="shared" si="5"/>
        <v>0</v>
      </c>
      <c r="J55" s="21">
        <v>0</v>
      </c>
      <c r="K55" s="10">
        <f t="shared" si="0"/>
        <v>0</v>
      </c>
      <c r="L55" s="21">
        <v>0</v>
      </c>
      <c r="M55" s="11">
        <f t="shared" si="1"/>
        <v>0</v>
      </c>
      <c r="N55" s="21">
        <v>0</v>
      </c>
      <c r="O55" s="10">
        <f t="shared" si="6"/>
        <v>0</v>
      </c>
      <c r="P55" s="21">
        <v>0</v>
      </c>
      <c r="Q55" s="11">
        <f t="shared" si="7"/>
        <v>0</v>
      </c>
      <c r="R55" s="39">
        <f t="shared" si="11"/>
        <v>1</v>
      </c>
      <c r="S55" s="38">
        <f t="shared" si="2"/>
        <v>8.0960000000000004E-2</v>
      </c>
      <c r="T55" s="12"/>
      <c r="U55" s="13">
        <f t="shared" si="8"/>
        <v>0</v>
      </c>
      <c r="V55" s="49">
        <f t="shared" si="9"/>
        <v>1</v>
      </c>
      <c r="W55" s="50">
        <f t="shared" si="10"/>
        <v>8.0960000000000004E-2</v>
      </c>
      <c r="X55" s="238">
        <v>0</v>
      </c>
      <c r="Y55" s="101">
        <v>0</v>
      </c>
    </row>
    <row r="56" spans="1:25" x14ac:dyDescent="0.25">
      <c r="A56" s="42" t="s">
        <v>54</v>
      </c>
      <c r="B56" s="34">
        <v>79</v>
      </c>
      <c r="C56" s="35">
        <v>79</v>
      </c>
      <c r="D56" s="35">
        <v>2.2999999999999998</v>
      </c>
      <c r="E56" s="19">
        <f t="shared" si="3"/>
        <v>1.4354299999999999E-2</v>
      </c>
      <c r="F56" s="23">
        <v>3597</v>
      </c>
      <c r="G56" s="26">
        <f t="shared" si="4"/>
        <v>51.632417099999998</v>
      </c>
      <c r="H56" s="21">
        <v>0</v>
      </c>
      <c r="I56" s="11">
        <f t="shared" si="5"/>
        <v>0</v>
      </c>
      <c r="J56" s="21">
        <v>0</v>
      </c>
      <c r="K56" s="10">
        <f t="shared" si="0"/>
        <v>0</v>
      </c>
      <c r="L56" s="21">
        <v>0</v>
      </c>
      <c r="M56" s="11">
        <f t="shared" si="1"/>
        <v>0</v>
      </c>
      <c r="N56" s="21">
        <v>0</v>
      </c>
      <c r="O56" s="10">
        <f t="shared" si="6"/>
        <v>0</v>
      </c>
      <c r="P56" s="21">
        <v>0</v>
      </c>
      <c r="Q56" s="11">
        <f t="shared" si="7"/>
        <v>0</v>
      </c>
      <c r="R56" s="39">
        <f t="shared" si="11"/>
        <v>3597</v>
      </c>
      <c r="S56" s="38">
        <f t="shared" si="2"/>
        <v>51.632417099999998</v>
      </c>
      <c r="T56" s="12"/>
      <c r="U56" s="13">
        <f t="shared" si="8"/>
        <v>0</v>
      </c>
      <c r="V56" s="49">
        <f t="shared" si="9"/>
        <v>3597</v>
      </c>
      <c r="W56" s="50">
        <f t="shared" si="10"/>
        <v>51.632417099999998</v>
      </c>
      <c r="X56" s="238">
        <v>300</v>
      </c>
      <c r="Y56" s="101">
        <v>1000</v>
      </c>
    </row>
    <row r="57" spans="1:25" ht="15.75" x14ac:dyDescent="0.25">
      <c r="A57" s="42" t="s">
        <v>55</v>
      </c>
      <c r="B57" s="111">
        <v>50</v>
      </c>
      <c r="C57" s="112">
        <v>45</v>
      </c>
      <c r="D57" s="112">
        <v>4</v>
      </c>
      <c r="E57" s="19">
        <f t="shared" si="3"/>
        <v>8.9999999999999993E-3</v>
      </c>
      <c r="F57" s="23">
        <f>'KASIM 2 HAFTA '!V56</f>
        <v>497</v>
      </c>
      <c r="G57" s="26">
        <f t="shared" si="4"/>
        <v>4.4729999999999999</v>
      </c>
      <c r="H57" s="21">
        <v>100</v>
      </c>
      <c r="I57" s="11">
        <f t="shared" si="5"/>
        <v>0.89999999999999991</v>
      </c>
      <c r="J57" s="21">
        <v>0</v>
      </c>
      <c r="K57" s="10">
        <f t="shared" si="0"/>
        <v>0</v>
      </c>
      <c r="L57" s="21">
        <v>0</v>
      </c>
      <c r="M57" s="11">
        <f t="shared" si="1"/>
        <v>0</v>
      </c>
      <c r="N57" s="21">
        <v>0</v>
      </c>
      <c r="O57" s="10">
        <f t="shared" si="6"/>
        <v>0</v>
      </c>
      <c r="P57" s="21">
        <v>0</v>
      </c>
      <c r="Q57" s="11">
        <f t="shared" si="7"/>
        <v>0</v>
      </c>
      <c r="R57" s="39">
        <f t="shared" si="11"/>
        <v>397</v>
      </c>
      <c r="S57" s="38">
        <f t="shared" si="2"/>
        <v>3.5729999999999995</v>
      </c>
      <c r="T57" s="12"/>
      <c r="U57" s="13">
        <f t="shared" si="8"/>
        <v>0</v>
      </c>
      <c r="V57" s="49">
        <f t="shared" si="9"/>
        <v>397</v>
      </c>
      <c r="W57" s="50">
        <f t="shared" si="10"/>
        <v>3.5729999999999995</v>
      </c>
      <c r="X57" s="238">
        <v>300</v>
      </c>
      <c r="Y57" s="101">
        <v>1000</v>
      </c>
    </row>
    <row r="58" spans="1:25" ht="15.75" x14ac:dyDescent="0.25">
      <c r="A58" s="42" t="s">
        <v>56</v>
      </c>
      <c r="B58" s="111">
        <v>50</v>
      </c>
      <c r="C58" s="112">
        <v>35</v>
      </c>
      <c r="D58" s="112">
        <v>4</v>
      </c>
      <c r="E58" s="19">
        <f t="shared" si="3"/>
        <v>7.0000000000000001E-3</v>
      </c>
      <c r="F58" s="23">
        <f>'KASIM 2 HAFTA '!V57</f>
        <v>580</v>
      </c>
      <c r="G58" s="26">
        <f t="shared" si="4"/>
        <v>4.0600000000000005</v>
      </c>
      <c r="H58" s="21">
        <v>50</v>
      </c>
      <c r="I58" s="11">
        <f t="shared" si="5"/>
        <v>0.35000000000000003</v>
      </c>
      <c r="J58" s="21">
        <v>0</v>
      </c>
      <c r="K58" s="10">
        <f t="shared" si="0"/>
        <v>0</v>
      </c>
      <c r="L58" s="21">
        <v>0</v>
      </c>
      <c r="M58" s="11">
        <f t="shared" si="1"/>
        <v>0</v>
      </c>
      <c r="N58" s="21">
        <v>0</v>
      </c>
      <c r="O58" s="10">
        <f t="shared" si="6"/>
        <v>0</v>
      </c>
      <c r="P58" s="21">
        <v>0</v>
      </c>
      <c r="Q58" s="11">
        <f t="shared" si="7"/>
        <v>0</v>
      </c>
      <c r="R58" s="39">
        <f t="shared" si="11"/>
        <v>530</v>
      </c>
      <c r="S58" s="38">
        <f t="shared" si="2"/>
        <v>3.71</v>
      </c>
      <c r="T58" s="12"/>
      <c r="U58" s="13">
        <f t="shared" si="8"/>
        <v>0</v>
      </c>
      <c r="V58" s="49">
        <f t="shared" si="9"/>
        <v>530</v>
      </c>
      <c r="W58" s="50">
        <f t="shared" si="10"/>
        <v>3.71</v>
      </c>
      <c r="X58" s="238">
        <v>500</v>
      </c>
      <c r="Y58" s="101">
        <v>1500</v>
      </c>
    </row>
    <row r="59" spans="1:25" ht="15.75" x14ac:dyDescent="0.25">
      <c r="A59" s="42" t="s">
        <v>57</v>
      </c>
      <c r="B59" s="111">
        <v>45</v>
      </c>
      <c r="C59" s="112">
        <v>50</v>
      </c>
      <c r="D59" s="112">
        <v>3</v>
      </c>
      <c r="E59" s="19">
        <f t="shared" si="3"/>
        <v>6.7499999999999999E-3</v>
      </c>
      <c r="F59" s="23">
        <f>'KASIM 2 HAFTA '!V58</f>
        <v>1003</v>
      </c>
      <c r="G59" s="26">
        <f t="shared" si="4"/>
        <v>6.7702499999999999</v>
      </c>
      <c r="H59" s="21">
        <v>0</v>
      </c>
      <c r="I59" s="11">
        <f t="shared" si="5"/>
        <v>0</v>
      </c>
      <c r="J59" s="21">
        <v>0</v>
      </c>
      <c r="K59" s="10">
        <f t="shared" si="0"/>
        <v>0</v>
      </c>
      <c r="L59" s="21">
        <v>0</v>
      </c>
      <c r="M59" s="11">
        <f t="shared" si="1"/>
        <v>0</v>
      </c>
      <c r="N59" s="21">
        <v>66</v>
      </c>
      <c r="O59" s="10">
        <f t="shared" si="6"/>
        <v>0.44550000000000001</v>
      </c>
      <c r="P59" s="21">
        <v>151</v>
      </c>
      <c r="Q59" s="11">
        <f t="shared" si="7"/>
        <v>1.01925</v>
      </c>
      <c r="R59" s="39">
        <f t="shared" si="11"/>
        <v>786</v>
      </c>
      <c r="S59" s="38">
        <f t="shared" si="2"/>
        <v>5.3055000000000003</v>
      </c>
      <c r="T59" s="12"/>
      <c r="U59" s="13">
        <f t="shared" si="8"/>
        <v>0</v>
      </c>
      <c r="V59" s="49">
        <f t="shared" si="9"/>
        <v>786</v>
      </c>
      <c r="W59" s="50">
        <f t="shared" si="10"/>
        <v>5.3055000000000003</v>
      </c>
      <c r="X59" s="238">
        <v>500</v>
      </c>
      <c r="Y59" s="101">
        <v>1500</v>
      </c>
    </row>
    <row r="60" spans="1:25" ht="15.75" x14ac:dyDescent="0.25">
      <c r="A60" s="42" t="s">
        <v>58</v>
      </c>
      <c r="B60" s="111">
        <v>50</v>
      </c>
      <c r="C60" s="112">
        <v>35</v>
      </c>
      <c r="D60" s="112">
        <v>3</v>
      </c>
      <c r="E60" s="19">
        <f t="shared" si="3"/>
        <v>5.2500000000000003E-3</v>
      </c>
      <c r="F60" s="23">
        <f>'KASIM 2 HAFTA '!V59</f>
        <v>978</v>
      </c>
      <c r="G60" s="26">
        <f t="shared" si="4"/>
        <v>5.1345000000000001</v>
      </c>
      <c r="H60" s="21">
        <v>0</v>
      </c>
      <c r="I60" s="11">
        <f t="shared" si="5"/>
        <v>0</v>
      </c>
      <c r="J60" s="21">
        <v>0</v>
      </c>
      <c r="K60" s="10">
        <f t="shared" si="0"/>
        <v>0</v>
      </c>
      <c r="L60" s="21">
        <v>0</v>
      </c>
      <c r="M60" s="11">
        <f t="shared" si="1"/>
        <v>0</v>
      </c>
      <c r="N60" s="21">
        <v>0</v>
      </c>
      <c r="O60" s="10">
        <f t="shared" si="6"/>
        <v>0</v>
      </c>
      <c r="P60" s="21">
        <v>0</v>
      </c>
      <c r="Q60" s="11">
        <f t="shared" si="7"/>
        <v>0</v>
      </c>
      <c r="R60" s="39">
        <f t="shared" si="11"/>
        <v>978</v>
      </c>
      <c r="S60" s="38">
        <f t="shared" si="2"/>
        <v>5.1345000000000001</v>
      </c>
      <c r="T60" s="12"/>
      <c r="U60" s="13">
        <f t="shared" si="8"/>
        <v>0</v>
      </c>
      <c r="V60" s="49">
        <f t="shared" si="9"/>
        <v>978</v>
      </c>
      <c r="W60" s="50">
        <f t="shared" si="10"/>
        <v>5.1345000000000001</v>
      </c>
      <c r="X60" s="238">
        <v>0</v>
      </c>
      <c r="Y60" s="101">
        <v>0</v>
      </c>
    </row>
    <row r="61" spans="1:25" ht="15.75" x14ac:dyDescent="0.25">
      <c r="A61" s="42" t="s">
        <v>59</v>
      </c>
      <c r="B61" s="111">
        <v>42</v>
      </c>
      <c r="C61" s="112">
        <v>36</v>
      </c>
      <c r="D61" s="112">
        <v>4</v>
      </c>
      <c r="E61" s="19">
        <f t="shared" si="3"/>
        <v>6.0480000000000004E-3</v>
      </c>
      <c r="F61" s="23">
        <f>'KASIM 2 HAFTA '!V60</f>
        <v>0</v>
      </c>
      <c r="G61" s="26">
        <f t="shared" si="4"/>
        <v>0</v>
      </c>
      <c r="H61" s="21">
        <v>0</v>
      </c>
      <c r="I61" s="11">
        <f t="shared" si="5"/>
        <v>0</v>
      </c>
      <c r="J61" s="21">
        <v>0</v>
      </c>
      <c r="K61" s="10">
        <f t="shared" si="0"/>
        <v>0</v>
      </c>
      <c r="L61" s="21">
        <v>0</v>
      </c>
      <c r="M61" s="11">
        <f t="shared" si="1"/>
        <v>0</v>
      </c>
      <c r="N61" s="21">
        <v>0</v>
      </c>
      <c r="O61" s="10">
        <f t="shared" si="6"/>
        <v>0</v>
      </c>
      <c r="P61" s="21">
        <v>0</v>
      </c>
      <c r="Q61" s="11">
        <f t="shared" si="7"/>
        <v>0</v>
      </c>
      <c r="R61" s="39">
        <f t="shared" si="11"/>
        <v>0</v>
      </c>
      <c r="S61" s="38">
        <f t="shared" si="2"/>
        <v>0</v>
      </c>
      <c r="T61" s="12"/>
      <c r="U61" s="13">
        <f t="shared" si="8"/>
        <v>0</v>
      </c>
      <c r="V61" s="49">
        <f t="shared" si="9"/>
        <v>0</v>
      </c>
      <c r="W61" s="50">
        <f t="shared" si="10"/>
        <v>0</v>
      </c>
      <c r="X61" s="238">
        <v>300</v>
      </c>
      <c r="Y61" s="101">
        <v>1000</v>
      </c>
    </row>
    <row r="62" spans="1:25" ht="15.75" x14ac:dyDescent="0.25">
      <c r="A62" s="42" t="s">
        <v>60</v>
      </c>
      <c r="B62" s="111">
        <v>50</v>
      </c>
      <c r="C62" s="112">
        <v>35</v>
      </c>
      <c r="D62" s="112">
        <v>3</v>
      </c>
      <c r="E62" s="19">
        <f t="shared" si="3"/>
        <v>5.2500000000000003E-3</v>
      </c>
      <c r="F62" s="23">
        <f>'KASIM 2 HAFTA '!V61</f>
        <v>1472</v>
      </c>
      <c r="G62" s="26">
        <f t="shared" si="4"/>
        <v>7.7280000000000006</v>
      </c>
      <c r="H62" s="21">
        <v>359</v>
      </c>
      <c r="I62" s="11">
        <f t="shared" si="5"/>
        <v>1.8847500000000001</v>
      </c>
      <c r="J62" s="21">
        <v>0</v>
      </c>
      <c r="K62" s="10">
        <f t="shared" si="0"/>
        <v>0</v>
      </c>
      <c r="L62" s="21">
        <v>0</v>
      </c>
      <c r="M62" s="11">
        <f t="shared" si="1"/>
        <v>0</v>
      </c>
      <c r="N62" s="21">
        <v>172</v>
      </c>
      <c r="O62" s="10">
        <f t="shared" si="6"/>
        <v>0.90300000000000002</v>
      </c>
      <c r="P62" s="21">
        <v>60</v>
      </c>
      <c r="Q62" s="11">
        <f t="shared" si="7"/>
        <v>0.315</v>
      </c>
      <c r="R62" s="39">
        <f t="shared" si="11"/>
        <v>881</v>
      </c>
      <c r="S62" s="38">
        <f t="shared" si="2"/>
        <v>4.6252500000000003</v>
      </c>
      <c r="T62" s="12"/>
      <c r="U62" s="13">
        <f t="shared" si="8"/>
        <v>0</v>
      </c>
      <c r="V62" s="49">
        <f t="shared" si="9"/>
        <v>881</v>
      </c>
      <c r="W62" s="50">
        <f t="shared" si="10"/>
        <v>4.6252500000000003</v>
      </c>
      <c r="X62" s="238">
        <v>300</v>
      </c>
      <c r="Y62" s="101">
        <v>1000</v>
      </c>
    </row>
    <row r="63" spans="1:25" ht="15.75" x14ac:dyDescent="0.25">
      <c r="A63" s="43" t="s">
        <v>61</v>
      </c>
      <c r="B63" s="111">
        <v>45</v>
      </c>
      <c r="C63" s="112">
        <v>50</v>
      </c>
      <c r="D63" s="112">
        <v>3</v>
      </c>
      <c r="E63" s="19">
        <f t="shared" si="3"/>
        <v>6.7499999999999999E-3</v>
      </c>
      <c r="F63" s="23">
        <f>'KASIM 2 HAFTA '!V62</f>
        <v>1050</v>
      </c>
      <c r="G63" s="26">
        <f t="shared" si="4"/>
        <v>7.0875000000000004</v>
      </c>
      <c r="H63" s="21">
        <v>0</v>
      </c>
      <c r="I63" s="11">
        <f t="shared" si="5"/>
        <v>0</v>
      </c>
      <c r="J63" s="21">
        <v>0</v>
      </c>
      <c r="K63" s="10">
        <f t="shared" si="0"/>
        <v>0</v>
      </c>
      <c r="L63" s="21">
        <v>0</v>
      </c>
      <c r="M63" s="11">
        <f t="shared" si="1"/>
        <v>0</v>
      </c>
      <c r="N63" s="21">
        <v>80</v>
      </c>
      <c r="O63" s="10">
        <f t="shared" si="6"/>
        <v>0.54</v>
      </c>
      <c r="P63" s="21">
        <v>0</v>
      </c>
      <c r="Q63" s="11">
        <f t="shared" si="7"/>
        <v>0</v>
      </c>
      <c r="R63" s="39">
        <f t="shared" si="11"/>
        <v>970</v>
      </c>
      <c r="S63" s="38">
        <f t="shared" si="2"/>
        <v>6.5475000000000003</v>
      </c>
      <c r="T63" s="12"/>
      <c r="U63" s="13">
        <f t="shared" si="8"/>
        <v>0</v>
      </c>
      <c r="V63" s="49">
        <f t="shared" si="9"/>
        <v>970</v>
      </c>
      <c r="W63" s="50">
        <f t="shared" si="10"/>
        <v>6.5475000000000003</v>
      </c>
      <c r="X63" s="238">
        <v>500</v>
      </c>
      <c r="Y63" s="101">
        <v>1500</v>
      </c>
    </row>
    <row r="64" spans="1:25" ht="15.75" thickBot="1" x14ac:dyDescent="0.3">
      <c r="A64" s="44" t="s">
        <v>90</v>
      </c>
      <c r="B64" s="36">
        <v>140</v>
      </c>
      <c r="C64" s="37">
        <v>9.5</v>
      </c>
      <c r="D64" s="37">
        <v>6.5</v>
      </c>
      <c r="E64" s="20">
        <f t="shared" si="3"/>
        <v>8.6449999999999999E-3</v>
      </c>
      <c r="F64" s="23">
        <f>'KASIM 2 HAFTA '!V63</f>
        <v>1405</v>
      </c>
      <c r="G64" s="27">
        <f t="shared" si="4"/>
        <v>12.146224999999999</v>
      </c>
      <c r="H64" s="21">
        <v>0</v>
      </c>
      <c r="I64" s="100">
        <f t="shared" si="5"/>
        <v>0</v>
      </c>
      <c r="J64" s="21">
        <v>0</v>
      </c>
      <c r="K64" s="48">
        <f t="shared" si="0"/>
        <v>0</v>
      </c>
      <c r="L64" s="21">
        <v>0</v>
      </c>
      <c r="M64" s="46">
        <f t="shared" si="1"/>
        <v>0</v>
      </c>
      <c r="N64" s="21">
        <v>0</v>
      </c>
      <c r="O64" s="48">
        <f t="shared" si="6"/>
        <v>0</v>
      </c>
      <c r="P64" s="21">
        <v>0</v>
      </c>
      <c r="Q64" s="46">
        <f t="shared" si="7"/>
        <v>0</v>
      </c>
      <c r="R64" s="40">
        <f t="shared" si="11"/>
        <v>1405</v>
      </c>
      <c r="S64" s="41">
        <f t="shared" si="2"/>
        <v>12.146224999999999</v>
      </c>
      <c r="T64" s="51"/>
      <c r="U64" s="13">
        <f t="shared" si="8"/>
        <v>0</v>
      </c>
      <c r="V64" s="49">
        <f t="shared" si="9"/>
        <v>1405</v>
      </c>
      <c r="W64" s="50">
        <f t="shared" si="10"/>
        <v>12.146224999999999</v>
      </c>
      <c r="X64" s="238">
        <v>100</v>
      </c>
      <c r="Y64" s="101">
        <v>300</v>
      </c>
    </row>
    <row r="65" spans="1:25" ht="16.5" thickBot="1" x14ac:dyDescent="0.3">
      <c r="A65" s="91" t="s">
        <v>79</v>
      </c>
      <c r="B65" s="112">
        <v>90</v>
      </c>
      <c r="C65" s="112">
        <v>83</v>
      </c>
      <c r="D65" s="112">
        <v>2</v>
      </c>
      <c r="E65" s="114">
        <f t="shared" si="3"/>
        <v>1.494E-2</v>
      </c>
      <c r="F65" s="23">
        <f>'KASIM 2 HAFTA '!V64</f>
        <v>412</v>
      </c>
      <c r="G65" s="116">
        <f t="shared" si="4"/>
        <v>6.1552800000000003</v>
      </c>
      <c r="H65" s="21">
        <v>0</v>
      </c>
      <c r="I65" s="127">
        <f t="shared" si="5"/>
        <v>0</v>
      </c>
      <c r="J65" s="21">
        <v>60</v>
      </c>
      <c r="K65" s="119">
        <f t="shared" si="0"/>
        <v>0.89639999999999997</v>
      </c>
      <c r="L65" s="21">
        <v>0</v>
      </c>
      <c r="M65" s="120">
        <f t="shared" si="1"/>
        <v>0</v>
      </c>
      <c r="N65" s="21">
        <v>0</v>
      </c>
      <c r="O65" s="121">
        <f t="shared" si="6"/>
        <v>0</v>
      </c>
      <c r="P65" s="21">
        <v>0</v>
      </c>
      <c r="Q65" s="46">
        <f t="shared" si="7"/>
        <v>0</v>
      </c>
      <c r="R65" s="122">
        <f t="shared" si="11"/>
        <v>352</v>
      </c>
      <c r="S65" s="123">
        <f t="shared" si="2"/>
        <v>5.2588800000000004</v>
      </c>
      <c r="T65" s="142">
        <v>6</v>
      </c>
      <c r="U65" s="139">
        <f t="shared" si="8"/>
        <v>8.9639999999999997E-2</v>
      </c>
      <c r="V65" s="141">
        <f t="shared" si="9"/>
        <v>358</v>
      </c>
      <c r="W65" s="50">
        <f t="shared" si="10"/>
        <v>5.3485199999999997</v>
      </c>
      <c r="X65" s="238">
        <v>100</v>
      </c>
      <c r="Y65" s="101">
        <v>300</v>
      </c>
    </row>
    <row r="66" spans="1:25" ht="16.5" thickBot="1" x14ac:dyDescent="0.3">
      <c r="A66" s="102" t="s">
        <v>80</v>
      </c>
      <c r="B66" s="113">
        <v>92</v>
      </c>
      <c r="C66" s="113">
        <v>82</v>
      </c>
      <c r="D66" s="113">
        <v>2</v>
      </c>
      <c r="E66" s="124">
        <f t="shared" si="3"/>
        <v>1.5088000000000001E-2</v>
      </c>
      <c r="F66" s="23">
        <f>'KASIM 2 HAFTA '!V65</f>
        <v>242</v>
      </c>
      <c r="G66" s="125">
        <f t="shared" si="4"/>
        <v>3.6512960000000003</v>
      </c>
      <c r="H66" s="21">
        <v>0</v>
      </c>
      <c r="I66" s="127">
        <f t="shared" si="5"/>
        <v>0</v>
      </c>
      <c r="J66" s="21">
        <v>0</v>
      </c>
      <c r="K66" s="119">
        <f t="shared" si="0"/>
        <v>0</v>
      </c>
      <c r="L66" s="21">
        <v>0</v>
      </c>
      <c r="M66" s="120">
        <f t="shared" si="1"/>
        <v>0</v>
      </c>
      <c r="N66" s="21">
        <v>0</v>
      </c>
      <c r="O66" s="121">
        <f t="shared" si="6"/>
        <v>0</v>
      </c>
      <c r="P66" s="21">
        <v>0</v>
      </c>
      <c r="Q66" s="46">
        <f t="shared" si="7"/>
        <v>0</v>
      </c>
      <c r="R66" s="122">
        <f t="shared" si="11"/>
        <v>242</v>
      </c>
      <c r="S66" s="123">
        <f t="shared" si="2"/>
        <v>3.6512960000000003</v>
      </c>
      <c r="T66" s="247">
        <v>0</v>
      </c>
      <c r="U66" s="139">
        <f t="shared" si="8"/>
        <v>0</v>
      </c>
      <c r="V66" s="141">
        <f t="shared" si="9"/>
        <v>242</v>
      </c>
      <c r="W66" s="107">
        <f t="shared" si="10"/>
        <v>3.6512960000000003</v>
      </c>
      <c r="X66" s="238">
        <v>100</v>
      </c>
      <c r="Y66" s="101">
        <v>300</v>
      </c>
    </row>
    <row r="67" spans="1:25" ht="15.75" thickBot="1" x14ac:dyDescent="0.3">
      <c r="A67" s="108" t="s">
        <v>82</v>
      </c>
      <c r="B67" s="35">
        <v>82</v>
      </c>
      <c r="C67" s="35">
        <v>80</v>
      </c>
      <c r="D67" s="35">
        <v>2</v>
      </c>
      <c r="E67" s="114">
        <f t="shared" si="3"/>
        <v>1.312E-2</v>
      </c>
      <c r="F67" s="23">
        <f>'KASIM 2 HAFTA '!V66</f>
        <v>175</v>
      </c>
      <c r="G67" s="110">
        <f t="shared" si="4"/>
        <v>2.2959999999999998</v>
      </c>
      <c r="H67" s="21">
        <v>0</v>
      </c>
      <c r="I67" s="115">
        <f t="shared" si="5"/>
        <v>0</v>
      </c>
      <c r="J67" s="21">
        <v>0</v>
      </c>
      <c r="K67" s="48">
        <f t="shared" si="0"/>
        <v>0</v>
      </c>
      <c r="L67" s="21">
        <v>0</v>
      </c>
      <c r="M67" s="11">
        <f t="shared" si="1"/>
        <v>0</v>
      </c>
      <c r="N67" s="21">
        <v>0</v>
      </c>
      <c r="O67" s="10">
        <f t="shared" si="6"/>
        <v>0</v>
      </c>
      <c r="P67" s="21">
        <v>0</v>
      </c>
      <c r="Q67" s="46">
        <f t="shared" si="7"/>
        <v>0</v>
      </c>
      <c r="R67" s="86">
        <f t="shared" si="11"/>
        <v>175</v>
      </c>
      <c r="S67" s="87">
        <f t="shared" si="2"/>
        <v>2.2959999999999998</v>
      </c>
      <c r="T67" s="142">
        <v>294</v>
      </c>
      <c r="U67" s="139">
        <f t="shared" si="8"/>
        <v>3.8572799999999998</v>
      </c>
      <c r="V67" s="141">
        <f t="shared" si="9"/>
        <v>469</v>
      </c>
      <c r="W67" s="107">
        <f t="shared" si="10"/>
        <v>6.1532799999999996</v>
      </c>
      <c r="X67" s="238">
        <v>50</v>
      </c>
      <c r="Y67" s="101">
        <v>200</v>
      </c>
    </row>
    <row r="68" spans="1:25" ht="15.75" thickBot="1" x14ac:dyDescent="0.3">
      <c r="A68" s="108" t="s">
        <v>83</v>
      </c>
      <c r="B68" s="35">
        <v>86</v>
      </c>
      <c r="C68" s="35">
        <v>77</v>
      </c>
      <c r="D68" s="35">
        <v>8</v>
      </c>
      <c r="E68" s="114">
        <f t="shared" si="3"/>
        <v>5.2976000000000002E-2</v>
      </c>
      <c r="F68" s="23">
        <f>'KASIM 2 HAFTA '!V67</f>
        <v>10</v>
      </c>
      <c r="G68" s="110">
        <f t="shared" si="4"/>
        <v>0.52976000000000001</v>
      </c>
      <c r="H68" s="21">
        <v>0</v>
      </c>
      <c r="I68" s="115">
        <f t="shared" ref="I68:U72" si="12">E68*H68</f>
        <v>0</v>
      </c>
      <c r="J68" s="21">
        <v>0</v>
      </c>
      <c r="K68" s="48">
        <f t="shared" si="0"/>
        <v>0</v>
      </c>
      <c r="L68" s="21">
        <v>0</v>
      </c>
      <c r="M68" s="11">
        <v>0</v>
      </c>
      <c r="N68" s="21">
        <v>0</v>
      </c>
      <c r="O68" s="10">
        <f t="shared" si="6"/>
        <v>0</v>
      </c>
      <c r="P68" s="21">
        <v>0</v>
      </c>
      <c r="Q68" s="46">
        <f t="shared" si="7"/>
        <v>0</v>
      </c>
      <c r="R68" s="86">
        <f t="shared" si="11"/>
        <v>10</v>
      </c>
      <c r="S68" s="87">
        <f t="shared" si="2"/>
        <v>0.52976000000000001</v>
      </c>
      <c r="T68" s="142">
        <v>40</v>
      </c>
      <c r="U68" s="139">
        <f t="shared" si="8"/>
        <v>2.11904</v>
      </c>
      <c r="V68" s="141">
        <f t="shared" si="9"/>
        <v>50</v>
      </c>
      <c r="W68" s="107">
        <f t="shared" si="10"/>
        <v>2.6488</v>
      </c>
      <c r="X68" s="238">
        <v>50</v>
      </c>
      <c r="Y68" s="101">
        <v>200</v>
      </c>
    </row>
    <row r="69" spans="1:25" ht="15.75" thickBot="1" x14ac:dyDescent="0.3">
      <c r="A69" s="108" t="s">
        <v>84</v>
      </c>
      <c r="B69" s="35">
        <v>76</v>
      </c>
      <c r="C69" s="35">
        <v>75</v>
      </c>
      <c r="D69" s="35">
        <v>8</v>
      </c>
      <c r="E69" s="114">
        <f t="shared" si="3"/>
        <v>4.5600000000000002E-2</v>
      </c>
      <c r="F69" s="23">
        <f>'KASIM 2 HAFTA '!V68</f>
        <v>14</v>
      </c>
      <c r="G69" s="110">
        <f t="shared" si="4"/>
        <v>0.63840000000000008</v>
      </c>
      <c r="H69" s="21">
        <v>2</v>
      </c>
      <c r="I69" s="115">
        <f t="shared" si="12"/>
        <v>9.1200000000000003E-2</v>
      </c>
      <c r="J69" s="21">
        <v>0</v>
      </c>
      <c r="K69" s="48">
        <f t="shared" ref="K69:K72" si="13">E69*J69</f>
        <v>0</v>
      </c>
      <c r="L69" s="21">
        <v>0</v>
      </c>
      <c r="M69" s="11">
        <f t="shared" ref="M69" si="14">E69*L69</f>
        <v>0</v>
      </c>
      <c r="N69" s="21">
        <v>0</v>
      </c>
      <c r="O69" s="10">
        <f t="shared" si="6"/>
        <v>0</v>
      </c>
      <c r="P69" s="21">
        <v>0</v>
      </c>
      <c r="Q69" s="46">
        <f t="shared" si="7"/>
        <v>0</v>
      </c>
      <c r="R69" s="86">
        <f t="shared" si="11"/>
        <v>12</v>
      </c>
      <c r="S69" s="87">
        <f t="shared" ref="S69:S72" si="15">E69*R69</f>
        <v>0.54720000000000002</v>
      </c>
      <c r="T69" s="142"/>
      <c r="U69" s="139">
        <f t="shared" si="12"/>
        <v>0</v>
      </c>
      <c r="V69" s="141">
        <f t="shared" si="9"/>
        <v>12</v>
      </c>
      <c r="W69" s="107">
        <f t="shared" si="10"/>
        <v>0.54720000000000002</v>
      </c>
      <c r="X69" s="238">
        <v>5</v>
      </c>
      <c r="Y69" s="101">
        <v>10</v>
      </c>
    </row>
    <row r="70" spans="1:25" ht="15.75" thickBot="1" x14ac:dyDescent="0.3">
      <c r="A70" s="108" t="s">
        <v>85</v>
      </c>
      <c r="B70" s="35">
        <v>140</v>
      </c>
      <c r="C70" s="35">
        <v>240</v>
      </c>
      <c r="D70" s="35">
        <v>12</v>
      </c>
      <c r="E70" s="114">
        <f t="shared" ref="E70:E72" si="16">(B70*C70*D70)/1000000</f>
        <v>0.4032</v>
      </c>
      <c r="F70" s="23">
        <f>'KASIM 2 HAFTA '!V69</f>
        <v>4</v>
      </c>
      <c r="G70" s="110">
        <f t="shared" ref="G70:G72" si="17">E70*F70</f>
        <v>1.6128</v>
      </c>
      <c r="H70" s="21">
        <v>0</v>
      </c>
      <c r="I70" s="115">
        <f t="shared" si="12"/>
        <v>0</v>
      </c>
      <c r="J70" s="21">
        <v>0</v>
      </c>
      <c r="K70" s="48">
        <f t="shared" si="13"/>
        <v>0</v>
      </c>
      <c r="L70" s="21">
        <v>0</v>
      </c>
      <c r="M70" s="100">
        <f t="shared" ref="M70" si="18">I70*L70</f>
        <v>0</v>
      </c>
      <c r="N70" s="21">
        <v>0</v>
      </c>
      <c r="O70" s="10">
        <f t="shared" ref="O70:O72" si="19">E70*N70</f>
        <v>0</v>
      </c>
      <c r="P70" s="21">
        <v>0</v>
      </c>
      <c r="Q70" s="46">
        <f t="shared" ref="Q70:Q72" si="20">E70*P70</f>
        <v>0</v>
      </c>
      <c r="R70" s="86">
        <f t="shared" si="11"/>
        <v>4</v>
      </c>
      <c r="S70" s="87">
        <f t="shared" si="15"/>
        <v>1.6128</v>
      </c>
      <c r="T70" s="142"/>
      <c r="U70" s="139">
        <f t="shared" si="12"/>
        <v>0</v>
      </c>
      <c r="V70" s="141">
        <f t="shared" ref="V70:V72" si="21">R70+T70</f>
        <v>4</v>
      </c>
      <c r="W70" s="107">
        <f t="shared" ref="W70:W72" si="22">E70*V70</f>
        <v>1.6128</v>
      </c>
      <c r="X70" s="238">
        <v>20</v>
      </c>
      <c r="Y70" s="101">
        <v>50</v>
      </c>
    </row>
    <row r="71" spans="1:25" x14ac:dyDescent="0.25">
      <c r="A71" s="108" t="s">
        <v>96</v>
      </c>
      <c r="B71" s="130">
        <v>140</v>
      </c>
      <c r="C71" s="130">
        <v>240</v>
      </c>
      <c r="D71" s="130">
        <v>2</v>
      </c>
      <c r="E71" s="131">
        <f t="shared" si="16"/>
        <v>6.7199999999999996E-2</v>
      </c>
      <c r="F71" s="23">
        <f>'KASIM 2 HAFTA '!V70</f>
        <v>221</v>
      </c>
      <c r="G71" s="135">
        <f t="shared" si="17"/>
        <v>14.851199999999999</v>
      </c>
      <c r="H71" s="21">
        <v>0</v>
      </c>
      <c r="I71" s="115">
        <f t="shared" si="12"/>
        <v>0</v>
      </c>
      <c r="J71" s="21">
        <v>0</v>
      </c>
      <c r="K71" s="173">
        <f t="shared" si="13"/>
        <v>0</v>
      </c>
      <c r="L71" s="21">
        <v>0</v>
      </c>
      <c r="M71" s="11">
        <f t="shared" ref="M71:M72" si="23">E71*L71</f>
        <v>0</v>
      </c>
      <c r="N71" s="21">
        <v>0</v>
      </c>
      <c r="O71" s="173">
        <f t="shared" si="19"/>
        <v>0</v>
      </c>
      <c r="P71" s="21">
        <v>0</v>
      </c>
      <c r="Q71" s="154">
        <f t="shared" si="20"/>
        <v>0</v>
      </c>
      <c r="R71" s="86">
        <f t="shared" ref="R71:R72" si="24">F71-H71-J71-L71-N71-P71</f>
        <v>221</v>
      </c>
      <c r="S71" s="97">
        <f t="shared" si="15"/>
        <v>14.851199999999999</v>
      </c>
      <c r="T71" s="142">
        <v>0</v>
      </c>
      <c r="U71" s="139">
        <f t="shared" ref="U71:U72" si="25">E71*T71</f>
        <v>0</v>
      </c>
      <c r="V71" s="141">
        <f t="shared" si="21"/>
        <v>221</v>
      </c>
      <c r="W71" s="141">
        <f t="shared" si="22"/>
        <v>14.851199999999999</v>
      </c>
      <c r="X71" s="238">
        <v>30</v>
      </c>
      <c r="Y71" s="101">
        <v>100</v>
      </c>
    </row>
    <row r="72" spans="1:25" x14ac:dyDescent="0.25">
      <c r="A72" s="108" t="s">
        <v>95</v>
      </c>
      <c r="B72" s="132">
        <v>61</v>
      </c>
      <c r="C72" s="132">
        <v>61</v>
      </c>
      <c r="D72" s="132">
        <v>3</v>
      </c>
      <c r="E72" s="133">
        <f t="shared" si="16"/>
        <v>1.1162999999999999E-2</v>
      </c>
      <c r="F72" s="23">
        <f>'KASIM 2 HAFTA '!V71</f>
        <v>13</v>
      </c>
      <c r="G72" s="136">
        <f t="shared" si="17"/>
        <v>0.145119</v>
      </c>
      <c r="H72" s="21">
        <v>0</v>
      </c>
      <c r="I72" s="115">
        <f t="shared" si="12"/>
        <v>0</v>
      </c>
      <c r="J72" s="21">
        <v>1</v>
      </c>
      <c r="K72" s="174">
        <f t="shared" si="13"/>
        <v>1.1162999999999999E-2</v>
      </c>
      <c r="L72" s="21">
        <v>0</v>
      </c>
      <c r="M72" s="11">
        <f t="shared" si="23"/>
        <v>0</v>
      </c>
      <c r="N72" s="21">
        <v>0</v>
      </c>
      <c r="O72" s="174">
        <f t="shared" si="19"/>
        <v>0</v>
      </c>
      <c r="P72" s="21">
        <v>0</v>
      </c>
      <c r="Q72" s="115">
        <f t="shared" si="20"/>
        <v>0</v>
      </c>
      <c r="R72" s="86">
        <f t="shared" si="24"/>
        <v>12</v>
      </c>
      <c r="S72" s="97">
        <f t="shared" si="15"/>
        <v>0.13395599999999999</v>
      </c>
      <c r="T72" s="142">
        <v>1</v>
      </c>
      <c r="U72" s="139">
        <f t="shared" si="25"/>
        <v>1.1162999999999999E-2</v>
      </c>
      <c r="V72" s="141">
        <f t="shared" si="21"/>
        <v>13</v>
      </c>
      <c r="W72" s="141">
        <f t="shared" si="22"/>
        <v>0.145119</v>
      </c>
      <c r="X72" s="238">
        <v>0</v>
      </c>
      <c r="Y72" s="101">
        <v>0</v>
      </c>
    </row>
  </sheetData>
  <mergeCells count="24">
    <mergeCell ref="R4:S4"/>
    <mergeCell ref="T4:U4"/>
    <mergeCell ref="V4:W4"/>
    <mergeCell ref="F4:G4"/>
    <mergeCell ref="H4:I4"/>
    <mergeCell ref="J4:K4"/>
    <mergeCell ref="L4:M4"/>
    <mergeCell ref="N4:O4"/>
    <mergeCell ref="P4:Q4"/>
    <mergeCell ref="P2:Q2"/>
    <mergeCell ref="R2:S3"/>
    <mergeCell ref="T2:U3"/>
    <mergeCell ref="V2:W3"/>
    <mergeCell ref="H3:I3"/>
    <mergeCell ref="J3:K3"/>
    <mergeCell ref="L3:M3"/>
    <mergeCell ref="N3:O3"/>
    <mergeCell ref="P3:Q3"/>
    <mergeCell ref="N2:O2"/>
    <mergeCell ref="B1:G1"/>
    <mergeCell ref="F2:G3"/>
    <mergeCell ref="H2:I2"/>
    <mergeCell ref="J2:K2"/>
    <mergeCell ref="L2:M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75"/>
  <sheetViews>
    <sheetView workbookViewId="0">
      <selection activeCell="R5" sqref="R5"/>
    </sheetView>
  </sheetViews>
  <sheetFormatPr defaultRowHeight="15" x14ac:dyDescent="0.25"/>
  <cols>
    <col min="1" max="1" width="6.42578125" customWidth="1"/>
    <col min="2" max="2" width="23.85546875" style="3" customWidth="1"/>
    <col min="3" max="5" width="6.140625" style="2" hidden="1" customWidth="1"/>
    <col min="6" max="6" width="9" style="4" hidden="1" customWidth="1"/>
    <col min="7" max="8" width="9" style="5" customWidth="1"/>
    <col min="9" max="20" width="8.140625" style="2" customWidth="1"/>
    <col min="25" max="25" width="10.28515625" customWidth="1"/>
  </cols>
  <sheetData>
    <row r="1" spans="1:26" ht="15.75" thickBot="1" x14ac:dyDescent="0.3">
      <c r="B1" s="4" t="s">
        <v>18</v>
      </c>
      <c r="C1" s="320" t="s">
        <v>94</v>
      </c>
      <c r="D1" s="320"/>
      <c r="E1" s="320"/>
      <c r="F1" s="320"/>
      <c r="G1" s="320"/>
      <c r="H1" s="320"/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44886</v>
      </c>
      <c r="J2" s="326"/>
      <c r="K2" s="327">
        <v>44887</v>
      </c>
      <c r="L2" s="328"/>
      <c r="M2" s="325">
        <v>44888</v>
      </c>
      <c r="N2" s="329"/>
      <c r="O2" s="327">
        <v>44889</v>
      </c>
      <c r="P2" s="346"/>
      <c r="Q2" s="325">
        <v>44890</v>
      </c>
      <c r="R2" s="329"/>
      <c r="S2" s="330" t="s">
        <v>69</v>
      </c>
      <c r="T2" s="331"/>
      <c r="U2" s="334" t="s">
        <v>70</v>
      </c>
      <c r="V2" s="335"/>
      <c r="W2" s="338" t="s">
        <v>71</v>
      </c>
      <c r="X2" s="339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40"/>
      <c r="X3" s="341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51" t="s">
        <v>63</v>
      </c>
      <c r="X4" s="352"/>
      <c r="Y4" s="268" t="s">
        <v>99</v>
      </c>
      <c r="Z4" s="269" t="s">
        <v>100</v>
      </c>
    </row>
    <row r="5" spans="1:26" x14ac:dyDescent="0.25">
      <c r="A5" s="263">
        <v>1</v>
      </c>
      <c r="B5" s="256" t="s">
        <v>2</v>
      </c>
      <c r="C5" s="32">
        <v>140</v>
      </c>
      <c r="D5" s="33">
        <v>240</v>
      </c>
      <c r="E5" s="33">
        <v>1</v>
      </c>
      <c r="F5" s="15">
        <f>(C5*D5*E5)/1000000</f>
        <v>3.3599999999999998E-2</v>
      </c>
      <c r="G5" s="23">
        <f>'KASIM 3 HAFTA '!V5</f>
        <v>621</v>
      </c>
      <c r="H5" s="24">
        <f>F5*G5</f>
        <v>20.865599999999997</v>
      </c>
      <c r="I5" s="21">
        <v>0</v>
      </c>
      <c r="J5" s="11">
        <f>F5*I5</f>
        <v>0</v>
      </c>
      <c r="K5" s="21">
        <v>234</v>
      </c>
      <c r="L5" s="10">
        <f t="shared" ref="L5:L68" si="0">F5*K5</f>
        <v>7.8623999999999992</v>
      </c>
      <c r="M5" s="21">
        <v>0</v>
      </c>
      <c r="N5" s="11">
        <f t="shared" ref="N5:N68" si="1">F5*M5</f>
        <v>0</v>
      </c>
      <c r="O5" s="21">
        <v>27</v>
      </c>
      <c r="P5" s="10">
        <f>F5*O5</f>
        <v>0.9071999999999999</v>
      </c>
      <c r="Q5" s="21">
        <v>31</v>
      </c>
      <c r="R5" s="11">
        <f>F5*Q5</f>
        <v>1.0415999999999999</v>
      </c>
      <c r="S5" s="39">
        <f>G5-I5-K5-M5-O5-Q5</f>
        <v>329</v>
      </c>
      <c r="T5" s="38">
        <f t="shared" ref="T5:T68" si="2">F5*S5</f>
        <v>11.054399999999999</v>
      </c>
      <c r="U5" s="12">
        <v>0</v>
      </c>
      <c r="V5" s="13">
        <f>F5*U5</f>
        <v>0</v>
      </c>
      <c r="W5" s="49">
        <f>S5+U5</f>
        <v>329</v>
      </c>
      <c r="X5" s="50">
        <f>F5*W5</f>
        <v>11.054399999999999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3</v>
      </c>
      <c r="C6" s="34">
        <v>140</v>
      </c>
      <c r="D6" s="35">
        <v>240</v>
      </c>
      <c r="E6" s="35">
        <v>0.8</v>
      </c>
      <c r="F6" s="19">
        <f t="shared" ref="F6:F69" si="3">(C6*D6*E6)/1000000</f>
        <v>2.6880000000000001E-2</v>
      </c>
      <c r="G6" s="23">
        <f>'KASIM 3 HAFTA '!V6</f>
        <v>98</v>
      </c>
      <c r="H6" s="26">
        <f t="shared" ref="H6:H69" si="4">F6*G6</f>
        <v>2.6342400000000001</v>
      </c>
      <c r="I6" s="21">
        <v>8</v>
      </c>
      <c r="J6" s="11">
        <f t="shared" ref="J6:V67" si="5">F6*I6</f>
        <v>0.21504000000000001</v>
      </c>
      <c r="K6" s="21">
        <v>21</v>
      </c>
      <c r="L6" s="10">
        <f t="shared" si="0"/>
        <v>0.56447999999999998</v>
      </c>
      <c r="M6" s="21">
        <v>16</v>
      </c>
      <c r="N6" s="11">
        <f t="shared" si="1"/>
        <v>0.43008000000000002</v>
      </c>
      <c r="O6" s="21">
        <v>6</v>
      </c>
      <c r="P6" s="10">
        <f t="shared" ref="P6:P69" si="6">F6*O6</f>
        <v>0.16128000000000001</v>
      </c>
      <c r="Q6" s="21">
        <v>9</v>
      </c>
      <c r="R6" s="11">
        <f t="shared" ref="R6:R69" si="7">F6*Q6</f>
        <v>0.24192000000000002</v>
      </c>
      <c r="S6" s="39">
        <f>G6-I6-K6-M6-O6-Q6</f>
        <v>38</v>
      </c>
      <c r="T6" s="38">
        <f t="shared" si="2"/>
        <v>1.0214400000000001</v>
      </c>
      <c r="U6" s="12">
        <v>100</v>
      </c>
      <c r="V6" s="13">
        <f t="shared" ref="V6:V66" si="8">F6*U6</f>
        <v>2.6880000000000002</v>
      </c>
      <c r="W6" s="49">
        <f t="shared" ref="W6:W69" si="9">S6+U6</f>
        <v>138</v>
      </c>
      <c r="X6" s="50">
        <f t="shared" ref="X6:X69" si="10">F6*W6</f>
        <v>3.7094400000000003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4</v>
      </c>
      <c r="C7" s="34">
        <v>140</v>
      </c>
      <c r="D7" s="35">
        <v>240</v>
      </c>
      <c r="E7" s="35">
        <v>1.4</v>
      </c>
      <c r="F7" s="19">
        <f t="shared" si="3"/>
        <v>4.7039999999999998E-2</v>
      </c>
      <c r="G7" s="23">
        <f>'KASIM 3 HAFTA '!V7</f>
        <v>95</v>
      </c>
      <c r="H7" s="26">
        <f t="shared" si="4"/>
        <v>4.4687999999999999</v>
      </c>
      <c r="I7" s="21">
        <v>45</v>
      </c>
      <c r="J7" s="11">
        <f t="shared" si="5"/>
        <v>2.1168</v>
      </c>
      <c r="K7" s="21">
        <v>0</v>
      </c>
      <c r="L7" s="10">
        <f t="shared" si="0"/>
        <v>0</v>
      </c>
      <c r="M7" s="21">
        <v>138</v>
      </c>
      <c r="N7" s="11">
        <f t="shared" si="1"/>
        <v>6.4915199999999995</v>
      </c>
      <c r="O7" s="21">
        <v>32</v>
      </c>
      <c r="P7" s="10">
        <f t="shared" si="6"/>
        <v>1.50528</v>
      </c>
      <c r="Q7" s="21">
        <v>42</v>
      </c>
      <c r="R7" s="11">
        <f t="shared" si="7"/>
        <v>1.9756799999999999</v>
      </c>
      <c r="S7" s="39">
        <f t="shared" ref="S7:S70" si="11">G7-I7-K7-M7-O7-Q7</f>
        <v>-162</v>
      </c>
      <c r="T7" s="38">
        <f t="shared" si="2"/>
        <v>-7.6204799999999997</v>
      </c>
      <c r="U7" s="12">
        <v>240</v>
      </c>
      <c r="V7" s="13">
        <f t="shared" si="8"/>
        <v>11.2896</v>
      </c>
      <c r="W7" s="49">
        <f t="shared" si="9"/>
        <v>78</v>
      </c>
      <c r="X7" s="50">
        <f t="shared" si="10"/>
        <v>3.6691199999999999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5</v>
      </c>
      <c r="C8" s="34">
        <v>140</v>
      </c>
      <c r="D8" s="35">
        <v>240</v>
      </c>
      <c r="E8" s="35">
        <v>4</v>
      </c>
      <c r="F8" s="19">
        <f t="shared" si="3"/>
        <v>0.13439999999999999</v>
      </c>
      <c r="G8" s="23">
        <f>'KASIM 3 HAFTA '!V8</f>
        <v>15</v>
      </c>
      <c r="H8" s="26">
        <f t="shared" si="4"/>
        <v>2.016</v>
      </c>
      <c r="I8" s="21">
        <v>11</v>
      </c>
      <c r="J8" s="11">
        <f t="shared" si="5"/>
        <v>1.4783999999999999</v>
      </c>
      <c r="K8" s="21">
        <v>1</v>
      </c>
      <c r="L8" s="10">
        <f t="shared" si="0"/>
        <v>0.13439999999999999</v>
      </c>
      <c r="M8" s="21">
        <v>0</v>
      </c>
      <c r="N8" s="11">
        <f t="shared" si="1"/>
        <v>0</v>
      </c>
      <c r="O8" s="21">
        <v>1</v>
      </c>
      <c r="P8" s="10">
        <f t="shared" si="6"/>
        <v>0.13439999999999999</v>
      </c>
      <c r="Q8" s="21">
        <v>0</v>
      </c>
      <c r="R8" s="11">
        <f t="shared" si="7"/>
        <v>0</v>
      </c>
      <c r="S8" s="39">
        <f t="shared" si="11"/>
        <v>2</v>
      </c>
      <c r="T8" s="38">
        <f t="shared" si="2"/>
        <v>0.26879999999999998</v>
      </c>
      <c r="U8" s="12"/>
      <c r="V8" s="13">
        <f t="shared" si="8"/>
        <v>0</v>
      </c>
      <c r="W8" s="49">
        <f t="shared" si="9"/>
        <v>2</v>
      </c>
      <c r="X8" s="50">
        <f t="shared" si="10"/>
        <v>0.26879999999999998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6</v>
      </c>
      <c r="C9" s="34">
        <v>140</v>
      </c>
      <c r="D9" s="35">
        <v>240</v>
      </c>
      <c r="E9" s="35">
        <v>2</v>
      </c>
      <c r="F9" s="19">
        <f t="shared" si="3"/>
        <v>6.7199999999999996E-2</v>
      </c>
      <c r="G9" s="23">
        <f>'KASIM 3 HAFTA '!V9</f>
        <v>99</v>
      </c>
      <c r="H9" s="26">
        <f t="shared" si="4"/>
        <v>6.6527999999999992</v>
      </c>
      <c r="I9" s="21">
        <v>3</v>
      </c>
      <c r="J9" s="11">
        <f t="shared" si="5"/>
        <v>0.2016</v>
      </c>
      <c r="K9" s="21">
        <v>2</v>
      </c>
      <c r="L9" s="10">
        <f t="shared" si="0"/>
        <v>0.13439999999999999</v>
      </c>
      <c r="M9" s="21">
        <v>2</v>
      </c>
      <c r="N9" s="11">
        <f t="shared" si="1"/>
        <v>0.13439999999999999</v>
      </c>
      <c r="O9" s="21">
        <v>5</v>
      </c>
      <c r="P9" s="10">
        <f t="shared" si="6"/>
        <v>0.33599999999999997</v>
      </c>
      <c r="Q9" s="21">
        <v>7</v>
      </c>
      <c r="R9" s="11">
        <f t="shared" si="7"/>
        <v>0.47039999999999998</v>
      </c>
      <c r="S9" s="39">
        <f t="shared" si="11"/>
        <v>80</v>
      </c>
      <c r="T9" s="38">
        <f t="shared" si="2"/>
        <v>5.3759999999999994</v>
      </c>
      <c r="U9" s="12"/>
      <c r="V9" s="13">
        <f t="shared" si="8"/>
        <v>0</v>
      </c>
      <c r="W9" s="49">
        <f t="shared" si="9"/>
        <v>80</v>
      </c>
      <c r="X9" s="50">
        <f t="shared" si="10"/>
        <v>5.3759999999999994</v>
      </c>
      <c r="Y9" s="238">
        <v>50</v>
      </c>
      <c r="Z9" s="101">
        <v>150</v>
      </c>
    </row>
    <row r="10" spans="1:26" x14ac:dyDescent="0.25">
      <c r="A10" s="264">
        <v>6</v>
      </c>
      <c r="B10" s="256" t="s">
        <v>7</v>
      </c>
      <c r="C10" s="34">
        <v>140</v>
      </c>
      <c r="D10" s="35">
        <v>240</v>
      </c>
      <c r="E10" s="35">
        <v>2</v>
      </c>
      <c r="F10" s="19">
        <f t="shared" si="3"/>
        <v>6.7199999999999996E-2</v>
      </c>
      <c r="G10" s="23">
        <f>'KASIM 3 HAFTA '!V10</f>
        <v>164</v>
      </c>
      <c r="H10" s="26">
        <f t="shared" si="4"/>
        <v>11.020799999999999</v>
      </c>
      <c r="I10" s="21">
        <v>30</v>
      </c>
      <c r="J10" s="11">
        <f t="shared" si="5"/>
        <v>2.016</v>
      </c>
      <c r="K10" s="21">
        <v>0</v>
      </c>
      <c r="L10" s="10">
        <f t="shared" si="0"/>
        <v>0</v>
      </c>
      <c r="M10" s="21">
        <v>0</v>
      </c>
      <c r="N10" s="11">
        <f t="shared" si="1"/>
        <v>0</v>
      </c>
      <c r="O10" s="21">
        <v>31</v>
      </c>
      <c r="P10" s="10">
        <f t="shared" si="6"/>
        <v>2.0831999999999997</v>
      </c>
      <c r="Q10" s="21">
        <v>15</v>
      </c>
      <c r="R10" s="11">
        <f t="shared" si="7"/>
        <v>1.008</v>
      </c>
      <c r="S10" s="39">
        <f t="shared" si="11"/>
        <v>88</v>
      </c>
      <c r="T10" s="38">
        <f t="shared" si="2"/>
        <v>5.9135999999999997</v>
      </c>
      <c r="U10" s="12"/>
      <c r="V10" s="13">
        <f t="shared" si="8"/>
        <v>0</v>
      </c>
      <c r="W10" s="49">
        <f t="shared" si="9"/>
        <v>88</v>
      </c>
      <c r="X10" s="50">
        <f t="shared" si="10"/>
        <v>5.9135999999999997</v>
      </c>
      <c r="Y10" s="238">
        <v>75</v>
      </c>
      <c r="Z10" s="101">
        <v>300</v>
      </c>
    </row>
    <row r="11" spans="1:26" x14ac:dyDescent="0.25">
      <c r="A11" s="264">
        <v>7</v>
      </c>
      <c r="B11" s="256" t="s">
        <v>8</v>
      </c>
      <c r="C11" s="34">
        <v>140</v>
      </c>
      <c r="D11" s="35">
        <v>240</v>
      </c>
      <c r="E11" s="35">
        <v>7</v>
      </c>
      <c r="F11" s="19">
        <f t="shared" si="3"/>
        <v>0.23519999999999999</v>
      </c>
      <c r="G11" s="23">
        <f>'KASIM 3 HAFTA '!V11</f>
        <v>83</v>
      </c>
      <c r="H11" s="26">
        <f t="shared" si="4"/>
        <v>19.521599999999999</v>
      </c>
      <c r="I11" s="21">
        <v>4</v>
      </c>
      <c r="J11" s="11">
        <f t="shared" si="5"/>
        <v>0.94079999999999997</v>
      </c>
      <c r="K11" s="21">
        <v>0</v>
      </c>
      <c r="L11" s="10">
        <f t="shared" si="0"/>
        <v>0</v>
      </c>
      <c r="M11" s="21">
        <v>1</v>
      </c>
      <c r="N11" s="11">
        <f t="shared" si="1"/>
        <v>0.23519999999999999</v>
      </c>
      <c r="O11" s="21">
        <v>4</v>
      </c>
      <c r="P11" s="10">
        <f t="shared" si="6"/>
        <v>0.94079999999999997</v>
      </c>
      <c r="Q11" s="21">
        <v>6</v>
      </c>
      <c r="R11" s="11">
        <f t="shared" si="7"/>
        <v>1.4112</v>
      </c>
      <c r="S11" s="39">
        <f t="shared" si="11"/>
        <v>68</v>
      </c>
      <c r="T11" s="38">
        <f t="shared" si="2"/>
        <v>15.993599999999999</v>
      </c>
      <c r="U11" s="12">
        <v>0</v>
      </c>
      <c r="V11" s="13">
        <f t="shared" si="8"/>
        <v>0</v>
      </c>
      <c r="W11" s="49">
        <f t="shared" si="9"/>
        <v>68</v>
      </c>
      <c r="X11" s="50">
        <f t="shared" si="10"/>
        <v>15.993599999999999</v>
      </c>
      <c r="Y11" s="238">
        <v>20</v>
      </c>
      <c r="Z11" s="101">
        <v>50</v>
      </c>
    </row>
    <row r="12" spans="1:26" x14ac:dyDescent="0.25">
      <c r="A12" s="264">
        <v>8</v>
      </c>
      <c r="B12" s="256" t="s">
        <v>9</v>
      </c>
      <c r="C12" s="34">
        <v>140</v>
      </c>
      <c r="D12" s="35">
        <v>240</v>
      </c>
      <c r="E12" s="35">
        <v>5</v>
      </c>
      <c r="F12" s="19">
        <f t="shared" si="3"/>
        <v>0.16800000000000001</v>
      </c>
      <c r="G12" s="23">
        <f>'KASIM 3 HAFTA '!V12</f>
        <v>299</v>
      </c>
      <c r="H12" s="26">
        <f t="shared" si="4"/>
        <v>50.232000000000006</v>
      </c>
      <c r="I12" s="21">
        <v>1</v>
      </c>
      <c r="J12" s="11">
        <f t="shared" si="5"/>
        <v>0.16800000000000001</v>
      </c>
      <c r="K12" s="21">
        <v>1</v>
      </c>
      <c r="L12" s="10">
        <f t="shared" si="0"/>
        <v>0.16800000000000001</v>
      </c>
      <c r="M12" s="21">
        <v>2</v>
      </c>
      <c r="N12" s="11">
        <f t="shared" si="1"/>
        <v>0.33600000000000002</v>
      </c>
      <c r="O12" s="21">
        <v>4</v>
      </c>
      <c r="P12" s="10">
        <f t="shared" si="6"/>
        <v>0.67200000000000004</v>
      </c>
      <c r="Q12" s="21">
        <v>0</v>
      </c>
      <c r="R12" s="11">
        <f t="shared" si="7"/>
        <v>0</v>
      </c>
      <c r="S12" s="39">
        <f t="shared" si="11"/>
        <v>291</v>
      </c>
      <c r="T12" s="38">
        <f t="shared" si="2"/>
        <v>48.888000000000005</v>
      </c>
      <c r="U12" s="12"/>
      <c r="V12" s="13">
        <f t="shared" si="8"/>
        <v>0</v>
      </c>
      <c r="W12" s="49">
        <f t="shared" si="9"/>
        <v>291</v>
      </c>
      <c r="X12" s="50">
        <f t="shared" si="10"/>
        <v>48.888000000000005</v>
      </c>
      <c r="Y12" s="238">
        <v>30</v>
      </c>
      <c r="Z12" s="101">
        <v>100</v>
      </c>
    </row>
    <row r="13" spans="1:26" x14ac:dyDescent="0.25">
      <c r="A13" s="264">
        <v>9</v>
      </c>
      <c r="B13" s="256" t="s">
        <v>10</v>
      </c>
      <c r="C13" s="34">
        <v>140</v>
      </c>
      <c r="D13" s="35">
        <v>240</v>
      </c>
      <c r="E13" s="35">
        <v>5</v>
      </c>
      <c r="F13" s="19">
        <f t="shared" si="3"/>
        <v>0.16800000000000001</v>
      </c>
      <c r="G13" s="23">
        <f>'KASIM 3 HAFTA '!V13</f>
        <v>4</v>
      </c>
      <c r="H13" s="26">
        <f t="shared" si="4"/>
        <v>0.67200000000000004</v>
      </c>
      <c r="I13" s="21">
        <v>1</v>
      </c>
      <c r="J13" s="11">
        <f t="shared" si="5"/>
        <v>0.16800000000000001</v>
      </c>
      <c r="K13" s="21">
        <v>0</v>
      </c>
      <c r="L13" s="10">
        <f t="shared" si="0"/>
        <v>0</v>
      </c>
      <c r="M13" s="21">
        <v>3</v>
      </c>
      <c r="N13" s="11">
        <f t="shared" si="1"/>
        <v>0.504</v>
      </c>
      <c r="O13" s="21">
        <v>0</v>
      </c>
      <c r="P13" s="10">
        <f t="shared" si="6"/>
        <v>0</v>
      </c>
      <c r="Q13" s="21">
        <v>0</v>
      </c>
      <c r="R13" s="11">
        <f t="shared" si="7"/>
        <v>0</v>
      </c>
      <c r="S13" s="39">
        <f t="shared" si="11"/>
        <v>0</v>
      </c>
      <c r="T13" s="38">
        <f t="shared" si="2"/>
        <v>0</v>
      </c>
      <c r="U13" s="12">
        <v>0</v>
      </c>
      <c r="V13" s="13">
        <f t="shared" si="8"/>
        <v>0</v>
      </c>
      <c r="W13" s="49">
        <f t="shared" si="9"/>
        <v>0</v>
      </c>
      <c r="X13" s="50">
        <f t="shared" si="10"/>
        <v>0</v>
      </c>
      <c r="Y13" s="238">
        <v>20</v>
      </c>
      <c r="Z13" s="101">
        <v>50</v>
      </c>
    </row>
    <row r="14" spans="1:26" x14ac:dyDescent="0.25">
      <c r="A14" s="264">
        <v>10</v>
      </c>
      <c r="B14" s="256" t="s">
        <v>11</v>
      </c>
      <c r="C14" s="34">
        <v>140</v>
      </c>
      <c r="D14" s="35">
        <v>240</v>
      </c>
      <c r="E14" s="35">
        <v>5</v>
      </c>
      <c r="F14" s="19">
        <f t="shared" si="3"/>
        <v>0.16800000000000001</v>
      </c>
      <c r="G14" s="23">
        <f>'KASIM 3 HAFTA '!V14</f>
        <v>95</v>
      </c>
      <c r="H14" s="26">
        <f t="shared" si="4"/>
        <v>15.96</v>
      </c>
      <c r="I14" s="21">
        <v>0</v>
      </c>
      <c r="J14" s="11">
        <f t="shared" si="5"/>
        <v>0</v>
      </c>
      <c r="K14" s="21">
        <v>26</v>
      </c>
      <c r="L14" s="10">
        <f t="shared" si="0"/>
        <v>4.3680000000000003</v>
      </c>
      <c r="M14" s="21">
        <v>6</v>
      </c>
      <c r="N14" s="11">
        <f t="shared" si="1"/>
        <v>1.008</v>
      </c>
      <c r="O14" s="21">
        <v>6</v>
      </c>
      <c r="P14" s="10">
        <f t="shared" si="6"/>
        <v>1.008</v>
      </c>
      <c r="Q14" s="21">
        <v>6</v>
      </c>
      <c r="R14" s="11">
        <f t="shared" si="7"/>
        <v>1.008</v>
      </c>
      <c r="S14" s="39">
        <f t="shared" si="11"/>
        <v>51</v>
      </c>
      <c r="T14" s="38">
        <f t="shared" si="2"/>
        <v>8.5680000000000014</v>
      </c>
      <c r="U14" s="12"/>
      <c r="V14" s="13">
        <f t="shared" si="8"/>
        <v>0</v>
      </c>
      <c r="W14" s="49">
        <f t="shared" si="9"/>
        <v>51</v>
      </c>
      <c r="X14" s="50">
        <f t="shared" si="10"/>
        <v>8.5680000000000014</v>
      </c>
      <c r="Y14" s="238">
        <v>30</v>
      </c>
      <c r="Z14" s="101">
        <v>100</v>
      </c>
    </row>
    <row r="15" spans="1:26" x14ac:dyDescent="0.25">
      <c r="A15" s="264">
        <v>11</v>
      </c>
      <c r="B15" s="256" t="s">
        <v>12</v>
      </c>
      <c r="C15" s="34">
        <v>140</v>
      </c>
      <c r="D15" s="35">
        <v>240</v>
      </c>
      <c r="E15" s="35">
        <v>10</v>
      </c>
      <c r="F15" s="19">
        <f t="shared" si="3"/>
        <v>0.33600000000000002</v>
      </c>
      <c r="G15" s="23">
        <f>'KASIM 3 HAFTA '!V15</f>
        <v>8</v>
      </c>
      <c r="H15" s="26">
        <f t="shared" si="4"/>
        <v>2.6880000000000002</v>
      </c>
      <c r="I15" s="21">
        <v>2</v>
      </c>
      <c r="J15" s="11">
        <f t="shared" si="5"/>
        <v>0.67200000000000004</v>
      </c>
      <c r="K15" s="21">
        <v>0</v>
      </c>
      <c r="L15" s="10">
        <f t="shared" si="0"/>
        <v>0</v>
      </c>
      <c r="M15" s="21">
        <v>0</v>
      </c>
      <c r="N15" s="11">
        <f t="shared" si="1"/>
        <v>0</v>
      </c>
      <c r="O15" s="21">
        <v>0</v>
      </c>
      <c r="P15" s="10">
        <f t="shared" si="6"/>
        <v>0</v>
      </c>
      <c r="Q15" s="21">
        <v>0</v>
      </c>
      <c r="R15" s="11">
        <f t="shared" si="7"/>
        <v>0</v>
      </c>
      <c r="S15" s="39">
        <f t="shared" si="11"/>
        <v>6</v>
      </c>
      <c r="T15" s="38">
        <f t="shared" si="2"/>
        <v>2.016</v>
      </c>
      <c r="U15" s="12"/>
      <c r="V15" s="13">
        <f t="shared" si="8"/>
        <v>0</v>
      </c>
      <c r="W15" s="49">
        <f t="shared" si="9"/>
        <v>6</v>
      </c>
      <c r="X15" s="50">
        <f t="shared" si="10"/>
        <v>2.016</v>
      </c>
      <c r="Y15" s="238">
        <v>20</v>
      </c>
      <c r="Z15" s="101">
        <v>70</v>
      </c>
    </row>
    <row r="16" spans="1:26" x14ac:dyDescent="0.25">
      <c r="A16" s="264">
        <v>12</v>
      </c>
      <c r="B16" s="256" t="s">
        <v>13</v>
      </c>
      <c r="C16" s="34">
        <v>140</v>
      </c>
      <c r="D16" s="35">
        <v>240</v>
      </c>
      <c r="E16" s="35">
        <v>3</v>
      </c>
      <c r="F16" s="19">
        <f t="shared" si="3"/>
        <v>0.1008</v>
      </c>
      <c r="G16" s="23">
        <f>'KASIM 3 HAFTA '!V16</f>
        <v>0</v>
      </c>
      <c r="H16" s="26">
        <f t="shared" si="4"/>
        <v>0</v>
      </c>
      <c r="I16" s="21">
        <v>0</v>
      </c>
      <c r="J16" s="11">
        <f t="shared" si="5"/>
        <v>0</v>
      </c>
      <c r="K16" s="21">
        <v>0</v>
      </c>
      <c r="L16" s="10">
        <f t="shared" si="0"/>
        <v>0</v>
      </c>
      <c r="M16" s="21">
        <v>0</v>
      </c>
      <c r="N16" s="11">
        <f t="shared" si="1"/>
        <v>0</v>
      </c>
      <c r="O16" s="21">
        <v>0</v>
      </c>
      <c r="P16" s="10">
        <f t="shared" si="6"/>
        <v>0</v>
      </c>
      <c r="Q16" s="21">
        <v>0</v>
      </c>
      <c r="R16" s="11">
        <f t="shared" si="7"/>
        <v>0</v>
      </c>
      <c r="S16" s="39">
        <f t="shared" si="11"/>
        <v>0</v>
      </c>
      <c r="T16" s="38">
        <f t="shared" si="2"/>
        <v>0</v>
      </c>
      <c r="U16" s="12"/>
      <c r="V16" s="13">
        <f t="shared" si="8"/>
        <v>0</v>
      </c>
      <c r="W16" s="49">
        <f t="shared" si="9"/>
        <v>0</v>
      </c>
      <c r="X16" s="50">
        <f t="shared" si="10"/>
        <v>0</v>
      </c>
      <c r="Y16" s="238">
        <v>50</v>
      </c>
      <c r="Z16" s="101">
        <v>150</v>
      </c>
    </row>
    <row r="17" spans="1:26" x14ac:dyDescent="0.25">
      <c r="A17" s="264">
        <v>13</v>
      </c>
      <c r="B17" s="256" t="s">
        <v>14</v>
      </c>
      <c r="C17" s="34">
        <v>140</v>
      </c>
      <c r="D17" s="35">
        <v>240</v>
      </c>
      <c r="E17" s="35">
        <v>5</v>
      </c>
      <c r="F17" s="19">
        <f t="shared" si="3"/>
        <v>0.16800000000000001</v>
      </c>
      <c r="G17" s="23">
        <f>'KASIM 3 HAFTA '!V17</f>
        <v>94</v>
      </c>
      <c r="H17" s="26">
        <f t="shared" si="4"/>
        <v>15.792000000000002</v>
      </c>
      <c r="I17" s="21">
        <v>0</v>
      </c>
      <c r="J17" s="11">
        <f t="shared" si="5"/>
        <v>0</v>
      </c>
      <c r="K17" s="21">
        <v>0</v>
      </c>
      <c r="L17" s="10">
        <f t="shared" si="0"/>
        <v>0</v>
      </c>
      <c r="M17" s="21">
        <v>7</v>
      </c>
      <c r="N17" s="11">
        <f t="shared" si="1"/>
        <v>1.1760000000000002</v>
      </c>
      <c r="O17" s="21">
        <v>0</v>
      </c>
      <c r="P17" s="10">
        <f t="shared" si="6"/>
        <v>0</v>
      </c>
      <c r="Q17" s="21">
        <v>0</v>
      </c>
      <c r="R17" s="11">
        <f t="shared" si="7"/>
        <v>0</v>
      </c>
      <c r="S17" s="39">
        <f t="shared" si="11"/>
        <v>87</v>
      </c>
      <c r="T17" s="38">
        <f t="shared" si="2"/>
        <v>14.616000000000001</v>
      </c>
      <c r="U17" s="12"/>
      <c r="V17" s="13">
        <f t="shared" si="8"/>
        <v>0</v>
      </c>
      <c r="W17" s="49">
        <f t="shared" si="9"/>
        <v>87</v>
      </c>
      <c r="X17" s="50">
        <f t="shared" si="10"/>
        <v>14.616000000000001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15</v>
      </c>
      <c r="C18" s="34">
        <v>140</v>
      </c>
      <c r="D18" s="35">
        <v>240</v>
      </c>
      <c r="E18" s="35">
        <v>3</v>
      </c>
      <c r="F18" s="19">
        <f t="shared" si="3"/>
        <v>0.1008</v>
      </c>
      <c r="G18" s="23">
        <f>'KASIM 3 HAFTA '!V18</f>
        <v>63</v>
      </c>
      <c r="H18" s="26">
        <f t="shared" si="4"/>
        <v>6.3504000000000005</v>
      </c>
      <c r="I18" s="21">
        <v>24</v>
      </c>
      <c r="J18" s="11">
        <f t="shared" si="5"/>
        <v>2.4192</v>
      </c>
      <c r="K18" s="21">
        <v>13</v>
      </c>
      <c r="L18" s="10">
        <f t="shared" si="0"/>
        <v>1.3104</v>
      </c>
      <c r="M18" s="21">
        <v>8</v>
      </c>
      <c r="N18" s="11">
        <f t="shared" si="1"/>
        <v>0.80640000000000001</v>
      </c>
      <c r="O18" s="21">
        <v>16</v>
      </c>
      <c r="P18" s="10">
        <f t="shared" si="6"/>
        <v>1.6128</v>
      </c>
      <c r="Q18" s="21">
        <v>0</v>
      </c>
      <c r="R18" s="11">
        <f t="shared" si="7"/>
        <v>0</v>
      </c>
      <c r="S18" s="39">
        <f t="shared" si="11"/>
        <v>2</v>
      </c>
      <c r="T18" s="38">
        <f t="shared" si="2"/>
        <v>0.2016</v>
      </c>
      <c r="U18" s="12"/>
      <c r="V18" s="13">
        <f t="shared" si="8"/>
        <v>0</v>
      </c>
      <c r="W18" s="49">
        <f t="shared" si="9"/>
        <v>2</v>
      </c>
      <c r="X18" s="50">
        <f t="shared" si="10"/>
        <v>0.2016</v>
      </c>
      <c r="Y18" s="238">
        <v>30</v>
      </c>
      <c r="Z18" s="101">
        <v>100</v>
      </c>
    </row>
    <row r="19" spans="1:26" x14ac:dyDescent="0.25">
      <c r="A19" s="264">
        <v>15</v>
      </c>
      <c r="B19" s="256" t="s">
        <v>16</v>
      </c>
      <c r="C19" s="34">
        <v>140</v>
      </c>
      <c r="D19" s="35">
        <v>240</v>
      </c>
      <c r="E19" s="35">
        <v>8</v>
      </c>
      <c r="F19" s="19">
        <f t="shared" si="3"/>
        <v>0.26879999999999998</v>
      </c>
      <c r="G19" s="23">
        <f>'KASIM 3 HAFTA '!V19</f>
        <v>1</v>
      </c>
      <c r="H19" s="26">
        <f t="shared" si="4"/>
        <v>0.26879999999999998</v>
      </c>
      <c r="I19" s="21">
        <v>0</v>
      </c>
      <c r="J19" s="11">
        <f t="shared" si="5"/>
        <v>0</v>
      </c>
      <c r="K19" s="21">
        <v>0</v>
      </c>
      <c r="L19" s="10">
        <f t="shared" si="0"/>
        <v>0</v>
      </c>
      <c r="M19" s="21">
        <v>0</v>
      </c>
      <c r="N19" s="11">
        <f t="shared" si="1"/>
        <v>0</v>
      </c>
      <c r="O19" s="21">
        <v>0</v>
      </c>
      <c r="P19" s="10">
        <f t="shared" si="6"/>
        <v>0</v>
      </c>
      <c r="Q19" s="21">
        <v>0</v>
      </c>
      <c r="R19" s="11">
        <f t="shared" si="7"/>
        <v>0</v>
      </c>
      <c r="S19" s="39">
        <f t="shared" si="11"/>
        <v>1</v>
      </c>
      <c r="T19" s="38">
        <f t="shared" si="2"/>
        <v>0.26879999999999998</v>
      </c>
      <c r="U19" s="12"/>
      <c r="V19" s="13">
        <f t="shared" si="8"/>
        <v>0</v>
      </c>
      <c r="W19" s="49">
        <f t="shared" si="9"/>
        <v>1</v>
      </c>
      <c r="X19" s="50">
        <f t="shared" si="10"/>
        <v>0.26879999999999998</v>
      </c>
      <c r="Y19" s="238">
        <v>10</v>
      </c>
      <c r="Z19" s="101">
        <v>30</v>
      </c>
    </row>
    <row r="20" spans="1:26" x14ac:dyDescent="0.25">
      <c r="A20" s="264">
        <v>16</v>
      </c>
      <c r="B20" s="256" t="s">
        <v>17</v>
      </c>
      <c r="C20" s="34">
        <v>140</v>
      </c>
      <c r="D20" s="35">
        <v>240</v>
      </c>
      <c r="E20" s="35">
        <v>8</v>
      </c>
      <c r="F20" s="19">
        <f t="shared" si="3"/>
        <v>0.26879999999999998</v>
      </c>
      <c r="G20" s="23">
        <f>'KASIM 3 HAFTA '!V20</f>
        <v>0</v>
      </c>
      <c r="H20" s="26">
        <f t="shared" si="4"/>
        <v>0</v>
      </c>
      <c r="I20" s="21">
        <v>0</v>
      </c>
      <c r="J20" s="11">
        <f t="shared" si="5"/>
        <v>0</v>
      </c>
      <c r="K20" s="21">
        <v>0</v>
      </c>
      <c r="L20" s="10">
        <f t="shared" si="0"/>
        <v>0</v>
      </c>
      <c r="M20" s="21">
        <v>0</v>
      </c>
      <c r="N20" s="11">
        <f t="shared" si="1"/>
        <v>0</v>
      </c>
      <c r="O20" s="21">
        <v>0</v>
      </c>
      <c r="P20" s="10">
        <f t="shared" si="6"/>
        <v>0</v>
      </c>
      <c r="Q20" s="21">
        <v>0</v>
      </c>
      <c r="R20" s="11">
        <f t="shared" si="7"/>
        <v>0</v>
      </c>
      <c r="S20" s="39">
        <f t="shared" si="11"/>
        <v>0</v>
      </c>
      <c r="T20" s="38">
        <f t="shared" si="2"/>
        <v>0</v>
      </c>
      <c r="U20" s="12"/>
      <c r="V20" s="13">
        <f t="shared" si="8"/>
        <v>0</v>
      </c>
      <c r="W20" s="49">
        <f t="shared" si="9"/>
        <v>0</v>
      </c>
      <c r="X20" s="50">
        <f t="shared" si="10"/>
        <v>0</v>
      </c>
      <c r="Y20" s="238">
        <v>0</v>
      </c>
      <c r="Z20" s="101">
        <v>0</v>
      </c>
    </row>
    <row r="21" spans="1:26" x14ac:dyDescent="0.25">
      <c r="A21" s="264">
        <v>17</v>
      </c>
      <c r="B21" s="256" t="s">
        <v>19</v>
      </c>
      <c r="C21" s="34">
        <v>77</v>
      </c>
      <c r="D21" s="35">
        <v>55</v>
      </c>
      <c r="E21" s="35">
        <v>8</v>
      </c>
      <c r="F21" s="19">
        <f t="shared" si="3"/>
        <v>3.388E-2</v>
      </c>
      <c r="G21" s="23">
        <f>'KASIM 3 HAFTA '!V21</f>
        <v>4</v>
      </c>
      <c r="H21" s="26">
        <f t="shared" si="4"/>
        <v>0.13552</v>
      </c>
      <c r="I21" s="21">
        <v>0</v>
      </c>
      <c r="J21" s="11">
        <f t="shared" si="5"/>
        <v>0</v>
      </c>
      <c r="K21" s="21">
        <v>0</v>
      </c>
      <c r="L21" s="10">
        <f t="shared" si="0"/>
        <v>0</v>
      </c>
      <c r="M21" s="21">
        <v>0</v>
      </c>
      <c r="N21" s="11">
        <f t="shared" si="1"/>
        <v>0</v>
      </c>
      <c r="O21" s="21">
        <v>0</v>
      </c>
      <c r="P21" s="10">
        <f t="shared" si="6"/>
        <v>0</v>
      </c>
      <c r="Q21" s="21">
        <v>0</v>
      </c>
      <c r="R21" s="11">
        <f t="shared" si="7"/>
        <v>0</v>
      </c>
      <c r="S21" s="39">
        <f t="shared" si="11"/>
        <v>4</v>
      </c>
      <c r="T21" s="38">
        <f t="shared" si="2"/>
        <v>0.13552</v>
      </c>
      <c r="U21" s="12"/>
      <c r="V21" s="13">
        <f t="shared" si="8"/>
        <v>0</v>
      </c>
      <c r="W21" s="49">
        <f t="shared" si="9"/>
        <v>4</v>
      </c>
      <c r="X21" s="50">
        <f t="shared" si="10"/>
        <v>0.13552</v>
      </c>
      <c r="Y21" s="238">
        <v>0</v>
      </c>
      <c r="Z21" s="101">
        <v>0</v>
      </c>
    </row>
    <row r="22" spans="1:26" x14ac:dyDescent="0.25">
      <c r="A22" s="264">
        <v>18</v>
      </c>
      <c r="B22" s="256" t="s">
        <v>20</v>
      </c>
      <c r="C22" s="34">
        <v>65</v>
      </c>
      <c r="D22" s="35">
        <v>50</v>
      </c>
      <c r="E22" s="35">
        <v>12</v>
      </c>
      <c r="F22" s="19">
        <f t="shared" si="3"/>
        <v>3.9E-2</v>
      </c>
      <c r="G22" s="23">
        <f>'KASIM 3 HAFTA '!V22</f>
        <v>26</v>
      </c>
      <c r="H22" s="26">
        <f t="shared" si="4"/>
        <v>1.014</v>
      </c>
      <c r="I22" s="21">
        <v>0</v>
      </c>
      <c r="J22" s="11">
        <f t="shared" si="5"/>
        <v>0</v>
      </c>
      <c r="K22" s="21">
        <v>0</v>
      </c>
      <c r="L22" s="10">
        <f t="shared" si="0"/>
        <v>0</v>
      </c>
      <c r="M22" s="21">
        <v>0</v>
      </c>
      <c r="N22" s="11">
        <f t="shared" si="1"/>
        <v>0</v>
      </c>
      <c r="O22" s="21">
        <v>0</v>
      </c>
      <c r="P22" s="10">
        <f t="shared" si="6"/>
        <v>0</v>
      </c>
      <c r="Q22" s="21">
        <v>0</v>
      </c>
      <c r="R22" s="11">
        <f t="shared" si="7"/>
        <v>0</v>
      </c>
      <c r="S22" s="39">
        <f t="shared" si="11"/>
        <v>26</v>
      </c>
      <c r="T22" s="38">
        <f t="shared" si="2"/>
        <v>1.014</v>
      </c>
      <c r="U22" s="12"/>
      <c r="V22" s="13">
        <f t="shared" si="8"/>
        <v>0</v>
      </c>
      <c r="W22" s="49">
        <f t="shared" si="9"/>
        <v>26</v>
      </c>
      <c r="X22" s="50">
        <f t="shared" si="10"/>
        <v>1.014</v>
      </c>
      <c r="Y22" s="238">
        <v>0</v>
      </c>
      <c r="Z22" s="101">
        <v>0</v>
      </c>
    </row>
    <row r="23" spans="1:26" x14ac:dyDescent="0.25">
      <c r="A23" s="264">
        <v>19</v>
      </c>
      <c r="B23" s="42" t="s">
        <v>103</v>
      </c>
      <c r="C23" s="34">
        <v>58</v>
      </c>
      <c r="D23" s="35">
        <v>58</v>
      </c>
      <c r="E23" s="35">
        <v>5</v>
      </c>
      <c r="F23" s="19">
        <f t="shared" si="3"/>
        <v>1.6820000000000002E-2</v>
      </c>
      <c r="G23" s="23">
        <f>'KASIM 3 HAFTA '!V23</f>
        <v>-28</v>
      </c>
      <c r="H23" s="26">
        <f t="shared" si="4"/>
        <v>-0.47096000000000005</v>
      </c>
      <c r="I23" s="21">
        <v>0</v>
      </c>
      <c r="J23" s="11">
        <f t="shared" si="5"/>
        <v>0</v>
      </c>
      <c r="K23" s="21">
        <v>80</v>
      </c>
      <c r="L23" s="10">
        <f t="shared" si="0"/>
        <v>1.3456000000000001</v>
      </c>
      <c r="M23" s="21">
        <v>0</v>
      </c>
      <c r="N23" s="11">
        <f t="shared" si="1"/>
        <v>0</v>
      </c>
      <c r="O23" s="21">
        <v>0</v>
      </c>
      <c r="P23" s="10">
        <f t="shared" si="6"/>
        <v>0</v>
      </c>
      <c r="Q23" s="21">
        <v>22</v>
      </c>
      <c r="R23" s="11">
        <f t="shared" si="7"/>
        <v>0.37004000000000004</v>
      </c>
      <c r="S23" s="39">
        <f t="shared" si="11"/>
        <v>-130</v>
      </c>
      <c r="T23" s="38">
        <f t="shared" si="2"/>
        <v>-2.1866000000000003</v>
      </c>
      <c r="U23" s="12"/>
      <c r="V23" s="13">
        <f t="shared" si="8"/>
        <v>0</v>
      </c>
      <c r="W23" s="49">
        <f t="shared" si="9"/>
        <v>-130</v>
      </c>
      <c r="X23" s="50">
        <f t="shared" si="10"/>
        <v>-2.1866000000000003</v>
      </c>
      <c r="Y23" s="238">
        <v>0</v>
      </c>
      <c r="Z23" s="101">
        <v>0</v>
      </c>
    </row>
    <row r="24" spans="1:26" x14ac:dyDescent="0.25">
      <c r="A24" s="264">
        <v>20</v>
      </c>
      <c r="B24" s="256" t="s">
        <v>22</v>
      </c>
      <c r="C24" s="34">
        <v>66</v>
      </c>
      <c r="D24" s="35">
        <v>56</v>
      </c>
      <c r="E24" s="35">
        <v>12</v>
      </c>
      <c r="F24" s="19">
        <f t="shared" si="3"/>
        <v>4.4352000000000003E-2</v>
      </c>
      <c r="G24" s="23">
        <f>'KASIM 3 HAFTA '!V24</f>
        <v>28</v>
      </c>
      <c r="H24" s="26">
        <f t="shared" si="4"/>
        <v>1.2418560000000001</v>
      </c>
      <c r="I24" s="21">
        <v>0</v>
      </c>
      <c r="J24" s="11">
        <f t="shared" si="5"/>
        <v>0</v>
      </c>
      <c r="K24" s="21">
        <v>0</v>
      </c>
      <c r="L24" s="10">
        <f t="shared" si="0"/>
        <v>0</v>
      </c>
      <c r="M24" s="21">
        <v>0</v>
      </c>
      <c r="N24" s="11">
        <f t="shared" si="1"/>
        <v>0</v>
      </c>
      <c r="O24" s="21">
        <v>0</v>
      </c>
      <c r="P24" s="10">
        <f t="shared" si="6"/>
        <v>0</v>
      </c>
      <c r="Q24" s="21">
        <v>0</v>
      </c>
      <c r="R24" s="11">
        <f t="shared" si="7"/>
        <v>0</v>
      </c>
      <c r="S24" s="39">
        <f t="shared" si="11"/>
        <v>28</v>
      </c>
      <c r="T24" s="38">
        <f t="shared" si="2"/>
        <v>1.2418560000000001</v>
      </c>
      <c r="U24" s="12"/>
      <c r="V24" s="13">
        <f t="shared" si="8"/>
        <v>0</v>
      </c>
      <c r="W24" s="49">
        <f t="shared" si="9"/>
        <v>28</v>
      </c>
      <c r="X24" s="50">
        <f t="shared" si="10"/>
        <v>1.2418560000000001</v>
      </c>
      <c r="Y24" s="238">
        <v>0</v>
      </c>
      <c r="Z24" s="101">
        <v>0</v>
      </c>
    </row>
    <row r="25" spans="1:26" x14ac:dyDescent="0.25">
      <c r="A25" s="264">
        <v>21</v>
      </c>
      <c r="B25" s="256" t="s">
        <v>23</v>
      </c>
      <c r="C25" s="34">
        <v>61.5</v>
      </c>
      <c r="D25" s="35">
        <v>61.5</v>
      </c>
      <c r="E25" s="35">
        <v>10</v>
      </c>
      <c r="F25" s="19">
        <f t="shared" si="3"/>
        <v>3.7822500000000002E-2</v>
      </c>
      <c r="G25" s="23">
        <f>'KASIM 3 HAFTA '!V25</f>
        <v>0</v>
      </c>
      <c r="H25" s="26">
        <f t="shared" si="4"/>
        <v>0</v>
      </c>
      <c r="I25" s="21">
        <v>0</v>
      </c>
      <c r="J25" s="11">
        <f t="shared" si="5"/>
        <v>0</v>
      </c>
      <c r="K25" s="21">
        <v>0</v>
      </c>
      <c r="L25" s="10">
        <f t="shared" si="0"/>
        <v>0</v>
      </c>
      <c r="M25" s="21">
        <v>0</v>
      </c>
      <c r="N25" s="11">
        <f t="shared" si="1"/>
        <v>0</v>
      </c>
      <c r="O25" s="21">
        <v>0</v>
      </c>
      <c r="P25" s="10">
        <f t="shared" si="6"/>
        <v>0</v>
      </c>
      <c r="Q25" s="21">
        <v>0</v>
      </c>
      <c r="R25" s="11">
        <f t="shared" si="7"/>
        <v>0</v>
      </c>
      <c r="S25" s="39">
        <f t="shared" si="11"/>
        <v>0</v>
      </c>
      <c r="T25" s="38">
        <f t="shared" si="2"/>
        <v>0</v>
      </c>
      <c r="U25" s="12"/>
      <c r="V25" s="13">
        <f t="shared" si="8"/>
        <v>0</v>
      </c>
      <c r="W25" s="49">
        <f t="shared" si="9"/>
        <v>0</v>
      </c>
      <c r="X25" s="50">
        <f t="shared" si="10"/>
        <v>0</v>
      </c>
      <c r="Y25" s="238">
        <v>30</v>
      </c>
      <c r="Z25" s="101">
        <v>100</v>
      </c>
    </row>
    <row r="26" spans="1:26" x14ac:dyDescent="0.25">
      <c r="A26" s="264">
        <v>22</v>
      </c>
      <c r="B26" s="256" t="s">
        <v>24</v>
      </c>
      <c r="C26" s="34">
        <v>82</v>
      </c>
      <c r="D26" s="35">
        <v>67</v>
      </c>
      <c r="E26" s="35">
        <v>5</v>
      </c>
      <c r="F26" s="19">
        <f t="shared" si="3"/>
        <v>2.7470000000000001E-2</v>
      </c>
      <c r="G26" s="23">
        <f>'KASIM 3 HAFTA '!V26</f>
        <v>30</v>
      </c>
      <c r="H26" s="26">
        <f t="shared" si="4"/>
        <v>0.82410000000000005</v>
      </c>
      <c r="I26" s="21">
        <v>0</v>
      </c>
      <c r="J26" s="11">
        <f t="shared" si="5"/>
        <v>0</v>
      </c>
      <c r="K26" s="21">
        <v>0</v>
      </c>
      <c r="L26" s="10">
        <f t="shared" si="0"/>
        <v>0</v>
      </c>
      <c r="M26" s="21">
        <v>0</v>
      </c>
      <c r="N26" s="11">
        <f t="shared" si="1"/>
        <v>0</v>
      </c>
      <c r="O26" s="21">
        <v>0</v>
      </c>
      <c r="P26" s="10">
        <f t="shared" si="6"/>
        <v>0</v>
      </c>
      <c r="Q26" s="21">
        <v>0</v>
      </c>
      <c r="R26" s="11">
        <f t="shared" si="7"/>
        <v>0</v>
      </c>
      <c r="S26" s="39">
        <f t="shared" si="11"/>
        <v>30</v>
      </c>
      <c r="T26" s="38">
        <f t="shared" si="2"/>
        <v>0.82410000000000005</v>
      </c>
      <c r="U26" s="12"/>
      <c r="V26" s="13">
        <f t="shared" si="8"/>
        <v>0</v>
      </c>
      <c r="W26" s="49">
        <f t="shared" si="9"/>
        <v>30</v>
      </c>
      <c r="X26" s="50">
        <f t="shared" si="10"/>
        <v>0.82410000000000005</v>
      </c>
      <c r="Y26" s="238">
        <v>0</v>
      </c>
      <c r="Z26" s="101">
        <v>0</v>
      </c>
    </row>
    <row r="27" spans="1:26" x14ac:dyDescent="0.25">
      <c r="A27" s="264">
        <v>23</v>
      </c>
      <c r="B27" s="256" t="s">
        <v>25</v>
      </c>
      <c r="C27" s="34">
        <v>80</v>
      </c>
      <c r="D27" s="35">
        <v>62</v>
      </c>
      <c r="E27" s="35">
        <v>2</v>
      </c>
      <c r="F27" s="19">
        <f t="shared" si="3"/>
        <v>9.92E-3</v>
      </c>
      <c r="G27" s="23">
        <f>'KASIM 3 HAFTA '!V27</f>
        <v>36</v>
      </c>
      <c r="H27" s="26">
        <f t="shared" si="4"/>
        <v>0.35711999999999999</v>
      </c>
      <c r="I27" s="21">
        <v>0</v>
      </c>
      <c r="J27" s="11">
        <f t="shared" si="5"/>
        <v>0</v>
      </c>
      <c r="K27" s="21">
        <v>0</v>
      </c>
      <c r="L27" s="10">
        <f t="shared" si="0"/>
        <v>0</v>
      </c>
      <c r="M27" s="21">
        <v>0</v>
      </c>
      <c r="N27" s="11">
        <f t="shared" si="1"/>
        <v>0</v>
      </c>
      <c r="O27" s="21">
        <v>0</v>
      </c>
      <c r="P27" s="10">
        <f t="shared" si="6"/>
        <v>0</v>
      </c>
      <c r="Q27" s="21">
        <v>0</v>
      </c>
      <c r="R27" s="11">
        <f t="shared" si="7"/>
        <v>0</v>
      </c>
      <c r="S27" s="39">
        <f t="shared" si="11"/>
        <v>36</v>
      </c>
      <c r="T27" s="38">
        <f t="shared" si="2"/>
        <v>0.35711999999999999</v>
      </c>
      <c r="U27" s="12"/>
      <c r="V27" s="13">
        <f t="shared" si="8"/>
        <v>0</v>
      </c>
      <c r="W27" s="49">
        <f t="shared" si="9"/>
        <v>36</v>
      </c>
      <c r="X27" s="50">
        <f t="shared" si="10"/>
        <v>0.35711999999999999</v>
      </c>
      <c r="Y27" s="238">
        <v>0</v>
      </c>
      <c r="Z27" s="101">
        <v>0</v>
      </c>
    </row>
    <row r="28" spans="1:26" x14ac:dyDescent="0.25">
      <c r="A28" s="264">
        <v>24</v>
      </c>
      <c r="B28" s="256" t="s">
        <v>26</v>
      </c>
      <c r="C28" s="34">
        <v>63</v>
      </c>
      <c r="D28" s="35">
        <v>55</v>
      </c>
      <c r="E28" s="35">
        <v>5</v>
      </c>
      <c r="F28" s="19">
        <f t="shared" si="3"/>
        <v>1.7325E-2</v>
      </c>
      <c r="G28" s="23">
        <f>'KASIM 3 HAFTA '!V28</f>
        <v>19</v>
      </c>
      <c r="H28" s="26">
        <f t="shared" si="4"/>
        <v>0.329175</v>
      </c>
      <c r="I28" s="21">
        <v>0</v>
      </c>
      <c r="J28" s="11">
        <f t="shared" si="5"/>
        <v>0</v>
      </c>
      <c r="K28" s="21">
        <v>0</v>
      </c>
      <c r="L28" s="10">
        <f t="shared" si="0"/>
        <v>0</v>
      </c>
      <c r="M28" s="21">
        <v>0</v>
      </c>
      <c r="N28" s="11">
        <f t="shared" si="1"/>
        <v>0</v>
      </c>
      <c r="O28" s="21">
        <v>0</v>
      </c>
      <c r="P28" s="10">
        <f t="shared" si="6"/>
        <v>0</v>
      </c>
      <c r="Q28" s="21">
        <v>0</v>
      </c>
      <c r="R28" s="11">
        <f t="shared" si="7"/>
        <v>0</v>
      </c>
      <c r="S28" s="39">
        <f t="shared" si="11"/>
        <v>19</v>
      </c>
      <c r="T28" s="38">
        <f t="shared" si="2"/>
        <v>0.329175</v>
      </c>
      <c r="U28" s="12"/>
      <c r="V28" s="13">
        <f t="shared" si="8"/>
        <v>0</v>
      </c>
      <c r="W28" s="49">
        <f t="shared" si="9"/>
        <v>19</v>
      </c>
      <c r="X28" s="50">
        <f t="shared" si="10"/>
        <v>0.329175</v>
      </c>
      <c r="Y28" s="238">
        <v>0</v>
      </c>
      <c r="Z28" s="101">
        <v>0</v>
      </c>
    </row>
    <row r="29" spans="1:26" x14ac:dyDescent="0.25">
      <c r="A29" s="264">
        <v>25</v>
      </c>
      <c r="B29" s="256" t="s">
        <v>27</v>
      </c>
      <c r="C29" s="34">
        <v>140</v>
      </c>
      <c r="D29" s="35">
        <v>240</v>
      </c>
      <c r="E29" s="35">
        <v>5</v>
      </c>
      <c r="F29" s="19">
        <f t="shared" si="3"/>
        <v>0.16800000000000001</v>
      </c>
      <c r="G29" s="23">
        <f>'KASIM 3 HAFTA '!V29</f>
        <v>6</v>
      </c>
      <c r="H29" s="26">
        <f t="shared" si="4"/>
        <v>1.008</v>
      </c>
      <c r="I29" s="21">
        <v>0</v>
      </c>
      <c r="J29" s="11">
        <f t="shared" si="5"/>
        <v>0</v>
      </c>
      <c r="K29" s="21">
        <v>0</v>
      </c>
      <c r="L29" s="10">
        <f t="shared" si="0"/>
        <v>0</v>
      </c>
      <c r="M29" s="21">
        <v>0</v>
      </c>
      <c r="N29" s="11">
        <f t="shared" si="1"/>
        <v>0</v>
      </c>
      <c r="O29" s="21">
        <v>0</v>
      </c>
      <c r="P29" s="10">
        <f t="shared" si="6"/>
        <v>0</v>
      </c>
      <c r="Q29" s="21">
        <v>0</v>
      </c>
      <c r="R29" s="11">
        <f t="shared" si="7"/>
        <v>0</v>
      </c>
      <c r="S29" s="39">
        <f t="shared" si="11"/>
        <v>6</v>
      </c>
      <c r="T29" s="38">
        <f t="shared" si="2"/>
        <v>1.008</v>
      </c>
      <c r="U29" s="12"/>
      <c r="V29" s="13">
        <f t="shared" si="8"/>
        <v>0</v>
      </c>
      <c r="W29" s="49">
        <f t="shared" si="9"/>
        <v>6</v>
      </c>
      <c r="X29" s="50">
        <f t="shared" si="10"/>
        <v>1.008</v>
      </c>
      <c r="Y29" s="238">
        <v>0</v>
      </c>
      <c r="Z29" s="101">
        <v>0</v>
      </c>
    </row>
    <row r="30" spans="1:26" x14ac:dyDescent="0.25">
      <c r="A30" s="264">
        <v>26</v>
      </c>
      <c r="B30" s="256" t="s">
        <v>28</v>
      </c>
      <c r="C30" s="34">
        <v>140</v>
      </c>
      <c r="D30" s="35">
        <v>240</v>
      </c>
      <c r="E30" s="35">
        <v>10</v>
      </c>
      <c r="F30" s="19">
        <f t="shared" si="3"/>
        <v>0.33600000000000002</v>
      </c>
      <c r="G30" s="23">
        <f>'KASIM 3 HAFTA '!V30</f>
        <v>11</v>
      </c>
      <c r="H30" s="26">
        <f t="shared" si="4"/>
        <v>3.6960000000000002</v>
      </c>
      <c r="I30" s="21">
        <v>0</v>
      </c>
      <c r="J30" s="11">
        <f t="shared" si="5"/>
        <v>0</v>
      </c>
      <c r="K30" s="21">
        <v>0</v>
      </c>
      <c r="L30" s="10">
        <f t="shared" si="0"/>
        <v>0</v>
      </c>
      <c r="M30" s="21">
        <v>0</v>
      </c>
      <c r="N30" s="11">
        <f t="shared" si="1"/>
        <v>0</v>
      </c>
      <c r="O30" s="21">
        <v>0</v>
      </c>
      <c r="P30" s="10">
        <f t="shared" si="6"/>
        <v>0</v>
      </c>
      <c r="Q30" s="21">
        <v>0</v>
      </c>
      <c r="R30" s="11">
        <f t="shared" si="7"/>
        <v>0</v>
      </c>
      <c r="S30" s="39">
        <f t="shared" si="11"/>
        <v>11</v>
      </c>
      <c r="T30" s="38">
        <f t="shared" si="2"/>
        <v>3.6960000000000002</v>
      </c>
      <c r="U30" s="12"/>
      <c r="V30" s="13">
        <f t="shared" si="8"/>
        <v>0</v>
      </c>
      <c r="W30" s="49">
        <f t="shared" si="9"/>
        <v>11</v>
      </c>
      <c r="X30" s="50">
        <f t="shared" si="10"/>
        <v>3.6960000000000002</v>
      </c>
      <c r="Y30" s="238">
        <v>0</v>
      </c>
      <c r="Z30" s="101">
        <v>0</v>
      </c>
    </row>
    <row r="31" spans="1:26" x14ac:dyDescent="0.25">
      <c r="A31" s="264">
        <v>27</v>
      </c>
      <c r="B31" s="256" t="s">
        <v>29</v>
      </c>
      <c r="C31" s="34">
        <v>140</v>
      </c>
      <c r="D31" s="35">
        <v>240</v>
      </c>
      <c r="E31" s="35">
        <v>3</v>
      </c>
      <c r="F31" s="19">
        <f t="shared" si="3"/>
        <v>0.1008</v>
      </c>
      <c r="G31" s="23">
        <f>'KASIM 3 HAFTA '!V31</f>
        <v>26</v>
      </c>
      <c r="H31" s="26">
        <f t="shared" si="4"/>
        <v>2.6208</v>
      </c>
      <c r="I31" s="21">
        <v>0</v>
      </c>
      <c r="J31" s="11">
        <f t="shared" si="5"/>
        <v>0</v>
      </c>
      <c r="K31" s="21">
        <v>0</v>
      </c>
      <c r="L31" s="10">
        <f t="shared" si="0"/>
        <v>0</v>
      </c>
      <c r="M31" s="21">
        <v>0</v>
      </c>
      <c r="N31" s="11">
        <f t="shared" si="1"/>
        <v>0</v>
      </c>
      <c r="O31" s="21">
        <v>0</v>
      </c>
      <c r="P31" s="10">
        <f t="shared" si="6"/>
        <v>0</v>
      </c>
      <c r="Q31" s="21">
        <v>0</v>
      </c>
      <c r="R31" s="11">
        <f t="shared" si="7"/>
        <v>0</v>
      </c>
      <c r="S31" s="39">
        <f t="shared" si="11"/>
        <v>26</v>
      </c>
      <c r="T31" s="38">
        <f t="shared" si="2"/>
        <v>2.6208</v>
      </c>
      <c r="U31" s="12"/>
      <c r="V31" s="13">
        <f t="shared" si="8"/>
        <v>0</v>
      </c>
      <c r="W31" s="49">
        <f t="shared" si="9"/>
        <v>26</v>
      </c>
      <c r="X31" s="50">
        <f t="shared" si="10"/>
        <v>2.6208</v>
      </c>
      <c r="Y31" s="238">
        <v>0</v>
      </c>
      <c r="Z31" s="101">
        <v>0</v>
      </c>
    </row>
    <row r="32" spans="1:26" x14ac:dyDescent="0.25">
      <c r="A32" s="264">
        <v>28</v>
      </c>
      <c r="B32" s="256" t="s">
        <v>30</v>
      </c>
      <c r="C32" s="34">
        <v>90</v>
      </c>
      <c r="D32" s="35">
        <v>80</v>
      </c>
      <c r="E32" s="35">
        <v>8</v>
      </c>
      <c r="F32" s="19">
        <f t="shared" si="3"/>
        <v>5.7599999999999998E-2</v>
      </c>
      <c r="G32" s="23">
        <f>'KASIM 3 HAFTA '!V32</f>
        <v>0</v>
      </c>
      <c r="H32" s="26">
        <f t="shared" si="4"/>
        <v>0</v>
      </c>
      <c r="I32" s="21">
        <v>0</v>
      </c>
      <c r="J32" s="11">
        <f t="shared" si="5"/>
        <v>0</v>
      </c>
      <c r="K32" s="21">
        <v>0</v>
      </c>
      <c r="L32" s="10">
        <f t="shared" si="0"/>
        <v>0</v>
      </c>
      <c r="M32" s="21">
        <v>0</v>
      </c>
      <c r="N32" s="11">
        <f t="shared" si="1"/>
        <v>0</v>
      </c>
      <c r="O32" s="21">
        <v>0</v>
      </c>
      <c r="P32" s="10">
        <f t="shared" si="6"/>
        <v>0</v>
      </c>
      <c r="Q32" s="21">
        <v>0</v>
      </c>
      <c r="R32" s="11">
        <f t="shared" si="7"/>
        <v>0</v>
      </c>
      <c r="S32" s="39">
        <f t="shared" si="11"/>
        <v>0</v>
      </c>
      <c r="T32" s="38">
        <f t="shared" si="2"/>
        <v>0</v>
      </c>
      <c r="U32" s="12"/>
      <c r="V32" s="13">
        <f t="shared" si="8"/>
        <v>0</v>
      </c>
      <c r="W32" s="49">
        <f t="shared" si="9"/>
        <v>0</v>
      </c>
      <c r="X32" s="50">
        <f t="shared" si="10"/>
        <v>0</v>
      </c>
      <c r="Y32" s="238">
        <v>0</v>
      </c>
      <c r="Z32" s="101">
        <v>0</v>
      </c>
    </row>
    <row r="33" spans="1:26" x14ac:dyDescent="0.25">
      <c r="A33" s="264">
        <v>29</v>
      </c>
      <c r="B33" s="256" t="s">
        <v>31</v>
      </c>
      <c r="C33" s="34">
        <v>90</v>
      </c>
      <c r="D33" s="35">
        <v>80</v>
      </c>
      <c r="E33" s="35">
        <v>8</v>
      </c>
      <c r="F33" s="19">
        <f t="shared" si="3"/>
        <v>5.7599999999999998E-2</v>
      </c>
      <c r="G33" s="23">
        <f>'KASIM 3 HAFTA '!V33</f>
        <v>0</v>
      </c>
      <c r="H33" s="26">
        <f t="shared" si="4"/>
        <v>0</v>
      </c>
      <c r="I33" s="21">
        <v>0</v>
      </c>
      <c r="J33" s="11">
        <f t="shared" si="5"/>
        <v>0</v>
      </c>
      <c r="K33" s="21">
        <v>0</v>
      </c>
      <c r="L33" s="10">
        <f t="shared" si="0"/>
        <v>0</v>
      </c>
      <c r="M33" s="21">
        <v>0</v>
      </c>
      <c r="N33" s="11">
        <f t="shared" si="1"/>
        <v>0</v>
      </c>
      <c r="O33" s="21">
        <v>0</v>
      </c>
      <c r="P33" s="10">
        <f t="shared" si="6"/>
        <v>0</v>
      </c>
      <c r="Q33" s="21">
        <v>0</v>
      </c>
      <c r="R33" s="11">
        <f t="shared" si="7"/>
        <v>0</v>
      </c>
      <c r="S33" s="39">
        <f t="shared" si="11"/>
        <v>0</v>
      </c>
      <c r="T33" s="38">
        <f t="shared" si="2"/>
        <v>0</v>
      </c>
      <c r="U33" s="12"/>
      <c r="V33" s="13">
        <f t="shared" si="8"/>
        <v>0</v>
      </c>
      <c r="W33" s="49">
        <f t="shared" si="9"/>
        <v>0</v>
      </c>
      <c r="X33" s="50">
        <f t="shared" si="10"/>
        <v>0</v>
      </c>
      <c r="Y33" s="238">
        <v>0</v>
      </c>
      <c r="Z33" s="101">
        <v>0</v>
      </c>
    </row>
    <row r="34" spans="1:26" x14ac:dyDescent="0.25">
      <c r="A34" s="264">
        <v>30</v>
      </c>
      <c r="B34" s="256" t="s">
        <v>32</v>
      </c>
      <c r="C34" s="34"/>
      <c r="D34" s="35"/>
      <c r="E34" s="35"/>
      <c r="F34" s="19">
        <f t="shared" si="3"/>
        <v>0</v>
      </c>
      <c r="G34" s="23">
        <f>'KASIM 3 HAFTA '!V34</f>
        <v>300</v>
      </c>
      <c r="H34" s="26">
        <f t="shared" si="4"/>
        <v>0</v>
      </c>
      <c r="I34" s="21">
        <v>0</v>
      </c>
      <c r="J34" s="11">
        <f t="shared" si="5"/>
        <v>0</v>
      </c>
      <c r="K34" s="21">
        <v>0</v>
      </c>
      <c r="L34" s="10">
        <f t="shared" si="0"/>
        <v>0</v>
      </c>
      <c r="M34" s="21">
        <v>0</v>
      </c>
      <c r="N34" s="11">
        <f t="shared" si="1"/>
        <v>0</v>
      </c>
      <c r="O34" s="21">
        <v>0</v>
      </c>
      <c r="P34" s="10">
        <f t="shared" si="6"/>
        <v>0</v>
      </c>
      <c r="Q34" s="21">
        <v>0</v>
      </c>
      <c r="R34" s="11">
        <f t="shared" si="7"/>
        <v>0</v>
      </c>
      <c r="S34" s="39">
        <f t="shared" si="11"/>
        <v>300</v>
      </c>
      <c r="T34" s="38">
        <f t="shared" si="2"/>
        <v>0</v>
      </c>
      <c r="U34" s="12"/>
      <c r="V34" s="13">
        <f t="shared" si="8"/>
        <v>0</v>
      </c>
      <c r="W34" s="49">
        <f t="shared" si="9"/>
        <v>300</v>
      </c>
      <c r="X34" s="50">
        <f t="shared" si="10"/>
        <v>0</v>
      </c>
      <c r="Y34" s="238">
        <v>0</v>
      </c>
      <c r="Z34" s="101">
        <v>0</v>
      </c>
    </row>
    <row r="35" spans="1:26" x14ac:dyDescent="0.25">
      <c r="A35" s="264">
        <v>31</v>
      </c>
      <c r="B35" s="256" t="s">
        <v>33</v>
      </c>
      <c r="C35" s="34">
        <v>80</v>
      </c>
      <c r="D35" s="35">
        <v>66</v>
      </c>
      <c r="E35" s="35">
        <v>5</v>
      </c>
      <c r="F35" s="19">
        <f t="shared" si="3"/>
        <v>2.64E-2</v>
      </c>
      <c r="G35" s="23">
        <f>'KASIM 3 HAFTA '!V35</f>
        <v>56</v>
      </c>
      <c r="H35" s="26">
        <f t="shared" si="4"/>
        <v>1.4783999999999999</v>
      </c>
      <c r="I35" s="21">
        <v>0</v>
      </c>
      <c r="J35" s="11">
        <f t="shared" si="5"/>
        <v>0</v>
      </c>
      <c r="K35" s="21">
        <v>0</v>
      </c>
      <c r="L35" s="10">
        <f t="shared" si="0"/>
        <v>0</v>
      </c>
      <c r="M35" s="21">
        <v>0</v>
      </c>
      <c r="N35" s="11">
        <f t="shared" si="1"/>
        <v>0</v>
      </c>
      <c r="O35" s="21">
        <v>0</v>
      </c>
      <c r="P35" s="10">
        <f t="shared" si="6"/>
        <v>0</v>
      </c>
      <c r="Q35" s="21">
        <v>0</v>
      </c>
      <c r="R35" s="11">
        <f t="shared" si="7"/>
        <v>0</v>
      </c>
      <c r="S35" s="39">
        <f t="shared" si="11"/>
        <v>56</v>
      </c>
      <c r="T35" s="38">
        <f t="shared" si="2"/>
        <v>1.4783999999999999</v>
      </c>
      <c r="U35" s="12"/>
      <c r="V35" s="13">
        <f t="shared" si="8"/>
        <v>0</v>
      </c>
      <c r="W35" s="49">
        <f t="shared" si="9"/>
        <v>56</v>
      </c>
      <c r="X35" s="50">
        <f t="shared" si="10"/>
        <v>1.4783999999999999</v>
      </c>
      <c r="Y35" s="238">
        <v>0</v>
      </c>
      <c r="Z35" s="101">
        <v>0</v>
      </c>
    </row>
    <row r="36" spans="1:26" x14ac:dyDescent="0.25">
      <c r="A36" s="264">
        <v>32</v>
      </c>
      <c r="B36" s="256" t="s">
        <v>34</v>
      </c>
      <c r="C36" s="34">
        <v>60</v>
      </c>
      <c r="D36" s="35">
        <v>62</v>
      </c>
      <c r="E36" s="35">
        <v>5</v>
      </c>
      <c r="F36" s="19">
        <f t="shared" si="3"/>
        <v>1.8599999999999998E-2</v>
      </c>
      <c r="G36" s="23">
        <f>'KASIM 3 HAFTA '!V36</f>
        <v>0</v>
      </c>
      <c r="H36" s="26">
        <f t="shared" si="4"/>
        <v>0</v>
      </c>
      <c r="I36" s="21">
        <v>0</v>
      </c>
      <c r="J36" s="11">
        <f t="shared" si="5"/>
        <v>0</v>
      </c>
      <c r="K36" s="21">
        <v>0</v>
      </c>
      <c r="L36" s="10">
        <f t="shared" si="0"/>
        <v>0</v>
      </c>
      <c r="M36" s="21">
        <v>0</v>
      </c>
      <c r="N36" s="11">
        <f t="shared" si="1"/>
        <v>0</v>
      </c>
      <c r="O36" s="21">
        <v>0</v>
      </c>
      <c r="P36" s="10">
        <f t="shared" si="6"/>
        <v>0</v>
      </c>
      <c r="Q36" s="21">
        <v>0</v>
      </c>
      <c r="R36" s="11">
        <f t="shared" si="7"/>
        <v>0</v>
      </c>
      <c r="S36" s="39">
        <f t="shared" si="11"/>
        <v>0</v>
      </c>
      <c r="T36" s="38">
        <f t="shared" si="2"/>
        <v>0</v>
      </c>
      <c r="U36" s="12"/>
      <c r="V36" s="13">
        <f t="shared" si="8"/>
        <v>0</v>
      </c>
      <c r="W36" s="49">
        <f t="shared" si="9"/>
        <v>0</v>
      </c>
      <c r="X36" s="50">
        <f t="shared" si="10"/>
        <v>0</v>
      </c>
      <c r="Y36" s="238">
        <v>0</v>
      </c>
      <c r="Z36" s="101">
        <v>0</v>
      </c>
    </row>
    <row r="37" spans="1:26" x14ac:dyDescent="0.25">
      <c r="A37" s="264">
        <v>33</v>
      </c>
      <c r="B37" s="256" t="s">
        <v>41</v>
      </c>
      <c r="C37" s="34">
        <v>60</v>
      </c>
      <c r="D37" s="35">
        <v>67</v>
      </c>
      <c r="E37" s="35">
        <v>3</v>
      </c>
      <c r="F37" s="19">
        <f t="shared" si="3"/>
        <v>1.206E-2</v>
      </c>
      <c r="G37" s="23">
        <f>'KASIM 3 HAFTA '!V37</f>
        <v>12</v>
      </c>
      <c r="H37" s="26">
        <f t="shared" si="4"/>
        <v>0.14471999999999999</v>
      </c>
      <c r="I37" s="21">
        <v>0</v>
      </c>
      <c r="J37" s="11">
        <f t="shared" si="5"/>
        <v>0</v>
      </c>
      <c r="K37" s="21">
        <v>0</v>
      </c>
      <c r="L37" s="10">
        <f t="shared" si="0"/>
        <v>0</v>
      </c>
      <c r="M37" s="21">
        <v>0</v>
      </c>
      <c r="N37" s="11">
        <f t="shared" si="1"/>
        <v>0</v>
      </c>
      <c r="O37" s="21">
        <v>0</v>
      </c>
      <c r="P37" s="10">
        <f t="shared" si="6"/>
        <v>0</v>
      </c>
      <c r="Q37" s="21">
        <v>0</v>
      </c>
      <c r="R37" s="11">
        <f t="shared" si="7"/>
        <v>0</v>
      </c>
      <c r="S37" s="39">
        <f t="shared" si="11"/>
        <v>12</v>
      </c>
      <c r="T37" s="38">
        <f t="shared" si="2"/>
        <v>0.14471999999999999</v>
      </c>
      <c r="U37" s="12"/>
      <c r="V37" s="13">
        <f t="shared" si="8"/>
        <v>0</v>
      </c>
      <c r="W37" s="49">
        <f t="shared" si="9"/>
        <v>12</v>
      </c>
      <c r="X37" s="50">
        <f t="shared" si="10"/>
        <v>0.14471999999999999</v>
      </c>
      <c r="Y37" s="238">
        <v>0</v>
      </c>
      <c r="Z37" s="101">
        <v>0</v>
      </c>
    </row>
    <row r="38" spans="1:26" x14ac:dyDescent="0.25">
      <c r="A38" s="264">
        <v>34</v>
      </c>
      <c r="B38" s="256" t="s">
        <v>35</v>
      </c>
      <c r="C38" s="34">
        <v>140</v>
      </c>
      <c r="D38" s="35">
        <v>240</v>
      </c>
      <c r="E38" s="35">
        <v>7</v>
      </c>
      <c r="F38" s="19">
        <f t="shared" si="3"/>
        <v>0.23519999999999999</v>
      </c>
      <c r="G38" s="23">
        <f>'KASIM 3 HAFTA '!V38</f>
        <v>0</v>
      </c>
      <c r="H38" s="26">
        <f t="shared" si="4"/>
        <v>0</v>
      </c>
      <c r="I38" s="21">
        <v>0</v>
      </c>
      <c r="J38" s="11">
        <f t="shared" si="5"/>
        <v>0</v>
      </c>
      <c r="K38" s="21">
        <v>0</v>
      </c>
      <c r="L38" s="10">
        <f t="shared" si="0"/>
        <v>0</v>
      </c>
      <c r="M38" s="21">
        <v>0</v>
      </c>
      <c r="N38" s="11">
        <f t="shared" si="1"/>
        <v>0</v>
      </c>
      <c r="O38" s="21">
        <v>0</v>
      </c>
      <c r="P38" s="10">
        <f t="shared" si="6"/>
        <v>0</v>
      </c>
      <c r="Q38" s="21">
        <v>0</v>
      </c>
      <c r="R38" s="11">
        <f t="shared" si="7"/>
        <v>0</v>
      </c>
      <c r="S38" s="39">
        <f t="shared" si="11"/>
        <v>0</v>
      </c>
      <c r="T38" s="38">
        <f t="shared" si="2"/>
        <v>0</v>
      </c>
      <c r="U38" s="12"/>
      <c r="V38" s="13">
        <f t="shared" si="8"/>
        <v>0</v>
      </c>
      <c r="W38" s="49">
        <f t="shared" si="9"/>
        <v>0</v>
      </c>
      <c r="X38" s="50">
        <f t="shared" si="10"/>
        <v>0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36</v>
      </c>
      <c r="C39" s="34">
        <v>60</v>
      </c>
      <c r="D39" s="35">
        <v>56</v>
      </c>
      <c r="E39" s="35">
        <v>10</v>
      </c>
      <c r="F39" s="19">
        <f t="shared" si="3"/>
        <v>3.3599999999999998E-2</v>
      </c>
      <c r="G39" s="23">
        <f>'KASIM 3 HAFTA '!V39</f>
        <v>0</v>
      </c>
      <c r="H39" s="26">
        <f t="shared" si="4"/>
        <v>0</v>
      </c>
      <c r="I39" s="21">
        <v>0</v>
      </c>
      <c r="J39" s="11">
        <f t="shared" si="5"/>
        <v>0</v>
      </c>
      <c r="K39" s="21">
        <v>0</v>
      </c>
      <c r="L39" s="10">
        <f t="shared" si="0"/>
        <v>0</v>
      </c>
      <c r="M39" s="21">
        <v>0</v>
      </c>
      <c r="N39" s="11">
        <f t="shared" si="1"/>
        <v>0</v>
      </c>
      <c r="O39" s="21">
        <v>0</v>
      </c>
      <c r="P39" s="10">
        <f t="shared" si="6"/>
        <v>0</v>
      </c>
      <c r="Q39" s="21">
        <v>0</v>
      </c>
      <c r="R39" s="11">
        <f t="shared" si="7"/>
        <v>0</v>
      </c>
      <c r="S39" s="39">
        <f t="shared" si="11"/>
        <v>0</v>
      </c>
      <c r="T39" s="38">
        <f t="shared" si="2"/>
        <v>0</v>
      </c>
      <c r="U39" s="12"/>
      <c r="V39" s="13">
        <f t="shared" si="8"/>
        <v>0</v>
      </c>
      <c r="W39" s="49">
        <f t="shared" si="9"/>
        <v>0</v>
      </c>
      <c r="X39" s="50">
        <f t="shared" si="10"/>
        <v>0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37</v>
      </c>
      <c r="C40" s="34">
        <v>58</v>
      </c>
      <c r="D40" s="35">
        <v>55</v>
      </c>
      <c r="E40" s="35">
        <v>10</v>
      </c>
      <c r="F40" s="19">
        <f t="shared" si="3"/>
        <v>3.1899999999999998E-2</v>
      </c>
      <c r="G40" s="23">
        <f>'KASIM 3 HAFTA '!V40</f>
        <v>0</v>
      </c>
      <c r="H40" s="26">
        <f t="shared" si="4"/>
        <v>0</v>
      </c>
      <c r="I40" s="21">
        <v>0</v>
      </c>
      <c r="J40" s="11">
        <f t="shared" si="5"/>
        <v>0</v>
      </c>
      <c r="K40" s="21">
        <v>0</v>
      </c>
      <c r="L40" s="10">
        <f t="shared" si="0"/>
        <v>0</v>
      </c>
      <c r="M40" s="21">
        <v>0</v>
      </c>
      <c r="N40" s="11">
        <f t="shared" si="1"/>
        <v>0</v>
      </c>
      <c r="O40" s="21">
        <v>0</v>
      </c>
      <c r="P40" s="10">
        <f t="shared" si="6"/>
        <v>0</v>
      </c>
      <c r="Q40" s="21">
        <v>0</v>
      </c>
      <c r="R40" s="11">
        <f t="shared" si="7"/>
        <v>0</v>
      </c>
      <c r="S40" s="39">
        <f t="shared" si="11"/>
        <v>0</v>
      </c>
      <c r="T40" s="38">
        <f t="shared" si="2"/>
        <v>0</v>
      </c>
      <c r="U40" s="12"/>
      <c r="V40" s="13">
        <f t="shared" si="8"/>
        <v>0</v>
      </c>
      <c r="W40" s="49">
        <f t="shared" si="9"/>
        <v>0</v>
      </c>
      <c r="X40" s="50">
        <f t="shared" si="10"/>
        <v>0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38</v>
      </c>
      <c r="C41" s="34">
        <v>63</v>
      </c>
      <c r="D41" s="35">
        <v>55</v>
      </c>
      <c r="E41" s="35">
        <v>5</v>
      </c>
      <c r="F41" s="19">
        <f t="shared" si="3"/>
        <v>1.7325E-2</v>
      </c>
      <c r="G41" s="23">
        <f>'KASIM 3 HAFTA '!V41</f>
        <v>10</v>
      </c>
      <c r="H41" s="26">
        <f t="shared" si="4"/>
        <v>0.17325000000000002</v>
      </c>
      <c r="I41" s="21">
        <v>0</v>
      </c>
      <c r="J41" s="11">
        <f t="shared" si="5"/>
        <v>0</v>
      </c>
      <c r="K41" s="21">
        <v>0</v>
      </c>
      <c r="L41" s="10">
        <f t="shared" si="0"/>
        <v>0</v>
      </c>
      <c r="M41" s="21">
        <v>0</v>
      </c>
      <c r="N41" s="11">
        <f t="shared" si="1"/>
        <v>0</v>
      </c>
      <c r="O41" s="21">
        <v>0</v>
      </c>
      <c r="P41" s="10">
        <f t="shared" si="6"/>
        <v>0</v>
      </c>
      <c r="Q41" s="21">
        <v>0</v>
      </c>
      <c r="R41" s="11">
        <f t="shared" si="7"/>
        <v>0</v>
      </c>
      <c r="S41" s="39">
        <f t="shared" si="11"/>
        <v>10</v>
      </c>
      <c r="T41" s="38">
        <f t="shared" si="2"/>
        <v>0.17325000000000002</v>
      </c>
      <c r="U41" s="12"/>
      <c r="V41" s="13">
        <f t="shared" si="8"/>
        <v>0</v>
      </c>
      <c r="W41" s="49">
        <f t="shared" si="9"/>
        <v>10</v>
      </c>
      <c r="X41" s="50">
        <f t="shared" si="10"/>
        <v>0.17325000000000002</v>
      </c>
      <c r="Y41" s="238">
        <v>0</v>
      </c>
      <c r="Z41" s="101">
        <v>0</v>
      </c>
    </row>
    <row r="42" spans="1:26" x14ac:dyDescent="0.25">
      <c r="A42" s="264">
        <v>38</v>
      </c>
      <c r="B42" s="256" t="s">
        <v>39</v>
      </c>
      <c r="C42" s="34">
        <v>52</v>
      </c>
      <c r="D42" s="35">
        <v>52</v>
      </c>
      <c r="E42" s="35">
        <v>5</v>
      </c>
      <c r="F42" s="19">
        <f t="shared" si="3"/>
        <v>1.3520000000000001E-2</v>
      </c>
      <c r="G42" s="23">
        <f>'KASIM 3 HAFTA '!V42</f>
        <v>0</v>
      </c>
      <c r="H42" s="26">
        <f t="shared" si="4"/>
        <v>0</v>
      </c>
      <c r="I42" s="21">
        <v>0</v>
      </c>
      <c r="J42" s="11">
        <f t="shared" si="5"/>
        <v>0</v>
      </c>
      <c r="K42" s="21">
        <v>0</v>
      </c>
      <c r="L42" s="10">
        <f t="shared" si="0"/>
        <v>0</v>
      </c>
      <c r="M42" s="21">
        <v>0</v>
      </c>
      <c r="N42" s="11">
        <f t="shared" si="1"/>
        <v>0</v>
      </c>
      <c r="O42" s="21">
        <v>0</v>
      </c>
      <c r="P42" s="10">
        <f t="shared" si="6"/>
        <v>0</v>
      </c>
      <c r="Q42" s="21">
        <v>0</v>
      </c>
      <c r="R42" s="11">
        <f t="shared" si="7"/>
        <v>0</v>
      </c>
      <c r="S42" s="39">
        <f t="shared" si="11"/>
        <v>0</v>
      </c>
      <c r="T42" s="38">
        <f t="shared" si="2"/>
        <v>0</v>
      </c>
      <c r="U42" s="12"/>
      <c r="V42" s="13">
        <f t="shared" si="8"/>
        <v>0</v>
      </c>
      <c r="W42" s="49">
        <f t="shared" si="9"/>
        <v>0</v>
      </c>
      <c r="X42" s="50">
        <f t="shared" si="10"/>
        <v>0</v>
      </c>
      <c r="Y42" s="238">
        <v>0</v>
      </c>
      <c r="Z42" s="101">
        <v>0</v>
      </c>
    </row>
    <row r="43" spans="1:26" x14ac:dyDescent="0.25">
      <c r="A43" s="264">
        <v>39</v>
      </c>
      <c r="B43" s="256" t="s">
        <v>40</v>
      </c>
      <c r="C43" s="34">
        <v>80</v>
      </c>
      <c r="D43" s="35">
        <v>70</v>
      </c>
      <c r="E43" s="35">
        <v>8</v>
      </c>
      <c r="F43" s="19">
        <f t="shared" si="3"/>
        <v>4.48E-2</v>
      </c>
      <c r="G43" s="23">
        <f>'KASIM 3 HAFTA '!V43</f>
        <v>291</v>
      </c>
      <c r="H43" s="26">
        <f t="shared" si="4"/>
        <v>13.036799999999999</v>
      </c>
      <c r="I43" s="21">
        <v>0</v>
      </c>
      <c r="J43" s="11">
        <f t="shared" si="5"/>
        <v>0</v>
      </c>
      <c r="K43" s="21">
        <v>14</v>
      </c>
      <c r="L43" s="10">
        <f t="shared" si="0"/>
        <v>0.62719999999999998</v>
      </c>
      <c r="M43" s="21">
        <v>0</v>
      </c>
      <c r="N43" s="11">
        <f t="shared" si="1"/>
        <v>0</v>
      </c>
      <c r="O43" s="21">
        <v>0</v>
      </c>
      <c r="P43" s="10">
        <f t="shared" si="6"/>
        <v>0</v>
      </c>
      <c r="Q43" s="21">
        <v>0</v>
      </c>
      <c r="R43" s="11">
        <f t="shared" si="7"/>
        <v>0</v>
      </c>
      <c r="S43" s="39">
        <f t="shared" si="11"/>
        <v>277</v>
      </c>
      <c r="T43" s="38">
        <f t="shared" si="2"/>
        <v>12.409599999999999</v>
      </c>
      <c r="U43" s="12"/>
      <c r="V43" s="13">
        <f t="shared" si="8"/>
        <v>0</v>
      </c>
      <c r="W43" s="49">
        <f t="shared" si="9"/>
        <v>277</v>
      </c>
      <c r="X43" s="50">
        <f t="shared" si="10"/>
        <v>12.409599999999999</v>
      </c>
      <c r="Y43" s="238">
        <v>50</v>
      </c>
      <c r="Z43" s="101">
        <v>200</v>
      </c>
    </row>
    <row r="44" spans="1:26" x14ac:dyDescent="0.25">
      <c r="A44" s="264">
        <v>40</v>
      </c>
      <c r="B44" s="256" t="s">
        <v>42</v>
      </c>
      <c r="C44" s="34">
        <v>70</v>
      </c>
      <c r="D44" s="35">
        <v>64</v>
      </c>
      <c r="E44" s="35">
        <v>8</v>
      </c>
      <c r="F44" s="19">
        <f t="shared" si="3"/>
        <v>3.5839999999999997E-2</v>
      </c>
      <c r="G44" s="23">
        <f>'KASIM 3 HAFTA '!V44</f>
        <v>360</v>
      </c>
      <c r="H44" s="26">
        <f t="shared" si="4"/>
        <v>12.902399999999998</v>
      </c>
      <c r="I44" s="21">
        <v>0</v>
      </c>
      <c r="J44" s="11">
        <f t="shared" si="5"/>
        <v>0</v>
      </c>
      <c r="K44" s="21">
        <v>6</v>
      </c>
      <c r="L44" s="10">
        <f t="shared" si="0"/>
        <v>0.21503999999999998</v>
      </c>
      <c r="M44" s="21">
        <v>0</v>
      </c>
      <c r="N44" s="11">
        <f t="shared" si="1"/>
        <v>0</v>
      </c>
      <c r="O44" s="21">
        <v>0</v>
      </c>
      <c r="P44" s="10">
        <f t="shared" si="6"/>
        <v>0</v>
      </c>
      <c r="Q44" s="21">
        <v>0</v>
      </c>
      <c r="R44" s="11">
        <f t="shared" si="7"/>
        <v>0</v>
      </c>
      <c r="S44" s="39">
        <f t="shared" si="11"/>
        <v>354</v>
      </c>
      <c r="T44" s="38">
        <f t="shared" si="2"/>
        <v>12.687359999999998</v>
      </c>
      <c r="U44" s="12"/>
      <c r="V44" s="13">
        <f t="shared" si="8"/>
        <v>0</v>
      </c>
      <c r="W44" s="49">
        <f t="shared" si="9"/>
        <v>354</v>
      </c>
      <c r="X44" s="50">
        <f t="shared" si="10"/>
        <v>12.687359999999998</v>
      </c>
      <c r="Y44" s="238">
        <v>50</v>
      </c>
      <c r="Z44" s="101">
        <v>200</v>
      </c>
    </row>
    <row r="45" spans="1:26" x14ac:dyDescent="0.25">
      <c r="A45" s="264">
        <v>41</v>
      </c>
      <c r="B45" s="256" t="s">
        <v>43</v>
      </c>
      <c r="C45" s="34">
        <v>75</v>
      </c>
      <c r="D45" s="35">
        <v>70</v>
      </c>
      <c r="E45" s="35">
        <v>8</v>
      </c>
      <c r="F45" s="19">
        <f t="shared" si="3"/>
        <v>4.2000000000000003E-2</v>
      </c>
      <c r="G45" s="23">
        <f>'KASIM 3 HAFTA '!V45</f>
        <v>448</v>
      </c>
      <c r="H45" s="26">
        <f t="shared" si="4"/>
        <v>18.816000000000003</v>
      </c>
      <c r="I45" s="21">
        <v>0</v>
      </c>
      <c r="J45" s="11">
        <f t="shared" si="5"/>
        <v>0</v>
      </c>
      <c r="K45" s="21">
        <v>12</v>
      </c>
      <c r="L45" s="10">
        <f t="shared" si="0"/>
        <v>0.504</v>
      </c>
      <c r="M45" s="21">
        <v>0</v>
      </c>
      <c r="N45" s="11">
        <f t="shared" si="1"/>
        <v>0</v>
      </c>
      <c r="O45" s="21">
        <v>0</v>
      </c>
      <c r="P45" s="10">
        <f t="shared" si="6"/>
        <v>0</v>
      </c>
      <c r="Q45" s="21">
        <v>0</v>
      </c>
      <c r="R45" s="11">
        <f t="shared" si="7"/>
        <v>0</v>
      </c>
      <c r="S45" s="39">
        <f t="shared" si="11"/>
        <v>436</v>
      </c>
      <c r="T45" s="38">
        <f t="shared" si="2"/>
        <v>18.312000000000001</v>
      </c>
      <c r="U45" s="12"/>
      <c r="V45" s="13">
        <f t="shared" si="8"/>
        <v>0</v>
      </c>
      <c r="W45" s="49">
        <f t="shared" si="9"/>
        <v>436</v>
      </c>
      <c r="X45" s="50">
        <f t="shared" si="10"/>
        <v>18.312000000000001</v>
      </c>
      <c r="Y45" s="238">
        <v>50</v>
      </c>
      <c r="Z45" s="101">
        <v>200</v>
      </c>
    </row>
    <row r="46" spans="1:26" x14ac:dyDescent="0.25">
      <c r="A46" s="264">
        <v>42</v>
      </c>
      <c r="B46" s="256" t="s">
        <v>77</v>
      </c>
      <c r="C46" s="34">
        <v>140</v>
      </c>
      <c r="D46" s="35">
        <v>67</v>
      </c>
      <c r="E46" s="35">
        <v>5</v>
      </c>
      <c r="F46" s="19">
        <f t="shared" si="3"/>
        <v>4.6899999999999997E-2</v>
      </c>
      <c r="G46" s="23">
        <f>'KASIM 3 HAFTA '!V46</f>
        <v>274</v>
      </c>
      <c r="H46" s="26">
        <f t="shared" si="4"/>
        <v>12.8506</v>
      </c>
      <c r="I46" s="21">
        <v>0</v>
      </c>
      <c r="J46" s="11">
        <f t="shared" si="5"/>
        <v>0</v>
      </c>
      <c r="K46" s="21">
        <v>14</v>
      </c>
      <c r="L46" s="10">
        <f t="shared" si="0"/>
        <v>0.65659999999999996</v>
      </c>
      <c r="M46" s="21">
        <v>0</v>
      </c>
      <c r="N46" s="11">
        <f t="shared" si="1"/>
        <v>0</v>
      </c>
      <c r="O46" s="21">
        <v>3</v>
      </c>
      <c r="P46" s="10">
        <f t="shared" si="6"/>
        <v>0.14069999999999999</v>
      </c>
      <c r="Q46" s="21">
        <v>0</v>
      </c>
      <c r="R46" s="11">
        <f t="shared" si="7"/>
        <v>0</v>
      </c>
      <c r="S46" s="39">
        <f t="shared" si="11"/>
        <v>257</v>
      </c>
      <c r="T46" s="38">
        <f t="shared" si="2"/>
        <v>12.0533</v>
      </c>
      <c r="U46" s="12"/>
      <c r="V46" s="13">
        <f t="shared" si="8"/>
        <v>0</v>
      </c>
      <c r="W46" s="49">
        <f t="shared" si="9"/>
        <v>257</v>
      </c>
      <c r="X46" s="50">
        <f t="shared" si="10"/>
        <v>12.0533</v>
      </c>
      <c r="Y46" s="238">
        <v>50</v>
      </c>
      <c r="Z46" s="101">
        <v>100</v>
      </c>
    </row>
    <row r="47" spans="1:26" x14ac:dyDescent="0.25">
      <c r="A47" s="264">
        <v>43</v>
      </c>
      <c r="B47" s="256" t="s">
        <v>45</v>
      </c>
      <c r="C47" s="34">
        <v>80</v>
      </c>
      <c r="D47" s="35">
        <v>63</v>
      </c>
      <c r="E47" s="35">
        <v>5</v>
      </c>
      <c r="F47" s="19">
        <f t="shared" si="3"/>
        <v>2.52E-2</v>
      </c>
      <c r="G47" s="23">
        <f>'KASIM 3 HAFTA '!V47</f>
        <v>315</v>
      </c>
      <c r="H47" s="26">
        <f t="shared" si="4"/>
        <v>7.9379999999999997</v>
      </c>
      <c r="I47" s="21">
        <v>0</v>
      </c>
      <c r="J47" s="11">
        <f t="shared" si="5"/>
        <v>0</v>
      </c>
      <c r="K47" s="21">
        <v>0</v>
      </c>
      <c r="L47" s="10">
        <f t="shared" si="0"/>
        <v>0</v>
      </c>
      <c r="M47" s="21">
        <v>0</v>
      </c>
      <c r="N47" s="11">
        <f t="shared" si="1"/>
        <v>0</v>
      </c>
      <c r="O47" s="21">
        <v>0</v>
      </c>
      <c r="P47" s="10">
        <f t="shared" si="6"/>
        <v>0</v>
      </c>
      <c r="Q47" s="21">
        <v>0</v>
      </c>
      <c r="R47" s="11">
        <f t="shared" si="7"/>
        <v>0</v>
      </c>
      <c r="S47" s="39">
        <f t="shared" si="11"/>
        <v>315</v>
      </c>
      <c r="T47" s="38">
        <f t="shared" si="2"/>
        <v>7.9379999999999997</v>
      </c>
      <c r="U47" s="12"/>
      <c r="V47" s="13">
        <f t="shared" si="8"/>
        <v>0</v>
      </c>
      <c r="W47" s="49">
        <f t="shared" si="9"/>
        <v>315</v>
      </c>
      <c r="X47" s="50">
        <f t="shared" si="10"/>
        <v>7.9379999999999997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46</v>
      </c>
      <c r="C48" s="34">
        <v>77</v>
      </c>
      <c r="D48" s="35">
        <v>68</v>
      </c>
      <c r="E48" s="35">
        <v>8</v>
      </c>
      <c r="F48" s="19">
        <f t="shared" si="3"/>
        <v>4.1888000000000002E-2</v>
      </c>
      <c r="G48" s="23">
        <f>'KASIM 3 HAFTA '!V48</f>
        <v>204</v>
      </c>
      <c r="H48" s="26">
        <f t="shared" si="4"/>
        <v>8.5451519999999999</v>
      </c>
      <c r="I48" s="21">
        <v>0</v>
      </c>
      <c r="J48" s="11">
        <f t="shared" si="5"/>
        <v>0</v>
      </c>
      <c r="K48" s="21">
        <v>35</v>
      </c>
      <c r="L48" s="10">
        <f t="shared" si="0"/>
        <v>1.46608</v>
      </c>
      <c r="M48" s="21">
        <v>0</v>
      </c>
      <c r="N48" s="11">
        <f t="shared" si="1"/>
        <v>0</v>
      </c>
      <c r="O48" s="21">
        <v>0</v>
      </c>
      <c r="P48" s="10">
        <f t="shared" si="6"/>
        <v>0</v>
      </c>
      <c r="Q48" s="21">
        <v>0</v>
      </c>
      <c r="R48" s="11">
        <f t="shared" si="7"/>
        <v>0</v>
      </c>
      <c r="S48" s="39">
        <f t="shared" si="11"/>
        <v>169</v>
      </c>
      <c r="T48" s="38">
        <f t="shared" si="2"/>
        <v>7.079072</v>
      </c>
      <c r="U48" s="12"/>
      <c r="V48" s="13">
        <f t="shared" si="8"/>
        <v>0</v>
      </c>
      <c r="W48" s="49">
        <f t="shared" si="9"/>
        <v>169</v>
      </c>
      <c r="X48" s="50">
        <f t="shared" si="10"/>
        <v>7.079072</v>
      </c>
      <c r="Y48" s="238">
        <v>50</v>
      </c>
      <c r="Z48" s="101">
        <v>200</v>
      </c>
    </row>
    <row r="49" spans="1:26" x14ac:dyDescent="0.25">
      <c r="A49" s="264">
        <v>45</v>
      </c>
      <c r="B49" s="256" t="s">
        <v>47</v>
      </c>
      <c r="C49" s="34">
        <v>79</v>
      </c>
      <c r="D49" s="35">
        <v>79</v>
      </c>
      <c r="E49" s="35">
        <v>2</v>
      </c>
      <c r="F49" s="19">
        <f t="shared" si="3"/>
        <v>1.2482E-2</v>
      </c>
      <c r="G49" s="23">
        <f>'KASIM 3 HAFTA '!V49</f>
        <v>244</v>
      </c>
      <c r="H49" s="26">
        <f t="shared" si="4"/>
        <v>3.0456080000000001</v>
      </c>
      <c r="I49" s="21">
        <v>0</v>
      </c>
      <c r="J49" s="11">
        <f t="shared" si="5"/>
        <v>0</v>
      </c>
      <c r="K49" s="21">
        <v>0</v>
      </c>
      <c r="L49" s="10">
        <f t="shared" si="0"/>
        <v>0</v>
      </c>
      <c r="M49" s="21">
        <v>0</v>
      </c>
      <c r="N49" s="11">
        <f t="shared" si="1"/>
        <v>0</v>
      </c>
      <c r="O49" s="21">
        <v>0</v>
      </c>
      <c r="P49" s="10">
        <f t="shared" si="6"/>
        <v>0</v>
      </c>
      <c r="Q49" s="21">
        <v>0</v>
      </c>
      <c r="R49" s="11">
        <f t="shared" si="7"/>
        <v>0</v>
      </c>
      <c r="S49" s="39">
        <f t="shared" si="11"/>
        <v>244</v>
      </c>
      <c r="T49" s="38">
        <f t="shared" si="2"/>
        <v>3.0456080000000001</v>
      </c>
      <c r="U49" s="12"/>
      <c r="V49" s="13">
        <f t="shared" si="8"/>
        <v>0</v>
      </c>
      <c r="W49" s="49">
        <f t="shared" si="9"/>
        <v>244</v>
      </c>
      <c r="X49" s="50">
        <f t="shared" si="10"/>
        <v>3.0456080000000001</v>
      </c>
      <c r="Y49" s="238">
        <v>100</v>
      </c>
      <c r="Z49" s="101">
        <v>300</v>
      </c>
    </row>
    <row r="50" spans="1:26" x14ac:dyDescent="0.25">
      <c r="A50" s="264">
        <v>46</v>
      </c>
      <c r="B50" s="256" t="s">
        <v>48</v>
      </c>
      <c r="C50" s="34">
        <v>61</v>
      </c>
      <c r="D50" s="35">
        <v>56</v>
      </c>
      <c r="E50" s="35">
        <v>10</v>
      </c>
      <c r="F50" s="19">
        <f t="shared" si="3"/>
        <v>3.4160000000000003E-2</v>
      </c>
      <c r="G50" s="23">
        <f>'KASIM 3 HAFTA '!V50</f>
        <v>18</v>
      </c>
      <c r="H50" s="26">
        <f t="shared" si="4"/>
        <v>0.61488000000000009</v>
      </c>
      <c r="I50" s="21">
        <v>0</v>
      </c>
      <c r="J50" s="11">
        <f t="shared" si="5"/>
        <v>0</v>
      </c>
      <c r="K50" s="21">
        <v>0</v>
      </c>
      <c r="L50" s="10">
        <f t="shared" si="0"/>
        <v>0</v>
      </c>
      <c r="M50" s="21">
        <v>0</v>
      </c>
      <c r="N50" s="11">
        <f t="shared" si="1"/>
        <v>0</v>
      </c>
      <c r="O50" s="21">
        <v>0</v>
      </c>
      <c r="P50" s="10">
        <f t="shared" si="6"/>
        <v>0</v>
      </c>
      <c r="Q50" s="21">
        <v>0</v>
      </c>
      <c r="R50" s="11">
        <f t="shared" si="7"/>
        <v>0</v>
      </c>
      <c r="S50" s="39">
        <f t="shared" si="11"/>
        <v>18</v>
      </c>
      <c r="T50" s="38">
        <f t="shared" si="2"/>
        <v>0.61488000000000009</v>
      </c>
      <c r="U50" s="12"/>
      <c r="V50" s="13">
        <f t="shared" si="8"/>
        <v>0</v>
      </c>
      <c r="W50" s="49">
        <f t="shared" si="9"/>
        <v>18</v>
      </c>
      <c r="X50" s="50">
        <f t="shared" si="10"/>
        <v>0.61488000000000009</v>
      </c>
      <c r="Y50" s="238">
        <v>30</v>
      </c>
      <c r="Z50" s="101">
        <v>100</v>
      </c>
    </row>
    <row r="51" spans="1:26" x14ac:dyDescent="0.25">
      <c r="A51" s="264">
        <v>47</v>
      </c>
      <c r="B51" s="256" t="s">
        <v>49</v>
      </c>
      <c r="C51" s="34">
        <v>66</v>
      </c>
      <c r="D51" s="35">
        <v>61</v>
      </c>
      <c r="E51" s="35">
        <v>10</v>
      </c>
      <c r="F51" s="19">
        <f t="shared" si="3"/>
        <v>4.0259999999999997E-2</v>
      </c>
      <c r="G51" s="23">
        <f>'KASIM 3 HAFTA '!V51</f>
        <v>204</v>
      </c>
      <c r="H51" s="26">
        <f t="shared" si="4"/>
        <v>8.2130399999999995</v>
      </c>
      <c r="I51" s="21">
        <v>0</v>
      </c>
      <c r="J51" s="11">
        <f t="shared" si="5"/>
        <v>0</v>
      </c>
      <c r="K51" s="21">
        <v>0</v>
      </c>
      <c r="L51" s="10">
        <f t="shared" si="0"/>
        <v>0</v>
      </c>
      <c r="M51" s="21">
        <v>0</v>
      </c>
      <c r="N51" s="11">
        <f t="shared" si="1"/>
        <v>0</v>
      </c>
      <c r="O51" s="21">
        <v>0</v>
      </c>
      <c r="P51" s="10">
        <f t="shared" si="6"/>
        <v>0</v>
      </c>
      <c r="Q51" s="21">
        <v>0</v>
      </c>
      <c r="R51" s="11">
        <f t="shared" si="7"/>
        <v>0</v>
      </c>
      <c r="S51" s="39">
        <f t="shared" si="11"/>
        <v>204</v>
      </c>
      <c r="T51" s="38">
        <f t="shared" si="2"/>
        <v>8.2130399999999995</v>
      </c>
      <c r="U51" s="12"/>
      <c r="V51" s="13">
        <f t="shared" si="8"/>
        <v>0</v>
      </c>
      <c r="W51" s="49">
        <f t="shared" si="9"/>
        <v>204</v>
      </c>
      <c r="X51" s="50">
        <f t="shared" si="10"/>
        <v>8.2130399999999995</v>
      </c>
      <c r="Y51" s="238">
        <v>30</v>
      </c>
      <c r="Z51" s="101">
        <v>100</v>
      </c>
    </row>
    <row r="52" spans="1:26" x14ac:dyDescent="0.25">
      <c r="A52" s="264">
        <v>48</v>
      </c>
      <c r="B52" s="256" t="s">
        <v>50</v>
      </c>
      <c r="C52" s="34">
        <v>63</v>
      </c>
      <c r="D52" s="35">
        <v>61</v>
      </c>
      <c r="E52" s="35">
        <v>10</v>
      </c>
      <c r="F52" s="19">
        <f t="shared" si="3"/>
        <v>3.8429999999999999E-2</v>
      </c>
      <c r="G52" s="23">
        <f>'KASIM 3 HAFTA '!V52</f>
        <v>375</v>
      </c>
      <c r="H52" s="26">
        <f t="shared" si="4"/>
        <v>14.411249999999999</v>
      </c>
      <c r="I52" s="21">
        <v>0</v>
      </c>
      <c r="J52" s="11">
        <f t="shared" si="5"/>
        <v>0</v>
      </c>
      <c r="K52" s="21">
        <v>0</v>
      </c>
      <c r="L52" s="10">
        <f t="shared" si="0"/>
        <v>0</v>
      </c>
      <c r="M52" s="21">
        <v>0</v>
      </c>
      <c r="N52" s="11">
        <f t="shared" si="1"/>
        <v>0</v>
      </c>
      <c r="O52" s="21">
        <v>0</v>
      </c>
      <c r="P52" s="10">
        <f t="shared" si="6"/>
        <v>0</v>
      </c>
      <c r="Q52" s="21">
        <v>0</v>
      </c>
      <c r="R52" s="11">
        <f t="shared" si="7"/>
        <v>0</v>
      </c>
      <c r="S52" s="39">
        <f t="shared" si="11"/>
        <v>375</v>
      </c>
      <c r="T52" s="38">
        <f t="shared" si="2"/>
        <v>14.411249999999999</v>
      </c>
      <c r="U52" s="12"/>
      <c r="V52" s="13">
        <f t="shared" si="8"/>
        <v>0</v>
      </c>
      <c r="W52" s="49">
        <f t="shared" si="9"/>
        <v>375</v>
      </c>
      <c r="X52" s="50">
        <f t="shared" si="10"/>
        <v>14.411249999999999</v>
      </c>
      <c r="Y52" s="238">
        <v>30</v>
      </c>
      <c r="Z52" s="101">
        <v>100</v>
      </c>
    </row>
    <row r="53" spans="1:26" x14ac:dyDescent="0.25">
      <c r="A53" s="264">
        <v>49</v>
      </c>
      <c r="B53" s="256" t="s">
        <v>51</v>
      </c>
      <c r="C53" s="34">
        <v>58</v>
      </c>
      <c r="D53" s="35">
        <v>58</v>
      </c>
      <c r="E53" s="35">
        <v>2.2999999999999998</v>
      </c>
      <c r="F53" s="19">
        <f t="shared" si="3"/>
        <v>7.7371999999999996E-3</v>
      </c>
      <c r="G53" s="23">
        <f>'KASIM 3 HAFTA '!V53</f>
        <v>3720</v>
      </c>
      <c r="H53" s="26">
        <f t="shared" si="4"/>
        <v>28.782384</v>
      </c>
      <c r="I53" s="21">
        <v>0</v>
      </c>
      <c r="J53" s="11">
        <f t="shared" si="5"/>
        <v>0</v>
      </c>
      <c r="K53" s="21">
        <v>0</v>
      </c>
      <c r="L53" s="10">
        <f t="shared" si="0"/>
        <v>0</v>
      </c>
      <c r="M53" s="21">
        <v>0</v>
      </c>
      <c r="N53" s="11">
        <f t="shared" si="1"/>
        <v>0</v>
      </c>
      <c r="O53" s="21">
        <v>0</v>
      </c>
      <c r="P53" s="10">
        <f t="shared" si="6"/>
        <v>0</v>
      </c>
      <c r="Q53" s="21">
        <v>70</v>
      </c>
      <c r="R53" s="11">
        <f t="shared" si="7"/>
        <v>0.54160399999999997</v>
      </c>
      <c r="S53" s="39">
        <f t="shared" si="11"/>
        <v>3650</v>
      </c>
      <c r="T53" s="38">
        <f t="shared" si="2"/>
        <v>28.240779999999997</v>
      </c>
      <c r="U53" s="12"/>
      <c r="V53" s="13">
        <f t="shared" si="8"/>
        <v>0</v>
      </c>
      <c r="W53" s="49">
        <f t="shared" si="9"/>
        <v>3650</v>
      </c>
      <c r="X53" s="50">
        <f t="shared" si="10"/>
        <v>28.240779999999997</v>
      </c>
      <c r="Y53" s="238">
        <v>200</v>
      </c>
      <c r="Z53" s="101">
        <v>500</v>
      </c>
    </row>
    <row r="54" spans="1:26" x14ac:dyDescent="0.25">
      <c r="A54" s="264">
        <v>50</v>
      </c>
      <c r="B54" s="256" t="s">
        <v>52</v>
      </c>
      <c r="C54" s="34">
        <v>79</v>
      </c>
      <c r="D54" s="35">
        <v>62</v>
      </c>
      <c r="E54" s="35">
        <v>2.2999999999999998</v>
      </c>
      <c r="F54" s="19">
        <f t="shared" si="3"/>
        <v>1.12654E-2</v>
      </c>
      <c r="G54" s="23">
        <f>'KASIM 3 HAFTA '!V54</f>
        <v>3537</v>
      </c>
      <c r="H54" s="26">
        <f t="shared" si="4"/>
        <v>39.845719799999998</v>
      </c>
      <c r="I54" s="21">
        <v>0</v>
      </c>
      <c r="J54" s="11">
        <f t="shared" si="5"/>
        <v>0</v>
      </c>
      <c r="K54" s="21">
        <v>5</v>
      </c>
      <c r="L54" s="10">
        <f t="shared" si="0"/>
        <v>5.6327000000000002E-2</v>
      </c>
      <c r="M54" s="21">
        <v>0</v>
      </c>
      <c r="N54" s="11">
        <f t="shared" si="1"/>
        <v>0</v>
      </c>
      <c r="O54" s="21">
        <v>0</v>
      </c>
      <c r="P54" s="10">
        <f t="shared" si="6"/>
        <v>0</v>
      </c>
      <c r="Q54" s="21">
        <v>0</v>
      </c>
      <c r="R54" s="11">
        <f t="shared" si="7"/>
        <v>0</v>
      </c>
      <c r="S54" s="39">
        <f t="shared" si="11"/>
        <v>3532</v>
      </c>
      <c r="T54" s="38">
        <f t="shared" si="2"/>
        <v>39.789392800000002</v>
      </c>
      <c r="U54" s="12"/>
      <c r="V54" s="13">
        <f t="shared" si="8"/>
        <v>0</v>
      </c>
      <c r="W54" s="49">
        <f t="shared" si="9"/>
        <v>3532</v>
      </c>
      <c r="X54" s="50">
        <f t="shared" si="10"/>
        <v>39.789392800000002</v>
      </c>
      <c r="Y54" s="238">
        <v>100</v>
      </c>
      <c r="Z54" s="101">
        <v>300</v>
      </c>
    </row>
    <row r="55" spans="1:26" x14ac:dyDescent="0.25">
      <c r="A55" s="264">
        <v>51</v>
      </c>
      <c r="B55" s="256" t="s">
        <v>53</v>
      </c>
      <c r="C55" s="34">
        <v>200</v>
      </c>
      <c r="D55" s="35">
        <v>176</v>
      </c>
      <c r="E55" s="35">
        <v>2.2999999999999998</v>
      </c>
      <c r="F55" s="19">
        <f t="shared" si="3"/>
        <v>8.0960000000000004E-2</v>
      </c>
      <c r="G55" s="23">
        <f>'KASIM 3 HAFTA '!V55</f>
        <v>1</v>
      </c>
      <c r="H55" s="26">
        <f t="shared" si="4"/>
        <v>8.0960000000000004E-2</v>
      </c>
      <c r="I55" s="21">
        <v>0</v>
      </c>
      <c r="J55" s="11">
        <f t="shared" si="5"/>
        <v>0</v>
      </c>
      <c r="K55" s="21">
        <v>0</v>
      </c>
      <c r="L55" s="10">
        <f t="shared" si="0"/>
        <v>0</v>
      </c>
      <c r="M55" s="21">
        <v>0</v>
      </c>
      <c r="N55" s="11">
        <f t="shared" si="1"/>
        <v>0</v>
      </c>
      <c r="O55" s="21">
        <v>0</v>
      </c>
      <c r="P55" s="10">
        <f t="shared" si="6"/>
        <v>0</v>
      </c>
      <c r="Q55" s="21">
        <v>0</v>
      </c>
      <c r="R55" s="11">
        <f t="shared" si="7"/>
        <v>0</v>
      </c>
      <c r="S55" s="39">
        <f t="shared" si="11"/>
        <v>1</v>
      </c>
      <c r="T55" s="38">
        <f t="shared" si="2"/>
        <v>8.0960000000000004E-2</v>
      </c>
      <c r="U55" s="12"/>
      <c r="V55" s="13">
        <f t="shared" si="8"/>
        <v>0</v>
      </c>
      <c r="W55" s="49">
        <f t="shared" si="9"/>
        <v>1</v>
      </c>
      <c r="X55" s="50">
        <f t="shared" si="10"/>
        <v>8.0960000000000004E-2</v>
      </c>
      <c r="Y55" s="238">
        <v>0</v>
      </c>
      <c r="Z55" s="101">
        <v>0</v>
      </c>
    </row>
    <row r="56" spans="1:26" x14ac:dyDescent="0.25">
      <c r="A56" s="264">
        <v>52</v>
      </c>
      <c r="B56" s="256" t="s">
        <v>54</v>
      </c>
      <c r="C56" s="34">
        <v>79</v>
      </c>
      <c r="D56" s="35">
        <v>79</v>
      </c>
      <c r="E56" s="35">
        <v>2.2999999999999998</v>
      </c>
      <c r="F56" s="19">
        <f t="shared" si="3"/>
        <v>1.4354299999999999E-2</v>
      </c>
      <c r="G56" s="23">
        <f>'KASIM 3 HAFTA '!V56</f>
        <v>3597</v>
      </c>
      <c r="H56" s="26">
        <f t="shared" si="4"/>
        <v>51.632417099999998</v>
      </c>
      <c r="I56" s="21">
        <v>0</v>
      </c>
      <c r="J56" s="11">
        <f t="shared" si="5"/>
        <v>0</v>
      </c>
      <c r="K56" s="21">
        <v>0</v>
      </c>
      <c r="L56" s="10">
        <f t="shared" si="0"/>
        <v>0</v>
      </c>
      <c r="M56" s="21">
        <v>0</v>
      </c>
      <c r="N56" s="11">
        <f t="shared" si="1"/>
        <v>0</v>
      </c>
      <c r="O56" s="21">
        <v>0</v>
      </c>
      <c r="P56" s="10">
        <f t="shared" si="6"/>
        <v>0</v>
      </c>
      <c r="Q56" s="21">
        <v>0</v>
      </c>
      <c r="R56" s="11">
        <f t="shared" si="7"/>
        <v>0</v>
      </c>
      <c r="S56" s="39">
        <f t="shared" si="11"/>
        <v>3597</v>
      </c>
      <c r="T56" s="38">
        <f t="shared" si="2"/>
        <v>51.632417099999998</v>
      </c>
      <c r="U56" s="12"/>
      <c r="V56" s="13">
        <f t="shared" si="8"/>
        <v>0</v>
      </c>
      <c r="W56" s="49">
        <f t="shared" si="9"/>
        <v>3597</v>
      </c>
      <c r="X56" s="50">
        <f t="shared" si="10"/>
        <v>51.632417099999998</v>
      </c>
      <c r="Y56" s="238">
        <v>300</v>
      </c>
      <c r="Z56" s="101">
        <v>1000</v>
      </c>
    </row>
    <row r="57" spans="1:26" ht="15.75" x14ac:dyDescent="0.25">
      <c r="A57" s="264">
        <v>53</v>
      </c>
      <c r="B57" s="256" t="s">
        <v>55</v>
      </c>
      <c r="C57" s="111">
        <v>50</v>
      </c>
      <c r="D57" s="112">
        <v>45</v>
      </c>
      <c r="E57" s="112">
        <v>4</v>
      </c>
      <c r="F57" s="19">
        <f t="shared" si="3"/>
        <v>8.9999999999999993E-3</v>
      </c>
      <c r="G57" s="23">
        <f>'KASIM 3 HAFTA '!V57</f>
        <v>397</v>
      </c>
      <c r="H57" s="26">
        <f t="shared" si="4"/>
        <v>3.5729999999999995</v>
      </c>
      <c r="I57" s="21">
        <v>0</v>
      </c>
      <c r="J57" s="11">
        <f t="shared" si="5"/>
        <v>0</v>
      </c>
      <c r="K57" s="21">
        <v>0</v>
      </c>
      <c r="L57" s="10">
        <f t="shared" si="0"/>
        <v>0</v>
      </c>
      <c r="M57" s="21">
        <v>0</v>
      </c>
      <c r="N57" s="11">
        <f t="shared" si="1"/>
        <v>0</v>
      </c>
      <c r="O57" s="21">
        <v>0</v>
      </c>
      <c r="P57" s="10">
        <f t="shared" si="6"/>
        <v>0</v>
      </c>
      <c r="Q57" s="21">
        <v>0</v>
      </c>
      <c r="R57" s="11">
        <f t="shared" si="7"/>
        <v>0</v>
      </c>
      <c r="S57" s="39">
        <f t="shared" si="11"/>
        <v>397</v>
      </c>
      <c r="T57" s="38">
        <f t="shared" si="2"/>
        <v>3.5729999999999995</v>
      </c>
      <c r="U57" s="12"/>
      <c r="V57" s="13">
        <f t="shared" si="8"/>
        <v>0</v>
      </c>
      <c r="W57" s="49">
        <f t="shared" si="9"/>
        <v>397</v>
      </c>
      <c r="X57" s="50">
        <f t="shared" si="10"/>
        <v>3.5729999999999995</v>
      </c>
      <c r="Y57" s="238">
        <v>300</v>
      </c>
      <c r="Z57" s="101">
        <v>1000</v>
      </c>
    </row>
    <row r="58" spans="1:26" ht="15.75" x14ac:dyDescent="0.25">
      <c r="A58" s="264">
        <v>54</v>
      </c>
      <c r="B58" s="256" t="s">
        <v>56</v>
      </c>
      <c r="C58" s="111">
        <v>50</v>
      </c>
      <c r="D58" s="112">
        <v>35</v>
      </c>
      <c r="E58" s="112">
        <v>4</v>
      </c>
      <c r="F58" s="19">
        <f t="shared" si="3"/>
        <v>7.0000000000000001E-3</v>
      </c>
      <c r="G58" s="23">
        <f>'KASIM 3 HAFTA '!V58</f>
        <v>530</v>
      </c>
      <c r="H58" s="26">
        <f t="shared" si="4"/>
        <v>3.71</v>
      </c>
      <c r="I58" s="21">
        <v>0</v>
      </c>
      <c r="J58" s="11">
        <f t="shared" si="5"/>
        <v>0</v>
      </c>
      <c r="K58" s="21">
        <v>0</v>
      </c>
      <c r="L58" s="10">
        <f t="shared" si="0"/>
        <v>0</v>
      </c>
      <c r="M58" s="21">
        <v>40</v>
      </c>
      <c r="N58" s="11">
        <f t="shared" si="1"/>
        <v>0.28000000000000003</v>
      </c>
      <c r="O58" s="21">
        <v>0</v>
      </c>
      <c r="P58" s="10">
        <f t="shared" si="6"/>
        <v>0</v>
      </c>
      <c r="Q58" s="21">
        <v>0</v>
      </c>
      <c r="R58" s="11">
        <f t="shared" si="7"/>
        <v>0</v>
      </c>
      <c r="S58" s="39">
        <f t="shared" si="11"/>
        <v>490</v>
      </c>
      <c r="T58" s="38">
        <f t="shared" si="2"/>
        <v>3.43</v>
      </c>
      <c r="U58" s="12"/>
      <c r="V58" s="13">
        <f t="shared" si="8"/>
        <v>0</v>
      </c>
      <c r="W58" s="49">
        <f t="shared" si="9"/>
        <v>490</v>
      </c>
      <c r="X58" s="50">
        <f t="shared" si="10"/>
        <v>3.43</v>
      </c>
      <c r="Y58" s="238">
        <v>500</v>
      </c>
      <c r="Z58" s="101">
        <v>1500</v>
      </c>
    </row>
    <row r="59" spans="1:26" ht="15.75" x14ac:dyDescent="0.25">
      <c r="A59" s="264">
        <v>55</v>
      </c>
      <c r="B59" s="256" t="s">
        <v>57</v>
      </c>
      <c r="C59" s="111">
        <v>45</v>
      </c>
      <c r="D59" s="112">
        <v>50</v>
      </c>
      <c r="E59" s="112">
        <v>3</v>
      </c>
      <c r="F59" s="19">
        <f t="shared" si="3"/>
        <v>6.7499999999999999E-3</v>
      </c>
      <c r="G59" s="23">
        <f>'KASIM 3 HAFTA '!V59</f>
        <v>786</v>
      </c>
      <c r="H59" s="26">
        <f t="shared" si="4"/>
        <v>5.3055000000000003</v>
      </c>
      <c r="I59" s="21">
        <v>0</v>
      </c>
      <c r="J59" s="11">
        <f t="shared" si="5"/>
        <v>0</v>
      </c>
      <c r="K59" s="21">
        <v>0</v>
      </c>
      <c r="L59" s="10">
        <f t="shared" si="0"/>
        <v>0</v>
      </c>
      <c r="M59" s="21">
        <v>0</v>
      </c>
      <c r="N59" s="11">
        <f t="shared" si="1"/>
        <v>0</v>
      </c>
      <c r="O59" s="21">
        <v>0</v>
      </c>
      <c r="P59" s="10">
        <f t="shared" si="6"/>
        <v>0</v>
      </c>
      <c r="Q59" s="21">
        <v>0</v>
      </c>
      <c r="R59" s="11">
        <f t="shared" si="7"/>
        <v>0</v>
      </c>
      <c r="S59" s="39">
        <f t="shared" si="11"/>
        <v>786</v>
      </c>
      <c r="T59" s="38">
        <f t="shared" si="2"/>
        <v>5.3055000000000003</v>
      </c>
      <c r="U59" s="12"/>
      <c r="V59" s="13">
        <f t="shared" si="8"/>
        <v>0</v>
      </c>
      <c r="W59" s="49">
        <f t="shared" si="9"/>
        <v>786</v>
      </c>
      <c r="X59" s="50">
        <f t="shared" si="10"/>
        <v>5.3055000000000003</v>
      </c>
      <c r="Y59" s="238">
        <v>500</v>
      </c>
      <c r="Z59" s="101">
        <v>1500</v>
      </c>
    </row>
    <row r="60" spans="1:26" ht="15.75" x14ac:dyDescent="0.25">
      <c r="A60" s="264">
        <v>56</v>
      </c>
      <c r="B60" s="256" t="s">
        <v>58</v>
      </c>
      <c r="C60" s="111">
        <v>50</v>
      </c>
      <c r="D60" s="112">
        <v>35</v>
      </c>
      <c r="E60" s="112">
        <v>3</v>
      </c>
      <c r="F60" s="19">
        <f t="shared" si="3"/>
        <v>5.2500000000000003E-3</v>
      </c>
      <c r="G60" s="23">
        <f>'KASIM 3 HAFTA '!V60</f>
        <v>978</v>
      </c>
      <c r="H60" s="26">
        <f t="shared" si="4"/>
        <v>5.1345000000000001</v>
      </c>
      <c r="I60" s="21">
        <v>0</v>
      </c>
      <c r="J60" s="11">
        <f t="shared" si="5"/>
        <v>0</v>
      </c>
      <c r="K60" s="21">
        <v>0</v>
      </c>
      <c r="L60" s="10">
        <f t="shared" si="0"/>
        <v>0</v>
      </c>
      <c r="M60" s="21">
        <v>0</v>
      </c>
      <c r="N60" s="11">
        <f t="shared" si="1"/>
        <v>0</v>
      </c>
      <c r="O60" s="21">
        <v>0</v>
      </c>
      <c r="P60" s="10">
        <f t="shared" si="6"/>
        <v>0</v>
      </c>
      <c r="Q60" s="21">
        <v>0</v>
      </c>
      <c r="R60" s="11">
        <f t="shared" si="7"/>
        <v>0</v>
      </c>
      <c r="S60" s="39">
        <f t="shared" si="11"/>
        <v>978</v>
      </c>
      <c r="T60" s="38">
        <f t="shared" si="2"/>
        <v>5.1345000000000001</v>
      </c>
      <c r="U60" s="12"/>
      <c r="V60" s="13">
        <f t="shared" si="8"/>
        <v>0</v>
      </c>
      <c r="W60" s="49">
        <f t="shared" si="9"/>
        <v>978</v>
      </c>
      <c r="X60" s="50">
        <f t="shared" si="10"/>
        <v>5.1345000000000001</v>
      </c>
      <c r="Y60" s="238">
        <v>0</v>
      </c>
      <c r="Z60" s="101">
        <v>0</v>
      </c>
    </row>
    <row r="61" spans="1:26" ht="15.75" x14ac:dyDescent="0.25">
      <c r="A61" s="264">
        <v>57</v>
      </c>
      <c r="B61" s="256" t="s">
        <v>59</v>
      </c>
      <c r="C61" s="111">
        <v>42</v>
      </c>
      <c r="D61" s="112">
        <v>36</v>
      </c>
      <c r="E61" s="112">
        <v>4</v>
      </c>
      <c r="F61" s="19">
        <f t="shared" si="3"/>
        <v>6.0480000000000004E-3</v>
      </c>
      <c r="G61" s="23">
        <f>'KASIM 3 HAFTA '!V61</f>
        <v>0</v>
      </c>
      <c r="H61" s="26">
        <f t="shared" si="4"/>
        <v>0</v>
      </c>
      <c r="I61" s="21">
        <v>0</v>
      </c>
      <c r="J61" s="11">
        <f t="shared" si="5"/>
        <v>0</v>
      </c>
      <c r="K61" s="21">
        <v>0</v>
      </c>
      <c r="L61" s="10">
        <f t="shared" si="0"/>
        <v>0</v>
      </c>
      <c r="M61" s="21">
        <v>0</v>
      </c>
      <c r="N61" s="11">
        <f t="shared" si="1"/>
        <v>0</v>
      </c>
      <c r="O61" s="21">
        <v>0</v>
      </c>
      <c r="P61" s="10">
        <f t="shared" si="6"/>
        <v>0</v>
      </c>
      <c r="Q61" s="21">
        <v>0</v>
      </c>
      <c r="R61" s="11">
        <f t="shared" si="7"/>
        <v>0</v>
      </c>
      <c r="S61" s="39">
        <f t="shared" si="11"/>
        <v>0</v>
      </c>
      <c r="T61" s="38">
        <f t="shared" si="2"/>
        <v>0</v>
      </c>
      <c r="U61" s="12"/>
      <c r="V61" s="13">
        <f t="shared" si="8"/>
        <v>0</v>
      </c>
      <c r="W61" s="49">
        <f t="shared" si="9"/>
        <v>0</v>
      </c>
      <c r="X61" s="50">
        <f t="shared" si="10"/>
        <v>0</v>
      </c>
      <c r="Y61" s="238">
        <v>300</v>
      </c>
      <c r="Z61" s="101">
        <v>1000</v>
      </c>
    </row>
    <row r="62" spans="1:26" ht="15.75" x14ac:dyDescent="0.25">
      <c r="A62" s="264">
        <v>58</v>
      </c>
      <c r="B62" s="256" t="s">
        <v>60</v>
      </c>
      <c r="C62" s="111">
        <v>50</v>
      </c>
      <c r="D62" s="112">
        <v>35</v>
      </c>
      <c r="E62" s="112">
        <v>3</v>
      </c>
      <c r="F62" s="19">
        <f t="shared" si="3"/>
        <v>5.2500000000000003E-3</v>
      </c>
      <c r="G62" s="23">
        <f>'KASIM 3 HAFTA '!V62</f>
        <v>881</v>
      </c>
      <c r="H62" s="26">
        <f t="shared" si="4"/>
        <v>4.6252500000000003</v>
      </c>
      <c r="I62" s="21">
        <v>0</v>
      </c>
      <c r="J62" s="11">
        <f t="shared" si="5"/>
        <v>0</v>
      </c>
      <c r="K62" s="21">
        <v>0</v>
      </c>
      <c r="L62" s="10">
        <f t="shared" si="0"/>
        <v>0</v>
      </c>
      <c r="M62" s="21">
        <v>0</v>
      </c>
      <c r="N62" s="11">
        <f t="shared" si="1"/>
        <v>0</v>
      </c>
      <c r="O62" s="21">
        <v>0</v>
      </c>
      <c r="P62" s="10">
        <f t="shared" si="6"/>
        <v>0</v>
      </c>
      <c r="Q62" s="21">
        <v>0</v>
      </c>
      <c r="R62" s="11">
        <f t="shared" si="7"/>
        <v>0</v>
      </c>
      <c r="S62" s="39">
        <f t="shared" si="11"/>
        <v>881</v>
      </c>
      <c r="T62" s="38">
        <f t="shared" si="2"/>
        <v>4.6252500000000003</v>
      </c>
      <c r="U62" s="12"/>
      <c r="V62" s="13">
        <f t="shared" si="8"/>
        <v>0</v>
      </c>
      <c r="W62" s="49">
        <f t="shared" si="9"/>
        <v>881</v>
      </c>
      <c r="X62" s="50">
        <f t="shared" si="10"/>
        <v>4.6252500000000003</v>
      </c>
      <c r="Y62" s="238">
        <v>300</v>
      </c>
      <c r="Z62" s="101">
        <v>1000</v>
      </c>
    </row>
    <row r="63" spans="1:26" ht="15.75" x14ac:dyDescent="0.25">
      <c r="A63" s="264">
        <v>59</v>
      </c>
      <c r="B63" s="257" t="s">
        <v>61</v>
      </c>
      <c r="C63" s="111">
        <v>45</v>
      </c>
      <c r="D63" s="112">
        <v>50</v>
      </c>
      <c r="E63" s="112">
        <v>3</v>
      </c>
      <c r="F63" s="19">
        <f t="shared" si="3"/>
        <v>6.7499999999999999E-3</v>
      </c>
      <c r="G63" s="23">
        <f>'KASIM 3 HAFTA '!V63</f>
        <v>970</v>
      </c>
      <c r="H63" s="26">
        <f t="shared" si="4"/>
        <v>6.5475000000000003</v>
      </c>
      <c r="I63" s="21">
        <v>0</v>
      </c>
      <c r="J63" s="11">
        <f t="shared" si="5"/>
        <v>0</v>
      </c>
      <c r="K63" s="21">
        <v>0</v>
      </c>
      <c r="L63" s="10">
        <f t="shared" si="0"/>
        <v>0</v>
      </c>
      <c r="M63" s="21">
        <v>0</v>
      </c>
      <c r="N63" s="11">
        <f t="shared" si="1"/>
        <v>0</v>
      </c>
      <c r="O63" s="21">
        <v>0</v>
      </c>
      <c r="P63" s="10">
        <f t="shared" si="6"/>
        <v>0</v>
      </c>
      <c r="Q63" s="21">
        <v>0</v>
      </c>
      <c r="R63" s="11">
        <f t="shared" si="7"/>
        <v>0</v>
      </c>
      <c r="S63" s="39">
        <f t="shared" si="11"/>
        <v>970</v>
      </c>
      <c r="T63" s="38">
        <f t="shared" si="2"/>
        <v>6.5475000000000003</v>
      </c>
      <c r="U63" s="12"/>
      <c r="V63" s="13">
        <f t="shared" si="8"/>
        <v>0</v>
      </c>
      <c r="W63" s="49">
        <f t="shared" si="9"/>
        <v>970</v>
      </c>
      <c r="X63" s="50">
        <f t="shared" si="10"/>
        <v>6.5475000000000003</v>
      </c>
      <c r="Y63" s="238">
        <v>500</v>
      </c>
      <c r="Z63" s="101">
        <v>1500</v>
      </c>
    </row>
    <row r="64" spans="1:26" ht="15.75" thickBot="1" x14ac:dyDescent="0.3">
      <c r="A64" s="264">
        <v>60</v>
      </c>
      <c r="B64" s="258" t="s">
        <v>90</v>
      </c>
      <c r="C64" s="36">
        <v>140</v>
      </c>
      <c r="D64" s="37">
        <v>9.5</v>
      </c>
      <c r="E64" s="37">
        <v>6.5</v>
      </c>
      <c r="F64" s="20">
        <f t="shared" si="3"/>
        <v>8.6449999999999999E-3</v>
      </c>
      <c r="G64" s="23">
        <f>'KASIM 3 HAFTA '!V64</f>
        <v>1405</v>
      </c>
      <c r="H64" s="27">
        <f t="shared" si="4"/>
        <v>12.146224999999999</v>
      </c>
      <c r="I64" s="21">
        <v>265</v>
      </c>
      <c r="J64" s="100">
        <f t="shared" si="5"/>
        <v>2.2909250000000001</v>
      </c>
      <c r="K64" s="21">
        <v>124</v>
      </c>
      <c r="L64" s="48">
        <f t="shared" si="0"/>
        <v>1.0719799999999999</v>
      </c>
      <c r="M64" s="21">
        <v>313</v>
      </c>
      <c r="N64" s="46">
        <f t="shared" si="1"/>
        <v>2.7058849999999999</v>
      </c>
      <c r="O64" s="21">
        <v>115</v>
      </c>
      <c r="P64" s="48">
        <f t="shared" si="6"/>
        <v>0.99417500000000003</v>
      </c>
      <c r="Q64" s="21">
        <v>125</v>
      </c>
      <c r="R64" s="46">
        <f t="shared" si="7"/>
        <v>1.0806249999999999</v>
      </c>
      <c r="S64" s="40">
        <f t="shared" si="11"/>
        <v>463</v>
      </c>
      <c r="T64" s="41">
        <f t="shared" si="2"/>
        <v>4.0026349999999997</v>
      </c>
      <c r="U64" s="51"/>
      <c r="V64" s="13">
        <f t="shared" si="8"/>
        <v>0</v>
      </c>
      <c r="W64" s="49">
        <f t="shared" si="9"/>
        <v>463</v>
      </c>
      <c r="X64" s="50">
        <f t="shared" si="10"/>
        <v>4.0026349999999997</v>
      </c>
      <c r="Y64" s="238">
        <v>100</v>
      </c>
      <c r="Z64" s="101">
        <v>300</v>
      </c>
    </row>
    <row r="65" spans="1:26" ht="16.5" thickBot="1" x14ac:dyDescent="0.3">
      <c r="A65" s="264">
        <v>61</v>
      </c>
      <c r="B65" s="259" t="s">
        <v>79</v>
      </c>
      <c r="C65" s="112">
        <v>90</v>
      </c>
      <c r="D65" s="112">
        <v>83</v>
      </c>
      <c r="E65" s="112">
        <v>2</v>
      </c>
      <c r="F65" s="114">
        <f t="shared" si="3"/>
        <v>1.494E-2</v>
      </c>
      <c r="G65" s="23">
        <f>'KASIM 3 HAFTA '!V65</f>
        <v>358</v>
      </c>
      <c r="H65" s="116">
        <f t="shared" si="4"/>
        <v>5.3485199999999997</v>
      </c>
      <c r="I65" s="21">
        <v>0</v>
      </c>
      <c r="J65" s="127">
        <f t="shared" si="5"/>
        <v>0</v>
      </c>
      <c r="K65" s="21">
        <v>0</v>
      </c>
      <c r="L65" s="119">
        <f t="shared" si="0"/>
        <v>0</v>
      </c>
      <c r="M65" s="21">
        <v>115</v>
      </c>
      <c r="N65" s="120">
        <f t="shared" si="1"/>
        <v>1.7181</v>
      </c>
      <c r="O65" s="21">
        <v>56</v>
      </c>
      <c r="P65" s="121">
        <f t="shared" si="6"/>
        <v>0.83664000000000005</v>
      </c>
      <c r="Q65" s="21">
        <v>0</v>
      </c>
      <c r="R65" s="46">
        <f t="shared" si="7"/>
        <v>0</v>
      </c>
      <c r="S65" s="122">
        <f t="shared" si="11"/>
        <v>187</v>
      </c>
      <c r="T65" s="123">
        <f t="shared" si="2"/>
        <v>2.7937799999999999</v>
      </c>
      <c r="U65" s="138">
        <v>0</v>
      </c>
      <c r="V65" s="139">
        <f t="shared" si="8"/>
        <v>0</v>
      </c>
      <c r="W65" s="141">
        <f t="shared" si="9"/>
        <v>187</v>
      </c>
      <c r="X65" s="50">
        <f t="shared" si="10"/>
        <v>2.7937799999999999</v>
      </c>
      <c r="Y65" s="238">
        <v>100</v>
      </c>
      <c r="Z65" s="101">
        <v>300</v>
      </c>
    </row>
    <row r="66" spans="1:26" ht="16.5" thickBot="1" x14ac:dyDescent="0.3">
      <c r="A66" s="264">
        <v>62</v>
      </c>
      <c r="B66" s="260" t="s">
        <v>80</v>
      </c>
      <c r="C66" s="113">
        <v>92</v>
      </c>
      <c r="D66" s="113">
        <v>82</v>
      </c>
      <c r="E66" s="113">
        <v>2</v>
      </c>
      <c r="F66" s="124">
        <f t="shared" si="3"/>
        <v>1.5088000000000001E-2</v>
      </c>
      <c r="G66" s="23">
        <f>'KASIM 3 HAFTA '!V66</f>
        <v>242</v>
      </c>
      <c r="H66" s="125">
        <f t="shared" si="4"/>
        <v>3.6512960000000003</v>
      </c>
      <c r="I66" s="21">
        <v>0</v>
      </c>
      <c r="J66" s="127">
        <f t="shared" si="5"/>
        <v>0</v>
      </c>
      <c r="K66" s="21">
        <v>0</v>
      </c>
      <c r="L66" s="119">
        <f t="shared" si="0"/>
        <v>0</v>
      </c>
      <c r="M66" s="21">
        <v>28</v>
      </c>
      <c r="N66" s="120">
        <f t="shared" si="1"/>
        <v>0.42246400000000001</v>
      </c>
      <c r="O66" s="21">
        <v>10</v>
      </c>
      <c r="P66" s="121">
        <f t="shared" si="6"/>
        <v>0.15088000000000001</v>
      </c>
      <c r="Q66" s="21">
        <v>0</v>
      </c>
      <c r="R66" s="46">
        <f t="shared" si="7"/>
        <v>0</v>
      </c>
      <c r="S66" s="122">
        <f t="shared" si="11"/>
        <v>204</v>
      </c>
      <c r="T66" s="123">
        <f t="shared" si="2"/>
        <v>3.0779520000000002</v>
      </c>
      <c r="U66" s="172">
        <v>0</v>
      </c>
      <c r="V66" s="139">
        <f t="shared" si="8"/>
        <v>0</v>
      </c>
      <c r="W66" s="141">
        <f t="shared" si="9"/>
        <v>204</v>
      </c>
      <c r="X66" s="107">
        <f t="shared" si="10"/>
        <v>3.0779520000000002</v>
      </c>
      <c r="Y66" s="238">
        <v>100</v>
      </c>
      <c r="Z66" s="101">
        <v>300</v>
      </c>
    </row>
    <row r="67" spans="1:26" ht="15.75" thickBot="1" x14ac:dyDescent="0.3">
      <c r="A67" s="264">
        <v>63</v>
      </c>
      <c r="B67" s="261" t="s">
        <v>82</v>
      </c>
      <c r="C67" s="35">
        <v>82</v>
      </c>
      <c r="D67" s="35">
        <v>80</v>
      </c>
      <c r="E67" s="35">
        <v>2</v>
      </c>
      <c r="F67" s="114">
        <f t="shared" si="3"/>
        <v>1.312E-2</v>
      </c>
      <c r="G67" s="23">
        <f>'KASIM 3 HAFTA '!V67</f>
        <v>469</v>
      </c>
      <c r="H67" s="110">
        <f t="shared" si="4"/>
        <v>6.1532799999999996</v>
      </c>
      <c r="I67" s="21">
        <v>0</v>
      </c>
      <c r="J67" s="115">
        <f t="shared" si="5"/>
        <v>0</v>
      </c>
      <c r="K67" s="21">
        <v>0</v>
      </c>
      <c r="L67" s="48">
        <f t="shared" si="0"/>
        <v>0</v>
      </c>
      <c r="M67" s="21">
        <v>0</v>
      </c>
      <c r="N67" s="11">
        <f t="shared" si="1"/>
        <v>0</v>
      </c>
      <c r="O67" s="21">
        <v>10</v>
      </c>
      <c r="P67" s="10">
        <f t="shared" si="6"/>
        <v>0.13119999999999998</v>
      </c>
      <c r="Q67" s="21">
        <v>0</v>
      </c>
      <c r="R67" s="46">
        <f t="shared" si="7"/>
        <v>0</v>
      </c>
      <c r="S67" s="86">
        <f t="shared" si="11"/>
        <v>459</v>
      </c>
      <c r="T67" s="87">
        <f t="shared" si="2"/>
        <v>6.0220799999999999</v>
      </c>
      <c r="U67" s="138"/>
      <c r="V67" s="139">
        <f t="shared" si="5"/>
        <v>0</v>
      </c>
      <c r="W67" s="141">
        <f t="shared" si="9"/>
        <v>459</v>
      </c>
      <c r="X67" s="107">
        <f t="shared" si="10"/>
        <v>6.0220799999999999</v>
      </c>
      <c r="Y67" s="238">
        <v>50</v>
      </c>
      <c r="Z67" s="101">
        <v>200</v>
      </c>
    </row>
    <row r="68" spans="1:26" ht="15.75" thickBot="1" x14ac:dyDescent="0.3">
      <c r="A68" s="264">
        <v>64</v>
      </c>
      <c r="B68" s="261" t="s">
        <v>83</v>
      </c>
      <c r="C68" s="35">
        <v>86</v>
      </c>
      <c r="D68" s="35">
        <v>77</v>
      </c>
      <c r="E68" s="35">
        <v>8</v>
      </c>
      <c r="F68" s="114">
        <f t="shared" si="3"/>
        <v>5.2976000000000002E-2</v>
      </c>
      <c r="G68" s="23">
        <f>'KASIM 3 HAFTA '!V68</f>
        <v>50</v>
      </c>
      <c r="H68" s="110">
        <f t="shared" si="4"/>
        <v>2.6488</v>
      </c>
      <c r="I68" s="21">
        <v>0</v>
      </c>
      <c r="J68" s="115">
        <f t="shared" ref="J68:V72" si="12">F68*I68</f>
        <v>0</v>
      </c>
      <c r="K68" s="21">
        <v>0</v>
      </c>
      <c r="L68" s="48">
        <f t="shared" si="0"/>
        <v>0</v>
      </c>
      <c r="M68" s="21">
        <v>4</v>
      </c>
      <c r="N68" s="11">
        <f t="shared" si="1"/>
        <v>0.21190400000000001</v>
      </c>
      <c r="O68" s="21">
        <v>0</v>
      </c>
      <c r="P68" s="10">
        <f t="shared" si="6"/>
        <v>0</v>
      </c>
      <c r="Q68" s="21">
        <v>0</v>
      </c>
      <c r="R68" s="46">
        <f t="shared" si="7"/>
        <v>0</v>
      </c>
      <c r="S68" s="86">
        <f t="shared" si="11"/>
        <v>46</v>
      </c>
      <c r="T68" s="87">
        <f t="shared" si="2"/>
        <v>2.436896</v>
      </c>
      <c r="U68" s="138"/>
      <c r="V68" s="139">
        <f t="shared" si="12"/>
        <v>0</v>
      </c>
      <c r="W68" s="141">
        <f t="shared" si="9"/>
        <v>46</v>
      </c>
      <c r="X68" s="107">
        <f t="shared" si="10"/>
        <v>2.436896</v>
      </c>
      <c r="Y68" s="238">
        <v>50</v>
      </c>
      <c r="Z68" s="101">
        <v>200</v>
      </c>
    </row>
    <row r="69" spans="1:26" ht="15.75" thickBot="1" x14ac:dyDescent="0.3">
      <c r="A69" s="264">
        <v>65</v>
      </c>
      <c r="B69" s="261" t="s">
        <v>84</v>
      </c>
      <c r="C69" s="35">
        <v>76</v>
      </c>
      <c r="D69" s="35">
        <v>75</v>
      </c>
      <c r="E69" s="35">
        <v>8</v>
      </c>
      <c r="F69" s="114">
        <f t="shared" si="3"/>
        <v>4.5600000000000002E-2</v>
      </c>
      <c r="G69" s="23">
        <f>'KASIM 3 HAFTA '!V69</f>
        <v>12</v>
      </c>
      <c r="H69" s="110">
        <f t="shared" si="4"/>
        <v>0.54720000000000002</v>
      </c>
      <c r="I69" s="21">
        <v>0</v>
      </c>
      <c r="J69" s="115">
        <f t="shared" si="12"/>
        <v>0</v>
      </c>
      <c r="K69" s="21">
        <v>0</v>
      </c>
      <c r="L69" s="48">
        <f t="shared" ref="L69:L72" si="13">F69*K69</f>
        <v>0</v>
      </c>
      <c r="M69" s="21">
        <v>0</v>
      </c>
      <c r="N69" s="11">
        <f t="shared" ref="N69" si="14">F69*M69</f>
        <v>0</v>
      </c>
      <c r="O69" s="21">
        <v>0</v>
      </c>
      <c r="P69" s="10">
        <f t="shared" si="6"/>
        <v>0</v>
      </c>
      <c r="Q69" s="21">
        <v>0</v>
      </c>
      <c r="R69" s="46">
        <f t="shared" si="7"/>
        <v>0</v>
      </c>
      <c r="S69" s="86">
        <f t="shared" si="11"/>
        <v>12</v>
      </c>
      <c r="T69" s="87">
        <f t="shared" ref="T69:T72" si="15">F69*S69</f>
        <v>0.54720000000000002</v>
      </c>
      <c r="U69" s="138"/>
      <c r="V69" s="139">
        <f t="shared" si="12"/>
        <v>0</v>
      </c>
      <c r="W69" s="141">
        <f t="shared" si="9"/>
        <v>12</v>
      </c>
      <c r="X69" s="107">
        <f t="shared" si="10"/>
        <v>0.54720000000000002</v>
      </c>
      <c r="Y69" s="238">
        <v>5</v>
      </c>
      <c r="Z69" s="101">
        <v>10</v>
      </c>
    </row>
    <row r="70" spans="1:26" ht="15.75" thickBot="1" x14ac:dyDescent="0.3">
      <c r="A70" s="264">
        <v>66</v>
      </c>
      <c r="B70" s="261" t="s">
        <v>85</v>
      </c>
      <c r="C70" s="35">
        <v>140</v>
      </c>
      <c r="D70" s="35">
        <v>240</v>
      </c>
      <c r="E70" s="35">
        <v>12</v>
      </c>
      <c r="F70" s="114">
        <f t="shared" ref="F70:F72" si="16">(C70*D70*E70)/1000000</f>
        <v>0.4032</v>
      </c>
      <c r="G70" s="23">
        <f>'KASIM 3 HAFTA '!V70</f>
        <v>4</v>
      </c>
      <c r="H70" s="110">
        <f t="shared" ref="H70:H72" si="17">F70*G70</f>
        <v>1.6128</v>
      </c>
      <c r="I70" s="21">
        <v>0</v>
      </c>
      <c r="J70" s="115">
        <f t="shared" si="12"/>
        <v>0</v>
      </c>
      <c r="K70" s="21">
        <v>0</v>
      </c>
      <c r="L70" s="48">
        <f t="shared" si="13"/>
        <v>0</v>
      </c>
      <c r="M70" s="21">
        <v>0</v>
      </c>
      <c r="N70" s="100">
        <f t="shared" ref="N70" si="18">J70*M70</f>
        <v>0</v>
      </c>
      <c r="O70" s="21">
        <v>0</v>
      </c>
      <c r="P70" s="10">
        <f t="shared" ref="P70:P72" si="19">F70*O70</f>
        <v>0</v>
      </c>
      <c r="Q70" s="21">
        <v>0</v>
      </c>
      <c r="R70" s="46">
        <f t="shared" ref="R70:R72" si="20">F70*Q70</f>
        <v>0</v>
      </c>
      <c r="S70" s="86">
        <f t="shared" si="11"/>
        <v>4</v>
      </c>
      <c r="T70" s="87">
        <f t="shared" si="15"/>
        <v>1.6128</v>
      </c>
      <c r="U70" s="138"/>
      <c r="V70" s="139">
        <f t="shared" si="12"/>
        <v>0</v>
      </c>
      <c r="W70" s="141">
        <f t="shared" ref="W70:W75" si="21">S70+U70</f>
        <v>4</v>
      </c>
      <c r="X70" s="107">
        <f t="shared" ref="X70:X72" si="22">F70*W70</f>
        <v>1.6128</v>
      </c>
      <c r="Y70" s="238">
        <v>20</v>
      </c>
      <c r="Z70" s="101">
        <v>50</v>
      </c>
    </row>
    <row r="71" spans="1:26" x14ac:dyDescent="0.25">
      <c r="A71" s="264">
        <v>67</v>
      </c>
      <c r="B71" s="261" t="s">
        <v>96</v>
      </c>
      <c r="C71" s="130">
        <v>140</v>
      </c>
      <c r="D71" s="130">
        <v>240</v>
      </c>
      <c r="E71" s="130">
        <v>2</v>
      </c>
      <c r="F71" s="131">
        <f t="shared" si="16"/>
        <v>6.7199999999999996E-2</v>
      </c>
      <c r="G71" s="23">
        <f>'KASIM 3 HAFTA '!V71</f>
        <v>221</v>
      </c>
      <c r="H71" s="135">
        <f t="shared" si="17"/>
        <v>14.851199999999999</v>
      </c>
      <c r="I71" s="21">
        <v>0</v>
      </c>
      <c r="J71" s="115">
        <f t="shared" si="12"/>
        <v>0</v>
      </c>
      <c r="K71" s="21">
        <v>0</v>
      </c>
      <c r="L71" s="173">
        <f t="shared" si="13"/>
        <v>0</v>
      </c>
      <c r="M71" s="21">
        <v>0</v>
      </c>
      <c r="N71" s="11">
        <f t="shared" ref="N71:N72" si="23">F71*M71</f>
        <v>0</v>
      </c>
      <c r="O71" s="21">
        <v>0</v>
      </c>
      <c r="P71" s="173">
        <f t="shared" si="19"/>
        <v>0</v>
      </c>
      <c r="Q71" s="21">
        <v>0</v>
      </c>
      <c r="R71" s="154">
        <f t="shared" si="20"/>
        <v>0</v>
      </c>
      <c r="S71" s="86">
        <f t="shared" ref="S71:S75" si="24">G71-I71-K71-M71-O71-Q71</f>
        <v>221</v>
      </c>
      <c r="T71" s="97">
        <f t="shared" si="15"/>
        <v>14.851199999999999</v>
      </c>
      <c r="U71" s="138">
        <v>0</v>
      </c>
      <c r="V71" s="139">
        <f t="shared" ref="V71:V72" si="25">F71*U71</f>
        <v>0</v>
      </c>
      <c r="W71" s="141">
        <f t="shared" si="21"/>
        <v>221</v>
      </c>
      <c r="X71" s="141">
        <f t="shared" si="22"/>
        <v>14.851199999999999</v>
      </c>
      <c r="Y71" s="238">
        <v>30</v>
      </c>
      <c r="Z71" s="101">
        <v>100</v>
      </c>
    </row>
    <row r="72" spans="1:26" x14ac:dyDescent="0.25">
      <c r="A72" s="264">
        <v>68</v>
      </c>
      <c r="B72" s="262" t="s">
        <v>95</v>
      </c>
      <c r="C72" s="130">
        <v>61</v>
      </c>
      <c r="D72" s="130">
        <v>61</v>
      </c>
      <c r="E72" s="130">
        <v>3</v>
      </c>
      <c r="F72" s="131">
        <f t="shared" si="16"/>
        <v>1.1162999999999999E-2</v>
      </c>
      <c r="G72" s="23">
        <f>'KASIM 3 HAFTA '!V72</f>
        <v>13</v>
      </c>
      <c r="H72" s="135">
        <f t="shared" si="17"/>
        <v>0.145119</v>
      </c>
      <c r="I72" s="129">
        <v>0</v>
      </c>
      <c r="J72" s="166">
        <f t="shared" si="12"/>
        <v>0</v>
      </c>
      <c r="K72" s="129">
        <v>0</v>
      </c>
      <c r="L72" s="250">
        <f t="shared" si="13"/>
        <v>0</v>
      </c>
      <c r="M72" s="129">
        <v>0</v>
      </c>
      <c r="N72" s="100">
        <f t="shared" si="23"/>
        <v>0</v>
      </c>
      <c r="O72" s="129">
        <v>0</v>
      </c>
      <c r="P72" s="250">
        <f t="shared" si="19"/>
        <v>0</v>
      </c>
      <c r="Q72" s="129">
        <v>0</v>
      </c>
      <c r="R72" s="166">
        <f t="shared" si="20"/>
        <v>0</v>
      </c>
      <c r="S72" s="86">
        <f t="shared" si="24"/>
        <v>13</v>
      </c>
      <c r="T72" s="251">
        <f t="shared" si="15"/>
        <v>0.145119</v>
      </c>
      <c r="U72" s="172">
        <v>0</v>
      </c>
      <c r="V72" s="252">
        <f t="shared" si="25"/>
        <v>0</v>
      </c>
      <c r="W72" s="253">
        <f t="shared" si="21"/>
        <v>13</v>
      </c>
      <c r="X72" s="253">
        <f t="shared" si="22"/>
        <v>0.145119</v>
      </c>
      <c r="Y72" s="238">
        <v>0</v>
      </c>
      <c r="Z72" s="101">
        <v>0</v>
      </c>
    </row>
    <row r="73" spans="1:26" x14ac:dyDescent="0.25">
      <c r="A73" s="264">
        <v>69</v>
      </c>
      <c r="B73" s="108" t="s">
        <v>106</v>
      </c>
      <c r="C73" s="96"/>
      <c r="D73" s="96"/>
      <c r="E73" s="96"/>
      <c r="F73" s="109"/>
      <c r="G73" s="23">
        <v>20</v>
      </c>
      <c r="H73" s="110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86">
        <f t="shared" si="24"/>
        <v>20</v>
      </c>
      <c r="T73" s="96"/>
      <c r="U73" s="101"/>
      <c r="V73" s="101"/>
      <c r="W73" s="253">
        <f t="shared" si="21"/>
        <v>20</v>
      </c>
      <c r="X73" s="101"/>
      <c r="Y73" s="101">
        <v>0</v>
      </c>
      <c r="Z73" s="101">
        <v>0</v>
      </c>
    </row>
    <row r="74" spans="1:26" x14ac:dyDescent="0.25">
      <c r="A74" s="105">
        <v>70</v>
      </c>
      <c r="B74" s="270" t="s">
        <v>107</v>
      </c>
      <c r="C74" s="105"/>
      <c r="D74" s="105"/>
      <c r="E74" s="271"/>
      <c r="F74" s="125"/>
      <c r="G74" s="23">
        <v>20</v>
      </c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86">
        <f t="shared" si="24"/>
        <v>20</v>
      </c>
      <c r="T74" s="106"/>
      <c r="U74" s="106"/>
      <c r="V74" s="106"/>
      <c r="W74" s="253">
        <f t="shared" si="21"/>
        <v>20</v>
      </c>
      <c r="X74" s="106"/>
      <c r="Y74" s="106"/>
      <c r="Z74" s="106"/>
    </row>
    <row r="75" spans="1:26" x14ac:dyDescent="0.25">
      <c r="A75" s="96">
        <v>71</v>
      </c>
      <c r="B75" s="265" t="s">
        <v>108</v>
      </c>
      <c r="C75" s="96"/>
      <c r="D75" s="96"/>
      <c r="E75" s="109"/>
      <c r="F75" s="110"/>
      <c r="G75" s="23">
        <v>17</v>
      </c>
      <c r="H75" s="96"/>
      <c r="I75" s="96"/>
      <c r="J75" s="96"/>
      <c r="K75" s="96"/>
      <c r="L75" s="96"/>
      <c r="M75" s="96"/>
      <c r="N75" s="96"/>
      <c r="O75" s="96"/>
      <c r="P75" s="96"/>
      <c r="Q75" s="96">
        <v>4</v>
      </c>
      <c r="R75" s="96"/>
      <c r="S75" s="86">
        <f t="shared" si="24"/>
        <v>13</v>
      </c>
      <c r="T75" s="101"/>
      <c r="U75" s="101"/>
      <c r="V75" s="101"/>
      <c r="W75" s="253">
        <f t="shared" si="21"/>
        <v>13</v>
      </c>
      <c r="X75" s="101"/>
      <c r="Y75" s="101"/>
      <c r="Z75" s="101"/>
    </row>
  </sheetData>
  <mergeCells count="24">
    <mergeCell ref="W2:X3"/>
    <mergeCell ref="U2:V3"/>
    <mergeCell ref="S2:T3"/>
    <mergeCell ref="S4:T4"/>
    <mergeCell ref="U4:V4"/>
    <mergeCell ref="W4:X4"/>
    <mergeCell ref="G4:H4"/>
    <mergeCell ref="I4:J4"/>
    <mergeCell ref="K4:L4"/>
    <mergeCell ref="M4:N4"/>
    <mergeCell ref="O4:P4"/>
    <mergeCell ref="Q4:R4"/>
    <mergeCell ref="Q2:R2"/>
    <mergeCell ref="I3:J3"/>
    <mergeCell ref="K3:L3"/>
    <mergeCell ref="M3:N3"/>
    <mergeCell ref="O3:P3"/>
    <mergeCell ref="Q3:R3"/>
    <mergeCell ref="O2:P2"/>
    <mergeCell ref="C1:H1"/>
    <mergeCell ref="G2:H3"/>
    <mergeCell ref="I2:J2"/>
    <mergeCell ref="K2:L2"/>
    <mergeCell ref="M2:N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75"/>
  <sheetViews>
    <sheetView topLeftCell="A55" workbookViewId="0">
      <selection activeCell="M50" sqref="M50"/>
    </sheetView>
  </sheetViews>
  <sheetFormatPr defaultRowHeight="15" x14ac:dyDescent="0.25"/>
  <cols>
    <col min="1" max="1" width="6.42578125" customWidth="1"/>
    <col min="2" max="2" width="22.7109375" style="3" customWidth="1"/>
    <col min="3" max="3" width="6.5703125" style="2" hidden="1" customWidth="1"/>
    <col min="4" max="4" width="10.42578125" style="2" hidden="1" customWidth="1"/>
    <col min="5" max="5" width="11.42578125" style="2" hidden="1" customWidth="1"/>
    <col min="6" max="6" width="11.42578125" style="4" hidden="1" customWidth="1"/>
    <col min="7" max="8" width="9" style="5" customWidth="1"/>
    <col min="9" max="20" width="8.140625" style="2" customWidth="1"/>
    <col min="25" max="25" width="10.28515625" customWidth="1"/>
  </cols>
  <sheetData>
    <row r="1" spans="1:26" ht="15.75" thickBot="1" x14ac:dyDescent="0.3">
      <c r="B1" s="4" t="s">
        <v>18</v>
      </c>
      <c r="C1" s="320" t="s">
        <v>109</v>
      </c>
      <c r="D1" s="320"/>
      <c r="E1" s="320"/>
      <c r="F1" s="320"/>
      <c r="G1" s="320"/>
      <c r="H1" s="320"/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44893</v>
      </c>
      <c r="J2" s="326"/>
      <c r="K2" s="327">
        <v>44894</v>
      </c>
      <c r="L2" s="328"/>
      <c r="M2" s="325">
        <v>44895</v>
      </c>
      <c r="N2" s="329"/>
      <c r="O2" s="327">
        <v>44896</v>
      </c>
      <c r="P2" s="346"/>
      <c r="Q2" s="325">
        <v>44897</v>
      </c>
      <c r="R2" s="329"/>
      <c r="S2" s="330" t="s">
        <v>69</v>
      </c>
      <c r="T2" s="331"/>
      <c r="U2" s="334" t="s">
        <v>70</v>
      </c>
      <c r="V2" s="335"/>
      <c r="W2" s="338" t="s">
        <v>71</v>
      </c>
      <c r="X2" s="339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40"/>
      <c r="X3" s="341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51" t="s">
        <v>63</v>
      </c>
      <c r="X4" s="352"/>
      <c r="Y4" s="268" t="s">
        <v>99</v>
      </c>
      <c r="Z4" s="269" t="s">
        <v>100</v>
      </c>
    </row>
    <row r="5" spans="1:26" x14ac:dyDescent="0.25">
      <c r="A5" s="263">
        <v>1</v>
      </c>
      <c r="B5" s="256" t="s">
        <v>2</v>
      </c>
      <c r="C5" s="32">
        <v>140</v>
      </c>
      <c r="D5" s="33">
        <v>240</v>
      </c>
      <c r="E5" s="33">
        <v>1</v>
      </c>
      <c r="F5" s="15">
        <f>(C5*D5*E5)/1000000</f>
        <v>3.3599999999999998E-2</v>
      </c>
      <c r="G5" s="23">
        <f>'KASIM 4 HAFTA  '!W5</f>
        <v>329</v>
      </c>
      <c r="H5" s="24">
        <f>F5*G5</f>
        <v>11.054399999999999</v>
      </c>
      <c r="I5" s="21">
        <v>103</v>
      </c>
      <c r="J5" s="11">
        <f t="shared" ref="J5:J36" si="0">F5*I5</f>
        <v>3.4607999999999999</v>
      </c>
      <c r="K5" s="21">
        <v>46</v>
      </c>
      <c r="L5" s="10">
        <f t="shared" ref="L5:L68" si="1">F5*K5</f>
        <v>1.5455999999999999</v>
      </c>
      <c r="M5" s="21">
        <v>5</v>
      </c>
      <c r="N5" s="11">
        <f t="shared" ref="N5:N68" si="2">F5*M5</f>
        <v>0.16799999999999998</v>
      </c>
      <c r="O5" s="21">
        <v>28</v>
      </c>
      <c r="P5" s="10">
        <f>F5*O5</f>
        <v>0.94079999999999997</v>
      </c>
      <c r="Q5" s="21">
        <v>27</v>
      </c>
      <c r="R5" s="11">
        <f t="shared" ref="R5:R36" si="3">F5*Q5</f>
        <v>0.9071999999999999</v>
      </c>
      <c r="S5" s="39">
        <f>G5-I5-K5-M5-O5-Q5</f>
        <v>120</v>
      </c>
      <c r="T5" s="38">
        <f t="shared" ref="T5:T68" si="4">F5*S5</f>
        <v>4.032</v>
      </c>
      <c r="U5" s="12">
        <v>90</v>
      </c>
      <c r="V5" s="13">
        <f>F5*U5</f>
        <v>3.024</v>
      </c>
      <c r="W5" s="49">
        <f>S5+U5</f>
        <v>210</v>
      </c>
      <c r="X5" s="50">
        <f>F5*W5</f>
        <v>7.0559999999999992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3</v>
      </c>
      <c r="C6" s="34">
        <v>140</v>
      </c>
      <c r="D6" s="35">
        <v>240</v>
      </c>
      <c r="E6" s="35">
        <v>0.8</v>
      </c>
      <c r="F6" s="19">
        <f t="shared" ref="F6:F69" si="5">(C6*D6*E6)/1000000</f>
        <v>2.6880000000000001E-2</v>
      </c>
      <c r="G6" s="23">
        <f>'KASIM 4 HAFTA  '!W6</f>
        <v>138</v>
      </c>
      <c r="H6" s="26">
        <f t="shared" ref="H6:H69" si="6">F6*G6</f>
        <v>3.7094400000000003</v>
      </c>
      <c r="I6" s="21">
        <v>14</v>
      </c>
      <c r="J6" s="11">
        <f t="shared" si="0"/>
        <v>0.37631999999999999</v>
      </c>
      <c r="K6" s="21">
        <v>0</v>
      </c>
      <c r="L6" s="10">
        <f t="shared" si="1"/>
        <v>0</v>
      </c>
      <c r="M6" s="21">
        <v>35</v>
      </c>
      <c r="N6" s="11">
        <f t="shared" si="2"/>
        <v>0.94080000000000008</v>
      </c>
      <c r="O6" s="21">
        <v>10</v>
      </c>
      <c r="P6" s="10">
        <f t="shared" ref="P6:P69" si="7">F6*O6</f>
        <v>0.26880000000000004</v>
      </c>
      <c r="Q6" s="21">
        <v>0</v>
      </c>
      <c r="R6" s="11">
        <f t="shared" si="3"/>
        <v>0</v>
      </c>
      <c r="S6" s="39">
        <f>G6-I6-K6-M6-O6-Q6</f>
        <v>79</v>
      </c>
      <c r="T6" s="38">
        <f t="shared" si="4"/>
        <v>2.1235200000000001</v>
      </c>
      <c r="U6" s="12">
        <v>0</v>
      </c>
      <c r="V6" s="13">
        <f t="shared" ref="V6:V68" si="8">F6*U6</f>
        <v>0</v>
      </c>
      <c r="W6" s="49">
        <f t="shared" ref="W6:W69" si="9">S6+U6</f>
        <v>79</v>
      </c>
      <c r="X6" s="50">
        <f t="shared" ref="X6:X69" si="10">F6*W6</f>
        <v>2.1235200000000001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4</v>
      </c>
      <c r="C7" s="34">
        <v>140</v>
      </c>
      <c r="D7" s="35">
        <v>240</v>
      </c>
      <c r="E7" s="35">
        <v>1.4</v>
      </c>
      <c r="F7" s="19">
        <f t="shared" si="5"/>
        <v>4.7039999999999998E-2</v>
      </c>
      <c r="G7" s="23">
        <f>'KASIM 4 HAFTA  '!W7</f>
        <v>78</v>
      </c>
      <c r="H7" s="26">
        <f t="shared" si="6"/>
        <v>3.6691199999999999</v>
      </c>
      <c r="I7" s="21">
        <v>38</v>
      </c>
      <c r="J7" s="11">
        <f t="shared" si="0"/>
        <v>1.78752</v>
      </c>
      <c r="K7" s="21">
        <v>24</v>
      </c>
      <c r="L7" s="10">
        <f t="shared" si="1"/>
        <v>1.12896</v>
      </c>
      <c r="M7" s="21">
        <v>2</v>
      </c>
      <c r="N7" s="11">
        <f t="shared" si="2"/>
        <v>9.4079999999999997E-2</v>
      </c>
      <c r="O7" s="21">
        <v>39</v>
      </c>
      <c r="P7" s="10">
        <f t="shared" si="7"/>
        <v>1.83456</v>
      </c>
      <c r="Q7" s="21">
        <v>1</v>
      </c>
      <c r="R7" s="11">
        <f t="shared" si="3"/>
        <v>4.7039999999999998E-2</v>
      </c>
      <c r="S7" s="39">
        <f t="shared" ref="S7:S70" si="11">G7-I7-K7-M7-O7-Q7</f>
        <v>-26</v>
      </c>
      <c r="T7" s="38">
        <f t="shared" si="4"/>
        <v>-1.2230399999999999</v>
      </c>
      <c r="U7" s="12">
        <v>150</v>
      </c>
      <c r="V7" s="13">
        <f t="shared" si="8"/>
        <v>7.056</v>
      </c>
      <c r="W7" s="49">
        <f t="shared" si="9"/>
        <v>124</v>
      </c>
      <c r="X7" s="50">
        <f t="shared" si="10"/>
        <v>5.8329599999999999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5</v>
      </c>
      <c r="C8" s="34">
        <v>140</v>
      </c>
      <c r="D8" s="35">
        <v>240</v>
      </c>
      <c r="E8" s="35">
        <v>4</v>
      </c>
      <c r="F8" s="19">
        <f t="shared" si="5"/>
        <v>0.13439999999999999</v>
      </c>
      <c r="G8" s="23">
        <f>'KASIM 4 HAFTA  '!W8</f>
        <v>2</v>
      </c>
      <c r="H8" s="26">
        <f t="shared" si="6"/>
        <v>0.26879999999999998</v>
      </c>
      <c r="I8" s="21">
        <v>2</v>
      </c>
      <c r="J8" s="11">
        <f t="shared" si="0"/>
        <v>0.26879999999999998</v>
      </c>
      <c r="K8" s="21">
        <v>0</v>
      </c>
      <c r="L8" s="10">
        <f t="shared" si="1"/>
        <v>0</v>
      </c>
      <c r="M8" s="21">
        <v>0</v>
      </c>
      <c r="N8" s="11">
        <f t="shared" si="2"/>
        <v>0</v>
      </c>
      <c r="O8" s="21">
        <v>0</v>
      </c>
      <c r="P8" s="10">
        <f t="shared" si="7"/>
        <v>0</v>
      </c>
      <c r="Q8" s="21">
        <v>0</v>
      </c>
      <c r="R8" s="11">
        <f t="shared" si="3"/>
        <v>0</v>
      </c>
      <c r="S8" s="39">
        <f t="shared" si="11"/>
        <v>0</v>
      </c>
      <c r="T8" s="38">
        <f t="shared" si="4"/>
        <v>0</v>
      </c>
      <c r="U8" s="12"/>
      <c r="V8" s="13">
        <f t="shared" si="8"/>
        <v>0</v>
      </c>
      <c r="W8" s="49">
        <f t="shared" si="9"/>
        <v>0</v>
      </c>
      <c r="X8" s="50">
        <f t="shared" si="10"/>
        <v>0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6</v>
      </c>
      <c r="C9" s="34">
        <v>140</v>
      </c>
      <c r="D9" s="35">
        <v>240</v>
      </c>
      <c r="E9" s="35">
        <v>2</v>
      </c>
      <c r="F9" s="19">
        <f t="shared" si="5"/>
        <v>6.7199999999999996E-2</v>
      </c>
      <c r="G9" s="23">
        <f>'KASIM 4 HAFTA  '!W9</f>
        <v>80</v>
      </c>
      <c r="H9" s="26">
        <f t="shared" si="6"/>
        <v>5.3759999999999994</v>
      </c>
      <c r="I9" s="21">
        <v>0</v>
      </c>
      <c r="J9" s="11">
        <f t="shared" si="0"/>
        <v>0</v>
      </c>
      <c r="K9" s="21">
        <v>4</v>
      </c>
      <c r="L9" s="10">
        <f t="shared" si="1"/>
        <v>0.26879999999999998</v>
      </c>
      <c r="M9" s="21">
        <v>0</v>
      </c>
      <c r="N9" s="11">
        <f t="shared" si="2"/>
        <v>0</v>
      </c>
      <c r="O9" s="21">
        <v>2</v>
      </c>
      <c r="P9" s="10">
        <f t="shared" si="7"/>
        <v>0.13439999999999999</v>
      </c>
      <c r="Q9" s="21">
        <v>1</v>
      </c>
      <c r="R9" s="11">
        <f t="shared" si="3"/>
        <v>6.7199999999999996E-2</v>
      </c>
      <c r="S9" s="39">
        <f t="shared" si="11"/>
        <v>73</v>
      </c>
      <c r="T9" s="38">
        <f t="shared" si="4"/>
        <v>4.9055999999999997</v>
      </c>
      <c r="U9" s="12"/>
      <c r="V9" s="13">
        <f t="shared" si="8"/>
        <v>0</v>
      </c>
      <c r="W9" s="49">
        <f t="shared" si="9"/>
        <v>73</v>
      </c>
      <c r="X9" s="50">
        <f t="shared" si="10"/>
        <v>4.9055999999999997</v>
      </c>
      <c r="Y9" s="238">
        <v>50</v>
      </c>
      <c r="Z9" s="101">
        <v>150</v>
      </c>
    </row>
    <row r="10" spans="1:26" x14ac:dyDescent="0.25">
      <c r="A10" s="264">
        <v>6</v>
      </c>
      <c r="B10" s="256" t="s">
        <v>7</v>
      </c>
      <c r="C10" s="34">
        <v>140</v>
      </c>
      <c r="D10" s="35">
        <v>240</v>
      </c>
      <c r="E10" s="35">
        <v>2</v>
      </c>
      <c r="F10" s="19">
        <f t="shared" si="5"/>
        <v>6.7199999999999996E-2</v>
      </c>
      <c r="G10" s="23">
        <f>'KASIM 4 HAFTA  '!W10</f>
        <v>88</v>
      </c>
      <c r="H10" s="26">
        <f t="shared" si="6"/>
        <v>5.9135999999999997</v>
      </c>
      <c r="I10" s="21">
        <v>32</v>
      </c>
      <c r="J10" s="11">
        <f t="shared" si="0"/>
        <v>2.1503999999999999</v>
      </c>
      <c r="K10" s="21">
        <v>0</v>
      </c>
      <c r="L10" s="10">
        <f t="shared" si="1"/>
        <v>0</v>
      </c>
      <c r="M10" s="21">
        <v>0</v>
      </c>
      <c r="N10" s="11">
        <f t="shared" si="2"/>
        <v>0</v>
      </c>
      <c r="O10" s="21">
        <v>43</v>
      </c>
      <c r="P10" s="10">
        <f t="shared" si="7"/>
        <v>2.8895999999999997</v>
      </c>
      <c r="Q10" s="21">
        <v>0</v>
      </c>
      <c r="R10" s="11">
        <f t="shared" si="3"/>
        <v>0</v>
      </c>
      <c r="S10" s="39">
        <f t="shared" si="11"/>
        <v>13</v>
      </c>
      <c r="T10" s="38">
        <f t="shared" si="4"/>
        <v>0.87359999999999993</v>
      </c>
      <c r="U10" s="12"/>
      <c r="V10" s="13">
        <f t="shared" si="8"/>
        <v>0</v>
      </c>
      <c r="W10" s="49">
        <f t="shared" si="9"/>
        <v>13</v>
      </c>
      <c r="X10" s="50">
        <f t="shared" si="10"/>
        <v>0.87359999999999993</v>
      </c>
      <c r="Y10" s="238">
        <v>75</v>
      </c>
      <c r="Z10" s="101">
        <v>300</v>
      </c>
    </row>
    <row r="11" spans="1:26" x14ac:dyDescent="0.25">
      <c r="A11" s="264">
        <v>7</v>
      </c>
      <c r="B11" s="256" t="s">
        <v>8</v>
      </c>
      <c r="C11" s="34">
        <v>140</v>
      </c>
      <c r="D11" s="35">
        <v>240</v>
      </c>
      <c r="E11" s="35">
        <v>7</v>
      </c>
      <c r="F11" s="19">
        <f t="shared" si="5"/>
        <v>0.23519999999999999</v>
      </c>
      <c r="G11" s="23">
        <f>'KASIM 4 HAFTA  '!W11</f>
        <v>68</v>
      </c>
      <c r="H11" s="26">
        <f t="shared" si="6"/>
        <v>15.993599999999999</v>
      </c>
      <c r="I11" s="21">
        <v>0</v>
      </c>
      <c r="J11" s="11">
        <f t="shared" si="0"/>
        <v>0</v>
      </c>
      <c r="K11" s="21">
        <v>0</v>
      </c>
      <c r="L11" s="10">
        <f t="shared" si="1"/>
        <v>0</v>
      </c>
      <c r="M11" s="21">
        <v>6</v>
      </c>
      <c r="N11" s="11">
        <f t="shared" si="2"/>
        <v>1.4112</v>
      </c>
      <c r="O11" s="21">
        <v>4</v>
      </c>
      <c r="P11" s="10">
        <f t="shared" si="7"/>
        <v>0.94079999999999997</v>
      </c>
      <c r="Q11" s="21">
        <v>0</v>
      </c>
      <c r="R11" s="11">
        <f t="shared" si="3"/>
        <v>0</v>
      </c>
      <c r="S11" s="39">
        <f t="shared" si="11"/>
        <v>58</v>
      </c>
      <c r="T11" s="38">
        <f t="shared" si="4"/>
        <v>13.6416</v>
      </c>
      <c r="U11" s="12">
        <v>0</v>
      </c>
      <c r="V11" s="13">
        <f t="shared" si="8"/>
        <v>0</v>
      </c>
      <c r="W11" s="49">
        <f t="shared" si="9"/>
        <v>58</v>
      </c>
      <c r="X11" s="50">
        <f t="shared" si="10"/>
        <v>13.6416</v>
      </c>
      <c r="Y11" s="238">
        <v>20</v>
      </c>
      <c r="Z11" s="101">
        <v>50</v>
      </c>
    </row>
    <row r="12" spans="1:26" x14ac:dyDescent="0.25">
      <c r="A12" s="264">
        <v>8</v>
      </c>
      <c r="B12" s="256" t="s">
        <v>9</v>
      </c>
      <c r="C12" s="34">
        <v>140</v>
      </c>
      <c r="D12" s="35">
        <v>240</v>
      </c>
      <c r="E12" s="35">
        <v>5</v>
      </c>
      <c r="F12" s="19">
        <f t="shared" si="5"/>
        <v>0.16800000000000001</v>
      </c>
      <c r="G12" s="23">
        <f>'KASIM 4 HAFTA  '!W12</f>
        <v>291</v>
      </c>
      <c r="H12" s="26">
        <f t="shared" si="6"/>
        <v>48.888000000000005</v>
      </c>
      <c r="I12" s="21">
        <v>0</v>
      </c>
      <c r="J12" s="11">
        <f t="shared" si="0"/>
        <v>0</v>
      </c>
      <c r="K12" s="21">
        <v>0</v>
      </c>
      <c r="L12" s="10">
        <f t="shared" si="1"/>
        <v>0</v>
      </c>
      <c r="M12" s="21">
        <v>0</v>
      </c>
      <c r="N12" s="11">
        <f t="shared" si="2"/>
        <v>0</v>
      </c>
      <c r="O12" s="21">
        <v>0</v>
      </c>
      <c r="P12" s="10">
        <f t="shared" si="7"/>
        <v>0</v>
      </c>
      <c r="Q12" s="21">
        <v>0</v>
      </c>
      <c r="R12" s="11">
        <f t="shared" si="3"/>
        <v>0</v>
      </c>
      <c r="S12" s="39">
        <f t="shared" si="11"/>
        <v>291</v>
      </c>
      <c r="T12" s="38">
        <f t="shared" si="4"/>
        <v>48.888000000000005</v>
      </c>
      <c r="U12" s="12"/>
      <c r="V12" s="13">
        <f t="shared" si="8"/>
        <v>0</v>
      </c>
      <c r="W12" s="49">
        <f t="shared" si="9"/>
        <v>291</v>
      </c>
      <c r="X12" s="50">
        <f t="shared" si="10"/>
        <v>48.888000000000005</v>
      </c>
      <c r="Y12" s="238">
        <v>30</v>
      </c>
      <c r="Z12" s="101">
        <v>100</v>
      </c>
    </row>
    <row r="13" spans="1:26" x14ac:dyDescent="0.25">
      <c r="A13" s="264">
        <v>9</v>
      </c>
      <c r="B13" s="256" t="s">
        <v>10</v>
      </c>
      <c r="C13" s="34">
        <v>140</v>
      </c>
      <c r="D13" s="35">
        <v>240</v>
      </c>
      <c r="E13" s="35">
        <v>5</v>
      </c>
      <c r="F13" s="19">
        <f t="shared" si="5"/>
        <v>0.16800000000000001</v>
      </c>
      <c r="G13" s="23">
        <f>'KASIM 4 HAFTA  '!W13</f>
        <v>0</v>
      </c>
      <c r="H13" s="26">
        <f t="shared" si="6"/>
        <v>0</v>
      </c>
      <c r="I13" s="21">
        <v>6</v>
      </c>
      <c r="J13" s="11">
        <f t="shared" si="0"/>
        <v>1.008</v>
      </c>
      <c r="K13" s="21">
        <v>0</v>
      </c>
      <c r="L13" s="10">
        <f t="shared" si="1"/>
        <v>0</v>
      </c>
      <c r="M13" s="21">
        <v>0</v>
      </c>
      <c r="N13" s="11">
        <f t="shared" si="2"/>
        <v>0</v>
      </c>
      <c r="O13" s="21">
        <v>1</v>
      </c>
      <c r="P13" s="10">
        <f t="shared" si="7"/>
        <v>0.16800000000000001</v>
      </c>
      <c r="Q13" s="21">
        <v>0</v>
      </c>
      <c r="R13" s="11">
        <f t="shared" si="3"/>
        <v>0</v>
      </c>
      <c r="S13" s="39">
        <f t="shared" si="11"/>
        <v>-7</v>
      </c>
      <c r="T13" s="38">
        <f t="shared" si="4"/>
        <v>-1.1760000000000002</v>
      </c>
      <c r="U13" s="12">
        <v>26</v>
      </c>
      <c r="V13" s="13">
        <f t="shared" si="8"/>
        <v>4.3680000000000003</v>
      </c>
      <c r="W13" s="49">
        <f t="shared" si="9"/>
        <v>19</v>
      </c>
      <c r="X13" s="50">
        <f t="shared" si="10"/>
        <v>3.1920000000000002</v>
      </c>
      <c r="Y13" s="238">
        <v>20</v>
      </c>
      <c r="Z13" s="101">
        <v>50</v>
      </c>
    </row>
    <row r="14" spans="1:26" x14ac:dyDescent="0.25">
      <c r="A14" s="264">
        <v>10</v>
      </c>
      <c r="B14" s="256" t="s">
        <v>11</v>
      </c>
      <c r="C14" s="34">
        <v>140</v>
      </c>
      <c r="D14" s="35">
        <v>240</v>
      </c>
      <c r="E14" s="35">
        <v>5</v>
      </c>
      <c r="F14" s="19">
        <f t="shared" si="5"/>
        <v>0.16800000000000001</v>
      </c>
      <c r="G14" s="23">
        <f>'KASIM 4 HAFTA  '!W14</f>
        <v>51</v>
      </c>
      <c r="H14" s="26">
        <f t="shared" si="6"/>
        <v>8.5680000000000014</v>
      </c>
      <c r="I14" s="21">
        <v>0</v>
      </c>
      <c r="J14" s="11">
        <f t="shared" si="0"/>
        <v>0</v>
      </c>
      <c r="K14" s="21">
        <v>3</v>
      </c>
      <c r="L14" s="10">
        <f t="shared" si="1"/>
        <v>0.504</v>
      </c>
      <c r="M14" s="21">
        <v>0</v>
      </c>
      <c r="N14" s="11">
        <f t="shared" si="2"/>
        <v>0</v>
      </c>
      <c r="O14" s="21">
        <v>0</v>
      </c>
      <c r="P14" s="10">
        <f t="shared" si="7"/>
        <v>0</v>
      </c>
      <c r="Q14" s="21">
        <v>1</v>
      </c>
      <c r="R14" s="11">
        <f t="shared" si="3"/>
        <v>0.16800000000000001</v>
      </c>
      <c r="S14" s="39">
        <f t="shared" si="11"/>
        <v>47</v>
      </c>
      <c r="T14" s="38">
        <f t="shared" si="4"/>
        <v>7.8960000000000008</v>
      </c>
      <c r="U14" s="12">
        <v>102</v>
      </c>
      <c r="V14" s="13">
        <f t="shared" si="8"/>
        <v>17.136000000000003</v>
      </c>
      <c r="W14" s="49">
        <f t="shared" si="9"/>
        <v>149</v>
      </c>
      <c r="X14" s="50">
        <f t="shared" si="10"/>
        <v>25.032</v>
      </c>
      <c r="Y14" s="238">
        <v>30</v>
      </c>
      <c r="Z14" s="101">
        <v>100</v>
      </c>
    </row>
    <row r="15" spans="1:26" x14ac:dyDescent="0.25">
      <c r="A15" s="264">
        <v>11</v>
      </c>
      <c r="B15" s="256" t="s">
        <v>12</v>
      </c>
      <c r="C15" s="34">
        <v>140</v>
      </c>
      <c r="D15" s="35">
        <v>240</v>
      </c>
      <c r="E15" s="35">
        <v>10</v>
      </c>
      <c r="F15" s="19">
        <f t="shared" si="5"/>
        <v>0.33600000000000002</v>
      </c>
      <c r="G15" s="23">
        <v>3</v>
      </c>
      <c r="H15" s="26">
        <f t="shared" si="6"/>
        <v>1.008</v>
      </c>
      <c r="I15" s="21">
        <v>0</v>
      </c>
      <c r="J15" s="11">
        <f t="shared" si="0"/>
        <v>0</v>
      </c>
      <c r="K15" s="21">
        <v>0</v>
      </c>
      <c r="L15" s="10">
        <f t="shared" si="1"/>
        <v>0</v>
      </c>
      <c r="M15" s="21">
        <v>0</v>
      </c>
      <c r="N15" s="11">
        <f t="shared" si="2"/>
        <v>0</v>
      </c>
      <c r="O15" s="21">
        <v>13</v>
      </c>
      <c r="P15" s="10">
        <f t="shared" si="7"/>
        <v>4.3680000000000003</v>
      </c>
      <c r="Q15" s="21">
        <v>1</v>
      </c>
      <c r="R15" s="11">
        <f t="shared" si="3"/>
        <v>0.33600000000000002</v>
      </c>
      <c r="S15" s="39">
        <f t="shared" si="11"/>
        <v>-11</v>
      </c>
      <c r="T15" s="38">
        <f t="shared" si="4"/>
        <v>-3.6960000000000002</v>
      </c>
      <c r="U15" s="12">
        <v>10</v>
      </c>
      <c r="V15" s="13">
        <f t="shared" si="8"/>
        <v>3.3600000000000003</v>
      </c>
      <c r="W15" s="49">
        <f t="shared" si="9"/>
        <v>-1</v>
      </c>
      <c r="X15" s="50">
        <f t="shared" si="10"/>
        <v>-0.33600000000000002</v>
      </c>
      <c r="Y15" s="238">
        <v>20</v>
      </c>
      <c r="Z15" s="101">
        <v>70</v>
      </c>
    </row>
    <row r="16" spans="1:26" x14ac:dyDescent="0.25">
      <c r="A16" s="264">
        <v>12</v>
      </c>
      <c r="B16" s="256" t="s">
        <v>13</v>
      </c>
      <c r="C16" s="34">
        <v>140</v>
      </c>
      <c r="D16" s="35">
        <v>240</v>
      </c>
      <c r="E16" s="35">
        <v>3</v>
      </c>
      <c r="F16" s="19">
        <f t="shared" si="5"/>
        <v>0.1008</v>
      </c>
      <c r="G16" s="23">
        <v>1</v>
      </c>
      <c r="H16" s="26">
        <f t="shared" si="6"/>
        <v>0.1008</v>
      </c>
      <c r="I16" s="21">
        <v>17</v>
      </c>
      <c r="J16" s="11">
        <f t="shared" si="0"/>
        <v>1.7136</v>
      </c>
      <c r="K16" s="21">
        <v>5</v>
      </c>
      <c r="L16" s="10">
        <f t="shared" si="1"/>
        <v>0.504</v>
      </c>
      <c r="M16" s="21">
        <v>7</v>
      </c>
      <c r="N16" s="11">
        <f t="shared" si="2"/>
        <v>0.7056</v>
      </c>
      <c r="O16" s="21">
        <v>10</v>
      </c>
      <c r="P16" s="10">
        <f t="shared" si="7"/>
        <v>1.008</v>
      </c>
      <c r="Q16" s="21">
        <v>3</v>
      </c>
      <c r="R16" s="11">
        <f t="shared" si="3"/>
        <v>0.3024</v>
      </c>
      <c r="S16" s="39">
        <f t="shared" si="11"/>
        <v>-41</v>
      </c>
      <c r="T16" s="38">
        <f t="shared" si="4"/>
        <v>-4.1327999999999996</v>
      </c>
      <c r="U16" s="12">
        <v>85</v>
      </c>
      <c r="V16" s="13">
        <f t="shared" si="8"/>
        <v>8.5679999999999996</v>
      </c>
      <c r="W16" s="49">
        <f t="shared" si="9"/>
        <v>44</v>
      </c>
      <c r="X16" s="50">
        <f t="shared" si="10"/>
        <v>4.4352</v>
      </c>
      <c r="Y16" s="238">
        <v>50</v>
      </c>
      <c r="Z16" s="101">
        <v>150</v>
      </c>
    </row>
    <row r="17" spans="1:26" x14ac:dyDescent="0.25">
      <c r="A17" s="264">
        <v>13</v>
      </c>
      <c r="B17" s="256" t="s">
        <v>14</v>
      </c>
      <c r="C17" s="34">
        <v>140</v>
      </c>
      <c r="D17" s="35">
        <v>240</v>
      </c>
      <c r="E17" s="35">
        <v>5</v>
      </c>
      <c r="F17" s="19">
        <f t="shared" si="5"/>
        <v>0.16800000000000001</v>
      </c>
      <c r="G17" s="23">
        <f>'KASIM 4 HAFTA  '!W17</f>
        <v>87</v>
      </c>
      <c r="H17" s="26">
        <f t="shared" si="6"/>
        <v>14.616000000000001</v>
      </c>
      <c r="I17" s="21">
        <v>2</v>
      </c>
      <c r="J17" s="11">
        <f t="shared" si="0"/>
        <v>0.33600000000000002</v>
      </c>
      <c r="K17" s="21">
        <v>0</v>
      </c>
      <c r="L17" s="10">
        <f t="shared" si="1"/>
        <v>0</v>
      </c>
      <c r="M17" s="21">
        <v>3</v>
      </c>
      <c r="N17" s="11">
        <f t="shared" si="2"/>
        <v>0.504</v>
      </c>
      <c r="O17" s="21">
        <v>0</v>
      </c>
      <c r="P17" s="10">
        <f t="shared" si="7"/>
        <v>0</v>
      </c>
      <c r="Q17" s="21">
        <v>0</v>
      </c>
      <c r="R17" s="11">
        <f t="shared" si="3"/>
        <v>0</v>
      </c>
      <c r="S17" s="39">
        <f t="shared" si="11"/>
        <v>82</v>
      </c>
      <c r="T17" s="38">
        <f t="shared" si="4"/>
        <v>13.776000000000002</v>
      </c>
      <c r="U17" s="12"/>
      <c r="V17" s="13">
        <f t="shared" si="8"/>
        <v>0</v>
      </c>
      <c r="W17" s="49">
        <f t="shared" si="9"/>
        <v>82</v>
      </c>
      <c r="X17" s="50">
        <f t="shared" si="10"/>
        <v>13.776000000000002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15</v>
      </c>
      <c r="C18" s="34">
        <v>140</v>
      </c>
      <c r="D18" s="35">
        <v>240</v>
      </c>
      <c r="E18" s="35">
        <v>3</v>
      </c>
      <c r="F18" s="19">
        <f t="shared" si="5"/>
        <v>0.1008</v>
      </c>
      <c r="G18" s="23">
        <f>'KASIM 4 HAFTA  '!W18</f>
        <v>2</v>
      </c>
      <c r="H18" s="26">
        <f t="shared" si="6"/>
        <v>0.2016</v>
      </c>
      <c r="I18" s="21">
        <v>2</v>
      </c>
      <c r="J18" s="11">
        <f t="shared" si="0"/>
        <v>0.2016</v>
      </c>
      <c r="K18" s="21">
        <v>0</v>
      </c>
      <c r="L18" s="10">
        <f t="shared" si="1"/>
        <v>0</v>
      </c>
      <c r="M18" s="21">
        <v>0</v>
      </c>
      <c r="N18" s="11">
        <f t="shared" si="2"/>
        <v>0</v>
      </c>
      <c r="O18" s="21">
        <v>0</v>
      </c>
      <c r="P18" s="10">
        <f t="shared" si="7"/>
        <v>0</v>
      </c>
      <c r="Q18" s="21">
        <v>0</v>
      </c>
      <c r="R18" s="11">
        <f t="shared" si="3"/>
        <v>0</v>
      </c>
      <c r="S18" s="39">
        <f t="shared" si="11"/>
        <v>0</v>
      </c>
      <c r="T18" s="38">
        <f t="shared" si="4"/>
        <v>0</v>
      </c>
      <c r="U18" s="12"/>
      <c r="V18" s="13">
        <f t="shared" si="8"/>
        <v>0</v>
      </c>
      <c r="W18" s="49">
        <f t="shared" si="9"/>
        <v>0</v>
      </c>
      <c r="X18" s="50">
        <f t="shared" si="10"/>
        <v>0</v>
      </c>
      <c r="Y18" s="238">
        <v>30</v>
      </c>
      <c r="Z18" s="101">
        <v>100</v>
      </c>
    </row>
    <row r="19" spans="1:26" x14ac:dyDescent="0.25">
      <c r="A19" s="264">
        <v>15</v>
      </c>
      <c r="B19" s="256" t="s">
        <v>16</v>
      </c>
      <c r="C19" s="34">
        <v>140</v>
      </c>
      <c r="D19" s="35">
        <v>240</v>
      </c>
      <c r="E19" s="35">
        <v>8</v>
      </c>
      <c r="F19" s="19">
        <f t="shared" si="5"/>
        <v>0.26879999999999998</v>
      </c>
      <c r="G19" s="23">
        <f>'KASIM 4 HAFTA  '!W19</f>
        <v>1</v>
      </c>
      <c r="H19" s="26">
        <f t="shared" si="6"/>
        <v>0.26879999999999998</v>
      </c>
      <c r="I19" s="21">
        <v>0</v>
      </c>
      <c r="J19" s="11">
        <f t="shared" si="0"/>
        <v>0</v>
      </c>
      <c r="K19" s="21">
        <v>0</v>
      </c>
      <c r="L19" s="10">
        <f t="shared" si="1"/>
        <v>0</v>
      </c>
      <c r="M19" s="21">
        <v>0</v>
      </c>
      <c r="N19" s="11">
        <f t="shared" si="2"/>
        <v>0</v>
      </c>
      <c r="O19" s="21">
        <v>0</v>
      </c>
      <c r="P19" s="10">
        <f t="shared" si="7"/>
        <v>0</v>
      </c>
      <c r="Q19" s="21">
        <v>0</v>
      </c>
      <c r="R19" s="11">
        <f t="shared" si="3"/>
        <v>0</v>
      </c>
      <c r="S19" s="39">
        <f t="shared" si="11"/>
        <v>1</v>
      </c>
      <c r="T19" s="38">
        <f t="shared" si="4"/>
        <v>0.26879999999999998</v>
      </c>
      <c r="U19" s="12"/>
      <c r="V19" s="13">
        <f t="shared" si="8"/>
        <v>0</v>
      </c>
      <c r="W19" s="49">
        <f t="shared" si="9"/>
        <v>1</v>
      </c>
      <c r="X19" s="50">
        <f t="shared" si="10"/>
        <v>0.26879999999999998</v>
      </c>
      <c r="Y19" s="238">
        <v>10</v>
      </c>
      <c r="Z19" s="101">
        <v>30</v>
      </c>
    </row>
    <row r="20" spans="1:26" x14ac:dyDescent="0.25">
      <c r="A20" s="264">
        <v>16</v>
      </c>
      <c r="B20" s="256" t="s">
        <v>17</v>
      </c>
      <c r="C20" s="34">
        <v>140</v>
      </c>
      <c r="D20" s="35">
        <v>240</v>
      </c>
      <c r="E20" s="35">
        <v>8</v>
      </c>
      <c r="F20" s="19">
        <f t="shared" si="5"/>
        <v>0.26879999999999998</v>
      </c>
      <c r="G20" s="23">
        <f>'KASIM 4 HAFTA  '!W20</f>
        <v>0</v>
      </c>
      <c r="H20" s="26">
        <f t="shared" si="6"/>
        <v>0</v>
      </c>
      <c r="I20" s="21">
        <v>0</v>
      </c>
      <c r="J20" s="11">
        <f t="shared" si="0"/>
        <v>0</v>
      </c>
      <c r="K20" s="21">
        <v>0</v>
      </c>
      <c r="L20" s="10">
        <f t="shared" si="1"/>
        <v>0</v>
      </c>
      <c r="M20" s="21">
        <v>0</v>
      </c>
      <c r="N20" s="11">
        <f t="shared" si="2"/>
        <v>0</v>
      </c>
      <c r="O20" s="21">
        <v>0</v>
      </c>
      <c r="P20" s="10">
        <f t="shared" si="7"/>
        <v>0</v>
      </c>
      <c r="Q20" s="21">
        <v>0</v>
      </c>
      <c r="R20" s="11">
        <f t="shared" si="3"/>
        <v>0</v>
      </c>
      <c r="S20" s="39">
        <f t="shared" si="11"/>
        <v>0</v>
      </c>
      <c r="T20" s="38">
        <f t="shared" si="4"/>
        <v>0</v>
      </c>
      <c r="U20" s="12"/>
      <c r="V20" s="13">
        <f t="shared" si="8"/>
        <v>0</v>
      </c>
      <c r="W20" s="49">
        <f t="shared" si="9"/>
        <v>0</v>
      </c>
      <c r="X20" s="50">
        <f t="shared" si="10"/>
        <v>0</v>
      </c>
      <c r="Y20" s="238">
        <v>0</v>
      </c>
      <c r="Z20" s="101">
        <v>0</v>
      </c>
    </row>
    <row r="21" spans="1:26" x14ac:dyDescent="0.25">
      <c r="A21" s="264">
        <v>17</v>
      </c>
      <c r="B21" s="256" t="s">
        <v>19</v>
      </c>
      <c r="C21" s="34">
        <v>77</v>
      </c>
      <c r="D21" s="35">
        <v>55</v>
      </c>
      <c r="E21" s="35">
        <v>8</v>
      </c>
      <c r="F21" s="19">
        <f t="shared" si="5"/>
        <v>3.388E-2</v>
      </c>
      <c r="G21" s="23">
        <f>'KASIM 4 HAFTA  '!W21</f>
        <v>4</v>
      </c>
      <c r="H21" s="26">
        <f t="shared" si="6"/>
        <v>0.13552</v>
      </c>
      <c r="I21" s="21">
        <v>0</v>
      </c>
      <c r="J21" s="11">
        <f t="shared" si="0"/>
        <v>0</v>
      </c>
      <c r="K21" s="21">
        <v>0</v>
      </c>
      <c r="L21" s="10">
        <f t="shared" si="1"/>
        <v>0</v>
      </c>
      <c r="M21" s="21">
        <v>0</v>
      </c>
      <c r="N21" s="11">
        <f t="shared" si="2"/>
        <v>0</v>
      </c>
      <c r="O21" s="21">
        <v>0</v>
      </c>
      <c r="P21" s="10">
        <f t="shared" si="7"/>
        <v>0</v>
      </c>
      <c r="Q21" s="21">
        <v>0</v>
      </c>
      <c r="R21" s="11">
        <f t="shared" si="3"/>
        <v>0</v>
      </c>
      <c r="S21" s="39">
        <f t="shared" si="11"/>
        <v>4</v>
      </c>
      <c r="T21" s="38">
        <f t="shared" si="4"/>
        <v>0.13552</v>
      </c>
      <c r="U21" s="12"/>
      <c r="V21" s="13">
        <f t="shared" si="8"/>
        <v>0</v>
      </c>
      <c r="W21" s="49">
        <f t="shared" si="9"/>
        <v>4</v>
      </c>
      <c r="X21" s="50">
        <f t="shared" si="10"/>
        <v>0.13552</v>
      </c>
      <c r="Y21" s="238">
        <v>0</v>
      </c>
      <c r="Z21" s="101">
        <v>0</v>
      </c>
    </row>
    <row r="22" spans="1:26" x14ac:dyDescent="0.25">
      <c r="A22" s="264">
        <v>18</v>
      </c>
      <c r="B22" s="256" t="s">
        <v>20</v>
      </c>
      <c r="C22" s="34">
        <v>65</v>
      </c>
      <c r="D22" s="35">
        <v>50</v>
      </c>
      <c r="E22" s="35">
        <v>12</v>
      </c>
      <c r="F22" s="19">
        <f t="shared" si="5"/>
        <v>3.9E-2</v>
      </c>
      <c r="G22" s="23">
        <f>'KASIM 4 HAFTA  '!W22</f>
        <v>26</v>
      </c>
      <c r="H22" s="26">
        <f t="shared" si="6"/>
        <v>1.014</v>
      </c>
      <c r="I22" s="21">
        <v>0</v>
      </c>
      <c r="J22" s="11">
        <f t="shared" si="0"/>
        <v>0</v>
      </c>
      <c r="K22" s="21">
        <v>0</v>
      </c>
      <c r="L22" s="10">
        <f t="shared" si="1"/>
        <v>0</v>
      </c>
      <c r="M22" s="21">
        <v>0</v>
      </c>
      <c r="N22" s="11">
        <f t="shared" si="2"/>
        <v>0</v>
      </c>
      <c r="O22" s="21">
        <v>0</v>
      </c>
      <c r="P22" s="10">
        <f t="shared" si="7"/>
        <v>0</v>
      </c>
      <c r="Q22" s="21">
        <v>0</v>
      </c>
      <c r="R22" s="11">
        <f t="shared" si="3"/>
        <v>0</v>
      </c>
      <c r="S22" s="39">
        <f t="shared" si="11"/>
        <v>26</v>
      </c>
      <c r="T22" s="38">
        <f t="shared" si="4"/>
        <v>1.014</v>
      </c>
      <c r="U22" s="12"/>
      <c r="V22" s="13">
        <f t="shared" si="8"/>
        <v>0</v>
      </c>
      <c r="W22" s="49">
        <f t="shared" si="9"/>
        <v>26</v>
      </c>
      <c r="X22" s="50">
        <f t="shared" si="10"/>
        <v>1.014</v>
      </c>
      <c r="Y22" s="238">
        <v>0</v>
      </c>
      <c r="Z22" s="101">
        <v>0</v>
      </c>
    </row>
    <row r="23" spans="1:26" x14ac:dyDescent="0.25">
      <c r="A23" s="264">
        <v>19</v>
      </c>
      <c r="B23" s="42" t="s">
        <v>103</v>
      </c>
      <c r="C23" s="34">
        <v>58</v>
      </c>
      <c r="D23" s="35">
        <v>58</v>
      </c>
      <c r="E23" s="35">
        <v>5</v>
      </c>
      <c r="F23" s="19">
        <f t="shared" si="5"/>
        <v>1.6820000000000002E-2</v>
      </c>
      <c r="G23" s="23">
        <v>150</v>
      </c>
      <c r="H23" s="26">
        <f t="shared" si="6"/>
        <v>2.5230000000000001</v>
      </c>
      <c r="I23" s="21">
        <v>0</v>
      </c>
      <c r="J23" s="11">
        <f t="shared" si="0"/>
        <v>0</v>
      </c>
      <c r="K23" s="21">
        <v>0</v>
      </c>
      <c r="L23" s="10">
        <f t="shared" si="1"/>
        <v>0</v>
      </c>
      <c r="M23" s="21">
        <v>26</v>
      </c>
      <c r="N23" s="11">
        <f t="shared" si="2"/>
        <v>0.43732000000000004</v>
      </c>
      <c r="O23" s="21">
        <v>0</v>
      </c>
      <c r="P23" s="10">
        <f t="shared" si="7"/>
        <v>0</v>
      </c>
      <c r="Q23" s="21">
        <v>0</v>
      </c>
      <c r="R23" s="11">
        <f t="shared" si="3"/>
        <v>0</v>
      </c>
      <c r="S23" s="39">
        <f t="shared" si="11"/>
        <v>124</v>
      </c>
      <c r="T23" s="38">
        <f t="shared" si="4"/>
        <v>2.08568</v>
      </c>
      <c r="U23" s="12"/>
      <c r="V23" s="13">
        <f t="shared" si="8"/>
        <v>0</v>
      </c>
      <c r="W23" s="49">
        <f t="shared" si="9"/>
        <v>124</v>
      </c>
      <c r="X23" s="50">
        <f t="shared" si="10"/>
        <v>2.08568</v>
      </c>
      <c r="Y23" s="238">
        <v>0</v>
      </c>
      <c r="Z23" s="101">
        <v>0</v>
      </c>
    </row>
    <row r="24" spans="1:26" x14ac:dyDescent="0.25">
      <c r="A24" s="264">
        <v>20</v>
      </c>
      <c r="B24" s="256" t="s">
        <v>22</v>
      </c>
      <c r="C24" s="34">
        <v>66</v>
      </c>
      <c r="D24" s="35">
        <v>56</v>
      </c>
      <c r="E24" s="35">
        <v>12</v>
      </c>
      <c r="F24" s="19">
        <f t="shared" si="5"/>
        <v>4.4352000000000003E-2</v>
      </c>
      <c r="G24" s="23">
        <f>'KASIM 4 HAFTA  '!W24</f>
        <v>28</v>
      </c>
      <c r="H24" s="26">
        <f t="shared" si="6"/>
        <v>1.2418560000000001</v>
      </c>
      <c r="I24" s="21">
        <v>0</v>
      </c>
      <c r="J24" s="11">
        <f t="shared" si="0"/>
        <v>0</v>
      </c>
      <c r="K24" s="21">
        <v>0</v>
      </c>
      <c r="L24" s="10">
        <f t="shared" si="1"/>
        <v>0</v>
      </c>
      <c r="M24" s="21">
        <v>0</v>
      </c>
      <c r="N24" s="11">
        <f t="shared" si="2"/>
        <v>0</v>
      </c>
      <c r="O24" s="21">
        <v>0</v>
      </c>
      <c r="P24" s="10">
        <f t="shared" si="7"/>
        <v>0</v>
      </c>
      <c r="Q24" s="21">
        <v>0</v>
      </c>
      <c r="R24" s="11">
        <f t="shared" si="3"/>
        <v>0</v>
      </c>
      <c r="S24" s="39">
        <f t="shared" si="11"/>
        <v>28</v>
      </c>
      <c r="T24" s="38">
        <f t="shared" si="4"/>
        <v>1.2418560000000001</v>
      </c>
      <c r="U24" s="12"/>
      <c r="V24" s="13">
        <f t="shared" si="8"/>
        <v>0</v>
      </c>
      <c r="W24" s="49">
        <f t="shared" si="9"/>
        <v>28</v>
      </c>
      <c r="X24" s="50">
        <f t="shared" si="10"/>
        <v>1.2418560000000001</v>
      </c>
      <c r="Y24" s="238">
        <v>0</v>
      </c>
      <c r="Z24" s="101">
        <v>0</v>
      </c>
    </row>
    <row r="25" spans="1:26" x14ac:dyDescent="0.25">
      <c r="A25" s="264">
        <v>21</v>
      </c>
      <c r="B25" s="256" t="s">
        <v>23</v>
      </c>
      <c r="C25" s="34">
        <v>61.5</v>
      </c>
      <c r="D25" s="35">
        <v>61.5</v>
      </c>
      <c r="E25" s="35">
        <v>10</v>
      </c>
      <c r="F25" s="19">
        <f t="shared" si="5"/>
        <v>3.7822500000000002E-2</v>
      </c>
      <c r="G25" s="23">
        <f>'KASIM 4 HAFTA  '!W25</f>
        <v>0</v>
      </c>
      <c r="H25" s="26">
        <f t="shared" si="6"/>
        <v>0</v>
      </c>
      <c r="I25" s="21">
        <v>0</v>
      </c>
      <c r="J25" s="11">
        <f t="shared" si="0"/>
        <v>0</v>
      </c>
      <c r="K25" s="21">
        <v>0</v>
      </c>
      <c r="L25" s="10">
        <f t="shared" si="1"/>
        <v>0</v>
      </c>
      <c r="M25" s="21">
        <v>0</v>
      </c>
      <c r="N25" s="11">
        <f t="shared" si="2"/>
        <v>0</v>
      </c>
      <c r="O25" s="21">
        <v>0</v>
      </c>
      <c r="P25" s="10">
        <f t="shared" si="7"/>
        <v>0</v>
      </c>
      <c r="Q25" s="21">
        <v>0</v>
      </c>
      <c r="R25" s="11">
        <f t="shared" si="3"/>
        <v>0</v>
      </c>
      <c r="S25" s="39">
        <f t="shared" si="11"/>
        <v>0</v>
      </c>
      <c r="T25" s="38">
        <f t="shared" si="4"/>
        <v>0</v>
      </c>
      <c r="U25" s="12"/>
      <c r="V25" s="13">
        <f t="shared" si="8"/>
        <v>0</v>
      </c>
      <c r="W25" s="49">
        <f t="shared" si="9"/>
        <v>0</v>
      </c>
      <c r="X25" s="50">
        <f t="shared" si="10"/>
        <v>0</v>
      </c>
      <c r="Y25" s="238">
        <v>30</v>
      </c>
      <c r="Z25" s="101">
        <v>100</v>
      </c>
    </row>
    <row r="26" spans="1:26" x14ac:dyDescent="0.25">
      <c r="A26" s="264">
        <v>22</v>
      </c>
      <c r="B26" s="256" t="s">
        <v>24</v>
      </c>
      <c r="C26" s="34">
        <v>82</v>
      </c>
      <c r="D26" s="35">
        <v>67</v>
      </c>
      <c r="E26" s="35">
        <v>5</v>
      </c>
      <c r="F26" s="19">
        <f t="shared" si="5"/>
        <v>2.7470000000000001E-2</v>
      </c>
      <c r="G26" s="23">
        <f>'KASIM 4 HAFTA  '!W26</f>
        <v>30</v>
      </c>
      <c r="H26" s="26">
        <f t="shared" si="6"/>
        <v>0.82410000000000005</v>
      </c>
      <c r="I26" s="21">
        <v>0</v>
      </c>
      <c r="J26" s="11">
        <f t="shared" si="0"/>
        <v>0</v>
      </c>
      <c r="K26" s="21">
        <v>0</v>
      </c>
      <c r="L26" s="10">
        <f t="shared" si="1"/>
        <v>0</v>
      </c>
      <c r="M26" s="21">
        <v>0</v>
      </c>
      <c r="N26" s="11">
        <f t="shared" si="2"/>
        <v>0</v>
      </c>
      <c r="O26" s="21">
        <v>0</v>
      </c>
      <c r="P26" s="10">
        <f t="shared" si="7"/>
        <v>0</v>
      </c>
      <c r="Q26" s="21">
        <v>0</v>
      </c>
      <c r="R26" s="11">
        <f t="shared" si="3"/>
        <v>0</v>
      </c>
      <c r="S26" s="39">
        <f t="shared" si="11"/>
        <v>30</v>
      </c>
      <c r="T26" s="38">
        <f t="shared" si="4"/>
        <v>0.82410000000000005</v>
      </c>
      <c r="U26" s="12"/>
      <c r="V26" s="13">
        <f t="shared" si="8"/>
        <v>0</v>
      </c>
      <c r="W26" s="49">
        <f t="shared" si="9"/>
        <v>30</v>
      </c>
      <c r="X26" s="50">
        <f t="shared" si="10"/>
        <v>0.82410000000000005</v>
      </c>
      <c r="Y26" s="238">
        <v>0</v>
      </c>
      <c r="Z26" s="101">
        <v>0</v>
      </c>
    </row>
    <row r="27" spans="1:26" x14ac:dyDescent="0.25">
      <c r="A27" s="264">
        <v>23</v>
      </c>
      <c r="B27" s="256" t="s">
        <v>25</v>
      </c>
      <c r="C27" s="34">
        <v>80</v>
      </c>
      <c r="D27" s="35">
        <v>62</v>
      </c>
      <c r="E27" s="35">
        <v>2</v>
      </c>
      <c r="F27" s="19">
        <f t="shared" si="5"/>
        <v>9.92E-3</v>
      </c>
      <c r="G27" s="23">
        <f>'KASIM 4 HAFTA  '!W27</f>
        <v>36</v>
      </c>
      <c r="H27" s="26">
        <f t="shared" si="6"/>
        <v>0.35711999999999999</v>
      </c>
      <c r="I27" s="21">
        <v>0</v>
      </c>
      <c r="J27" s="11">
        <f t="shared" si="0"/>
        <v>0</v>
      </c>
      <c r="K27" s="21">
        <v>0</v>
      </c>
      <c r="L27" s="10">
        <f t="shared" si="1"/>
        <v>0</v>
      </c>
      <c r="M27" s="21">
        <v>0</v>
      </c>
      <c r="N27" s="11">
        <f t="shared" si="2"/>
        <v>0</v>
      </c>
      <c r="O27" s="21">
        <v>0</v>
      </c>
      <c r="P27" s="10">
        <f t="shared" si="7"/>
        <v>0</v>
      </c>
      <c r="Q27" s="21">
        <v>0</v>
      </c>
      <c r="R27" s="11">
        <f t="shared" si="3"/>
        <v>0</v>
      </c>
      <c r="S27" s="39">
        <f t="shared" si="11"/>
        <v>36</v>
      </c>
      <c r="T27" s="38">
        <f t="shared" si="4"/>
        <v>0.35711999999999999</v>
      </c>
      <c r="U27" s="12"/>
      <c r="V27" s="13">
        <f t="shared" si="8"/>
        <v>0</v>
      </c>
      <c r="W27" s="49">
        <f t="shared" si="9"/>
        <v>36</v>
      </c>
      <c r="X27" s="50">
        <f t="shared" si="10"/>
        <v>0.35711999999999999</v>
      </c>
      <c r="Y27" s="238">
        <v>0</v>
      </c>
      <c r="Z27" s="101">
        <v>0</v>
      </c>
    </row>
    <row r="28" spans="1:26" x14ac:dyDescent="0.25">
      <c r="A28" s="264">
        <v>24</v>
      </c>
      <c r="B28" s="256" t="s">
        <v>26</v>
      </c>
      <c r="C28" s="34">
        <v>63</v>
      </c>
      <c r="D28" s="35">
        <v>55</v>
      </c>
      <c r="E28" s="35">
        <v>5</v>
      </c>
      <c r="F28" s="19">
        <f t="shared" si="5"/>
        <v>1.7325E-2</v>
      </c>
      <c r="G28" s="23">
        <f>'KASIM 4 HAFTA  '!W28</f>
        <v>19</v>
      </c>
      <c r="H28" s="26">
        <f t="shared" si="6"/>
        <v>0.329175</v>
      </c>
      <c r="I28" s="21">
        <v>12</v>
      </c>
      <c r="J28" s="11">
        <f t="shared" si="0"/>
        <v>0.2079</v>
      </c>
      <c r="K28" s="21">
        <v>0</v>
      </c>
      <c r="L28" s="10">
        <f t="shared" si="1"/>
        <v>0</v>
      </c>
      <c r="M28" s="21">
        <v>0</v>
      </c>
      <c r="N28" s="11">
        <f t="shared" si="2"/>
        <v>0</v>
      </c>
      <c r="O28" s="21">
        <v>0</v>
      </c>
      <c r="P28" s="10">
        <f t="shared" si="7"/>
        <v>0</v>
      </c>
      <c r="Q28" s="21">
        <v>0</v>
      </c>
      <c r="R28" s="11">
        <f t="shared" si="3"/>
        <v>0</v>
      </c>
      <c r="S28" s="39">
        <f t="shared" si="11"/>
        <v>7</v>
      </c>
      <c r="T28" s="38">
        <f t="shared" si="4"/>
        <v>0.12127499999999999</v>
      </c>
      <c r="U28" s="12"/>
      <c r="V28" s="13">
        <f t="shared" si="8"/>
        <v>0</v>
      </c>
      <c r="W28" s="49">
        <f t="shared" si="9"/>
        <v>7</v>
      </c>
      <c r="X28" s="50">
        <f t="shared" si="10"/>
        <v>0.12127499999999999</v>
      </c>
      <c r="Y28" s="238">
        <v>0</v>
      </c>
      <c r="Z28" s="101">
        <v>0</v>
      </c>
    </row>
    <row r="29" spans="1:26" x14ac:dyDescent="0.25">
      <c r="A29" s="264">
        <v>25</v>
      </c>
      <c r="B29" s="256" t="s">
        <v>27</v>
      </c>
      <c r="C29" s="34">
        <v>140</v>
      </c>
      <c r="D29" s="35">
        <v>240</v>
      </c>
      <c r="E29" s="35">
        <v>5</v>
      </c>
      <c r="F29" s="19">
        <f t="shared" si="5"/>
        <v>0.16800000000000001</v>
      </c>
      <c r="G29" s="23">
        <f>'KASIM 4 HAFTA  '!W29</f>
        <v>6</v>
      </c>
      <c r="H29" s="26">
        <f t="shared" si="6"/>
        <v>1.008</v>
      </c>
      <c r="I29" s="21">
        <v>0</v>
      </c>
      <c r="J29" s="11">
        <f t="shared" si="0"/>
        <v>0</v>
      </c>
      <c r="K29" s="21">
        <v>0</v>
      </c>
      <c r="L29" s="10">
        <f t="shared" si="1"/>
        <v>0</v>
      </c>
      <c r="M29" s="21">
        <v>0</v>
      </c>
      <c r="N29" s="11">
        <f t="shared" si="2"/>
        <v>0</v>
      </c>
      <c r="O29" s="21">
        <v>0</v>
      </c>
      <c r="P29" s="10">
        <f t="shared" si="7"/>
        <v>0</v>
      </c>
      <c r="Q29" s="21">
        <v>0</v>
      </c>
      <c r="R29" s="11">
        <f t="shared" si="3"/>
        <v>0</v>
      </c>
      <c r="S29" s="39">
        <f t="shared" si="11"/>
        <v>6</v>
      </c>
      <c r="T29" s="38">
        <f t="shared" si="4"/>
        <v>1.008</v>
      </c>
      <c r="U29" s="12"/>
      <c r="V29" s="13">
        <f t="shared" si="8"/>
        <v>0</v>
      </c>
      <c r="W29" s="49">
        <f t="shared" si="9"/>
        <v>6</v>
      </c>
      <c r="X29" s="50">
        <f t="shared" si="10"/>
        <v>1.008</v>
      </c>
      <c r="Y29" s="238">
        <v>0</v>
      </c>
      <c r="Z29" s="101">
        <v>0</v>
      </c>
    </row>
    <row r="30" spans="1:26" x14ac:dyDescent="0.25">
      <c r="A30" s="264">
        <v>26</v>
      </c>
      <c r="B30" s="256" t="s">
        <v>112</v>
      </c>
      <c r="C30" s="34">
        <v>140</v>
      </c>
      <c r="D30" s="35">
        <v>240</v>
      </c>
      <c r="E30" s="35">
        <v>10</v>
      </c>
      <c r="F30" s="19">
        <f t="shared" si="5"/>
        <v>0.33600000000000002</v>
      </c>
      <c r="G30" s="23">
        <v>0</v>
      </c>
      <c r="H30" s="26">
        <f t="shared" si="6"/>
        <v>0</v>
      </c>
      <c r="I30" s="21">
        <v>0</v>
      </c>
      <c r="J30" s="11">
        <f t="shared" si="0"/>
        <v>0</v>
      </c>
      <c r="K30" s="21">
        <v>0</v>
      </c>
      <c r="L30" s="10">
        <f t="shared" si="1"/>
        <v>0</v>
      </c>
      <c r="M30" s="21">
        <v>0</v>
      </c>
      <c r="N30" s="11">
        <f t="shared" si="2"/>
        <v>0</v>
      </c>
      <c r="O30" s="21">
        <v>0</v>
      </c>
      <c r="P30" s="10">
        <f t="shared" si="7"/>
        <v>0</v>
      </c>
      <c r="Q30" s="21">
        <v>0</v>
      </c>
      <c r="R30" s="11">
        <f t="shared" si="3"/>
        <v>0</v>
      </c>
      <c r="S30" s="39">
        <f t="shared" si="11"/>
        <v>0</v>
      </c>
      <c r="T30" s="38">
        <f t="shared" si="4"/>
        <v>0</v>
      </c>
      <c r="U30" s="12">
        <v>56</v>
      </c>
      <c r="V30" s="13">
        <f t="shared" si="8"/>
        <v>18.816000000000003</v>
      </c>
      <c r="W30" s="49">
        <f t="shared" si="9"/>
        <v>56</v>
      </c>
      <c r="X30" s="50">
        <f t="shared" si="10"/>
        <v>18.816000000000003</v>
      </c>
      <c r="Y30" s="238">
        <v>0</v>
      </c>
      <c r="Z30" s="101">
        <v>0</v>
      </c>
    </row>
    <row r="31" spans="1:26" x14ac:dyDescent="0.25">
      <c r="A31" s="264">
        <v>27</v>
      </c>
      <c r="B31" s="256" t="s">
        <v>29</v>
      </c>
      <c r="C31" s="34">
        <v>140</v>
      </c>
      <c r="D31" s="35">
        <v>240</v>
      </c>
      <c r="E31" s="35">
        <v>3</v>
      </c>
      <c r="F31" s="19">
        <f t="shared" si="5"/>
        <v>0.1008</v>
      </c>
      <c r="G31" s="23">
        <f>'KASIM 4 HAFTA  '!W31</f>
        <v>26</v>
      </c>
      <c r="H31" s="26">
        <f t="shared" si="6"/>
        <v>2.6208</v>
      </c>
      <c r="I31" s="21">
        <v>0</v>
      </c>
      <c r="J31" s="11">
        <f t="shared" si="0"/>
        <v>0</v>
      </c>
      <c r="K31" s="21">
        <v>0</v>
      </c>
      <c r="L31" s="10">
        <f t="shared" si="1"/>
        <v>0</v>
      </c>
      <c r="M31" s="21">
        <v>0</v>
      </c>
      <c r="N31" s="11">
        <f t="shared" si="2"/>
        <v>0</v>
      </c>
      <c r="O31" s="21">
        <v>0</v>
      </c>
      <c r="P31" s="10">
        <f t="shared" si="7"/>
        <v>0</v>
      </c>
      <c r="Q31" s="21">
        <v>0</v>
      </c>
      <c r="R31" s="11">
        <f t="shared" si="3"/>
        <v>0</v>
      </c>
      <c r="S31" s="39">
        <f t="shared" si="11"/>
        <v>26</v>
      </c>
      <c r="T31" s="38">
        <f t="shared" si="4"/>
        <v>2.6208</v>
      </c>
      <c r="U31" s="12"/>
      <c r="V31" s="13">
        <f t="shared" si="8"/>
        <v>0</v>
      </c>
      <c r="W31" s="49">
        <f t="shared" si="9"/>
        <v>26</v>
      </c>
      <c r="X31" s="50">
        <f t="shared" si="10"/>
        <v>2.6208</v>
      </c>
      <c r="Y31" s="238">
        <v>0</v>
      </c>
      <c r="Z31" s="101">
        <v>0</v>
      </c>
    </row>
    <row r="32" spans="1:26" x14ac:dyDescent="0.25">
      <c r="A32" s="264">
        <v>28</v>
      </c>
      <c r="B32" s="256" t="s">
        <v>30</v>
      </c>
      <c r="C32" s="34">
        <v>90</v>
      </c>
      <c r="D32" s="35">
        <v>80</v>
      </c>
      <c r="E32" s="35">
        <v>8</v>
      </c>
      <c r="F32" s="19">
        <f t="shared" si="5"/>
        <v>5.7599999999999998E-2</v>
      </c>
      <c r="G32" s="23">
        <f>'KASIM 4 HAFTA  '!W32</f>
        <v>0</v>
      </c>
      <c r="H32" s="26">
        <f t="shared" si="6"/>
        <v>0</v>
      </c>
      <c r="I32" s="21">
        <v>0</v>
      </c>
      <c r="J32" s="11">
        <f t="shared" si="0"/>
        <v>0</v>
      </c>
      <c r="K32" s="21">
        <v>0</v>
      </c>
      <c r="L32" s="10">
        <f t="shared" si="1"/>
        <v>0</v>
      </c>
      <c r="M32" s="21">
        <v>0</v>
      </c>
      <c r="N32" s="11">
        <f t="shared" si="2"/>
        <v>0</v>
      </c>
      <c r="O32" s="21">
        <v>0</v>
      </c>
      <c r="P32" s="10">
        <f t="shared" si="7"/>
        <v>0</v>
      </c>
      <c r="Q32" s="21">
        <v>0</v>
      </c>
      <c r="R32" s="11">
        <f t="shared" si="3"/>
        <v>0</v>
      </c>
      <c r="S32" s="39">
        <f t="shared" si="11"/>
        <v>0</v>
      </c>
      <c r="T32" s="38">
        <f t="shared" si="4"/>
        <v>0</v>
      </c>
      <c r="U32" s="12"/>
      <c r="V32" s="13">
        <f t="shared" si="8"/>
        <v>0</v>
      </c>
      <c r="W32" s="49">
        <f t="shared" si="9"/>
        <v>0</v>
      </c>
      <c r="X32" s="50">
        <f t="shared" si="10"/>
        <v>0</v>
      </c>
      <c r="Y32" s="238">
        <v>0</v>
      </c>
      <c r="Z32" s="101">
        <v>0</v>
      </c>
    </row>
    <row r="33" spans="1:26" x14ac:dyDescent="0.25">
      <c r="A33" s="264">
        <v>29</v>
      </c>
      <c r="B33" s="256" t="s">
        <v>31</v>
      </c>
      <c r="C33" s="34">
        <v>90</v>
      </c>
      <c r="D33" s="35">
        <v>80</v>
      </c>
      <c r="E33" s="35">
        <v>8</v>
      </c>
      <c r="F33" s="19">
        <f t="shared" si="5"/>
        <v>5.7599999999999998E-2</v>
      </c>
      <c r="G33" s="23">
        <f>'KASIM 4 HAFTA  '!W33</f>
        <v>0</v>
      </c>
      <c r="H33" s="26">
        <f t="shared" si="6"/>
        <v>0</v>
      </c>
      <c r="I33" s="21">
        <v>0</v>
      </c>
      <c r="J33" s="11">
        <f t="shared" si="0"/>
        <v>0</v>
      </c>
      <c r="K33" s="21">
        <v>0</v>
      </c>
      <c r="L33" s="10">
        <f t="shared" si="1"/>
        <v>0</v>
      </c>
      <c r="M33" s="21">
        <v>0</v>
      </c>
      <c r="N33" s="11">
        <f t="shared" si="2"/>
        <v>0</v>
      </c>
      <c r="O33" s="21">
        <v>0</v>
      </c>
      <c r="P33" s="10">
        <f t="shared" si="7"/>
        <v>0</v>
      </c>
      <c r="Q33" s="21">
        <v>0</v>
      </c>
      <c r="R33" s="11">
        <f t="shared" si="3"/>
        <v>0</v>
      </c>
      <c r="S33" s="39">
        <f t="shared" si="11"/>
        <v>0</v>
      </c>
      <c r="T33" s="38">
        <f t="shared" si="4"/>
        <v>0</v>
      </c>
      <c r="U33" s="12"/>
      <c r="V33" s="13">
        <f t="shared" si="8"/>
        <v>0</v>
      </c>
      <c r="W33" s="49">
        <f t="shared" si="9"/>
        <v>0</v>
      </c>
      <c r="X33" s="50">
        <f t="shared" si="10"/>
        <v>0</v>
      </c>
      <c r="Y33" s="238">
        <v>0</v>
      </c>
      <c r="Z33" s="101">
        <v>0</v>
      </c>
    </row>
    <row r="34" spans="1:26" x14ac:dyDescent="0.25">
      <c r="A34" s="264">
        <v>30</v>
      </c>
      <c r="B34" s="256" t="s">
        <v>32</v>
      </c>
      <c r="C34" s="34"/>
      <c r="D34" s="35"/>
      <c r="E34" s="35"/>
      <c r="F34" s="19">
        <f t="shared" si="5"/>
        <v>0</v>
      </c>
      <c r="G34" s="23">
        <f>'KASIM 4 HAFTA  '!W34</f>
        <v>300</v>
      </c>
      <c r="H34" s="26">
        <f t="shared" si="6"/>
        <v>0</v>
      </c>
      <c r="I34" s="21">
        <v>0</v>
      </c>
      <c r="J34" s="11">
        <f t="shared" si="0"/>
        <v>0</v>
      </c>
      <c r="K34" s="21">
        <v>0</v>
      </c>
      <c r="L34" s="10">
        <f t="shared" si="1"/>
        <v>0</v>
      </c>
      <c r="M34" s="21">
        <v>0</v>
      </c>
      <c r="N34" s="11">
        <f t="shared" si="2"/>
        <v>0</v>
      </c>
      <c r="O34" s="21">
        <v>0</v>
      </c>
      <c r="P34" s="10">
        <f t="shared" si="7"/>
        <v>0</v>
      </c>
      <c r="Q34" s="21">
        <v>0</v>
      </c>
      <c r="R34" s="11">
        <f t="shared" si="3"/>
        <v>0</v>
      </c>
      <c r="S34" s="39">
        <f t="shared" si="11"/>
        <v>300</v>
      </c>
      <c r="T34" s="38">
        <f t="shared" si="4"/>
        <v>0</v>
      </c>
      <c r="U34" s="12"/>
      <c r="V34" s="13">
        <f t="shared" si="8"/>
        <v>0</v>
      </c>
      <c r="W34" s="49">
        <f t="shared" si="9"/>
        <v>300</v>
      </c>
      <c r="X34" s="50">
        <f t="shared" si="10"/>
        <v>0</v>
      </c>
      <c r="Y34" s="238">
        <v>0</v>
      </c>
      <c r="Z34" s="101">
        <v>0</v>
      </c>
    </row>
    <row r="35" spans="1:26" x14ac:dyDescent="0.25">
      <c r="A35" s="264">
        <v>31</v>
      </c>
      <c r="B35" s="256" t="s">
        <v>33</v>
      </c>
      <c r="C35" s="34">
        <v>80</v>
      </c>
      <c r="D35" s="35">
        <v>66</v>
      </c>
      <c r="E35" s="35">
        <v>5</v>
      </c>
      <c r="F35" s="19">
        <f t="shared" si="5"/>
        <v>2.64E-2</v>
      </c>
      <c r="G35" s="23">
        <f>'KASIM 4 HAFTA  '!W35</f>
        <v>56</v>
      </c>
      <c r="H35" s="26">
        <f t="shared" si="6"/>
        <v>1.4783999999999999</v>
      </c>
      <c r="I35" s="21">
        <v>0</v>
      </c>
      <c r="J35" s="11">
        <f t="shared" si="0"/>
        <v>0</v>
      </c>
      <c r="K35" s="21">
        <v>0</v>
      </c>
      <c r="L35" s="10">
        <f t="shared" si="1"/>
        <v>0</v>
      </c>
      <c r="M35" s="21">
        <v>0</v>
      </c>
      <c r="N35" s="11">
        <f t="shared" si="2"/>
        <v>0</v>
      </c>
      <c r="O35" s="21">
        <v>0</v>
      </c>
      <c r="P35" s="10">
        <f t="shared" si="7"/>
        <v>0</v>
      </c>
      <c r="Q35" s="21">
        <v>0</v>
      </c>
      <c r="R35" s="11">
        <f t="shared" si="3"/>
        <v>0</v>
      </c>
      <c r="S35" s="39">
        <f t="shared" si="11"/>
        <v>56</v>
      </c>
      <c r="T35" s="38">
        <f t="shared" si="4"/>
        <v>1.4783999999999999</v>
      </c>
      <c r="U35" s="12"/>
      <c r="V35" s="13">
        <f t="shared" si="8"/>
        <v>0</v>
      </c>
      <c r="W35" s="49">
        <f t="shared" si="9"/>
        <v>56</v>
      </c>
      <c r="X35" s="50">
        <f t="shared" si="10"/>
        <v>1.4783999999999999</v>
      </c>
      <c r="Y35" s="238">
        <v>0</v>
      </c>
      <c r="Z35" s="101">
        <v>0</v>
      </c>
    </row>
    <row r="36" spans="1:26" x14ac:dyDescent="0.25">
      <c r="A36" s="264">
        <v>32</v>
      </c>
      <c r="B36" s="256" t="s">
        <v>110</v>
      </c>
      <c r="C36" s="34">
        <v>60</v>
      </c>
      <c r="D36" s="35">
        <v>62</v>
      </c>
      <c r="E36" s="35">
        <v>5</v>
      </c>
      <c r="F36" s="19">
        <f t="shared" si="5"/>
        <v>1.8599999999999998E-2</v>
      </c>
      <c r="G36" s="23">
        <f>'KASIM 4 HAFTA  '!W36</f>
        <v>0</v>
      </c>
      <c r="H36" s="26">
        <f t="shared" si="6"/>
        <v>0</v>
      </c>
      <c r="I36" s="21">
        <v>0</v>
      </c>
      <c r="J36" s="11">
        <f t="shared" si="0"/>
        <v>0</v>
      </c>
      <c r="K36" s="21">
        <v>0</v>
      </c>
      <c r="L36" s="10">
        <f t="shared" si="1"/>
        <v>0</v>
      </c>
      <c r="M36" s="21">
        <v>0</v>
      </c>
      <c r="N36" s="11">
        <f t="shared" si="2"/>
        <v>0</v>
      </c>
      <c r="O36" s="21">
        <v>0</v>
      </c>
      <c r="P36" s="10">
        <f t="shared" si="7"/>
        <v>0</v>
      </c>
      <c r="Q36" s="21">
        <v>0</v>
      </c>
      <c r="R36" s="11">
        <f t="shared" si="3"/>
        <v>0</v>
      </c>
      <c r="S36" s="39">
        <f t="shared" si="11"/>
        <v>0</v>
      </c>
      <c r="T36" s="38">
        <f t="shared" si="4"/>
        <v>0</v>
      </c>
      <c r="U36" s="12">
        <v>15</v>
      </c>
      <c r="V36" s="13">
        <f t="shared" si="8"/>
        <v>0.27899999999999997</v>
      </c>
      <c r="W36" s="49">
        <f t="shared" si="9"/>
        <v>15</v>
      </c>
      <c r="X36" s="50">
        <f t="shared" si="10"/>
        <v>0.27899999999999997</v>
      </c>
      <c r="Y36" s="238">
        <v>0</v>
      </c>
      <c r="Z36" s="101">
        <v>0</v>
      </c>
    </row>
    <row r="37" spans="1:26" x14ac:dyDescent="0.25">
      <c r="A37" s="264">
        <v>33</v>
      </c>
      <c r="B37" s="256" t="s">
        <v>41</v>
      </c>
      <c r="C37" s="34">
        <v>60</v>
      </c>
      <c r="D37" s="35">
        <v>67</v>
      </c>
      <c r="E37" s="35">
        <v>3</v>
      </c>
      <c r="F37" s="19">
        <f t="shared" si="5"/>
        <v>1.206E-2</v>
      </c>
      <c r="G37" s="23">
        <f>'KASIM 4 HAFTA  '!W37</f>
        <v>12</v>
      </c>
      <c r="H37" s="26">
        <f t="shared" si="6"/>
        <v>0.14471999999999999</v>
      </c>
      <c r="I37" s="21">
        <v>0</v>
      </c>
      <c r="J37" s="11">
        <f t="shared" ref="J37:J68" si="12">F37*I37</f>
        <v>0</v>
      </c>
      <c r="K37" s="21">
        <v>0</v>
      </c>
      <c r="L37" s="10">
        <f t="shared" si="1"/>
        <v>0</v>
      </c>
      <c r="M37" s="21">
        <v>0</v>
      </c>
      <c r="N37" s="11">
        <f t="shared" si="2"/>
        <v>0</v>
      </c>
      <c r="O37" s="21">
        <v>0</v>
      </c>
      <c r="P37" s="10">
        <f t="shared" si="7"/>
        <v>0</v>
      </c>
      <c r="Q37" s="21">
        <v>0</v>
      </c>
      <c r="R37" s="11">
        <f t="shared" ref="R37:R68" si="13">F37*Q37</f>
        <v>0</v>
      </c>
      <c r="S37" s="39">
        <f t="shared" si="11"/>
        <v>12</v>
      </c>
      <c r="T37" s="38">
        <f t="shared" si="4"/>
        <v>0.14471999999999999</v>
      </c>
      <c r="U37" s="12"/>
      <c r="V37" s="13">
        <f t="shared" si="8"/>
        <v>0</v>
      </c>
      <c r="W37" s="49">
        <f t="shared" si="9"/>
        <v>12</v>
      </c>
      <c r="X37" s="50">
        <f t="shared" si="10"/>
        <v>0.14471999999999999</v>
      </c>
      <c r="Y37" s="238">
        <v>0</v>
      </c>
      <c r="Z37" s="101">
        <v>0</v>
      </c>
    </row>
    <row r="38" spans="1:26" x14ac:dyDescent="0.25">
      <c r="A38" s="264">
        <v>34</v>
      </c>
      <c r="B38" s="256" t="s">
        <v>35</v>
      </c>
      <c r="C38" s="34">
        <v>140</v>
      </c>
      <c r="D38" s="35">
        <v>240</v>
      </c>
      <c r="E38" s="35">
        <v>7</v>
      </c>
      <c r="F38" s="19">
        <f t="shared" si="5"/>
        <v>0.23519999999999999</v>
      </c>
      <c r="G38" s="23">
        <f>'KASIM 4 HAFTA  '!W38</f>
        <v>0</v>
      </c>
      <c r="H38" s="26">
        <f t="shared" si="6"/>
        <v>0</v>
      </c>
      <c r="I38" s="21">
        <v>0</v>
      </c>
      <c r="J38" s="11">
        <f t="shared" si="12"/>
        <v>0</v>
      </c>
      <c r="K38" s="21">
        <v>0</v>
      </c>
      <c r="L38" s="10">
        <f t="shared" si="1"/>
        <v>0</v>
      </c>
      <c r="M38" s="21">
        <v>0</v>
      </c>
      <c r="N38" s="11">
        <f t="shared" si="2"/>
        <v>0</v>
      </c>
      <c r="O38" s="21">
        <v>0</v>
      </c>
      <c r="P38" s="10">
        <f t="shared" si="7"/>
        <v>0</v>
      </c>
      <c r="Q38" s="21">
        <v>0</v>
      </c>
      <c r="R38" s="11">
        <f t="shared" si="13"/>
        <v>0</v>
      </c>
      <c r="S38" s="39">
        <f t="shared" si="11"/>
        <v>0</v>
      </c>
      <c r="T38" s="38">
        <f t="shared" si="4"/>
        <v>0</v>
      </c>
      <c r="U38" s="12"/>
      <c r="V38" s="13">
        <f t="shared" si="8"/>
        <v>0</v>
      </c>
      <c r="W38" s="49">
        <f t="shared" si="9"/>
        <v>0</v>
      </c>
      <c r="X38" s="50">
        <f t="shared" si="10"/>
        <v>0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36</v>
      </c>
      <c r="C39" s="34">
        <v>60</v>
      </c>
      <c r="D39" s="35">
        <v>56</v>
      </c>
      <c r="E39" s="35">
        <v>10</v>
      </c>
      <c r="F39" s="19">
        <f t="shared" si="5"/>
        <v>3.3599999999999998E-2</v>
      </c>
      <c r="G39" s="23">
        <f>'KASIM 4 HAFTA  '!W39</f>
        <v>0</v>
      </c>
      <c r="H39" s="26">
        <f t="shared" si="6"/>
        <v>0</v>
      </c>
      <c r="I39" s="21">
        <v>0</v>
      </c>
      <c r="J39" s="11">
        <f t="shared" si="12"/>
        <v>0</v>
      </c>
      <c r="K39" s="21">
        <v>0</v>
      </c>
      <c r="L39" s="10">
        <f t="shared" si="1"/>
        <v>0</v>
      </c>
      <c r="M39" s="21">
        <v>0</v>
      </c>
      <c r="N39" s="11">
        <f t="shared" si="2"/>
        <v>0</v>
      </c>
      <c r="O39" s="21">
        <v>0</v>
      </c>
      <c r="P39" s="10">
        <f t="shared" si="7"/>
        <v>0</v>
      </c>
      <c r="Q39" s="21">
        <v>0</v>
      </c>
      <c r="R39" s="11">
        <f t="shared" si="13"/>
        <v>0</v>
      </c>
      <c r="S39" s="39">
        <f t="shared" si="11"/>
        <v>0</v>
      </c>
      <c r="T39" s="38">
        <f t="shared" si="4"/>
        <v>0</v>
      </c>
      <c r="U39" s="12"/>
      <c r="V39" s="13">
        <f t="shared" si="8"/>
        <v>0</v>
      </c>
      <c r="W39" s="49">
        <f t="shared" si="9"/>
        <v>0</v>
      </c>
      <c r="X39" s="50">
        <f t="shared" si="10"/>
        <v>0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37</v>
      </c>
      <c r="C40" s="34">
        <v>58</v>
      </c>
      <c r="D40" s="35">
        <v>55</v>
      </c>
      <c r="E40" s="35">
        <v>10</v>
      </c>
      <c r="F40" s="19">
        <f t="shared" si="5"/>
        <v>3.1899999999999998E-2</v>
      </c>
      <c r="G40" s="23">
        <f>'KASIM 4 HAFTA  '!W40</f>
        <v>0</v>
      </c>
      <c r="H40" s="26">
        <f t="shared" si="6"/>
        <v>0</v>
      </c>
      <c r="I40" s="21">
        <v>0</v>
      </c>
      <c r="J40" s="11">
        <f t="shared" si="12"/>
        <v>0</v>
      </c>
      <c r="K40" s="21">
        <v>0</v>
      </c>
      <c r="L40" s="10">
        <f t="shared" si="1"/>
        <v>0</v>
      </c>
      <c r="M40" s="21">
        <v>0</v>
      </c>
      <c r="N40" s="11">
        <f t="shared" si="2"/>
        <v>0</v>
      </c>
      <c r="O40" s="21">
        <v>0</v>
      </c>
      <c r="P40" s="10">
        <f t="shared" si="7"/>
        <v>0</v>
      </c>
      <c r="Q40" s="21">
        <v>0</v>
      </c>
      <c r="R40" s="11">
        <f t="shared" si="13"/>
        <v>0</v>
      </c>
      <c r="S40" s="39">
        <f t="shared" si="11"/>
        <v>0</v>
      </c>
      <c r="T40" s="38">
        <f t="shared" si="4"/>
        <v>0</v>
      </c>
      <c r="U40" s="12"/>
      <c r="V40" s="13">
        <f t="shared" si="8"/>
        <v>0</v>
      </c>
      <c r="W40" s="49">
        <f t="shared" si="9"/>
        <v>0</v>
      </c>
      <c r="X40" s="50">
        <f t="shared" si="10"/>
        <v>0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38</v>
      </c>
      <c r="C41" s="34">
        <v>63</v>
      </c>
      <c r="D41" s="35">
        <v>55</v>
      </c>
      <c r="E41" s="35">
        <v>5</v>
      </c>
      <c r="F41" s="19">
        <f t="shared" si="5"/>
        <v>1.7325E-2</v>
      </c>
      <c r="G41" s="23">
        <f>'KASIM 4 HAFTA  '!W41</f>
        <v>10</v>
      </c>
      <c r="H41" s="26">
        <f t="shared" si="6"/>
        <v>0.17325000000000002</v>
      </c>
      <c r="I41" s="21">
        <v>0</v>
      </c>
      <c r="J41" s="11">
        <f t="shared" si="12"/>
        <v>0</v>
      </c>
      <c r="K41" s="21">
        <v>0</v>
      </c>
      <c r="L41" s="10">
        <f t="shared" si="1"/>
        <v>0</v>
      </c>
      <c r="M41" s="21">
        <v>0</v>
      </c>
      <c r="N41" s="11">
        <f t="shared" si="2"/>
        <v>0</v>
      </c>
      <c r="O41" s="21">
        <v>0</v>
      </c>
      <c r="P41" s="10">
        <f t="shared" si="7"/>
        <v>0</v>
      </c>
      <c r="Q41" s="21">
        <v>0</v>
      </c>
      <c r="R41" s="11">
        <f t="shared" si="13"/>
        <v>0</v>
      </c>
      <c r="S41" s="39">
        <f t="shared" si="11"/>
        <v>10</v>
      </c>
      <c r="T41" s="38">
        <f t="shared" si="4"/>
        <v>0.17325000000000002</v>
      </c>
      <c r="U41" s="12"/>
      <c r="V41" s="13">
        <f t="shared" si="8"/>
        <v>0</v>
      </c>
      <c r="W41" s="49">
        <f t="shared" si="9"/>
        <v>10</v>
      </c>
      <c r="X41" s="50">
        <f t="shared" si="10"/>
        <v>0.17325000000000002</v>
      </c>
      <c r="Y41" s="238">
        <v>0</v>
      </c>
      <c r="Z41" s="101">
        <v>0</v>
      </c>
    </row>
    <row r="42" spans="1:26" x14ac:dyDescent="0.25">
      <c r="A42" s="264">
        <v>38</v>
      </c>
      <c r="B42" s="256" t="s">
        <v>111</v>
      </c>
      <c r="C42" s="34">
        <v>52</v>
      </c>
      <c r="D42" s="35">
        <v>52</v>
      </c>
      <c r="E42" s="35">
        <v>5</v>
      </c>
      <c r="F42" s="19">
        <f t="shared" si="5"/>
        <v>1.3520000000000001E-2</v>
      </c>
      <c r="G42" s="23">
        <f>'KASIM 4 HAFTA  '!W42</f>
        <v>0</v>
      </c>
      <c r="H42" s="26">
        <f t="shared" si="6"/>
        <v>0</v>
      </c>
      <c r="I42" s="21">
        <v>0</v>
      </c>
      <c r="J42" s="11">
        <f t="shared" si="12"/>
        <v>0</v>
      </c>
      <c r="K42" s="21">
        <v>0</v>
      </c>
      <c r="L42" s="10">
        <f t="shared" si="1"/>
        <v>0</v>
      </c>
      <c r="M42" s="21">
        <v>0</v>
      </c>
      <c r="N42" s="11">
        <f t="shared" si="2"/>
        <v>0</v>
      </c>
      <c r="O42" s="21">
        <v>0</v>
      </c>
      <c r="P42" s="10">
        <f t="shared" si="7"/>
        <v>0</v>
      </c>
      <c r="Q42" s="21">
        <v>0</v>
      </c>
      <c r="R42" s="11">
        <f t="shared" si="13"/>
        <v>0</v>
      </c>
      <c r="S42" s="39">
        <f t="shared" si="11"/>
        <v>0</v>
      </c>
      <c r="T42" s="38">
        <f t="shared" si="4"/>
        <v>0</v>
      </c>
      <c r="U42" s="12">
        <v>12</v>
      </c>
      <c r="V42" s="13">
        <f t="shared" si="8"/>
        <v>0.16224</v>
      </c>
      <c r="W42" s="49">
        <f t="shared" si="9"/>
        <v>12</v>
      </c>
      <c r="X42" s="50">
        <f t="shared" si="10"/>
        <v>0.16224</v>
      </c>
      <c r="Y42" s="238">
        <v>0</v>
      </c>
      <c r="Z42" s="101">
        <v>0</v>
      </c>
    </row>
    <row r="43" spans="1:26" x14ac:dyDescent="0.25">
      <c r="A43" s="264">
        <v>39</v>
      </c>
      <c r="B43" s="256" t="s">
        <v>40</v>
      </c>
      <c r="C43" s="34">
        <v>80</v>
      </c>
      <c r="D43" s="35">
        <v>70</v>
      </c>
      <c r="E43" s="35">
        <v>8</v>
      </c>
      <c r="F43" s="19">
        <f t="shared" si="5"/>
        <v>4.48E-2</v>
      </c>
      <c r="G43" s="23">
        <f>'KASIM 4 HAFTA  '!W43</f>
        <v>277</v>
      </c>
      <c r="H43" s="26">
        <f t="shared" si="6"/>
        <v>12.409599999999999</v>
      </c>
      <c r="I43" s="21">
        <v>24</v>
      </c>
      <c r="J43" s="11">
        <f t="shared" si="12"/>
        <v>1.0751999999999999</v>
      </c>
      <c r="K43" s="21">
        <v>0</v>
      </c>
      <c r="L43" s="10">
        <f t="shared" si="1"/>
        <v>0</v>
      </c>
      <c r="M43" s="21">
        <v>0</v>
      </c>
      <c r="N43" s="11">
        <f t="shared" si="2"/>
        <v>0</v>
      </c>
      <c r="O43" s="21">
        <v>0</v>
      </c>
      <c r="P43" s="10">
        <f t="shared" si="7"/>
        <v>0</v>
      </c>
      <c r="Q43" s="21">
        <v>0</v>
      </c>
      <c r="R43" s="11">
        <f t="shared" si="13"/>
        <v>0</v>
      </c>
      <c r="S43" s="39">
        <f t="shared" si="11"/>
        <v>253</v>
      </c>
      <c r="T43" s="38">
        <f t="shared" si="4"/>
        <v>11.3344</v>
      </c>
      <c r="U43" s="12"/>
      <c r="V43" s="13">
        <f t="shared" si="8"/>
        <v>0</v>
      </c>
      <c r="W43" s="49">
        <f t="shared" si="9"/>
        <v>253</v>
      </c>
      <c r="X43" s="50">
        <f t="shared" si="10"/>
        <v>11.3344</v>
      </c>
      <c r="Y43" s="238">
        <v>50</v>
      </c>
      <c r="Z43" s="101">
        <v>200</v>
      </c>
    </row>
    <row r="44" spans="1:26" x14ac:dyDescent="0.25">
      <c r="A44" s="264">
        <v>40</v>
      </c>
      <c r="B44" s="256" t="s">
        <v>42</v>
      </c>
      <c r="C44" s="34">
        <v>70</v>
      </c>
      <c r="D44" s="35">
        <v>64</v>
      </c>
      <c r="E44" s="35">
        <v>8</v>
      </c>
      <c r="F44" s="19">
        <f t="shared" si="5"/>
        <v>3.5839999999999997E-2</v>
      </c>
      <c r="G44" s="23">
        <f>'KASIM 4 HAFTA  '!W44</f>
        <v>354</v>
      </c>
      <c r="H44" s="26">
        <f t="shared" si="6"/>
        <v>12.687359999999998</v>
      </c>
      <c r="I44" s="21">
        <v>24</v>
      </c>
      <c r="J44" s="11">
        <f t="shared" si="12"/>
        <v>0.86015999999999992</v>
      </c>
      <c r="K44" s="21">
        <v>0</v>
      </c>
      <c r="L44" s="10">
        <f t="shared" si="1"/>
        <v>0</v>
      </c>
      <c r="M44" s="21">
        <v>0</v>
      </c>
      <c r="N44" s="11">
        <f t="shared" si="2"/>
        <v>0</v>
      </c>
      <c r="O44" s="21">
        <v>0</v>
      </c>
      <c r="P44" s="10">
        <f t="shared" si="7"/>
        <v>0</v>
      </c>
      <c r="Q44" s="21">
        <v>60</v>
      </c>
      <c r="R44" s="11">
        <f t="shared" si="13"/>
        <v>2.1503999999999999</v>
      </c>
      <c r="S44" s="39">
        <f t="shared" si="11"/>
        <v>270</v>
      </c>
      <c r="T44" s="38">
        <f t="shared" si="4"/>
        <v>9.6767999999999983</v>
      </c>
      <c r="U44" s="12">
        <v>12</v>
      </c>
      <c r="V44" s="13">
        <f t="shared" si="8"/>
        <v>0.43007999999999996</v>
      </c>
      <c r="W44" s="49">
        <f t="shared" si="9"/>
        <v>282</v>
      </c>
      <c r="X44" s="50">
        <f t="shared" si="10"/>
        <v>10.106879999999999</v>
      </c>
      <c r="Y44" s="238">
        <v>50</v>
      </c>
      <c r="Z44" s="101">
        <v>200</v>
      </c>
    </row>
    <row r="45" spans="1:26" x14ac:dyDescent="0.25">
      <c r="A45" s="264">
        <v>41</v>
      </c>
      <c r="B45" s="256" t="s">
        <v>43</v>
      </c>
      <c r="C45" s="34">
        <v>75</v>
      </c>
      <c r="D45" s="35">
        <v>70</v>
      </c>
      <c r="E45" s="35">
        <v>8</v>
      </c>
      <c r="F45" s="19">
        <f t="shared" si="5"/>
        <v>4.2000000000000003E-2</v>
      </c>
      <c r="G45" s="23">
        <f>'KASIM 4 HAFTA  '!W45</f>
        <v>436</v>
      </c>
      <c r="H45" s="26">
        <f t="shared" si="6"/>
        <v>18.312000000000001</v>
      </c>
      <c r="I45" s="21">
        <v>48</v>
      </c>
      <c r="J45" s="11">
        <f t="shared" si="12"/>
        <v>2.016</v>
      </c>
      <c r="K45" s="21">
        <v>0</v>
      </c>
      <c r="L45" s="10">
        <f t="shared" si="1"/>
        <v>0</v>
      </c>
      <c r="M45" s="21">
        <v>0</v>
      </c>
      <c r="N45" s="11">
        <f t="shared" si="2"/>
        <v>0</v>
      </c>
      <c r="O45" s="21">
        <v>0</v>
      </c>
      <c r="P45" s="10">
        <f t="shared" si="7"/>
        <v>0</v>
      </c>
      <c r="Q45" s="21">
        <v>0</v>
      </c>
      <c r="R45" s="11">
        <f t="shared" si="13"/>
        <v>0</v>
      </c>
      <c r="S45" s="39">
        <f t="shared" si="11"/>
        <v>388</v>
      </c>
      <c r="T45" s="38">
        <f t="shared" si="4"/>
        <v>16.295999999999999</v>
      </c>
      <c r="U45" s="12">
        <v>36</v>
      </c>
      <c r="V45" s="13">
        <f t="shared" si="8"/>
        <v>1.512</v>
      </c>
      <c r="W45" s="49">
        <f t="shared" si="9"/>
        <v>424</v>
      </c>
      <c r="X45" s="50">
        <f t="shared" si="10"/>
        <v>17.808</v>
      </c>
      <c r="Y45" s="238">
        <v>50</v>
      </c>
      <c r="Z45" s="101">
        <v>200</v>
      </c>
    </row>
    <row r="46" spans="1:26" x14ac:dyDescent="0.25">
      <c r="A46" s="264">
        <v>42</v>
      </c>
      <c r="B46" s="256" t="s">
        <v>77</v>
      </c>
      <c r="C46" s="34">
        <v>140</v>
      </c>
      <c r="D46" s="35">
        <v>67</v>
      </c>
      <c r="E46" s="35">
        <v>5</v>
      </c>
      <c r="F46" s="19">
        <f t="shared" si="5"/>
        <v>4.6899999999999997E-2</v>
      </c>
      <c r="G46" s="23">
        <f>'KASIM 4 HAFTA  '!W46</f>
        <v>257</v>
      </c>
      <c r="H46" s="26">
        <f t="shared" si="6"/>
        <v>12.0533</v>
      </c>
      <c r="I46" s="21">
        <v>0</v>
      </c>
      <c r="J46" s="11">
        <f t="shared" si="12"/>
        <v>0</v>
      </c>
      <c r="K46" s="21">
        <v>12</v>
      </c>
      <c r="L46" s="10">
        <f t="shared" si="1"/>
        <v>0.56279999999999997</v>
      </c>
      <c r="M46" s="21">
        <v>0</v>
      </c>
      <c r="N46" s="11">
        <f t="shared" si="2"/>
        <v>0</v>
      </c>
      <c r="O46" s="21">
        <v>24</v>
      </c>
      <c r="P46" s="10">
        <f t="shared" si="7"/>
        <v>1.1255999999999999</v>
      </c>
      <c r="Q46" s="21">
        <v>0</v>
      </c>
      <c r="R46" s="11">
        <f t="shared" si="13"/>
        <v>0</v>
      </c>
      <c r="S46" s="39">
        <f t="shared" si="11"/>
        <v>221</v>
      </c>
      <c r="T46" s="38">
        <f t="shared" si="4"/>
        <v>10.364899999999999</v>
      </c>
      <c r="U46" s="12"/>
      <c r="V46" s="13">
        <f t="shared" si="8"/>
        <v>0</v>
      </c>
      <c r="W46" s="49">
        <f t="shared" si="9"/>
        <v>221</v>
      </c>
      <c r="X46" s="50">
        <f t="shared" si="10"/>
        <v>10.364899999999999</v>
      </c>
      <c r="Y46" s="238">
        <v>50</v>
      </c>
      <c r="Z46" s="101">
        <v>100</v>
      </c>
    </row>
    <row r="47" spans="1:26" x14ac:dyDescent="0.25">
      <c r="A47" s="264">
        <v>43</v>
      </c>
      <c r="B47" s="256" t="s">
        <v>45</v>
      </c>
      <c r="C47" s="34">
        <v>80</v>
      </c>
      <c r="D47" s="35">
        <v>63</v>
      </c>
      <c r="E47" s="35">
        <v>5</v>
      </c>
      <c r="F47" s="19">
        <f t="shared" si="5"/>
        <v>2.52E-2</v>
      </c>
      <c r="G47" s="23">
        <f>'KASIM 4 HAFTA  '!W47</f>
        <v>315</v>
      </c>
      <c r="H47" s="26">
        <f t="shared" si="6"/>
        <v>7.9379999999999997</v>
      </c>
      <c r="I47" s="21">
        <v>0</v>
      </c>
      <c r="J47" s="11">
        <f t="shared" si="12"/>
        <v>0</v>
      </c>
      <c r="K47" s="21">
        <v>0</v>
      </c>
      <c r="L47" s="10">
        <f t="shared" si="1"/>
        <v>0</v>
      </c>
      <c r="M47" s="21">
        <v>0</v>
      </c>
      <c r="N47" s="11">
        <f t="shared" si="2"/>
        <v>0</v>
      </c>
      <c r="O47" s="21">
        <v>0</v>
      </c>
      <c r="P47" s="10">
        <f t="shared" si="7"/>
        <v>0</v>
      </c>
      <c r="Q47" s="21">
        <v>0</v>
      </c>
      <c r="R47" s="11">
        <f t="shared" si="13"/>
        <v>0</v>
      </c>
      <c r="S47" s="39">
        <f t="shared" si="11"/>
        <v>315</v>
      </c>
      <c r="T47" s="38">
        <f t="shared" si="4"/>
        <v>7.9379999999999997</v>
      </c>
      <c r="U47" s="12"/>
      <c r="V47" s="13">
        <f t="shared" si="8"/>
        <v>0</v>
      </c>
      <c r="W47" s="49">
        <f t="shared" si="9"/>
        <v>315</v>
      </c>
      <c r="X47" s="50">
        <f t="shared" si="10"/>
        <v>7.9379999999999997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46</v>
      </c>
      <c r="C48" s="34">
        <v>77</v>
      </c>
      <c r="D48" s="35">
        <v>68</v>
      </c>
      <c r="E48" s="35">
        <v>8</v>
      </c>
      <c r="F48" s="19">
        <f t="shared" si="5"/>
        <v>4.1888000000000002E-2</v>
      </c>
      <c r="G48" s="23">
        <f>'KASIM 4 HAFTA  '!W48</f>
        <v>169</v>
      </c>
      <c r="H48" s="26">
        <f t="shared" si="6"/>
        <v>7.079072</v>
      </c>
      <c r="I48" s="21">
        <v>80</v>
      </c>
      <c r="J48" s="11">
        <f t="shared" si="12"/>
        <v>3.3510400000000002</v>
      </c>
      <c r="K48" s="21">
        <v>0</v>
      </c>
      <c r="L48" s="10">
        <f t="shared" si="1"/>
        <v>0</v>
      </c>
      <c r="M48" s="21">
        <v>0</v>
      </c>
      <c r="N48" s="11">
        <f t="shared" si="2"/>
        <v>0</v>
      </c>
      <c r="O48" s="21">
        <v>0</v>
      </c>
      <c r="P48" s="10">
        <f t="shared" si="7"/>
        <v>0</v>
      </c>
      <c r="Q48" s="21">
        <v>0</v>
      </c>
      <c r="R48" s="11">
        <f t="shared" si="13"/>
        <v>0</v>
      </c>
      <c r="S48" s="39">
        <f t="shared" si="11"/>
        <v>89</v>
      </c>
      <c r="T48" s="38">
        <f t="shared" si="4"/>
        <v>3.7280320000000002</v>
      </c>
      <c r="U48" s="12"/>
      <c r="V48" s="13">
        <f t="shared" si="8"/>
        <v>0</v>
      </c>
      <c r="W48" s="49">
        <f t="shared" si="9"/>
        <v>89</v>
      </c>
      <c r="X48" s="50">
        <f t="shared" si="10"/>
        <v>3.7280320000000002</v>
      </c>
      <c r="Y48" s="238">
        <v>50</v>
      </c>
      <c r="Z48" s="101">
        <v>200</v>
      </c>
    </row>
    <row r="49" spans="1:26" x14ac:dyDescent="0.25">
      <c r="A49" s="264">
        <v>45</v>
      </c>
      <c r="B49" s="256" t="s">
        <v>47</v>
      </c>
      <c r="C49" s="34">
        <v>79</v>
      </c>
      <c r="D49" s="35">
        <v>79</v>
      </c>
      <c r="E49" s="35">
        <v>2</v>
      </c>
      <c r="F49" s="19">
        <f t="shared" si="5"/>
        <v>1.2482E-2</v>
      </c>
      <c r="G49" s="23">
        <f>'KASIM 4 HAFTA  '!W49</f>
        <v>244</v>
      </c>
      <c r="H49" s="26">
        <f t="shared" si="6"/>
        <v>3.0456080000000001</v>
      </c>
      <c r="I49" s="21">
        <v>0</v>
      </c>
      <c r="J49" s="11">
        <f t="shared" si="12"/>
        <v>0</v>
      </c>
      <c r="K49" s="21">
        <v>0</v>
      </c>
      <c r="L49" s="10">
        <f t="shared" si="1"/>
        <v>0</v>
      </c>
      <c r="M49" s="21">
        <v>0</v>
      </c>
      <c r="N49" s="11">
        <f t="shared" si="2"/>
        <v>0</v>
      </c>
      <c r="O49" s="21">
        <v>0</v>
      </c>
      <c r="P49" s="10">
        <f t="shared" si="7"/>
        <v>0</v>
      </c>
      <c r="Q49" s="21">
        <v>0</v>
      </c>
      <c r="R49" s="11">
        <f t="shared" si="13"/>
        <v>0</v>
      </c>
      <c r="S49" s="39">
        <f t="shared" si="11"/>
        <v>244</v>
      </c>
      <c r="T49" s="38">
        <f t="shared" si="4"/>
        <v>3.0456080000000001</v>
      </c>
      <c r="U49" s="12"/>
      <c r="V49" s="13">
        <f t="shared" si="8"/>
        <v>0</v>
      </c>
      <c r="W49" s="49">
        <f t="shared" si="9"/>
        <v>244</v>
      </c>
      <c r="X49" s="50">
        <f t="shared" si="10"/>
        <v>3.0456080000000001</v>
      </c>
      <c r="Y49" s="238">
        <v>100</v>
      </c>
      <c r="Z49" s="101">
        <v>300</v>
      </c>
    </row>
    <row r="50" spans="1:26" x14ac:dyDescent="0.25">
      <c r="A50" s="264">
        <v>46</v>
      </c>
      <c r="B50" s="256" t="s">
        <v>48</v>
      </c>
      <c r="C50" s="34">
        <v>61</v>
      </c>
      <c r="D50" s="35">
        <v>56</v>
      </c>
      <c r="E50" s="35">
        <v>10</v>
      </c>
      <c r="F50" s="19">
        <f t="shared" si="5"/>
        <v>3.4160000000000003E-2</v>
      </c>
      <c r="G50" s="23">
        <v>100</v>
      </c>
      <c r="H50" s="26">
        <f t="shared" si="6"/>
        <v>3.4160000000000004</v>
      </c>
      <c r="I50" s="21">
        <v>0</v>
      </c>
      <c r="J50" s="11">
        <f t="shared" si="12"/>
        <v>0</v>
      </c>
      <c r="K50" s="21">
        <v>0</v>
      </c>
      <c r="L50" s="10">
        <f t="shared" si="1"/>
        <v>0</v>
      </c>
      <c r="M50" s="21">
        <v>0</v>
      </c>
      <c r="N50" s="11">
        <f t="shared" si="2"/>
        <v>0</v>
      </c>
      <c r="O50" s="21">
        <v>0</v>
      </c>
      <c r="P50" s="10">
        <f t="shared" si="7"/>
        <v>0</v>
      </c>
      <c r="Q50" s="21">
        <v>100</v>
      </c>
      <c r="R50" s="11">
        <f t="shared" si="13"/>
        <v>3.4160000000000004</v>
      </c>
      <c r="S50" s="39">
        <f t="shared" si="11"/>
        <v>0</v>
      </c>
      <c r="T50" s="38">
        <f t="shared" si="4"/>
        <v>0</v>
      </c>
      <c r="U50" s="12"/>
      <c r="V50" s="13">
        <f t="shared" si="8"/>
        <v>0</v>
      </c>
      <c r="W50" s="49">
        <f t="shared" si="9"/>
        <v>0</v>
      </c>
      <c r="X50" s="50">
        <f t="shared" si="10"/>
        <v>0</v>
      </c>
      <c r="Y50" s="238">
        <v>30</v>
      </c>
      <c r="Z50" s="101">
        <v>100</v>
      </c>
    </row>
    <row r="51" spans="1:26" x14ac:dyDescent="0.25">
      <c r="A51" s="264">
        <v>47</v>
      </c>
      <c r="B51" s="256" t="s">
        <v>49</v>
      </c>
      <c r="C51" s="34">
        <v>66</v>
      </c>
      <c r="D51" s="35">
        <v>61</v>
      </c>
      <c r="E51" s="35">
        <v>10</v>
      </c>
      <c r="F51" s="19">
        <f t="shared" si="5"/>
        <v>4.0259999999999997E-2</v>
      </c>
      <c r="G51" s="23">
        <f>'KASIM 4 HAFTA  '!W51</f>
        <v>204</v>
      </c>
      <c r="H51" s="26">
        <f t="shared" si="6"/>
        <v>8.2130399999999995</v>
      </c>
      <c r="I51" s="21">
        <v>0</v>
      </c>
      <c r="J51" s="11">
        <f t="shared" si="12"/>
        <v>0</v>
      </c>
      <c r="K51" s="21">
        <v>0</v>
      </c>
      <c r="L51" s="10">
        <f t="shared" si="1"/>
        <v>0</v>
      </c>
      <c r="M51" s="21">
        <v>0</v>
      </c>
      <c r="N51" s="11">
        <f t="shared" si="2"/>
        <v>0</v>
      </c>
      <c r="O51" s="21">
        <v>0</v>
      </c>
      <c r="P51" s="10">
        <f t="shared" si="7"/>
        <v>0</v>
      </c>
      <c r="Q51" s="21">
        <v>51</v>
      </c>
      <c r="R51" s="11">
        <f t="shared" si="13"/>
        <v>2.0532599999999999</v>
      </c>
      <c r="S51" s="39">
        <f t="shared" si="11"/>
        <v>153</v>
      </c>
      <c r="T51" s="38">
        <f t="shared" si="4"/>
        <v>6.1597799999999996</v>
      </c>
      <c r="U51" s="12"/>
      <c r="V51" s="13">
        <f t="shared" si="8"/>
        <v>0</v>
      </c>
      <c r="W51" s="49">
        <f t="shared" si="9"/>
        <v>153</v>
      </c>
      <c r="X51" s="50">
        <f t="shared" si="10"/>
        <v>6.1597799999999996</v>
      </c>
      <c r="Y51" s="238">
        <v>30</v>
      </c>
      <c r="Z51" s="101">
        <v>100</v>
      </c>
    </row>
    <row r="52" spans="1:26" x14ac:dyDescent="0.25">
      <c r="A52" s="264">
        <v>48</v>
      </c>
      <c r="B52" s="256" t="s">
        <v>50</v>
      </c>
      <c r="C52" s="34">
        <v>63</v>
      </c>
      <c r="D52" s="35">
        <v>61</v>
      </c>
      <c r="E52" s="35">
        <v>10</v>
      </c>
      <c r="F52" s="19">
        <f t="shared" si="5"/>
        <v>3.8429999999999999E-2</v>
      </c>
      <c r="G52" s="23">
        <f>'KASIM 4 HAFTA  '!W52</f>
        <v>375</v>
      </c>
      <c r="H52" s="26">
        <f t="shared" si="6"/>
        <v>14.411249999999999</v>
      </c>
      <c r="I52" s="21">
        <v>0</v>
      </c>
      <c r="J52" s="11">
        <f t="shared" si="12"/>
        <v>0</v>
      </c>
      <c r="K52" s="21">
        <v>0</v>
      </c>
      <c r="L52" s="10">
        <f t="shared" si="1"/>
        <v>0</v>
      </c>
      <c r="M52" s="21">
        <v>0</v>
      </c>
      <c r="N52" s="11">
        <f t="shared" si="2"/>
        <v>0</v>
      </c>
      <c r="O52" s="21">
        <v>0</v>
      </c>
      <c r="P52" s="10">
        <f t="shared" si="7"/>
        <v>0</v>
      </c>
      <c r="Q52" s="21">
        <v>112</v>
      </c>
      <c r="R52" s="11">
        <f t="shared" si="13"/>
        <v>4.3041599999999995</v>
      </c>
      <c r="S52" s="39">
        <f t="shared" si="11"/>
        <v>263</v>
      </c>
      <c r="T52" s="38">
        <f t="shared" si="4"/>
        <v>10.107089999999999</v>
      </c>
      <c r="U52" s="12"/>
      <c r="V52" s="13">
        <f t="shared" si="8"/>
        <v>0</v>
      </c>
      <c r="W52" s="49">
        <f t="shared" si="9"/>
        <v>263</v>
      </c>
      <c r="X52" s="50">
        <f t="shared" si="10"/>
        <v>10.107089999999999</v>
      </c>
      <c r="Y52" s="238">
        <v>30</v>
      </c>
      <c r="Z52" s="101">
        <v>100</v>
      </c>
    </row>
    <row r="53" spans="1:26" x14ac:dyDescent="0.25">
      <c r="A53" s="264">
        <v>49</v>
      </c>
      <c r="B53" s="256" t="s">
        <v>51</v>
      </c>
      <c r="C53" s="34">
        <v>58</v>
      </c>
      <c r="D53" s="35">
        <v>58</v>
      </c>
      <c r="E53" s="35">
        <v>2.2999999999999998</v>
      </c>
      <c r="F53" s="19">
        <f t="shared" si="5"/>
        <v>7.7371999999999996E-3</v>
      </c>
      <c r="G53" s="23">
        <f>'KASIM 4 HAFTA  '!W53</f>
        <v>3650</v>
      </c>
      <c r="H53" s="26">
        <f t="shared" si="6"/>
        <v>28.240779999999997</v>
      </c>
      <c r="I53" s="21">
        <v>0</v>
      </c>
      <c r="J53" s="11">
        <f t="shared" si="12"/>
        <v>0</v>
      </c>
      <c r="K53" s="21">
        <v>0</v>
      </c>
      <c r="L53" s="10">
        <f t="shared" si="1"/>
        <v>0</v>
      </c>
      <c r="M53" s="21">
        <v>0</v>
      </c>
      <c r="N53" s="11">
        <f t="shared" si="2"/>
        <v>0</v>
      </c>
      <c r="O53" s="21">
        <v>0</v>
      </c>
      <c r="P53" s="10">
        <f t="shared" si="7"/>
        <v>0</v>
      </c>
      <c r="Q53" s="21">
        <v>7</v>
      </c>
      <c r="R53" s="11">
        <f t="shared" si="13"/>
        <v>5.4160399999999997E-2</v>
      </c>
      <c r="S53" s="39">
        <f t="shared" si="11"/>
        <v>3643</v>
      </c>
      <c r="T53" s="38">
        <f t="shared" si="4"/>
        <v>28.1866196</v>
      </c>
      <c r="U53" s="12"/>
      <c r="V53" s="13">
        <f t="shared" si="8"/>
        <v>0</v>
      </c>
      <c r="W53" s="49">
        <f t="shared" si="9"/>
        <v>3643</v>
      </c>
      <c r="X53" s="50">
        <f t="shared" si="10"/>
        <v>28.1866196</v>
      </c>
      <c r="Y53" s="238">
        <v>200</v>
      </c>
      <c r="Z53" s="101">
        <v>500</v>
      </c>
    </row>
    <row r="54" spans="1:26" x14ac:dyDescent="0.25">
      <c r="A54" s="264">
        <v>50</v>
      </c>
      <c r="B54" s="256" t="s">
        <v>52</v>
      </c>
      <c r="C54" s="34">
        <v>79</v>
      </c>
      <c r="D54" s="35">
        <v>62</v>
      </c>
      <c r="E54" s="35">
        <v>2.2999999999999998</v>
      </c>
      <c r="F54" s="19">
        <f t="shared" si="5"/>
        <v>1.12654E-2</v>
      </c>
      <c r="G54" s="23">
        <f>'KASIM 4 HAFTA  '!W54</f>
        <v>3532</v>
      </c>
      <c r="H54" s="26">
        <f t="shared" si="6"/>
        <v>39.789392800000002</v>
      </c>
      <c r="I54" s="21">
        <v>96</v>
      </c>
      <c r="J54" s="11">
        <f t="shared" si="12"/>
        <v>1.0814784</v>
      </c>
      <c r="K54" s="21">
        <v>0</v>
      </c>
      <c r="L54" s="10">
        <f t="shared" si="1"/>
        <v>0</v>
      </c>
      <c r="M54" s="21">
        <v>27</v>
      </c>
      <c r="N54" s="11">
        <f t="shared" si="2"/>
        <v>0.30416579999999999</v>
      </c>
      <c r="O54" s="21">
        <v>0</v>
      </c>
      <c r="P54" s="10">
        <f t="shared" si="7"/>
        <v>0</v>
      </c>
      <c r="Q54" s="21">
        <v>0</v>
      </c>
      <c r="R54" s="11">
        <f t="shared" si="13"/>
        <v>0</v>
      </c>
      <c r="S54" s="39">
        <f t="shared" si="11"/>
        <v>3409</v>
      </c>
      <c r="T54" s="38">
        <f t="shared" si="4"/>
        <v>38.4037486</v>
      </c>
      <c r="U54" s="12"/>
      <c r="V54" s="13">
        <f t="shared" si="8"/>
        <v>0</v>
      </c>
      <c r="W54" s="49">
        <f t="shared" si="9"/>
        <v>3409</v>
      </c>
      <c r="X54" s="50">
        <f t="shared" si="10"/>
        <v>38.4037486</v>
      </c>
      <c r="Y54" s="238">
        <v>100</v>
      </c>
      <c r="Z54" s="101">
        <v>300</v>
      </c>
    </row>
    <row r="55" spans="1:26" x14ac:dyDescent="0.25">
      <c r="A55" s="264">
        <v>51</v>
      </c>
      <c r="B55" s="256" t="s">
        <v>53</v>
      </c>
      <c r="C55" s="34">
        <v>200</v>
      </c>
      <c r="D55" s="35">
        <v>176</v>
      </c>
      <c r="E55" s="35">
        <v>2.2999999999999998</v>
      </c>
      <c r="F55" s="19">
        <f t="shared" si="5"/>
        <v>8.0960000000000004E-2</v>
      </c>
      <c r="G55" s="23">
        <f>'KASIM 4 HAFTA  '!W55</f>
        <v>1</v>
      </c>
      <c r="H55" s="26">
        <f t="shared" si="6"/>
        <v>8.0960000000000004E-2</v>
      </c>
      <c r="I55" s="21">
        <v>0</v>
      </c>
      <c r="J55" s="11">
        <f t="shared" si="12"/>
        <v>0</v>
      </c>
      <c r="K55" s="21">
        <v>0</v>
      </c>
      <c r="L55" s="10">
        <f t="shared" si="1"/>
        <v>0</v>
      </c>
      <c r="M55" s="21">
        <v>0</v>
      </c>
      <c r="N55" s="11">
        <f t="shared" si="2"/>
        <v>0</v>
      </c>
      <c r="O55" s="21">
        <v>0</v>
      </c>
      <c r="P55" s="10">
        <f t="shared" si="7"/>
        <v>0</v>
      </c>
      <c r="Q55" s="21">
        <v>0</v>
      </c>
      <c r="R55" s="11">
        <f t="shared" si="13"/>
        <v>0</v>
      </c>
      <c r="S55" s="39">
        <f t="shared" si="11"/>
        <v>1</v>
      </c>
      <c r="T55" s="38">
        <f t="shared" si="4"/>
        <v>8.0960000000000004E-2</v>
      </c>
      <c r="U55" s="12"/>
      <c r="V55" s="13">
        <f t="shared" si="8"/>
        <v>0</v>
      </c>
      <c r="W55" s="49">
        <f t="shared" si="9"/>
        <v>1</v>
      </c>
      <c r="X55" s="50">
        <f t="shared" si="10"/>
        <v>8.0960000000000004E-2</v>
      </c>
      <c r="Y55" s="238">
        <v>0</v>
      </c>
      <c r="Z55" s="101">
        <v>0</v>
      </c>
    </row>
    <row r="56" spans="1:26" x14ac:dyDescent="0.25">
      <c r="A56" s="264">
        <v>52</v>
      </c>
      <c r="B56" s="256" t="s">
        <v>54</v>
      </c>
      <c r="C56" s="34">
        <v>79</v>
      </c>
      <c r="D56" s="35">
        <v>79</v>
      </c>
      <c r="E56" s="35">
        <v>2.2999999999999998</v>
      </c>
      <c r="F56" s="19">
        <f t="shared" si="5"/>
        <v>1.4354299999999999E-2</v>
      </c>
      <c r="G56" s="23">
        <f>'KASIM 4 HAFTA  '!W56</f>
        <v>3597</v>
      </c>
      <c r="H56" s="26">
        <f t="shared" si="6"/>
        <v>51.632417099999998</v>
      </c>
      <c r="I56" s="21">
        <v>0</v>
      </c>
      <c r="J56" s="11">
        <f t="shared" si="12"/>
        <v>0</v>
      </c>
      <c r="K56" s="21">
        <v>0</v>
      </c>
      <c r="L56" s="10">
        <f t="shared" si="1"/>
        <v>0</v>
      </c>
      <c r="M56" s="21">
        <v>0</v>
      </c>
      <c r="N56" s="11">
        <f t="shared" si="2"/>
        <v>0</v>
      </c>
      <c r="O56" s="21">
        <v>0</v>
      </c>
      <c r="P56" s="10">
        <f t="shared" si="7"/>
        <v>0</v>
      </c>
      <c r="Q56" s="21">
        <v>0</v>
      </c>
      <c r="R56" s="11">
        <f t="shared" si="13"/>
        <v>0</v>
      </c>
      <c r="S56" s="39">
        <f t="shared" si="11"/>
        <v>3597</v>
      </c>
      <c r="T56" s="38">
        <f t="shared" si="4"/>
        <v>51.632417099999998</v>
      </c>
      <c r="U56" s="12"/>
      <c r="V56" s="13">
        <f t="shared" si="8"/>
        <v>0</v>
      </c>
      <c r="W56" s="49">
        <f t="shared" si="9"/>
        <v>3597</v>
      </c>
      <c r="X56" s="50">
        <f t="shared" si="10"/>
        <v>51.632417099999998</v>
      </c>
      <c r="Y56" s="238">
        <v>300</v>
      </c>
      <c r="Z56" s="101">
        <v>1000</v>
      </c>
    </row>
    <row r="57" spans="1:26" ht="15.75" x14ac:dyDescent="0.25">
      <c r="A57" s="264">
        <v>53</v>
      </c>
      <c r="B57" s="256" t="s">
        <v>55</v>
      </c>
      <c r="C57" s="111">
        <v>50</v>
      </c>
      <c r="D57" s="112">
        <v>45</v>
      </c>
      <c r="E57" s="112">
        <v>4</v>
      </c>
      <c r="F57" s="19">
        <f t="shared" si="5"/>
        <v>8.9999999999999993E-3</v>
      </c>
      <c r="G57" s="23">
        <f>'KASIM 4 HAFTA  '!W57</f>
        <v>397</v>
      </c>
      <c r="H57" s="26">
        <f t="shared" si="6"/>
        <v>3.5729999999999995</v>
      </c>
      <c r="I57" s="21">
        <v>0</v>
      </c>
      <c r="J57" s="11">
        <f t="shared" si="12"/>
        <v>0</v>
      </c>
      <c r="K57" s="21">
        <v>0</v>
      </c>
      <c r="L57" s="10">
        <f t="shared" si="1"/>
        <v>0</v>
      </c>
      <c r="M57" s="21">
        <v>0</v>
      </c>
      <c r="N57" s="11">
        <f t="shared" si="2"/>
        <v>0</v>
      </c>
      <c r="O57" s="21">
        <v>0</v>
      </c>
      <c r="P57" s="10">
        <f t="shared" si="7"/>
        <v>0</v>
      </c>
      <c r="Q57" s="21">
        <v>26</v>
      </c>
      <c r="R57" s="11">
        <f t="shared" si="13"/>
        <v>0.23399999999999999</v>
      </c>
      <c r="S57" s="39">
        <f t="shared" si="11"/>
        <v>371</v>
      </c>
      <c r="T57" s="38">
        <f t="shared" si="4"/>
        <v>3.339</v>
      </c>
      <c r="U57" s="12"/>
      <c r="V57" s="13">
        <f t="shared" si="8"/>
        <v>0</v>
      </c>
      <c r="W57" s="49">
        <f t="shared" si="9"/>
        <v>371</v>
      </c>
      <c r="X57" s="50">
        <f t="shared" si="10"/>
        <v>3.339</v>
      </c>
      <c r="Y57" s="238">
        <v>300</v>
      </c>
      <c r="Z57" s="101">
        <v>1000</v>
      </c>
    </row>
    <row r="58" spans="1:26" ht="15.75" x14ac:dyDescent="0.25">
      <c r="A58" s="264">
        <v>54</v>
      </c>
      <c r="B58" s="256" t="s">
        <v>56</v>
      </c>
      <c r="C58" s="111">
        <v>50</v>
      </c>
      <c r="D58" s="112">
        <v>35</v>
      </c>
      <c r="E58" s="112">
        <v>4</v>
      </c>
      <c r="F58" s="19">
        <f t="shared" si="5"/>
        <v>7.0000000000000001E-3</v>
      </c>
      <c r="G58" s="23">
        <f>'KASIM 4 HAFTA  '!W58</f>
        <v>490</v>
      </c>
      <c r="H58" s="26">
        <f t="shared" si="6"/>
        <v>3.43</v>
      </c>
      <c r="I58" s="21">
        <v>0</v>
      </c>
      <c r="J58" s="11">
        <f t="shared" si="12"/>
        <v>0</v>
      </c>
      <c r="K58" s="21">
        <v>0</v>
      </c>
      <c r="L58" s="10">
        <f t="shared" si="1"/>
        <v>0</v>
      </c>
      <c r="M58" s="21">
        <v>0</v>
      </c>
      <c r="N58" s="11">
        <f t="shared" si="2"/>
        <v>0</v>
      </c>
      <c r="O58" s="21">
        <v>0</v>
      </c>
      <c r="P58" s="10">
        <f t="shared" si="7"/>
        <v>0</v>
      </c>
      <c r="Q58" s="21">
        <v>0</v>
      </c>
      <c r="R58" s="11">
        <f t="shared" si="13"/>
        <v>0</v>
      </c>
      <c r="S58" s="39">
        <f t="shared" si="11"/>
        <v>490</v>
      </c>
      <c r="T58" s="38">
        <f t="shared" si="4"/>
        <v>3.43</v>
      </c>
      <c r="U58" s="12"/>
      <c r="V58" s="13">
        <f t="shared" si="8"/>
        <v>0</v>
      </c>
      <c r="W58" s="49">
        <f t="shared" si="9"/>
        <v>490</v>
      </c>
      <c r="X58" s="50">
        <f t="shared" si="10"/>
        <v>3.43</v>
      </c>
      <c r="Y58" s="238">
        <v>500</v>
      </c>
      <c r="Z58" s="101">
        <v>1500</v>
      </c>
    </row>
    <row r="59" spans="1:26" ht="15.75" x14ac:dyDescent="0.25">
      <c r="A59" s="264">
        <v>55</v>
      </c>
      <c r="B59" s="256" t="s">
        <v>57</v>
      </c>
      <c r="C59" s="111">
        <v>45</v>
      </c>
      <c r="D59" s="112">
        <v>50</v>
      </c>
      <c r="E59" s="112">
        <v>3</v>
      </c>
      <c r="F59" s="19">
        <f t="shared" si="5"/>
        <v>6.7499999999999999E-3</v>
      </c>
      <c r="G59" s="23">
        <f>'KASIM 4 HAFTA  '!W59</f>
        <v>786</v>
      </c>
      <c r="H59" s="26">
        <f t="shared" si="6"/>
        <v>5.3055000000000003</v>
      </c>
      <c r="I59" s="21">
        <v>0</v>
      </c>
      <c r="J59" s="11">
        <f t="shared" si="12"/>
        <v>0</v>
      </c>
      <c r="K59" s="21">
        <v>15</v>
      </c>
      <c r="L59" s="10">
        <f t="shared" si="1"/>
        <v>0.10124999999999999</v>
      </c>
      <c r="M59" s="21">
        <v>6</v>
      </c>
      <c r="N59" s="11">
        <f t="shared" si="2"/>
        <v>4.0500000000000001E-2</v>
      </c>
      <c r="O59" s="21">
        <v>0</v>
      </c>
      <c r="P59" s="10">
        <f t="shared" si="7"/>
        <v>0</v>
      </c>
      <c r="Q59" s="21">
        <v>0</v>
      </c>
      <c r="R59" s="11">
        <f t="shared" si="13"/>
        <v>0</v>
      </c>
      <c r="S59" s="39">
        <f t="shared" si="11"/>
        <v>765</v>
      </c>
      <c r="T59" s="38">
        <f t="shared" si="4"/>
        <v>5.1637500000000003</v>
      </c>
      <c r="U59" s="12"/>
      <c r="V59" s="13">
        <f t="shared" si="8"/>
        <v>0</v>
      </c>
      <c r="W59" s="49">
        <f t="shared" si="9"/>
        <v>765</v>
      </c>
      <c r="X59" s="50">
        <f t="shared" si="10"/>
        <v>5.1637500000000003</v>
      </c>
      <c r="Y59" s="238">
        <v>500</v>
      </c>
      <c r="Z59" s="101">
        <v>1500</v>
      </c>
    </row>
    <row r="60" spans="1:26" ht="15.75" x14ac:dyDescent="0.25">
      <c r="A60" s="264">
        <v>56</v>
      </c>
      <c r="B60" s="256" t="s">
        <v>58</v>
      </c>
      <c r="C60" s="111">
        <v>50</v>
      </c>
      <c r="D60" s="112">
        <v>35</v>
      </c>
      <c r="E60" s="112">
        <v>3</v>
      </c>
      <c r="F60" s="19">
        <f t="shared" si="5"/>
        <v>5.2500000000000003E-3</v>
      </c>
      <c r="G60" s="23">
        <f>'KASIM 4 HAFTA  '!W60</f>
        <v>978</v>
      </c>
      <c r="H60" s="26">
        <f t="shared" si="6"/>
        <v>5.1345000000000001</v>
      </c>
      <c r="I60" s="21">
        <v>0</v>
      </c>
      <c r="J60" s="11">
        <f t="shared" si="12"/>
        <v>0</v>
      </c>
      <c r="K60" s="21">
        <v>0</v>
      </c>
      <c r="L60" s="10">
        <f t="shared" si="1"/>
        <v>0</v>
      </c>
      <c r="M60" s="21">
        <v>5</v>
      </c>
      <c r="N60" s="11">
        <f t="shared" si="2"/>
        <v>2.6250000000000002E-2</v>
      </c>
      <c r="O60" s="21">
        <v>0</v>
      </c>
      <c r="P60" s="10">
        <f t="shared" si="7"/>
        <v>0</v>
      </c>
      <c r="Q60" s="21">
        <v>0</v>
      </c>
      <c r="R60" s="11">
        <f t="shared" si="13"/>
        <v>0</v>
      </c>
      <c r="S60" s="39">
        <f t="shared" si="11"/>
        <v>973</v>
      </c>
      <c r="T60" s="38">
        <f t="shared" si="4"/>
        <v>5.10825</v>
      </c>
      <c r="U60" s="12"/>
      <c r="V60" s="13">
        <f t="shared" si="8"/>
        <v>0</v>
      </c>
      <c r="W60" s="49">
        <f t="shared" si="9"/>
        <v>973</v>
      </c>
      <c r="X60" s="50">
        <f t="shared" si="10"/>
        <v>5.10825</v>
      </c>
      <c r="Y60" s="238">
        <v>0</v>
      </c>
      <c r="Z60" s="101">
        <v>0</v>
      </c>
    </row>
    <row r="61" spans="1:26" ht="15.75" x14ac:dyDescent="0.25">
      <c r="A61" s="264">
        <v>57</v>
      </c>
      <c r="B61" s="256" t="s">
        <v>59</v>
      </c>
      <c r="C61" s="111">
        <v>42</v>
      </c>
      <c r="D61" s="112">
        <v>36</v>
      </c>
      <c r="E61" s="112">
        <v>4</v>
      </c>
      <c r="F61" s="19">
        <f t="shared" si="5"/>
        <v>6.0480000000000004E-3</v>
      </c>
      <c r="G61" s="23">
        <f>'KASIM 4 HAFTA  '!W61</f>
        <v>0</v>
      </c>
      <c r="H61" s="26">
        <f t="shared" si="6"/>
        <v>0</v>
      </c>
      <c r="I61" s="21">
        <v>0</v>
      </c>
      <c r="J61" s="11">
        <f t="shared" si="12"/>
        <v>0</v>
      </c>
      <c r="K61" s="21">
        <v>0</v>
      </c>
      <c r="L61" s="10">
        <f t="shared" si="1"/>
        <v>0</v>
      </c>
      <c r="M61" s="21">
        <v>0</v>
      </c>
      <c r="N61" s="11">
        <f t="shared" si="2"/>
        <v>0</v>
      </c>
      <c r="O61" s="21">
        <v>0</v>
      </c>
      <c r="P61" s="10">
        <f t="shared" si="7"/>
        <v>0</v>
      </c>
      <c r="Q61" s="21">
        <v>0</v>
      </c>
      <c r="R61" s="11">
        <f t="shared" si="13"/>
        <v>0</v>
      </c>
      <c r="S61" s="97">
        <f t="shared" si="11"/>
        <v>0</v>
      </c>
      <c r="T61" s="38">
        <f t="shared" si="4"/>
        <v>0</v>
      </c>
      <c r="U61" s="12"/>
      <c r="V61" s="13">
        <f t="shared" si="8"/>
        <v>0</v>
      </c>
      <c r="W61" s="49">
        <f t="shared" si="9"/>
        <v>0</v>
      </c>
      <c r="X61" s="50">
        <f t="shared" si="10"/>
        <v>0</v>
      </c>
      <c r="Y61" s="238">
        <v>300</v>
      </c>
      <c r="Z61" s="101">
        <v>1000</v>
      </c>
    </row>
    <row r="62" spans="1:26" ht="15.75" x14ac:dyDescent="0.25">
      <c r="A62" s="264">
        <v>58</v>
      </c>
      <c r="B62" s="256" t="s">
        <v>60</v>
      </c>
      <c r="C62" s="111">
        <v>50</v>
      </c>
      <c r="D62" s="112">
        <v>35</v>
      </c>
      <c r="E62" s="112">
        <v>3</v>
      </c>
      <c r="F62" s="19">
        <f t="shared" si="5"/>
        <v>5.2500000000000003E-3</v>
      </c>
      <c r="G62" s="23">
        <f>'KASIM 4 HAFTA  '!W62</f>
        <v>881</v>
      </c>
      <c r="H62" s="26">
        <f t="shared" si="6"/>
        <v>4.6252500000000003</v>
      </c>
      <c r="I62" s="21">
        <v>10</v>
      </c>
      <c r="J62" s="11">
        <f t="shared" si="12"/>
        <v>5.2500000000000005E-2</v>
      </c>
      <c r="K62" s="21">
        <v>0</v>
      </c>
      <c r="L62" s="10">
        <f t="shared" si="1"/>
        <v>0</v>
      </c>
      <c r="M62" s="21">
        <v>0</v>
      </c>
      <c r="N62" s="11">
        <f t="shared" si="2"/>
        <v>0</v>
      </c>
      <c r="O62" s="21">
        <v>0</v>
      </c>
      <c r="P62" s="10">
        <f t="shared" si="7"/>
        <v>0</v>
      </c>
      <c r="Q62" s="21">
        <v>0</v>
      </c>
      <c r="R62" s="11">
        <f t="shared" si="13"/>
        <v>0</v>
      </c>
      <c r="S62" s="97">
        <f t="shared" si="11"/>
        <v>871</v>
      </c>
      <c r="T62" s="38">
        <f t="shared" si="4"/>
        <v>4.5727500000000001</v>
      </c>
      <c r="U62" s="12"/>
      <c r="V62" s="13">
        <f t="shared" si="8"/>
        <v>0</v>
      </c>
      <c r="W62" s="49">
        <f t="shared" si="9"/>
        <v>871</v>
      </c>
      <c r="X62" s="50">
        <f t="shared" si="10"/>
        <v>4.5727500000000001</v>
      </c>
      <c r="Y62" s="238">
        <v>300</v>
      </c>
      <c r="Z62" s="101">
        <v>1000</v>
      </c>
    </row>
    <row r="63" spans="1:26" ht="15.75" x14ac:dyDescent="0.25">
      <c r="A63" s="264">
        <v>59</v>
      </c>
      <c r="B63" s="257" t="s">
        <v>61</v>
      </c>
      <c r="C63" s="111">
        <v>45</v>
      </c>
      <c r="D63" s="112">
        <v>50</v>
      </c>
      <c r="E63" s="112">
        <v>3</v>
      </c>
      <c r="F63" s="19">
        <f t="shared" si="5"/>
        <v>6.7499999999999999E-3</v>
      </c>
      <c r="G63" s="23">
        <f>'KASIM 4 HAFTA  '!W63</f>
        <v>970</v>
      </c>
      <c r="H63" s="26">
        <f t="shared" si="6"/>
        <v>6.5475000000000003</v>
      </c>
      <c r="I63" s="21">
        <v>35</v>
      </c>
      <c r="J63" s="11">
        <f t="shared" si="12"/>
        <v>0.23624999999999999</v>
      </c>
      <c r="K63" s="21">
        <v>0</v>
      </c>
      <c r="L63" s="10">
        <f t="shared" si="1"/>
        <v>0</v>
      </c>
      <c r="M63" s="21">
        <v>0</v>
      </c>
      <c r="N63" s="11">
        <f t="shared" si="2"/>
        <v>0</v>
      </c>
      <c r="O63" s="21">
        <v>0</v>
      </c>
      <c r="P63" s="10">
        <f t="shared" si="7"/>
        <v>0</v>
      </c>
      <c r="Q63" s="21">
        <v>0</v>
      </c>
      <c r="R63" s="11">
        <f t="shared" si="13"/>
        <v>0</v>
      </c>
      <c r="S63" s="97">
        <f t="shared" si="11"/>
        <v>935</v>
      </c>
      <c r="T63" s="38">
        <f t="shared" si="4"/>
        <v>6.3112500000000002</v>
      </c>
      <c r="U63" s="12"/>
      <c r="V63" s="13">
        <f t="shared" si="8"/>
        <v>0</v>
      </c>
      <c r="W63" s="49">
        <f t="shared" si="9"/>
        <v>935</v>
      </c>
      <c r="X63" s="50">
        <f t="shared" si="10"/>
        <v>6.3112500000000002</v>
      </c>
      <c r="Y63" s="238">
        <v>500</v>
      </c>
      <c r="Z63" s="101">
        <v>1500</v>
      </c>
    </row>
    <row r="64" spans="1:26" ht="15.75" thickBot="1" x14ac:dyDescent="0.3">
      <c r="A64" s="264">
        <v>60</v>
      </c>
      <c r="B64" s="258" t="s">
        <v>90</v>
      </c>
      <c r="C64" s="36">
        <v>140</v>
      </c>
      <c r="D64" s="37">
        <v>9.5</v>
      </c>
      <c r="E64" s="37">
        <v>6.5</v>
      </c>
      <c r="F64" s="20">
        <f t="shared" si="5"/>
        <v>8.6449999999999999E-3</v>
      </c>
      <c r="G64" s="23">
        <f>'KASIM 4 HAFTA  '!W64</f>
        <v>463</v>
      </c>
      <c r="H64" s="27">
        <f t="shared" si="6"/>
        <v>4.0026349999999997</v>
      </c>
      <c r="I64" s="21">
        <v>125</v>
      </c>
      <c r="J64" s="11">
        <f t="shared" si="12"/>
        <v>1.0806249999999999</v>
      </c>
      <c r="K64" s="21">
        <v>0</v>
      </c>
      <c r="L64" s="10">
        <f t="shared" si="1"/>
        <v>0</v>
      </c>
      <c r="M64" s="21">
        <v>0</v>
      </c>
      <c r="N64" s="11">
        <f t="shared" si="2"/>
        <v>0</v>
      </c>
      <c r="O64" s="21">
        <v>0</v>
      </c>
      <c r="P64" s="48">
        <f t="shared" si="7"/>
        <v>0</v>
      </c>
      <c r="Q64" s="21">
        <v>138</v>
      </c>
      <c r="R64" s="11">
        <f t="shared" si="13"/>
        <v>1.1930099999999999</v>
      </c>
      <c r="S64" s="97">
        <f t="shared" si="11"/>
        <v>200</v>
      </c>
      <c r="T64" s="41">
        <f t="shared" si="4"/>
        <v>1.7290000000000001</v>
      </c>
      <c r="U64" s="51"/>
      <c r="V64" s="13">
        <f t="shared" si="8"/>
        <v>0</v>
      </c>
      <c r="W64" s="49">
        <f t="shared" si="9"/>
        <v>200</v>
      </c>
      <c r="X64" s="50">
        <f t="shared" si="10"/>
        <v>1.7290000000000001</v>
      </c>
      <c r="Y64" s="238">
        <v>100</v>
      </c>
      <c r="Z64" s="101">
        <v>300</v>
      </c>
    </row>
    <row r="65" spans="1:26" ht="15.75" x14ac:dyDescent="0.25">
      <c r="A65" s="264">
        <v>61</v>
      </c>
      <c r="B65" s="259" t="s">
        <v>79</v>
      </c>
      <c r="C65" s="112">
        <v>90</v>
      </c>
      <c r="D65" s="112">
        <v>83</v>
      </c>
      <c r="E65" s="112">
        <v>2</v>
      </c>
      <c r="F65" s="114">
        <f t="shared" si="5"/>
        <v>1.494E-2</v>
      </c>
      <c r="G65" s="23">
        <f>'KASIM 4 HAFTA  '!W65</f>
        <v>187</v>
      </c>
      <c r="H65" s="116">
        <f t="shared" si="6"/>
        <v>2.7937799999999999</v>
      </c>
      <c r="I65" s="21">
        <v>0</v>
      </c>
      <c r="J65" s="11">
        <f t="shared" si="12"/>
        <v>0</v>
      </c>
      <c r="K65" s="21">
        <v>0</v>
      </c>
      <c r="L65" s="10">
        <f t="shared" si="1"/>
        <v>0</v>
      </c>
      <c r="M65" s="21">
        <v>0</v>
      </c>
      <c r="N65" s="11">
        <f t="shared" si="2"/>
        <v>0</v>
      </c>
      <c r="O65" s="21">
        <v>0</v>
      </c>
      <c r="P65" s="121">
        <f t="shared" si="7"/>
        <v>0</v>
      </c>
      <c r="Q65" s="21">
        <v>0</v>
      </c>
      <c r="R65" s="11">
        <f t="shared" si="13"/>
        <v>0</v>
      </c>
      <c r="S65" s="140">
        <f t="shared" si="11"/>
        <v>187</v>
      </c>
      <c r="T65" s="123">
        <f t="shared" si="4"/>
        <v>2.7937799999999999</v>
      </c>
      <c r="U65" s="138">
        <v>0</v>
      </c>
      <c r="V65" s="139">
        <f t="shared" si="8"/>
        <v>0</v>
      </c>
      <c r="W65" s="141">
        <f t="shared" si="9"/>
        <v>187</v>
      </c>
      <c r="X65" s="50">
        <f t="shared" si="10"/>
        <v>2.7937799999999999</v>
      </c>
      <c r="Y65" s="238">
        <v>100</v>
      </c>
      <c r="Z65" s="101">
        <v>300</v>
      </c>
    </row>
    <row r="66" spans="1:26" ht="15.75" x14ac:dyDescent="0.25">
      <c r="A66" s="264">
        <v>62</v>
      </c>
      <c r="B66" s="260" t="s">
        <v>80</v>
      </c>
      <c r="C66" s="113">
        <v>92</v>
      </c>
      <c r="D66" s="113">
        <v>82</v>
      </c>
      <c r="E66" s="113">
        <v>2</v>
      </c>
      <c r="F66" s="124">
        <f t="shared" si="5"/>
        <v>1.5088000000000001E-2</v>
      </c>
      <c r="G66" s="23">
        <f>'KASIM 4 HAFTA  '!W66</f>
        <v>204</v>
      </c>
      <c r="H66" s="125">
        <f t="shared" si="6"/>
        <v>3.0779520000000002</v>
      </c>
      <c r="I66" s="21">
        <v>0</v>
      </c>
      <c r="J66" s="11">
        <f t="shared" si="12"/>
        <v>0</v>
      </c>
      <c r="K66" s="21">
        <v>0</v>
      </c>
      <c r="L66" s="10">
        <f t="shared" si="1"/>
        <v>0</v>
      </c>
      <c r="M66" s="21">
        <v>0</v>
      </c>
      <c r="N66" s="11">
        <f t="shared" si="2"/>
        <v>0</v>
      </c>
      <c r="O66" s="21">
        <v>26</v>
      </c>
      <c r="P66" s="121">
        <f t="shared" si="7"/>
        <v>0.39228800000000003</v>
      </c>
      <c r="Q66" s="21">
        <v>0</v>
      </c>
      <c r="R66" s="11">
        <f t="shared" si="13"/>
        <v>0</v>
      </c>
      <c r="S66" s="140">
        <f t="shared" si="11"/>
        <v>178</v>
      </c>
      <c r="T66" s="123">
        <f t="shared" si="4"/>
        <v>2.6856640000000001</v>
      </c>
      <c r="U66" s="172">
        <v>0</v>
      </c>
      <c r="V66" s="139">
        <f t="shared" si="8"/>
        <v>0</v>
      </c>
      <c r="W66" s="141">
        <f t="shared" si="9"/>
        <v>178</v>
      </c>
      <c r="X66" s="107">
        <f t="shared" si="10"/>
        <v>2.6856640000000001</v>
      </c>
      <c r="Y66" s="238">
        <v>100</v>
      </c>
      <c r="Z66" s="101">
        <v>300</v>
      </c>
    </row>
    <row r="67" spans="1:26" x14ac:dyDescent="0.25">
      <c r="A67" s="264">
        <v>63</v>
      </c>
      <c r="B67" s="261" t="s">
        <v>82</v>
      </c>
      <c r="C67" s="35">
        <v>82</v>
      </c>
      <c r="D67" s="35">
        <v>80</v>
      </c>
      <c r="E67" s="35">
        <v>2</v>
      </c>
      <c r="F67" s="114">
        <f t="shared" si="5"/>
        <v>1.312E-2</v>
      </c>
      <c r="G67" s="23">
        <f>'KASIM 4 HAFTA  '!W67</f>
        <v>459</v>
      </c>
      <c r="H67" s="110">
        <f t="shared" si="6"/>
        <v>6.0220799999999999</v>
      </c>
      <c r="I67" s="21">
        <v>0</v>
      </c>
      <c r="J67" s="11">
        <f t="shared" si="12"/>
        <v>0</v>
      </c>
      <c r="K67" s="21">
        <v>0</v>
      </c>
      <c r="L67" s="10">
        <f t="shared" si="1"/>
        <v>0</v>
      </c>
      <c r="M67" s="21">
        <v>0</v>
      </c>
      <c r="N67" s="11">
        <f t="shared" si="2"/>
        <v>0</v>
      </c>
      <c r="O67" s="21">
        <v>0</v>
      </c>
      <c r="P67" s="10">
        <f t="shared" si="7"/>
        <v>0</v>
      </c>
      <c r="Q67" s="21">
        <v>0</v>
      </c>
      <c r="R67" s="11">
        <f t="shared" si="13"/>
        <v>0</v>
      </c>
      <c r="S67" s="97">
        <f t="shared" si="11"/>
        <v>459</v>
      </c>
      <c r="T67" s="87">
        <f t="shared" si="4"/>
        <v>6.0220799999999999</v>
      </c>
      <c r="U67" s="138"/>
      <c r="V67" s="139">
        <f t="shared" si="8"/>
        <v>0</v>
      </c>
      <c r="W67" s="141">
        <f t="shared" si="9"/>
        <v>459</v>
      </c>
      <c r="X67" s="107">
        <f t="shared" si="10"/>
        <v>6.0220799999999999</v>
      </c>
      <c r="Y67" s="238">
        <v>50</v>
      </c>
      <c r="Z67" s="101">
        <v>200</v>
      </c>
    </row>
    <row r="68" spans="1:26" x14ac:dyDescent="0.25">
      <c r="A68" s="264">
        <v>64</v>
      </c>
      <c r="B68" s="261" t="s">
        <v>83</v>
      </c>
      <c r="C68" s="35">
        <v>86</v>
      </c>
      <c r="D68" s="35">
        <v>77</v>
      </c>
      <c r="E68" s="35">
        <v>8</v>
      </c>
      <c r="F68" s="114">
        <f t="shared" si="5"/>
        <v>5.2976000000000002E-2</v>
      </c>
      <c r="G68" s="23">
        <f>'KASIM 4 HAFTA  '!W68</f>
        <v>46</v>
      </c>
      <c r="H68" s="110">
        <f t="shared" si="6"/>
        <v>2.436896</v>
      </c>
      <c r="I68" s="21">
        <v>24</v>
      </c>
      <c r="J68" s="11">
        <f t="shared" si="12"/>
        <v>1.2714240000000001</v>
      </c>
      <c r="K68" s="21">
        <v>0</v>
      </c>
      <c r="L68" s="10">
        <f t="shared" si="1"/>
        <v>0</v>
      </c>
      <c r="M68" s="21">
        <v>0</v>
      </c>
      <c r="N68" s="11">
        <f t="shared" si="2"/>
        <v>0</v>
      </c>
      <c r="O68" s="21">
        <v>0</v>
      </c>
      <c r="P68" s="10">
        <f t="shared" si="7"/>
        <v>0</v>
      </c>
      <c r="Q68" s="21">
        <v>0</v>
      </c>
      <c r="R68" s="11">
        <f t="shared" si="13"/>
        <v>0</v>
      </c>
      <c r="S68" s="97">
        <f t="shared" si="11"/>
        <v>22</v>
      </c>
      <c r="T68" s="87">
        <f t="shared" si="4"/>
        <v>1.1654720000000001</v>
      </c>
      <c r="U68" s="142">
        <v>43</v>
      </c>
      <c r="V68" s="139">
        <f t="shared" si="8"/>
        <v>2.277968</v>
      </c>
      <c r="W68" s="141">
        <f t="shared" si="9"/>
        <v>65</v>
      </c>
      <c r="X68" s="107">
        <f t="shared" si="10"/>
        <v>3.4434400000000003</v>
      </c>
      <c r="Y68" s="238">
        <v>50</v>
      </c>
      <c r="Z68" s="101">
        <v>200</v>
      </c>
    </row>
    <row r="69" spans="1:26" x14ac:dyDescent="0.25">
      <c r="A69" s="264">
        <v>65</v>
      </c>
      <c r="B69" s="261" t="s">
        <v>84</v>
      </c>
      <c r="C69" s="35">
        <v>76</v>
      </c>
      <c r="D69" s="35">
        <v>75</v>
      </c>
      <c r="E69" s="35">
        <v>8</v>
      </c>
      <c r="F69" s="114">
        <f t="shared" si="5"/>
        <v>4.5600000000000002E-2</v>
      </c>
      <c r="G69" s="23">
        <f>'KASIM 4 HAFTA  '!W69</f>
        <v>12</v>
      </c>
      <c r="H69" s="110">
        <f t="shared" si="6"/>
        <v>0.54720000000000002</v>
      </c>
      <c r="I69" s="21">
        <v>0</v>
      </c>
      <c r="J69" s="11">
        <f t="shared" ref="J69:J75" si="14">F69*I69</f>
        <v>0</v>
      </c>
      <c r="K69" s="21">
        <v>0</v>
      </c>
      <c r="L69" s="10">
        <f t="shared" ref="L69:L75" si="15">F69*K69</f>
        <v>0</v>
      </c>
      <c r="M69" s="21">
        <v>0</v>
      </c>
      <c r="N69" s="11">
        <f t="shared" ref="N69:N75" si="16">F69*M69</f>
        <v>0</v>
      </c>
      <c r="O69" s="21">
        <v>0</v>
      </c>
      <c r="P69" s="10">
        <f t="shared" si="7"/>
        <v>0</v>
      </c>
      <c r="Q69" s="21">
        <v>0</v>
      </c>
      <c r="R69" s="11">
        <f t="shared" ref="R69:R75" si="17">F69*Q69</f>
        <v>0</v>
      </c>
      <c r="S69" s="97">
        <f t="shared" si="11"/>
        <v>12</v>
      </c>
      <c r="T69" s="87">
        <f t="shared" ref="T69:T72" si="18">F69*S69</f>
        <v>0.54720000000000002</v>
      </c>
      <c r="U69" s="138"/>
      <c r="V69" s="139">
        <f t="shared" ref="V69:V70" si="19">R69*U69</f>
        <v>0</v>
      </c>
      <c r="W69" s="141">
        <f t="shared" si="9"/>
        <v>12</v>
      </c>
      <c r="X69" s="107">
        <f t="shared" si="10"/>
        <v>0.54720000000000002</v>
      </c>
      <c r="Y69" s="238">
        <v>5</v>
      </c>
      <c r="Z69" s="101">
        <v>10</v>
      </c>
    </row>
    <row r="70" spans="1:26" x14ac:dyDescent="0.25">
      <c r="A70" s="264">
        <v>66</v>
      </c>
      <c r="B70" s="261" t="s">
        <v>85</v>
      </c>
      <c r="C70" s="35">
        <v>140</v>
      </c>
      <c r="D70" s="35">
        <v>240</v>
      </c>
      <c r="E70" s="35">
        <v>12</v>
      </c>
      <c r="F70" s="114">
        <f t="shared" ref="F70:F72" si="20">(C70*D70*E70)/1000000</f>
        <v>0.4032</v>
      </c>
      <c r="G70" s="23">
        <f>'KASIM 4 HAFTA  '!W70</f>
        <v>4</v>
      </c>
      <c r="H70" s="110">
        <f t="shared" ref="H70:H72" si="21">F70*G70</f>
        <v>1.6128</v>
      </c>
      <c r="I70" s="21">
        <v>0</v>
      </c>
      <c r="J70" s="11">
        <f t="shared" si="14"/>
        <v>0</v>
      </c>
      <c r="K70" s="21">
        <v>0</v>
      </c>
      <c r="L70" s="10">
        <f t="shared" si="15"/>
        <v>0</v>
      </c>
      <c r="M70" s="21">
        <v>0</v>
      </c>
      <c r="N70" s="11">
        <f t="shared" si="16"/>
        <v>0</v>
      </c>
      <c r="O70" s="21">
        <v>0</v>
      </c>
      <c r="P70" s="10">
        <f t="shared" ref="P70:P72" si="22">F70*O70</f>
        <v>0</v>
      </c>
      <c r="Q70" s="21">
        <v>0</v>
      </c>
      <c r="R70" s="11">
        <f t="shared" si="17"/>
        <v>0</v>
      </c>
      <c r="S70" s="97">
        <f t="shared" si="11"/>
        <v>4</v>
      </c>
      <c r="T70" s="87">
        <f t="shared" si="18"/>
        <v>1.6128</v>
      </c>
      <c r="U70" s="138"/>
      <c r="V70" s="139">
        <f t="shared" si="19"/>
        <v>0</v>
      </c>
      <c r="W70" s="141">
        <f t="shared" ref="W70:W75" si="23">S70+U70</f>
        <v>4</v>
      </c>
      <c r="X70" s="107">
        <f t="shared" ref="X70:X72" si="24">F70*W70</f>
        <v>1.6128</v>
      </c>
      <c r="Y70" s="238">
        <v>20</v>
      </c>
      <c r="Z70" s="101">
        <v>50</v>
      </c>
    </row>
    <row r="71" spans="1:26" x14ac:dyDescent="0.25">
      <c r="A71" s="264">
        <v>67</v>
      </c>
      <c r="B71" s="261" t="s">
        <v>96</v>
      </c>
      <c r="C71" s="130">
        <v>140</v>
      </c>
      <c r="D71" s="130">
        <v>240</v>
      </c>
      <c r="E71" s="130">
        <v>2</v>
      </c>
      <c r="F71" s="131">
        <f t="shared" si="20"/>
        <v>6.7199999999999996E-2</v>
      </c>
      <c r="G71" s="23">
        <f>'KASIM 4 HAFTA  '!W71</f>
        <v>221</v>
      </c>
      <c r="H71" s="135">
        <f t="shared" si="21"/>
        <v>14.851199999999999</v>
      </c>
      <c r="I71" s="21">
        <v>0</v>
      </c>
      <c r="J71" s="11">
        <f t="shared" si="14"/>
        <v>0</v>
      </c>
      <c r="K71" s="21">
        <v>0</v>
      </c>
      <c r="L71" s="10">
        <f t="shared" si="15"/>
        <v>0</v>
      </c>
      <c r="M71" s="21">
        <v>0</v>
      </c>
      <c r="N71" s="11">
        <f t="shared" si="16"/>
        <v>0</v>
      </c>
      <c r="O71" s="21">
        <v>1</v>
      </c>
      <c r="P71" s="173">
        <f t="shared" si="22"/>
        <v>6.7199999999999996E-2</v>
      </c>
      <c r="Q71" s="21">
        <v>0</v>
      </c>
      <c r="R71" s="11">
        <f t="shared" si="17"/>
        <v>0</v>
      </c>
      <c r="S71" s="97">
        <f t="shared" ref="S71:S75" si="25">G71-I71-K71-M71-O71-Q71</f>
        <v>220</v>
      </c>
      <c r="T71" s="97">
        <f t="shared" si="18"/>
        <v>14.783999999999999</v>
      </c>
      <c r="U71" s="138">
        <v>2</v>
      </c>
      <c r="V71" s="139">
        <f t="shared" ref="V71:V72" si="26">F71*U71</f>
        <v>0.13439999999999999</v>
      </c>
      <c r="W71" s="141">
        <f t="shared" si="23"/>
        <v>222</v>
      </c>
      <c r="X71" s="141">
        <f t="shared" si="24"/>
        <v>14.918399999999998</v>
      </c>
      <c r="Y71" s="238">
        <v>30</v>
      </c>
      <c r="Z71" s="101">
        <v>100</v>
      </c>
    </row>
    <row r="72" spans="1:26" x14ac:dyDescent="0.25">
      <c r="A72" s="264">
        <v>68</v>
      </c>
      <c r="B72" s="262" t="s">
        <v>95</v>
      </c>
      <c r="C72" s="130">
        <v>61</v>
      </c>
      <c r="D72" s="130">
        <v>61</v>
      </c>
      <c r="E72" s="130">
        <v>3</v>
      </c>
      <c r="F72" s="131">
        <f t="shared" si="20"/>
        <v>1.1162999999999999E-2</v>
      </c>
      <c r="G72" s="23">
        <v>59</v>
      </c>
      <c r="H72" s="135">
        <f t="shared" si="21"/>
        <v>0.65861700000000001</v>
      </c>
      <c r="I72" s="21">
        <v>59</v>
      </c>
      <c r="J72" s="11">
        <f t="shared" si="14"/>
        <v>0.65861700000000001</v>
      </c>
      <c r="K72" s="21">
        <v>0</v>
      </c>
      <c r="L72" s="10">
        <f t="shared" si="15"/>
        <v>0</v>
      </c>
      <c r="M72" s="21">
        <v>0</v>
      </c>
      <c r="N72" s="11">
        <f t="shared" si="16"/>
        <v>0</v>
      </c>
      <c r="O72" s="21">
        <v>0</v>
      </c>
      <c r="P72" s="250">
        <f t="shared" si="22"/>
        <v>0</v>
      </c>
      <c r="Q72" s="21">
        <v>0</v>
      </c>
      <c r="R72" s="11">
        <f t="shared" si="17"/>
        <v>0</v>
      </c>
      <c r="S72" s="97">
        <f t="shared" si="25"/>
        <v>0</v>
      </c>
      <c r="T72" s="251">
        <f t="shared" si="18"/>
        <v>0</v>
      </c>
      <c r="U72" s="172">
        <v>0</v>
      </c>
      <c r="V72" s="252">
        <f t="shared" si="26"/>
        <v>0</v>
      </c>
      <c r="W72" s="253">
        <f t="shared" si="23"/>
        <v>0</v>
      </c>
      <c r="X72" s="253">
        <f t="shared" si="24"/>
        <v>0</v>
      </c>
      <c r="Y72" s="238">
        <v>0</v>
      </c>
      <c r="Z72" s="101">
        <v>0</v>
      </c>
    </row>
    <row r="73" spans="1:26" x14ac:dyDescent="0.25">
      <c r="A73" s="264">
        <v>69</v>
      </c>
      <c r="B73" s="108" t="s">
        <v>106</v>
      </c>
      <c r="C73" s="96"/>
      <c r="D73" s="96"/>
      <c r="E73" s="96"/>
      <c r="F73" s="109"/>
      <c r="G73" s="23">
        <f>'KASIM 4 HAFTA  '!W73</f>
        <v>20</v>
      </c>
      <c r="H73" s="110"/>
      <c r="I73" s="21">
        <v>0</v>
      </c>
      <c r="J73" s="11">
        <f t="shared" si="14"/>
        <v>0</v>
      </c>
      <c r="K73" s="21">
        <v>0</v>
      </c>
      <c r="L73" s="10">
        <f t="shared" si="15"/>
        <v>0</v>
      </c>
      <c r="M73" s="21">
        <v>0</v>
      </c>
      <c r="N73" s="11">
        <f t="shared" si="16"/>
        <v>0</v>
      </c>
      <c r="O73" s="21">
        <v>0</v>
      </c>
      <c r="P73" s="96"/>
      <c r="Q73" s="21">
        <v>0</v>
      </c>
      <c r="R73" s="11">
        <f t="shared" si="17"/>
        <v>0</v>
      </c>
      <c r="S73" s="97">
        <f t="shared" si="25"/>
        <v>20</v>
      </c>
      <c r="T73" s="97"/>
      <c r="U73" s="138"/>
      <c r="V73" s="138"/>
      <c r="W73" s="253">
        <f t="shared" si="23"/>
        <v>20</v>
      </c>
      <c r="X73" s="274"/>
      <c r="Y73" s="101">
        <v>0</v>
      </c>
      <c r="Z73" s="101">
        <v>0</v>
      </c>
    </row>
    <row r="74" spans="1:26" x14ac:dyDescent="0.25">
      <c r="A74" s="105">
        <v>70</v>
      </c>
      <c r="B74" s="270" t="s">
        <v>107</v>
      </c>
      <c r="C74" s="105"/>
      <c r="D74" s="105"/>
      <c r="E74" s="271"/>
      <c r="F74" s="125"/>
      <c r="G74" s="23">
        <f>'KASIM 4 HAFTA  '!W74</f>
        <v>20</v>
      </c>
      <c r="H74" s="105"/>
      <c r="I74" s="21">
        <v>0</v>
      </c>
      <c r="J74" s="11">
        <f t="shared" si="14"/>
        <v>0</v>
      </c>
      <c r="K74" s="21">
        <v>0</v>
      </c>
      <c r="L74" s="10">
        <f t="shared" si="15"/>
        <v>0</v>
      </c>
      <c r="M74" s="21">
        <v>0</v>
      </c>
      <c r="N74" s="11">
        <f t="shared" si="16"/>
        <v>0</v>
      </c>
      <c r="O74" s="21">
        <v>0</v>
      </c>
      <c r="P74" s="105"/>
      <c r="Q74" s="21">
        <v>0</v>
      </c>
      <c r="R74" s="11">
        <f t="shared" si="17"/>
        <v>0</v>
      </c>
      <c r="S74" s="97">
        <f t="shared" si="25"/>
        <v>20</v>
      </c>
      <c r="T74" s="272"/>
      <c r="U74" s="172"/>
      <c r="V74" s="172"/>
      <c r="W74" s="253">
        <f t="shared" si="23"/>
        <v>20</v>
      </c>
      <c r="X74" s="275"/>
      <c r="Y74" s="106"/>
      <c r="Z74" s="106"/>
    </row>
    <row r="75" spans="1:26" x14ac:dyDescent="0.25">
      <c r="A75" s="96">
        <v>71</v>
      </c>
      <c r="B75" s="265" t="s">
        <v>108</v>
      </c>
      <c r="C75" s="96"/>
      <c r="D75" s="96"/>
      <c r="E75" s="109"/>
      <c r="F75" s="110"/>
      <c r="G75" s="23">
        <f>'KASIM 4 HAFTA  '!W75</f>
        <v>13</v>
      </c>
      <c r="H75" s="96"/>
      <c r="I75" s="21">
        <v>2</v>
      </c>
      <c r="J75" s="11">
        <f t="shared" si="14"/>
        <v>0</v>
      </c>
      <c r="K75" s="21">
        <v>0</v>
      </c>
      <c r="L75" s="10">
        <f t="shared" si="15"/>
        <v>0</v>
      </c>
      <c r="M75" s="21">
        <v>0</v>
      </c>
      <c r="N75" s="11">
        <f t="shared" si="16"/>
        <v>0</v>
      </c>
      <c r="O75" s="21">
        <v>0</v>
      </c>
      <c r="P75" s="96"/>
      <c r="Q75" s="21">
        <v>0</v>
      </c>
      <c r="R75" s="11">
        <f t="shared" si="17"/>
        <v>0</v>
      </c>
      <c r="S75" s="97">
        <f t="shared" si="25"/>
        <v>11</v>
      </c>
      <c r="T75" s="273"/>
      <c r="U75" s="138">
        <v>34</v>
      </c>
      <c r="V75" s="138"/>
      <c r="W75" s="253">
        <f t="shared" si="23"/>
        <v>45</v>
      </c>
      <c r="X75" s="274"/>
      <c r="Y75" s="101"/>
      <c r="Z75" s="101"/>
    </row>
  </sheetData>
  <mergeCells count="24">
    <mergeCell ref="S4:T4"/>
    <mergeCell ref="U4:V4"/>
    <mergeCell ref="W4:X4"/>
    <mergeCell ref="G4:H4"/>
    <mergeCell ref="I4:J4"/>
    <mergeCell ref="K4:L4"/>
    <mergeCell ref="M4:N4"/>
    <mergeCell ref="O4:P4"/>
    <mergeCell ref="Q4:R4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C1:H1"/>
    <mergeCell ref="G2:H3"/>
    <mergeCell ref="I2:J2"/>
    <mergeCell ref="K2:L2"/>
    <mergeCell ref="M2:N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78"/>
  <sheetViews>
    <sheetView topLeftCell="A4" workbookViewId="0">
      <selection activeCell="C2" sqref="C2"/>
    </sheetView>
  </sheetViews>
  <sheetFormatPr defaultRowHeight="15" x14ac:dyDescent="0.25"/>
  <cols>
    <col min="1" max="1" width="6.42578125" customWidth="1"/>
    <col min="2" max="2" width="22.42578125" style="3" customWidth="1"/>
    <col min="3" max="3" width="0.140625" style="2" customWidth="1"/>
    <col min="4" max="4" width="16.7109375" style="2" hidden="1" customWidth="1"/>
    <col min="5" max="5" width="14.5703125" style="2" hidden="1" customWidth="1"/>
    <col min="6" max="6" width="12.7109375" style="4" hidden="1" customWidth="1"/>
    <col min="7" max="8" width="9" style="5" customWidth="1"/>
    <col min="9" max="20" width="8.140625" style="2" customWidth="1"/>
    <col min="25" max="25" width="10.28515625" customWidth="1"/>
  </cols>
  <sheetData>
    <row r="1" spans="1:26" ht="15.75" thickBot="1" x14ac:dyDescent="0.3">
      <c r="B1" s="4" t="s">
        <v>18</v>
      </c>
      <c r="C1" s="320" t="s">
        <v>117</v>
      </c>
      <c r="D1" s="320"/>
      <c r="E1" s="320"/>
      <c r="F1" s="320"/>
      <c r="G1" s="320"/>
      <c r="H1" s="320"/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44900</v>
      </c>
      <c r="J2" s="326"/>
      <c r="K2" s="327">
        <v>44901</v>
      </c>
      <c r="L2" s="328"/>
      <c r="M2" s="325">
        <v>44902</v>
      </c>
      <c r="N2" s="329"/>
      <c r="O2" s="327">
        <v>44903</v>
      </c>
      <c r="P2" s="346"/>
      <c r="Q2" s="325">
        <v>44904</v>
      </c>
      <c r="R2" s="329"/>
      <c r="S2" s="330" t="s">
        <v>69</v>
      </c>
      <c r="T2" s="331"/>
      <c r="U2" s="334" t="s">
        <v>70</v>
      </c>
      <c r="V2" s="335"/>
      <c r="W2" s="338" t="s">
        <v>71</v>
      </c>
      <c r="X2" s="339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40"/>
      <c r="X3" s="341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51" t="s">
        <v>63</v>
      </c>
      <c r="X4" s="352"/>
      <c r="Y4" s="268" t="s">
        <v>99</v>
      </c>
      <c r="Z4" s="269" t="s">
        <v>100</v>
      </c>
    </row>
    <row r="5" spans="1:26" x14ac:dyDescent="0.25">
      <c r="A5" s="263">
        <v>1</v>
      </c>
      <c r="B5" s="256" t="s">
        <v>2</v>
      </c>
      <c r="C5" s="32">
        <v>140</v>
      </c>
      <c r="D5" s="33">
        <v>240</v>
      </c>
      <c r="E5" s="33">
        <v>1</v>
      </c>
      <c r="F5" s="15">
        <f>(C5*D5*E5)/1000000</f>
        <v>3.3599999999999998E-2</v>
      </c>
      <c r="G5" s="23">
        <f>'KASIM 5 HAFTA  '!W5</f>
        <v>210</v>
      </c>
      <c r="H5" s="24">
        <f>F5*G5</f>
        <v>7.0559999999999992</v>
      </c>
      <c r="I5" s="21">
        <v>86</v>
      </c>
      <c r="J5" s="205">
        <f t="shared" ref="J5:J68" si="0">F5*I5</f>
        <v>2.8895999999999997</v>
      </c>
      <c r="K5" s="21">
        <v>96</v>
      </c>
      <c r="L5" s="10">
        <f t="shared" ref="L5:L68" si="1">F5*K5</f>
        <v>3.2256</v>
      </c>
      <c r="M5" s="21">
        <v>46</v>
      </c>
      <c r="N5" s="205">
        <f t="shared" ref="N5:N68" si="2">F5*M5</f>
        <v>1.5455999999999999</v>
      </c>
      <c r="O5" s="21">
        <v>45</v>
      </c>
      <c r="P5" s="10">
        <f>F5*O5</f>
        <v>1.512</v>
      </c>
      <c r="Q5" s="21">
        <v>21</v>
      </c>
      <c r="R5" s="205">
        <f t="shared" ref="R5:R68" si="3">F5*Q5</f>
        <v>0.7056</v>
      </c>
      <c r="S5" s="39">
        <f>G5-I5-K5-M5-O5-Q5</f>
        <v>-84</v>
      </c>
      <c r="T5" s="38">
        <f t="shared" ref="T5:T68" si="4">F5*S5</f>
        <v>-2.8224</v>
      </c>
      <c r="U5" s="21">
        <v>90</v>
      </c>
      <c r="V5" s="13">
        <f>F5*U5</f>
        <v>3.024</v>
      </c>
      <c r="W5" s="49">
        <f>S5+U5</f>
        <v>6</v>
      </c>
      <c r="X5" s="50">
        <f>F5*W5</f>
        <v>0.2016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3</v>
      </c>
      <c r="C6" s="34">
        <v>140</v>
      </c>
      <c r="D6" s="35">
        <v>240</v>
      </c>
      <c r="E6" s="35">
        <v>0.8</v>
      </c>
      <c r="F6" s="19">
        <f t="shared" ref="F6:F69" si="5">(C6*D6*E6)/1000000</f>
        <v>2.6880000000000001E-2</v>
      </c>
      <c r="G6" s="23">
        <f>'KASIM 5 HAFTA  '!W6</f>
        <v>79</v>
      </c>
      <c r="H6" s="26">
        <f t="shared" ref="H6:H69" si="6">F6*G6</f>
        <v>2.1235200000000001</v>
      </c>
      <c r="I6" s="21">
        <v>14</v>
      </c>
      <c r="J6" s="205">
        <f t="shared" si="0"/>
        <v>0.37631999999999999</v>
      </c>
      <c r="K6" s="21">
        <v>0</v>
      </c>
      <c r="L6" s="10">
        <f t="shared" si="1"/>
        <v>0</v>
      </c>
      <c r="M6" s="21">
        <v>6</v>
      </c>
      <c r="N6" s="205">
        <f t="shared" si="2"/>
        <v>0.16128000000000001</v>
      </c>
      <c r="O6" s="21">
        <v>3</v>
      </c>
      <c r="P6" s="10">
        <f t="shared" ref="P6:P69" si="7">F6*O6</f>
        <v>8.0640000000000003E-2</v>
      </c>
      <c r="Q6" s="21">
        <v>17</v>
      </c>
      <c r="R6" s="205">
        <f t="shared" si="3"/>
        <v>0.45696000000000003</v>
      </c>
      <c r="S6" s="39">
        <f>G6-I6-K6-M6-O6-Q6</f>
        <v>39</v>
      </c>
      <c r="T6" s="38">
        <f t="shared" si="4"/>
        <v>1.0483200000000001</v>
      </c>
      <c r="U6" s="21">
        <v>0</v>
      </c>
      <c r="V6" s="13">
        <f t="shared" ref="V6:V68" si="8">F6*U6</f>
        <v>0</v>
      </c>
      <c r="W6" s="49">
        <f t="shared" ref="W6:W69" si="9">S6+U6</f>
        <v>39</v>
      </c>
      <c r="X6" s="50">
        <f t="shared" ref="X6:X69" si="10">F6*W6</f>
        <v>1.0483200000000001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4</v>
      </c>
      <c r="C7" s="34">
        <v>140</v>
      </c>
      <c r="D7" s="35">
        <v>240</v>
      </c>
      <c r="E7" s="35">
        <v>1.4</v>
      </c>
      <c r="F7" s="19">
        <f t="shared" si="5"/>
        <v>4.7039999999999998E-2</v>
      </c>
      <c r="G7" s="23">
        <f>'KASIM 5 HAFTA  '!W7</f>
        <v>124</v>
      </c>
      <c r="H7" s="26">
        <f t="shared" si="6"/>
        <v>5.8329599999999999</v>
      </c>
      <c r="I7" s="21">
        <v>109</v>
      </c>
      <c r="J7" s="205">
        <f t="shared" si="0"/>
        <v>5.1273599999999995</v>
      </c>
      <c r="K7" s="21">
        <v>12</v>
      </c>
      <c r="L7" s="10">
        <f t="shared" si="1"/>
        <v>0.56447999999999998</v>
      </c>
      <c r="M7" s="21">
        <v>0</v>
      </c>
      <c r="N7" s="205">
        <f t="shared" si="2"/>
        <v>0</v>
      </c>
      <c r="O7" s="21">
        <v>7</v>
      </c>
      <c r="P7" s="10">
        <f t="shared" si="7"/>
        <v>0.32928000000000002</v>
      </c>
      <c r="Q7" s="21">
        <v>1</v>
      </c>
      <c r="R7" s="205">
        <f t="shared" si="3"/>
        <v>4.7039999999999998E-2</v>
      </c>
      <c r="S7" s="39">
        <f t="shared" ref="S7:S70" si="11">G7-I7-K7-M7-O7-Q7</f>
        <v>-5</v>
      </c>
      <c r="T7" s="38">
        <f t="shared" si="4"/>
        <v>-0.23519999999999999</v>
      </c>
      <c r="U7" s="21">
        <v>105</v>
      </c>
      <c r="V7" s="13">
        <f t="shared" si="8"/>
        <v>4.9391999999999996</v>
      </c>
      <c r="W7" s="49">
        <f t="shared" si="9"/>
        <v>100</v>
      </c>
      <c r="X7" s="50">
        <f t="shared" si="10"/>
        <v>4.7039999999999997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114</v>
      </c>
      <c r="C8" s="34">
        <v>140</v>
      </c>
      <c r="D8" s="35">
        <v>240</v>
      </c>
      <c r="E8" s="35">
        <v>4</v>
      </c>
      <c r="F8" s="19">
        <f t="shared" si="5"/>
        <v>0.13439999999999999</v>
      </c>
      <c r="G8" s="23">
        <f>'KASIM 5 HAFTA  '!W8</f>
        <v>0</v>
      </c>
      <c r="H8" s="26">
        <f t="shared" si="6"/>
        <v>0</v>
      </c>
      <c r="I8" s="21">
        <v>0</v>
      </c>
      <c r="J8" s="205">
        <f t="shared" si="0"/>
        <v>0</v>
      </c>
      <c r="K8" s="21">
        <v>0</v>
      </c>
      <c r="L8" s="10">
        <f t="shared" si="1"/>
        <v>0</v>
      </c>
      <c r="M8" s="21">
        <v>0</v>
      </c>
      <c r="N8" s="205">
        <f t="shared" si="2"/>
        <v>0</v>
      </c>
      <c r="O8" s="21">
        <v>0</v>
      </c>
      <c r="P8" s="10">
        <f t="shared" si="7"/>
        <v>0</v>
      </c>
      <c r="Q8" s="21">
        <v>6</v>
      </c>
      <c r="R8" s="205">
        <f t="shared" si="3"/>
        <v>0.80640000000000001</v>
      </c>
      <c r="S8" s="39">
        <f t="shared" si="11"/>
        <v>-6</v>
      </c>
      <c r="T8" s="38">
        <f t="shared" si="4"/>
        <v>-0.80640000000000001</v>
      </c>
      <c r="U8" s="21">
        <v>30</v>
      </c>
      <c r="V8" s="13">
        <f t="shared" si="8"/>
        <v>4.032</v>
      </c>
      <c r="W8" s="49">
        <f t="shared" si="9"/>
        <v>24</v>
      </c>
      <c r="X8" s="50">
        <f t="shared" si="10"/>
        <v>3.2256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6</v>
      </c>
      <c r="C9" s="34">
        <v>140</v>
      </c>
      <c r="D9" s="35">
        <v>240</v>
      </c>
      <c r="E9" s="35">
        <v>2</v>
      </c>
      <c r="F9" s="19">
        <f t="shared" si="5"/>
        <v>6.7199999999999996E-2</v>
      </c>
      <c r="G9" s="23">
        <f>'KASIM 5 HAFTA  '!W9</f>
        <v>73</v>
      </c>
      <c r="H9" s="26">
        <f t="shared" si="6"/>
        <v>4.9055999999999997</v>
      </c>
      <c r="I9" s="21">
        <v>1</v>
      </c>
      <c r="J9" s="205">
        <f t="shared" si="0"/>
        <v>6.7199999999999996E-2</v>
      </c>
      <c r="K9" s="21">
        <v>0</v>
      </c>
      <c r="L9" s="10">
        <f t="shared" si="1"/>
        <v>0</v>
      </c>
      <c r="M9" s="21">
        <v>0</v>
      </c>
      <c r="N9" s="205">
        <f t="shared" si="2"/>
        <v>0</v>
      </c>
      <c r="O9" s="21">
        <v>28</v>
      </c>
      <c r="P9" s="10">
        <f t="shared" si="7"/>
        <v>1.8815999999999999</v>
      </c>
      <c r="Q9" s="21">
        <v>0</v>
      </c>
      <c r="R9" s="205">
        <f t="shared" si="3"/>
        <v>0</v>
      </c>
      <c r="S9" s="39">
        <f t="shared" si="11"/>
        <v>44</v>
      </c>
      <c r="T9" s="38">
        <f t="shared" si="4"/>
        <v>2.9567999999999999</v>
      </c>
      <c r="U9" s="21">
        <v>0</v>
      </c>
      <c r="V9" s="13">
        <f t="shared" si="8"/>
        <v>0</v>
      </c>
      <c r="W9" s="49">
        <f t="shared" si="9"/>
        <v>44</v>
      </c>
      <c r="X9" s="50">
        <f t="shared" si="10"/>
        <v>2.9567999999999999</v>
      </c>
      <c r="Y9" s="238">
        <v>50</v>
      </c>
      <c r="Z9" s="101">
        <v>150</v>
      </c>
    </row>
    <row r="10" spans="1:26" x14ac:dyDescent="0.25">
      <c r="A10" s="264">
        <v>6</v>
      </c>
      <c r="B10" s="256" t="s">
        <v>7</v>
      </c>
      <c r="C10" s="34">
        <v>140</v>
      </c>
      <c r="D10" s="35">
        <v>240</v>
      </c>
      <c r="E10" s="35">
        <v>2</v>
      </c>
      <c r="F10" s="19">
        <f t="shared" si="5"/>
        <v>6.7199999999999996E-2</v>
      </c>
      <c r="G10" s="23">
        <f>'KASIM 5 HAFTA  '!W10</f>
        <v>13</v>
      </c>
      <c r="H10" s="26">
        <f t="shared" si="6"/>
        <v>0.87359999999999993</v>
      </c>
      <c r="I10" s="21">
        <v>13</v>
      </c>
      <c r="J10" s="205">
        <f t="shared" si="0"/>
        <v>0.87359999999999993</v>
      </c>
      <c r="K10" s="21">
        <v>27</v>
      </c>
      <c r="L10" s="10">
        <f t="shared" si="1"/>
        <v>1.8143999999999998</v>
      </c>
      <c r="M10" s="21">
        <v>27</v>
      </c>
      <c r="N10" s="205">
        <f t="shared" si="2"/>
        <v>1.8143999999999998</v>
      </c>
      <c r="O10" s="21">
        <v>0</v>
      </c>
      <c r="P10" s="10">
        <f t="shared" si="7"/>
        <v>0</v>
      </c>
      <c r="Q10" s="21">
        <v>0</v>
      </c>
      <c r="R10" s="205">
        <f t="shared" si="3"/>
        <v>0</v>
      </c>
      <c r="S10" s="39">
        <f t="shared" si="11"/>
        <v>-54</v>
      </c>
      <c r="T10" s="38">
        <f t="shared" si="4"/>
        <v>-3.6287999999999996</v>
      </c>
      <c r="U10" s="21">
        <v>107</v>
      </c>
      <c r="V10" s="13">
        <f t="shared" si="8"/>
        <v>7.1903999999999995</v>
      </c>
      <c r="W10" s="49">
        <f t="shared" si="9"/>
        <v>53</v>
      </c>
      <c r="X10" s="50">
        <f t="shared" si="10"/>
        <v>3.5615999999999999</v>
      </c>
      <c r="Y10" s="238">
        <v>75</v>
      </c>
      <c r="Z10" s="101">
        <v>300</v>
      </c>
    </row>
    <row r="11" spans="1:26" x14ac:dyDescent="0.25">
      <c r="A11" s="264">
        <v>7</v>
      </c>
      <c r="B11" s="256" t="s">
        <v>8</v>
      </c>
      <c r="C11" s="34">
        <v>140</v>
      </c>
      <c r="D11" s="35">
        <v>240</v>
      </c>
      <c r="E11" s="35">
        <v>7</v>
      </c>
      <c r="F11" s="19">
        <f t="shared" si="5"/>
        <v>0.23519999999999999</v>
      </c>
      <c r="G11" s="23">
        <f>'KASIM 5 HAFTA  '!W11</f>
        <v>58</v>
      </c>
      <c r="H11" s="26">
        <f t="shared" si="6"/>
        <v>13.6416</v>
      </c>
      <c r="I11" s="21">
        <v>0</v>
      </c>
      <c r="J11" s="205">
        <f t="shared" si="0"/>
        <v>0</v>
      </c>
      <c r="K11" s="21">
        <v>0</v>
      </c>
      <c r="L11" s="10">
        <f t="shared" si="1"/>
        <v>0</v>
      </c>
      <c r="M11" s="21">
        <v>0</v>
      </c>
      <c r="N11" s="205">
        <f t="shared" si="2"/>
        <v>0</v>
      </c>
      <c r="O11" s="21">
        <v>6</v>
      </c>
      <c r="P11" s="10">
        <f t="shared" si="7"/>
        <v>1.4112</v>
      </c>
      <c r="Q11" s="21">
        <v>2</v>
      </c>
      <c r="R11" s="205">
        <f t="shared" si="3"/>
        <v>0.47039999999999998</v>
      </c>
      <c r="S11" s="39">
        <f t="shared" si="11"/>
        <v>50</v>
      </c>
      <c r="T11" s="38">
        <f t="shared" si="4"/>
        <v>11.76</v>
      </c>
      <c r="U11" s="21">
        <v>0</v>
      </c>
      <c r="V11" s="13">
        <f t="shared" si="8"/>
        <v>0</v>
      </c>
      <c r="W11" s="49">
        <f t="shared" si="9"/>
        <v>50</v>
      </c>
      <c r="X11" s="50">
        <f t="shared" si="10"/>
        <v>11.76</v>
      </c>
      <c r="Y11" s="238">
        <v>20</v>
      </c>
      <c r="Z11" s="101">
        <v>50</v>
      </c>
    </row>
    <row r="12" spans="1:26" x14ac:dyDescent="0.25">
      <c r="A12" s="264">
        <v>8</v>
      </c>
      <c r="B12" s="256" t="s">
        <v>9</v>
      </c>
      <c r="C12" s="34">
        <v>140</v>
      </c>
      <c r="D12" s="35">
        <v>240</v>
      </c>
      <c r="E12" s="35">
        <v>5</v>
      </c>
      <c r="F12" s="19">
        <f t="shared" si="5"/>
        <v>0.16800000000000001</v>
      </c>
      <c r="G12" s="23">
        <f>'KASIM 5 HAFTA  '!W12</f>
        <v>291</v>
      </c>
      <c r="H12" s="26">
        <f t="shared" si="6"/>
        <v>48.888000000000005</v>
      </c>
      <c r="I12" s="21">
        <v>8</v>
      </c>
      <c r="J12" s="205">
        <f t="shared" si="0"/>
        <v>1.3440000000000001</v>
      </c>
      <c r="K12" s="21">
        <v>1</v>
      </c>
      <c r="L12" s="10">
        <f t="shared" si="1"/>
        <v>0.16800000000000001</v>
      </c>
      <c r="M12" s="21">
        <v>0</v>
      </c>
      <c r="N12" s="205">
        <f t="shared" si="2"/>
        <v>0</v>
      </c>
      <c r="O12" s="21">
        <v>0</v>
      </c>
      <c r="P12" s="10">
        <f t="shared" si="7"/>
        <v>0</v>
      </c>
      <c r="Q12" s="21">
        <v>0</v>
      </c>
      <c r="R12" s="205">
        <f t="shared" si="3"/>
        <v>0</v>
      </c>
      <c r="S12" s="39">
        <f t="shared" si="11"/>
        <v>282</v>
      </c>
      <c r="T12" s="38">
        <f t="shared" si="4"/>
        <v>47.376000000000005</v>
      </c>
      <c r="U12" s="21">
        <v>0</v>
      </c>
      <c r="V12" s="13">
        <f t="shared" si="8"/>
        <v>0</v>
      </c>
      <c r="W12" s="49">
        <f t="shared" si="9"/>
        <v>282</v>
      </c>
      <c r="X12" s="50">
        <f t="shared" si="10"/>
        <v>47.376000000000005</v>
      </c>
      <c r="Y12" s="238">
        <v>30</v>
      </c>
      <c r="Z12" s="101">
        <v>100</v>
      </c>
    </row>
    <row r="13" spans="1:26" x14ac:dyDescent="0.25">
      <c r="A13" s="264">
        <v>9</v>
      </c>
      <c r="B13" s="256" t="s">
        <v>10</v>
      </c>
      <c r="C13" s="34">
        <v>140</v>
      </c>
      <c r="D13" s="35">
        <v>240</v>
      </c>
      <c r="E13" s="35">
        <v>5</v>
      </c>
      <c r="F13" s="19">
        <f t="shared" si="5"/>
        <v>0.16800000000000001</v>
      </c>
      <c r="G13" s="23">
        <f>'KASIM 5 HAFTA  '!W13</f>
        <v>19</v>
      </c>
      <c r="H13" s="26">
        <f t="shared" si="6"/>
        <v>3.1920000000000002</v>
      </c>
      <c r="I13" s="21">
        <v>0</v>
      </c>
      <c r="J13" s="205">
        <f t="shared" si="0"/>
        <v>0</v>
      </c>
      <c r="K13" s="21">
        <v>0</v>
      </c>
      <c r="L13" s="10">
        <f t="shared" si="1"/>
        <v>0</v>
      </c>
      <c r="M13" s="21">
        <v>0</v>
      </c>
      <c r="N13" s="205">
        <f t="shared" si="2"/>
        <v>0</v>
      </c>
      <c r="O13" s="21">
        <v>3</v>
      </c>
      <c r="P13" s="10">
        <f t="shared" si="7"/>
        <v>0.504</v>
      </c>
      <c r="Q13" s="21">
        <v>1</v>
      </c>
      <c r="R13" s="205">
        <f t="shared" si="3"/>
        <v>0.16800000000000001</v>
      </c>
      <c r="S13" s="39">
        <f t="shared" si="11"/>
        <v>15</v>
      </c>
      <c r="T13" s="38">
        <f t="shared" si="4"/>
        <v>2.52</v>
      </c>
      <c r="U13" s="21">
        <v>41</v>
      </c>
      <c r="V13" s="13">
        <f t="shared" si="8"/>
        <v>6.8880000000000008</v>
      </c>
      <c r="W13" s="49">
        <f t="shared" si="9"/>
        <v>56</v>
      </c>
      <c r="X13" s="50">
        <f t="shared" si="10"/>
        <v>9.4080000000000013</v>
      </c>
      <c r="Y13" s="238">
        <v>20</v>
      </c>
      <c r="Z13" s="101">
        <v>50</v>
      </c>
    </row>
    <row r="14" spans="1:26" x14ac:dyDescent="0.25">
      <c r="A14" s="264">
        <v>10</v>
      </c>
      <c r="B14" s="256" t="s">
        <v>11</v>
      </c>
      <c r="C14" s="34">
        <v>140</v>
      </c>
      <c r="D14" s="35">
        <v>240</v>
      </c>
      <c r="E14" s="35">
        <v>5</v>
      </c>
      <c r="F14" s="19">
        <f t="shared" si="5"/>
        <v>0.16800000000000001</v>
      </c>
      <c r="G14" s="23">
        <f>'KASIM 5 HAFTA  '!W14</f>
        <v>149</v>
      </c>
      <c r="H14" s="26">
        <f t="shared" si="6"/>
        <v>25.032</v>
      </c>
      <c r="I14" s="21">
        <v>5</v>
      </c>
      <c r="J14" s="205">
        <f t="shared" si="0"/>
        <v>0.84000000000000008</v>
      </c>
      <c r="K14" s="21">
        <v>1</v>
      </c>
      <c r="L14" s="10">
        <f t="shared" si="1"/>
        <v>0.16800000000000001</v>
      </c>
      <c r="M14" s="21">
        <v>1</v>
      </c>
      <c r="N14" s="205">
        <f t="shared" si="2"/>
        <v>0.16800000000000001</v>
      </c>
      <c r="O14" s="21">
        <v>2</v>
      </c>
      <c r="P14" s="10">
        <f t="shared" si="7"/>
        <v>0.33600000000000002</v>
      </c>
      <c r="Q14" s="21">
        <v>2</v>
      </c>
      <c r="R14" s="205">
        <f t="shared" si="3"/>
        <v>0.33600000000000002</v>
      </c>
      <c r="S14" s="39">
        <f t="shared" si="11"/>
        <v>138</v>
      </c>
      <c r="T14" s="38">
        <f t="shared" si="4"/>
        <v>23.184000000000001</v>
      </c>
      <c r="U14" s="21">
        <v>122</v>
      </c>
      <c r="V14" s="13">
        <f t="shared" si="8"/>
        <v>20.496000000000002</v>
      </c>
      <c r="W14" s="49">
        <f t="shared" si="9"/>
        <v>260</v>
      </c>
      <c r="X14" s="50">
        <f t="shared" si="10"/>
        <v>43.68</v>
      </c>
      <c r="Y14" s="238">
        <v>30</v>
      </c>
      <c r="Z14" s="101">
        <v>100</v>
      </c>
    </row>
    <row r="15" spans="1:26" x14ac:dyDescent="0.25">
      <c r="A15" s="264">
        <v>11</v>
      </c>
      <c r="B15" s="256" t="s">
        <v>12</v>
      </c>
      <c r="C15" s="34">
        <v>140</v>
      </c>
      <c r="D15" s="35">
        <v>240</v>
      </c>
      <c r="E15" s="35">
        <v>10</v>
      </c>
      <c r="F15" s="19">
        <f t="shared" si="5"/>
        <v>0.33600000000000002</v>
      </c>
      <c r="G15" s="23">
        <v>1</v>
      </c>
      <c r="H15" s="26">
        <f t="shared" si="6"/>
        <v>0.33600000000000002</v>
      </c>
      <c r="I15" s="21">
        <v>0</v>
      </c>
      <c r="J15" s="205">
        <f t="shared" si="0"/>
        <v>0</v>
      </c>
      <c r="K15" s="21">
        <v>6</v>
      </c>
      <c r="L15" s="10">
        <f t="shared" si="1"/>
        <v>2.016</v>
      </c>
      <c r="M15" s="21">
        <v>0</v>
      </c>
      <c r="N15" s="205">
        <f t="shared" si="2"/>
        <v>0</v>
      </c>
      <c r="O15" s="21">
        <v>0</v>
      </c>
      <c r="P15" s="10">
        <f t="shared" si="7"/>
        <v>0</v>
      </c>
      <c r="Q15" s="21">
        <v>0</v>
      </c>
      <c r="R15" s="205">
        <f t="shared" si="3"/>
        <v>0</v>
      </c>
      <c r="S15" s="39">
        <f t="shared" si="11"/>
        <v>-5</v>
      </c>
      <c r="T15" s="38">
        <f t="shared" si="4"/>
        <v>-1.6800000000000002</v>
      </c>
      <c r="U15" s="21">
        <v>10</v>
      </c>
      <c r="V15" s="13">
        <f t="shared" si="8"/>
        <v>3.3600000000000003</v>
      </c>
      <c r="W15" s="49">
        <f t="shared" si="9"/>
        <v>5</v>
      </c>
      <c r="X15" s="50">
        <f t="shared" si="10"/>
        <v>1.6800000000000002</v>
      </c>
      <c r="Y15" s="238">
        <v>20</v>
      </c>
      <c r="Z15" s="101">
        <v>70</v>
      </c>
    </row>
    <row r="16" spans="1:26" x14ac:dyDescent="0.25">
      <c r="A16" s="264">
        <v>12</v>
      </c>
      <c r="B16" s="256" t="s">
        <v>13</v>
      </c>
      <c r="C16" s="34">
        <v>140</v>
      </c>
      <c r="D16" s="35">
        <v>240</v>
      </c>
      <c r="E16" s="35">
        <v>3</v>
      </c>
      <c r="F16" s="19">
        <f t="shared" si="5"/>
        <v>0.1008</v>
      </c>
      <c r="G16" s="23">
        <f>'KASIM 5 HAFTA  '!W16</f>
        <v>44</v>
      </c>
      <c r="H16" s="26">
        <f t="shared" si="6"/>
        <v>4.4352</v>
      </c>
      <c r="I16" s="21">
        <v>0</v>
      </c>
      <c r="J16" s="205">
        <f t="shared" si="0"/>
        <v>0</v>
      </c>
      <c r="K16" s="21">
        <v>0</v>
      </c>
      <c r="L16" s="10">
        <f t="shared" si="1"/>
        <v>0</v>
      </c>
      <c r="M16" s="21">
        <v>8</v>
      </c>
      <c r="N16" s="205">
        <f t="shared" si="2"/>
        <v>0.80640000000000001</v>
      </c>
      <c r="O16" s="21">
        <v>25</v>
      </c>
      <c r="P16" s="10">
        <f t="shared" si="7"/>
        <v>2.52</v>
      </c>
      <c r="Q16" s="21">
        <v>1</v>
      </c>
      <c r="R16" s="205">
        <f t="shared" si="3"/>
        <v>0.1008</v>
      </c>
      <c r="S16" s="39">
        <f t="shared" si="11"/>
        <v>10</v>
      </c>
      <c r="T16" s="38">
        <f t="shared" si="4"/>
        <v>1.008</v>
      </c>
      <c r="U16" s="21">
        <v>0</v>
      </c>
      <c r="V16" s="13">
        <f t="shared" si="8"/>
        <v>0</v>
      </c>
      <c r="W16" s="49">
        <f t="shared" si="9"/>
        <v>10</v>
      </c>
      <c r="X16" s="50">
        <f t="shared" si="10"/>
        <v>1.008</v>
      </c>
      <c r="Y16" s="238">
        <v>50</v>
      </c>
      <c r="Z16" s="101">
        <v>150</v>
      </c>
    </row>
    <row r="17" spans="1:26" x14ac:dyDescent="0.25">
      <c r="A17" s="264">
        <v>13</v>
      </c>
      <c r="B17" s="256" t="s">
        <v>14</v>
      </c>
      <c r="C17" s="34">
        <v>140</v>
      </c>
      <c r="D17" s="35">
        <v>240</v>
      </c>
      <c r="E17" s="35">
        <v>5</v>
      </c>
      <c r="F17" s="19">
        <f t="shared" si="5"/>
        <v>0.16800000000000001</v>
      </c>
      <c r="G17" s="23">
        <f>'KASIM 5 HAFTA  '!W17</f>
        <v>82</v>
      </c>
      <c r="H17" s="26">
        <f t="shared" si="6"/>
        <v>13.776000000000002</v>
      </c>
      <c r="I17" s="21">
        <v>0</v>
      </c>
      <c r="J17" s="205">
        <f t="shared" si="0"/>
        <v>0</v>
      </c>
      <c r="K17" s="21">
        <v>0</v>
      </c>
      <c r="L17" s="10">
        <f t="shared" si="1"/>
        <v>0</v>
      </c>
      <c r="M17" s="21">
        <v>0</v>
      </c>
      <c r="N17" s="205">
        <f t="shared" si="2"/>
        <v>0</v>
      </c>
      <c r="O17" s="21">
        <v>0</v>
      </c>
      <c r="P17" s="10">
        <f t="shared" si="7"/>
        <v>0</v>
      </c>
      <c r="Q17" s="21">
        <v>0</v>
      </c>
      <c r="R17" s="205">
        <f t="shared" si="3"/>
        <v>0</v>
      </c>
      <c r="S17" s="39">
        <f t="shared" si="11"/>
        <v>82</v>
      </c>
      <c r="T17" s="38">
        <f t="shared" si="4"/>
        <v>13.776000000000002</v>
      </c>
      <c r="U17" s="21">
        <v>0</v>
      </c>
      <c r="V17" s="13">
        <f t="shared" si="8"/>
        <v>0</v>
      </c>
      <c r="W17" s="49">
        <f t="shared" si="9"/>
        <v>82</v>
      </c>
      <c r="X17" s="50">
        <f t="shared" si="10"/>
        <v>13.776000000000002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15</v>
      </c>
      <c r="C18" s="34">
        <v>140</v>
      </c>
      <c r="D18" s="35">
        <v>240</v>
      </c>
      <c r="E18" s="35">
        <v>3</v>
      </c>
      <c r="F18" s="19">
        <f t="shared" si="5"/>
        <v>0.1008</v>
      </c>
      <c r="G18" s="23">
        <f>'KASIM 5 HAFTA  '!W18</f>
        <v>0</v>
      </c>
      <c r="H18" s="26">
        <f t="shared" si="6"/>
        <v>0</v>
      </c>
      <c r="I18" s="21">
        <v>0</v>
      </c>
      <c r="J18" s="205">
        <f t="shared" si="0"/>
        <v>0</v>
      </c>
      <c r="K18" s="21">
        <v>0</v>
      </c>
      <c r="L18" s="10">
        <f t="shared" si="1"/>
        <v>0</v>
      </c>
      <c r="M18" s="21">
        <v>0</v>
      </c>
      <c r="N18" s="205">
        <f t="shared" si="2"/>
        <v>0</v>
      </c>
      <c r="O18" s="21">
        <v>0</v>
      </c>
      <c r="P18" s="10">
        <f t="shared" si="7"/>
        <v>0</v>
      </c>
      <c r="Q18" s="21">
        <v>0</v>
      </c>
      <c r="R18" s="205">
        <f t="shared" si="3"/>
        <v>0</v>
      </c>
      <c r="S18" s="39">
        <f t="shared" si="11"/>
        <v>0</v>
      </c>
      <c r="T18" s="38">
        <f t="shared" si="4"/>
        <v>0</v>
      </c>
      <c r="U18" s="21">
        <v>0</v>
      </c>
      <c r="V18" s="13">
        <f t="shared" si="8"/>
        <v>0</v>
      </c>
      <c r="W18" s="49">
        <f t="shared" si="9"/>
        <v>0</v>
      </c>
      <c r="X18" s="50">
        <f t="shared" si="10"/>
        <v>0</v>
      </c>
      <c r="Y18" s="238">
        <v>30</v>
      </c>
      <c r="Z18" s="101">
        <v>100</v>
      </c>
    </row>
    <row r="19" spans="1:26" x14ac:dyDescent="0.25">
      <c r="A19" s="264">
        <v>15</v>
      </c>
      <c r="B19" s="256" t="s">
        <v>16</v>
      </c>
      <c r="C19" s="34">
        <v>140</v>
      </c>
      <c r="D19" s="35">
        <v>240</v>
      </c>
      <c r="E19" s="35">
        <v>8</v>
      </c>
      <c r="F19" s="19">
        <f t="shared" si="5"/>
        <v>0.26879999999999998</v>
      </c>
      <c r="G19" s="23">
        <f>'KASIM 5 HAFTA  '!W19</f>
        <v>1</v>
      </c>
      <c r="H19" s="26">
        <f t="shared" si="6"/>
        <v>0.26879999999999998</v>
      </c>
      <c r="I19" s="21">
        <v>0</v>
      </c>
      <c r="J19" s="205">
        <f t="shared" si="0"/>
        <v>0</v>
      </c>
      <c r="K19" s="21">
        <v>0</v>
      </c>
      <c r="L19" s="10">
        <f t="shared" si="1"/>
        <v>0</v>
      </c>
      <c r="M19" s="21">
        <v>0</v>
      </c>
      <c r="N19" s="205">
        <f t="shared" si="2"/>
        <v>0</v>
      </c>
      <c r="O19" s="21">
        <v>0</v>
      </c>
      <c r="P19" s="10">
        <f t="shared" si="7"/>
        <v>0</v>
      </c>
      <c r="Q19" s="21">
        <v>1</v>
      </c>
      <c r="R19" s="205">
        <f t="shared" si="3"/>
        <v>0.26879999999999998</v>
      </c>
      <c r="S19" s="39">
        <f t="shared" si="11"/>
        <v>0</v>
      </c>
      <c r="T19" s="38">
        <f t="shared" si="4"/>
        <v>0</v>
      </c>
      <c r="U19" s="21">
        <v>0</v>
      </c>
      <c r="V19" s="13">
        <f t="shared" si="8"/>
        <v>0</v>
      </c>
      <c r="W19" s="49">
        <f t="shared" si="9"/>
        <v>0</v>
      </c>
      <c r="X19" s="50">
        <f t="shared" si="10"/>
        <v>0</v>
      </c>
      <c r="Y19" s="238">
        <v>10</v>
      </c>
      <c r="Z19" s="101">
        <v>30</v>
      </c>
    </row>
    <row r="20" spans="1:26" x14ac:dyDescent="0.25">
      <c r="A20" s="264">
        <v>16</v>
      </c>
      <c r="B20" s="256" t="s">
        <v>17</v>
      </c>
      <c r="C20" s="34">
        <v>140</v>
      </c>
      <c r="D20" s="35">
        <v>240</v>
      </c>
      <c r="E20" s="35">
        <v>8</v>
      </c>
      <c r="F20" s="19">
        <f t="shared" si="5"/>
        <v>0.26879999999999998</v>
      </c>
      <c r="G20" s="23">
        <f>'KASIM 5 HAFTA  '!W20</f>
        <v>0</v>
      </c>
      <c r="H20" s="26">
        <f t="shared" si="6"/>
        <v>0</v>
      </c>
      <c r="I20" s="21">
        <v>0</v>
      </c>
      <c r="J20" s="205">
        <f t="shared" si="0"/>
        <v>0</v>
      </c>
      <c r="K20" s="21">
        <v>0</v>
      </c>
      <c r="L20" s="10">
        <f t="shared" si="1"/>
        <v>0</v>
      </c>
      <c r="M20" s="21">
        <v>0</v>
      </c>
      <c r="N20" s="205">
        <f t="shared" si="2"/>
        <v>0</v>
      </c>
      <c r="O20" s="21">
        <v>0</v>
      </c>
      <c r="P20" s="10">
        <f t="shared" si="7"/>
        <v>0</v>
      </c>
      <c r="Q20" s="21">
        <v>0</v>
      </c>
      <c r="R20" s="205">
        <f t="shared" si="3"/>
        <v>0</v>
      </c>
      <c r="S20" s="39">
        <f t="shared" si="11"/>
        <v>0</v>
      </c>
      <c r="T20" s="38">
        <f t="shared" si="4"/>
        <v>0</v>
      </c>
      <c r="U20" s="21">
        <v>0</v>
      </c>
      <c r="V20" s="13">
        <f t="shared" si="8"/>
        <v>0</v>
      </c>
      <c r="W20" s="49">
        <f t="shared" si="9"/>
        <v>0</v>
      </c>
      <c r="X20" s="50">
        <f t="shared" si="10"/>
        <v>0</v>
      </c>
      <c r="Y20" s="238">
        <v>0</v>
      </c>
      <c r="Z20" s="101">
        <v>0</v>
      </c>
    </row>
    <row r="21" spans="1:26" x14ac:dyDescent="0.25">
      <c r="A21" s="264">
        <v>17</v>
      </c>
      <c r="B21" s="256" t="s">
        <v>19</v>
      </c>
      <c r="C21" s="34">
        <v>77</v>
      </c>
      <c r="D21" s="35">
        <v>55</v>
      </c>
      <c r="E21" s="35">
        <v>8</v>
      </c>
      <c r="F21" s="19">
        <f t="shared" si="5"/>
        <v>3.388E-2</v>
      </c>
      <c r="G21" s="23">
        <f>'KASIM 5 HAFTA  '!W21</f>
        <v>4</v>
      </c>
      <c r="H21" s="26">
        <f t="shared" si="6"/>
        <v>0.13552</v>
      </c>
      <c r="I21" s="21">
        <v>0</v>
      </c>
      <c r="J21" s="205">
        <f t="shared" si="0"/>
        <v>0</v>
      </c>
      <c r="K21" s="21">
        <v>0</v>
      </c>
      <c r="L21" s="10">
        <f t="shared" si="1"/>
        <v>0</v>
      </c>
      <c r="M21" s="21">
        <v>0</v>
      </c>
      <c r="N21" s="205">
        <f t="shared" si="2"/>
        <v>0</v>
      </c>
      <c r="O21" s="21">
        <v>0</v>
      </c>
      <c r="P21" s="10">
        <f t="shared" si="7"/>
        <v>0</v>
      </c>
      <c r="Q21" s="21">
        <v>0</v>
      </c>
      <c r="R21" s="205">
        <f t="shared" si="3"/>
        <v>0</v>
      </c>
      <c r="S21" s="39">
        <f t="shared" si="11"/>
        <v>4</v>
      </c>
      <c r="T21" s="38">
        <f t="shared" si="4"/>
        <v>0.13552</v>
      </c>
      <c r="U21" s="21">
        <v>0</v>
      </c>
      <c r="V21" s="13">
        <f t="shared" si="8"/>
        <v>0</v>
      </c>
      <c r="W21" s="49">
        <f t="shared" si="9"/>
        <v>4</v>
      </c>
      <c r="X21" s="50">
        <f t="shared" si="10"/>
        <v>0.13552</v>
      </c>
      <c r="Y21" s="238">
        <v>0</v>
      </c>
      <c r="Z21" s="101">
        <v>0</v>
      </c>
    </row>
    <row r="22" spans="1:26" x14ac:dyDescent="0.25">
      <c r="A22" s="264">
        <v>18</v>
      </c>
      <c r="B22" s="256" t="s">
        <v>20</v>
      </c>
      <c r="C22" s="34">
        <v>65</v>
      </c>
      <c r="D22" s="35">
        <v>50</v>
      </c>
      <c r="E22" s="35">
        <v>12</v>
      </c>
      <c r="F22" s="19">
        <f t="shared" si="5"/>
        <v>3.9E-2</v>
      </c>
      <c r="G22" s="23">
        <f>'KASIM 5 HAFTA  '!W22</f>
        <v>26</v>
      </c>
      <c r="H22" s="26">
        <f t="shared" si="6"/>
        <v>1.014</v>
      </c>
      <c r="I22" s="21">
        <v>0</v>
      </c>
      <c r="J22" s="205">
        <f t="shared" si="0"/>
        <v>0</v>
      </c>
      <c r="K22" s="21">
        <v>0</v>
      </c>
      <c r="L22" s="10">
        <f t="shared" si="1"/>
        <v>0</v>
      </c>
      <c r="M22" s="21">
        <v>0</v>
      </c>
      <c r="N22" s="205">
        <f t="shared" si="2"/>
        <v>0</v>
      </c>
      <c r="O22" s="21">
        <v>0</v>
      </c>
      <c r="P22" s="10">
        <f t="shared" si="7"/>
        <v>0</v>
      </c>
      <c r="Q22" s="21">
        <v>0</v>
      </c>
      <c r="R22" s="205">
        <f t="shared" si="3"/>
        <v>0</v>
      </c>
      <c r="S22" s="39">
        <f t="shared" si="11"/>
        <v>26</v>
      </c>
      <c r="T22" s="38">
        <f t="shared" si="4"/>
        <v>1.014</v>
      </c>
      <c r="U22" s="21">
        <v>0</v>
      </c>
      <c r="V22" s="13">
        <f t="shared" si="8"/>
        <v>0</v>
      </c>
      <c r="W22" s="49">
        <f t="shared" si="9"/>
        <v>26</v>
      </c>
      <c r="X22" s="50">
        <f t="shared" si="10"/>
        <v>1.014</v>
      </c>
      <c r="Y22" s="238">
        <v>0</v>
      </c>
      <c r="Z22" s="101">
        <v>0</v>
      </c>
    </row>
    <row r="23" spans="1:26" x14ac:dyDescent="0.25">
      <c r="A23" s="264">
        <v>19</v>
      </c>
      <c r="B23" s="42" t="s">
        <v>103</v>
      </c>
      <c r="C23" s="34">
        <v>58</v>
      </c>
      <c r="D23" s="35">
        <v>58</v>
      </c>
      <c r="E23" s="35">
        <v>5</v>
      </c>
      <c r="F23" s="19">
        <f t="shared" si="5"/>
        <v>1.6820000000000002E-2</v>
      </c>
      <c r="G23" s="23">
        <f>'KASIM 5 HAFTA  '!W23</f>
        <v>124</v>
      </c>
      <c r="H23" s="26">
        <f t="shared" si="6"/>
        <v>2.08568</v>
      </c>
      <c r="I23" s="21">
        <v>0</v>
      </c>
      <c r="J23" s="205">
        <f t="shared" si="0"/>
        <v>0</v>
      </c>
      <c r="K23" s="21">
        <v>6</v>
      </c>
      <c r="L23" s="10">
        <f t="shared" si="1"/>
        <v>0.10092000000000001</v>
      </c>
      <c r="M23" s="21">
        <v>0</v>
      </c>
      <c r="N23" s="205">
        <f t="shared" si="2"/>
        <v>0</v>
      </c>
      <c r="O23" s="21">
        <v>16</v>
      </c>
      <c r="P23" s="10">
        <f t="shared" si="7"/>
        <v>0.26912000000000003</v>
      </c>
      <c r="Q23" s="21">
        <v>0</v>
      </c>
      <c r="R23" s="205">
        <f t="shared" si="3"/>
        <v>0</v>
      </c>
      <c r="S23" s="39">
        <f t="shared" si="11"/>
        <v>102</v>
      </c>
      <c r="T23" s="38">
        <f t="shared" si="4"/>
        <v>1.7156400000000001</v>
      </c>
      <c r="U23" s="21">
        <v>0</v>
      </c>
      <c r="V23" s="13">
        <f t="shared" si="8"/>
        <v>0</v>
      </c>
      <c r="W23" s="49">
        <f t="shared" si="9"/>
        <v>102</v>
      </c>
      <c r="X23" s="50">
        <f t="shared" si="10"/>
        <v>1.7156400000000001</v>
      </c>
      <c r="Y23" s="238">
        <v>0</v>
      </c>
      <c r="Z23" s="101">
        <v>0</v>
      </c>
    </row>
    <row r="24" spans="1:26" x14ac:dyDescent="0.25">
      <c r="A24" s="264">
        <v>20</v>
      </c>
      <c r="B24" s="256" t="s">
        <v>22</v>
      </c>
      <c r="C24" s="34">
        <v>66</v>
      </c>
      <c r="D24" s="35">
        <v>56</v>
      </c>
      <c r="E24" s="35">
        <v>12</v>
      </c>
      <c r="F24" s="19">
        <f t="shared" si="5"/>
        <v>4.4352000000000003E-2</v>
      </c>
      <c r="G24" s="23">
        <f>'KASIM 5 HAFTA  '!W24</f>
        <v>28</v>
      </c>
      <c r="H24" s="26">
        <f t="shared" si="6"/>
        <v>1.2418560000000001</v>
      </c>
      <c r="I24" s="21">
        <v>0</v>
      </c>
      <c r="J24" s="205">
        <f t="shared" si="0"/>
        <v>0</v>
      </c>
      <c r="K24" s="21">
        <v>0</v>
      </c>
      <c r="L24" s="10">
        <f t="shared" si="1"/>
        <v>0</v>
      </c>
      <c r="M24" s="21">
        <v>0</v>
      </c>
      <c r="N24" s="205">
        <f t="shared" si="2"/>
        <v>0</v>
      </c>
      <c r="O24" s="21">
        <v>0</v>
      </c>
      <c r="P24" s="10">
        <f t="shared" si="7"/>
        <v>0</v>
      </c>
      <c r="Q24" s="21">
        <v>0</v>
      </c>
      <c r="R24" s="205">
        <f t="shared" si="3"/>
        <v>0</v>
      </c>
      <c r="S24" s="39">
        <f t="shared" si="11"/>
        <v>28</v>
      </c>
      <c r="T24" s="38">
        <f t="shared" si="4"/>
        <v>1.2418560000000001</v>
      </c>
      <c r="U24" s="21">
        <v>0</v>
      </c>
      <c r="V24" s="13">
        <f t="shared" si="8"/>
        <v>0</v>
      </c>
      <c r="W24" s="49">
        <f t="shared" si="9"/>
        <v>28</v>
      </c>
      <c r="X24" s="50">
        <f t="shared" si="10"/>
        <v>1.2418560000000001</v>
      </c>
      <c r="Y24" s="238">
        <v>0</v>
      </c>
      <c r="Z24" s="101">
        <v>0</v>
      </c>
    </row>
    <row r="25" spans="1:26" x14ac:dyDescent="0.25">
      <c r="A25" s="264">
        <v>21</v>
      </c>
      <c r="B25" s="256" t="s">
        <v>102</v>
      </c>
      <c r="C25" s="34">
        <v>61.5</v>
      </c>
      <c r="D25" s="35">
        <v>61.5</v>
      </c>
      <c r="E25" s="35">
        <v>10</v>
      </c>
      <c r="F25" s="19">
        <f t="shared" si="5"/>
        <v>3.7822500000000002E-2</v>
      </c>
      <c r="G25" s="23">
        <v>29</v>
      </c>
      <c r="H25" s="26">
        <f t="shared" si="6"/>
        <v>1.0968525</v>
      </c>
      <c r="I25" s="21">
        <v>0</v>
      </c>
      <c r="J25" s="205">
        <f t="shared" si="0"/>
        <v>0</v>
      </c>
      <c r="K25" s="21">
        <v>35</v>
      </c>
      <c r="L25" s="10">
        <f t="shared" si="1"/>
        <v>1.3237875000000001</v>
      </c>
      <c r="M25" s="21">
        <v>9</v>
      </c>
      <c r="N25" s="205">
        <f t="shared" si="2"/>
        <v>0.3404025</v>
      </c>
      <c r="O25" s="21">
        <v>0</v>
      </c>
      <c r="P25" s="10">
        <f t="shared" si="7"/>
        <v>0</v>
      </c>
      <c r="Q25" s="21">
        <v>0</v>
      </c>
      <c r="R25" s="205">
        <f t="shared" si="3"/>
        <v>0</v>
      </c>
      <c r="S25" s="39">
        <f t="shared" si="11"/>
        <v>-15</v>
      </c>
      <c r="T25" s="38">
        <f t="shared" si="4"/>
        <v>-0.56733750000000005</v>
      </c>
      <c r="U25" s="21">
        <v>15</v>
      </c>
      <c r="V25" s="13">
        <f t="shared" si="8"/>
        <v>0.56733750000000005</v>
      </c>
      <c r="W25" s="49">
        <f t="shared" si="9"/>
        <v>0</v>
      </c>
      <c r="X25" s="50">
        <f t="shared" si="10"/>
        <v>0</v>
      </c>
      <c r="Y25" s="238">
        <v>30</v>
      </c>
      <c r="Z25" s="101">
        <v>100</v>
      </c>
    </row>
    <row r="26" spans="1:26" x14ac:dyDescent="0.25">
      <c r="A26" s="264">
        <v>22</v>
      </c>
      <c r="B26" s="256" t="s">
        <v>24</v>
      </c>
      <c r="C26" s="34">
        <v>82</v>
      </c>
      <c r="D26" s="35">
        <v>67</v>
      </c>
      <c r="E26" s="35">
        <v>5</v>
      </c>
      <c r="F26" s="19">
        <f t="shared" si="5"/>
        <v>2.7470000000000001E-2</v>
      </c>
      <c r="G26" s="23">
        <f>'KASIM 5 HAFTA  '!W26</f>
        <v>30</v>
      </c>
      <c r="H26" s="26">
        <f t="shared" si="6"/>
        <v>0.82410000000000005</v>
      </c>
      <c r="I26" s="21">
        <v>0</v>
      </c>
      <c r="J26" s="205">
        <f t="shared" si="0"/>
        <v>0</v>
      </c>
      <c r="K26" s="21">
        <v>0</v>
      </c>
      <c r="L26" s="10">
        <f t="shared" si="1"/>
        <v>0</v>
      </c>
      <c r="M26" s="21">
        <v>0</v>
      </c>
      <c r="N26" s="205">
        <f t="shared" si="2"/>
        <v>0</v>
      </c>
      <c r="O26" s="21">
        <v>0</v>
      </c>
      <c r="P26" s="10">
        <f t="shared" si="7"/>
        <v>0</v>
      </c>
      <c r="Q26" s="21">
        <v>0</v>
      </c>
      <c r="R26" s="205">
        <f t="shared" si="3"/>
        <v>0</v>
      </c>
      <c r="S26" s="39">
        <f t="shared" si="11"/>
        <v>30</v>
      </c>
      <c r="T26" s="38">
        <f t="shared" si="4"/>
        <v>0.82410000000000005</v>
      </c>
      <c r="U26" s="21">
        <v>0</v>
      </c>
      <c r="V26" s="13">
        <f t="shared" si="8"/>
        <v>0</v>
      </c>
      <c r="W26" s="49">
        <f t="shared" si="9"/>
        <v>30</v>
      </c>
      <c r="X26" s="50">
        <f t="shared" si="10"/>
        <v>0.82410000000000005</v>
      </c>
      <c r="Y26" s="238">
        <v>0</v>
      </c>
      <c r="Z26" s="101">
        <v>0</v>
      </c>
    </row>
    <row r="27" spans="1:26" x14ac:dyDescent="0.25">
      <c r="A27" s="264">
        <v>23</v>
      </c>
      <c r="B27" s="256" t="s">
        <v>25</v>
      </c>
      <c r="C27" s="34">
        <v>80</v>
      </c>
      <c r="D27" s="35">
        <v>62</v>
      </c>
      <c r="E27" s="35">
        <v>2</v>
      </c>
      <c r="F27" s="19">
        <f t="shared" si="5"/>
        <v>9.92E-3</v>
      </c>
      <c r="G27" s="23">
        <f>'KASIM 5 HAFTA  '!W27</f>
        <v>36</v>
      </c>
      <c r="H27" s="26">
        <f t="shared" si="6"/>
        <v>0.35711999999999999</v>
      </c>
      <c r="I27" s="21">
        <v>0</v>
      </c>
      <c r="J27" s="205">
        <f t="shared" si="0"/>
        <v>0</v>
      </c>
      <c r="K27" s="21">
        <v>0</v>
      </c>
      <c r="L27" s="10">
        <f t="shared" si="1"/>
        <v>0</v>
      </c>
      <c r="M27" s="21">
        <v>0</v>
      </c>
      <c r="N27" s="205">
        <f t="shared" si="2"/>
        <v>0</v>
      </c>
      <c r="O27" s="21">
        <v>0</v>
      </c>
      <c r="P27" s="10">
        <f t="shared" si="7"/>
        <v>0</v>
      </c>
      <c r="Q27" s="21">
        <v>0</v>
      </c>
      <c r="R27" s="205">
        <f t="shared" si="3"/>
        <v>0</v>
      </c>
      <c r="S27" s="39">
        <f t="shared" si="11"/>
        <v>36</v>
      </c>
      <c r="T27" s="38">
        <f t="shared" si="4"/>
        <v>0.35711999999999999</v>
      </c>
      <c r="U27" s="21">
        <v>0</v>
      </c>
      <c r="V27" s="13">
        <f t="shared" si="8"/>
        <v>0</v>
      </c>
      <c r="W27" s="49">
        <f t="shared" si="9"/>
        <v>36</v>
      </c>
      <c r="X27" s="50">
        <f t="shared" si="10"/>
        <v>0.35711999999999999</v>
      </c>
      <c r="Y27" s="238">
        <v>0</v>
      </c>
      <c r="Z27" s="101">
        <v>0</v>
      </c>
    </row>
    <row r="28" spans="1:26" x14ac:dyDescent="0.25">
      <c r="A28" s="264">
        <v>24</v>
      </c>
      <c r="B28" s="256" t="s">
        <v>26</v>
      </c>
      <c r="C28" s="34">
        <v>63</v>
      </c>
      <c r="D28" s="35">
        <v>55</v>
      </c>
      <c r="E28" s="35">
        <v>5</v>
      </c>
      <c r="F28" s="19">
        <f t="shared" si="5"/>
        <v>1.7325E-2</v>
      </c>
      <c r="G28" s="23">
        <f>'KASIM 5 HAFTA  '!W28</f>
        <v>7</v>
      </c>
      <c r="H28" s="26">
        <f t="shared" si="6"/>
        <v>0.12127499999999999</v>
      </c>
      <c r="I28" s="21">
        <v>0</v>
      </c>
      <c r="J28" s="205">
        <f t="shared" si="0"/>
        <v>0</v>
      </c>
      <c r="K28" s="21">
        <v>0</v>
      </c>
      <c r="L28" s="10">
        <f t="shared" si="1"/>
        <v>0</v>
      </c>
      <c r="M28" s="21">
        <v>0</v>
      </c>
      <c r="N28" s="205">
        <f t="shared" si="2"/>
        <v>0</v>
      </c>
      <c r="O28" s="21">
        <v>0</v>
      </c>
      <c r="P28" s="10">
        <f t="shared" si="7"/>
        <v>0</v>
      </c>
      <c r="Q28" s="21">
        <v>0</v>
      </c>
      <c r="R28" s="205">
        <f t="shared" si="3"/>
        <v>0</v>
      </c>
      <c r="S28" s="39">
        <f t="shared" si="11"/>
        <v>7</v>
      </c>
      <c r="T28" s="38">
        <f t="shared" si="4"/>
        <v>0.12127499999999999</v>
      </c>
      <c r="U28" s="21">
        <v>0</v>
      </c>
      <c r="V28" s="13">
        <f t="shared" si="8"/>
        <v>0</v>
      </c>
      <c r="W28" s="49">
        <f t="shared" si="9"/>
        <v>7</v>
      </c>
      <c r="X28" s="50">
        <f t="shared" si="10"/>
        <v>0.12127499999999999</v>
      </c>
      <c r="Y28" s="238">
        <v>0</v>
      </c>
      <c r="Z28" s="101">
        <v>0</v>
      </c>
    </row>
    <row r="29" spans="1:26" x14ac:dyDescent="0.25">
      <c r="A29" s="264">
        <v>25</v>
      </c>
      <c r="B29" s="256" t="s">
        <v>27</v>
      </c>
      <c r="C29" s="34">
        <v>140</v>
      </c>
      <c r="D29" s="35">
        <v>240</v>
      </c>
      <c r="E29" s="35">
        <v>5</v>
      </c>
      <c r="F29" s="19">
        <f t="shared" si="5"/>
        <v>0.16800000000000001</v>
      </c>
      <c r="G29" s="23">
        <f>'KASIM 5 HAFTA  '!W29</f>
        <v>6</v>
      </c>
      <c r="H29" s="26">
        <f t="shared" si="6"/>
        <v>1.008</v>
      </c>
      <c r="I29" s="21">
        <v>0</v>
      </c>
      <c r="J29" s="205">
        <f t="shared" si="0"/>
        <v>0</v>
      </c>
      <c r="K29" s="21">
        <v>0</v>
      </c>
      <c r="L29" s="10">
        <f t="shared" si="1"/>
        <v>0</v>
      </c>
      <c r="M29" s="21">
        <v>0</v>
      </c>
      <c r="N29" s="205">
        <f t="shared" si="2"/>
        <v>0</v>
      </c>
      <c r="O29" s="21">
        <v>0</v>
      </c>
      <c r="P29" s="10">
        <f t="shared" si="7"/>
        <v>0</v>
      </c>
      <c r="Q29" s="21">
        <v>0</v>
      </c>
      <c r="R29" s="205">
        <f t="shared" si="3"/>
        <v>0</v>
      </c>
      <c r="S29" s="39">
        <f t="shared" si="11"/>
        <v>6</v>
      </c>
      <c r="T29" s="38">
        <f t="shared" si="4"/>
        <v>1.008</v>
      </c>
      <c r="U29" s="21">
        <v>0</v>
      </c>
      <c r="V29" s="13">
        <f t="shared" si="8"/>
        <v>0</v>
      </c>
      <c r="W29" s="49">
        <f t="shared" si="9"/>
        <v>6</v>
      </c>
      <c r="X29" s="50">
        <f t="shared" si="10"/>
        <v>1.008</v>
      </c>
      <c r="Y29" s="238">
        <v>0</v>
      </c>
      <c r="Z29" s="101">
        <v>0</v>
      </c>
    </row>
    <row r="30" spans="1:26" x14ac:dyDescent="0.25">
      <c r="A30" s="264">
        <v>26</v>
      </c>
      <c r="B30" s="256" t="s">
        <v>112</v>
      </c>
      <c r="C30" s="34">
        <v>140</v>
      </c>
      <c r="D30" s="35">
        <v>240</v>
      </c>
      <c r="E30" s="35">
        <v>10</v>
      </c>
      <c r="F30" s="19">
        <f t="shared" si="5"/>
        <v>0.33600000000000002</v>
      </c>
      <c r="G30" s="23">
        <f>'KASIM 5 HAFTA  '!W30</f>
        <v>56</v>
      </c>
      <c r="H30" s="26">
        <f t="shared" si="6"/>
        <v>18.816000000000003</v>
      </c>
      <c r="I30" s="21">
        <v>0</v>
      </c>
      <c r="J30" s="205">
        <f t="shared" si="0"/>
        <v>0</v>
      </c>
      <c r="K30" s="21">
        <v>0</v>
      </c>
      <c r="L30" s="10">
        <f t="shared" si="1"/>
        <v>0</v>
      </c>
      <c r="M30" s="21">
        <v>10</v>
      </c>
      <c r="N30" s="205">
        <f t="shared" si="2"/>
        <v>3.3600000000000003</v>
      </c>
      <c r="O30" s="21">
        <v>3</v>
      </c>
      <c r="P30" s="10">
        <f t="shared" si="7"/>
        <v>1.008</v>
      </c>
      <c r="Q30" s="21">
        <v>0</v>
      </c>
      <c r="R30" s="205">
        <f t="shared" si="3"/>
        <v>0</v>
      </c>
      <c r="S30" s="39">
        <f t="shared" si="11"/>
        <v>43</v>
      </c>
      <c r="T30" s="38">
        <f t="shared" si="4"/>
        <v>14.448</v>
      </c>
      <c r="U30" s="21">
        <v>15</v>
      </c>
      <c r="V30" s="13">
        <f t="shared" si="8"/>
        <v>5.04</v>
      </c>
      <c r="W30" s="49">
        <f t="shared" si="9"/>
        <v>58</v>
      </c>
      <c r="X30" s="50">
        <f t="shared" si="10"/>
        <v>19.488</v>
      </c>
      <c r="Y30" s="238">
        <v>0</v>
      </c>
      <c r="Z30" s="101">
        <v>0</v>
      </c>
    </row>
    <row r="31" spans="1:26" x14ac:dyDescent="0.25">
      <c r="A31" s="264">
        <v>27</v>
      </c>
      <c r="B31" s="256" t="s">
        <v>29</v>
      </c>
      <c r="C31" s="34">
        <v>140</v>
      </c>
      <c r="D31" s="35">
        <v>240</v>
      </c>
      <c r="E31" s="35">
        <v>3</v>
      </c>
      <c r="F31" s="19">
        <f t="shared" si="5"/>
        <v>0.1008</v>
      </c>
      <c r="G31" s="23">
        <f>'KASIM 5 HAFTA  '!W31</f>
        <v>26</v>
      </c>
      <c r="H31" s="26">
        <f t="shared" si="6"/>
        <v>2.6208</v>
      </c>
      <c r="I31" s="21">
        <v>0</v>
      </c>
      <c r="J31" s="205">
        <f t="shared" si="0"/>
        <v>0</v>
      </c>
      <c r="K31" s="21">
        <v>0</v>
      </c>
      <c r="L31" s="10">
        <f t="shared" si="1"/>
        <v>0</v>
      </c>
      <c r="M31" s="21">
        <v>0</v>
      </c>
      <c r="N31" s="205">
        <f t="shared" si="2"/>
        <v>0</v>
      </c>
      <c r="O31" s="21">
        <v>0</v>
      </c>
      <c r="P31" s="10">
        <f t="shared" si="7"/>
        <v>0</v>
      </c>
      <c r="Q31" s="21">
        <v>0</v>
      </c>
      <c r="R31" s="205">
        <f t="shared" si="3"/>
        <v>0</v>
      </c>
      <c r="S31" s="39">
        <f t="shared" si="11"/>
        <v>26</v>
      </c>
      <c r="T31" s="38">
        <f t="shared" si="4"/>
        <v>2.6208</v>
      </c>
      <c r="U31" s="21">
        <v>0</v>
      </c>
      <c r="V31" s="13">
        <f t="shared" si="8"/>
        <v>0</v>
      </c>
      <c r="W31" s="49">
        <f t="shared" si="9"/>
        <v>26</v>
      </c>
      <c r="X31" s="50">
        <f t="shared" si="10"/>
        <v>2.6208</v>
      </c>
      <c r="Y31" s="238">
        <v>0</v>
      </c>
      <c r="Z31" s="101">
        <v>0</v>
      </c>
    </row>
    <row r="32" spans="1:26" x14ac:dyDescent="0.25">
      <c r="A32" s="264">
        <v>28</v>
      </c>
      <c r="B32" s="256" t="s">
        <v>30</v>
      </c>
      <c r="C32" s="34">
        <v>90</v>
      </c>
      <c r="D32" s="35">
        <v>80</v>
      </c>
      <c r="E32" s="35">
        <v>8</v>
      </c>
      <c r="F32" s="19">
        <f t="shared" si="5"/>
        <v>5.7599999999999998E-2</v>
      </c>
      <c r="G32" s="23">
        <f>'KASIM 5 HAFTA  '!W32</f>
        <v>0</v>
      </c>
      <c r="H32" s="26">
        <f t="shared" si="6"/>
        <v>0</v>
      </c>
      <c r="I32" s="21">
        <v>0</v>
      </c>
      <c r="J32" s="205">
        <f t="shared" si="0"/>
        <v>0</v>
      </c>
      <c r="K32" s="21">
        <v>0</v>
      </c>
      <c r="L32" s="10">
        <f t="shared" si="1"/>
        <v>0</v>
      </c>
      <c r="M32" s="21">
        <v>0</v>
      </c>
      <c r="N32" s="205">
        <f t="shared" si="2"/>
        <v>0</v>
      </c>
      <c r="O32" s="21">
        <v>0</v>
      </c>
      <c r="P32" s="10">
        <f t="shared" si="7"/>
        <v>0</v>
      </c>
      <c r="Q32" s="21">
        <v>0</v>
      </c>
      <c r="R32" s="205">
        <f t="shared" si="3"/>
        <v>0</v>
      </c>
      <c r="S32" s="39">
        <f t="shared" si="11"/>
        <v>0</v>
      </c>
      <c r="T32" s="38">
        <f t="shared" si="4"/>
        <v>0</v>
      </c>
      <c r="U32" s="21">
        <v>0</v>
      </c>
      <c r="V32" s="13">
        <f t="shared" si="8"/>
        <v>0</v>
      </c>
      <c r="W32" s="49">
        <f t="shared" si="9"/>
        <v>0</v>
      </c>
      <c r="X32" s="50">
        <f t="shared" si="10"/>
        <v>0</v>
      </c>
      <c r="Y32" s="238">
        <v>0</v>
      </c>
      <c r="Z32" s="101">
        <v>0</v>
      </c>
    </row>
    <row r="33" spans="1:26" x14ac:dyDescent="0.25">
      <c r="A33" s="264">
        <v>29</v>
      </c>
      <c r="B33" s="256" t="s">
        <v>31</v>
      </c>
      <c r="C33" s="34">
        <v>90</v>
      </c>
      <c r="D33" s="35">
        <v>80</v>
      </c>
      <c r="E33" s="35">
        <v>8</v>
      </c>
      <c r="F33" s="19">
        <f t="shared" si="5"/>
        <v>5.7599999999999998E-2</v>
      </c>
      <c r="G33" s="23">
        <f>'KASIM 5 HAFTA  '!W33</f>
        <v>0</v>
      </c>
      <c r="H33" s="26">
        <f t="shared" si="6"/>
        <v>0</v>
      </c>
      <c r="I33" s="21">
        <v>0</v>
      </c>
      <c r="J33" s="205">
        <f t="shared" si="0"/>
        <v>0</v>
      </c>
      <c r="K33" s="21">
        <v>0</v>
      </c>
      <c r="L33" s="10">
        <f t="shared" si="1"/>
        <v>0</v>
      </c>
      <c r="M33" s="21">
        <v>0</v>
      </c>
      <c r="N33" s="205">
        <f t="shared" si="2"/>
        <v>0</v>
      </c>
      <c r="O33" s="21">
        <v>0</v>
      </c>
      <c r="P33" s="10">
        <f t="shared" si="7"/>
        <v>0</v>
      </c>
      <c r="Q33" s="21">
        <v>0</v>
      </c>
      <c r="R33" s="205">
        <f t="shared" si="3"/>
        <v>0</v>
      </c>
      <c r="S33" s="39">
        <f t="shared" si="11"/>
        <v>0</v>
      </c>
      <c r="T33" s="38">
        <f t="shared" si="4"/>
        <v>0</v>
      </c>
      <c r="U33" s="21">
        <v>0</v>
      </c>
      <c r="V33" s="13">
        <f t="shared" si="8"/>
        <v>0</v>
      </c>
      <c r="W33" s="49">
        <f t="shared" si="9"/>
        <v>0</v>
      </c>
      <c r="X33" s="50">
        <f t="shared" si="10"/>
        <v>0</v>
      </c>
      <c r="Y33" s="238">
        <v>0</v>
      </c>
      <c r="Z33" s="101">
        <v>0</v>
      </c>
    </row>
    <row r="34" spans="1:26" x14ac:dyDescent="0.25">
      <c r="A34" s="264">
        <v>30</v>
      </c>
      <c r="B34" s="256" t="s">
        <v>32</v>
      </c>
      <c r="C34" s="34"/>
      <c r="D34" s="35"/>
      <c r="E34" s="35"/>
      <c r="F34" s="19">
        <f t="shared" si="5"/>
        <v>0</v>
      </c>
      <c r="G34" s="23">
        <f>'KASIM 5 HAFTA  '!W34</f>
        <v>300</v>
      </c>
      <c r="H34" s="26">
        <f t="shared" si="6"/>
        <v>0</v>
      </c>
      <c r="I34" s="21">
        <v>0</v>
      </c>
      <c r="J34" s="205">
        <f t="shared" si="0"/>
        <v>0</v>
      </c>
      <c r="K34" s="21">
        <v>0</v>
      </c>
      <c r="L34" s="10">
        <f t="shared" si="1"/>
        <v>0</v>
      </c>
      <c r="M34" s="21">
        <v>0</v>
      </c>
      <c r="N34" s="205">
        <f t="shared" si="2"/>
        <v>0</v>
      </c>
      <c r="O34" s="21">
        <v>0</v>
      </c>
      <c r="P34" s="10">
        <f t="shared" si="7"/>
        <v>0</v>
      </c>
      <c r="Q34" s="21">
        <v>0</v>
      </c>
      <c r="R34" s="205">
        <f t="shared" si="3"/>
        <v>0</v>
      </c>
      <c r="S34" s="39">
        <f t="shared" si="11"/>
        <v>300</v>
      </c>
      <c r="T34" s="38">
        <f t="shared" si="4"/>
        <v>0</v>
      </c>
      <c r="U34" s="21">
        <v>0</v>
      </c>
      <c r="V34" s="13">
        <f t="shared" si="8"/>
        <v>0</v>
      </c>
      <c r="W34" s="49">
        <f t="shared" si="9"/>
        <v>300</v>
      </c>
      <c r="X34" s="50">
        <f t="shared" si="10"/>
        <v>0</v>
      </c>
      <c r="Y34" s="238">
        <v>0</v>
      </c>
      <c r="Z34" s="101">
        <v>0</v>
      </c>
    </row>
    <row r="35" spans="1:26" x14ac:dyDescent="0.25">
      <c r="A35" s="264">
        <v>31</v>
      </c>
      <c r="B35" s="256" t="s">
        <v>33</v>
      </c>
      <c r="C35" s="34">
        <v>80</v>
      </c>
      <c r="D35" s="35">
        <v>66</v>
      </c>
      <c r="E35" s="35">
        <v>5</v>
      </c>
      <c r="F35" s="19">
        <f t="shared" si="5"/>
        <v>2.64E-2</v>
      </c>
      <c r="G35" s="23">
        <f>'KASIM 5 HAFTA  '!W35</f>
        <v>56</v>
      </c>
      <c r="H35" s="26">
        <f t="shared" si="6"/>
        <v>1.4783999999999999</v>
      </c>
      <c r="I35" s="21">
        <v>0</v>
      </c>
      <c r="J35" s="205">
        <f t="shared" si="0"/>
        <v>0</v>
      </c>
      <c r="K35" s="21">
        <v>0</v>
      </c>
      <c r="L35" s="10">
        <f t="shared" si="1"/>
        <v>0</v>
      </c>
      <c r="M35" s="21">
        <v>0</v>
      </c>
      <c r="N35" s="205">
        <f t="shared" si="2"/>
        <v>0</v>
      </c>
      <c r="O35" s="21">
        <v>0</v>
      </c>
      <c r="P35" s="10">
        <f t="shared" si="7"/>
        <v>0</v>
      </c>
      <c r="Q35" s="21">
        <v>0</v>
      </c>
      <c r="R35" s="205">
        <f t="shared" si="3"/>
        <v>0</v>
      </c>
      <c r="S35" s="39">
        <f t="shared" si="11"/>
        <v>56</v>
      </c>
      <c r="T35" s="38">
        <f t="shared" si="4"/>
        <v>1.4783999999999999</v>
      </c>
      <c r="U35" s="21">
        <v>0</v>
      </c>
      <c r="V35" s="13">
        <f t="shared" si="8"/>
        <v>0</v>
      </c>
      <c r="W35" s="49">
        <f t="shared" si="9"/>
        <v>56</v>
      </c>
      <c r="X35" s="50">
        <f t="shared" si="10"/>
        <v>1.4783999999999999</v>
      </c>
      <c r="Y35" s="238">
        <v>0</v>
      </c>
      <c r="Z35" s="101">
        <v>0</v>
      </c>
    </row>
    <row r="36" spans="1:26" x14ac:dyDescent="0.25">
      <c r="A36" s="264">
        <v>32</v>
      </c>
      <c r="B36" s="256" t="s">
        <v>110</v>
      </c>
      <c r="C36" s="34">
        <v>60</v>
      </c>
      <c r="D36" s="35">
        <v>62</v>
      </c>
      <c r="E36" s="35">
        <v>5</v>
      </c>
      <c r="F36" s="19">
        <f t="shared" si="5"/>
        <v>1.8599999999999998E-2</v>
      </c>
      <c r="G36" s="23">
        <f>'KASIM 5 HAFTA  '!W36</f>
        <v>15</v>
      </c>
      <c r="H36" s="26">
        <f t="shared" si="6"/>
        <v>0.27899999999999997</v>
      </c>
      <c r="I36" s="21">
        <v>0</v>
      </c>
      <c r="J36" s="205">
        <f t="shared" si="0"/>
        <v>0</v>
      </c>
      <c r="K36" s="21">
        <v>0</v>
      </c>
      <c r="L36" s="10">
        <f t="shared" si="1"/>
        <v>0</v>
      </c>
      <c r="M36" s="21">
        <v>0</v>
      </c>
      <c r="N36" s="205">
        <f t="shared" si="2"/>
        <v>0</v>
      </c>
      <c r="O36" s="21">
        <v>0</v>
      </c>
      <c r="P36" s="10">
        <f t="shared" si="7"/>
        <v>0</v>
      </c>
      <c r="Q36" s="21">
        <v>0</v>
      </c>
      <c r="R36" s="205">
        <f t="shared" si="3"/>
        <v>0</v>
      </c>
      <c r="S36" s="39">
        <f t="shared" si="11"/>
        <v>15</v>
      </c>
      <c r="T36" s="38">
        <f t="shared" si="4"/>
        <v>0.27899999999999997</v>
      </c>
      <c r="U36" s="21">
        <v>0</v>
      </c>
      <c r="V36" s="13">
        <f t="shared" si="8"/>
        <v>0</v>
      </c>
      <c r="W36" s="49">
        <f t="shared" si="9"/>
        <v>15</v>
      </c>
      <c r="X36" s="50">
        <f t="shared" si="10"/>
        <v>0.27899999999999997</v>
      </c>
      <c r="Y36" s="238">
        <v>0</v>
      </c>
      <c r="Z36" s="101">
        <v>0</v>
      </c>
    </row>
    <row r="37" spans="1:26" x14ac:dyDescent="0.25">
      <c r="A37" s="264">
        <v>33</v>
      </c>
      <c r="B37" s="256" t="s">
        <v>41</v>
      </c>
      <c r="C37" s="34">
        <v>60</v>
      </c>
      <c r="D37" s="35">
        <v>67</v>
      </c>
      <c r="E37" s="35">
        <v>3</v>
      </c>
      <c r="F37" s="19">
        <f t="shared" si="5"/>
        <v>1.206E-2</v>
      </c>
      <c r="G37" s="23">
        <f>'KASIM 5 HAFTA  '!W37</f>
        <v>12</v>
      </c>
      <c r="H37" s="26">
        <f t="shared" si="6"/>
        <v>0.14471999999999999</v>
      </c>
      <c r="I37" s="21">
        <v>0</v>
      </c>
      <c r="J37" s="205">
        <f t="shared" si="0"/>
        <v>0</v>
      </c>
      <c r="K37" s="21">
        <v>0</v>
      </c>
      <c r="L37" s="10">
        <f t="shared" si="1"/>
        <v>0</v>
      </c>
      <c r="M37" s="21">
        <v>0</v>
      </c>
      <c r="N37" s="205">
        <f t="shared" si="2"/>
        <v>0</v>
      </c>
      <c r="O37" s="21">
        <v>0</v>
      </c>
      <c r="P37" s="10">
        <f t="shared" si="7"/>
        <v>0</v>
      </c>
      <c r="Q37" s="21">
        <v>0</v>
      </c>
      <c r="R37" s="205">
        <f t="shared" si="3"/>
        <v>0</v>
      </c>
      <c r="S37" s="39">
        <f t="shared" si="11"/>
        <v>12</v>
      </c>
      <c r="T37" s="38">
        <f t="shared" si="4"/>
        <v>0.14471999999999999</v>
      </c>
      <c r="U37" s="21">
        <v>0</v>
      </c>
      <c r="V37" s="13">
        <f t="shared" si="8"/>
        <v>0</v>
      </c>
      <c r="W37" s="49">
        <f t="shared" si="9"/>
        <v>12</v>
      </c>
      <c r="X37" s="50">
        <f t="shared" si="10"/>
        <v>0.14471999999999999</v>
      </c>
      <c r="Y37" s="238">
        <v>0</v>
      </c>
      <c r="Z37" s="101">
        <v>0</v>
      </c>
    </row>
    <row r="38" spans="1:26" x14ac:dyDescent="0.25">
      <c r="A38" s="264">
        <v>34</v>
      </c>
      <c r="B38" s="256" t="s">
        <v>35</v>
      </c>
      <c r="C38" s="34">
        <v>140</v>
      </c>
      <c r="D38" s="35">
        <v>240</v>
      </c>
      <c r="E38" s="35">
        <v>7</v>
      </c>
      <c r="F38" s="19">
        <f t="shared" si="5"/>
        <v>0.23519999999999999</v>
      </c>
      <c r="G38" s="23">
        <f>'KASIM 5 HAFTA  '!W38</f>
        <v>0</v>
      </c>
      <c r="H38" s="26">
        <f t="shared" si="6"/>
        <v>0</v>
      </c>
      <c r="I38" s="21">
        <v>0</v>
      </c>
      <c r="J38" s="205">
        <f t="shared" si="0"/>
        <v>0</v>
      </c>
      <c r="K38" s="21">
        <v>0</v>
      </c>
      <c r="L38" s="10">
        <f t="shared" si="1"/>
        <v>0</v>
      </c>
      <c r="M38" s="21">
        <v>0</v>
      </c>
      <c r="N38" s="205">
        <f t="shared" si="2"/>
        <v>0</v>
      </c>
      <c r="O38" s="21">
        <v>0</v>
      </c>
      <c r="P38" s="10">
        <f t="shared" si="7"/>
        <v>0</v>
      </c>
      <c r="Q38" s="21">
        <v>0</v>
      </c>
      <c r="R38" s="205">
        <f t="shared" si="3"/>
        <v>0</v>
      </c>
      <c r="S38" s="39">
        <f t="shared" si="11"/>
        <v>0</v>
      </c>
      <c r="T38" s="38">
        <f t="shared" si="4"/>
        <v>0</v>
      </c>
      <c r="U38" s="21">
        <v>0</v>
      </c>
      <c r="V38" s="13">
        <f t="shared" si="8"/>
        <v>0</v>
      </c>
      <c r="W38" s="49">
        <f t="shared" si="9"/>
        <v>0</v>
      </c>
      <c r="X38" s="50">
        <f t="shared" si="10"/>
        <v>0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36</v>
      </c>
      <c r="C39" s="34">
        <v>60</v>
      </c>
      <c r="D39" s="35">
        <v>56</v>
      </c>
      <c r="E39" s="35">
        <v>10</v>
      </c>
      <c r="F39" s="19">
        <f t="shared" si="5"/>
        <v>3.3599999999999998E-2</v>
      </c>
      <c r="G39" s="23">
        <f>'KASIM 5 HAFTA  '!W39</f>
        <v>0</v>
      </c>
      <c r="H39" s="26">
        <f t="shared" si="6"/>
        <v>0</v>
      </c>
      <c r="I39" s="21">
        <v>0</v>
      </c>
      <c r="J39" s="205">
        <f t="shared" si="0"/>
        <v>0</v>
      </c>
      <c r="K39" s="21">
        <v>0</v>
      </c>
      <c r="L39" s="10">
        <f t="shared" si="1"/>
        <v>0</v>
      </c>
      <c r="M39" s="21">
        <v>0</v>
      </c>
      <c r="N39" s="205">
        <f t="shared" si="2"/>
        <v>0</v>
      </c>
      <c r="O39" s="21">
        <v>0</v>
      </c>
      <c r="P39" s="10">
        <f t="shared" si="7"/>
        <v>0</v>
      </c>
      <c r="Q39" s="21">
        <v>0</v>
      </c>
      <c r="R39" s="205">
        <f t="shared" si="3"/>
        <v>0</v>
      </c>
      <c r="S39" s="39">
        <f t="shared" si="11"/>
        <v>0</v>
      </c>
      <c r="T39" s="38">
        <f t="shared" si="4"/>
        <v>0</v>
      </c>
      <c r="U39" s="21">
        <v>0</v>
      </c>
      <c r="V39" s="13">
        <f t="shared" si="8"/>
        <v>0</v>
      </c>
      <c r="W39" s="49">
        <f t="shared" si="9"/>
        <v>0</v>
      </c>
      <c r="X39" s="50">
        <f t="shared" si="10"/>
        <v>0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37</v>
      </c>
      <c r="C40" s="34">
        <v>58</v>
      </c>
      <c r="D40" s="35">
        <v>55</v>
      </c>
      <c r="E40" s="35">
        <v>10</v>
      </c>
      <c r="F40" s="19">
        <f t="shared" si="5"/>
        <v>3.1899999999999998E-2</v>
      </c>
      <c r="G40" s="23">
        <f>'KASIM 5 HAFTA  '!W40</f>
        <v>0</v>
      </c>
      <c r="H40" s="26">
        <f t="shared" si="6"/>
        <v>0</v>
      </c>
      <c r="I40" s="21">
        <v>0</v>
      </c>
      <c r="J40" s="205">
        <f t="shared" si="0"/>
        <v>0</v>
      </c>
      <c r="K40" s="21">
        <v>0</v>
      </c>
      <c r="L40" s="10">
        <f t="shared" si="1"/>
        <v>0</v>
      </c>
      <c r="M40" s="21">
        <v>0</v>
      </c>
      <c r="N40" s="205">
        <f t="shared" si="2"/>
        <v>0</v>
      </c>
      <c r="O40" s="21">
        <v>0</v>
      </c>
      <c r="P40" s="10">
        <f t="shared" si="7"/>
        <v>0</v>
      </c>
      <c r="Q40" s="21">
        <v>0</v>
      </c>
      <c r="R40" s="205">
        <f t="shared" si="3"/>
        <v>0</v>
      </c>
      <c r="S40" s="39">
        <f t="shared" si="11"/>
        <v>0</v>
      </c>
      <c r="T40" s="38">
        <f t="shared" si="4"/>
        <v>0</v>
      </c>
      <c r="U40" s="21">
        <v>0</v>
      </c>
      <c r="V40" s="13">
        <f t="shared" si="8"/>
        <v>0</v>
      </c>
      <c r="W40" s="49">
        <f t="shared" si="9"/>
        <v>0</v>
      </c>
      <c r="X40" s="50">
        <f t="shared" si="10"/>
        <v>0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38</v>
      </c>
      <c r="C41" s="34">
        <v>63</v>
      </c>
      <c r="D41" s="35">
        <v>55</v>
      </c>
      <c r="E41" s="35">
        <v>5</v>
      </c>
      <c r="F41" s="19">
        <f t="shared" si="5"/>
        <v>1.7325E-2</v>
      </c>
      <c r="G41" s="23">
        <f>'KASIM 5 HAFTA  '!W41</f>
        <v>10</v>
      </c>
      <c r="H41" s="26">
        <f t="shared" si="6"/>
        <v>0.17325000000000002</v>
      </c>
      <c r="I41" s="21">
        <v>0</v>
      </c>
      <c r="J41" s="205">
        <f t="shared" si="0"/>
        <v>0</v>
      </c>
      <c r="K41" s="21">
        <v>0</v>
      </c>
      <c r="L41" s="10">
        <f t="shared" si="1"/>
        <v>0</v>
      </c>
      <c r="M41" s="21">
        <v>0</v>
      </c>
      <c r="N41" s="205">
        <f t="shared" si="2"/>
        <v>0</v>
      </c>
      <c r="O41" s="21">
        <v>0</v>
      </c>
      <c r="P41" s="10">
        <f t="shared" si="7"/>
        <v>0</v>
      </c>
      <c r="Q41" s="21">
        <v>0</v>
      </c>
      <c r="R41" s="205">
        <f t="shared" si="3"/>
        <v>0</v>
      </c>
      <c r="S41" s="39">
        <f t="shared" si="11"/>
        <v>10</v>
      </c>
      <c r="T41" s="38">
        <f t="shared" si="4"/>
        <v>0.17325000000000002</v>
      </c>
      <c r="U41" s="21">
        <v>0</v>
      </c>
      <c r="V41" s="13">
        <f t="shared" si="8"/>
        <v>0</v>
      </c>
      <c r="W41" s="49">
        <f t="shared" si="9"/>
        <v>10</v>
      </c>
      <c r="X41" s="50">
        <f t="shared" si="10"/>
        <v>0.17325000000000002</v>
      </c>
      <c r="Y41" s="238">
        <v>0</v>
      </c>
      <c r="Z41" s="101">
        <v>0</v>
      </c>
    </row>
    <row r="42" spans="1:26" x14ac:dyDescent="0.25">
      <c r="A42" s="264">
        <v>38</v>
      </c>
      <c r="B42" s="256" t="s">
        <v>111</v>
      </c>
      <c r="C42" s="34">
        <v>52</v>
      </c>
      <c r="D42" s="35">
        <v>52</v>
      </c>
      <c r="E42" s="35">
        <v>5</v>
      </c>
      <c r="F42" s="19">
        <f t="shared" si="5"/>
        <v>1.3520000000000001E-2</v>
      </c>
      <c r="G42" s="23">
        <f>'KASIM 5 HAFTA  '!W42</f>
        <v>12</v>
      </c>
      <c r="H42" s="26">
        <f t="shared" si="6"/>
        <v>0.16224</v>
      </c>
      <c r="I42" s="21">
        <v>0</v>
      </c>
      <c r="J42" s="205">
        <f t="shared" si="0"/>
        <v>0</v>
      </c>
      <c r="K42" s="21">
        <v>0</v>
      </c>
      <c r="L42" s="10">
        <f t="shared" si="1"/>
        <v>0</v>
      </c>
      <c r="M42" s="21">
        <v>0</v>
      </c>
      <c r="N42" s="205">
        <f t="shared" si="2"/>
        <v>0</v>
      </c>
      <c r="O42" s="21">
        <v>0</v>
      </c>
      <c r="P42" s="10">
        <f t="shared" si="7"/>
        <v>0</v>
      </c>
      <c r="Q42" s="21">
        <v>0</v>
      </c>
      <c r="R42" s="205">
        <f t="shared" si="3"/>
        <v>0</v>
      </c>
      <c r="S42" s="39">
        <f t="shared" si="11"/>
        <v>12</v>
      </c>
      <c r="T42" s="38">
        <f t="shared" si="4"/>
        <v>0.16224</v>
      </c>
      <c r="U42" s="21">
        <v>65</v>
      </c>
      <c r="V42" s="13">
        <f t="shared" si="8"/>
        <v>0.87880000000000003</v>
      </c>
      <c r="W42" s="49">
        <f t="shared" si="9"/>
        <v>77</v>
      </c>
      <c r="X42" s="50">
        <f t="shared" si="10"/>
        <v>1.04104</v>
      </c>
      <c r="Y42" s="238">
        <v>0</v>
      </c>
      <c r="Z42" s="101">
        <v>0</v>
      </c>
    </row>
    <row r="43" spans="1:26" x14ac:dyDescent="0.25">
      <c r="A43" s="264">
        <v>39</v>
      </c>
      <c r="B43" s="256" t="s">
        <v>40</v>
      </c>
      <c r="C43" s="34">
        <v>80</v>
      </c>
      <c r="D43" s="35">
        <v>70</v>
      </c>
      <c r="E43" s="35">
        <v>8</v>
      </c>
      <c r="F43" s="19">
        <f t="shared" si="5"/>
        <v>4.48E-2</v>
      </c>
      <c r="G43" s="23">
        <f>'KASIM 5 HAFTA  '!W43</f>
        <v>253</v>
      </c>
      <c r="H43" s="26">
        <f t="shared" si="6"/>
        <v>11.3344</v>
      </c>
      <c r="I43" s="21">
        <v>0</v>
      </c>
      <c r="J43" s="205">
        <f t="shared" si="0"/>
        <v>0</v>
      </c>
      <c r="K43" s="21">
        <v>0</v>
      </c>
      <c r="L43" s="10">
        <f t="shared" si="1"/>
        <v>0</v>
      </c>
      <c r="M43" s="21">
        <v>0</v>
      </c>
      <c r="N43" s="205">
        <f t="shared" si="2"/>
        <v>0</v>
      </c>
      <c r="O43" s="21">
        <v>0</v>
      </c>
      <c r="P43" s="10">
        <f t="shared" si="7"/>
        <v>0</v>
      </c>
      <c r="Q43" s="21">
        <v>4</v>
      </c>
      <c r="R43" s="205">
        <f t="shared" si="3"/>
        <v>0.1792</v>
      </c>
      <c r="S43" s="39">
        <f t="shared" si="11"/>
        <v>249</v>
      </c>
      <c r="T43" s="38">
        <f t="shared" si="4"/>
        <v>11.155200000000001</v>
      </c>
      <c r="U43" s="21">
        <v>70</v>
      </c>
      <c r="V43" s="13">
        <f t="shared" si="8"/>
        <v>3.1360000000000001</v>
      </c>
      <c r="W43" s="49">
        <f t="shared" si="9"/>
        <v>319</v>
      </c>
      <c r="X43" s="50">
        <f t="shared" si="10"/>
        <v>14.2912</v>
      </c>
      <c r="Y43" s="238">
        <v>50</v>
      </c>
      <c r="Z43" s="101">
        <v>200</v>
      </c>
    </row>
    <row r="44" spans="1:26" x14ac:dyDescent="0.25">
      <c r="A44" s="264">
        <v>40</v>
      </c>
      <c r="B44" s="256" t="s">
        <v>42</v>
      </c>
      <c r="C44" s="34">
        <v>70</v>
      </c>
      <c r="D44" s="35">
        <v>64</v>
      </c>
      <c r="E44" s="35">
        <v>8</v>
      </c>
      <c r="F44" s="19">
        <f t="shared" si="5"/>
        <v>3.5839999999999997E-2</v>
      </c>
      <c r="G44" s="23">
        <f>'KASIM 5 HAFTA  '!W44</f>
        <v>282</v>
      </c>
      <c r="H44" s="26">
        <f t="shared" si="6"/>
        <v>10.106879999999999</v>
      </c>
      <c r="I44" s="21">
        <v>0</v>
      </c>
      <c r="J44" s="205">
        <f t="shared" si="0"/>
        <v>0</v>
      </c>
      <c r="K44" s="21">
        <v>0</v>
      </c>
      <c r="L44" s="10">
        <f t="shared" si="1"/>
        <v>0</v>
      </c>
      <c r="M44" s="21">
        <v>0</v>
      </c>
      <c r="N44" s="205">
        <f t="shared" si="2"/>
        <v>0</v>
      </c>
      <c r="O44" s="21">
        <v>0</v>
      </c>
      <c r="P44" s="10">
        <f t="shared" si="7"/>
        <v>0</v>
      </c>
      <c r="Q44" s="21">
        <v>0</v>
      </c>
      <c r="R44" s="205">
        <f t="shared" si="3"/>
        <v>0</v>
      </c>
      <c r="S44" s="39">
        <f t="shared" si="11"/>
        <v>282</v>
      </c>
      <c r="T44" s="38">
        <f t="shared" si="4"/>
        <v>10.106879999999999</v>
      </c>
      <c r="U44" s="21">
        <v>81</v>
      </c>
      <c r="V44" s="13">
        <f t="shared" si="8"/>
        <v>2.9030399999999998</v>
      </c>
      <c r="W44" s="49">
        <f t="shared" si="9"/>
        <v>363</v>
      </c>
      <c r="X44" s="50">
        <f t="shared" si="10"/>
        <v>13.009919999999999</v>
      </c>
      <c r="Y44" s="238">
        <v>50</v>
      </c>
      <c r="Z44" s="101">
        <v>200</v>
      </c>
    </row>
    <row r="45" spans="1:26" x14ac:dyDescent="0.25">
      <c r="A45" s="264">
        <v>41</v>
      </c>
      <c r="B45" s="256" t="s">
        <v>43</v>
      </c>
      <c r="C45" s="34">
        <v>75</v>
      </c>
      <c r="D45" s="35">
        <v>70</v>
      </c>
      <c r="E45" s="35">
        <v>8</v>
      </c>
      <c r="F45" s="19">
        <f t="shared" si="5"/>
        <v>4.2000000000000003E-2</v>
      </c>
      <c r="G45" s="23">
        <f>'KASIM 5 HAFTA  '!W45</f>
        <v>424</v>
      </c>
      <c r="H45" s="26">
        <f t="shared" si="6"/>
        <v>17.808</v>
      </c>
      <c r="I45" s="21">
        <v>0</v>
      </c>
      <c r="J45" s="205">
        <f t="shared" si="0"/>
        <v>0</v>
      </c>
      <c r="K45" s="21">
        <v>0</v>
      </c>
      <c r="L45" s="10">
        <f t="shared" si="1"/>
        <v>0</v>
      </c>
      <c r="M45" s="21">
        <v>0</v>
      </c>
      <c r="N45" s="205">
        <f t="shared" si="2"/>
        <v>0</v>
      </c>
      <c r="O45" s="21">
        <v>0</v>
      </c>
      <c r="P45" s="10">
        <f t="shared" si="7"/>
        <v>0</v>
      </c>
      <c r="Q45" s="21">
        <v>0</v>
      </c>
      <c r="R45" s="205">
        <f t="shared" si="3"/>
        <v>0</v>
      </c>
      <c r="S45" s="39">
        <f t="shared" si="11"/>
        <v>424</v>
      </c>
      <c r="T45" s="38">
        <f t="shared" si="4"/>
        <v>17.808</v>
      </c>
      <c r="U45" s="21">
        <v>10</v>
      </c>
      <c r="V45" s="13">
        <f t="shared" si="8"/>
        <v>0.42000000000000004</v>
      </c>
      <c r="W45" s="49">
        <f t="shared" si="9"/>
        <v>434</v>
      </c>
      <c r="X45" s="50">
        <f t="shared" si="10"/>
        <v>18.228000000000002</v>
      </c>
      <c r="Y45" s="238">
        <v>50</v>
      </c>
      <c r="Z45" s="101">
        <v>200</v>
      </c>
    </row>
    <row r="46" spans="1:26" x14ac:dyDescent="0.25">
      <c r="A46" s="264">
        <v>42</v>
      </c>
      <c r="B46" s="256" t="s">
        <v>101</v>
      </c>
      <c r="C46" s="34">
        <v>140</v>
      </c>
      <c r="D46" s="35">
        <v>67</v>
      </c>
      <c r="E46" s="35">
        <v>5</v>
      </c>
      <c r="F46" s="19">
        <f t="shared" si="5"/>
        <v>4.6899999999999997E-2</v>
      </c>
      <c r="G46" s="23">
        <f>'KASIM 5 HAFTA  '!W46</f>
        <v>221</v>
      </c>
      <c r="H46" s="26">
        <f t="shared" si="6"/>
        <v>10.364899999999999</v>
      </c>
      <c r="I46" s="21">
        <v>0</v>
      </c>
      <c r="J46" s="205">
        <f t="shared" si="0"/>
        <v>0</v>
      </c>
      <c r="K46" s="21">
        <v>0</v>
      </c>
      <c r="L46" s="10">
        <f t="shared" si="1"/>
        <v>0</v>
      </c>
      <c r="M46" s="21">
        <v>0</v>
      </c>
      <c r="N46" s="205">
        <f t="shared" si="2"/>
        <v>0</v>
      </c>
      <c r="O46" s="21">
        <v>0</v>
      </c>
      <c r="P46" s="10">
        <f t="shared" si="7"/>
        <v>0</v>
      </c>
      <c r="Q46" s="21">
        <v>0</v>
      </c>
      <c r="R46" s="205">
        <f t="shared" si="3"/>
        <v>0</v>
      </c>
      <c r="S46" s="39">
        <f t="shared" si="11"/>
        <v>221</v>
      </c>
      <c r="T46" s="38">
        <f t="shared" si="4"/>
        <v>10.364899999999999</v>
      </c>
      <c r="U46" s="21">
        <v>126</v>
      </c>
      <c r="V46" s="13">
        <f t="shared" si="8"/>
        <v>5.9093999999999998</v>
      </c>
      <c r="W46" s="49">
        <f t="shared" si="9"/>
        <v>347</v>
      </c>
      <c r="X46" s="50">
        <f t="shared" si="10"/>
        <v>16.2743</v>
      </c>
      <c r="Y46" s="238">
        <v>50</v>
      </c>
      <c r="Z46" s="101">
        <v>100</v>
      </c>
    </row>
    <row r="47" spans="1:26" x14ac:dyDescent="0.25">
      <c r="A47" s="264">
        <v>43</v>
      </c>
      <c r="B47" s="256" t="s">
        <v>45</v>
      </c>
      <c r="C47" s="34">
        <v>80</v>
      </c>
      <c r="D47" s="35">
        <v>63</v>
      </c>
      <c r="E47" s="35">
        <v>5</v>
      </c>
      <c r="F47" s="19">
        <f t="shared" si="5"/>
        <v>2.52E-2</v>
      </c>
      <c r="G47" s="23">
        <f>'KASIM 5 HAFTA  '!W47</f>
        <v>315</v>
      </c>
      <c r="H47" s="26">
        <f t="shared" si="6"/>
        <v>7.9379999999999997</v>
      </c>
      <c r="I47" s="21">
        <v>0</v>
      </c>
      <c r="J47" s="205">
        <f t="shared" si="0"/>
        <v>0</v>
      </c>
      <c r="K47" s="21">
        <v>0</v>
      </c>
      <c r="L47" s="10">
        <f t="shared" si="1"/>
        <v>0</v>
      </c>
      <c r="M47" s="21">
        <v>0</v>
      </c>
      <c r="N47" s="205">
        <f t="shared" si="2"/>
        <v>0</v>
      </c>
      <c r="O47" s="21">
        <v>0</v>
      </c>
      <c r="P47" s="10">
        <f t="shared" si="7"/>
        <v>0</v>
      </c>
      <c r="Q47" s="21">
        <v>0</v>
      </c>
      <c r="R47" s="205">
        <f t="shared" si="3"/>
        <v>0</v>
      </c>
      <c r="S47" s="39">
        <f t="shared" si="11"/>
        <v>315</v>
      </c>
      <c r="T47" s="38">
        <f t="shared" si="4"/>
        <v>7.9379999999999997</v>
      </c>
      <c r="U47" s="21">
        <v>0</v>
      </c>
      <c r="V47" s="13">
        <f t="shared" si="8"/>
        <v>0</v>
      </c>
      <c r="W47" s="49">
        <f t="shared" si="9"/>
        <v>315</v>
      </c>
      <c r="X47" s="50">
        <f t="shared" si="10"/>
        <v>7.9379999999999997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46</v>
      </c>
      <c r="C48" s="34">
        <v>77</v>
      </c>
      <c r="D48" s="35">
        <v>68</v>
      </c>
      <c r="E48" s="35">
        <v>8</v>
      </c>
      <c r="F48" s="19">
        <f t="shared" si="5"/>
        <v>4.1888000000000002E-2</v>
      </c>
      <c r="G48" s="23">
        <f>'KASIM 5 HAFTA  '!W48</f>
        <v>89</v>
      </c>
      <c r="H48" s="26">
        <f t="shared" si="6"/>
        <v>3.7280320000000002</v>
      </c>
      <c r="I48" s="21">
        <v>80</v>
      </c>
      <c r="J48" s="205">
        <f t="shared" si="0"/>
        <v>3.3510400000000002</v>
      </c>
      <c r="K48" s="21">
        <v>0</v>
      </c>
      <c r="L48" s="10">
        <f t="shared" si="1"/>
        <v>0</v>
      </c>
      <c r="M48" s="21">
        <v>0</v>
      </c>
      <c r="N48" s="205">
        <f t="shared" si="2"/>
        <v>0</v>
      </c>
      <c r="O48" s="21">
        <v>0</v>
      </c>
      <c r="P48" s="10">
        <f t="shared" si="7"/>
        <v>0</v>
      </c>
      <c r="Q48" s="21">
        <v>0</v>
      </c>
      <c r="R48" s="205">
        <f t="shared" si="3"/>
        <v>0</v>
      </c>
      <c r="S48" s="39">
        <f t="shared" si="11"/>
        <v>9</v>
      </c>
      <c r="T48" s="38">
        <f t="shared" si="4"/>
        <v>0.37699199999999999</v>
      </c>
      <c r="U48" s="21">
        <v>0</v>
      </c>
      <c r="V48" s="13">
        <f t="shared" si="8"/>
        <v>0</v>
      </c>
      <c r="W48" s="49">
        <f t="shared" si="9"/>
        <v>9</v>
      </c>
      <c r="X48" s="50">
        <f t="shared" si="10"/>
        <v>0.37699199999999999</v>
      </c>
      <c r="Y48" s="238">
        <v>50</v>
      </c>
      <c r="Z48" s="101">
        <v>200</v>
      </c>
    </row>
    <row r="49" spans="1:26" x14ac:dyDescent="0.25">
      <c r="A49" s="264">
        <v>45</v>
      </c>
      <c r="B49" s="256" t="s">
        <v>47</v>
      </c>
      <c r="C49" s="34">
        <v>79</v>
      </c>
      <c r="D49" s="35">
        <v>79</v>
      </c>
      <c r="E49" s="35">
        <v>2</v>
      </c>
      <c r="F49" s="19">
        <f t="shared" si="5"/>
        <v>1.2482E-2</v>
      </c>
      <c r="G49" s="23">
        <f>'KASIM 5 HAFTA  '!W49</f>
        <v>244</v>
      </c>
      <c r="H49" s="26">
        <f t="shared" si="6"/>
        <v>3.0456080000000001</v>
      </c>
      <c r="I49" s="21">
        <v>0</v>
      </c>
      <c r="J49" s="205">
        <f t="shared" si="0"/>
        <v>0</v>
      </c>
      <c r="K49" s="21">
        <v>0</v>
      </c>
      <c r="L49" s="10">
        <f t="shared" si="1"/>
        <v>0</v>
      </c>
      <c r="M49" s="21">
        <v>0</v>
      </c>
      <c r="N49" s="205">
        <f t="shared" si="2"/>
        <v>0</v>
      </c>
      <c r="O49" s="21">
        <v>0</v>
      </c>
      <c r="P49" s="10">
        <f t="shared" si="7"/>
        <v>0</v>
      </c>
      <c r="Q49" s="21">
        <v>0</v>
      </c>
      <c r="R49" s="205">
        <f t="shared" si="3"/>
        <v>0</v>
      </c>
      <c r="S49" s="39">
        <f t="shared" si="11"/>
        <v>244</v>
      </c>
      <c r="T49" s="38">
        <f t="shared" si="4"/>
        <v>3.0456080000000001</v>
      </c>
      <c r="U49" s="21">
        <v>0</v>
      </c>
      <c r="V49" s="13">
        <f t="shared" si="8"/>
        <v>0</v>
      </c>
      <c r="W49" s="49">
        <f t="shared" si="9"/>
        <v>244</v>
      </c>
      <c r="X49" s="50">
        <f t="shared" si="10"/>
        <v>3.0456080000000001</v>
      </c>
      <c r="Y49" s="238">
        <v>100</v>
      </c>
      <c r="Z49" s="101">
        <v>300</v>
      </c>
    </row>
    <row r="50" spans="1:26" x14ac:dyDescent="0.25">
      <c r="A50" s="264">
        <v>46</v>
      </c>
      <c r="B50" s="256" t="s">
        <v>48</v>
      </c>
      <c r="C50" s="34">
        <v>61</v>
      </c>
      <c r="D50" s="35">
        <v>56</v>
      </c>
      <c r="E50" s="35">
        <v>10</v>
      </c>
      <c r="F50" s="19">
        <f t="shared" si="5"/>
        <v>3.4160000000000003E-2</v>
      </c>
      <c r="G50" s="23">
        <f>'KASIM 5 HAFTA  '!W50</f>
        <v>0</v>
      </c>
      <c r="H50" s="26">
        <f t="shared" si="6"/>
        <v>0</v>
      </c>
      <c r="I50" s="21">
        <v>40</v>
      </c>
      <c r="J50" s="205">
        <f t="shared" si="0"/>
        <v>1.3664000000000001</v>
      </c>
      <c r="K50" s="21">
        <v>0</v>
      </c>
      <c r="L50" s="10">
        <f t="shared" si="1"/>
        <v>0</v>
      </c>
      <c r="M50" s="21">
        <v>51</v>
      </c>
      <c r="N50" s="205">
        <f t="shared" si="2"/>
        <v>1.7421600000000002</v>
      </c>
      <c r="O50" s="21">
        <v>0</v>
      </c>
      <c r="P50" s="10">
        <f t="shared" si="7"/>
        <v>0</v>
      </c>
      <c r="Q50" s="21">
        <v>0</v>
      </c>
      <c r="R50" s="205">
        <f t="shared" si="3"/>
        <v>0</v>
      </c>
      <c r="S50" s="39">
        <f t="shared" si="11"/>
        <v>-91</v>
      </c>
      <c r="T50" s="38">
        <f t="shared" si="4"/>
        <v>-3.1085600000000002</v>
      </c>
      <c r="U50" s="21">
        <v>91</v>
      </c>
      <c r="V50" s="13">
        <f t="shared" si="8"/>
        <v>3.1085600000000002</v>
      </c>
      <c r="W50" s="49">
        <f t="shared" si="9"/>
        <v>0</v>
      </c>
      <c r="X50" s="50">
        <f t="shared" si="10"/>
        <v>0</v>
      </c>
      <c r="Y50" s="238">
        <v>30</v>
      </c>
      <c r="Z50" s="101">
        <v>100</v>
      </c>
    </row>
    <row r="51" spans="1:26" x14ac:dyDescent="0.25">
      <c r="A51" s="264">
        <v>47</v>
      </c>
      <c r="B51" s="256" t="s">
        <v>49</v>
      </c>
      <c r="C51" s="34">
        <v>66</v>
      </c>
      <c r="D51" s="35">
        <v>61</v>
      </c>
      <c r="E51" s="35">
        <v>10</v>
      </c>
      <c r="F51" s="19">
        <f t="shared" si="5"/>
        <v>4.0259999999999997E-2</v>
      </c>
      <c r="G51" s="23">
        <f>'KASIM 5 HAFTA  '!W51</f>
        <v>153</v>
      </c>
      <c r="H51" s="26">
        <f t="shared" si="6"/>
        <v>6.1597799999999996</v>
      </c>
      <c r="I51" s="21">
        <v>20</v>
      </c>
      <c r="J51" s="205">
        <f t="shared" si="0"/>
        <v>0.80519999999999992</v>
      </c>
      <c r="K51" s="21">
        <v>0</v>
      </c>
      <c r="L51" s="10">
        <f t="shared" si="1"/>
        <v>0</v>
      </c>
      <c r="M51" s="21">
        <v>222</v>
      </c>
      <c r="N51" s="205">
        <f t="shared" si="2"/>
        <v>8.9377199999999988</v>
      </c>
      <c r="O51" s="21">
        <v>0</v>
      </c>
      <c r="P51" s="10">
        <f t="shared" si="7"/>
        <v>0</v>
      </c>
      <c r="Q51" s="21">
        <v>0</v>
      </c>
      <c r="R51" s="205">
        <f t="shared" si="3"/>
        <v>0</v>
      </c>
      <c r="S51" s="39">
        <f t="shared" si="11"/>
        <v>-89</v>
      </c>
      <c r="T51" s="38">
        <f t="shared" si="4"/>
        <v>-3.5831399999999998</v>
      </c>
      <c r="U51" s="21">
        <v>89</v>
      </c>
      <c r="V51" s="13">
        <f t="shared" si="8"/>
        <v>3.5831399999999998</v>
      </c>
      <c r="W51" s="49">
        <f t="shared" si="9"/>
        <v>0</v>
      </c>
      <c r="X51" s="50">
        <f t="shared" si="10"/>
        <v>0</v>
      </c>
      <c r="Y51" s="238">
        <v>30</v>
      </c>
      <c r="Z51" s="101">
        <v>100</v>
      </c>
    </row>
    <row r="52" spans="1:26" x14ac:dyDescent="0.25">
      <c r="A52" s="264">
        <v>48</v>
      </c>
      <c r="B52" s="256" t="s">
        <v>50</v>
      </c>
      <c r="C52" s="34">
        <v>63</v>
      </c>
      <c r="D52" s="35">
        <v>61</v>
      </c>
      <c r="E52" s="35">
        <v>10</v>
      </c>
      <c r="F52" s="19">
        <f t="shared" si="5"/>
        <v>3.8429999999999999E-2</v>
      </c>
      <c r="G52" s="23">
        <f>'KASIM 5 HAFTA  '!W52</f>
        <v>263</v>
      </c>
      <c r="H52" s="26">
        <f t="shared" si="6"/>
        <v>10.107089999999999</v>
      </c>
      <c r="I52" s="21">
        <v>0</v>
      </c>
      <c r="J52" s="205">
        <f t="shared" si="0"/>
        <v>0</v>
      </c>
      <c r="K52" s="21">
        <v>6</v>
      </c>
      <c r="L52" s="10">
        <f t="shared" si="1"/>
        <v>0.23058000000000001</v>
      </c>
      <c r="M52" s="21">
        <v>257</v>
      </c>
      <c r="N52" s="205">
        <f t="shared" si="2"/>
        <v>9.8765099999999997</v>
      </c>
      <c r="O52" s="21">
        <v>0</v>
      </c>
      <c r="P52" s="10">
        <f t="shared" si="7"/>
        <v>0</v>
      </c>
      <c r="Q52" s="21">
        <v>0</v>
      </c>
      <c r="R52" s="205">
        <f t="shared" si="3"/>
        <v>0</v>
      </c>
      <c r="S52" s="39">
        <f t="shared" si="11"/>
        <v>0</v>
      </c>
      <c r="T52" s="38">
        <f t="shared" si="4"/>
        <v>0</v>
      </c>
      <c r="U52" s="21">
        <v>0</v>
      </c>
      <c r="V52" s="13">
        <f t="shared" si="8"/>
        <v>0</v>
      </c>
      <c r="W52" s="49">
        <f t="shared" si="9"/>
        <v>0</v>
      </c>
      <c r="X52" s="50">
        <f t="shared" si="10"/>
        <v>0</v>
      </c>
      <c r="Y52" s="238">
        <v>30</v>
      </c>
      <c r="Z52" s="101">
        <v>100</v>
      </c>
    </row>
    <row r="53" spans="1:26" x14ac:dyDescent="0.25">
      <c r="A53" s="264">
        <v>49</v>
      </c>
      <c r="B53" s="256" t="s">
        <v>51</v>
      </c>
      <c r="C53" s="34">
        <v>58</v>
      </c>
      <c r="D53" s="35">
        <v>58</v>
      </c>
      <c r="E53" s="35">
        <v>2.2999999999999998</v>
      </c>
      <c r="F53" s="19">
        <f t="shared" si="5"/>
        <v>7.7371999999999996E-3</v>
      </c>
      <c r="G53" s="23">
        <f>'KASIM 5 HAFTA  '!W53</f>
        <v>3643</v>
      </c>
      <c r="H53" s="26">
        <f t="shared" si="6"/>
        <v>28.1866196</v>
      </c>
      <c r="I53" s="21">
        <v>0</v>
      </c>
      <c r="J53" s="205">
        <f t="shared" si="0"/>
        <v>0</v>
      </c>
      <c r="K53" s="21">
        <v>220</v>
      </c>
      <c r="L53" s="10">
        <f t="shared" si="1"/>
        <v>1.7021839999999999</v>
      </c>
      <c r="M53" s="21">
        <v>0</v>
      </c>
      <c r="N53" s="205">
        <f t="shared" si="2"/>
        <v>0</v>
      </c>
      <c r="O53" s="21">
        <v>0</v>
      </c>
      <c r="P53" s="10">
        <f t="shared" si="7"/>
        <v>0</v>
      </c>
      <c r="Q53" s="21">
        <v>0</v>
      </c>
      <c r="R53" s="205">
        <f t="shared" si="3"/>
        <v>0</v>
      </c>
      <c r="S53" s="39">
        <f t="shared" si="11"/>
        <v>3423</v>
      </c>
      <c r="T53" s="38">
        <f t="shared" si="4"/>
        <v>26.484435599999998</v>
      </c>
      <c r="U53" s="21">
        <v>0</v>
      </c>
      <c r="V53" s="13">
        <f t="shared" si="8"/>
        <v>0</v>
      </c>
      <c r="W53" s="49">
        <f t="shared" si="9"/>
        <v>3423</v>
      </c>
      <c r="X53" s="50">
        <f t="shared" si="10"/>
        <v>26.484435599999998</v>
      </c>
      <c r="Y53" s="238">
        <v>200</v>
      </c>
      <c r="Z53" s="101">
        <v>500</v>
      </c>
    </row>
    <row r="54" spans="1:26" x14ac:dyDescent="0.25">
      <c r="A54" s="264">
        <v>50</v>
      </c>
      <c r="B54" s="256" t="s">
        <v>52</v>
      </c>
      <c r="C54" s="34">
        <v>79</v>
      </c>
      <c r="D54" s="35">
        <v>62</v>
      </c>
      <c r="E54" s="35">
        <v>2.2999999999999998</v>
      </c>
      <c r="F54" s="19">
        <f t="shared" si="5"/>
        <v>1.12654E-2</v>
      </c>
      <c r="G54" s="23">
        <f>'KASIM 5 HAFTA  '!W54</f>
        <v>3409</v>
      </c>
      <c r="H54" s="26">
        <f t="shared" si="6"/>
        <v>38.4037486</v>
      </c>
      <c r="I54" s="21">
        <v>0</v>
      </c>
      <c r="J54" s="205">
        <f t="shared" si="0"/>
        <v>0</v>
      </c>
      <c r="K54" s="21">
        <v>0</v>
      </c>
      <c r="L54" s="10">
        <f t="shared" si="1"/>
        <v>0</v>
      </c>
      <c r="M54" s="21">
        <v>0</v>
      </c>
      <c r="N54" s="205">
        <f t="shared" si="2"/>
        <v>0</v>
      </c>
      <c r="O54" s="21">
        <v>27</v>
      </c>
      <c r="P54" s="10">
        <f t="shared" si="7"/>
        <v>0.30416579999999999</v>
      </c>
      <c r="Q54" s="21">
        <v>0</v>
      </c>
      <c r="R54" s="205">
        <f t="shared" si="3"/>
        <v>0</v>
      </c>
      <c r="S54" s="39">
        <f t="shared" si="11"/>
        <v>3382</v>
      </c>
      <c r="T54" s="38">
        <f t="shared" si="4"/>
        <v>38.0995828</v>
      </c>
      <c r="U54" s="21">
        <v>0</v>
      </c>
      <c r="V54" s="13">
        <f t="shared" si="8"/>
        <v>0</v>
      </c>
      <c r="W54" s="49">
        <f t="shared" si="9"/>
        <v>3382</v>
      </c>
      <c r="X54" s="50">
        <f t="shared" si="10"/>
        <v>38.0995828</v>
      </c>
      <c r="Y54" s="238">
        <v>100</v>
      </c>
      <c r="Z54" s="101">
        <v>300</v>
      </c>
    </row>
    <row r="55" spans="1:26" x14ac:dyDescent="0.25">
      <c r="A55" s="264">
        <v>51</v>
      </c>
      <c r="B55" s="256" t="s">
        <v>53</v>
      </c>
      <c r="C55" s="34">
        <v>200</v>
      </c>
      <c r="D55" s="35">
        <v>176</v>
      </c>
      <c r="E55" s="35">
        <v>2.2999999999999998</v>
      </c>
      <c r="F55" s="19">
        <f t="shared" si="5"/>
        <v>8.0960000000000004E-2</v>
      </c>
      <c r="G55" s="23">
        <f>'KASIM 5 HAFTA  '!W55</f>
        <v>1</v>
      </c>
      <c r="H55" s="26">
        <f t="shared" si="6"/>
        <v>8.0960000000000004E-2</v>
      </c>
      <c r="I55" s="21">
        <v>0</v>
      </c>
      <c r="J55" s="205">
        <f t="shared" si="0"/>
        <v>0</v>
      </c>
      <c r="K55" s="21">
        <v>0</v>
      </c>
      <c r="L55" s="10">
        <f t="shared" si="1"/>
        <v>0</v>
      </c>
      <c r="M55" s="21">
        <v>0</v>
      </c>
      <c r="N55" s="205">
        <f t="shared" si="2"/>
        <v>0</v>
      </c>
      <c r="O55" s="21">
        <v>0</v>
      </c>
      <c r="P55" s="10">
        <f t="shared" si="7"/>
        <v>0</v>
      </c>
      <c r="Q55" s="21">
        <v>0</v>
      </c>
      <c r="R55" s="205">
        <f t="shared" si="3"/>
        <v>0</v>
      </c>
      <c r="S55" s="39">
        <f t="shared" si="11"/>
        <v>1</v>
      </c>
      <c r="T55" s="38">
        <f t="shared" si="4"/>
        <v>8.0960000000000004E-2</v>
      </c>
      <c r="U55" s="21">
        <v>0</v>
      </c>
      <c r="V55" s="13">
        <f t="shared" si="8"/>
        <v>0</v>
      </c>
      <c r="W55" s="49">
        <f t="shared" si="9"/>
        <v>1</v>
      </c>
      <c r="X55" s="50">
        <f t="shared" si="10"/>
        <v>8.0960000000000004E-2</v>
      </c>
      <c r="Y55" s="238">
        <v>0</v>
      </c>
      <c r="Z55" s="101">
        <v>0</v>
      </c>
    </row>
    <row r="56" spans="1:26" x14ac:dyDescent="0.25">
      <c r="A56" s="264">
        <v>52</v>
      </c>
      <c r="B56" s="256" t="s">
        <v>54</v>
      </c>
      <c r="C56" s="34">
        <v>79</v>
      </c>
      <c r="D56" s="35">
        <v>79</v>
      </c>
      <c r="E56" s="35">
        <v>2.2999999999999998</v>
      </c>
      <c r="F56" s="19">
        <f t="shared" si="5"/>
        <v>1.4354299999999999E-2</v>
      </c>
      <c r="G56" s="23">
        <f>'KASIM 5 HAFTA  '!W56</f>
        <v>3597</v>
      </c>
      <c r="H56" s="26">
        <f t="shared" si="6"/>
        <v>51.632417099999998</v>
      </c>
      <c r="I56" s="21">
        <v>0</v>
      </c>
      <c r="J56" s="205">
        <f t="shared" si="0"/>
        <v>0</v>
      </c>
      <c r="K56" s="21">
        <v>0</v>
      </c>
      <c r="L56" s="10">
        <f t="shared" si="1"/>
        <v>0</v>
      </c>
      <c r="M56" s="21">
        <v>0</v>
      </c>
      <c r="N56" s="205">
        <f t="shared" si="2"/>
        <v>0</v>
      </c>
      <c r="O56" s="21">
        <v>0</v>
      </c>
      <c r="P56" s="10">
        <f t="shared" si="7"/>
        <v>0</v>
      </c>
      <c r="Q56" s="21">
        <v>0</v>
      </c>
      <c r="R56" s="205">
        <f t="shared" si="3"/>
        <v>0</v>
      </c>
      <c r="S56" s="39">
        <f t="shared" si="11"/>
        <v>3597</v>
      </c>
      <c r="T56" s="38">
        <f t="shared" si="4"/>
        <v>51.632417099999998</v>
      </c>
      <c r="U56" s="21">
        <v>0</v>
      </c>
      <c r="V56" s="13">
        <f t="shared" si="8"/>
        <v>0</v>
      </c>
      <c r="W56" s="49">
        <f t="shared" si="9"/>
        <v>3597</v>
      </c>
      <c r="X56" s="50">
        <f t="shared" si="10"/>
        <v>51.632417099999998</v>
      </c>
      <c r="Y56" s="238">
        <v>300</v>
      </c>
      <c r="Z56" s="101">
        <v>1000</v>
      </c>
    </row>
    <row r="57" spans="1:26" ht="15.75" x14ac:dyDescent="0.25">
      <c r="A57" s="264">
        <v>53</v>
      </c>
      <c r="B57" s="256" t="s">
        <v>55</v>
      </c>
      <c r="C57" s="111">
        <v>50</v>
      </c>
      <c r="D57" s="112">
        <v>45</v>
      </c>
      <c r="E57" s="112">
        <v>4</v>
      </c>
      <c r="F57" s="19">
        <f t="shared" si="5"/>
        <v>8.9999999999999993E-3</v>
      </c>
      <c r="G57" s="23">
        <f>'KASIM 5 HAFTA  '!W57</f>
        <v>371</v>
      </c>
      <c r="H57" s="26">
        <f t="shared" si="6"/>
        <v>3.339</v>
      </c>
      <c r="I57" s="21">
        <v>0</v>
      </c>
      <c r="J57" s="205">
        <f t="shared" si="0"/>
        <v>0</v>
      </c>
      <c r="K57" s="21">
        <v>0</v>
      </c>
      <c r="L57" s="10">
        <f t="shared" si="1"/>
        <v>0</v>
      </c>
      <c r="M57" s="21">
        <v>0</v>
      </c>
      <c r="N57" s="205">
        <f t="shared" si="2"/>
        <v>0</v>
      </c>
      <c r="O57" s="21">
        <v>110</v>
      </c>
      <c r="P57" s="10">
        <f t="shared" si="7"/>
        <v>0.98999999999999988</v>
      </c>
      <c r="Q57" s="21">
        <v>0</v>
      </c>
      <c r="R57" s="205">
        <f t="shared" si="3"/>
        <v>0</v>
      </c>
      <c r="S57" s="39">
        <f t="shared" si="11"/>
        <v>261</v>
      </c>
      <c r="T57" s="38">
        <f t="shared" si="4"/>
        <v>2.3489999999999998</v>
      </c>
      <c r="U57" s="21">
        <v>0</v>
      </c>
      <c r="V57" s="13">
        <f t="shared" si="8"/>
        <v>0</v>
      </c>
      <c r="W57" s="49">
        <f t="shared" si="9"/>
        <v>261</v>
      </c>
      <c r="X57" s="50">
        <f t="shared" si="10"/>
        <v>2.3489999999999998</v>
      </c>
      <c r="Y57" s="238">
        <v>300</v>
      </c>
      <c r="Z57" s="101">
        <v>1000</v>
      </c>
    </row>
    <row r="58" spans="1:26" ht="15.75" x14ac:dyDescent="0.25">
      <c r="A58" s="264">
        <v>54</v>
      </c>
      <c r="B58" s="256" t="s">
        <v>56</v>
      </c>
      <c r="C58" s="111">
        <v>50</v>
      </c>
      <c r="D58" s="112">
        <v>35</v>
      </c>
      <c r="E58" s="112">
        <v>4</v>
      </c>
      <c r="F58" s="19">
        <f t="shared" si="5"/>
        <v>7.0000000000000001E-3</v>
      </c>
      <c r="G58" s="23">
        <f>'KASIM 5 HAFTA  '!W58</f>
        <v>490</v>
      </c>
      <c r="H58" s="26">
        <f t="shared" si="6"/>
        <v>3.43</v>
      </c>
      <c r="I58" s="21">
        <v>0</v>
      </c>
      <c r="J58" s="205">
        <f t="shared" si="0"/>
        <v>0</v>
      </c>
      <c r="K58" s="21">
        <v>0</v>
      </c>
      <c r="L58" s="10">
        <f t="shared" si="1"/>
        <v>0</v>
      </c>
      <c r="M58" s="21">
        <v>0</v>
      </c>
      <c r="N58" s="205">
        <f t="shared" si="2"/>
        <v>0</v>
      </c>
      <c r="O58" s="21">
        <v>135</v>
      </c>
      <c r="P58" s="10">
        <f t="shared" si="7"/>
        <v>0.94500000000000006</v>
      </c>
      <c r="Q58" s="21">
        <v>0</v>
      </c>
      <c r="R58" s="205">
        <f t="shared" si="3"/>
        <v>0</v>
      </c>
      <c r="S58" s="39">
        <f t="shared" si="11"/>
        <v>355</v>
      </c>
      <c r="T58" s="38">
        <f t="shared" si="4"/>
        <v>2.4849999999999999</v>
      </c>
      <c r="U58" s="21">
        <v>0</v>
      </c>
      <c r="V58" s="13">
        <f t="shared" si="8"/>
        <v>0</v>
      </c>
      <c r="W58" s="49">
        <f t="shared" si="9"/>
        <v>355</v>
      </c>
      <c r="X58" s="50">
        <f t="shared" si="10"/>
        <v>2.4849999999999999</v>
      </c>
      <c r="Y58" s="238">
        <v>500</v>
      </c>
      <c r="Z58" s="101">
        <v>1500</v>
      </c>
    </row>
    <row r="59" spans="1:26" ht="15.75" x14ac:dyDescent="0.25">
      <c r="A59" s="264">
        <v>55</v>
      </c>
      <c r="B59" s="256" t="s">
        <v>57</v>
      </c>
      <c r="C59" s="111">
        <v>45</v>
      </c>
      <c r="D59" s="112">
        <v>50</v>
      </c>
      <c r="E59" s="112">
        <v>3</v>
      </c>
      <c r="F59" s="19">
        <f t="shared" si="5"/>
        <v>6.7499999999999999E-3</v>
      </c>
      <c r="G59" s="23">
        <f>'KASIM 5 HAFTA  '!W59</f>
        <v>765</v>
      </c>
      <c r="H59" s="26">
        <f t="shared" si="6"/>
        <v>5.1637500000000003</v>
      </c>
      <c r="I59" s="21">
        <v>0</v>
      </c>
      <c r="J59" s="205">
        <f t="shared" si="0"/>
        <v>0</v>
      </c>
      <c r="K59" s="21">
        <v>0</v>
      </c>
      <c r="L59" s="10">
        <f t="shared" si="1"/>
        <v>0</v>
      </c>
      <c r="M59" s="21">
        <v>0</v>
      </c>
      <c r="N59" s="205">
        <f t="shared" si="2"/>
        <v>0</v>
      </c>
      <c r="O59" s="21">
        <v>0</v>
      </c>
      <c r="P59" s="10">
        <f t="shared" si="7"/>
        <v>0</v>
      </c>
      <c r="Q59" s="21">
        <v>0</v>
      </c>
      <c r="R59" s="205">
        <f t="shared" si="3"/>
        <v>0</v>
      </c>
      <c r="S59" s="39">
        <f t="shared" si="11"/>
        <v>765</v>
      </c>
      <c r="T59" s="38">
        <f t="shared" si="4"/>
        <v>5.1637500000000003</v>
      </c>
      <c r="U59" s="21">
        <v>0</v>
      </c>
      <c r="V59" s="13">
        <f t="shared" si="8"/>
        <v>0</v>
      </c>
      <c r="W59" s="49">
        <f t="shared" si="9"/>
        <v>765</v>
      </c>
      <c r="X59" s="50">
        <f t="shared" si="10"/>
        <v>5.1637500000000003</v>
      </c>
      <c r="Y59" s="238">
        <v>500</v>
      </c>
      <c r="Z59" s="101">
        <v>1500</v>
      </c>
    </row>
    <row r="60" spans="1:26" ht="15.75" x14ac:dyDescent="0.25">
      <c r="A60" s="264">
        <v>56</v>
      </c>
      <c r="B60" s="256" t="s">
        <v>58</v>
      </c>
      <c r="C60" s="111">
        <v>50</v>
      </c>
      <c r="D60" s="112">
        <v>35</v>
      </c>
      <c r="E60" s="112">
        <v>3</v>
      </c>
      <c r="F60" s="19">
        <f t="shared" si="5"/>
        <v>5.2500000000000003E-3</v>
      </c>
      <c r="G60" s="23">
        <f>'KASIM 5 HAFTA  '!W60</f>
        <v>973</v>
      </c>
      <c r="H60" s="26">
        <f t="shared" si="6"/>
        <v>5.10825</v>
      </c>
      <c r="I60" s="21">
        <v>0</v>
      </c>
      <c r="J60" s="205">
        <f t="shared" si="0"/>
        <v>0</v>
      </c>
      <c r="K60" s="21">
        <v>0</v>
      </c>
      <c r="L60" s="10">
        <f t="shared" si="1"/>
        <v>0</v>
      </c>
      <c r="M60" s="21">
        <v>0</v>
      </c>
      <c r="N60" s="205">
        <f t="shared" si="2"/>
        <v>0</v>
      </c>
      <c r="O60" s="21">
        <v>0</v>
      </c>
      <c r="P60" s="10">
        <f t="shared" si="7"/>
        <v>0</v>
      </c>
      <c r="Q60" s="21">
        <v>0</v>
      </c>
      <c r="R60" s="205">
        <f t="shared" si="3"/>
        <v>0</v>
      </c>
      <c r="S60" s="39">
        <f t="shared" si="11"/>
        <v>973</v>
      </c>
      <c r="T60" s="38">
        <f t="shared" si="4"/>
        <v>5.10825</v>
      </c>
      <c r="U60" s="21">
        <v>0</v>
      </c>
      <c r="V60" s="13">
        <f t="shared" si="8"/>
        <v>0</v>
      </c>
      <c r="W60" s="49">
        <f t="shared" si="9"/>
        <v>973</v>
      </c>
      <c r="X60" s="50">
        <f t="shared" si="10"/>
        <v>5.10825</v>
      </c>
      <c r="Y60" s="238">
        <v>0</v>
      </c>
      <c r="Z60" s="101">
        <v>0</v>
      </c>
    </row>
    <row r="61" spans="1:26" ht="15.75" x14ac:dyDescent="0.25">
      <c r="A61" s="264">
        <v>57</v>
      </c>
      <c r="B61" s="256" t="s">
        <v>59</v>
      </c>
      <c r="C61" s="111">
        <v>42</v>
      </c>
      <c r="D61" s="112">
        <v>36</v>
      </c>
      <c r="E61" s="112">
        <v>4</v>
      </c>
      <c r="F61" s="19">
        <f t="shared" si="5"/>
        <v>6.0480000000000004E-3</v>
      </c>
      <c r="G61" s="23">
        <f>'KASIM 5 HAFTA  '!W61</f>
        <v>0</v>
      </c>
      <c r="H61" s="26">
        <f t="shared" si="6"/>
        <v>0</v>
      </c>
      <c r="I61" s="21">
        <v>0</v>
      </c>
      <c r="J61" s="205">
        <f t="shared" si="0"/>
        <v>0</v>
      </c>
      <c r="K61" s="21">
        <v>0</v>
      </c>
      <c r="L61" s="10">
        <f t="shared" si="1"/>
        <v>0</v>
      </c>
      <c r="M61" s="21">
        <v>0</v>
      </c>
      <c r="N61" s="205">
        <f t="shared" si="2"/>
        <v>0</v>
      </c>
      <c r="O61" s="21">
        <v>0</v>
      </c>
      <c r="P61" s="10">
        <f t="shared" si="7"/>
        <v>0</v>
      </c>
      <c r="Q61" s="21">
        <v>0</v>
      </c>
      <c r="R61" s="205">
        <f t="shared" si="3"/>
        <v>0</v>
      </c>
      <c r="S61" s="97">
        <f t="shared" si="11"/>
        <v>0</v>
      </c>
      <c r="T61" s="38">
        <f t="shared" si="4"/>
        <v>0</v>
      </c>
      <c r="U61" s="21">
        <v>0</v>
      </c>
      <c r="V61" s="13">
        <f t="shared" si="8"/>
        <v>0</v>
      </c>
      <c r="W61" s="49">
        <f t="shared" si="9"/>
        <v>0</v>
      </c>
      <c r="X61" s="50">
        <f t="shared" si="10"/>
        <v>0</v>
      </c>
      <c r="Y61" s="238">
        <v>300</v>
      </c>
      <c r="Z61" s="101">
        <v>1000</v>
      </c>
    </row>
    <row r="62" spans="1:26" ht="15.75" x14ac:dyDescent="0.25">
      <c r="A62" s="264">
        <v>58</v>
      </c>
      <c r="B62" s="256" t="s">
        <v>60</v>
      </c>
      <c r="C62" s="111">
        <v>50</v>
      </c>
      <c r="D62" s="112">
        <v>35</v>
      </c>
      <c r="E62" s="112">
        <v>3</v>
      </c>
      <c r="F62" s="19">
        <f t="shared" si="5"/>
        <v>5.2500000000000003E-3</v>
      </c>
      <c r="G62" s="23">
        <f>'KASIM 5 HAFTA  '!W62</f>
        <v>871</v>
      </c>
      <c r="H62" s="26">
        <f t="shared" si="6"/>
        <v>4.5727500000000001</v>
      </c>
      <c r="I62" s="21">
        <v>0</v>
      </c>
      <c r="J62" s="205">
        <f t="shared" si="0"/>
        <v>0</v>
      </c>
      <c r="K62" s="21">
        <v>0</v>
      </c>
      <c r="L62" s="10">
        <f t="shared" si="1"/>
        <v>0</v>
      </c>
      <c r="M62" s="21">
        <v>0</v>
      </c>
      <c r="N62" s="205">
        <f t="shared" si="2"/>
        <v>0</v>
      </c>
      <c r="O62" s="21">
        <v>0</v>
      </c>
      <c r="P62" s="10">
        <f t="shared" si="7"/>
        <v>0</v>
      </c>
      <c r="Q62" s="21">
        <v>0</v>
      </c>
      <c r="R62" s="205">
        <f t="shared" si="3"/>
        <v>0</v>
      </c>
      <c r="S62" s="97">
        <f t="shared" si="11"/>
        <v>871</v>
      </c>
      <c r="T62" s="38">
        <f t="shared" si="4"/>
        <v>4.5727500000000001</v>
      </c>
      <c r="U62" s="21">
        <v>0</v>
      </c>
      <c r="V62" s="13">
        <f t="shared" si="8"/>
        <v>0</v>
      </c>
      <c r="W62" s="49">
        <f t="shared" si="9"/>
        <v>871</v>
      </c>
      <c r="X62" s="50">
        <f t="shared" si="10"/>
        <v>4.5727500000000001</v>
      </c>
      <c r="Y62" s="238">
        <v>300</v>
      </c>
      <c r="Z62" s="101">
        <v>1000</v>
      </c>
    </row>
    <row r="63" spans="1:26" ht="15.75" x14ac:dyDescent="0.25">
      <c r="A63" s="264">
        <v>59</v>
      </c>
      <c r="B63" s="257" t="s">
        <v>61</v>
      </c>
      <c r="C63" s="111">
        <v>45</v>
      </c>
      <c r="D63" s="112">
        <v>50</v>
      </c>
      <c r="E63" s="112">
        <v>3</v>
      </c>
      <c r="F63" s="19">
        <f t="shared" si="5"/>
        <v>6.7499999999999999E-3</v>
      </c>
      <c r="G63" s="23">
        <f>'KASIM 5 HAFTA  '!W63</f>
        <v>935</v>
      </c>
      <c r="H63" s="26">
        <f t="shared" si="6"/>
        <v>6.3112500000000002</v>
      </c>
      <c r="I63" s="21">
        <v>0</v>
      </c>
      <c r="J63" s="205">
        <f t="shared" si="0"/>
        <v>0</v>
      </c>
      <c r="K63" s="21">
        <v>0</v>
      </c>
      <c r="L63" s="10">
        <f t="shared" si="1"/>
        <v>0</v>
      </c>
      <c r="M63" s="21">
        <v>0</v>
      </c>
      <c r="N63" s="205">
        <f t="shared" si="2"/>
        <v>0</v>
      </c>
      <c r="O63" s="21">
        <v>0</v>
      </c>
      <c r="P63" s="10">
        <f t="shared" si="7"/>
        <v>0</v>
      </c>
      <c r="Q63" s="21">
        <v>0</v>
      </c>
      <c r="R63" s="205">
        <f t="shared" si="3"/>
        <v>0</v>
      </c>
      <c r="S63" s="97">
        <f t="shared" si="11"/>
        <v>935</v>
      </c>
      <c r="T63" s="38">
        <f t="shared" si="4"/>
        <v>6.3112500000000002</v>
      </c>
      <c r="U63" s="21">
        <v>0</v>
      </c>
      <c r="V63" s="13">
        <f t="shared" si="8"/>
        <v>0</v>
      </c>
      <c r="W63" s="49">
        <f t="shared" si="9"/>
        <v>935</v>
      </c>
      <c r="X63" s="50">
        <f t="shared" si="10"/>
        <v>6.3112500000000002</v>
      </c>
      <c r="Y63" s="238">
        <v>500</v>
      </c>
      <c r="Z63" s="101">
        <v>1500</v>
      </c>
    </row>
    <row r="64" spans="1:26" ht="15.75" thickBot="1" x14ac:dyDescent="0.3">
      <c r="A64" s="264">
        <v>60</v>
      </c>
      <c r="B64" s="258" t="s">
        <v>90</v>
      </c>
      <c r="C64" s="36">
        <v>140</v>
      </c>
      <c r="D64" s="37">
        <v>9.5</v>
      </c>
      <c r="E64" s="37">
        <v>6.5</v>
      </c>
      <c r="F64" s="20">
        <f t="shared" si="5"/>
        <v>8.6449999999999999E-3</v>
      </c>
      <c r="G64" s="23">
        <f>'KASIM 5 HAFTA  '!W64</f>
        <v>200</v>
      </c>
      <c r="H64" s="27">
        <f t="shared" si="6"/>
        <v>1.7290000000000001</v>
      </c>
      <c r="I64" s="21">
        <v>0</v>
      </c>
      <c r="J64" s="205">
        <f t="shared" si="0"/>
        <v>0</v>
      </c>
      <c r="K64" s="21">
        <v>0</v>
      </c>
      <c r="L64" s="10">
        <f t="shared" si="1"/>
        <v>0</v>
      </c>
      <c r="M64" s="21">
        <v>0</v>
      </c>
      <c r="N64" s="205">
        <f t="shared" si="2"/>
        <v>0</v>
      </c>
      <c r="O64" s="21">
        <v>0</v>
      </c>
      <c r="P64" s="48">
        <f t="shared" si="7"/>
        <v>0</v>
      </c>
      <c r="Q64" s="21">
        <v>0</v>
      </c>
      <c r="R64" s="205">
        <f t="shared" si="3"/>
        <v>0</v>
      </c>
      <c r="S64" s="97">
        <f t="shared" si="11"/>
        <v>200</v>
      </c>
      <c r="T64" s="41">
        <f t="shared" si="4"/>
        <v>1.7290000000000001</v>
      </c>
      <c r="U64" s="21">
        <v>0</v>
      </c>
      <c r="V64" s="13">
        <f t="shared" si="8"/>
        <v>0</v>
      </c>
      <c r="W64" s="49">
        <f t="shared" si="9"/>
        <v>200</v>
      </c>
      <c r="X64" s="50">
        <f t="shared" si="10"/>
        <v>1.7290000000000001</v>
      </c>
      <c r="Y64" s="238">
        <v>100</v>
      </c>
      <c r="Z64" s="101">
        <v>300</v>
      </c>
    </row>
    <row r="65" spans="1:26" ht="15.75" x14ac:dyDescent="0.25">
      <c r="A65" s="264">
        <v>61</v>
      </c>
      <c r="B65" s="259" t="s">
        <v>79</v>
      </c>
      <c r="C65" s="112">
        <v>90</v>
      </c>
      <c r="D65" s="112">
        <v>83</v>
      </c>
      <c r="E65" s="112">
        <v>2</v>
      </c>
      <c r="F65" s="114">
        <f t="shared" si="5"/>
        <v>1.494E-2</v>
      </c>
      <c r="G65" s="23">
        <f>'KASIM 5 HAFTA  '!W65</f>
        <v>187</v>
      </c>
      <c r="H65" s="116">
        <f t="shared" si="6"/>
        <v>2.7937799999999999</v>
      </c>
      <c r="I65" s="21">
        <v>0</v>
      </c>
      <c r="J65" s="205">
        <f t="shared" si="0"/>
        <v>0</v>
      </c>
      <c r="K65" s="21">
        <v>0</v>
      </c>
      <c r="L65" s="10">
        <f t="shared" si="1"/>
        <v>0</v>
      </c>
      <c r="M65" s="21">
        <v>0</v>
      </c>
      <c r="N65" s="205">
        <f t="shared" si="2"/>
        <v>0</v>
      </c>
      <c r="O65" s="21">
        <v>0</v>
      </c>
      <c r="P65" s="121">
        <f t="shared" si="7"/>
        <v>0</v>
      </c>
      <c r="Q65" s="21">
        <v>0</v>
      </c>
      <c r="R65" s="205">
        <f t="shared" si="3"/>
        <v>0</v>
      </c>
      <c r="S65" s="140">
        <f t="shared" si="11"/>
        <v>187</v>
      </c>
      <c r="T65" s="123">
        <f t="shared" si="4"/>
        <v>2.7937799999999999</v>
      </c>
      <c r="U65" s="21">
        <v>25</v>
      </c>
      <c r="V65" s="139">
        <f t="shared" si="8"/>
        <v>0.3735</v>
      </c>
      <c r="W65" s="141">
        <f t="shared" si="9"/>
        <v>212</v>
      </c>
      <c r="X65" s="50">
        <f t="shared" si="10"/>
        <v>3.1672799999999999</v>
      </c>
      <c r="Y65" s="238">
        <v>100</v>
      </c>
      <c r="Z65" s="101">
        <v>300</v>
      </c>
    </row>
    <row r="66" spans="1:26" ht="15.75" x14ac:dyDescent="0.25">
      <c r="A66" s="264">
        <v>62</v>
      </c>
      <c r="B66" s="260" t="s">
        <v>80</v>
      </c>
      <c r="C66" s="113">
        <v>92</v>
      </c>
      <c r="D66" s="113">
        <v>82</v>
      </c>
      <c r="E66" s="113">
        <v>2</v>
      </c>
      <c r="F66" s="124">
        <f t="shared" si="5"/>
        <v>1.5088000000000001E-2</v>
      </c>
      <c r="G66" s="23">
        <f>'KASIM 5 HAFTA  '!W66</f>
        <v>178</v>
      </c>
      <c r="H66" s="125">
        <f t="shared" si="6"/>
        <v>2.6856640000000001</v>
      </c>
      <c r="I66" s="21">
        <v>0</v>
      </c>
      <c r="J66" s="205">
        <f t="shared" si="0"/>
        <v>0</v>
      </c>
      <c r="K66" s="21">
        <v>0</v>
      </c>
      <c r="L66" s="10">
        <f t="shared" si="1"/>
        <v>0</v>
      </c>
      <c r="M66" s="21">
        <v>0</v>
      </c>
      <c r="N66" s="205">
        <f t="shared" si="2"/>
        <v>0</v>
      </c>
      <c r="O66" s="21">
        <v>17</v>
      </c>
      <c r="P66" s="121">
        <f t="shared" si="7"/>
        <v>0.256496</v>
      </c>
      <c r="Q66" s="21">
        <v>0</v>
      </c>
      <c r="R66" s="205">
        <f t="shared" si="3"/>
        <v>0</v>
      </c>
      <c r="S66" s="140">
        <f t="shared" si="11"/>
        <v>161</v>
      </c>
      <c r="T66" s="123">
        <f t="shared" si="4"/>
        <v>2.4291680000000002</v>
      </c>
      <c r="U66" s="21">
        <v>0</v>
      </c>
      <c r="V66" s="139">
        <f t="shared" si="8"/>
        <v>0</v>
      </c>
      <c r="W66" s="141">
        <f t="shared" si="9"/>
        <v>161</v>
      </c>
      <c r="X66" s="107">
        <f t="shared" si="10"/>
        <v>2.4291680000000002</v>
      </c>
      <c r="Y66" s="238">
        <v>100</v>
      </c>
      <c r="Z66" s="101">
        <v>300</v>
      </c>
    </row>
    <row r="67" spans="1:26" x14ac:dyDescent="0.25">
      <c r="A67" s="264">
        <v>63</v>
      </c>
      <c r="B67" s="261" t="s">
        <v>82</v>
      </c>
      <c r="C67" s="35">
        <v>82</v>
      </c>
      <c r="D67" s="35">
        <v>80</v>
      </c>
      <c r="E67" s="35">
        <v>2</v>
      </c>
      <c r="F67" s="114">
        <f t="shared" si="5"/>
        <v>1.312E-2</v>
      </c>
      <c r="G67" s="23">
        <f>'KASIM 5 HAFTA  '!W67</f>
        <v>459</v>
      </c>
      <c r="H67" s="110">
        <f t="shared" si="6"/>
        <v>6.0220799999999999</v>
      </c>
      <c r="I67" s="21">
        <v>0</v>
      </c>
      <c r="J67" s="205">
        <f t="shared" si="0"/>
        <v>0</v>
      </c>
      <c r="K67" s="21">
        <v>0</v>
      </c>
      <c r="L67" s="10">
        <f t="shared" si="1"/>
        <v>0</v>
      </c>
      <c r="M67" s="21">
        <v>0</v>
      </c>
      <c r="N67" s="205">
        <f t="shared" si="2"/>
        <v>0</v>
      </c>
      <c r="O67" s="21">
        <v>0</v>
      </c>
      <c r="P67" s="10">
        <f t="shared" si="7"/>
        <v>0</v>
      </c>
      <c r="Q67" s="21">
        <v>0</v>
      </c>
      <c r="R67" s="205">
        <f t="shared" si="3"/>
        <v>0</v>
      </c>
      <c r="S67" s="97">
        <f t="shared" si="11"/>
        <v>459</v>
      </c>
      <c r="T67" s="87">
        <f t="shared" si="4"/>
        <v>6.0220799999999999</v>
      </c>
      <c r="U67" s="21">
        <v>0</v>
      </c>
      <c r="V67" s="139">
        <f t="shared" si="8"/>
        <v>0</v>
      </c>
      <c r="W67" s="141">
        <f t="shared" si="9"/>
        <v>459</v>
      </c>
      <c r="X67" s="107">
        <f t="shared" si="10"/>
        <v>6.0220799999999999</v>
      </c>
      <c r="Y67" s="238">
        <v>50</v>
      </c>
      <c r="Z67" s="101">
        <v>200</v>
      </c>
    </row>
    <row r="68" spans="1:26" x14ac:dyDescent="0.25">
      <c r="A68" s="264">
        <v>64</v>
      </c>
      <c r="B68" s="261" t="s">
        <v>83</v>
      </c>
      <c r="C68" s="35">
        <v>86</v>
      </c>
      <c r="D68" s="35">
        <v>77</v>
      </c>
      <c r="E68" s="35">
        <v>8</v>
      </c>
      <c r="F68" s="114">
        <f t="shared" si="5"/>
        <v>5.2976000000000002E-2</v>
      </c>
      <c r="G68" s="23">
        <f>'KASIM 5 HAFTA  '!W68</f>
        <v>65</v>
      </c>
      <c r="H68" s="110">
        <f t="shared" si="6"/>
        <v>3.4434400000000003</v>
      </c>
      <c r="I68" s="21">
        <v>40</v>
      </c>
      <c r="J68" s="205">
        <f t="shared" si="0"/>
        <v>2.11904</v>
      </c>
      <c r="K68" s="21">
        <v>0</v>
      </c>
      <c r="L68" s="10">
        <f t="shared" si="1"/>
        <v>0</v>
      </c>
      <c r="M68" s="21">
        <v>0</v>
      </c>
      <c r="N68" s="205">
        <f t="shared" si="2"/>
        <v>0</v>
      </c>
      <c r="O68" s="21">
        <v>0</v>
      </c>
      <c r="P68" s="10">
        <f t="shared" si="7"/>
        <v>0</v>
      </c>
      <c r="Q68" s="21">
        <v>0</v>
      </c>
      <c r="R68" s="205">
        <f t="shared" si="3"/>
        <v>0</v>
      </c>
      <c r="S68" s="97">
        <f t="shared" si="11"/>
        <v>25</v>
      </c>
      <c r="T68" s="87">
        <f t="shared" si="4"/>
        <v>1.3244</v>
      </c>
      <c r="U68" s="21">
        <v>0</v>
      </c>
      <c r="V68" s="139">
        <f t="shared" si="8"/>
        <v>0</v>
      </c>
      <c r="W68" s="141">
        <f t="shared" si="9"/>
        <v>25</v>
      </c>
      <c r="X68" s="107">
        <f t="shared" si="10"/>
        <v>1.3244</v>
      </c>
      <c r="Y68" s="238">
        <v>50</v>
      </c>
      <c r="Z68" s="101">
        <v>200</v>
      </c>
    </row>
    <row r="69" spans="1:26" x14ac:dyDescent="0.25">
      <c r="A69" s="264">
        <v>65</v>
      </c>
      <c r="B69" s="261" t="s">
        <v>84</v>
      </c>
      <c r="C69" s="35">
        <v>76</v>
      </c>
      <c r="D69" s="35">
        <v>75</v>
      </c>
      <c r="E69" s="35">
        <v>8</v>
      </c>
      <c r="F69" s="114">
        <f t="shared" si="5"/>
        <v>4.5600000000000002E-2</v>
      </c>
      <c r="G69" s="23">
        <f>'KASIM 5 HAFTA  '!W69</f>
        <v>12</v>
      </c>
      <c r="H69" s="110">
        <f t="shared" si="6"/>
        <v>0.54720000000000002</v>
      </c>
      <c r="I69" s="21">
        <v>0</v>
      </c>
      <c r="J69" s="205">
        <f t="shared" ref="J69:J78" si="12">F69*I69</f>
        <v>0</v>
      </c>
      <c r="K69" s="21">
        <v>0</v>
      </c>
      <c r="L69" s="10">
        <f t="shared" ref="L69:L75" si="13">F69*K69</f>
        <v>0</v>
      </c>
      <c r="M69" s="21">
        <v>0</v>
      </c>
      <c r="N69" s="205">
        <f t="shared" ref="N69:N75" si="14">F69*M69</f>
        <v>0</v>
      </c>
      <c r="O69" s="21">
        <v>0</v>
      </c>
      <c r="P69" s="10">
        <f t="shared" si="7"/>
        <v>0</v>
      </c>
      <c r="Q69" s="21">
        <v>0</v>
      </c>
      <c r="R69" s="205">
        <f t="shared" ref="R69:R75" si="15">F69*Q69</f>
        <v>0</v>
      </c>
      <c r="S69" s="97">
        <f t="shared" si="11"/>
        <v>12</v>
      </c>
      <c r="T69" s="87">
        <f t="shared" ref="T69:T76" si="16">F69*S69</f>
        <v>0.54720000000000002</v>
      </c>
      <c r="U69" s="21">
        <v>0</v>
      </c>
      <c r="V69" s="139">
        <f t="shared" ref="V69:V70" si="17">R69*U69</f>
        <v>0</v>
      </c>
      <c r="W69" s="141">
        <f t="shared" si="9"/>
        <v>12</v>
      </c>
      <c r="X69" s="107">
        <f t="shared" si="10"/>
        <v>0.54720000000000002</v>
      </c>
      <c r="Y69" s="238">
        <v>5</v>
      </c>
      <c r="Z69" s="101">
        <v>10</v>
      </c>
    </row>
    <row r="70" spans="1:26" x14ac:dyDescent="0.25">
      <c r="A70" s="264">
        <v>66</v>
      </c>
      <c r="B70" s="261" t="s">
        <v>85</v>
      </c>
      <c r="C70" s="35">
        <v>140</v>
      </c>
      <c r="D70" s="35">
        <v>240</v>
      </c>
      <c r="E70" s="35">
        <v>12</v>
      </c>
      <c r="F70" s="114">
        <f t="shared" ref="F70:F72" si="18">(C70*D70*E70)/1000000</f>
        <v>0.4032</v>
      </c>
      <c r="G70" s="23">
        <f>'KASIM 5 HAFTA  '!W70</f>
        <v>4</v>
      </c>
      <c r="H70" s="110">
        <f t="shared" ref="H70:H72" si="19">F70*G70</f>
        <v>1.6128</v>
      </c>
      <c r="I70" s="21">
        <v>0</v>
      </c>
      <c r="J70" s="205">
        <f t="shared" si="12"/>
        <v>0</v>
      </c>
      <c r="K70" s="21">
        <v>0</v>
      </c>
      <c r="L70" s="10">
        <f t="shared" si="13"/>
        <v>0</v>
      </c>
      <c r="M70" s="21">
        <v>0</v>
      </c>
      <c r="N70" s="205">
        <f t="shared" si="14"/>
        <v>0</v>
      </c>
      <c r="O70" s="21">
        <v>0</v>
      </c>
      <c r="P70" s="10">
        <f t="shared" ref="P70:P78" si="20">F70*O70</f>
        <v>0</v>
      </c>
      <c r="Q70" s="21">
        <v>0</v>
      </c>
      <c r="R70" s="205">
        <f t="shared" si="15"/>
        <v>0</v>
      </c>
      <c r="S70" s="97">
        <f t="shared" si="11"/>
        <v>4</v>
      </c>
      <c r="T70" s="87">
        <f t="shared" si="16"/>
        <v>1.6128</v>
      </c>
      <c r="U70" s="21">
        <v>0</v>
      </c>
      <c r="V70" s="139">
        <f t="shared" si="17"/>
        <v>0</v>
      </c>
      <c r="W70" s="141">
        <f t="shared" ref="W70:W78" si="21">S70+U70</f>
        <v>4</v>
      </c>
      <c r="X70" s="107">
        <f t="shared" ref="X70:X78" si="22">F70*W70</f>
        <v>1.6128</v>
      </c>
      <c r="Y70" s="238">
        <v>20</v>
      </c>
      <c r="Z70" s="101">
        <v>50</v>
      </c>
    </row>
    <row r="71" spans="1:26" x14ac:dyDescent="0.25">
      <c r="A71" s="264">
        <v>67</v>
      </c>
      <c r="B71" s="261" t="s">
        <v>96</v>
      </c>
      <c r="C71" s="130">
        <v>140</v>
      </c>
      <c r="D71" s="130">
        <v>240</v>
      </c>
      <c r="E71" s="130">
        <v>2</v>
      </c>
      <c r="F71" s="131">
        <f t="shared" si="18"/>
        <v>6.7199999999999996E-2</v>
      </c>
      <c r="G71" s="23">
        <f>'KASIM 5 HAFTA  '!W71</f>
        <v>222</v>
      </c>
      <c r="H71" s="135">
        <f t="shared" si="19"/>
        <v>14.918399999999998</v>
      </c>
      <c r="I71" s="21">
        <v>2</v>
      </c>
      <c r="J71" s="205">
        <f t="shared" si="12"/>
        <v>0.13439999999999999</v>
      </c>
      <c r="K71" s="21">
        <v>0</v>
      </c>
      <c r="L71" s="10">
        <f t="shared" si="13"/>
        <v>0</v>
      </c>
      <c r="M71" s="21">
        <v>0</v>
      </c>
      <c r="N71" s="205">
        <f t="shared" si="14"/>
        <v>0</v>
      </c>
      <c r="O71" s="21">
        <v>0</v>
      </c>
      <c r="P71" s="173">
        <f t="shared" si="20"/>
        <v>0</v>
      </c>
      <c r="Q71" s="21">
        <v>0</v>
      </c>
      <c r="R71" s="205">
        <f t="shared" si="15"/>
        <v>0</v>
      </c>
      <c r="S71" s="97">
        <f t="shared" ref="S71:S75" si="23">G71-I71-K71-M71-O71-Q71</f>
        <v>220</v>
      </c>
      <c r="T71" s="97">
        <f t="shared" si="16"/>
        <v>14.783999999999999</v>
      </c>
      <c r="U71" s="21">
        <v>0</v>
      </c>
      <c r="V71" s="139">
        <f t="shared" ref="V71:V78" si="24">F71*U71</f>
        <v>0</v>
      </c>
      <c r="W71" s="141">
        <f t="shared" si="21"/>
        <v>220</v>
      </c>
      <c r="X71" s="141">
        <f t="shared" si="22"/>
        <v>14.783999999999999</v>
      </c>
      <c r="Y71" s="238">
        <v>30</v>
      </c>
      <c r="Z71" s="101">
        <v>100</v>
      </c>
    </row>
    <row r="72" spans="1:26" x14ac:dyDescent="0.25">
      <c r="A72" s="264">
        <v>68</v>
      </c>
      <c r="B72" s="262" t="s">
        <v>95</v>
      </c>
      <c r="C72" s="130">
        <v>61</v>
      </c>
      <c r="D72" s="130">
        <v>61</v>
      </c>
      <c r="E72" s="130">
        <v>3</v>
      </c>
      <c r="F72" s="131">
        <f t="shared" si="18"/>
        <v>1.1162999999999999E-2</v>
      </c>
      <c r="G72" s="23">
        <f>'KASIM 5 HAFTA  '!W72</f>
        <v>0</v>
      </c>
      <c r="H72" s="135">
        <f t="shared" si="19"/>
        <v>0</v>
      </c>
      <c r="I72" s="21">
        <v>0</v>
      </c>
      <c r="J72" s="205">
        <f t="shared" si="12"/>
        <v>0</v>
      </c>
      <c r="K72" s="21">
        <v>0</v>
      </c>
      <c r="L72" s="10">
        <f t="shared" si="13"/>
        <v>0</v>
      </c>
      <c r="M72" s="21">
        <v>0</v>
      </c>
      <c r="N72" s="205">
        <f t="shared" si="14"/>
        <v>0</v>
      </c>
      <c r="O72" s="21">
        <v>0</v>
      </c>
      <c r="P72" s="250">
        <f t="shared" si="20"/>
        <v>0</v>
      </c>
      <c r="Q72" s="21">
        <v>0</v>
      </c>
      <c r="R72" s="205">
        <f t="shared" si="15"/>
        <v>0</v>
      </c>
      <c r="S72" s="97">
        <f t="shared" si="23"/>
        <v>0</v>
      </c>
      <c r="T72" s="97">
        <f t="shared" si="16"/>
        <v>0</v>
      </c>
      <c r="U72" s="21">
        <v>0</v>
      </c>
      <c r="V72" s="252">
        <f t="shared" si="24"/>
        <v>0</v>
      </c>
      <c r="W72" s="253">
        <f t="shared" si="21"/>
        <v>0</v>
      </c>
      <c r="X72" s="253">
        <f t="shared" si="22"/>
        <v>0</v>
      </c>
      <c r="Y72" s="238">
        <v>0</v>
      </c>
      <c r="Z72" s="101">
        <v>0</v>
      </c>
    </row>
    <row r="73" spans="1:26" x14ac:dyDescent="0.25">
      <c r="A73" s="264">
        <v>69</v>
      </c>
      <c r="B73" s="108" t="s">
        <v>106</v>
      </c>
      <c r="C73" s="96"/>
      <c r="D73" s="96"/>
      <c r="E73" s="96"/>
      <c r="F73" s="109"/>
      <c r="G73" s="23">
        <f>'KASIM 5 HAFTA  '!W73</f>
        <v>20</v>
      </c>
      <c r="H73" s="110"/>
      <c r="I73" s="21">
        <v>0</v>
      </c>
      <c r="J73" s="205">
        <f t="shared" si="12"/>
        <v>0</v>
      </c>
      <c r="K73" s="21">
        <v>0</v>
      </c>
      <c r="L73" s="10">
        <f t="shared" si="13"/>
        <v>0</v>
      </c>
      <c r="M73" s="21">
        <v>0</v>
      </c>
      <c r="N73" s="205">
        <f t="shared" si="14"/>
        <v>0</v>
      </c>
      <c r="O73" s="21">
        <v>0</v>
      </c>
      <c r="P73" s="250">
        <f t="shared" si="20"/>
        <v>0</v>
      </c>
      <c r="Q73" s="21">
        <v>0</v>
      </c>
      <c r="R73" s="205">
        <f t="shared" si="15"/>
        <v>0</v>
      </c>
      <c r="S73" s="97">
        <f t="shared" si="23"/>
        <v>20</v>
      </c>
      <c r="T73" s="97">
        <f t="shared" si="16"/>
        <v>0</v>
      </c>
      <c r="U73" s="21">
        <v>0</v>
      </c>
      <c r="V73" s="252">
        <f t="shared" si="24"/>
        <v>0</v>
      </c>
      <c r="W73" s="253">
        <f t="shared" si="21"/>
        <v>20</v>
      </c>
      <c r="X73" s="253">
        <f t="shared" si="22"/>
        <v>0</v>
      </c>
      <c r="Y73" s="101">
        <v>0</v>
      </c>
      <c r="Z73" s="101">
        <v>0</v>
      </c>
    </row>
    <row r="74" spans="1:26" x14ac:dyDescent="0.25">
      <c r="A74" s="105">
        <v>70</v>
      </c>
      <c r="B74" s="270" t="s">
        <v>107</v>
      </c>
      <c r="C74" s="105"/>
      <c r="D74" s="105"/>
      <c r="E74" s="271"/>
      <c r="F74" s="125"/>
      <c r="G74" s="23">
        <f>'KASIM 5 HAFTA  '!W74</f>
        <v>20</v>
      </c>
      <c r="H74" s="105"/>
      <c r="I74" s="21">
        <v>0</v>
      </c>
      <c r="J74" s="205">
        <f t="shared" si="12"/>
        <v>0</v>
      </c>
      <c r="K74" s="21">
        <v>0</v>
      </c>
      <c r="L74" s="10">
        <f t="shared" si="13"/>
        <v>0</v>
      </c>
      <c r="M74" s="21">
        <v>0</v>
      </c>
      <c r="N74" s="205">
        <f t="shared" si="14"/>
        <v>0</v>
      </c>
      <c r="O74" s="21">
        <v>0</v>
      </c>
      <c r="P74" s="250">
        <f t="shared" si="20"/>
        <v>0</v>
      </c>
      <c r="Q74" s="21">
        <v>0</v>
      </c>
      <c r="R74" s="205">
        <f t="shared" si="15"/>
        <v>0</v>
      </c>
      <c r="S74" s="97">
        <f t="shared" si="23"/>
        <v>20</v>
      </c>
      <c r="T74" s="97">
        <f t="shared" si="16"/>
        <v>0</v>
      </c>
      <c r="U74" s="21">
        <v>0</v>
      </c>
      <c r="V74" s="252">
        <f t="shared" si="24"/>
        <v>0</v>
      </c>
      <c r="W74" s="253">
        <f t="shared" si="21"/>
        <v>20</v>
      </c>
      <c r="X74" s="253">
        <f t="shared" si="22"/>
        <v>0</v>
      </c>
      <c r="Y74" s="106"/>
      <c r="Z74" s="106"/>
    </row>
    <row r="75" spans="1:26" x14ac:dyDescent="0.25">
      <c r="A75" s="96">
        <v>71</v>
      </c>
      <c r="B75" s="265" t="s">
        <v>108</v>
      </c>
      <c r="C75" s="96">
        <v>140</v>
      </c>
      <c r="D75" s="96">
        <v>240</v>
      </c>
      <c r="E75" s="109">
        <v>6</v>
      </c>
      <c r="F75" s="131">
        <f t="shared" ref="F75" si="25">(C75*D75*E75)/1000000</f>
        <v>0.2016</v>
      </c>
      <c r="G75" s="149">
        <f>'KASIM 5 HAFTA  '!W75</f>
        <v>45</v>
      </c>
      <c r="H75" s="105"/>
      <c r="I75" s="129">
        <v>0</v>
      </c>
      <c r="J75" s="205">
        <f t="shared" si="12"/>
        <v>0</v>
      </c>
      <c r="K75" s="129">
        <v>0</v>
      </c>
      <c r="L75" s="85">
        <f t="shared" si="13"/>
        <v>0</v>
      </c>
      <c r="M75" s="129">
        <v>0</v>
      </c>
      <c r="N75" s="276">
        <f t="shared" si="14"/>
        <v>0</v>
      </c>
      <c r="O75" s="129">
        <v>0</v>
      </c>
      <c r="P75" s="250">
        <f t="shared" si="20"/>
        <v>0</v>
      </c>
      <c r="Q75" s="129">
        <v>0</v>
      </c>
      <c r="R75" s="276">
        <f t="shared" si="15"/>
        <v>0</v>
      </c>
      <c r="S75" s="251">
        <f t="shared" si="23"/>
        <v>45</v>
      </c>
      <c r="T75" s="97">
        <f t="shared" si="16"/>
        <v>9.0719999999999992</v>
      </c>
      <c r="U75" s="129">
        <v>0</v>
      </c>
      <c r="V75" s="252">
        <f t="shared" si="24"/>
        <v>0</v>
      </c>
      <c r="W75" s="253">
        <f t="shared" si="21"/>
        <v>45</v>
      </c>
      <c r="X75" s="253">
        <f t="shared" si="22"/>
        <v>9.0719999999999992</v>
      </c>
      <c r="Y75" s="106"/>
      <c r="Z75" s="106"/>
    </row>
    <row r="76" spans="1:26" x14ac:dyDescent="0.25">
      <c r="A76" s="277">
        <v>72</v>
      </c>
      <c r="B76" s="175" t="s">
        <v>113</v>
      </c>
      <c r="C76" s="2">
        <v>63</v>
      </c>
      <c r="D76" s="2">
        <v>60</v>
      </c>
      <c r="E76" s="2">
        <v>5</v>
      </c>
      <c r="F76" s="131">
        <f t="shared" ref="F76:F78" si="26">(C76*D76*E76)/1000000</f>
        <v>1.89E-2</v>
      </c>
      <c r="G76" s="125"/>
      <c r="H76" s="125"/>
      <c r="I76" s="105">
        <v>84</v>
      </c>
      <c r="J76" s="205">
        <f t="shared" si="12"/>
        <v>1.5876000000000001</v>
      </c>
      <c r="K76" s="105"/>
      <c r="L76" s="105"/>
      <c r="M76" s="105"/>
      <c r="N76" s="105"/>
      <c r="O76" s="105"/>
      <c r="P76" s="250">
        <f t="shared" si="20"/>
        <v>0</v>
      </c>
      <c r="Q76" s="105"/>
      <c r="R76" s="105"/>
      <c r="S76" s="105"/>
      <c r="T76" s="251">
        <f t="shared" si="16"/>
        <v>0</v>
      </c>
      <c r="U76" s="278">
        <v>200</v>
      </c>
      <c r="V76" s="252">
        <f t="shared" si="24"/>
        <v>3.7800000000000002</v>
      </c>
      <c r="W76" s="253">
        <f t="shared" si="21"/>
        <v>200</v>
      </c>
      <c r="X76" s="253">
        <f t="shared" si="22"/>
        <v>3.7800000000000002</v>
      </c>
      <c r="Y76" s="106"/>
      <c r="Z76" s="106"/>
    </row>
    <row r="77" spans="1:26" ht="15.75" thickBot="1" x14ac:dyDescent="0.3">
      <c r="A77" s="279">
        <v>73</v>
      </c>
      <c r="B77" s="280" t="s">
        <v>115</v>
      </c>
      <c r="C77" s="2">
        <v>90</v>
      </c>
      <c r="D77" s="2">
        <v>85</v>
      </c>
      <c r="E77" s="2">
        <v>5</v>
      </c>
      <c r="F77" s="131">
        <f t="shared" si="26"/>
        <v>3.8249999999999999E-2</v>
      </c>
      <c r="G77" s="110"/>
      <c r="H77" s="110"/>
      <c r="I77" s="96"/>
      <c r="J77" s="205">
        <f t="shared" si="12"/>
        <v>0</v>
      </c>
      <c r="K77" s="96"/>
      <c r="L77" s="96"/>
      <c r="M77" s="96"/>
      <c r="N77" s="96"/>
      <c r="O77" s="96"/>
      <c r="P77" s="250">
        <f t="shared" si="20"/>
        <v>0</v>
      </c>
      <c r="Q77" s="96"/>
      <c r="R77" s="96"/>
      <c r="S77" s="96"/>
      <c r="T77" s="96"/>
      <c r="U77" s="264">
        <v>211</v>
      </c>
      <c r="V77" s="264">
        <f t="shared" si="24"/>
        <v>8.0707500000000003</v>
      </c>
      <c r="W77" s="264">
        <f t="shared" si="21"/>
        <v>211</v>
      </c>
      <c r="X77" s="264">
        <f t="shared" si="22"/>
        <v>8.0707500000000003</v>
      </c>
      <c r="Y77" s="101"/>
      <c r="Z77" s="101"/>
    </row>
    <row r="78" spans="1:26" x14ac:dyDescent="0.25">
      <c r="A78" s="277">
        <v>74</v>
      </c>
      <c r="B78" s="151" t="s">
        <v>116</v>
      </c>
      <c r="C78" s="2">
        <v>100</v>
      </c>
      <c r="D78" s="2">
        <v>90</v>
      </c>
      <c r="E78" s="2">
        <v>3</v>
      </c>
      <c r="F78" s="131">
        <f t="shared" si="26"/>
        <v>2.7E-2</v>
      </c>
      <c r="G78" s="110"/>
      <c r="H78" s="110"/>
      <c r="I78" s="96">
        <v>72</v>
      </c>
      <c r="J78" s="205">
        <f t="shared" si="12"/>
        <v>1.944</v>
      </c>
      <c r="K78" s="96"/>
      <c r="L78" s="96"/>
      <c r="M78" s="96"/>
      <c r="N78" s="96"/>
      <c r="O78" s="96">
        <v>24</v>
      </c>
      <c r="P78" s="250">
        <f t="shared" si="20"/>
        <v>0.64800000000000002</v>
      </c>
      <c r="Q78" s="96"/>
      <c r="R78" s="96"/>
      <c r="S78" s="96"/>
      <c r="T78" s="96"/>
      <c r="U78" s="264">
        <v>156</v>
      </c>
      <c r="V78" s="264">
        <f t="shared" si="24"/>
        <v>4.2119999999999997</v>
      </c>
      <c r="W78" s="264">
        <f t="shared" si="21"/>
        <v>156</v>
      </c>
      <c r="X78" s="264">
        <f t="shared" si="22"/>
        <v>4.2119999999999997</v>
      </c>
      <c r="Y78" s="101"/>
      <c r="Z78" s="101"/>
    </row>
  </sheetData>
  <mergeCells count="24">
    <mergeCell ref="S4:T4"/>
    <mergeCell ref="U4:V4"/>
    <mergeCell ref="W4:X4"/>
    <mergeCell ref="G4:H4"/>
    <mergeCell ref="I4:J4"/>
    <mergeCell ref="K4:L4"/>
    <mergeCell ref="M4:N4"/>
    <mergeCell ref="O4:P4"/>
    <mergeCell ref="Q4:R4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C1:H1"/>
    <mergeCell ref="G2:H3"/>
    <mergeCell ref="I2:J2"/>
    <mergeCell ref="K2:L2"/>
    <mergeCell ref="M2:N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78"/>
  <sheetViews>
    <sheetView workbookViewId="0">
      <selection activeCell="Q5" sqref="Q5"/>
    </sheetView>
  </sheetViews>
  <sheetFormatPr defaultRowHeight="15" x14ac:dyDescent="0.25"/>
  <cols>
    <col min="1" max="1" width="6.42578125" customWidth="1"/>
    <col min="2" max="2" width="24.28515625" style="3" customWidth="1"/>
    <col min="3" max="3" width="0.140625" style="2" customWidth="1"/>
    <col min="4" max="4" width="13.140625" style="2" hidden="1" customWidth="1"/>
    <col min="5" max="5" width="13" style="2" hidden="1" customWidth="1"/>
    <col min="6" max="6" width="14.42578125" style="4" hidden="1" customWidth="1"/>
    <col min="7" max="8" width="9" style="5" customWidth="1"/>
    <col min="9" max="20" width="8.140625" style="2" customWidth="1"/>
    <col min="25" max="25" width="10.28515625" customWidth="1"/>
  </cols>
  <sheetData>
    <row r="1" spans="1:26" ht="15.75" thickBot="1" x14ac:dyDescent="0.3">
      <c r="B1" s="4" t="s">
        <v>18</v>
      </c>
      <c r="C1" s="320" t="s">
        <v>118</v>
      </c>
      <c r="D1" s="320"/>
      <c r="E1" s="320"/>
      <c r="F1" s="320"/>
      <c r="G1" s="320"/>
      <c r="H1" s="320"/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44907</v>
      </c>
      <c r="J2" s="326"/>
      <c r="K2" s="327">
        <v>44908</v>
      </c>
      <c r="L2" s="328"/>
      <c r="M2" s="325">
        <v>44909</v>
      </c>
      <c r="N2" s="329"/>
      <c r="O2" s="327">
        <v>44910</v>
      </c>
      <c r="P2" s="346"/>
      <c r="Q2" s="325">
        <v>44911</v>
      </c>
      <c r="R2" s="329"/>
      <c r="S2" s="330" t="s">
        <v>69</v>
      </c>
      <c r="T2" s="331"/>
      <c r="U2" s="334" t="s">
        <v>70</v>
      </c>
      <c r="V2" s="335"/>
      <c r="W2" s="338" t="s">
        <v>71</v>
      </c>
      <c r="X2" s="339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40"/>
      <c r="X3" s="341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51" t="s">
        <v>63</v>
      </c>
      <c r="X4" s="352"/>
      <c r="Y4" s="268" t="s">
        <v>99</v>
      </c>
      <c r="Z4" s="269" t="s">
        <v>100</v>
      </c>
    </row>
    <row r="5" spans="1:26" x14ac:dyDescent="0.25">
      <c r="A5" s="263">
        <v>1</v>
      </c>
      <c r="B5" s="256" t="s">
        <v>2</v>
      </c>
      <c r="C5" s="32">
        <v>140</v>
      </c>
      <c r="D5" s="33">
        <v>240</v>
      </c>
      <c r="E5" s="33">
        <v>1</v>
      </c>
      <c r="F5" s="15">
        <f>(C5*D5*E5)/1000000</f>
        <v>3.3599999999999998E-2</v>
      </c>
      <c r="G5" s="23">
        <f>'ARALIK 1 HAFTA'!W5</f>
        <v>6</v>
      </c>
      <c r="H5" s="24">
        <f>F5*G5</f>
        <v>0.2016</v>
      </c>
      <c r="I5" s="21">
        <v>6</v>
      </c>
      <c r="J5" s="205">
        <f t="shared" ref="J5:J68" si="0">F5*I5</f>
        <v>0.2016</v>
      </c>
      <c r="K5" s="21">
        <v>145</v>
      </c>
      <c r="L5" s="10">
        <f t="shared" ref="L5:L68" si="1">F5*K5</f>
        <v>4.8719999999999999</v>
      </c>
      <c r="M5" s="21">
        <v>96</v>
      </c>
      <c r="N5" s="205">
        <f t="shared" ref="N5:N68" si="2">F5*M5</f>
        <v>3.2256</v>
      </c>
      <c r="O5" s="21">
        <v>23</v>
      </c>
      <c r="P5" s="10">
        <f>F5*O5</f>
        <v>0.77279999999999993</v>
      </c>
      <c r="Q5" s="21">
        <v>24</v>
      </c>
      <c r="R5" s="205">
        <f t="shared" ref="R5:R68" si="3">F5*Q5</f>
        <v>0.80640000000000001</v>
      </c>
      <c r="S5" s="39">
        <f>G5-I5-K5-M5-O5-Q5</f>
        <v>-288</v>
      </c>
      <c r="T5" s="38">
        <f t="shared" ref="T5:T68" si="4">F5*S5</f>
        <v>-9.6768000000000001</v>
      </c>
      <c r="U5" s="21">
        <v>375</v>
      </c>
      <c r="V5" s="13">
        <f>F5*U5</f>
        <v>12.6</v>
      </c>
      <c r="W5" s="49">
        <f>S5+U5</f>
        <v>87</v>
      </c>
      <c r="X5" s="50">
        <f>F5*W5</f>
        <v>2.9232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3</v>
      </c>
      <c r="C6" s="34">
        <v>140</v>
      </c>
      <c r="D6" s="35">
        <v>240</v>
      </c>
      <c r="E6" s="35">
        <v>0.8</v>
      </c>
      <c r="F6" s="19">
        <f t="shared" ref="F6:F69" si="5">(C6*D6*E6)/1000000</f>
        <v>2.6880000000000001E-2</v>
      </c>
      <c r="G6" s="23">
        <f>'ARALIK 1 HAFTA'!W6</f>
        <v>39</v>
      </c>
      <c r="H6" s="26">
        <f t="shared" ref="H6:H69" si="6">F6*G6</f>
        <v>1.0483200000000001</v>
      </c>
      <c r="I6" s="21">
        <v>3</v>
      </c>
      <c r="J6" s="205">
        <f t="shared" si="0"/>
        <v>8.0640000000000003E-2</v>
      </c>
      <c r="K6" s="21">
        <v>5</v>
      </c>
      <c r="L6" s="10">
        <f t="shared" si="1"/>
        <v>0.13440000000000002</v>
      </c>
      <c r="M6" s="21">
        <v>20</v>
      </c>
      <c r="N6" s="205">
        <f t="shared" si="2"/>
        <v>0.53760000000000008</v>
      </c>
      <c r="O6" s="21">
        <v>6</v>
      </c>
      <c r="P6" s="10">
        <f t="shared" ref="P6:P69" si="7">F6*O6</f>
        <v>0.16128000000000001</v>
      </c>
      <c r="Q6" s="21">
        <v>0</v>
      </c>
      <c r="R6" s="205">
        <f t="shared" si="3"/>
        <v>0</v>
      </c>
      <c r="S6" s="39">
        <f>G6-I6-K6-M6-O6-Q6</f>
        <v>5</v>
      </c>
      <c r="T6" s="38">
        <f t="shared" si="4"/>
        <v>0.13440000000000002</v>
      </c>
      <c r="U6" s="21">
        <v>299</v>
      </c>
      <c r="V6" s="13">
        <f t="shared" ref="V6:V68" si="8">F6*U6</f>
        <v>8.0371199999999998</v>
      </c>
      <c r="W6" s="49">
        <f t="shared" ref="W6:W69" si="9">S6+U6</f>
        <v>304</v>
      </c>
      <c r="X6" s="50">
        <f t="shared" ref="X6:X69" si="10">F6*W6</f>
        <v>8.171520000000001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4</v>
      </c>
      <c r="C7" s="34">
        <v>140</v>
      </c>
      <c r="D7" s="35">
        <v>238</v>
      </c>
      <c r="E7" s="35">
        <v>1.4</v>
      </c>
      <c r="F7" s="19">
        <f t="shared" si="5"/>
        <v>4.6648000000000002E-2</v>
      </c>
      <c r="G7" s="23">
        <f>'ARALIK 1 HAFTA'!W7</f>
        <v>100</v>
      </c>
      <c r="H7" s="26">
        <f t="shared" si="6"/>
        <v>4.6648000000000005</v>
      </c>
      <c r="I7" s="21">
        <v>163</v>
      </c>
      <c r="J7" s="205">
        <f t="shared" si="0"/>
        <v>7.6036239999999999</v>
      </c>
      <c r="K7" s="21">
        <v>18</v>
      </c>
      <c r="L7" s="10">
        <f t="shared" si="1"/>
        <v>0.83966400000000008</v>
      </c>
      <c r="M7" s="21">
        <v>63</v>
      </c>
      <c r="N7" s="205">
        <f t="shared" si="2"/>
        <v>2.9388240000000003</v>
      </c>
      <c r="O7" s="21">
        <v>32</v>
      </c>
      <c r="P7" s="10">
        <f t="shared" si="7"/>
        <v>1.4927360000000001</v>
      </c>
      <c r="Q7" s="21">
        <v>6</v>
      </c>
      <c r="R7" s="205">
        <f t="shared" si="3"/>
        <v>0.27988800000000003</v>
      </c>
      <c r="S7" s="39">
        <f t="shared" ref="S7:S70" si="11">G7-I7-K7-M7-O7-Q7</f>
        <v>-182</v>
      </c>
      <c r="T7" s="38">
        <f t="shared" si="4"/>
        <v>-8.4899360000000001</v>
      </c>
      <c r="U7" s="21">
        <v>495</v>
      </c>
      <c r="V7" s="13">
        <f t="shared" si="8"/>
        <v>23.09076</v>
      </c>
      <c r="W7" s="49">
        <f t="shared" si="9"/>
        <v>313</v>
      </c>
      <c r="X7" s="50">
        <f t="shared" si="10"/>
        <v>14.600824000000001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114</v>
      </c>
      <c r="C8" s="34">
        <v>140</v>
      </c>
      <c r="D8" s="35">
        <v>240</v>
      </c>
      <c r="E8" s="35">
        <v>4</v>
      </c>
      <c r="F8" s="19">
        <f t="shared" si="5"/>
        <v>0.13439999999999999</v>
      </c>
      <c r="G8" s="23">
        <f>'ARALIK 1 HAFTA'!W8</f>
        <v>24</v>
      </c>
      <c r="H8" s="26">
        <f t="shared" si="6"/>
        <v>3.2256</v>
      </c>
      <c r="I8" s="21">
        <v>0</v>
      </c>
      <c r="J8" s="205">
        <f t="shared" si="0"/>
        <v>0</v>
      </c>
      <c r="K8" s="21">
        <v>0</v>
      </c>
      <c r="L8" s="10">
        <f t="shared" si="1"/>
        <v>0</v>
      </c>
      <c r="M8" s="21">
        <v>0</v>
      </c>
      <c r="N8" s="205">
        <f t="shared" si="2"/>
        <v>0</v>
      </c>
      <c r="O8" s="21">
        <v>0</v>
      </c>
      <c r="P8" s="10">
        <f t="shared" si="7"/>
        <v>0</v>
      </c>
      <c r="Q8" s="21">
        <v>0</v>
      </c>
      <c r="R8" s="205">
        <f t="shared" si="3"/>
        <v>0</v>
      </c>
      <c r="S8" s="39">
        <f t="shared" si="11"/>
        <v>24</v>
      </c>
      <c r="T8" s="38">
        <f t="shared" si="4"/>
        <v>3.2256</v>
      </c>
      <c r="U8" s="21">
        <v>0</v>
      </c>
      <c r="V8" s="13">
        <f t="shared" si="8"/>
        <v>0</v>
      </c>
      <c r="W8" s="49">
        <f t="shared" si="9"/>
        <v>24</v>
      </c>
      <c r="X8" s="50">
        <f t="shared" si="10"/>
        <v>3.2256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6</v>
      </c>
      <c r="C9" s="34">
        <v>140</v>
      </c>
      <c r="D9" s="35">
        <v>240</v>
      </c>
      <c r="E9" s="35">
        <v>2</v>
      </c>
      <c r="F9" s="19">
        <f t="shared" si="5"/>
        <v>6.7199999999999996E-2</v>
      </c>
      <c r="G9" s="23">
        <f>'ARALIK 1 HAFTA'!W9</f>
        <v>44</v>
      </c>
      <c r="H9" s="26">
        <f t="shared" si="6"/>
        <v>2.9567999999999999</v>
      </c>
      <c r="I9" s="21">
        <v>7</v>
      </c>
      <c r="J9" s="205">
        <f t="shared" si="0"/>
        <v>0.47039999999999998</v>
      </c>
      <c r="K9" s="21">
        <v>12</v>
      </c>
      <c r="L9" s="10">
        <f t="shared" si="1"/>
        <v>0.80640000000000001</v>
      </c>
      <c r="M9" s="21">
        <v>24</v>
      </c>
      <c r="N9" s="205">
        <f t="shared" si="2"/>
        <v>1.6128</v>
      </c>
      <c r="O9" s="21">
        <v>0</v>
      </c>
      <c r="P9" s="10">
        <f t="shared" si="7"/>
        <v>0</v>
      </c>
      <c r="Q9" s="21">
        <v>0</v>
      </c>
      <c r="R9" s="205">
        <f t="shared" si="3"/>
        <v>0</v>
      </c>
      <c r="S9" s="39">
        <f t="shared" si="11"/>
        <v>1</v>
      </c>
      <c r="T9" s="38">
        <f t="shared" si="4"/>
        <v>6.7199999999999996E-2</v>
      </c>
      <c r="U9" s="21">
        <v>0</v>
      </c>
      <c r="V9" s="13">
        <f t="shared" si="8"/>
        <v>0</v>
      </c>
      <c r="W9" s="49">
        <f t="shared" si="9"/>
        <v>1</v>
      </c>
      <c r="X9" s="50">
        <f t="shared" si="10"/>
        <v>6.7199999999999996E-2</v>
      </c>
      <c r="Y9" s="238">
        <v>50</v>
      </c>
      <c r="Z9" s="101">
        <v>150</v>
      </c>
    </row>
    <row r="10" spans="1:26" x14ac:dyDescent="0.25">
      <c r="A10" s="264">
        <v>6</v>
      </c>
      <c r="B10" s="256" t="s">
        <v>7</v>
      </c>
      <c r="C10" s="34">
        <v>140</v>
      </c>
      <c r="D10" s="35">
        <v>240</v>
      </c>
      <c r="E10" s="35">
        <v>2</v>
      </c>
      <c r="F10" s="19">
        <f t="shared" si="5"/>
        <v>6.7199999999999996E-2</v>
      </c>
      <c r="G10" s="23">
        <f>'ARALIK 1 HAFTA'!W10</f>
        <v>53</v>
      </c>
      <c r="H10" s="26">
        <f t="shared" si="6"/>
        <v>3.5615999999999999</v>
      </c>
      <c r="I10" s="21">
        <v>3</v>
      </c>
      <c r="J10" s="205">
        <f t="shared" si="0"/>
        <v>0.2016</v>
      </c>
      <c r="K10" s="21">
        <v>15</v>
      </c>
      <c r="L10" s="10">
        <f t="shared" si="1"/>
        <v>1.008</v>
      </c>
      <c r="M10" s="21">
        <v>0</v>
      </c>
      <c r="N10" s="205">
        <f t="shared" si="2"/>
        <v>0</v>
      </c>
      <c r="O10" s="21">
        <v>21</v>
      </c>
      <c r="P10" s="10">
        <f t="shared" si="7"/>
        <v>1.4112</v>
      </c>
      <c r="Q10" s="21">
        <v>0</v>
      </c>
      <c r="R10" s="205">
        <f t="shared" si="3"/>
        <v>0</v>
      </c>
      <c r="S10" s="39">
        <f t="shared" si="11"/>
        <v>14</v>
      </c>
      <c r="T10" s="38">
        <f t="shared" si="4"/>
        <v>0.94079999999999997</v>
      </c>
      <c r="U10" s="21">
        <v>0</v>
      </c>
      <c r="V10" s="13">
        <f t="shared" si="8"/>
        <v>0</v>
      </c>
      <c r="W10" s="49">
        <f t="shared" si="9"/>
        <v>14</v>
      </c>
      <c r="X10" s="50">
        <f t="shared" si="10"/>
        <v>0.94079999999999997</v>
      </c>
      <c r="Y10" s="238">
        <v>75</v>
      </c>
      <c r="Z10" s="101">
        <v>300</v>
      </c>
    </row>
    <row r="11" spans="1:26" x14ac:dyDescent="0.25">
      <c r="A11" s="264">
        <v>7</v>
      </c>
      <c r="B11" s="256" t="s">
        <v>8</v>
      </c>
      <c r="C11" s="34">
        <v>140</v>
      </c>
      <c r="D11" s="35">
        <v>240</v>
      </c>
      <c r="E11" s="35">
        <v>7</v>
      </c>
      <c r="F11" s="19">
        <f t="shared" si="5"/>
        <v>0.23519999999999999</v>
      </c>
      <c r="G11" s="23">
        <f>'ARALIK 1 HAFTA'!W11</f>
        <v>50</v>
      </c>
      <c r="H11" s="26">
        <f t="shared" si="6"/>
        <v>11.76</v>
      </c>
      <c r="I11" s="21">
        <v>4</v>
      </c>
      <c r="J11" s="205">
        <f t="shared" si="0"/>
        <v>0.94079999999999997</v>
      </c>
      <c r="K11" s="21">
        <v>4</v>
      </c>
      <c r="L11" s="10">
        <f t="shared" si="1"/>
        <v>0.94079999999999997</v>
      </c>
      <c r="M11" s="21">
        <v>0</v>
      </c>
      <c r="N11" s="205">
        <f t="shared" si="2"/>
        <v>0</v>
      </c>
      <c r="O11" s="21">
        <v>0</v>
      </c>
      <c r="P11" s="10">
        <f t="shared" si="7"/>
        <v>0</v>
      </c>
      <c r="Q11" s="21">
        <v>5</v>
      </c>
      <c r="R11" s="205">
        <f t="shared" si="3"/>
        <v>1.1759999999999999</v>
      </c>
      <c r="S11" s="39">
        <f t="shared" si="11"/>
        <v>37</v>
      </c>
      <c r="T11" s="38">
        <f t="shared" si="4"/>
        <v>8.702399999999999</v>
      </c>
      <c r="U11" s="21">
        <v>0</v>
      </c>
      <c r="V11" s="13">
        <f t="shared" si="8"/>
        <v>0</v>
      </c>
      <c r="W11" s="49">
        <f t="shared" si="9"/>
        <v>37</v>
      </c>
      <c r="X11" s="50">
        <f t="shared" si="10"/>
        <v>8.702399999999999</v>
      </c>
      <c r="Y11" s="238">
        <v>20</v>
      </c>
      <c r="Z11" s="101">
        <v>50</v>
      </c>
    </row>
    <row r="12" spans="1:26" x14ac:dyDescent="0.25">
      <c r="A12" s="264">
        <v>8</v>
      </c>
      <c r="B12" s="256" t="s">
        <v>9</v>
      </c>
      <c r="C12" s="34">
        <v>140</v>
      </c>
      <c r="D12" s="35">
        <v>240</v>
      </c>
      <c r="E12" s="35">
        <v>5</v>
      </c>
      <c r="F12" s="19">
        <f t="shared" si="5"/>
        <v>0.16800000000000001</v>
      </c>
      <c r="G12" s="23">
        <f>'ARALIK 1 HAFTA'!W12</f>
        <v>282</v>
      </c>
      <c r="H12" s="26">
        <f t="shared" si="6"/>
        <v>47.376000000000005</v>
      </c>
      <c r="I12" s="21">
        <v>0</v>
      </c>
      <c r="J12" s="205">
        <f t="shared" si="0"/>
        <v>0</v>
      </c>
      <c r="K12" s="21">
        <v>0</v>
      </c>
      <c r="L12" s="10">
        <f t="shared" si="1"/>
        <v>0</v>
      </c>
      <c r="M12" s="21">
        <v>2</v>
      </c>
      <c r="N12" s="205">
        <f t="shared" si="2"/>
        <v>0.33600000000000002</v>
      </c>
      <c r="O12" s="21">
        <v>0</v>
      </c>
      <c r="P12" s="10">
        <f t="shared" si="7"/>
        <v>0</v>
      </c>
      <c r="Q12" s="21">
        <v>0</v>
      </c>
      <c r="R12" s="205">
        <f t="shared" si="3"/>
        <v>0</v>
      </c>
      <c r="S12" s="39">
        <f t="shared" si="11"/>
        <v>280</v>
      </c>
      <c r="T12" s="38">
        <f t="shared" si="4"/>
        <v>47.040000000000006</v>
      </c>
      <c r="U12" s="21">
        <v>0</v>
      </c>
      <c r="V12" s="13">
        <f t="shared" si="8"/>
        <v>0</v>
      </c>
      <c r="W12" s="49">
        <f t="shared" si="9"/>
        <v>280</v>
      </c>
      <c r="X12" s="50">
        <f t="shared" si="10"/>
        <v>47.040000000000006</v>
      </c>
      <c r="Y12" s="238">
        <v>30</v>
      </c>
      <c r="Z12" s="101">
        <v>100</v>
      </c>
    </row>
    <row r="13" spans="1:26" x14ac:dyDescent="0.25">
      <c r="A13" s="264">
        <v>9</v>
      </c>
      <c r="B13" s="256" t="s">
        <v>10</v>
      </c>
      <c r="C13" s="34">
        <v>140</v>
      </c>
      <c r="D13" s="35">
        <v>240</v>
      </c>
      <c r="E13" s="35">
        <v>5</v>
      </c>
      <c r="F13" s="19">
        <f t="shared" si="5"/>
        <v>0.16800000000000001</v>
      </c>
      <c r="G13" s="23">
        <f>'ARALIK 1 HAFTA'!W13</f>
        <v>56</v>
      </c>
      <c r="H13" s="26">
        <f t="shared" si="6"/>
        <v>9.4080000000000013</v>
      </c>
      <c r="I13" s="21">
        <v>3</v>
      </c>
      <c r="J13" s="205">
        <f t="shared" si="0"/>
        <v>0.504</v>
      </c>
      <c r="K13" s="21">
        <v>1</v>
      </c>
      <c r="L13" s="10">
        <f t="shared" si="1"/>
        <v>0.16800000000000001</v>
      </c>
      <c r="M13" s="21">
        <v>5</v>
      </c>
      <c r="N13" s="205">
        <f t="shared" si="2"/>
        <v>0.84000000000000008</v>
      </c>
      <c r="O13" s="21">
        <v>1</v>
      </c>
      <c r="P13" s="10">
        <f t="shared" si="7"/>
        <v>0.16800000000000001</v>
      </c>
      <c r="Q13" s="21">
        <v>0</v>
      </c>
      <c r="R13" s="205">
        <f t="shared" si="3"/>
        <v>0</v>
      </c>
      <c r="S13" s="39">
        <f t="shared" si="11"/>
        <v>46</v>
      </c>
      <c r="T13" s="38">
        <f t="shared" si="4"/>
        <v>7.7280000000000006</v>
      </c>
      <c r="U13" s="21">
        <v>0</v>
      </c>
      <c r="V13" s="13">
        <f t="shared" si="8"/>
        <v>0</v>
      </c>
      <c r="W13" s="49">
        <f t="shared" si="9"/>
        <v>46</v>
      </c>
      <c r="X13" s="50">
        <f t="shared" si="10"/>
        <v>7.7280000000000006</v>
      </c>
      <c r="Y13" s="238">
        <v>20</v>
      </c>
      <c r="Z13" s="101">
        <v>50</v>
      </c>
    </row>
    <row r="14" spans="1:26" x14ac:dyDescent="0.25">
      <c r="A14" s="264">
        <v>10</v>
      </c>
      <c r="B14" s="256" t="s">
        <v>11</v>
      </c>
      <c r="C14" s="34">
        <v>140</v>
      </c>
      <c r="D14" s="35">
        <v>240</v>
      </c>
      <c r="E14" s="35">
        <v>5</v>
      </c>
      <c r="F14" s="19">
        <f t="shared" si="5"/>
        <v>0.16800000000000001</v>
      </c>
      <c r="G14" s="23">
        <f>'ARALIK 1 HAFTA'!W14</f>
        <v>260</v>
      </c>
      <c r="H14" s="26">
        <f t="shared" si="6"/>
        <v>43.68</v>
      </c>
      <c r="I14" s="21">
        <v>5</v>
      </c>
      <c r="J14" s="205">
        <f t="shared" si="0"/>
        <v>0.84000000000000008</v>
      </c>
      <c r="K14" s="21">
        <v>6</v>
      </c>
      <c r="L14" s="10">
        <f t="shared" si="1"/>
        <v>1.008</v>
      </c>
      <c r="M14" s="21">
        <v>0</v>
      </c>
      <c r="N14" s="205">
        <f t="shared" si="2"/>
        <v>0</v>
      </c>
      <c r="O14" s="21">
        <v>7</v>
      </c>
      <c r="P14" s="10">
        <f t="shared" si="7"/>
        <v>1.1760000000000002</v>
      </c>
      <c r="Q14" s="21">
        <v>11</v>
      </c>
      <c r="R14" s="205">
        <f t="shared" si="3"/>
        <v>1.8480000000000001</v>
      </c>
      <c r="S14" s="39">
        <f t="shared" si="11"/>
        <v>231</v>
      </c>
      <c r="T14" s="38">
        <f t="shared" si="4"/>
        <v>38.808</v>
      </c>
      <c r="U14" s="21">
        <v>0</v>
      </c>
      <c r="V14" s="13">
        <f t="shared" si="8"/>
        <v>0</v>
      </c>
      <c r="W14" s="49">
        <f t="shared" si="9"/>
        <v>231</v>
      </c>
      <c r="X14" s="50">
        <f t="shared" si="10"/>
        <v>38.808</v>
      </c>
      <c r="Y14" s="238">
        <v>30</v>
      </c>
      <c r="Z14" s="101">
        <v>100</v>
      </c>
    </row>
    <row r="15" spans="1:26" x14ac:dyDescent="0.25">
      <c r="A15" s="264">
        <v>11</v>
      </c>
      <c r="B15" s="256" t="s">
        <v>12</v>
      </c>
      <c r="C15" s="34">
        <v>140</v>
      </c>
      <c r="D15" s="35">
        <v>240</v>
      </c>
      <c r="E15" s="35">
        <v>10</v>
      </c>
      <c r="F15" s="19">
        <f t="shared" si="5"/>
        <v>0.33600000000000002</v>
      </c>
      <c r="G15" s="23">
        <f>'ARALIK 1 HAFTA'!W15</f>
        <v>5</v>
      </c>
      <c r="H15" s="26">
        <f t="shared" si="6"/>
        <v>1.6800000000000002</v>
      </c>
      <c r="I15" s="21">
        <v>1</v>
      </c>
      <c r="J15" s="205">
        <f t="shared" si="0"/>
        <v>0.33600000000000002</v>
      </c>
      <c r="K15" s="21">
        <v>13</v>
      </c>
      <c r="L15" s="10">
        <f t="shared" si="1"/>
        <v>4.3680000000000003</v>
      </c>
      <c r="M15" s="21">
        <v>0</v>
      </c>
      <c r="N15" s="205">
        <f t="shared" si="2"/>
        <v>0</v>
      </c>
      <c r="O15" s="21">
        <v>3</v>
      </c>
      <c r="P15" s="10">
        <f t="shared" si="7"/>
        <v>1.008</v>
      </c>
      <c r="Q15" s="21">
        <v>2</v>
      </c>
      <c r="R15" s="205">
        <f t="shared" si="3"/>
        <v>0.67200000000000004</v>
      </c>
      <c r="S15" s="39">
        <f t="shared" si="11"/>
        <v>-14</v>
      </c>
      <c r="T15" s="38">
        <f t="shared" si="4"/>
        <v>-4.7040000000000006</v>
      </c>
      <c r="U15" s="21">
        <v>70</v>
      </c>
      <c r="V15" s="13">
        <f t="shared" si="8"/>
        <v>23.520000000000003</v>
      </c>
      <c r="W15" s="49">
        <f t="shared" si="9"/>
        <v>56</v>
      </c>
      <c r="X15" s="50">
        <f t="shared" si="10"/>
        <v>18.816000000000003</v>
      </c>
      <c r="Y15" s="238">
        <v>20</v>
      </c>
      <c r="Z15" s="101">
        <v>70</v>
      </c>
    </row>
    <row r="16" spans="1:26" x14ac:dyDescent="0.25">
      <c r="A16" s="264">
        <v>12</v>
      </c>
      <c r="B16" s="256" t="s">
        <v>13</v>
      </c>
      <c r="C16" s="34">
        <v>140</v>
      </c>
      <c r="D16" s="35">
        <v>240</v>
      </c>
      <c r="E16" s="35">
        <v>3</v>
      </c>
      <c r="F16" s="19">
        <f t="shared" si="5"/>
        <v>0.1008</v>
      </c>
      <c r="G16" s="23">
        <f>'ARALIK 1 HAFTA'!W16</f>
        <v>10</v>
      </c>
      <c r="H16" s="26">
        <f t="shared" si="6"/>
        <v>1.008</v>
      </c>
      <c r="I16" s="21">
        <v>67</v>
      </c>
      <c r="J16" s="205">
        <f t="shared" si="0"/>
        <v>6.7536000000000005</v>
      </c>
      <c r="K16" s="21">
        <v>1</v>
      </c>
      <c r="L16" s="10">
        <f t="shared" si="1"/>
        <v>0.1008</v>
      </c>
      <c r="M16" s="21">
        <v>0</v>
      </c>
      <c r="N16" s="205">
        <f t="shared" si="2"/>
        <v>0</v>
      </c>
      <c r="O16" s="21">
        <v>3</v>
      </c>
      <c r="P16" s="10">
        <f t="shared" si="7"/>
        <v>0.3024</v>
      </c>
      <c r="Q16" s="21">
        <v>28</v>
      </c>
      <c r="R16" s="205">
        <f t="shared" si="3"/>
        <v>2.8224</v>
      </c>
      <c r="S16" s="39">
        <f t="shared" si="11"/>
        <v>-89</v>
      </c>
      <c r="T16" s="38">
        <f t="shared" si="4"/>
        <v>-8.9711999999999996</v>
      </c>
      <c r="U16" s="21">
        <v>165</v>
      </c>
      <c r="V16" s="13">
        <f t="shared" si="8"/>
        <v>16.632000000000001</v>
      </c>
      <c r="W16" s="49">
        <f t="shared" si="9"/>
        <v>76</v>
      </c>
      <c r="X16" s="50">
        <f t="shared" si="10"/>
        <v>7.6608000000000001</v>
      </c>
      <c r="Y16" s="238">
        <v>50</v>
      </c>
      <c r="Z16" s="101">
        <v>150</v>
      </c>
    </row>
    <row r="17" spans="1:26" x14ac:dyDescent="0.25">
      <c r="A17" s="264">
        <v>13</v>
      </c>
      <c r="B17" s="256" t="s">
        <v>14</v>
      </c>
      <c r="C17" s="34">
        <v>140</v>
      </c>
      <c r="D17" s="35">
        <v>240</v>
      </c>
      <c r="E17" s="35">
        <v>5</v>
      </c>
      <c r="F17" s="19">
        <f t="shared" si="5"/>
        <v>0.16800000000000001</v>
      </c>
      <c r="G17" s="23">
        <f>'ARALIK 1 HAFTA'!W17</f>
        <v>82</v>
      </c>
      <c r="H17" s="26">
        <f t="shared" si="6"/>
        <v>13.776000000000002</v>
      </c>
      <c r="I17" s="21">
        <v>4</v>
      </c>
      <c r="J17" s="205">
        <f t="shared" si="0"/>
        <v>0.67200000000000004</v>
      </c>
      <c r="K17" s="21">
        <v>0</v>
      </c>
      <c r="L17" s="10">
        <f t="shared" si="1"/>
        <v>0</v>
      </c>
      <c r="M17" s="21">
        <v>0</v>
      </c>
      <c r="N17" s="205">
        <f t="shared" si="2"/>
        <v>0</v>
      </c>
      <c r="O17" s="21">
        <v>0</v>
      </c>
      <c r="P17" s="10">
        <f t="shared" si="7"/>
        <v>0</v>
      </c>
      <c r="Q17" s="21">
        <v>0</v>
      </c>
      <c r="R17" s="205">
        <f t="shared" si="3"/>
        <v>0</v>
      </c>
      <c r="S17" s="39">
        <f t="shared" si="11"/>
        <v>78</v>
      </c>
      <c r="T17" s="38">
        <f t="shared" si="4"/>
        <v>13.104000000000001</v>
      </c>
      <c r="U17" s="21">
        <v>0</v>
      </c>
      <c r="V17" s="13">
        <f t="shared" si="8"/>
        <v>0</v>
      </c>
      <c r="W17" s="49">
        <f t="shared" si="9"/>
        <v>78</v>
      </c>
      <c r="X17" s="50">
        <f t="shared" si="10"/>
        <v>13.104000000000001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15</v>
      </c>
      <c r="C18" s="34">
        <v>140</v>
      </c>
      <c r="D18" s="35">
        <v>240</v>
      </c>
      <c r="E18" s="35">
        <v>3</v>
      </c>
      <c r="F18" s="19">
        <f t="shared" si="5"/>
        <v>0.1008</v>
      </c>
      <c r="G18" s="23">
        <f>'ARALIK 1 HAFTA'!W18</f>
        <v>0</v>
      </c>
      <c r="H18" s="26">
        <f t="shared" si="6"/>
        <v>0</v>
      </c>
      <c r="I18" s="21">
        <v>0</v>
      </c>
      <c r="J18" s="205">
        <f t="shared" si="0"/>
        <v>0</v>
      </c>
      <c r="K18" s="21">
        <v>0</v>
      </c>
      <c r="L18" s="10">
        <f t="shared" si="1"/>
        <v>0</v>
      </c>
      <c r="M18" s="21">
        <v>0</v>
      </c>
      <c r="N18" s="205">
        <f t="shared" si="2"/>
        <v>0</v>
      </c>
      <c r="O18" s="21">
        <v>0</v>
      </c>
      <c r="P18" s="10">
        <f t="shared" si="7"/>
        <v>0</v>
      </c>
      <c r="Q18" s="21">
        <v>0</v>
      </c>
      <c r="R18" s="205">
        <f t="shared" si="3"/>
        <v>0</v>
      </c>
      <c r="S18" s="39">
        <f t="shared" si="11"/>
        <v>0</v>
      </c>
      <c r="T18" s="38">
        <f t="shared" si="4"/>
        <v>0</v>
      </c>
      <c r="U18" s="21">
        <v>0</v>
      </c>
      <c r="V18" s="13">
        <f t="shared" si="8"/>
        <v>0</v>
      </c>
      <c r="W18" s="49">
        <f t="shared" si="9"/>
        <v>0</v>
      </c>
      <c r="X18" s="50">
        <f t="shared" si="10"/>
        <v>0</v>
      </c>
      <c r="Y18" s="238">
        <v>30</v>
      </c>
      <c r="Z18" s="101">
        <v>100</v>
      </c>
    </row>
    <row r="19" spans="1:26" x14ac:dyDescent="0.25">
      <c r="A19" s="264">
        <v>15</v>
      </c>
      <c r="B19" s="256" t="s">
        <v>16</v>
      </c>
      <c r="C19" s="34">
        <v>140</v>
      </c>
      <c r="D19" s="35">
        <v>240</v>
      </c>
      <c r="E19" s="35">
        <v>8</v>
      </c>
      <c r="F19" s="19">
        <f t="shared" si="5"/>
        <v>0.26879999999999998</v>
      </c>
      <c r="G19" s="23">
        <f>'ARALIK 1 HAFTA'!W19</f>
        <v>0</v>
      </c>
      <c r="H19" s="26">
        <f t="shared" si="6"/>
        <v>0</v>
      </c>
      <c r="I19" s="21">
        <v>0</v>
      </c>
      <c r="J19" s="205">
        <f t="shared" si="0"/>
        <v>0</v>
      </c>
      <c r="K19" s="21">
        <v>0</v>
      </c>
      <c r="L19" s="10">
        <f t="shared" si="1"/>
        <v>0</v>
      </c>
      <c r="M19" s="21">
        <v>0</v>
      </c>
      <c r="N19" s="205">
        <f t="shared" si="2"/>
        <v>0</v>
      </c>
      <c r="O19" s="21">
        <v>0</v>
      </c>
      <c r="P19" s="10">
        <f t="shared" si="7"/>
        <v>0</v>
      </c>
      <c r="Q19" s="21">
        <v>0</v>
      </c>
      <c r="R19" s="205">
        <f t="shared" si="3"/>
        <v>0</v>
      </c>
      <c r="S19" s="39">
        <f t="shared" si="11"/>
        <v>0</v>
      </c>
      <c r="T19" s="38">
        <f t="shared" si="4"/>
        <v>0</v>
      </c>
      <c r="U19" s="21">
        <v>0</v>
      </c>
      <c r="V19" s="13">
        <f t="shared" si="8"/>
        <v>0</v>
      </c>
      <c r="W19" s="49">
        <f t="shared" si="9"/>
        <v>0</v>
      </c>
      <c r="X19" s="50">
        <f t="shared" si="10"/>
        <v>0</v>
      </c>
      <c r="Y19" s="238">
        <v>10</v>
      </c>
      <c r="Z19" s="101">
        <v>30</v>
      </c>
    </row>
    <row r="20" spans="1:26" x14ac:dyDescent="0.25">
      <c r="A20" s="264">
        <v>16</v>
      </c>
      <c r="B20" s="256" t="s">
        <v>17</v>
      </c>
      <c r="C20" s="34">
        <v>140</v>
      </c>
      <c r="D20" s="35">
        <v>240</v>
      </c>
      <c r="E20" s="35">
        <v>8</v>
      </c>
      <c r="F20" s="19">
        <f t="shared" si="5"/>
        <v>0.26879999999999998</v>
      </c>
      <c r="G20" s="23">
        <f>'ARALIK 1 HAFTA'!W20</f>
        <v>0</v>
      </c>
      <c r="H20" s="26">
        <f t="shared" si="6"/>
        <v>0</v>
      </c>
      <c r="I20" s="21">
        <v>0</v>
      </c>
      <c r="J20" s="205">
        <f t="shared" si="0"/>
        <v>0</v>
      </c>
      <c r="K20" s="21">
        <v>0</v>
      </c>
      <c r="L20" s="10">
        <f t="shared" si="1"/>
        <v>0</v>
      </c>
      <c r="M20" s="21">
        <v>0</v>
      </c>
      <c r="N20" s="205">
        <f t="shared" si="2"/>
        <v>0</v>
      </c>
      <c r="O20" s="21">
        <v>0</v>
      </c>
      <c r="P20" s="10">
        <f t="shared" si="7"/>
        <v>0</v>
      </c>
      <c r="Q20" s="21">
        <v>0</v>
      </c>
      <c r="R20" s="205">
        <f t="shared" si="3"/>
        <v>0</v>
      </c>
      <c r="S20" s="39">
        <f t="shared" si="11"/>
        <v>0</v>
      </c>
      <c r="T20" s="38">
        <f t="shared" si="4"/>
        <v>0</v>
      </c>
      <c r="U20" s="21">
        <v>0</v>
      </c>
      <c r="V20" s="13">
        <f t="shared" si="8"/>
        <v>0</v>
      </c>
      <c r="W20" s="49">
        <f t="shared" si="9"/>
        <v>0</v>
      </c>
      <c r="X20" s="50">
        <f t="shared" si="10"/>
        <v>0</v>
      </c>
      <c r="Y20" s="238">
        <v>0</v>
      </c>
      <c r="Z20" s="101">
        <v>0</v>
      </c>
    </row>
    <row r="21" spans="1:26" x14ac:dyDescent="0.25">
      <c r="A21" s="264">
        <v>17</v>
      </c>
      <c r="B21" s="256" t="s">
        <v>19</v>
      </c>
      <c r="C21" s="34">
        <v>77</v>
      </c>
      <c r="D21" s="35">
        <v>55</v>
      </c>
      <c r="E21" s="35">
        <v>8</v>
      </c>
      <c r="F21" s="19">
        <f t="shared" si="5"/>
        <v>3.388E-2</v>
      </c>
      <c r="G21" s="23">
        <f>'ARALIK 1 HAFTA'!W21</f>
        <v>4</v>
      </c>
      <c r="H21" s="26">
        <f t="shared" si="6"/>
        <v>0.13552</v>
      </c>
      <c r="I21" s="21">
        <v>0</v>
      </c>
      <c r="J21" s="205">
        <f t="shared" si="0"/>
        <v>0</v>
      </c>
      <c r="K21" s="21">
        <v>0</v>
      </c>
      <c r="L21" s="10">
        <f t="shared" si="1"/>
        <v>0</v>
      </c>
      <c r="M21" s="21">
        <v>0</v>
      </c>
      <c r="N21" s="205">
        <f t="shared" si="2"/>
        <v>0</v>
      </c>
      <c r="O21" s="21">
        <v>4</v>
      </c>
      <c r="P21" s="10">
        <f t="shared" si="7"/>
        <v>0.13552</v>
      </c>
      <c r="Q21" s="21">
        <v>0</v>
      </c>
      <c r="R21" s="205">
        <f t="shared" si="3"/>
        <v>0</v>
      </c>
      <c r="S21" s="39">
        <f t="shared" si="11"/>
        <v>0</v>
      </c>
      <c r="T21" s="38">
        <f t="shared" si="4"/>
        <v>0</v>
      </c>
      <c r="U21" s="21">
        <v>0</v>
      </c>
      <c r="V21" s="13">
        <f t="shared" si="8"/>
        <v>0</v>
      </c>
      <c r="W21" s="49">
        <f t="shared" si="9"/>
        <v>0</v>
      </c>
      <c r="X21" s="50">
        <f t="shared" si="10"/>
        <v>0</v>
      </c>
      <c r="Y21" s="238">
        <v>0</v>
      </c>
      <c r="Z21" s="101">
        <v>0</v>
      </c>
    </row>
    <row r="22" spans="1:26" x14ac:dyDescent="0.25">
      <c r="A22" s="264">
        <v>18</v>
      </c>
      <c r="B22" s="256" t="s">
        <v>20</v>
      </c>
      <c r="C22" s="34">
        <v>65</v>
      </c>
      <c r="D22" s="35">
        <v>50</v>
      </c>
      <c r="E22" s="35">
        <v>12</v>
      </c>
      <c r="F22" s="19">
        <f t="shared" si="5"/>
        <v>3.9E-2</v>
      </c>
      <c r="G22" s="23">
        <f>'ARALIK 1 HAFTA'!W22</f>
        <v>26</v>
      </c>
      <c r="H22" s="26">
        <f t="shared" si="6"/>
        <v>1.014</v>
      </c>
      <c r="I22" s="21">
        <v>0</v>
      </c>
      <c r="J22" s="205">
        <f t="shared" si="0"/>
        <v>0</v>
      </c>
      <c r="K22" s="21">
        <v>0</v>
      </c>
      <c r="L22" s="10">
        <f t="shared" si="1"/>
        <v>0</v>
      </c>
      <c r="M22" s="21">
        <v>0</v>
      </c>
      <c r="N22" s="205">
        <f t="shared" si="2"/>
        <v>0</v>
      </c>
      <c r="O22" s="21">
        <v>0</v>
      </c>
      <c r="P22" s="10">
        <f t="shared" si="7"/>
        <v>0</v>
      </c>
      <c r="Q22" s="21">
        <v>0</v>
      </c>
      <c r="R22" s="205">
        <f t="shared" si="3"/>
        <v>0</v>
      </c>
      <c r="S22" s="39">
        <f t="shared" si="11"/>
        <v>26</v>
      </c>
      <c r="T22" s="38">
        <f t="shared" si="4"/>
        <v>1.014</v>
      </c>
      <c r="U22" s="21">
        <v>0</v>
      </c>
      <c r="V22" s="13">
        <f t="shared" si="8"/>
        <v>0</v>
      </c>
      <c r="W22" s="49">
        <f t="shared" si="9"/>
        <v>26</v>
      </c>
      <c r="X22" s="50">
        <f t="shared" si="10"/>
        <v>1.014</v>
      </c>
      <c r="Y22" s="238">
        <v>0</v>
      </c>
      <c r="Z22" s="101">
        <v>0</v>
      </c>
    </row>
    <row r="23" spans="1:26" x14ac:dyDescent="0.25">
      <c r="A23" s="264">
        <v>19</v>
      </c>
      <c r="B23" s="42" t="s">
        <v>103</v>
      </c>
      <c r="C23" s="34">
        <v>58</v>
      </c>
      <c r="D23" s="35">
        <v>58</v>
      </c>
      <c r="E23" s="35">
        <v>5</v>
      </c>
      <c r="F23" s="19">
        <f t="shared" si="5"/>
        <v>1.6820000000000002E-2</v>
      </c>
      <c r="G23" s="23">
        <f>'ARALIK 1 HAFTA'!W23</f>
        <v>102</v>
      </c>
      <c r="H23" s="26">
        <f t="shared" si="6"/>
        <v>1.7156400000000001</v>
      </c>
      <c r="I23" s="21">
        <v>15</v>
      </c>
      <c r="J23" s="205">
        <f t="shared" si="0"/>
        <v>0.25230000000000002</v>
      </c>
      <c r="K23" s="21">
        <v>0</v>
      </c>
      <c r="L23" s="10">
        <f t="shared" si="1"/>
        <v>0</v>
      </c>
      <c r="M23" s="21">
        <v>0</v>
      </c>
      <c r="N23" s="205">
        <f t="shared" si="2"/>
        <v>0</v>
      </c>
      <c r="O23" s="21">
        <v>0</v>
      </c>
      <c r="P23" s="10">
        <f t="shared" si="7"/>
        <v>0</v>
      </c>
      <c r="Q23" s="21">
        <v>0</v>
      </c>
      <c r="R23" s="205">
        <f t="shared" si="3"/>
        <v>0</v>
      </c>
      <c r="S23" s="39">
        <f t="shared" si="11"/>
        <v>87</v>
      </c>
      <c r="T23" s="38">
        <f t="shared" si="4"/>
        <v>1.4633400000000001</v>
      </c>
      <c r="U23" s="21">
        <v>0</v>
      </c>
      <c r="V23" s="13">
        <f t="shared" si="8"/>
        <v>0</v>
      </c>
      <c r="W23" s="49">
        <f t="shared" si="9"/>
        <v>87</v>
      </c>
      <c r="X23" s="50">
        <f t="shared" si="10"/>
        <v>1.4633400000000001</v>
      </c>
      <c r="Y23" s="238">
        <v>0</v>
      </c>
      <c r="Z23" s="101">
        <v>0</v>
      </c>
    </row>
    <row r="24" spans="1:26" x14ac:dyDescent="0.25">
      <c r="A24" s="264">
        <v>20</v>
      </c>
      <c r="B24" s="256" t="s">
        <v>22</v>
      </c>
      <c r="C24" s="34">
        <v>66</v>
      </c>
      <c r="D24" s="35">
        <v>56</v>
      </c>
      <c r="E24" s="35">
        <v>12</v>
      </c>
      <c r="F24" s="19">
        <f t="shared" si="5"/>
        <v>4.4352000000000003E-2</v>
      </c>
      <c r="G24" s="23">
        <f>'ARALIK 1 HAFTA'!W24</f>
        <v>28</v>
      </c>
      <c r="H24" s="26">
        <f t="shared" si="6"/>
        <v>1.2418560000000001</v>
      </c>
      <c r="I24" s="21">
        <v>0</v>
      </c>
      <c r="J24" s="205">
        <f t="shared" si="0"/>
        <v>0</v>
      </c>
      <c r="K24" s="21">
        <v>0</v>
      </c>
      <c r="L24" s="10">
        <f t="shared" si="1"/>
        <v>0</v>
      </c>
      <c r="M24" s="21">
        <v>0</v>
      </c>
      <c r="N24" s="205">
        <f t="shared" si="2"/>
        <v>0</v>
      </c>
      <c r="O24" s="21">
        <v>0</v>
      </c>
      <c r="P24" s="10">
        <f t="shared" si="7"/>
        <v>0</v>
      </c>
      <c r="Q24" s="21">
        <v>0</v>
      </c>
      <c r="R24" s="205">
        <f t="shared" si="3"/>
        <v>0</v>
      </c>
      <c r="S24" s="39">
        <f t="shared" si="11"/>
        <v>28</v>
      </c>
      <c r="T24" s="38">
        <f t="shared" si="4"/>
        <v>1.2418560000000001</v>
      </c>
      <c r="U24" s="21">
        <v>0</v>
      </c>
      <c r="V24" s="13">
        <f t="shared" si="8"/>
        <v>0</v>
      </c>
      <c r="W24" s="49">
        <f t="shared" si="9"/>
        <v>28</v>
      </c>
      <c r="X24" s="50">
        <f t="shared" si="10"/>
        <v>1.2418560000000001</v>
      </c>
      <c r="Y24" s="238">
        <v>0</v>
      </c>
      <c r="Z24" s="101">
        <v>0</v>
      </c>
    </row>
    <row r="25" spans="1:26" x14ac:dyDescent="0.25">
      <c r="A25" s="264">
        <v>21</v>
      </c>
      <c r="B25" s="256" t="s">
        <v>102</v>
      </c>
      <c r="C25" s="34">
        <v>61.5</v>
      </c>
      <c r="D25" s="35">
        <v>61.5</v>
      </c>
      <c r="E25" s="35">
        <v>10</v>
      </c>
      <c r="F25" s="19">
        <f t="shared" si="5"/>
        <v>3.7822500000000002E-2</v>
      </c>
      <c r="G25" s="23">
        <f>'ARALIK 1 HAFTA'!W25</f>
        <v>0</v>
      </c>
      <c r="H25" s="26">
        <f t="shared" si="6"/>
        <v>0</v>
      </c>
      <c r="I25" s="21">
        <v>0</v>
      </c>
      <c r="J25" s="205">
        <f t="shared" si="0"/>
        <v>0</v>
      </c>
      <c r="K25" s="21">
        <v>0</v>
      </c>
      <c r="L25" s="10">
        <f t="shared" si="1"/>
        <v>0</v>
      </c>
      <c r="M25" s="21">
        <v>0</v>
      </c>
      <c r="N25" s="205">
        <f t="shared" si="2"/>
        <v>0</v>
      </c>
      <c r="O25" s="21">
        <v>0</v>
      </c>
      <c r="P25" s="10">
        <f t="shared" si="7"/>
        <v>0</v>
      </c>
      <c r="Q25" s="21">
        <v>0</v>
      </c>
      <c r="R25" s="205">
        <f t="shared" si="3"/>
        <v>0</v>
      </c>
      <c r="S25" s="39">
        <f t="shared" si="11"/>
        <v>0</v>
      </c>
      <c r="T25" s="38">
        <f t="shared" si="4"/>
        <v>0</v>
      </c>
      <c r="U25" s="21">
        <v>0</v>
      </c>
      <c r="V25" s="13">
        <f t="shared" si="8"/>
        <v>0</v>
      </c>
      <c r="W25" s="49">
        <f t="shared" si="9"/>
        <v>0</v>
      </c>
      <c r="X25" s="50">
        <f t="shared" si="10"/>
        <v>0</v>
      </c>
      <c r="Y25" s="238">
        <v>30</v>
      </c>
      <c r="Z25" s="101">
        <v>100</v>
      </c>
    </row>
    <row r="26" spans="1:26" x14ac:dyDescent="0.25">
      <c r="A26" s="264">
        <v>22</v>
      </c>
      <c r="B26" s="256" t="s">
        <v>24</v>
      </c>
      <c r="C26" s="34">
        <v>82</v>
      </c>
      <c r="D26" s="35">
        <v>67</v>
      </c>
      <c r="E26" s="35">
        <v>5</v>
      </c>
      <c r="F26" s="19">
        <f t="shared" si="5"/>
        <v>2.7470000000000001E-2</v>
      </c>
      <c r="G26" s="23">
        <f>'ARALIK 1 HAFTA'!W26</f>
        <v>30</v>
      </c>
      <c r="H26" s="26">
        <f t="shared" si="6"/>
        <v>0.82410000000000005</v>
      </c>
      <c r="I26" s="21">
        <v>0</v>
      </c>
      <c r="J26" s="205">
        <f t="shared" si="0"/>
        <v>0</v>
      </c>
      <c r="K26" s="21">
        <v>0</v>
      </c>
      <c r="L26" s="10">
        <f t="shared" si="1"/>
        <v>0</v>
      </c>
      <c r="M26" s="21">
        <v>0</v>
      </c>
      <c r="N26" s="205">
        <f t="shared" si="2"/>
        <v>0</v>
      </c>
      <c r="O26" s="21">
        <v>0</v>
      </c>
      <c r="P26" s="10">
        <f t="shared" si="7"/>
        <v>0</v>
      </c>
      <c r="Q26" s="21">
        <v>0</v>
      </c>
      <c r="R26" s="205">
        <f t="shared" si="3"/>
        <v>0</v>
      </c>
      <c r="S26" s="39">
        <f t="shared" si="11"/>
        <v>30</v>
      </c>
      <c r="T26" s="38">
        <f t="shared" si="4"/>
        <v>0.82410000000000005</v>
      </c>
      <c r="U26" s="21">
        <v>0</v>
      </c>
      <c r="V26" s="13">
        <f t="shared" si="8"/>
        <v>0</v>
      </c>
      <c r="W26" s="49">
        <f t="shared" si="9"/>
        <v>30</v>
      </c>
      <c r="X26" s="50">
        <f t="shared" si="10"/>
        <v>0.82410000000000005</v>
      </c>
      <c r="Y26" s="238">
        <v>0</v>
      </c>
      <c r="Z26" s="101">
        <v>0</v>
      </c>
    </row>
    <row r="27" spans="1:26" x14ac:dyDescent="0.25">
      <c r="A27" s="264">
        <v>23</v>
      </c>
      <c r="B27" s="256" t="s">
        <v>25</v>
      </c>
      <c r="C27" s="34">
        <v>80</v>
      </c>
      <c r="D27" s="35">
        <v>62</v>
      </c>
      <c r="E27" s="35">
        <v>2</v>
      </c>
      <c r="F27" s="19">
        <f t="shared" si="5"/>
        <v>9.92E-3</v>
      </c>
      <c r="G27" s="23">
        <f>'ARALIK 1 HAFTA'!W27</f>
        <v>36</v>
      </c>
      <c r="H27" s="26">
        <f t="shared" si="6"/>
        <v>0.35711999999999999</v>
      </c>
      <c r="I27" s="21">
        <v>0</v>
      </c>
      <c r="J27" s="205">
        <f t="shared" si="0"/>
        <v>0</v>
      </c>
      <c r="K27" s="21">
        <v>0</v>
      </c>
      <c r="L27" s="10">
        <f t="shared" si="1"/>
        <v>0</v>
      </c>
      <c r="M27" s="21">
        <v>0</v>
      </c>
      <c r="N27" s="205">
        <f t="shared" si="2"/>
        <v>0</v>
      </c>
      <c r="O27" s="21">
        <v>0</v>
      </c>
      <c r="P27" s="10">
        <f t="shared" si="7"/>
        <v>0</v>
      </c>
      <c r="Q27" s="21">
        <v>0</v>
      </c>
      <c r="R27" s="205">
        <f t="shared" si="3"/>
        <v>0</v>
      </c>
      <c r="S27" s="39">
        <f t="shared" si="11"/>
        <v>36</v>
      </c>
      <c r="T27" s="38">
        <f t="shared" si="4"/>
        <v>0.35711999999999999</v>
      </c>
      <c r="U27" s="21">
        <v>0</v>
      </c>
      <c r="V27" s="13">
        <f t="shared" si="8"/>
        <v>0</v>
      </c>
      <c r="W27" s="49">
        <f t="shared" si="9"/>
        <v>36</v>
      </c>
      <c r="X27" s="50">
        <f t="shared" si="10"/>
        <v>0.35711999999999999</v>
      </c>
      <c r="Y27" s="238">
        <v>0</v>
      </c>
      <c r="Z27" s="101">
        <v>0</v>
      </c>
    </row>
    <row r="28" spans="1:26" x14ac:dyDescent="0.25">
      <c r="A28" s="264">
        <v>24</v>
      </c>
      <c r="B28" s="256" t="s">
        <v>26</v>
      </c>
      <c r="C28" s="34">
        <v>63</v>
      </c>
      <c r="D28" s="35">
        <v>55</v>
      </c>
      <c r="E28" s="35">
        <v>5</v>
      </c>
      <c r="F28" s="19">
        <f t="shared" si="5"/>
        <v>1.7325E-2</v>
      </c>
      <c r="G28" s="23">
        <f>'ARALIK 1 HAFTA'!W28</f>
        <v>7</v>
      </c>
      <c r="H28" s="26">
        <f t="shared" si="6"/>
        <v>0.12127499999999999</v>
      </c>
      <c r="I28" s="21">
        <v>0</v>
      </c>
      <c r="J28" s="205">
        <f t="shared" si="0"/>
        <v>0</v>
      </c>
      <c r="K28" s="21">
        <v>0</v>
      </c>
      <c r="L28" s="10">
        <f t="shared" si="1"/>
        <v>0</v>
      </c>
      <c r="M28" s="21">
        <v>0</v>
      </c>
      <c r="N28" s="205">
        <f t="shared" si="2"/>
        <v>0</v>
      </c>
      <c r="O28" s="21">
        <v>0</v>
      </c>
      <c r="P28" s="10">
        <f t="shared" si="7"/>
        <v>0</v>
      </c>
      <c r="Q28" s="21">
        <v>0</v>
      </c>
      <c r="R28" s="205">
        <f t="shared" si="3"/>
        <v>0</v>
      </c>
      <c r="S28" s="39">
        <f t="shared" si="11"/>
        <v>7</v>
      </c>
      <c r="T28" s="38">
        <f t="shared" si="4"/>
        <v>0.12127499999999999</v>
      </c>
      <c r="U28" s="21">
        <v>0</v>
      </c>
      <c r="V28" s="13">
        <f t="shared" si="8"/>
        <v>0</v>
      </c>
      <c r="W28" s="49">
        <f t="shared" si="9"/>
        <v>7</v>
      </c>
      <c r="X28" s="50">
        <f t="shared" si="10"/>
        <v>0.12127499999999999</v>
      </c>
      <c r="Y28" s="238">
        <v>0</v>
      </c>
      <c r="Z28" s="101">
        <v>0</v>
      </c>
    </row>
    <row r="29" spans="1:26" x14ac:dyDescent="0.25">
      <c r="A29" s="264">
        <v>25</v>
      </c>
      <c r="B29" s="256" t="s">
        <v>27</v>
      </c>
      <c r="C29" s="34">
        <v>140</v>
      </c>
      <c r="D29" s="35">
        <v>240</v>
      </c>
      <c r="E29" s="35">
        <v>5</v>
      </c>
      <c r="F29" s="19">
        <f t="shared" si="5"/>
        <v>0.16800000000000001</v>
      </c>
      <c r="G29" s="23">
        <f>'ARALIK 1 HAFTA'!W29</f>
        <v>6</v>
      </c>
      <c r="H29" s="26">
        <f t="shared" si="6"/>
        <v>1.008</v>
      </c>
      <c r="I29" s="21">
        <v>0</v>
      </c>
      <c r="J29" s="205">
        <f t="shared" si="0"/>
        <v>0</v>
      </c>
      <c r="K29" s="21">
        <v>0</v>
      </c>
      <c r="L29" s="10">
        <f t="shared" si="1"/>
        <v>0</v>
      </c>
      <c r="M29" s="21">
        <v>0</v>
      </c>
      <c r="N29" s="205">
        <f t="shared" si="2"/>
        <v>0</v>
      </c>
      <c r="O29" s="21">
        <v>0</v>
      </c>
      <c r="P29" s="10">
        <f t="shared" si="7"/>
        <v>0</v>
      </c>
      <c r="Q29" s="21">
        <v>0</v>
      </c>
      <c r="R29" s="205">
        <f t="shared" si="3"/>
        <v>0</v>
      </c>
      <c r="S29" s="39">
        <f t="shared" si="11"/>
        <v>6</v>
      </c>
      <c r="T29" s="38">
        <f t="shared" si="4"/>
        <v>1.008</v>
      </c>
      <c r="U29" s="21">
        <v>0</v>
      </c>
      <c r="V29" s="13">
        <f t="shared" si="8"/>
        <v>0</v>
      </c>
      <c r="W29" s="49">
        <f t="shared" si="9"/>
        <v>6</v>
      </c>
      <c r="X29" s="50">
        <f t="shared" si="10"/>
        <v>1.008</v>
      </c>
      <c r="Y29" s="238">
        <v>0</v>
      </c>
      <c r="Z29" s="101">
        <v>0</v>
      </c>
    </row>
    <row r="30" spans="1:26" x14ac:dyDescent="0.25">
      <c r="A30" s="264">
        <v>26</v>
      </c>
      <c r="B30" s="256" t="s">
        <v>112</v>
      </c>
      <c r="C30" s="34">
        <v>140</v>
      </c>
      <c r="D30" s="35">
        <v>240</v>
      </c>
      <c r="E30" s="35">
        <v>10</v>
      </c>
      <c r="F30" s="19">
        <f t="shared" si="5"/>
        <v>0.33600000000000002</v>
      </c>
      <c r="G30" s="23">
        <f>'ARALIK 1 HAFTA'!W30</f>
        <v>58</v>
      </c>
      <c r="H30" s="26">
        <f t="shared" si="6"/>
        <v>19.488</v>
      </c>
      <c r="I30" s="21">
        <v>13</v>
      </c>
      <c r="J30" s="205">
        <f t="shared" si="0"/>
        <v>4.3680000000000003</v>
      </c>
      <c r="K30" s="21">
        <v>0</v>
      </c>
      <c r="L30" s="10">
        <f t="shared" si="1"/>
        <v>0</v>
      </c>
      <c r="M30" s="21">
        <v>0</v>
      </c>
      <c r="N30" s="205">
        <f t="shared" si="2"/>
        <v>0</v>
      </c>
      <c r="O30" s="21">
        <v>0</v>
      </c>
      <c r="P30" s="10">
        <f t="shared" si="7"/>
        <v>0</v>
      </c>
      <c r="Q30" s="21">
        <v>0</v>
      </c>
      <c r="R30" s="205">
        <f t="shared" si="3"/>
        <v>0</v>
      </c>
      <c r="S30" s="39">
        <f t="shared" si="11"/>
        <v>45</v>
      </c>
      <c r="T30" s="38">
        <f t="shared" si="4"/>
        <v>15.120000000000001</v>
      </c>
      <c r="U30" s="21">
        <v>0</v>
      </c>
      <c r="V30" s="13">
        <f t="shared" si="8"/>
        <v>0</v>
      </c>
      <c r="W30" s="49">
        <f t="shared" si="9"/>
        <v>45</v>
      </c>
      <c r="X30" s="50">
        <f t="shared" si="10"/>
        <v>15.120000000000001</v>
      </c>
      <c r="Y30" s="238">
        <v>0</v>
      </c>
      <c r="Z30" s="101">
        <v>0</v>
      </c>
    </row>
    <row r="31" spans="1:26" x14ac:dyDescent="0.25">
      <c r="A31" s="264">
        <v>27</v>
      </c>
      <c r="B31" s="256" t="s">
        <v>29</v>
      </c>
      <c r="C31" s="34">
        <v>140</v>
      </c>
      <c r="D31" s="35">
        <v>240</v>
      </c>
      <c r="E31" s="35">
        <v>3</v>
      </c>
      <c r="F31" s="19">
        <f t="shared" si="5"/>
        <v>0.1008</v>
      </c>
      <c r="G31" s="23">
        <f>'ARALIK 1 HAFTA'!W31</f>
        <v>26</v>
      </c>
      <c r="H31" s="26">
        <f t="shared" si="6"/>
        <v>2.6208</v>
      </c>
      <c r="I31" s="21">
        <v>0</v>
      </c>
      <c r="J31" s="205">
        <f t="shared" si="0"/>
        <v>0</v>
      </c>
      <c r="K31" s="21">
        <v>0</v>
      </c>
      <c r="L31" s="10">
        <f t="shared" si="1"/>
        <v>0</v>
      </c>
      <c r="M31" s="21">
        <v>0</v>
      </c>
      <c r="N31" s="205">
        <f t="shared" si="2"/>
        <v>0</v>
      </c>
      <c r="O31" s="21">
        <v>0</v>
      </c>
      <c r="P31" s="10">
        <f t="shared" si="7"/>
        <v>0</v>
      </c>
      <c r="Q31" s="21">
        <v>0</v>
      </c>
      <c r="R31" s="205">
        <f t="shared" si="3"/>
        <v>0</v>
      </c>
      <c r="S31" s="39">
        <f t="shared" si="11"/>
        <v>26</v>
      </c>
      <c r="T31" s="38">
        <f t="shared" si="4"/>
        <v>2.6208</v>
      </c>
      <c r="U31" s="21">
        <v>0</v>
      </c>
      <c r="V31" s="13">
        <f t="shared" si="8"/>
        <v>0</v>
      </c>
      <c r="W31" s="49">
        <f t="shared" si="9"/>
        <v>26</v>
      </c>
      <c r="X31" s="50">
        <f t="shared" si="10"/>
        <v>2.6208</v>
      </c>
      <c r="Y31" s="238">
        <v>0</v>
      </c>
      <c r="Z31" s="101">
        <v>0</v>
      </c>
    </row>
    <row r="32" spans="1:26" x14ac:dyDescent="0.25">
      <c r="A32" s="264">
        <v>28</v>
      </c>
      <c r="B32" s="256" t="s">
        <v>30</v>
      </c>
      <c r="C32" s="34">
        <v>90</v>
      </c>
      <c r="D32" s="35">
        <v>80</v>
      </c>
      <c r="E32" s="35">
        <v>8</v>
      </c>
      <c r="F32" s="19">
        <f t="shared" si="5"/>
        <v>5.7599999999999998E-2</v>
      </c>
      <c r="G32" s="23">
        <f>'ARALIK 1 HAFTA'!W32</f>
        <v>0</v>
      </c>
      <c r="H32" s="26">
        <f t="shared" si="6"/>
        <v>0</v>
      </c>
      <c r="I32" s="21">
        <v>0</v>
      </c>
      <c r="J32" s="205">
        <f t="shared" si="0"/>
        <v>0</v>
      </c>
      <c r="K32" s="21">
        <v>0</v>
      </c>
      <c r="L32" s="10">
        <f t="shared" si="1"/>
        <v>0</v>
      </c>
      <c r="M32" s="21">
        <v>0</v>
      </c>
      <c r="N32" s="205">
        <f t="shared" si="2"/>
        <v>0</v>
      </c>
      <c r="O32" s="21">
        <v>0</v>
      </c>
      <c r="P32" s="10">
        <f t="shared" si="7"/>
        <v>0</v>
      </c>
      <c r="Q32" s="21">
        <v>0</v>
      </c>
      <c r="R32" s="205">
        <f t="shared" si="3"/>
        <v>0</v>
      </c>
      <c r="S32" s="39">
        <f t="shared" si="11"/>
        <v>0</v>
      </c>
      <c r="T32" s="38">
        <f t="shared" si="4"/>
        <v>0</v>
      </c>
      <c r="U32" s="21">
        <v>0</v>
      </c>
      <c r="V32" s="13">
        <f t="shared" si="8"/>
        <v>0</v>
      </c>
      <c r="W32" s="49">
        <f t="shared" si="9"/>
        <v>0</v>
      </c>
      <c r="X32" s="50">
        <f t="shared" si="10"/>
        <v>0</v>
      </c>
      <c r="Y32" s="238">
        <v>0</v>
      </c>
      <c r="Z32" s="101">
        <v>0</v>
      </c>
    </row>
    <row r="33" spans="1:26" x14ac:dyDescent="0.25">
      <c r="A33" s="264">
        <v>29</v>
      </c>
      <c r="B33" s="256" t="s">
        <v>31</v>
      </c>
      <c r="C33" s="34">
        <v>90</v>
      </c>
      <c r="D33" s="35">
        <v>80</v>
      </c>
      <c r="E33" s="35">
        <v>8</v>
      </c>
      <c r="F33" s="19">
        <f t="shared" si="5"/>
        <v>5.7599999999999998E-2</v>
      </c>
      <c r="G33" s="23">
        <f>'ARALIK 1 HAFTA'!W33</f>
        <v>0</v>
      </c>
      <c r="H33" s="26">
        <f t="shared" si="6"/>
        <v>0</v>
      </c>
      <c r="I33" s="21">
        <v>0</v>
      </c>
      <c r="J33" s="205">
        <f t="shared" si="0"/>
        <v>0</v>
      </c>
      <c r="K33" s="21">
        <v>0</v>
      </c>
      <c r="L33" s="10">
        <f t="shared" si="1"/>
        <v>0</v>
      </c>
      <c r="M33" s="21">
        <v>0</v>
      </c>
      <c r="N33" s="205">
        <f t="shared" si="2"/>
        <v>0</v>
      </c>
      <c r="O33" s="21">
        <v>0</v>
      </c>
      <c r="P33" s="10">
        <f t="shared" si="7"/>
        <v>0</v>
      </c>
      <c r="Q33" s="21">
        <v>0</v>
      </c>
      <c r="R33" s="205">
        <f t="shared" si="3"/>
        <v>0</v>
      </c>
      <c r="S33" s="39">
        <f t="shared" si="11"/>
        <v>0</v>
      </c>
      <c r="T33" s="38">
        <f t="shared" si="4"/>
        <v>0</v>
      </c>
      <c r="U33" s="21">
        <v>0</v>
      </c>
      <c r="V33" s="13">
        <f t="shared" si="8"/>
        <v>0</v>
      </c>
      <c r="W33" s="49">
        <f t="shared" si="9"/>
        <v>0</v>
      </c>
      <c r="X33" s="50">
        <f t="shared" si="10"/>
        <v>0</v>
      </c>
      <c r="Y33" s="238">
        <v>0</v>
      </c>
      <c r="Z33" s="101">
        <v>0</v>
      </c>
    </row>
    <row r="34" spans="1:26" x14ac:dyDescent="0.25">
      <c r="A34" s="264">
        <v>30</v>
      </c>
      <c r="B34" s="256" t="s">
        <v>32</v>
      </c>
      <c r="C34" s="34"/>
      <c r="D34" s="35"/>
      <c r="E34" s="35"/>
      <c r="F34" s="19">
        <f t="shared" si="5"/>
        <v>0</v>
      </c>
      <c r="G34" s="23">
        <f>'ARALIK 1 HAFTA'!W34</f>
        <v>300</v>
      </c>
      <c r="H34" s="26">
        <f t="shared" si="6"/>
        <v>0</v>
      </c>
      <c r="I34" s="21">
        <v>0</v>
      </c>
      <c r="J34" s="205">
        <f t="shared" si="0"/>
        <v>0</v>
      </c>
      <c r="K34" s="21">
        <v>0</v>
      </c>
      <c r="L34" s="10">
        <f t="shared" si="1"/>
        <v>0</v>
      </c>
      <c r="M34" s="21">
        <v>0</v>
      </c>
      <c r="N34" s="205">
        <f t="shared" si="2"/>
        <v>0</v>
      </c>
      <c r="O34" s="21">
        <v>0</v>
      </c>
      <c r="P34" s="10">
        <f t="shared" si="7"/>
        <v>0</v>
      </c>
      <c r="Q34" s="21">
        <v>0</v>
      </c>
      <c r="R34" s="205">
        <f t="shared" si="3"/>
        <v>0</v>
      </c>
      <c r="S34" s="39">
        <f t="shared" si="11"/>
        <v>300</v>
      </c>
      <c r="T34" s="38">
        <f t="shared" si="4"/>
        <v>0</v>
      </c>
      <c r="U34" s="21">
        <v>0</v>
      </c>
      <c r="V34" s="13">
        <f t="shared" si="8"/>
        <v>0</v>
      </c>
      <c r="W34" s="49">
        <f t="shared" si="9"/>
        <v>300</v>
      </c>
      <c r="X34" s="50">
        <f t="shared" si="10"/>
        <v>0</v>
      </c>
      <c r="Y34" s="238">
        <v>0</v>
      </c>
      <c r="Z34" s="101">
        <v>0</v>
      </c>
    </row>
    <row r="35" spans="1:26" x14ac:dyDescent="0.25">
      <c r="A35" s="264">
        <v>31</v>
      </c>
      <c r="B35" s="256" t="s">
        <v>33</v>
      </c>
      <c r="C35" s="34">
        <v>80</v>
      </c>
      <c r="D35" s="35">
        <v>66</v>
      </c>
      <c r="E35" s="35">
        <v>5</v>
      </c>
      <c r="F35" s="19">
        <f t="shared" si="5"/>
        <v>2.64E-2</v>
      </c>
      <c r="G35" s="23">
        <f>'ARALIK 1 HAFTA'!W35</f>
        <v>56</v>
      </c>
      <c r="H35" s="26">
        <f t="shared" si="6"/>
        <v>1.4783999999999999</v>
      </c>
      <c r="I35" s="21">
        <v>0</v>
      </c>
      <c r="J35" s="205">
        <f t="shared" si="0"/>
        <v>0</v>
      </c>
      <c r="K35" s="21">
        <v>0</v>
      </c>
      <c r="L35" s="10">
        <f t="shared" si="1"/>
        <v>0</v>
      </c>
      <c r="M35" s="21">
        <v>0</v>
      </c>
      <c r="N35" s="205">
        <f t="shared" si="2"/>
        <v>0</v>
      </c>
      <c r="O35" s="21">
        <v>0</v>
      </c>
      <c r="P35" s="10">
        <f t="shared" si="7"/>
        <v>0</v>
      </c>
      <c r="Q35" s="21">
        <v>0</v>
      </c>
      <c r="R35" s="205">
        <f t="shared" si="3"/>
        <v>0</v>
      </c>
      <c r="S35" s="39">
        <f t="shared" si="11"/>
        <v>56</v>
      </c>
      <c r="T35" s="38">
        <f t="shared" si="4"/>
        <v>1.4783999999999999</v>
      </c>
      <c r="U35" s="21">
        <v>0</v>
      </c>
      <c r="V35" s="13">
        <f t="shared" si="8"/>
        <v>0</v>
      </c>
      <c r="W35" s="49">
        <f t="shared" si="9"/>
        <v>56</v>
      </c>
      <c r="X35" s="50">
        <f t="shared" si="10"/>
        <v>1.4783999999999999</v>
      </c>
      <c r="Y35" s="238">
        <v>0</v>
      </c>
      <c r="Z35" s="101">
        <v>0</v>
      </c>
    </row>
    <row r="36" spans="1:26" x14ac:dyDescent="0.25">
      <c r="A36" s="264">
        <v>32</v>
      </c>
      <c r="B36" s="256" t="s">
        <v>110</v>
      </c>
      <c r="C36" s="34">
        <v>60</v>
      </c>
      <c r="D36" s="35">
        <v>62</v>
      </c>
      <c r="E36" s="35">
        <v>5</v>
      </c>
      <c r="F36" s="19">
        <f t="shared" si="5"/>
        <v>1.8599999999999998E-2</v>
      </c>
      <c r="G36" s="23">
        <f>'ARALIK 1 HAFTA'!W36</f>
        <v>15</v>
      </c>
      <c r="H36" s="26">
        <f t="shared" si="6"/>
        <v>0.27899999999999997</v>
      </c>
      <c r="I36" s="21">
        <v>0</v>
      </c>
      <c r="J36" s="205">
        <f t="shared" si="0"/>
        <v>0</v>
      </c>
      <c r="K36" s="21">
        <v>0</v>
      </c>
      <c r="L36" s="10">
        <f t="shared" si="1"/>
        <v>0</v>
      </c>
      <c r="M36" s="21">
        <v>0</v>
      </c>
      <c r="N36" s="205">
        <f t="shared" si="2"/>
        <v>0</v>
      </c>
      <c r="O36" s="21">
        <v>0</v>
      </c>
      <c r="P36" s="10">
        <f t="shared" si="7"/>
        <v>0</v>
      </c>
      <c r="Q36" s="21">
        <v>0</v>
      </c>
      <c r="R36" s="205">
        <f t="shared" si="3"/>
        <v>0</v>
      </c>
      <c r="S36" s="39">
        <f t="shared" si="11"/>
        <v>15</v>
      </c>
      <c r="T36" s="38">
        <f t="shared" si="4"/>
        <v>0.27899999999999997</v>
      </c>
      <c r="U36" s="21">
        <v>0</v>
      </c>
      <c r="V36" s="13">
        <f t="shared" si="8"/>
        <v>0</v>
      </c>
      <c r="W36" s="49">
        <f t="shared" si="9"/>
        <v>15</v>
      </c>
      <c r="X36" s="50">
        <f t="shared" si="10"/>
        <v>0.27899999999999997</v>
      </c>
      <c r="Y36" s="238">
        <v>0</v>
      </c>
      <c r="Z36" s="101">
        <v>0</v>
      </c>
    </row>
    <row r="37" spans="1:26" x14ac:dyDescent="0.25">
      <c r="A37" s="264">
        <v>33</v>
      </c>
      <c r="B37" s="256" t="s">
        <v>41</v>
      </c>
      <c r="C37" s="34">
        <v>60</v>
      </c>
      <c r="D37" s="35">
        <v>67</v>
      </c>
      <c r="E37" s="35">
        <v>3</v>
      </c>
      <c r="F37" s="19">
        <f t="shared" si="5"/>
        <v>1.206E-2</v>
      </c>
      <c r="G37" s="23">
        <f>'ARALIK 1 HAFTA'!W37</f>
        <v>12</v>
      </c>
      <c r="H37" s="26">
        <f t="shared" si="6"/>
        <v>0.14471999999999999</v>
      </c>
      <c r="I37" s="21">
        <v>0</v>
      </c>
      <c r="J37" s="205">
        <f t="shared" si="0"/>
        <v>0</v>
      </c>
      <c r="K37" s="21">
        <v>0</v>
      </c>
      <c r="L37" s="10">
        <f t="shared" si="1"/>
        <v>0</v>
      </c>
      <c r="M37" s="21">
        <v>0</v>
      </c>
      <c r="N37" s="205">
        <f t="shared" si="2"/>
        <v>0</v>
      </c>
      <c r="O37" s="21">
        <v>0</v>
      </c>
      <c r="P37" s="10">
        <f t="shared" si="7"/>
        <v>0</v>
      </c>
      <c r="Q37" s="21">
        <v>0</v>
      </c>
      <c r="R37" s="205">
        <f t="shared" si="3"/>
        <v>0</v>
      </c>
      <c r="S37" s="39">
        <f t="shared" si="11"/>
        <v>12</v>
      </c>
      <c r="T37" s="38">
        <f t="shared" si="4"/>
        <v>0.14471999999999999</v>
      </c>
      <c r="U37" s="21">
        <v>0</v>
      </c>
      <c r="V37" s="13">
        <f t="shared" si="8"/>
        <v>0</v>
      </c>
      <c r="W37" s="49">
        <f t="shared" si="9"/>
        <v>12</v>
      </c>
      <c r="X37" s="50">
        <f t="shared" si="10"/>
        <v>0.14471999999999999</v>
      </c>
      <c r="Y37" s="238">
        <v>0</v>
      </c>
      <c r="Z37" s="101">
        <v>0</v>
      </c>
    </row>
    <row r="38" spans="1:26" x14ac:dyDescent="0.25">
      <c r="A38" s="264">
        <v>34</v>
      </c>
      <c r="B38" s="256" t="s">
        <v>35</v>
      </c>
      <c r="C38" s="34">
        <v>140</v>
      </c>
      <c r="D38" s="35">
        <v>240</v>
      </c>
      <c r="E38" s="35">
        <v>7</v>
      </c>
      <c r="F38" s="19">
        <f t="shared" si="5"/>
        <v>0.23519999999999999</v>
      </c>
      <c r="G38" s="23">
        <f>'ARALIK 1 HAFTA'!W38</f>
        <v>0</v>
      </c>
      <c r="H38" s="26">
        <f t="shared" si="6"/>
        <v>0</v>
      </c>
      <c r="I38" s="21">
        <v>0</v>
      </c>
      <c r="J38" s="205">
        <f t="shared" si="0"/>
        <v>0</v>
      </c>
      <c r="K38" s="21">
        <v>0</v>
      </c>
      <c r="L38" s="10">
        <f t="shared" si="1"/>
        <v>0</v>
      </c>
      <c r="M38" s="21">
        <v>0</v>
      </c>
      <c r="N38" s="205">
        <f t="shared" si="2"/>
        <v>0</v>
      </c>
      <c r="O38" s="21">
        <v>0</v>
      </c>
      <c r="P38" s="10">
        <f t="shared" si="7"/>
        <v>0</v>
      </c>
      <c r="Q38" s="21">
        <v>0</v>
      </c>
      <c r="R38" s="205">
        <f t="shared" si="3"/>
        <v>0</v>
      </c>
      <c r="S38" s="39">
        <f t="shared" si="11"/>
        <v>0</v>
      </c>
      <c r="T38" s="38">
        <f t="shared" si="4"/>
        <v>0</v>
      </c>
      <c r="U38" s="21">
        <v>0</v>
      </c>
      <c r="V38" s="13">
        <f t="shared" si="8"/>
        <v>0</v>
      </c>
      <c r="W38" s="49">
        <f t="shared" si="9"/>
        <v>0</v>
      </c>
      <c r="X38" s="50">
        <f t="shared" si="10"/>
        <v>0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36</v>
      </c>
      <c r="C39" s="34">
        <v>60</v>
      </c>
      <c r="D39" s="35">
        <v>56</v>
      </c>
      <c r="E39" s="35">
        <v>10</v>
      </c>
      <c r="F39" s="19">
        <f t="shared" si="5"/>
        <v>3.3599999999999998E-2</v>
      </c>
      <c r="G39" s="23">
        <f>'ARALIK 1 HAFTA'!W39</f>
        <v>0</v>
      </c>
      <c r="H39" s="26">
        <f t="shared" si="6"/>
        <v>0</v>
      </c>
      <c r="I39" s="21">
        <v>0</v>
      </c>
      <c r="J39" s="205">
        <f t="shared" si="0"/>
        <v>0</v>
      </c>
      <c r="K39" s="21">
        <v>0</v>
      </c>
      <c r="L39" s="10">
        <f t="shared" si="1"/>
        <v>0</v>
      </c>
      <c r="M39" s="21">
        <v>0</v>
      </c>
      <c r="N39" s="205">
        <f t="shared" si="2"/>
        <v>0</v>
      </c>
      <c r="O39" s="21">
        <v>0</v>
      </c>
      <c r="P39" s="10">
        <f t="shared" si="7"/>
        <v>0</v>
      </c>
      <c r="Q39" s="21">
        <v>0</v>
      </c>
      <c r="R39" s="205">
        <f t="shared" si="3"/>
        <v>0</v>
      </c>
      <c r="S39" s="39">
        <f t="shared" si="11"/>
        <v>0</v>
      </c>
      <c r="T39" s="38">
        <f t="shared" si="4"/>
        <v>0</v>
      </c>
      <c r="U39" s="21">
        <v>0</v>
      </c>
      <c r="V39" s="13">
        <f t="shared" si="8"/>
        <v>0</v>
      </c>
      <c r="W39" s="49">
        <f t="shared" si="9"/>
        <v>0</v>
      </c>
      <c r="X39" s="50">
        <f t="shared" si="10"/>
        <v>0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37</v>
      </c>
      <c r="C40" s="34">
        <v>58</v>
      </c>
      <c r="D40" s="35">
        <v>55</v>
      </c>
      <c r="E40" s="35">
        <v>10</v>
      </c>
      <c r="F40" s="19">
        <f t="shared" si="5"/>
        <v>3.1899999999999998E-2</v>
      </c>
      <c r="G40" s="23">
        <f>'ARALIK 1 HAFTA'!W40</f>
        <v>0</v>
      </c>
      <c r="H40" s="26">
        <f t="shared" si="6"/>
        <v>0</v>
      </c>
      <c r="I40" s="21">
        <v>0</v>
      </c>
      <c r="J40" s="205">
        <f t="shared" si="0"/>
        <v>0</v>
      </c>
      <c r="K40" s="21">
        <v>0</v>
      </c>
      <c r="L40" s="10">
        <f t="shared" si="1"/>
        <v>0</v>
      </c>
      <c r="M40" s="21">
        <v>0</v>
      </c>
      <c r="N40" s="205">
        <f t="shared" si="2"/>
        <v>0</v>
      </c>
      <c r="O40" s="21">
        <v>0</v>
      </c>
      <c r="P40" s="10">
        <f t="shared" si="7"/>
        <v>0</v>
      </c>
      <c r="Q40" s="21">
        <v>0</v>
      </c>
      <c r="R40" s="205">
        <f t="shared" si="3"/>
        <v>0</v>
      </c>
      <c r="S40" s="39">
        <f t="shared" si="11"/>
        <v>0</v>
      </c>
      <c r="T40" s="38">
        <f t="shared" si="4"/>
        <v>0</v>
      </c>
      <c r="U40" s="21">
        <v>0</v>
      </c>
      <c r="V40" s="13">
        <f t="shared" si="8"/>
        <v>0</v>
      </c>
      <c r="W40" s="49">
        <f t="shared" si="9"/>
        <v>0</v>
      </c>
      <c r="X40" s="50">
        <f t="shared" si="10"/>
        <v>0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38</v>
      </c>
      <c r="C41" s="34">
        <v>63</v>
      </c>
      <c r="D41" s="35">
        <v>55</v>
      </c>
      <c r="E41" s="35">
        <v>5</v>
      </c>
      <c r="F41" s="19">
        <f t="shared" si="5"/>
        <v>1.7325E-2</v>
      </c>
      <c r="G41" s="23">
        <f>'ARALIK 1 HAFTA'!W41</f>
        <v>10</v>
      </c>
      <c r="H41" s="26">
        <f t="shared" si="6"/>
        <v>0.17325000000000002</v>
      </c>
      <c r="I41" s="21">
        <v>0</v>
      </c>
      <c r="J41" s="205">
        <f t="shared" si="0"/>
        <v>0</v>
      </c>
      <c r="K41" s="21">
        <v>0</v>
      </c>
      <c r="L41" s="10">
        <f t="shared" si="1"/>
        <v>0</v>
      </c>
      <c r="M41" s="21">
        <v>0</v>
      </c>
      <c r="N41" s="205">
        <f t="shared" si="2"/>
        <v>0</v>
      </c>
      <c r="O41" s="21">
        <v>0</v>
      </c>
      <c r="P41" s="10">
        <f t="shared" si="7"/>
        <v>0</v>
      </c>
      <c r="Q41" s="21">
        <v>0</v>
      </c>
      <c r="R41" s="205">
        <f t="shared" si="3"/>
        <v>0</v>
      </c>
      <c r="S41" s="39">
        <f t="shared" si="11"/>
        <v>10</v>
      </c>
      <c r="T41" s="38">
        <f t="shared" si="4"/>
        <v>0.17325000000000002</v>
      </c>
      <c r="U41" s="21">
        <v>0</v>
      </c>
      <c r="V41" s="13">
        <f t="shared" si="8"/>
        <v>0</v>
      </c>
      <c r="W41" s="49">
        <f t="shared" si="9"/>
        <v>10</v>
      </c>
      <c r="X41" s="50">
        <f t="shared" si="10"/>
        <v>0.17325000000000002</v>
      </c>
      <c r="Y41" s="238">
        <v>0</v>
      </c>
      <c r="Z41" s="101">
        <v>0</v>
      </c>
    </row>
    <row r="42" spans="1:26" x14ac:dyDescent="0.25">
      <c r="A42" s="264">
        <v>38</v>
      </c>
      <c r="B42" s="256" t="s">
        <v>120</v>
      </c>
      <c r="C42" s="34">
        <v>52</v>
      </c>
      <c r="D42" s="35">
        <v>52</v>
      </c>
      <c r="E42" s="35">
        <v>5</v>
      </c>
      <c r="F42" s="19">
        <f t="shared" si="5"/>
        <v>1.3520000000000001E-2</v>
      </c>
      <c r="G42" s="23">
        <f>'ARALIK 1 HAFTA'!W42</f>
        <v>77</v>
      </c>
      <c r="H42" s="26">
        <f t="shared" si="6"/>
        <v>1.04104</v>
      </c>
      <c r="I42" s="21">
        <v>0</v>
      </c>
      <c r="J42" s="205">
        <f t="shared" si="0"/>
        <v>0</v>
      </c>
      <c r="K42" s="21">
        <v>0</v>
      </c>
      <c r="L42" s="10">
        <f t="shared" si="1"/>
        <v>0</v>
      </c>
      <c r="M42" s="21">
        <v>0</v>
      </c>
      <c r="N42" s="205">
        <f t="shared" si="2"/>
        <v>0</v>
      </c>
      <c r="O42" s="21">
        <v>40</v>
      </c>
      <c r="P42" s="10">
        <f t="shared" si="7"/>
        <v>0.54080000000000006</v>
      </c>
      <c r="Q42" s="21">
        <v>6</v>
      </c>
      <c r="R42" s="205">
        <f t="shared" si="3"/>
        <v>8.1119999999999998E-2</v>
      </c>
      <c r="S42" s="39">
        <f t="shared" si="11"/>
        <v>31</v>
      </c>
      <c r="T42" s="38">
        <f t="shared" si="4"/>
        <v>0.41912000000000005</v>
      </c>
      <c r="U42" s="21">
        <v>141</v>
      </c>
      <c r="V42" s="13">
        <f t="shared" si="8"/>
        <v>1.90632</v>
      </c>
      <c r="W42" s="49">
        <f t="shared" si="9"/>
        <v>172</v>
      </c>
      <c r="X42" s="50">
        <f t="shared" si="10"/>
        <v>2.32544</v>
      </c>
      <c r="Y42" s="238">
        <v>0</v>
      </c>
      <c r="Z42" s="101">
        <v>0</v>
      </c>
    </row>
    <row r="43" spans="1:26" x14ac:dyDescent="0.25">
      <c r="A43" s="264">
        <v>39</v>
      </c>
      <c r="B43" s="256" t="s">
        <v>40</v>
      </c>
      <c r="C43" s="34">
        <v>80</v>
      </c>
      <c r="D43" s="35">
        <v>70</v>
      </c>
      <c r="E43" s="35">
        <v>8</v>
      </c>
      <c r="F43" s="19">
        <f t="shared" si="5"/>
        <v>4.48E-2</v>
      </c>
      <c r="G43" s="23">
        <f>'ARALIK 1 HAFTA'!W43</f>
        <v>319</v>
      </c>
      <c r="H43" s="26">
        <f t="shared" si="6"/>
        <v>14.2912</v>
      </c>
      <c r="I43" s="21">
        <v>2</v>
      </c>
      <c r="J43" s="205">
        <f t="shared" si="0"/>
        <v>8.9599999999999999E-2</v>
      </c>
      <c r="K43" s="21">
        <v>0</v>
      </c>
      <c r="L43" s="10">
        <f t="shared" si="1"/>
        <v>0</v>
      </c>
      <c r="M43" s="21">
        <v>0</v>
      </c>
      <c r="N43" s="205">
        <f t="shared" si="2"/>
        <v>0</v>
      </c>
      <c r="O43" s="21">
        <v>0</v>
      </c>
      <c r="P43" s="10">
        <f t="shared" si="7"/>
        <v>0</v>
      </c>
      <c r="Q43" s="21">
        <v>0</v>
      </c>
      <c r="R43" s="205">
        <f t="shared" si="3"/>
        <v>0</v>
      </c>
      <c r="S43" s="39">
        <f t="shared" si="11"/>
        <v>317</v>
      </c>
      <c r="T43" s="38">
        <f t="shared" si="4"/>
        <v>14.201599999999999</v>
      </c>
      <c r="U43" s="21">
        <v>0</v>
      </c>
      <c r="V43" s="13">
        <f t="shared" si="8"/>
        <v>0</v>
      </c>
      <c r="W43" s="49">
        <f t="shared" si="9"/>
        <v>317</v>
      </c>
      <c r="X43" s="50">
        <f t="shared" si="10"/>
        <v>14.201599999999999</v>
      </c>
      <c r="Y43" s="238">
        <v>50</v>
      </c>
      <c r="Z43" s="101">
        <v>200</v>
      </c>
    </row>
    <row r="44" spans="1:26" x14ac:dyDescent="0.25">
      <c r="A44" s="264">
        <v>40</v>
      </c>
      <c r="B44" s="256" t="s">
        <v>42</v>
      </c>
      <c r="C44" s="34">
        <v>70</v>
      </c>
      <c r="D44" s="35">
        <v>64</v>
      </c>
      <c r="E44" s="35">
        <v>8</v>
      </c>
      <c r="F44" s="19">
        <f t="shared" si="5"/>
        <v>3.5839999999999997E-2</v>
      </c>
      <c r="G44" s="23">
        <f>'ARALIK 1 HAFTA'!W44</f>
        <v>363</v>
      </c>
      <c r="H44" s="26">
        <f t="shared" si="6"/>
        <v>13.009919999999999</v>
      </c>
      <c r="I44" s="21">
        <v>0</v>
      </c>
      <c r="J44" s="205">
        <f t="shared" si="0"/>
        <v>0</v>
      </c>
      <c r="K44" s="21">
        <v>0</v>
      </c>
      <c r="L44" s="10">
        <f t="shared" si="1"/>
        <v>0</v>
      </c>
      <c r="M44" s="21">
        <v>0</v>
      </c>
      <c r="N44" s="205">
        <f t="shared" si="2"/>
        <v>0</v>
      </c>
      <c r="O44" s="21">
        <v>0</v>
      </c>
      <c r="P44" s="10">
        <f t="shared" si="7"/>
        <v>0</v>
      </c>
      <c r="Q44" s="21">
        <v>0</v>
      </c>
      <c r="R44" s="205">
        <f t="shared" si="3"/>
        <v>0</v>
      </c>
      <c r="S44" s="39">
        <f t="shared" si="11"/>
        <v>363</v>
      </c>
      <c r="T44" s="38">
        <f t="shared" si="4"/>
        <v>13.009919999999999</v>
      </c>
      <c r="U44" s="21">
        <v>0</v>
      </c>
      <c r="V44" s="13">
        <f t="shared" si="8"/>
        <v>0</v>
      </c>
      <c r="W44" s="49">
        <f t="shared" si="9"/>
        <v>363</v>
      </c>
      <c r="X44" s="50">
        <f t="shared" si="10"/>
        <v>13.009919999999999</v>
      </c>
      <c r="Y44" s="238">
        <v>50</v>
      </c>
      <c r="Z44" s="101">
        <v>200</v>
      </c>
    </row>
    <row r="45" spans="1:26" x14ac:dyDescent="0.25">
      <c r="A45" s="264">
        <v>41</v>
      </c>
      <c r="B45" s="256" t="s">
        <v>43</v>
      </c>
      <c r="C45" s="34">
        <v>75</v>
      </c>
      <c r="D45" s="35">
        <v>70</v>
      </c>
      <c r="E45" s="35">
        <v>8</v>
      </c>
      <c r="F45" s="19">
        <f t="shared" si="5"/>
        <v>4.2000000000000003E-2</v>
      </c>
      <c r="G45" s="23">
        <f>'ARALIK 1 HAFTA'!W45</f>
        <v>434</v>
      </c>
      <c r="H45" s="26">
        <f t="shared" si="6"/>
        <v>18.228000000000002</v>
      </c>
      <c r="I45" s="21">
        <v>0</v>
      </c>
      <c r="J45" s="205">
        <f t="shared" si="0"/>
        <v>0</v>
      </c>
      <c r="K45" s="21">
        <v>0</v>
      </c>
      <c r="L45" s="10">
        <f t="shared" si="1"/>
        <v>0</v>
      </c>
      <c r="M45" s="21">
        <v>0</v>
      </c>
      <c r="N45" s="205">
        <f t="shared" si="2"/>
        <v>0</v>
      </c>
      <c r="O45" s="21">
        <v>0</v>
      </c>
      <c r="P45" s="10">
        <f t="shared" si="7"/>
        <v>0</v>
      </c>
      <c r="Q45" s="21">
        <v>0</v>
      </c>
      <c r="R45" s="205">
        <f t="shared" si="3"/>
        <v>0</v>
      </c>
      <c r="S45" s="39">
        <f t="shared" si="11"/>
        <v>434</v>
      </c>
      <c r="T45" s="38">
        <f t="shared" si="4"/>
        <v>18.228000000000002</v>
      </c>
      <c r="U45" s="21">
        <v>0</v>
      </c>
      <c r="V45" s="13">
        <f t="shared" si="8"/>
        <v>0</v>
      </c>
      <c r="W45" s="49">
        <f t="shared" si="9"/>
        <v>434</v>
      </c>
      <c r="X45" s="50">
        <f t="shared" si="10"/>
        <v>18.228000000000002</v>
      </c>
      <c r="Y45" s="238">
        <v>50</v>
      </c>
      <c r="Z45" s="101">
        <v>200</v>
      </c>
    </row>
    <row r="46" spans="1:26" x14ac:dyDescent="0.25">
      <c r="A46" s="264">
        <v>42</v>
      </c>
      <c r="B46" s="256" t="s">
        <v>119</v>
      </c>
      <c r="C46" s="34">
        <v>143</v>
      </c>
      <c r="D46" s="35">
        <v>66</v>
      </c>
      <c r="E46" s="35">
        <v>5</v>
      </c>
      <c r="F46" s="19">
        <f t="shared" si="5"/>
        <v>4.7190000000000003E-2</v>
      </c>
      <c r="G46" s="23">
        <f>'ARALIK 1 HAFTA'!W46</f>
        <v>347</v>
      </c>
      <c r="H46" s="26">
        <f t="shared" si="6"/>
        <v>16.374930000000003</v>
      </c>
      <c r="I46" s="21">
        <v>21</v>
      </c>
      <c r="J46" s="205">
        <f t="shared" si="0"/>
        <v>0.99099000000000004</v>
      </c>
      <c r="K46" s="21">
        <v>0</v>
      </c>
      <c r="L46" s="10">
        <f t="shared" si="1"/>
        <v>0</v>
      </c>
      <c r="M46" s="21">
        <v>0</v>
      </c>
      <c r="N46" s="205">
        <f t="shared" si="2"/>
        <v>0</v>
      </c>
      <c r="O46" s="21">
        <v>0</v>
      </c>
      <c r="P46" s="10">
        <f t="shared" si="7"/>
        <v>0</v>
      </c>
      <c r="Q46" s="21">
        <v>0</v>
      </c>
      <c r="R46" s="205">
        <f t="shared" si="3"/>
        <v>0</v>
      </c>
      <c r="S46" s="39">
        <f t="shared" si="11"/>
        <v>326</v>
      </c>
      <c r="T46" s="38">
        <f t="shared" si="4"/>
        <v>15.383940000000001</v>
      </c>
      <c r="U46" s="21">
        <v>66</v>
      </c>
      <c r="V46" s="13">
        <f t="shared" si="8"/>
        <v>3.1145400000000003</v>
      </c>
      <c r="W46" s="49">
        <f t="shared" si="9"/>
        <v>392</v>
      </c>
      <c r="X46" s="50">
        <f t="shared" si="10"/>
        <v>18.498480000000001</v>
      </c>
      <c r="Y46" s="238">
        <v>50</v>
      </c>
      <c r="Z46" s="101">
        <v>100</v>
      </c>
    </row>
    <row r="47" spans="1:26" x14ac:dyDescent="0.25">
      <c r="A47" s="264">
        <v>43</v>
      </c>
      <c r="B47" s="256" t="s">
        <v>45</v>
      </c>
      <c r="C47" s="34">
        <v>80</v>
      </c>
      <c r="D47" s="35">
        <v>63</v>
      </c>
      <c r="E47" s="35">
        <v>5</v>
      </c>
      <c r="F47" s="19">
        <f t="shared" si="5"/>
        <v>2.52E-2</v>
      </c>
      <c r="G47" s="23">
        <f>'ARALIK 1 HAFTA'!W47</f>
        <v>315</v>
      </c>
      <c r="H47" s="26">
        <f t="shared" si="6"/>
        <v>7.9379999999999997</v>
      </c>
      <c r="I47" s="21">
        <v>0</v>
      </c>
      <c r="J47" s="205">
        <f t="shared" si="0"/>
        <v>0</v>
      </c>
      <c r="K47" s="21">
        <v>0</v>
      </c>
      <c r="L47" s="10">
        <f t="shared" si="1"/>
        <v>0</v>
      </c>
      <c r="M47" s="21">
        <v>0</v>
      </c>
      <c r="N47" s="205">
        <f t="shared" si="2"/>
        <v>0</v>
      </c>
      <c r="O47" s="21">
        <v>0</v>
      </c>
      <c r="P47" s="10">
        <f t="shared" si="7"/>
        <v>0</v>
      </c>
      <c r="Q47" s="21">
        <v>0</v>
      </c>
      <c r="R47" s="205">
        <f t="shared" si="3"/>
        <v>0</v>
      </c>
      <c r="S47" s="39">
        <f t="shared" si="11"/>
        <v>315</v>
      </c>
      <c r="T47" s="38">
        <f t="shared" si="4"/>
        <v>7.9379999999999997</v>
      </c>
      <c r="U47" s="21">
        <v>0</v>
      </c>
      <c r="V47" s="13">
        <f t="shared" si="8"/>
        <v>0</v>
      </c>
      <c r="W47" s="49">
        <f t="shared" si="9"/>
        <v>315</v>
      </c>
      <c r="X47" s="50">
        <f t="shared" si="10"/>
        <v>7.9379999999999997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46</v>
      </c>
      <c r="C48" s="34">
        <v>77</v>
      </c>
      <c r="D48" s="35">
        <v>68</v>
      </c>
      <c r="E48" s="35">
        <v>8</v>
      </c>
      <c r="F48" s="19">
        <f t="shared" si="5"/>
        <v>4.1888000000000002E-2</v>
      </c>
      <c r="G48" s="23">
        <f>'ARALIK 1 HAFTA'!W48</f>
        <v>9</v>
      </c>
      <c r="H48" s="26">
        <f t="shared" si="6"/>
        <v>0.37699199999999999</v>
      </c>
      <c r="I48" s="21">
        <v>0</v>
      </c>
      <c r="J48" s="205">
        <f t="shared" si="0"/>
        <v>0</v>
      </c>
      <c r="K48" s="21">
        <v>0</v>
      </c>
      <c r="L48" s="10">
        <f t="shared" si="1"/>
        <v>0</v>
      </c>
      <c r="M48" s="21">
        <v>0</v>
      </c>
      <c r="N48" s="205">
        <f t="shared" si="2"/>
        <v>0</v>
      </c>
      <c r="O48" s="21">
        <v>0</v>
      </c>
      <c r="P48" s="10">
        <f t="shared" si="7"/>
        <v>0</v>
      </c>
      <c r="Q48" s="21">
        <v>0</v>
      </c>
      <c r="R48" s="205">
        <f t="shared" si="3"/>
        <v>0</v>
      </c>
      <c r="S48" s="39">
        <f t="shared" si="11"/>
        <v>9</v>
      </c>
      <c r="T48" s="38">
        <f t="shared" si="4"/>
        <v>0.37699199999999999</v>
      </c>
      <c r="U48" s="21">
        <v>0</v>
      </c>
      <c r="V48" s="13">
        <f t="shared" si="8"/>
        <v>0</v>
      </c>
      <c r="W48" s="49">
        <f t="shared" si="9"/>
        <v>9</v>
      </c>
      <c r="X48" s="50">
        <f t="shared" si="10"/>
        <v>0.37699199999999999</v>
      </c>
      <c r="Y48" s="238">
        <v>50</v>
      </c>
      <c r="Z48" s="101">
        <v>200</v>
      </c>
    </row>
    <row r="49" spans="1:26" x14ac:dyDescent="0.25">
      <c r="A49" s="264">
        <v>45</v>
      </c>
      <c r="B49" s="256" t="s">
        <v>47</v>
      </c>
      <c r="C49" s="34">
        <v>79</v>
      </c>
      <c r="D49" s="35">
        <v>79</v>
      </c>
      <c r="E49" s="35">
        <v>2</v>
      </c>
      <c r="F49" s="19">
        <f t="shared" si="5"/>
        <v>1.2482E-2</v>
      </c>
      <c r="G49" s="23">
        <f>'ARALIK 1 HAFTA'!W49</f>
        <v>244</v>
      </c>
      <c r="H49" s="26">
        <f t="shared" si="6"/>
        <v>3.0456080000000001</v>
      </c>
      <c r="I49" s="21">
        <v>0</v>
      </c>
      <c r="J49" s="205">
        <f t="shared" si="0"/>
        <v>0</v>
      </c>
      <c r="K49" s="21">
        <v>0</v>
      </c>
      <c r="L49" s="10">
        <f t="shared" si="1"/>
        <v>0</v>
      </c>
      <c r="M49" s="21">
        <v>0</v>
      </c>
      <c r="N49" s="205">
        <f t="shared" si="2"/>
        <v>0</v>
      </c>
      <c r="O49" s="21">
        <v>0</v>
      </c>
      <c r="P49" s="10">
        <f t="shared" si="7"/>
        <v>0</v>
      </c>
      <c r="Q49" s="21">
        <v>0</v>
      </c>
      <c r="R49" s="205">
        <f t="shared" si="3"/>
        <v>0</v>
      </c>
      <c r="S49" s="39">
        <f t="shared" si="11"/>
        <v>244</v>
      </c>
      <c r="T49" s="38">
        <f t="shared" si="4"/>
        <v>3.0456080000000001</v>
      </c>
      <c r="U49" s="21">
        <v>0</v>
      </c>
      <c r="V49" s="13">
        <f t="shared" si="8"/>
        <v>0</v>
      </c>
      <c r="W49" s="49">
        <f t="shared" si="9"/>
        <v>244</v>
      </c>
      <c r="X49" s="50">
        <f t="shared" si="10"/>
        <v>3.0456080000000001</v>
      </c>
      <c r="Y49" s="238">
        <v>100</v>
      </c>
      <c r="Z49" s="101">
        <v>300</v>
      </c>
    </row>
    <row r="50" spans="1:26" x14ac:dyDescent="0.25">
      <c r="A50" s="264">
        <v>46</v>
      </c>
      <c r="B50" s="256" t="s">
        <v>48</v>
      </c>
      <c r="C50" s="34">
        <v>61</v>
      </c>
      <c r="D50" s="35">
        <v>56</v>
      </c>
      <c r="E50" s="35">
        <v>10</v>
      </c>
      <c r="F50" s="19">
        <f t="shared" si="5"/>
        <v>3.4160000000000003E-2</v>
      </c>
      <c r="G50" s="23">
        <f>'ARALIK 1 HAFTA'!W50</f>
        <v>0</v>
      </c>
      <c r="H50" s="26">
        <f t="shared" si="6"/>
        <v>0</v>
      </c>
      <c r="I50" s="21">
        <v>0</v>
      </c>
      <c r="J50" s="205">
        <f t="shared" si="0"/>
        <v>0</v>
      </c>
      <c r="K50" s="21">
        <v>0</v>
      </c>
      <c r="L50" s="10">
        <f t="shared" si="1"/>
        <v>0</v>
      </c>
      <c r="M50" s="21">
        <v>0</v>
      </c>
      <c r="N50" s="205">
        <f t="shared" si="2"/>
        <v>0</v>
      </c>
      <c r="O50" s="21">
        <v>0</v>
      </c>
      <c r="P50" s="10">
        <f t="shared" si="7"/>
        <v>0</v>
      </c>
      <c r="Q50" s="21">
        <v>0</v>
      </c>
      <c r="R50" s="205">
        <f t="shared" si="3"/>
        <v>0</v>
      </c>
      <c r="S50" s="39">
        <f t="shared" si="11"/>
        <v>0</v>
      </c>
      <c r="T50" s="38">
        <f t="shared" si="4"/>
        <v>0</v>
      </c>
      <c r="U50" s="21">
        <v>60</v>
      </c>
      <c r="V50" s="13">
        <f t="shared" si="8"/>
        <v>2.0496000000000003</v>
      </c>
      <c r="W50" s="49">
        <f t="shared" si="9"/>
        <v>60</v>
      </c>
      <c r="X50" s="50">
        <f t="shared" si="10"/>
        <v>2.0496000000000003</v>
      </c>
      <c r="Y50" s="238">
        <v>30</v>
      </c>
      <c r="Z50" s="101">
        <v>100</v>
      </c>
    </row>
    <row r="51" spans="1:26" x14ac:dyDescent="0.25">
      <c r="A51" s="264">
        <v>47</v>
      </c>
      <c r="B51" s="256" t="s">
        <v>49</v>
      </c>
      <c r="C51" s="34">
        <v>66</v>
      </c>
      <c r="D51" s="35">
        <v>61</v>
      </c>
      <c r="E51" s="35">
        <v>10</v>
      </c>
      <c r="F51" s="19">
        <f t="shared" si="5"/>
        <v>4.0259999999999997E-2</v>
      </c>
      <c r="G51" s="23">
        <f>'ARALIK 1 HAFTA'!W51</f>
        <v>0</v>
      </c>
      <c r="H51" s="26">
        <f t="shared" si="6"/>
        <v>0</v>
      </c>
      <c r="I51" s="21">
        <v>0</v>
      </c>
      <c r="J51" s="205">
        <f t="shared" si="0"/>
        <v>0</v>
      </c>
      <c r="K51" s="21">
        <v>0</v>
      </c>
      <c r="L51" s="10">
        <f t="shared" si="1"/>
        <v>0</v>
      </c>
      <c r="M51" s="21">
        <v>0</v>
      </c>
      <c r="N51" s="205">
        <f t="shared" si="2"/>
        <v>0</v>
      </c>
      <c r="O51" s="21">
        <v>0</v>
      </c>
      <c r="P51" s="10">
        <f t="shared" si="7"/>
        <v>0</v>
      </c>
      <c r="Q51" s="21">
        <v>0</v>
      </c>
      <c r="R51" s="205">
        <f t="shared" si="3"/>
        <v>0</v>
      </c>
      <c r="S51" s="39">
        <f t="shared" si="11"/>
        <v>0</v>
      </c>
      <c r="T51" s="38">
        <f t="shared" si="4"/>
        <v>0</v>
      </c>
      <c r="U51" s="21">
        <v>90</v>
      </c>
      <c r="V51" s="13">
        <f t="shared" si="8"/>
        <v>3.6233999999999997</v>
      </c>
      <c r="W51" s="49">
        <f t="shared" si="9"/>
        <v>90</v>
      </c>
      <c r="X51" s="50">
        <f t="shared" si="10"/>
        <v>3.6233999999999997</v>
      </c>
      <c r="Y51" s="238">
        <v>30</v>
      </c>
      <c r="Z51" s="101">
        <v>100</v>
      </c>
    </row>
    <row r="52" spans="1:26" x14ac:dyDescent="0.25">
      <c r="A52" s="264">
        <v>48</v>
      </c>
      <c r="B52" s="256" t="s">
        <v>50</v>
      </c>
      <c r="C52" s="34">
        <v>63</v>
      </c>
      <c r="D52" s="35">
        <v>61</v>
      </c>
      <c r="E52" s="35">
        <v>10</v>
      </c>
      <c r="F52" s="19">
        <f t="shared" si="5"/>
        <v>3.8429999999999999E-2</v>
      </c>
      <c r="G52" s="23">
        <f>'ARALIK 1 HAFTA'!W52</f>
        <v>0</v>
      </c>
      <c r="H52" s="26">
        <f t="shared" si="6"/>
        <v>0</v>
      </c>
      <c r="I52" s="21">
        <v>0</v>
      </c>
      <c r="J52" s="205">
        <f t="shared" si="0"/>
        <v>0</v>
      </c>
      <c r="K52" s="21">
        <v>0</v>
      </c>
      <c r="L52" s="10">
        <f t="shared" si="1"/>
        <v>0</v>
      </c>
      <c r="M52" s="21">
        <v>0</v>
      </c>
      <c r="N52" s="205">
        <f t="shared" si="2"/>
        <v>0</v>
      </c>
      <c r="O52" s="21">
        <v>0</v>
      </c>
      <c r="P52" s="10">
        <f t="shared" si="7"/>
        <v>0</v>
      </c>
      <c r="Q52" s="21">
        <v>0</v>
      </c>
      <c r="R52" s="205">
        <f t="shared" si="3"/>
        <v>0</v>
      </c>
      <c r="S52" s="39">
        <f t="shared" si="11"/>
        <v>0</v>
      </c>
      <c r="T52" s="38">
        <f t="shared" si="4"/>
        <v>0</v>
      </c>
      <c r="U52" s="21">
        <v>0</v>
      </c>
      <c r="V52" s="13">
        <f t="shared" si="8"/>
        <v>0</v>
      </c>
      <c r="W52" s="49">
        <f t="shared" si="9"/>
        <v>0</v>
      </c>
      <c r="X52" s="50">
        <f t="shared" si="10"/>
        <v>0</v>
      </c>
      <c r="Y52" s="238">
        <v>30</v>
      </c>
      <c r="Z52" s="101">
        <v>100</v>
      </c>
    </row>
    <row r="53" spans="1:26" x14ac:dyDescent="0.25">
      <c r="A53" s="264">
        <v>49</v>
      </c>
      <c r="B53" s="256" t="s">
        <v>51</v>
      </c>
      <c r="C53" s="34">
        <v>58</v>
      </c>
      <c r="D53" s="35">
        <v>58</v>
      </c>
      <c r="E53" s="35">
        <v>2.2999999999999998</v>
      </c>
      <c r="F53" s="19">
        <f t="shared" si="5"/>
        <v>7.7371999999999996E-3</v>
      </c>
      <c r="G53" s="23">
        <f>'ARALIK 1 HAFTA'!W53</f>
        <v>3423</v>
      </c>
      <c r="H53" s="26">
        <f t="shared" si="6"/>
        <v>26.484435599999998</v>
      </c>
      <c r="I53" s="21">
        <v>0</v>
      </c>
      <c r="J53" s="205">
        <f t="shared" si="0"/>
        <v>0</v>
      </c>
      <c r="K53" s="21">
        <v>0</v>
      </c>
      <c r="L53" s="10">
        <f t="shared" si="1"/>
        <v>0</v>
      </c>
      <c r="M53" s="21">
        <v>0</v>
      </c>
      <c r="N53" s="205">
        <f t="shared" si="2"/>
        <v>0</v>
      </c>
      <c r="O53" s="21">
        <v>65</v>
      </c>
      <c r="P53" s="10">
        <f t="shared" si="7"/>
        <v>0.50291799999999998</v>
      </c>
      <c r="Q53" s="21">
        <v>0</v>
      </c>
      <c r="R53" s="205">
        <f t="shared" si="3"/>
        <v>0</v>
      </c>
      <c r="S53" s="39">
        <f t="shared" si="11"/>
        <v>3358</v>
      </c>
      <c r="T53" s="38">
        <f t="shared" si="4"/>
        <v>25.9815176</v>
      </c>
      <c r="U53" s="21">
        <v>0</v>
      </c>
      <c r="V53" s="13">
        <f t="shared" si="8"/>
        <v>0</v>
      </c>
      <c r="W53" s="49">
        <f t="shared" si="9"/>
        <v>3358</v>
      </c>
      <c r="X53" s="50">
        <f t="shared" si="10"/>
        <v>25.9815176</v>
      </c>
      <c r="Y53" s="238">
        <v>200</v>
      </c>
      <c r="Z53" s="101">
        <v>500</v>
      </c>
    </row>
    <row r="54" spans="1:26" x14ac:dyDescent="0.25">
      <c r="A54" s="264">
        <v>50</v>
      </c>
      <c r="B54" s="256" t="s">
        <v>52</v>
      </c>
      <c r="C54" s="34">
        <v>79</v>
      </c>
      <c r="D54" s="35">
        <v>62</v>
      </c>
      <c r="E54" s="35">
        <v>2.2999999999999998</v>
      </c>
      <c r="F54" s="19">
        <f t="shared" si="5"/>
        <v>1.12654E-2</v>
      </c>
      <c r="G54" s="23">
        <f>'ARALIK 1 HAFTA'!W54</f>
        <v>3382</v>
      </c>
      <c r="H54" s="26">
        <f t="shared" si="6"/>
        <v>38.0995828</v>
      </c>
      <c r="I54" s="21">
        <v>0</v>
      </c>
      <c r="J54" s="205">
        <f t="shared" si="0"/>
        <v>0</v>
      </c>
      <c r="K54" s="21">
        <v>0</v>
      </c>
      <c r="L54" s="10">
        <f t="shared" si="1"/>
        <v>0</v>
      </c>
      <c r="M54" s="21">
        <v>0</v>
      </c>
      <c r="N54" s="205">
        <f t="shared" si="2"/>
        <v>0</v>
      </c>
      <c r="O54" s="21">
        <v>0</v>
      </c>
      <c r="P54" s="10">
        <f t="shared" si="7"/>
        <v>0</v>
      </c>
      <c r="Q54" s="21">
        <v>0</v>
      </c>
      <c r="R54" s="205">
        <f t="shared" si="3"/>
        <v>0</v>
      </c>
      <c r="S54" s="39">
        <f t="shared" si="11"/>
        <v>3382</v>
      </c>
      <c r="T54" s="38">
        <f t="shared" si="4"/>
        <v>38.0995828</v>
      </c>
      <c r="U54" s="21">
        <v>0</v>
      </c>
      <c r="V54" s="13">
        <f t="shared" si="8"/>
        <v>0</v>
      </c>
      <c r="W54" s="49">
        <f t="shared" si="9"/>
        <v>3382</v>
      </c>
      <c r="X54" s="50">
        <f t="shared" si="10"/>
        <v>38.0995828</v>
      </c>
      <c r="Y54" s="238">
        <v>100</v>
      </c>
      <c r="Z54" s="101">
        <v>300</v>
      </c>
    </row>
    <row r="55" spans="1:26" x14ac:dyDescent="0.25">
      <c r="A55" s="264">
        <v>51</v>
      </c>
      <c r="B55" s="256" t="s">
        <v>53</v>
      </c>
      <c r="C55" s="34">
        <v>200</v>
      </c>
      <c r="D55" s="35">
        <v>176</v>
      </c>
      <c r="E55" s="35">
        <v>2.2999999999999998</v>
      </c>
      <c r="F55" s="19">
        <f t="shared" si="5"/>
        <v>8.0960000000000004E-2</v>
      </c>
      <c r="G55" s="23">
        <f>'ARALIK 1 HAFTA'!W55</f>
        <v>1</v>
      </c>
      <c r="H55" s="26">
        <f t="shared" si="6"/>
        <v>8.0960000000000004E-2</v>
      </c>
      <c r="I55" s="21">
        <v>0</v>
      </c>
      <c r="J55" s="205">
        <f t="shared" si="0"/>
        <v>0</v>
      </c>
      <c r="K55" s="21">
        <v>0</v>
      </c>
      <c r="L55" s="10">
        <f t="shared" si="1"/>
        <v>0</v>
      </c>
      <c r="M55" s="21">
        <v>0</v>
      </c>
      <c r="N55" s="205">
        <f t="shared" si="2"/>
        <v>0</v>
      </c>
      <c r="O55" s="21">
        <v>0</v>
      </c>
      <c r="P55" s="10">
        <f t="shared" si="7"/>
        <v>0</v>
      </c>
      <c r="Q55" s="21">
        <v>0</v>
      </c>
      <c r="R55" s="205">
        <f t="shared" si="3"/>
        <v>0</v>
      </c>
      <c r="S55" s="39">
        <f t="shared" si="11"/>
        <v>1</v>
      </c>
      <c r="T55" s="38">
        <f t="shared" si="4"/>
        <v>8.0960000000000004E-2</v>
      </c>
      <c r="U55" s="21">
        <v>0</v>
      </c>
      <c r="V55" s="13">
        <f t="shared" si="8"/>
        <v>0</v>
      </c>
      <c r="W55" s="49">
        <f t="shared" si="9"/>
        <v>1</v>
      </c>
      <c r="X55" s="50">
        <f t="shared" si="10"/>
        <v>8.0960000000000004E-2</v>
      </c>
      <c r="Y55" s="238">
        <v>0</v>
      </c>
      <c r="Z55" s="101">
        <v>0</v>
      </c>
    </row>
    <row r="56" spans="1:26" x14ac:dyDescent="0.25">
      <c r="A56" s="264">
        <v>52</v>
      </c>
      <c r="B56" s="256" t="s">
        <v>54</v>
      </c>
      <c r="C56" s="34">
        <v>79</v>
      </c>
      <c r="D56" s="35">
        <v>79</v>
      </c>
      <c r="E56" s="35">
        <v>2.2999999999999998</v>
      </c>
      <c r="F56" s="19">
        <f t="shared" si="5"/>
        <v>1.4354299999999999E-2</v>
      </c>
      <c r="G56" s="23">
        <f>'ARALIK 1 HAFTA'!W56</f>
        <v>3597</v>
      </c>
      <c r="H56" s="26">
        <f t="shared" si="6"/>
        <v>51.632417099999998</v>
      </c>
      <c r="I56" s="21">
        <v>0</v>
      </c>
      <c r="J56" s="205">
        <f t="shared" si="0"/>
        <v>0</v>
      </c>
      <c r="K56" s="21">
        <v>0</v>
      </c>
      <c r="L56" s="10">
        <f t="shared" si="1"/>
        <v>0</v>
      </c>
      <c r="M56" s="21">
        <v>0</v>
      </c>
      <c r="N56" s="205">
        <f t="shared" si="2"/>
        <v>0</v>
      </c>
      <c r="O56" s="21">
        <v>0</v>
      </c>
      <c r="P56" s="10">
        <f t="shared" si="7"/>
        <v>0</v>
      </c>
      <c r="Q56" s="21">
        <v>0</v>
      </c>
      <c r="R56" s="205">
        <f t="shared" si="3"/>
        <v>0</v>
      </c>
      <c r="S56" s="39">
        <f t="shared" si="11"/>
        <v>3597</v>
      </c>
      <c r="T56" s="38">
        <f t="shared" si="4"/>
        <v>51.632417099999998</v>
      </c>
      <c r="U56" s="21">
        <v>0</v>
      </c>
      <c r="V56" s="13">
        <f t="shared" si="8"/>
        <v>0</v>
      </c>
      <c r="W56" s="49">
        <f t="shared" si="9"/>
        <v>3597</v>
      </c>
      <c r="X56" s="50">
        <f t="shared" si="10"/>
        <v>51.632417099999998</v>
      </c>
      <c r="Y56" s="238">
        <v>300</v>
      </c>
      <c r="Z56" s="101">
        <v>1000</v>
      </c>
    </row>
    <row r="57" spans="1:26" ht="15.75" x14ac:dyDescent="0.25">
      <c r="A57" s="264">
        <v>53</v>
      </c>
      <c r="B57" s="256" t="s">
        <v>55</v>
      </c>
      <c r="C57" s="111">
        <v>50</v>
      </c>
      <c r="D57" s="112">
        <v>45</v>
      </c>
      <c r="E57" s="112">
        <v>4</v>
      </c>
      <c r="F57" s="19">
        <f t="shared" si="5"/>
        <v>8.9999999999999993E-3</v>
      </c>
      <c r="G57" s="23">
        <f>'ARALIK 1 HAFTA'!W57</f>
        <v>261</v>
      </c>
      <c r="H57" s="26">
        <f t="shared" si="6"/>
        <v>2.3489999999999998</v>
      </c>
      <c r="I57" s="21">
        <v>19</v>
      </c>
      <c r="J57" s="205">
        <f t="shared" si="0"/>
        <v>0.17099999999999999</v>
      </c>
      <c r="K57" s="21">
        <v>0</v>
      </c>
      <c r="L57" s="10">
        <f t="shared" si="1"/>
        <v>0</v>
      </c>
      <c r="M57" s="21">
        <v>0</v>
      </c>
      <c r="N57" s="205">
        <f t="shared" si="2"/>
        <v>0</v>
      </c>
      <c r="O57" s="21">
        <v>0</v>
      </c>
      <c r="P57" s="10">
        <f t="shared" si="7"/>
        <v>0</v>
      </c>
      <c r="Q57" s="21">
        <v>0</v>
      </c>
      <c r="R57" s="205">
        <f t="shared" si="3"/>
        <v>0</v>
      </c>
      <c r="S57" s="39">
        <f t="shared" si="11"/>
        <v>242</v>
      </c>
      <c r="T57" s="38">
        <f t="shared" si="4"/>
        <v>2.1779999999999999</v>
      </c>
      <c r="U57" s="21">
        <v>0</v>
      </c>
      <c r="V57" s="13">
        <f t="shared" si="8"/>
        <v>0</v>
      </c>
      <c r="W57" s="49">
        <f t="shared" si="9"/>
        <v>242</v>
      </c>
      <c r="X57" s="50">
        <f t="shared" si="10"/>
        <v>2.1779999999999999</v>
      </c>
      <c r="Y57" s="238">
        <v>300</v>
      </c>
      <c r="Z57" s="101">
        <v>1000</v>
      </c>
    </row>
    <row r="58" spans="1:26" ht="15.75" x14ac:dyDescent="0.25">
      <c r="A58" s="264">
        <v>54</v>
      </c>
      <c r="B58" s="256" t="s">
        <v>56</v>
      </c>
      <c r="C58" s="111">
        <v>50</v>
      </c>
      <c r="D58" s="112">
        <v>35</v>
      </c>
      <c r="E58" s="112">
        <v>4</v>
      </c>
      <c r="F58" s="19">
        <f t="shared" si="5"/>
        <v>7.0000000000000001E-3</v>
      </c>
      <c r="G58" s="23">
        <f>'ARALIK 1 HAFTA'!W58</f>
        <v>355</v>
      </c>
      <c r="H58" s="26">
        <f t="shared" si="6"/>
        <v>2.4849999999999999</v>
      </c>
      <c r="I58" s="21">
        <v>0</v>
      </c>
      <c r="J58" s="205">
        <f t="shared" si="0"/>
        <v>0</v>
      </c>
      <c r="K58" s="21">
        <v>0</v>
      </c>
      <c r="L58" s="10">
        <f t="shared" si="1"/>
        <v>0</v>
      </c>
      <c r="M58" s="21">
        <v>0</v>
      </c>
      <c r="N58" s="205">
        <f t="shared" si="2"/>
        <v>0</v>
      </c>
      <c r="O58" s="21">
        <v>0</v>
      </c>
      <c r="P58" s="10">
        <f t="shared" si="7"/>
        <v>0</v>
      </c>
      <c r="Q58" s="21">
        <v>0</v>
      </c>
      <c r="R58" s="205">
        <f t="shared" si="3"/>
        <v>0</v>
      </c>
      <c r="S58" s="39">
        <f t="shared" si="11"/>
        <v>355</v>
      </c>
      <c r="T58" s="38">
        <f t="shared" si="4"/>
        <v>2.4849999999999999</v>
      </c>
      <c r="U58" s="21">
        <v>0</v>
      </c>
      <c r="V58" s="13">
        <f t="shared" si="8"/>
        <v>0</v>
      </c>
      <c r="W58" s="49">
        <f t="shared" si="9"/>
        <v>355</v>
      </c>
      <c r="X58" s="50">
        <f t="shared" si="10"/>
        <v>2.4849999999999999</v>
      </c>
      <c r="Y58" s="238">
        <v>500</v>
      </c>
      <c r="Z58" s="101">
        <v>1500</v>
      </c>
    </row>
    <row r="59" spans="1:26" ht="15.75" x14ac:dyDescent="0.25">
      <c r="A59" s="264">
        <v>55</v>
      </c>
      <c r="B59" s="256" t="s">
        <v>57</v>
      </c>
      <c r="C59" s="111">
        <v>45</v>
      </c>
      <c r="D59" s="112">
        <v>50</v>
      </c>
      <c r="E59" s="112">
        <v>3</v>
      </c>
      <c r="F59" s="19">
        <f t="shared" si="5"/>
        <v>6.7499999999999999E-3</v>
      </c>
      <c r="G59" s="23">
        <f>'ARALIK 1 HAFTA'!W59</f>
        <v>765</v>
      </c>
      <c r="H59" s="26">
        <f t="shared" si="6"/>
        <v>5.1637500000000003</v>
      </c>
      <c r="I59" s="21">
        <v>15</v>
      </c>
      <c r="J59" s="205">
        <f t="shared" si="0"/>
        <v>0.10124999999999999</v>
      </c>
      <c r="K59" s="21">
        <v>0</v>
      </c>
      <c r="L59" s="10">
        <f t="shared" si="1"/>
        <v>0</v>
      </c>
      <c r="M59" s="21">
        <v>25</v>
      </c>
      <c r="N59" s="205">
        <f t="shared" si="2"/>
        <v>0.16875000000000001</v>
      </c>
      <c r="O59" s="21">
        <v>0</v>
      </c>
      <c r="P59" s="10">
        <f t="shared" si="7"/>
        <v>0</v>
      </c>
      <c r="Q59" s="21">
        <v>0</v>
      </c>
      <c r="R59" s="205">
        <f t="shared" si="3"/>
        <v>0</v>
      </c>
      <c r="S59" s="39">
        <f t="shared" si="11"/>
        <v>725</v>
      </c>
      <c r="T59" s="38">
        <f t="shared" si="4"/>
        <v>4.8937499999999998</v>
      </c>
      <c r="U59" s="21">
        <v>0</v>
      </c>
      <c r="V59" s="13">
        <f t="shared" si="8"/>
        <v>0</v>
      </c>
      <c r="W59" s="49">
        <f t="shared" si="9"/>
        <v>725</v>
      </c>
      <c r="X59" s="50">
        <f t="shared" si="10"/>
        <v>4.8937499999999998</v>
      </c>
      <c r="Y59" s="238">
        <v>500</v>
      </c>
      <c r="Z59" s="101">
        <v>1500</v>
      </c>
    </row>
    <row r="60" spans="1:26" ht="15.75" x14ac:dyDescent="0.25">
      <c r="A60" s="264">
        <v>56</v>
      </c>
      <c r="B60" s="256" t="s">
        <v>58</v>
      </c>
      <c r="C60" s="111">
        <v>50</v>
      </c>
      <c r="D60" s="112">
        <v>35</v>
      </c>
      <c r="E60" s="112">
        <v>3</v>
      </c>
      <c r="F60" s="19">
        <f t="shared" si="5"/>
        <v>5.2500000000000003E-3</v>
      </c>
      <c r="G60" s="23">
        <f>'ARALIK 1 HAFTA'!W60</f>
        <v>973</v>
      </c>
      <c r="H60" s="26">
        <f t="shared" si="6"/>
        <v>5.10825</v>
      </c>
      <c r="I60" s="21">
        <v>15</v>
      </c>
      <c r="J60" s="205">
        <f t="shared" si="0"/>
        <v>7.8750000000000001E-2</v>
      </c>
      <c r="K60" s="21">
        <v>0</v>
      </c>
      <c r="L60" s="10">
        <f t="shared" si="1"/>
        <v>0</v>
      </c>
      <c r="M60" s="21">
        <v>25</v>
      </c>
      <c r="N60" s="205">
        <f t="shared" si="2"/>
        <v>0.13125000000000001</v>
      </c>
      <c r="O60" s="21">
        <v>0</v>
      </c>
      <c r="P60" s="10">
        <f t="shared" si="7"/>
        <v>0</v>
      </c>
      <c r="Q60" s="21">
        <v>0</v>
      </c>
      <c r="R60" s="205">
        <f t="shared" si="3"/>
        <v>0</v>
      </c>
      <c r="S60" s="39">
        <f t="shared" si="11"/>
        <v>933</v>
      </c>
      <c r="T60" s="38">
        <f t="shared" si="4"/>
        <v>4.89825</v>
      </c>
      <c r="U60" s="21">
        <v>0</v>
      </c>
      <c r="V60" s="13">
        <f t="shared" si="8"/>
        <v>0</v>
      </c>
      <c r="W60" s="49">
        <f t="shared" si="9"/>
        <v>933</v>
      </c>
      <c r="X60" s="50">
        <f t="shared" si="10"/>
        <v>4.89825</v>
      </c>
      <c r="Y60" s="238">
        <v>0</v>
      </c>
      <c r="Z60" s="101">
        <v>0</v>
      </c>
    </row>
    <row r="61" spans="1:26" ht="15.75" x14ac:dyDescent="0.25">
      <c r="A61" s="264">
        <v>57</v>
      </c>
      <c r="B61" s="256" t="s">
        <v>59</v>
      </c>
      <c r="C61" s="111">
        <v>42</v>
      </c>
      <c r="D61" s="112">
        <v>36</v>
      </c>
      <c r="E61" s="112">
        <v>4</v>
      </c>
      <c r="F61" s="19">
        <f t="shared" si="5"/>
        <v>6.0480000000000004E-3</v>
      </c>
      <c r="G61" s="23">
        <f>'ARALIK 1 HAFTA'!W61</f>
        <v>0</v>
      </c>
      <c r="H61" s="26">
        <f t="shared" si="6"/>
        <v>0</v>
      </c>
      <c r="I61" s="21">
        <v>0</v>
      </c>
      <c r="J61" s="205">
        <f t="shared" si="0"/>
        <v>0</v>
      </c>
      <c r="K61" s="21">
        <v>0</v>
      </c>
      <c r="L61" s="10">
        <f t="shared" si="1"/>
        <v>0</v>
      </c>
      <c r="M61" s="21">
        <v>0</v>
      </c>
      <c r="N61" s="205">
        <f t="shared" si="2"/>
        <v>0</v>
      </c>
      <c r="O61" s="21">
        <v>0</v>
      </c>
      <c r="P61" s="10">
        <f t="shared" si="7"/>
        <v>0</v>
      </c>
      <c r="Q61" s="21">
        <v>0</v>
      </c>
      <c r="R61" s="205">
        <f t="shared" si="3"/>
        <v>0</v>
      </c>
      <c r="S61" s="97">
        <f t="shared" si="11"/>
        <v>0</v>
      </c>
      <c r="T61" s="38">
        <f t="shared" si="4"/>
        <v>0</v>
      </c>
      <c r="U61" s="21">
        <v>0</v>
      </c>
      <c r="V61" s="13">
        <f t="shared" si="8"/>
        <v>0</v>
      </c>
      <c r="W61" s="49">
        <f t="shared" si="9"/>
        <v>0</v>
      </c>
      <c r="X61" s="50">
        <f t="shared" si="10"/>
        <v>0</v>
      </c>
      <c r="Y61" s="238">
        <v>300</v>
      </c>
      <c r="Z61" s="101">
        <v>1000</v>
      </c>
    </row>
    <row r="62" spans="1:26" ht="15.75" x14ac:dyDescent="0.25">
      <c r="A62" s="264">
        <v>58</v>
      </c>
      <c r="B62" s="256" t="s">
        <v>60</v>
      </c>
      <c r="C62" s="111">
        <v>50</v>
      </c>
      <c r="D62" s="112">
        <v>35</v>
      </c>
      <c r="E62" s="112">
        <v>3</v>
      </c>
      <c r="F62" s="19">
        <f t="shared" si="5"/>
        <v>5.2500000000000003E-3</v>
      </c>
      <c r="G62" s="23">
        <f>'ARALIK 1 HAFTA'!W62</f>
        <v>871</v>
      </c>
      <c r="H62" s="26">
        <f t="shared" si="6"/>
        <v>4.5727500000000001</v>
      </c>
      <c r="I62" s="21">
        <v>0</v>
      </c>
      <c r="J62" s="205">
        <f t="shared" si="0"/>
        <v>0</v>
      </c>
      <c r="K62" s="21">
        <v>0</v>
      </c>
      <c r="L62" s="10">
        <f t="shared" si="1"/>
        <v>0</v>
      </c>
      <c r="M62" s="21">
        <v>0</v>
      </c>
      <c r="N62" s="205">
        <f t="shared" si="2"/>
        <v>0</v>
      </c>
      <c r="O62" s="21">
        <v>0</v>
      </c>
      <c r="P62" s="10">
        <f t="shared" si="7"/>
        <v>0</v>
      </c>
      <c r="Q62" s="21">
        <v>0</v>
      </c>
      <c r="R62" s="205">
        <f t="shared" si="3"/>
        <v>0</v>
      </c>
      <c r="S62" s="97">
        <f t="shared" si="11"/>
        <v>871</v>
      </c>
      <c r="T62" s="38">
        <f t="shared" si="4"/>
        <v>4.5727500000000001</v>
      </c>
      <c r="U62" s="21">
        <v>0</v>
      </c>
      <c r="V62" s="13">
        <f t="shared" si="8"/>
        <v>0</v>
      </c>
      <c r="W62" s="49">
        <f t="shared" si="9"/>
        <v>871</v>
      </c>
      <c r="X62" s="50">
        <f t="shared" si="10"/>
        <v>4.5727500000000001</v>
      </c>
      <c r="Y62" s="238">
        <v>300</v>
      </c>
      <c r="Z62" s="101">
        <v>1000</v>
      </c>
    </row>
    <row r="63" spans="1:26" ht="15.75" x14ac:dyDescent="0.25">
      <c r="A63" s="264">
        <v>59</v>
      </c>
      <c r="B63" s="257" t="s">
        <v>61</v>
      </c>
      <c r="C63" s="111">
        <v>45</v>
      </c>
      <c r="D63" s="112">
        <v>50</v>
      </c>
      <c r="E63" s="112">
        <v>3</v>
      </c>
      <c r="F63" s="19">
        <f t="shared" si="5"/>
        <v>6.7499999999999999E-3</v>
      </c>
      <c r="G63" s="23">
        <f>'ARALIK 1 HAFTA'!W63</f>
        <v>935</v>
      </c>
      <c r="H63" s="26">
        <f t="shared" si="6"/>
        <v>6.3112500000000002</v>
      </c>
      <c r="I63" s="21">
        <v>0</v>
      </c>
      <c r="J63" s="205">
        <f t="shared" si="0"/>
        <v>0</v>
      </c>
      <c r="K63" s="21">
        <v>0</v>
      </c>
      <c r="L63" s="10">
        <f t="shared" si="1"/>
        <v>0</v>
      </c>
      <c r="M63" s="21">
        <v>0</v>
      </c>
      <c r="N63" s="205">
        <f t="shared" si="2"/>
        <v>0</v>
      </c>
      <c r="O63" s="21">
        <v>0</v>
      </c>
      <c r="P63" s="10">
        <f t="shared" si="7"/>
        <v>0</v>
      </c>
      <c r="Q63" s="21">
        <v>0</v>
      </c>
      <c r="R63" s="205">
        <f t="shared" si="3"/>
        <v>0</v>
      </c>
      <c r="S63" s="97">
        <f t="shared" si="11"/>
        <v>935</v>
      </c>
      <c r="T63" s="38">
        <f t="shared" si="4"/>
        <v>6.3112500000000002</v>
      </c>
      <c r="U63" s="21">
        <v>0</v>
      </c>
      <c r="V63" s="13">
        <f t="shared" si="8"/>
        <v>0</v>
      </c>
      <c r="W63" s="49">
        <f t="shared" si="9"/>
        <v>935</v>
      </c>
      <c r="X63" s="50">
        <f t="shared" si="10"/>
        <v>6.3112500000000002</v>
      </c>
      <c r="Y63" s="238">
        <v>500</v>
      </c>
      <c r="Z63" s="101">
        <v>1500</v>
      </c>
    </row>
    <row r="64" spans="1:26" ht="15.75" thickBot="1" x14ac:dyDescent="0.3">
      <c r="A64" s="264">
        <v>60</v>
      </c>
      <c r="B64" s="258" t="s">
        <v>90</v>
      </c>
      <c r="C64" s="36">
        <v>140</v>
      </c>
      <c r="D64" s="37">
        <v>9.5</v>
      </c>
      <c r="E64" s="37">
        <v>6.5</v>
      </c>
      <c r="F64" s="20">
        <f t="shared" si="5"/>
        <v>8.6449999999999999E-3</v>
      </c>
      <c r="G64" s="23">
        <f>'ARALIK 1 HAFTA'!W64</f>
        <v>200</v>
      </c>
      <c r="H64" s="27">
        <f t="shared" si="6"/>
        <v>1.7290000000000001</v>
      </c>
      <c r="I64" s="21">
        <v>0</v>
      </c>
      <c r="J64" s="205">
        <f t="shared" si="0"/>
        <v>0</v>
      </c>
      <c r="K64" s="21">
        <v>0</v>
      </c>
      <c r="L64" s="10">
        <f t="shared" si="1"/>
        <v>0</v>
      </c>
      <c r="M64" s="21">
        <v>0</v>
      </c>
      <c r="N64" s="205">
        <f t="shared" si="2"/>
        <v>0</v>
      </c>
      <c r="O64" s="21">
        <v>0</v>
      </c>
      <c r="P64" s="48">
        <f t="shared" si="7"/>
        <v>0</v>
      </c>
      <c r="Q64" s="21">
        <v>0</v>
      </c>
      <c r="R64" s="205">
        <f t="shared" si="3"/>
        <v>0</v>
      </c>
      <c r="S64" s="97">
        <f t="shared" si="11"/>
        <v>200</v>
      </c>
      <c r="T64" s="41">
        <f t="shared" si="4"/>
        <v>1.7290000000000001</v>
      </c>
      <c r="U64" s="21">
        <v>0</v>
      </c>
      <c r="V64" s="13">
        <f t="shared" si="8"/>
        <v>0</v>
      </c>
      <c r="W64" s="49">
        <f t="shared" si="9"/>
        <v>200</v>
      </c>
      <c r="X64" s="50">
        <f t="shared" si="10"/>
        <v>1.7290000000000001</v>
      </c>
      <c r="Y64" s="238">
        <v>100</v>
      </c>
      <c r="Z64" s="101">
        <v>300</v>
      </c>
    </row>
    <row r="65" spans="1:26" ht="15.75" x14ac:dyDescent="0.25">
      <c r="A65" s="264">
        <v>61</v>
      </c>
      <c r="B65" s="259" t="s">
        <v>79</v>
      </c>
      <c r="C65" s="112">
        <v>90</v>
      </c>
      <c r="D65" s="112">
        <v>83</v>
      </c>
      <c r="E65" s="112">
        <v>2</v>
      </c>
      <c r="F65" s="114">
        <f t="shared" si="5"/>
        <v>1.494E-2</v>
      </c>
      <c r="G65" s="23">
        <f>'ARALIK 1 HAFTA'!W65</f>
        <v>212</v>
      </c>
      <c r="H65" s="116">
        <f t="shared" si="6"/>
        <v>3.1672799999999999</v>
      </c>
      <c r="I65" s="21">
        <v>0</v>
      </c>
      <c r="J65" s="205">
        <f t="shared" si="0"/>
        <v>0</v>
      </c>
      <c r="K65" s="21">
        <v>0</v>
      </c>
      <c r="L65" s="10">
        <f t="shared" si="1"/>
        <v>0</v>
      </c>
      <c r="M65" s="21">
        <v>0</v>
      </c>
      <c r="N65" s="205">
        <f t="shared" si="2"/>
        <v>0</v>
      </c>
      <c r="O65" s="21">
        <v>0</v>
      </c>
      <c r="P65" s="121">
        <f t="shared" si="7"/>
        <v>0</v>
      </c>
      <c r="Q65" s="21">
        <v>0</v>
      </c>
      <c r="R65" s="205">
        <f t="shared" si="3"/>
        <v>0</v>
      </c>
      <c r="S65" s="140">
        <f t="shared" si="11"/>
        <v>212</v>
      </c>
      <c r="T65" s="123">
        <f t="shared" si="4"/>
        <v>3.1672799999999999</v>
      </c>
      <c r="U65" s="21">
        <v>97</v>
      </c>
      <c r="V65" s="139">
        <f t="shared" si="8"/>
        <v>1.4491799999999999</v>
      </c>
      <c r="W65" s="141">
        <f t="shared" si="9"/>
        <v>309</v>
      </c>
      <c r="X65" s="50">
        <f t="shared" si="10"/>
        <v>4.61646</v>
      </c>
      <c r="Y65" s="238">
        <v>100</v>
      </c>
      <c r="Z65" s="101">
        <v>300</v>
      </c>
    </row>
    <row r="66" spans="1:26" ht="15.75" x14ac:dyDescent="0.25">
      <c r="A66" s="264">
        <v>62</v>
      </c>
      <c r="B66" s="260" t="s">
        <v>80</v>
      </c>
      <c r="C66" s="113">
        <v>92</v>
      </c>
      <c r="D66" s="113">
        <v>82</v>
      </c>
      <c r="E66" s="113">
        <v>2</v>
      </c>
      <c r="F66" s="124">
        <f t="shared" si="5"/>
        <v>1.5088000000000001E-2</v>
      </c>
      <c r="G66" s="23">
        <f>'ARALIK 1 HAFTA'!W66</f>
        <v>161</v>
      </c>
      <c r="H66" s="125">
        <f t="shared" si="6"/>
        <v>2.4291680000000002</v>
      </c>
      <c r="I66" s="21">
        <v>0</v>
      </c>
      <c r="J66" s="205">
        <f t="shared" si="0"/>
        <v>0</v>
      </c>
      <c r="K66" s="21">
        <v>0</v>
      </c>
      <c r="L66" s="10">
        <f t="shared" si="1"/>
        <v>0</v>
      </c>
      <c r="M66" s="21">
        <v>0</v>
      </c>
      <c r="N66" s="205">
        <f t="shared" si="2"/>
        <v>0</v>
      </c>
      <c r="O66" s="21">
        <v>0</v>
      </c>
      <c r="P66" s="121">
        <f t="shared" si="7"/>
        <v>0</v>
      </c>
      <c r="Q66" s="21">
        <v>0</v>
      </c>
      <c r="R66" s="205">
        <f t="shared" si="3"/>
        <v>0</v>
      </c>
      <c r="S66" s="140">
        <f t="shared" si="11"/>
        <v>161</v>
      </c>
      <c r="T66" s="123">
        <f t="shared" si="4"/>
        <v>2.4291680000000002</v>
      </c>
      <c r="U66" s="21">
        <v>0</v>
      </c>
      <c r="V66" s="139">
        <f t="shared" si="8"/>
        <v>0</v>
      </c>
      <c r="W66" s="141">
        <f t="shared" si="9"/>
        <v>161</v>
      </c>
      <c r="X66" s="107">
        <f t="shared" si="10"/>
        <v>2.4291680000000002</v>
      </c>
      <c r="Y66" s="238">
        <v>100</v>
      </c>
      <c r="Z66" s="101">
        <v>300</v>
      </c>
    </row>
    <row r="67" spans="1:26" x14ac:dyDescent="0.25">
      <c r="A67" s="264">
        <v>63</v>
      </c>
      <c r="B67" s="261" t="s">
        <v>82</v>
      </c>
      <c r="C67" s="35">
        <v>82</v>
      </c>
      <c r="D67" s="35">
        <v>80</v>
      </c>
      <c r="E67" s="35">
        <v>2</v>
      </c>
      <c r="F67" s="114">
        <f t="shared" si="5"/>
        <v>1.312E-2</v>
      </c>
      <c r="G67" s="23">
        <f>'ARALIK 1 HAFTA'!W67</f>
        <v>459</v>
      </c>
      <c r="H67" s="110">
        <f t="shared" si="6"/>
        <v>6.0220799999999999</v>
      </c>
      <c r="I67" s="21">
        <v>6</v>
      </c>
      <c r="J67" s="205">
        <f t="shared" si="0"/>
        <v>7.8719999999999998E-2</v>
      </c>
      <c r="K67" s="21">
        <v>0</v>
      </c>
      <c r="L67" s="10">
        <f t="shared" si="1"/>
        <v>0</v>
      </c>
      <c r="M67" s="21">
        <v>0</v>
      </c>
      <c r="N67" s="205">
        <f t="shared" si="2"/>
        <v>0</v>
      </c>
      <c r="O67" s="21">
        <v>0</v>
      </c>
      <c r="P67" s="10">
        <f t="shared" si="7"/>
        <v>0</v>
      </c>
      <c r="Q67" s="21">
        <v>0</v>
      </c>
      <c r="R67" s="205">
        <f t="shared" si="3"/>
        <v>0</v>
      </c>
      <c r="S67" s="97">
        <f t="shared" si="11"/>
        <v>453</v>
      </c>
      <c r="T67" s="87">
        <f t="shared" si="4"/>
        <v>5.9433600000000002</v>
      </c>
      <c r="U67" s="21">
        <v>0</v>
      </c>
      <c r="V67" s="139">
        <f t="shared" si="8"/>
        <v>0</v>
      </c>
      <c r="W67" s="141">
        <f t="shared" si="9"/>
        <v>453</v>
      </c>
      <c r="X67" s="107">
        <f t="shared" si="10"/>
        <v>5.9433600000000002</v>
      </c>
      <c r="Y67" s="238">
        <v>50</v>
      </c>
      <c r="Z67" s="101">
        <v>200</v>
      </c>
    </row>
    <row r="68" spans="1:26" x14ac:dyDescent="0.25">
      <c r="A68" s="264">
        <v>64</v>
      </c>
      <c r="B68" s="261" t="s">
        <v>83</v>
      </c>
      <c r="C68" s="35">
        <v>86</v>
      </c>
      <c r="D68" s="35">
        <v>77</v>
      </c>
      <c r="E68" s="35">
        <v>8</v>
      </c>
      <c r="F68" s="114">
        <f t="shared" si="5"/>
        <v>5.2976000000000002E-2</v>
      </c>
      <c r="G68" s="23">
        <f>'ARALIK 1 HAFTA'!W68</f>
        <v>25</v>
      </c>
      <c r="H68" s="110">
        <f t="shared" si="6"/>
        <v>1.3244</v>
      </c>
      <c r="I68" s="21">
        <v>0</v>
      </c>
      <c r="J68" s="205">
        <f t="shared" si="0"/>
        <v>0</v>
      </c>
      <c r="K68" s="21">
        <v>0</v>
      </c>
      <c r="L68" s="10">
        <f t="shared" si="1"/>
        <v>0</v>
      </c>
      <c r="M68" s="21">
        <v>0</v>
      </c>
      <c r="N68" s="205">
        <f t="shared" si="2"/>
        <v>0</v>
      </c>
      <c r="O68" s="21">
        <v>4</v>
      </c>
      <c r="P68" s="10">
        <f t="shared" si="7"/>
        <v>0.21190400000000001</v>
      </c>
      <c r="Q68" s="21">
        <v>0</v>
      </c>
      <c r="R68" s="205">
        <f t="shared" si="3"/>
        <v>0</v>
      </c>
      <c r="S68" s="97">
        <f t="shared" si="11"/>
        <v>21</v>
      </c>
      <c r="T68" s="87">
        <f t="shared" si="4"/>
        <v>1.1124960000000002</v>
      </c>
      <c r="U68" s="21">
        <v>0</v>
      </c>
      <c r="V68" s="139">
        <f t="shared" si="8"/>
        <v>0</v>
      </c>
      <c r="W68" s="141">
        <f t="shared" si="9"/>
        <v>21</v>
      </c>
      <c r="X68" s="107">
        <f t="shared" si="10"/>
        <v>1.1124960000000002</v>
      </c>
      <c r="Y68" s="238">
        <v>50</v>
      </c>
      <c r="Z68" s="101">
        <v>200</v>
      </c>
    </row>
    <row r="69" spans="1:26" x14ac:dyDescent="0.25">
      <c r="A69" s="264">
        <v>65</v>
      </c>
      <c r="B69" s="261" t="s">
        <v>84</v>
      </c>
      <c r="C69" s="35">
        <v>76</v>
      </c>
      <c r="D69" s="35">
        <v>75</v>
      </c>
      <c r="E69" s="35">
        <v>8</v>
      </c>
      <c r="F69" s="114">
        <f t="shared" si="5"/>
        <v>4.5600000000000002E-2</v>
      </c>
      <c r="G69" s="23">
        <f>'ARALIK 1 HAFTA'!W69</f>
        <v>12</v>
      </c>
      <c r="H69" s="110">
        <f t="shared" si="6"/>
        <v>0.54720000000000002</v>
      </c>
      <c r="I69" s="21">
        <v>0</v>
      </c>
      <c r="J69" s="205">
        <f t="shared" ref="J69:J78" si="12">F69*I69</f>
        <v>0</v>
      </c>
      <c r="K69" s="21">
        <v>0</v>
      </c>
      <c r="L69" s="10">
        <f t="shared" ref="L69:L75" si="13">F69*K69</f>
        <v>0</v>
      </c>
      <c r="M69" s="21">
        <v>0</v>
      </c>
      <c r="N69" s="205">
        <f t="shared" ref="N69:N78" si="14">F69*M69</f>
        <v>0</v>
      </c>
      <c r="O69" s="21">
        <v>0</v>
      </c>
      <c r="P69" s="10">
        <f t="shared" si="7"/>
        <v>0</v>
      </c>
      <c r="Q69" s="21">
        <v>0</v>
      </c>
      <c r="R69" s="205">
        <f t="shared" ref="R69:R75" si="15">F69*Q69</f>
        <v>0</v>
      </c>
      <c r="S69" s="97">
        <f t="shared" si="11"/>
        <v>12</v>
      </c>
      <c r="T69" s="87">
        <f t="shared" ref="T69:T78" si="16">F69*S69</f>
        <v>0.54720000000000002</v>
      </c>
      <c r="U69" s="21">
        <v>0</v>
      </c>
      <c r="V69" s="139">
        <f t="shared" ref="V69:V70" si="17">R69*U69</f>
        <v>0</v>
      </c>
      <c r="W69" s="141">
        <f t="shared" si="9"/>
        <v>12</v>
      </c>
      <c r="X69" s="107">
        <f t="shared" si="10"/>
        <v>0.54720000000000002</v>
      </c>
      <c r="Y69" s="238">
        <v>5</v>
      </c>
      <c r="Z69" s="101">
        <v>10</v>
      </c>
    </row>
    <row r="70" spans="1:26" x14ac:dyDescent="0.25">
      <c r="A70" s="264">
        <v>66</v>
      </c>
      <c r="B70" s="261" t="s">
        <v>85</v>
      </c>
      <c r="C70" s="35">
        <v>140</v>
      </c>
      <c r="D70" s="35">
        <v>240</v>
      </c>
      <c r="E70" s="35">
        <v>12</v>
      </c>
      <c r="F70" s="114">
        <f t="shared" ref="F70:F72" si="18">(C70*D70*E70)/1000000</f>
        <v>0.4032</v>
      </c>
      <c r="G70" s="23">
        <f>'ARALIK 1 HAFTA'!W70</f>
        <v>4</v>
      </c>
      <c r="H70" s="110">
        <f t="shared" ref="H70:H78" si="19">F70*G70</f>
        <v>1.6128</v>
      </c>
      <c r="I70" s="21">
        <v>1</v>
      </c>
      <c r="J70" s="205">
        <f t="shared" si="12"/>
        <v>0.4032</v>
      </c>
      <c r="K70" s="21">
        <v>0</v>
      </c>
      <c r="L70" s="10">
        <f t="shared" si="13"/>
        <v>0</v>
      </c>
      <c r="M70" s="21">
        <v>0</v>
      </c>
      <c r="N70" s="205">
        <f t="shared" si="14"/>
        <v>0</v>
      </c>
      <c r="O70" s="21">
        <v>0</v>
      </c>
      <c r="P70" s="10">
        <f t="shared" ref="P70:P78" si="20">F70*O70</f>
        <v>0</v>
      </c>
      <c r="Q70" s="21">
        <v>0</v>
      </c>
      <c r="R70" s="205">
        <f t="shared" si="15"/>
        <v>0</v>
      </c>
      <c r="S70" s="97">
        <f t="shared" si="11"/>
        <v>3</v>
      </c>
      <c r="T70" s="87">
        <f t="shared" si="16"/>
        <v>1.2096</v>
      </c>
      <c r="U70" s="21">
        <v>0</v>
      </c>
      <c r="V70" s="139">
        <f t="shared" si="17"/>
        <v>0</v>
      </c>
      <c r="W70" s="141">
        <f t="shared" ref="W70:W78" si="21">S70+U70</f>
        <v>3</v>
      </c>
      <c r="X70" s="107">
        <f t="shared" ref="X70:X78" si="22">F70*W70</f>
        <v>1.2096</v>
      </c>
      <c r="Y70" s="238">
        <v>20</v>
      </c>
      <c r="Z70" s="101">
        <v>50</v>
      </c>
    </row>
    <row r="71" spans="1:26" x14ac:dyDescent="0.25">
      <c r="A71" s="264">
        <v>67</v>
      </c>
      <c r="B71" s="261" t="s">
        <v>96</v>
      </c>
      <c r="C71" s="130">
        <v>140</v>
      </c>
      <c r="D71" s="130">
        <v>240</v>
      </c>
      <c r="E71" s="130">
        <v>2</v>
      </c>
      <c r="F71" s="131">
        <f t="shared" si="18"/>
        <v>6.7199999999999996E-2</v>
      </c>
      <c r="G71" s="23">
        <f>'ARALIK 1 HAFTA'!W71</f>
        <v>220</v>
      </c>
      <c r="H71" s="135">
        <f t="shared" si="19"/>
        <v>14.783999999999999</v>
      </c>
      <c r="I71" s="21">
        <v>0</v>
      </c>
      <c r="J71" s="205">
        <f t="shared" si="12"/>
        <v>0</v>
      </c>
      <c r="K71" s="21">
        <v>0</v>
      </c>
      <c r="L71" s="10">
        <f t="shared" si="13"/>
        <v>0</v>
      </c>
      <c r="M71" s="21">
        <v>7</v>
      </c>
      <c r="N71" s="205">
        <f t="shared" si="14"/>
        <v>0.47039999999999998</v>
      </c>
      <c r="O71" s="21">
        <v>2</v>
      </c>
      <c r="P71" s="173">
        <f t="shared" si="20"/>
        <v>0.13439999999999999</v>
      </c>
      <c r="Q71" s="21">
        <v>23</v>
      </c>
      <c r="R71" s="205">
        <f t="shared" si="15"/>
        <v>1.5455999999999999</v>
      </c>
      <c r="S71" s="97">
        <f t="shared" ref="S71:S78" si="23">G71-I71-K71-M71-O71-Q71</f>
        <v>188</v>
      </c>
      <c r="T71" s="97">
        <f t="shared" si="16"/>
        <v>12.633599999999999</v>
      </c>
      <c r="U71" s="21">
        <v>0</v>
      </c>
      <c r="V71" s="139">
        <f t="shared" ref="V71:V78" si="24">F71*U71</f>
        <v>0</v>
      </c>
      <c r="W71" s="141">
        <f t="shared" si="21"/>
        <v>188</v>
      </c>
      <c r="X71" s="141">
        <f t="shared" si="22"/>
        <v>12.633599999999999</v>
      </c>
      <c r="Y71" s="238">
        <v>30</v>
      </c>
      <c r="Z71" s="101">
        <v>100</v>
      </c>
    </row>
    <row r="72" spans="1:26" x14ac:dyDescent="0.25">
      <c r="A72" s="264">
        <v>68</v>
      </c>
      <c r="B72" s="262" t="s">
        <v>95</v>
      </c>
      <c r="C72" s="130">
        <v>61</v>
      </c>
      <c r="D72" s="130">
        <v>61</v>
      </c>
      <c r="E72" s="130">
        <v>3</v>
      </c>
      <c r="F72" s="131">
        <f t="shared" si="18"/>
        <v>1.1162999999999999E-2</v>
      </c>
      <c r="G72" s="23">
        <f>'ARALIK 1 HAFTA'!W72</f>
        <v>0</v>
      </c>
      <c r="H72" s="135">
        <f t="shared" si="19"/>
        <v>0</v>
      </c>
      <c r="I72" s="21">
        <v>42</v>
      </c>
      <c r="J72" s="205">
        <f t="shared" si="12"/>
        <v>0.46884599999999998</v>
      </c>
      <c r="K72" s="21">
        <v>0</v>
      </c>
      <c r="L72" s="10">
        <f t="shared" si="13"/>
        <v>0</v>
      </c>
      <c r="M72" s="21">
        <v>0</v>
      </c>
      <c r="N72" s="205">
        <f t="shared" si="14"/>
        <v>0</v>
      </c>
      <c r="O72" s="21">
        <v>5</v>
      </c>
      <c r="P72" s="173">
        <f t="shared" si="20"/>
        <v>5.5814999999999997E-2</v>
      </c>
      <c r="Q72" s="21">
        <v>0</v>
      </c>
      <c r="R72" s="205">
        <f t="shared" si="15"/>
        <v>0</v>
      </c>
      <c r="S72" s="97">
        <f t="shared" si="23"/>
        <v>-47</v>
      </c>
      <c r="T72" s="97">
        <f t="shared" si="16"/>
        <v>-0.52466099999999993</v>
      </c>
      <c r="U72" s="21">
        <v>218</v>
      </c>
      <c r="V72" s="252">
        <f t="shared" si="24"/>
        <v>2.4335339999999999</v>
      </c>
      <c r="W72" s="253">
        <f t="shared" si="21"/>
        <v>171</v>
      </c>
      <c r="X72" s="253">
        <f t="shared" si="22"/>
        <v>1.9088729999999998</v>
      </c>
      <c r="Y72" s="238">
        <v>0</v>
      </c>
      <c r="Z72" s="101">
        <v>0</v>
      </c>
    </row>
    <row r="73" spans="1:26" x14ac:dyDescent="0.25">
      <c r="A73" s="264">
        <v>69</v>
      </c>
      <c r="B73" s="108" t="s">
        <v>106</v>
      </c>
      <c r="C73" s="96"/>
      <c r="D73" s="96"/>
      <c r="E73" s="96"/>
      <c r="F73" s="109"/>
      <c r="G73" s="23">
        <f>'ARALIK 1 HAFTA'!W73</f>
        <v>20</v>
      </c>
      <c r="H73" s="135">
        <f t="shared" si="19"/>
        <v>0</v>
      </c>
      <c r="I73" s="21">
        <v>0</v>
      </c>
      <c r="J73" s="205">
        <f t="shared" si="12"/>
        <v>0</v>
      </c>
      <c r="K73" s="21">
        <v>0</v>
      </c>
      <c r="L73" s="10">
        <f t="shared" si="13"/>
        <v>0</v>
      </c>
      <c r="M73" s="21">
        <v>0</v>
      </c>
      <c r="N73" s="205">
        <f t="shared" si="14"/>
        <v>0</v>
      </c>
      <c r="O73" s="21">
        <v>0</v>
      </c>
      <c r="P73" s="250">
        <f t="shared" si="20"/>
        <v>0</v>
      </c>
      <c r="Q73" s="21">
        <v>0</v>
      </c>
      <c r="R73" s="205">
        <f t="shared" si="15"/>
        <v>0</v>
      </c>
      <c r="S73" s="97">
        <f t="shared" si="23"/>
        <v>20</v>
      </c>
      <c r="T73" s="97">
        <f t="shared" si="16"/>
        <v>0</v>
      </c>
      <c r="U73" s="21">
        <v>0</v>
      </c>
      <c r="V73" s="252">
        <f t="shared" si="24"/>
        <v>0</v>
      </c>
      <c r="W73" s="253">
        <f t="shared" si="21"/>
        <v>20</v>
      </c>
      <c r="X73" s="253">
        <f t="shared" si="22"/>
        <v>0</v>
      </c>
      <c r="Y73" s="101">
        <v>0</v>
      </c>
      <c r="Z73" s="101">
        <v>0</v>
      </c>
    </row>
    <row r="74" spans="1:26" x14ac:dyDescent="0.25">
      <c r="A74" s="105">
        <v>70</v>
      </c>
      <c r="B74" s="270" t="s">
        <v>107</v>
      </c>
      <c r="C74" s="105"/>
      <c r="D74" s="105"/>
      <c r="E74" s="271"/>
      <c r="F74" s="125"/>
      <c r="G74" s="23">
        <f>'ARALIK 1 HAFTA'!W74</f>
        <v>20</v>
      </c>
      <c r="H74" s="135">
        <f t="shared" si="19"/>
        <v>0</v>
      </c>
      <c r="I74" s="21">
        <v>0</v>
      </c>
      <c r="J74" s="205">
        <f t="shared" si="12"/>
        <v>0</v>
      </c>
      <c r="K74" s="21">
        <v>0</v>
      </c>
      <c r="L74" s="10">
        <f t="shared" si="13"/>
        <v>0</v>
      </c>
      <c r="M74" s="21">
        <v>0</v>
      </c>
      <c r="N74" s="205">
        <f t="shared" si="14"/>
        <v>0</v>
      </c>
      <c r="O74" s="21">
        <v>0</v>
      </c>
      <c r="P74" s="250">
        <f t="shared" si="20"/>
        <v>0</v>
      </c>
      <c r="Q74" s="21">
        <v>0</v>
      </c>
      <c r="R74" s="205">
        <f t="shared" si="15"/>
        <v>0</v>
      </c>
      <c r="S74" s="97">
        <f t="shared" si="23"/>
        <v>20</v>
      </c>
      <c r="T74" s="97">
        <f t="shared" si="16"/>
        <v>0</v>
      </c>
      <c r="U74" s="21">
        <v>0</v>
      </c>
      <c r="V74" s="252">
        <f t="shared" si="24"/>
        <v>0</v>
      </c>
      <c r="W74" s="253">
        <f t="shared" si="21"/>
        <v>20</v>
      </c>
      <c r="X74" s="253">
        <f t="shared" si="22"/>
        <v>0</v>
      </c>
      <c r="Y74" s="106"/>
      <c r="Z74" s="106"/>
    </row>
    <row r="75" spans="1:26" x14ac:dyDescent="0.25">
      <c r="A75" s="96">
        <v>71</v>
      </c>
      <c r="B75" s="265" t="s">
        <v>108</v>
      </c>
      <c r="C75" s="96">
        <v>140</v>
      </c>
      <c r="D75" s="96">
        <v>240</v>
      </c>
      <c r="E75" s="109">
        <v>6</v>
      </c>
      <c r="F75" s="131">
        <f t="shared" ref="F75:F78" si="25">(C75*D75*E75)/1000000</f>
        <v>0.2016</v>
      </c>
      <c r="G75" s="23">
        <f>'ARALIK 1 HAFTA'!W75</f>
        <v>45</v>
      </c>
      <c r="H75" s="135">
        <f t="shared" si="19"/>
        <v>9.0719999999999992</v>
      </c>
      <c r="I75" s="21">
        <v>0</v>
      </c>
      <c r="J75" s="205">
        <f t="shared" si="12"/>
        <v>0</v>
      </c>
      <c r="K75" s="21">
        <v>0</v>
      </c>
      <c r="L75" s="85">
        <f t="shared" si="13"/>
        <v>0</v>
      </c>
      <c r="M75" s="21">
        <v>0</v>
      </c>
      <c r="N75" s="205">
        <f t="shared" si="14"/>
        <v>0</v>
      </c>
      <c r="O75" s="21">
        <v>0</v>
      </c>
      <c r="P75" s="250">
        <f t="shared" si="20"/>
        <v>0</v>
      </c>
      <c r="Q75" s="21">
        <v>13</v>
      </c>
      <c r="R75" s="276">
        <f t="shared" si="15"/>
        <v>2.6208</v>
      </c>
      <c r="S75" s="251">
        <f t="shared" si="23"/>
        <v>32</v>
      </c>
      <c r="T75" s="97">
        <f t="shared" si="16"/>
        <v>6.4512</v>
      </c>
      <c r="U75" s="21">
        <v>0</v>
      </c>
      <c r="V75" s="252">
        <f t="shared" si="24"/>
        <v>0</v>
      </c>
      <c r="W75" s="253">
        <f t="shared" si="21"/>
        <v>32</v>
      </c>
      <c r="X75" s="253">
        <f t="shared" si="22"/>
        <v>6.4512</v>
      </c>
      <c r="Y75" s="106"/>
      <c r="Z75" s="106"/>
    </row>
    <row r="76" spans="1:26" x14ac:dyDescent="0.25">
      <c r="A76" s="277">
        <v>72</v>
      </c>
      <c r="B76" s="175" t="s">
        <v>113</v>
      </c>
      <c r="C76" s="2">
        <v>63</v>
      </c>
      <c r="D76" s="2">
        <v>60</v>
      </c>
      <c r="E76" s="2">
        <v>5</v>
      </c>
      <c r="F76" s="131">
        <f t="shared" si="25"/>
        <v>1.89E-2</v>
      </c>
      <c r="G76" s="23">
        <f>'ARALIK 1 HAFTA'!W76</f>
        <v>200</v>
      </c>
      <c r="H76" s="135">
        <f t="shared" si="19"/>
        <v>3.7800000000000002</v>
      </c>
      <c r="I76" s="21">
        <v>0</v>
      </c>
      <c r="J76" s="205">
        <f t="shared" si="12"/>
        <v>0</v>
      </c>
      <c r="K76" s="21">
        <v>0</v>
      </c>
      <c r="L76" s="105"/>
      <c r="M76" s="21">
        <v>36</v>
      </c>
      <c r="N76" s="205">
        <f t="shared" si="14"/>
        <v>0.6804</v>
      </c>
      <c r="O76" s="21">
        <v>0</v>
      </c>
      <c r="P76" s="250">
        <f t="shared" si="20"/>
        <v>0</v>
      </c>
      <c r="Q76" s="21">
        <v>0</v>
      </c>
      <c r="R76" s="105"/>
      <c r="S76" s="251">
        <f t="shared" si="23"/>
        <v>164</v>
      </c>
      <c r="T76" s="251">
        <f t="shared" si="16"/>
        <v>3.0996000000000001</v>
      </c>
      <c r="U76" s="21">
        <v>0</v>
      </c>
      <c r="V76" s="252">
        <f t="shared" si="24"/>
        <v>0</v>
      </c>
      <c r="W76" s="253">
        <f t="shared" si="21"/>
        <v>164</v>
      </c>
      <c r="X76" s="253">
        <f t="shared" si="22"/>
        <v>3.0996000000000001</v>
      </c>
      <c r="Y76" s="106"/>
      <c r="Z76" s="106"/>
    </row>
    <row r="77" spans="1:26" ht="15.75" thickBot="1" x14ac:dyDescent="0.3">
      <c r="A77" s="279">
        <v>73</v>
      </c>
      <c r="B77" s="280" t="s">
        <v>115</v>
      </c>
      <c r="C77" s="2">
        <v>90</v>
      </c>
      <c r="D77" s="2">
        <v>85</v>
      </c>
      <c r="E77" s="2">
        <v>5</v>
      </c>
      <c r="F77" s="131">
        <f t="shared" si="25"/>
        <v>3.8249999999999999E-2</v>
      </c>
      <c r="G77" s="23">
        <f>'ARALIK 1 HAFTA'!W77</f>
        <v>211</v>
      </c>
      <c r="H77" s="135">
        <f t="shared" si="19"/>
        <v>8.0707500000000003</v>
      </c>
      <c r="I77" s="21">
        <v>0</v>
      </c>
      <c r="J77" s="205">
        <f t="shared" si="12"/>
        <v>0</v>
      </c>
      <c r="K77" s="21">
        <v>0</v>
      </c>
      <c r="L77" s="96"/>
      <c r="M77" s="21">
        <v>23</v>
      </c>
      <c r="N77" s="205">
        <f t="shared" si="14"/>
        <v>0.87975000000000003</v>
      </c>
      <c r="O77" s="21">
        <v>43</v>
      </c>
      <c r="P77" s="250">
        <f t="shared" si="20"/>
        <v>1.6447499999999999</v>
      </c>
      <c r="Q77" s="21">
        <v>0</v>
      </c>
      <c r="R77" s="96"/>
      <c r="S77" s="251">
        <f t="shared" si="23"/>
        <v>145</v>
      </c>
      <c r="T77" s="251">
        <f t="shared" si="16"/>
        <v>5.5462499999999997</v>
      </c>
      <c r="U77" s="21">
        <v>0</v>
      </c>
      <c r="V77" s="264">
        <f t="shared" si="24"/>
        <v>0</v>
      </c>
      <c r="W77" s="264">
        <f t="shared" si="21"/>
        <v>145</v>
      </c>
      <c r="X77" s="264">
        <f t="shared" si="22"/>
        <v>5.5462499999999997</v>
      </c>
      <c r="Y77" s="101"/>
      <c r="Z77" s="101"/>
    </row>
    <row r="78" spans="1:26" x14ac:dyDescent="0.25">
      <c r="A78" s="277">
        <v>74</v>
      </c>
      <c r="B78" s="151" t="s">
        <v>116</v>
      </c>
      <c r="C78" s="2">
        <v>100</v>
      </c>
      <c r="D78" s="2">
        <v>90</v>
      </c>
      <c r="E78" s="2">
        <v>3</v>
      </c>
      <c r="F78" s="131">
        <f t="shared" si="25"/>
        <v>2.7E-2</v>
      </c>
      <c r="G78" s="23">
        <f>'ARALIK 1 HAFTA'!W78</f>
        <v>156</v>
      </c>
      <c r="H78" s="135">
        <f t="shared" si="19"/>
        <v>4.2119999999999997</v>
      </c>
      <c r="I78" s="21">
        <v>0</v>
      </c>
      <c r="J78" s="205">
        <f t="shared" si="12"/>
        <v>0</v>
      </c>
      <c r="K78" s="21">
        <v>0</v>
      </c>
      <c r="L78" s="96"/>
      <c r="M78" s="21">
        <v>24</v>
      </c>
      <c r="N78" s="205">
        <f t="shared" si="14"/>
        <v>0.64800000000000002</v>
      </c>
      <c r="O78" s="21">
        <v>0</v>
      </c>
      <c r="P78" s="250">
        <f t="shared" si="20"/>
        <v>0</v>
      </c>
      <c r="Q78" s="21">
        <v>0</v>
      </c>
      <c r="R78" s="96"/>
      <c r="S78" s="251">
        <f t="shared" si="23"/>
        <v>132</v>
      </c>
      <c r="T78" s="251">
        <f t="shared" si="16"/>
        <v>3.5640000000000001</v>
      </c>
      <c r="U78" s="21">
        <v>0</v>
      </c>
      <c r="V78" s="264">
        <f t="shared" si="24"/>
        <v>0</v>
      </c>
      <c r="W78" s="264">
        <f t="shared" si="21"/>
        <v>132</v>
      </c>
      <c r="X78" s="264">
        <f t="shared" si="22"/>
        <v>3.5640000000000001</v>
      </c>
      <c r="Y78" s="101"/>
      <c r="Z78" s="101"/>
    </row>
  </sheetData>
  <mergeCells count="24">
    <mergeCell ref="S4:T4"/>
    <mergeCell ref="U4:V4"/>
    <mergeCell ref="W4:X4"/>
    <mergeCell ref="G4:H4"/>
    <mergeCell ref="I4:J4"/>
    <mergeCell ref="K4:L4"/>
    <mergeCell ref="M4:N4"/>
    <mergeCell ref="O4:P4"/>
    <mergeCell ref="Q4:R4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C1:H1"/>
    <mergeCell ref="G2:H3"/>
    <mergeCell ref="I2:J2"/>
    <mergeCell ref="K2:L2"/>
    <mergeCell ref="M2:N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78"/>
  <sheetViews>
    <sheetView topLeftCell="C1" workbookViewId="0">
      <selection activeCell="U5" sqref="U5"/>
    </sheetView>
  </sheetViews>
  <sheetFormatPr defaultRowHeight="15" x14ac:dyDescent="0.25"/>
  <cols>
    <col min="1" max="1" width="6.42578125" customWidth="1"/>
    <col min="2" max="2" width="24.28515625" style="3" customWidth="1"/>
    <col min="3" max="3" width="0.140625" style="2" customWidth="1"/>
    <col min="4" max="4" width="13.140625" style="2" hidden="1" customWidth="1"/>
    <col min="5" max="5" width="13" style="2" hidden="1" customWidth="1"/>
    <col min="6" max="6" width="14.42578125" style="4" hidden="1" customWidth="1"/>
    <col min="7" max="8" width="9" style="5" customWidth="1"/>
    <col min="9" max="20" width="8.140625" style="2" customWidth="1"/>
    <col min="23" max="23" width="7.7109375" customWidth="1"/>
    <col min="24" max="24" width="9.5703125" customWidth="1"/>
    <col min="25" max="25" width="10.28515625" customWidth="1"/>
  </cols>
  <sheetData>
    <row r="1" spans="1:26" ht="15.75" thickBot="1" x14ac:dyDescent="0.3">
      <c r="B1" s="4" t="s">
        <v>18</v>
      </c>
      <c r="C1" s="320" t="s">
        <v>121</v>
      </c>
      <c r="D1" s="320"/>
      <c r="E1" s="320"/>
      <c r="F1" s="320"/>
      <c r="G1" s="320"/>
      <c r="H1" s="320"/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44914</v>
      </c>
      <c r="J2" s="326"/>
      <c r="K2" s="327">
        <v>44915</v>
      </c>
      <c r="L2" s="328"/>
      <c r="M2" s="325">
        <v>44916</v>
      </c>
      <c r="N2" s="329"/>
      <c r="O2" s="327">
        <v>44917</v>
      </c>
      <c r="P2" s="346"/>
      <c r="Q2" s="325">
        <v>44918</v>
      </c>
      <c r="R2" s="329"/>
      <c r="S2" s="330" t="s">
        <v>69</v>
      </c>
      <c r="T2" s="331"/>
      <c r="U2" s="334" t="s">
        <v>70</v>
      </c>
      <c r="V2" s="335"/>
      <c r="W2" s="338" t="s">
        <v>71</v>
      </c>
      <c r="X2" s="339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40"/>
      <c r="X3" s="341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51" t="s">
        <v>63</v>
      </c>
      <c r="X4" s="352"/>
      <c r="Y4" s="268" t="s">
        <v>99</v>
      </c>
      <c r="Z4" s="269" t="s">
        <v>100</v>
      </c>
    </row>
    <row r="5" spans="1:26" x14ac:dyDescent="0.25">
      <c r="A5" s="263">
        <v>1</v>
      </c>
      <c r="B5" s="256" t="s">
        <v>2</v>
      </c>
      <c r="C5" s="32">
        <v>140</v>
      </c>
      <c r="D5" s="33">
        <v>240</v>
      </c>
      <c r="E5" s="33">
        <v>1</v>
      </c>
      <c r="F5" s="15">
        <f>(C5*D5*E5)/1000000</f>
        <v>3.3599999999999998E-2</v>
      </c>
      <c r="G5" s="23">
        <v>87</v>
      </c>
      <c r="H5" s="24">
        <f>F5*G5</f>
        <v>2.9232</v>
      </c>
      <c r="I5" s="21">
        <v>45</v>
      </c>
      <c r="J5" s="205">
        <f t="shared" ref="J5:J68" si="0">F5*I5</f>
        <v>1.512</v>
      </c>
      <c r="K5" s="21">
        <v>20</v>
      </c>
      <c r="L5" s="10">
        <f t="shared" ref="L5:L68" si="1">F5*K5</f>
        <v>0.67199999999999993</v>
      </c>
      <c r="M5" s="21">
        <v>22</v>
      </c>
      <c r="N5" s="205">
        <f t="shared" ref="N5:N68" si="2">F5*M5</f>
        <v>0.73919999999999997</v>
      </c>
      <c r="O5" s="21">
        <v>0</v>
      </c>
      <c r="P5" s="10">
        <f>F5*O5</f>
        <v>0</v>
      </c>
      <c r="Q5" s="21">
        <v>0</v>
      </c>
      <c r="R5" s="205">
        <f t="shared" ref="R5:R68" si="3">F5*Q5</f>
        <v>0</v>
      </c>
      <c r="S5" s="39">
        <f>G5-I5-K5-M5-O5-Q5</f>
        <v>0</v>
      </c>
      <c r="T5" s="38">
        <f t="shared" ref="T5:T68" si="4">F5*S5</f>
        <v>0</v>
      </c>
      <c r="U5" s="21">
        <v>0</v>
      </c>
      <c r="V5" s="13">
        <f>F5*U5</f>
        <v>0</v>
      </c>
      <c r="W5" s="49">
        <f>S5+U5</f>
        <v>0</v>
      </c>
      <c r="X5" s="50">
        <f>F5*W5</f>
        <v>0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3</v>
      </c>
      <c r="C6" s="34">
        <v>140</v>
      </c>
      <c r="D6" s="35">
        <v>240</v>
      </c>
      <c r="E6" s="35">
        <v>0.8</v>
      </c>
      <c r="F6" s="19">
        <f t="shared" ref="F6:F69" si="5">(C6*D6*E6)/1000000</f>
        <v>2.6880000000000001E-2</v>
      </c>
      <c r="G6" s="23">
        <v>304</v>
      </c>
      <c r="H6" s="26">
        <f t="shared" ref="H6:H69" si="6">F6*G6</f>
        <v>8.171520000000001</v>
      </c>
      <c r="I6" s="21">
        <v>0</v>
      </c>
      <c r="J6" s="205">
        <f t="shared" si="0"/>
        <v>0</v>
      </c>
      <c r="K6" s="21">
        <v>0</v>
      </c>
      <c r="L6" s="10">
        <f t="shared" si="1"/>
        <v>0</v>
      </c>
      <c r="M6" s="21">
        <v>0</v>
      </c>
      <c r="N6" s="205">
        <f t="shared" si="2"/>
        <v>0</v>
      </c>
      <c r="O6" s="21">
        <v>0</v>
      </c>
      <c r="P6" s="10">
        <f t="shared" ref="P6:P69" si="7">F6*O6</f>
        <v>0</v>
      </c>
      <c r="Q6" s="21">
        <v>12</v>
      </c>
      <c r="R6" s="205">
        <f t="shared" si="3"/>
        <v>0.32256000000000001</v>
      </c>
      <c r="S6" s="39">
        <f>G6-I6-K6-M6-O6-Q6</f>
        <v>292</v>
      </c>
      <c r="T6" s="38">
        <f t="shared" si="4"/>
        <v>7.8489599999999999</v>
      </c>
      <c r="U6" s="21">
        <v>0</v>
      </c>
      <c r="V6" s="13">
        <f t="shared" ref="V6:V68" si="8">F6*U6</f>
        <v>0</v>
      </c>
      <c r="W6" s="49">
        <f t="shared" ref="W6:W69" si="9">S6+U6</f>
        <v>292</v>
      </c>
      <c r="X6" s="50">
        <f t="shared" ref="X6:X69" si="10">F6*W6</f>
        <v>7.8489599999999999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4</v>
      </c>
      <c r="C7" s="34">
        <v>140</v>
      </c>
      <c r="D7" s="35">
        <v>238</v>
      </c>
      <c r="E7" s="35">
        <v>1.4</v>
      </c>
      <c r="F7" s="19">
        <f t="shared" si="5"/>
        <v>4.6648000000000002E-2</v>
      </c>
      <c r="G7" s="23">
        <v>313</v>
      </c>
      <c r="H7" s="26">
        <f t="shared" si="6"/>
        <v>14.600824000000001</v>
      </c>
      <c r="I7" s="21">
        <v>27</v>
      </c>
      <c r="J7" s="205">
        <f t="shared" si="0"/>
        <v>1.2594959999999999</v>
      </c>
      <c r="K7" s="21">
        <v>27</v>
      </c>
      <c r="L7" s="10">
        <f t="shared" si="1"/>
        <v>1.2594959999999999</v>
      </c>
      <c r="M7" s="21">
        <v>94</v>
      </c>
      <c r="N7" s="205">
        <f t="shared" si="2"/>
        <v>4.3849119999999999</v>
      </c>
      <c r="O7" s="21">
        <v>74</v>
      </c>
      <c r="P7" s="10">
        <f t="shared" si="7"/>
        <v>3.4519520000000004</v>
      </c>
      <c r="Q7" s="21">
        <v>49</v>
      </c>
      <c r="R7" s="205">
        <f t="shared" si="3"/>
        <v>2.285752</v>
      </c>
      <c r="S7" s="39">
        <f t="shared" ref="S7:S70" si="11">G7-I7-K7-M7-O7-Q7</f>
        <v>42</v>
      </c>
      <c r="T7" s="38">
        <f t="shared" si="4"/>
        <v>1.9592160000000001</v>
      </c>
      <c r="U7" s="21">
        <v>0</v>
      </c>
      <c r="V7" s="13">
        <f t="shared" si="8"/>
        <v>0</v>
      </c>
      <c r="W7" s="49">
        <f t="shared" si="9"/>
        <v>42</v>
      </c>
      <c r="X7" s="50">
        <f t="shared" si="10"/>
        <v>1.9592160000000001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114</v>
      </c>
      <c r="C8" s="34">
        <v>140</v>
      </c>
      <c r="D8" s="35">
        <v>240</v>
      </c>
      <c r="E8" s="35">
        <v>4</v>
      </c>
      <c r="F8" s="19">
        <f t="shared" si="5"/>
        <v>0.13439999999999999</v>
      </c>
      <c r="G8" s="23">
        <f>'ARALIK 1 HAFTA'!W8</f>
        <v>24</v>
      </c>
      <c r="H8" s="26">
        <f t="shared" si="6"/>
        <v>3.2256</v>
      </c>
      <c r="I8" s="21">
        <v>1</v>
      </c>
      <c r="J8" s="205">
        <f t="shared" si="0"/>
        <v>0.13439999999999999</v>
      </c>
      <c r="K8" s="21">
        <v>2</v>
      </c>
      <c r="L8" s="10">
        <f t="shared" si="1"/>
        <v>0.26879999999999998</v>
      </c>
      <c r="M8" s="21">
        <v>0</v>
      </c>
      <c r="N8" s="205">
        <f t="shared" si="2"/>
        <v>0</v>
      </c>
      <c r="O8" s="21">
        <v>0</v>
      </c>
      <c r="P8" s="10">
        <f t="shared" si="7"/>
        <v>0</v>
      </c>
      <c r="Q8" s="21">
        <v>1</v>
      </c>
      <c r="R8" s="205">
        <f t="shared" si="3"/>
        <v>0.13439999999999999</v>
      </c>
      <c r="S8" s="39">
        <f t="shared" si="11"/>
        <v>20</v>
      </c>
      <c r="T8" s="38">
        <f t="shared" si="4"/>
        <v>2.6879999999999997</v>
      </c>
      <c r="U8" s="21">
        <v>0</v>
      </c>
      <c r="V8" s="13">
        <f t="shared" si="8"/>
        <v>0</v>
      </c>
      <c r="W8" s="49">
        <f t="shared" si="9"/>
        <v>20</v>
      </c>
      <c r="X8" s="50">
        <f t="shared" si="10"/>
        <v>2.6879999999999997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6</v>
      </c>
      <c r="C9" s="34">
        <v>140</v>
      </c>
      <c r="D9" s="35">
        <v>240</v>
      </c>
      <c r="E9" s="35">
        <v>2</v>
      </c>
      <c r="F9" s="19">
        <f t="shared" si="5"/>
        <v>6.7199999999999996E-2</v>
      </c>
      <c r="G9" s="23">
        <v>1</v>
      </c>
      <c r="H9" s="26">
        <f t="shared" si="6"/>
        <v>6.7199999999999996E-2</v>
      </c>
      <c r="I9" s="21">
        <v>0</v>
      </c>
      <c r="J9" s="205">
        <f t="shared" si="0"/>
        <v>0</v>
      </c>
      <c r="K9" s="21">
        <v>0</v>
      </c>
      <c r="L9" s="10">
        <f t="shared" si="1"/>
        <v>0</v>
      </c>
      <c r="M9" s="21">
        <v>0</v>
      </c>
      <c r="N9" s="205">
        <f t="shared" si="2"/>
        <v>0</v>
      </c>
      <c r="O9" s="21">
        <v>0</v>
      </c>
      <c r="P9" s="10">
        <f t="shared" si="7"/>
        <v>0</v>
      </c>
      <c r="Q9" s="21">
        <v>0</v>
      </c>
      <c r="R9" s="205">
        <f t="shared" si="3"/>
        <v>0</v>
      </c>
      <c r="S9" s="39">
        <f t="shared" si="11"/>
        <v>1</v>
      </c>
      <c r="T9" s="38">
        <f t="shared" si="4"/>
        <v>6.7199999999999996E-2</v>
      </c>
      <c r="U9" s="21">
        <v>0</v>
      </c>
      <c r="V9" s="13">
        <f t="shared" si="8"/>
        <v>0</v>
      </c>
      <c r="W9" s="49">
        <f t="shared" si="9"/>
        <v>1</v>
      </c>
      <c r="X9" s="50">
        <f t="shared" si="10"/>
        <v>6.7199999999999996E-2</v>
      </c>
      <c r="Y9" s="238">
        <v>50</v>
      </c>
      <c r="Z9" s="101">
        <v>150</v>
      </c>
    </row>
    <row r="10" spans="1:26" x14ac:dyDescent="0.25">
      <c r="A10" s="264">
        <v>6</v>
      </c>
      <c r="B10" s="256" t="s">
        <v>7</v>
      </c>
      <c r="C10" s="34">
        <v>140</v>
      </c>
      <c r="D10" s="35">
        <v>240</v>
      </c>
      <c r="E10" s="35">
        <v>2</v>
      </c>
      <c r="F10" s="19">
        <f t="shared" si="5"/>
        <v>6.7199999999999996E-2</v>
      </c>
      <c r="G10" s="23">
        <v>14</v>
      </c>
      <c r="H10" s="26">
        <f t="shared" si="6"/>
        <v>0.94079999999999997</v>
      </c>
      <c r="I10" s="21">
        <v>0</v>
      </c>
      <c r="J10" s="205">
        <f t="shared" si="0"/>
        <v>0</v>
      </c>
      <c r="K10" s="21">
        <v>9</v>
      </c>
      <c r="L10" s="10">
        <f t="shared" si="1"/>
        <v>0.6048</v>
      </c>
      <c r="M10" s="21">
        <v>3</v>
      </c>
      <c r="N10" s="205">
        <f t="shared" si="2"/>
        <v>0.2016</v>
      </c>
      <c r="O10" s="21">
        <v>0</v>
      </c>
      <c r="P10" s="10">
        <f t="shared" si="7"/>
        <v>0</v>
      </c>
      <c r="Q10" s="21">
        <v>0</v>
      </c>
      <c r="R10" s="205">
        <f t="shared" si="3"/>
        <v>0</v>
      </c>
      <c r="S10" s="39">
        <f t="shared" si="11"/>
        <v>2</v>
      </c>
      <c r="T10" s="38">
        <f t="shared" si="4"/>
        <v>0.13439999999999999</v>
      </c>
      <c r="U10" s="21">
        <v>0</v>
      </c>
      <c r="V10" s="13">
        <f t="shared" si="8"/>
        <v>0</v>
      </c>
      <c r="W10" s="49">
        <f t="shared" si="9"/>
        <v>2</v>
      </c>
      <c r="X10" s="50">
        <f t="shared" si="10"/>
        <v>0.13439999999999999</v>
      </c>
      <c r="Y10" s="238">
        <v>75</v>
      </c>
      <c r="Z10" s="101">
        <v>300</v>
      </c>
    </row>
    <row r="11" spans="1:26" x14ac:dyDescent="0.25">
      <c r="A11" s="264">
        <v>7</v>
      </c>
      <c r="B11" s="256" t="s">
        <v>8</v>
      </c>
      <c r="C11" s="34">
        <v>140</v>
      </c>
      <c r="D11" s="35">
        <v>240</v>
      </c>
      <c r="E11" s="35">
        <v>7</v>
      </c>
      <c r="F11" s="19">
        <f t="shared" si="5"/>
        <v>0.23519999999999999</v>
      </c>
      <c r="G11" s="23">
        <v>37</v>
      </c>
      <c r="H11" s="26">
        <f t="shared" si="6"/>
        <v>8.702399999999999</v>
      </c>
      <c r="I11" s="21">
        <v>7</v>
      </c>
      <c r="J11" s="205">
        <f t="shared" si="0"/>
        <v>1.6463999999999999</v>
      </c>
      <c r="K11" s="21">
        <v>3</v>
      </c>
      <c r="L11" s="10">
        <f t="shared" si="1"/>
        <v>0.7056</v>
      </c>
      <c r="M11" s="21">
        <v>20</v>
      </c>
      <c r="N11" s="205">
        <f t="shared" si="2"/>
        <v>4.7039999999999997</v>
      </c>
      <c r="O11" s="21">
        <v>0</v>
      </c>
      <c r="P11" s="10">
        <f t="shared" si="7"/>
        <v>0</v>
      </c>
      <c r="Q11" s="21">
        <v>7</v>
      </c>
      <c r="R11" s="205">
        <f t="shared" si="3"/>
        <v>1.6463999999999999</v>
      </c>
      <c r="S11" s="39">
        <f t="shared" si="11"/>
        <v>0</v>
      </c>
      <c r="T11" s="38">
        <f t="shared" si="4"/>
        <v>0</v>
      </c>
      <c r="U11" s="21">
        <v>0</v>
      </c>
      <c r="V11" s="13">
        <f t="shared" si="8"/>
        <v>0</v>
      </c>
      <c r="W11" s="49">
        <f t="shared" si="9"/>
        <v>0</v>
      </c>
      <c r="X11" s="50">
        <f t="shared" si="10"/>
        <v>0</v>
      </c>
      <c r="Y11" s="238">
        <v>20</v>
      </c>
      <c r="Z11" s="101">
        <v>50</v>
      </c>
    </row>
    <row r="12" spans="1:26" x14ac:dyDescent="0.25">
      <c r="A12" s="264">
        <v>8</v>
      </c>
      <c r="B12" s="256" t="s">
        <v>9</v>
      </c>
      <c r="C12" s="34">
        <v>140</v>
      </c>
      <c r="D12" s="35">
        <v>240</v>
      </c>
      <c r="E12" s="35">
        <v>5</v>
      </c>
      <c r="F12" s="19">
        <f t="shared" si="5"/>
        <v>0.16800000000000001</v>
      </c>
      <c r="G12" s="23">
        <v>280</v>
      </c>
      <c r="H12" s="26">
        <f t="shared" si="6"/>
        <v>47.040000000000006</v>
      </c>
      <c r="I12" s="21">
        <v>5</v>
      </c>
      <c r="J12" s="205">
        <f t="shared" si="0"/>
        <v>0.84000000000000008</v>
      </c>
      <c r="K12" s="21">
        <v>9</v>
      </c>
      <c r="L12" s="10">
        <f t="shared" si="1"/>
        <v>1.512</v>
      </c>
      <c r="M12" s="21">
        <v>0</v>
      </c>
      <c r="N12" s="205">
        <f t="shared" si="2"/>
        <v>0</v>
      </c>
      <c r="O12" s="21">
        <v>5</v>
      </c>
      <c r="P12" s="10">
        <f t="shared" si="7"/>
        <v>0.84000000000000008</v>
      </c>
      <c r="Q12" s="21">
        <v>1</v>
      </c>
      <c r="R12" s="205">
        <f t="shared" si="3"/>
        <v>0.16800000000000001</v>
      </c>
      <c r="S12" s="39">
        <f t="shared" si="11"/>
        <v>260</v>
      </c>
      <c r="T12" s="38">
        <f t="shared" si="4"/>
        <v>43.68</v>
      </c>
      <c r="U12" s="21">
        <v>0</v>
      </c>
      <c r="V12" s="13">
        <f t="shared" si="8"/>
        <v>0</v>
      </c>
      <c r="W12" s="49">
        <f t="shared" si="9"/>
        <v>260</v>
      </c>
      <c r="X12" s="50">
        <f t="shared" si="10"/>
        <v>43.68</v>
      </c>
      <c r="Y12" s="238">
        <v>30</v>
      </c>
      <c r="Z12" s="101">
        <v>100</v>
      </c>
    </row>
    <row r="13" spans="1:26" x14ac:dyDescent="0.25">
      <c r="A13" s="264">
        <v>9</v>
      </c>
      <c r="B13" s="256" t="s">
        <v>10</v>
      </c>
      <c r="C13" s="34">
        <v>140</v>
      </c>
      <c r="D13" s="35">
        <v>240</v>
      </c>
      <c r="E13" s="35">
        <v>5</v>
      </c>
      <c r="F13" s="19">
        <f t="shared" si="5"/>
        <v>0.16800000000000001</v>
      </c>
      <c r="G13" s="23">
        <v>46</v>
      </c>
      <c r="H13" s="26">
        <f t="shared" si="6"/>
        <v>7.7280000000000006</v>
      </c>
      <c r="I13" s="21">
        <v>0</v>
      </c>
      <c r="J13" s="205">
        <f t="shared" si="0"/>
        <v>0</v>
      </c>
      <c r="K13" s="21">
        <v>3</v>
      </c>
      <c r="L13" s="10">
        <f t="shared" si="1"/>
        <v>0.504</v>
      </c>
      <c r="M13" s="21">
        <v>0</v>
      </c>
      <c r="N13" s="205">
        <f t="shared" si="2"/>
        <v>0</v>
      </c>
      <c r="O13" s="21">
        <v>0</v>
      </c>
      <c r="P13" s="10">
        <f t="shared" si="7"/>
        <v>0</v>
      </c>
      <c r="Q13" s="21">
        <v>0</v>
      </c>
      <c r="R13" s="205">
        <f t="shared" si="3"/>
        <v>0</v>
      </c>
      <c r="S13" s="39">
        <f t="shared" si="11"/>
        <v>43</v>
      </c>
      <c r="T13" s="38">
        <f t="shared" si="4"/>
        <v>7.2240000000000002</v>
      </c>
      <c r="U13" s="21">
        <v>0</v>
      </c>
      <c r="V13" s="13">
        <f t="shared" si="8"/>
        <v>0</v>
      </c>
      <c r="W13" s="49">
        <f t="shared" si="9"/>
        <v>43</v>
      </c>
      <c r="X13" s="50">
        <f t="shared" si="10"/>
        <v>7.2240000000000002</v>
      </c>
      <c r="Y13" s="238">
        <v>20</v>
      </c>
      <c r="Z13" s="101">
        <v>50</v>
      </c>
    </row>
    <row r="14" spans="1:26" x14ac:dyDescent="0.25">
      <c r="A14" s="264">
        <v>10</v>
      </c>
      <c r="B14" s="256" t="s">
        <v>11</v>
      </c>
      <c r="C14" s="34">
        <v>140</v>
      </c>
      <c r="D14" s="35">
        <v>240</v>
      </c>
      <c r="E14" s="35">
        <v>5</v>
      </c>
      <c r="F14" s="19">
        <f t="shared" si="5"/>
        <v>0.16800000000000001</v>
      </c>
      <c r="G14" s="23">
        <v>231</v>
      </c>
      <c r="H14" s="26">
        <f t="shared" si="6"/>
        <v>38.808</v>
      </c>
      <c r="I14" s="21">
        <v>5</v>
      </c>
      <c r="J14" s="205">
        <f t="shared" si="0"/>
        <v>0.84000000000000008</v>
      </c>
      <c r="K14" s="21">
        <v>0</v>
      </c>
      <c r="L14" s="10">
        <f t="shared" si="1"/>
        <v>0</v>
      </c>
      <c r="M14" s="21">
        <v>2</v>
      </c>
      <c r="N14" s="205">
        <f t="shared" si="2"/>
        <v>0.33600000000000002</v>
      </c>
      <c r="O14" s="21">
        <v>12</v>
      </c>
      <c r="P14" s="10">
        <f t="shared" si="7"/>
        <v>2.016</v>
      </c>
      <c r="Q14" s="21">
        <v>0</v>
      </c>
      <c r="R14" s="205">
        <f t="shared" si="3"/>
        <v>0</v>
      </c>
      <c r="S14" s="39">
        <f t="shared" si="11"/>
        <v>212</v>
      </c>
      <c r="T14" s="38">
        <f t="shared" si="4"/>
        <v>35.616</v>
      </c>
      <c r="U14" s="21">
        <v>0</v>
      </c>
      <c r="V14" s="13">
        <f t="shared" si="8"/>
        <v>0</v>
      </c>
      <c r="W14" s="49">
        <f t="shared" si="9"/>
        <v>212</v>
      </c>
      <c r="X14" s="50">
        <f t="shared" si="10"/>
        <v>35.616</v>
      </c>
      <c r="Y14" s="238">
        <v>30</v>
      </c>
      <c r="Z14" s="101">
        <v>100</v>
      </c>
    </row>
    <row r="15" spans="1:26" x14ac:dyDescent="0.25">
      <c r="A15" s="264">
        <v>11</v>
      </c>
      <c r="B15" s="256" t="s">
        <v>12</v>
      </c>
      <c r="C15" s="34">
        <v>140</v>
      </c>
      <c r="D15" s="35">
        <v>240</v>
      </c>
      <c r="E15" s="35">
        <v>10</v>
      </c>
      <c r="F15" s="19">
        <f t="shared" si="5"/>
        <v>0.33600000000000002</v>
      </c>
      <c r="G15" s="23">
        <v>56</v>
      </c>
      <c r="H15" s="26">
        <f t="shared" si="6"/>
        <v>18.816000000000003</v>
      </c>
      <c r="I15" s="21">
        <v>1</v>
      </c>
      <c r="J15" s="205">
        <f t="shared" si="0"/>
        <v>0.33600000000000002</v>
      </c>
      <c r="K15" s="21">
        <v>0</v>
      </c>
      <c r="L15" s="10">
        <f t="shared" si="1"/>
        <v>0</v>
      </c>
      <c r="M15" s="21">
        <v>17</v>
      </c>
      <c r="N15" s="205">
        <f t="shared" si="2"/>
        <v>5.7120000000000006</v>
      </c>
      <c r="O15" s="21">
        <v>0</v>
      </c>
      <c r="P15" s="10">
        <f t="shared" si="7"/>
        <v>0</v>
      </c>
      <c r="Q15" s="21">
        <v>0</v>
      </c>
      <c r="R15" s="205">
        <f t="shared" si="3"/>
        <v>0</v>
      </c>
      <c r="S15" s="39">
        <f t="shared" si="11"/>
        <v>38</v>
      </c>
      <c r="T15" s="38">
        <f t="shared" si="4"/>
        <v>12.768000000000001</v>
      </c>
      <c r="U15" s="21">
        <v>0</v>
      </c>
      <c r="V15" s="13">
        <f t="shared" si="8"/>
        <v>0</v>
      </c>
      <c r="W15" s="49">
        <f t="shared" si="9"/>
        <v>38</v>
      </c>
      <c r="X15" s="50">
        <f t="shared" si="10"/>
        <v>12.768000000000001</v>
      </c>
      <c r="Y15" s="238">
        <v>20</v>
      </c>
      <c r="Z15" s="101">
        <v>70</v>
      </c>
    </row>
    <row r="16" spans="1:26" x14ac:dyDescent="0.25">
      <c r="A16" s="264">
        <v>12</v>
      </c>
      <c r="B16" s="256" t="s">
        <v>13</v>
      </c>
      <c r="C16" s="34">
        <v>140</v>
      </c>
      <c r="D16" s="35">
        <v>240</v>
      </c>
      <c r="E16" s="35">
        <v>3</v>
      </c>
      <c r="F16" s="19">
        <f t="shared" si="5"/>
        <v>0.1008</v>
      </c>
      <c r="G16" s="23">
        <v>107</v>
      </c>
      <c r="H16" s="26">
        <f t="shared" si="6"/>
        <v>10.785600000000001</v>
      </c>
      <c r="I16" s="21">
        <v>3</v>
      </c>
      <c r="J16" s="205">
        <f t="shared" si="0"/>
        <v>0.3024</v>
      </c>
      <c r="K16" s="21">
        <v>11</v>
      </c>
      <c r="L16" s="10">
        <f t="shared" si="1"/>
        <v>1.1088</v>
      </c>
      <c r="M16" s="21">
        <v>15</v>
      </c>
      <c r="N16" s="205">
        <f t="shared" si="2"/>
        <v>1.512</v>
      </c>
      <c r="O16" s="21">
        <v>6</v>
      </c>
      <c r="P16" s="10">
        <f t="shared" si="7"/>
        <v>0.6048</v>
      </c>
      <c r="Q16" s="21">
        <v>0</v>
      </c>
      <c r="R16" s="205">
        <f t="shared" si="3"/>
        <v>0</v>
      </c>
      <c r="S16" s="39">
        <f t="shared" si="11"/>
        <v>72</v>
      </c>
      <c r="T16" s="38">
        <f t="shared" si="4"/>
        <v>7.2576000000000001</v>
      </c>
      <c r="U16" s="21">
        <v>0</v>
      </c>
      <c r="V16" s="13">
        <f t="shared" si="8"/>
        <v>0</v>
      </c>
      <c r="W16" s="49">
        <f t="shared" si="9"/>
        <v>72</v>
      </c>
      <c r="X16" s="50">
        <f t="shared" si="10"/>
        <v>7.2576000000000001</v>
      </c>
      <c r="Y16" s="238">
        <v>50</v>
      </c>
      <c r="Z16" s="101">
        <v>150</v>
      </c>
    </row>
    <row r="17" spans="1:26" x14ac:dyDescent="0.25">
      <c r="A17" s="264">
        <v>13</v>
      </c>
      <c r="B17" s="256" t="s">
        <v>14</v>
      </c>
      <c r="C17" s="34">
        <v>140</v>
      </c>
      <c r="D17" s="35">
        <v>240</v>
      </c>
      <c r="E17" s="35">
        <v>5</v>
      </c>
      <c r="F17" s="19">
        <f t="shared" si="5"/>
        <v>0.16800000000000001</v>
      </c>
      <c r="G17" s="23">
        <v>78</v>
      </c>
      <c r="H17" s="26">
        <f t="shared" si="6"/>
        <v>13.104000000000001</v>
      </c>
      <c r="I17" s="21">
        <v>0</v>
      </c>
      <c r="J17" s="205">
        <f t="shared" si="0"/>
        <v>0</v>
      </c>
      <c r="K17" s="21">
        <v>6</v>
      </c>
      <c r="L17" s="10">
        <f t="shared" si="1"/>
        <v>1.008</v>
      </c>
      <c r="M17" s="21">
        <v>0</v>
      </c>
      <c r="N17" s="205">
        <f t="shared" si="2"/>
        <v>0</v>
      </c>
      <c r="O17" s="21">
        <v>4</v>
      </c>
      <c r="P17" s="10">
        <f t="shared" si="7"/>
        <v>0.67200000000000004</v>
      </c>
      <c r="Q17" s="21">
        <v>0</v>
      </c>
      <c r="R17" s="205">
        <f t="shared" si="3"/>
        <v>0</v>
      </c>
      <c r="S17" s="39">
        <f t="shared" si="11"/>
        <v>68</v>
      </c>
      <c r="T17" s="38">
        <f t="shared" si="4"/>
        <v>11.424000000000001</v>
      </c>
      <c r="U17" s="21">
        <v>0</v>
      </c>
      <c r="V17" s="13">
        <f t="shared" si="8"/>
        <v>0</v>
      </c>
      <c r="W17" s="49">
        <f t="shared" si="9"/>
        <v>68</v>
      </c>
      <c r="X17" s="50">
        <f t="shared" si="10"/>
        <v>11.424000000000001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15</v>
      </c>
      <c r="C18" s="34">
        <v>140</v>
      </c>
      <c r="D18" s="35">
        <v>240</v>
      </c>
      <c r="E18" s="35">
        <v>3</v>
      </c>
      <c r="F18" s="19">
        <f t="shared" si="5"/>
        <v>0.1008</v>
      </c>
      <c r="G18" s="23">
        <f>'ARALIK 1 HAFTA'!W18</f>
        <v>0</v>
      </c>
      <c r="H18" s="26">
        <f t="shared" si="6"/>
        <v>0</v>
      </c>
      <c r="I18" s="21">
        <v>0</v>
      </c>
      <c r="J18" s="205">
        <f t="shared" si="0"/>
        <v>0</v>
      </c>
      <c r="K18" s="21">
        <v>0</v>
      </c>
      <c r="L18" s="10">
        <f t="shared" si="1"/>
        <v>0</v>
      </c>
      <c r="M18" s="21">
        <v>0</v>
      </c>
      <c r="N18" s="205">
        <f t="shared" si="2"/>
        <v>0</v>
      </c>
      <c r="O18" s="21">
        <v>0</v>
      </c>
      <c r="P18" s="10">
        <f t="shared" si="7"/>
        <v>0</v>
      </c>
      <c r="Q18" s="21">
        <v>0</v>
      </c>
      <c r="R18" s="205">
        <f t="shared" si="3"/>
        <v>0</v>
      </c>
      <c r="S18" s="39">
        <f t="shared" si="11"/>
        <v>0</v>
      </c>
      <c r="T18" s="38">
        <f t="shared" si="4"/>
        <v>0</v>
      </c>
      <c r="U18" s="21">
        <v>0</v>
      </c>
      <c r="V18" s="13">
        <f t="shared" si="8"/>
        <v>0</v>
      </c>
      <c r="W18" s="49">
        <f t="shared" si="9"/>
        <v>0</v>
      </c>
      <c r="X18" s="50">
        <f t="shared" si="10"/>
        <v>0</v>
      </c>
      <c r="Y18" s="238">
        <v>30</v>
      </c>
      <c r="Z18" s="101">
        <v>100</v>
      </c>
    </row>
    <row r="19" spans="1:26" x14ac:dyDescent="0.25">
      <c r="A19" s="264">
        <v>15</v>
      </c>
      <c r="B19" s="256" t="s">
        <v>16</v>
      </c>
      <c r="C19" s="34">
        <v>140</v>
      </c>
      <c r="D19" s="35">
        <v>240</v>
      </c>
      <c r="E19" s="35">
        <v>8</v>
      </c>
      <c r="F19" s="19">
        <f t="shared" si="5"/>
        <v>0.26879999999999998</v>
      </c>
      <c r="G19" s="23">
        <f>'ARALIK 1 HAFTA'!W19</f>
        <v>0</v>
      </c>
      <c r="H19" s="26">
        <f t="shared" si="6"/>
        <v>0</v>
      </c>
      <c r="I19" s="21">
        <v>0</v>
      </c>
      <c r="J19" s="205">
        <f t="shared" si="0"/>
        <v>0</v>
      </c>
      <c r="K19" s="21">
        <v>0</v>
      </c>
      <c r="L19" s="10">
        <f t="shared" si="1"/>
        <v>0</v>
      </c>
      <c r="M19" s="21">
        <v>0</v>
      </c>
      <c r="N19" s="205">
        <f t="shared" si="2"/>
        <v>0</v>
      </c>
      <c r="O19" s="21">
        <v>0</v>
      </c>
      <c r="P19" s="10">
        <f t="shared" si="7"/>
        <v>0</v>
      </c>
      <c r="Q19" s="21">
        <v>0</v>
      </c>
      <c r="R19" s="205">
        <f t="shared" si="3"/>
        <v>0</v>
      </c>
      <c r="S19" s="39">
        <f t="shared" si="11"/>
        <v>0</v>
      </c>
      <c r="T19" s="38">
        <f t="shared" si="4"/>
        <v>0</v>
      </c>
      <c r="U19" s="21">
        <v>0</v>
      </c>
      <c r="V19" s="13">
        <f t="shared" si="8"/>
        <v>0</v>
      </c>
      <c r="W19" s="49">
        <f t="shared" si="9"/>
        <v>0</v>
      </c>
      <c r="X19" s="50">
        <f t="shared" si="10"/>
        <v>0</v>
      </c>
      <c r="Y19" s="238">
        <v>10</v>
      </c>
      <c r="Z19" s="101">
        <v>30</v>
      </c>
    </row>
    <row r="20" spans="1:26" x14ac:dyDescent="0.25">
      <c r="A20" s="264">
        <v>16</v>
      </c>
      <c r="B20" s="256" t="s">
        <v>17</v>
      </c>
      <c r="C20" s="34">
        <v>140</v>
      </c>
      <c r="D20" s="35">
        <v>240</v>
      </c>
      <c r="E20" s="35">
        <v>8</v>
      </c>
      <c r="F20" s="19">
        <f t="shared" si="5"/>
        <v>0.26879999999999998</v>
      </c>
      <c r="G20" s="23">
        <f>'ARALIK 1 HAFTA'!W20</f>
        <v>0</v>
      </c>
      <c r="H20" s="26">
        <f t="shared" si="6"/>
        <v>0</v>
      </c>
      <c r="I20" s="21">
        <v>0</v>
      </c>
      <c r="J20" s="205">
        <f t="shared" si="0"/>
        <v>0</v>
      </c>
      <c r="K20" s="21">
        <v>0</v>
      </c>
      <c r="L20" s="10">
        <f t="shared" si="1"/>
        <v>0</v>
      </c>
      <c r="M20" s="21">
        <v>0</v>
      </c>
      <c r="N20" s="205">
        <f t="shared" si="2"/>
        <v>0</v>
      </c>
      <c r="O20" s="21">
        <v>0</v>
      </c>
      <c r="P20" s="10">
        <f t="shared" si="7"/>
        <v>0</v>
      </c>
      <c r="Q20" s="21">
        <v>0</v>
      </c>
      <c r="R20" s="205">
        <f t="shared" si="3"/>
        <v>0</v>
      </c>
      <c r="S20" s="39">
        <f t="shared" si="11"/>
        <v>0</v>
      </c>
      <c r="T20" s="38">
        <f t="shared" si="4"/>
        <v>0</v>
      </c>
      <c r="U20" s="21">
        <v>0</v>
      </c>
      <c r="V20" s="13">
        <f t="shared" si="8"/>
        <v>0</v>
      </c>
      <c r="W20" s="49">
        <f t="shared" si="9"/>
        <v>0</v>
      </c>
      <c r="X20" s="50">
        <f t="shared" si="10"/>
        <v>0</v>
      </c>
      <c r="Y20" s="238">
        <v>0</v>
      </c>
      <c r="Z20" s="101">
        <v>0</v>
      </c>
    </row>
    <row r="21" spans="1:26" x14ac:dyDescent="0.25">
      <c r="A21" s="264">
        <v>17</v>
      </c>
      <c r="B21" s="256" t="s">
        <v>19</v>
      </c>
      <c r="C21" s="34">
        <v>77</v>
      </c>
      <c r="D21" s="35">
        <v>55</v>
      </c>
      <c r="E21" s="35">
        <v>8</v>
      </c>
      <c r="F21" s="19">
        <f t="shared" si="5"/>
        <v>3.388E-2</v>
      </c>
      <c r="G21" s="23">
        <v>0</v>
      </c>
      <c r="H21" s="26">
        <f t="shared" si="6"/>
        <v>0</v>
      </c>
      <c r="I21" s="21">
        <v>0</v>
      </c>
      <c r="J21" s="205">
        <f t="shared" si="0"/>
        <v>0</v>
      </c>
      <c r="K21" s="21">
        <v>0</v>
      </c>
      <c r="L21" s="10">
        <f t="shared" si="1"/>
        <v>0</v>
      </c>
      <c r="M21" s="21">
        <v>0</v>
      </c>
      <c r="N21" s="205">
        <f t="shared" si="2"/>
        <v>0</v>
      </c>
      <c r="O21" s="21">
        <v>0</v>
      </c>
      <c r="P21" s="10">
        <f t="shared" si="7"/>
        <v>0</v>
      </c>
      <c r="Q21" s="21">
        <v>0</v>
      </c>
      <c r="R21" s="205">
        <f t="shared" si="3"/>
        <v>0</v>
      </c>
      <c r="S21" s="39">
        <f t="shared" si="11"/>
        <v>0</v>
      </c>
      <c r="T21" s="38">
        <f t="shared" si="4"/>
        <v>0</v>
      </c>
      <c r="U21" s="21">
        <v>0</v>
      </c>
      <c r="V21" s="13">
        <f t="shared" si="8"/>
        <v>0</v>
      </c>
      <c r="W21" s="49">
        <f t="shared" si="9"/>
        <v>0</v>
      </c>
      <c r="X21" s="50">
        <f t="shared" si="10"/>
        <v>0</v>
      </c>
      <c r="Y21" s="238">
        <v>0</v>
      </c>
      <c r="Z21" s="101">
        <v>0</v>
      </c>
    </row>
    <row r="22" spans="1:26" x14ac:dyDescent="0.25">
      <c r="A22" s="264">
        <v>18</v>
      </c>
      <c r="B22" s="256" t="s">
        <v>20</v>
      </c>
      <c r="C22" s="34">
        <v>65</v>
      </c>
      <c r="D22" s="35">
        <v>50</v>
      </c>
      <c r="E22" s="35">
        <v>12</v>
      </c>
      <c r="F22" s="19">
        <f t="shared" si="5"/>
        <v>3.9E-2</v>
      </c>
      <c r="G22" s="23">
        <f>'ARALIK 1 HAFTA'!W22</f>
        <v>26</v>
      </c>
      <c r="H22" s="26">
        <f t="shared" si="6"/>
        <v>1.014</v>
      </c>
      <c r="I22" s="21">
        <v>0</v>
      </c>
      <c r="J22" s="205">
        <f t="shared" si="0"/>
        <v>0</v>
      </c>
      <c r="K22" s="21">
        <v>0</v>
      </c>
      <c r="L22" s="10">
        <f t="shared" si="1"/>
        <v>0</v>
      </c>
      <c r="M22" s="21">
        <v>0</v>
      </c>
      <c r="N22" s="205">
        <f t="shared" si="2"/>
        <v>0</v>
      </c>
      <c r="O22" s="21">
        <v>0</v>
      </c>
      <c r="P22" s="10">
        <f t="shared" si="7"/>
        <v>0</v>
      </c>
      <c r="Q22" s="21">
        <v>0</v>
      </c>
      <c r="R22" s="205">
        <f t="shared" si="3"/>
        <v>0</v>
      </c>
      <c r="S22" s="39">
        <f t="shared" si="11"/>
        <v>26</v>
      </c>
      <c r="T22" s="38">
        <f t="shared" si="4"/>
        <v>1.014</v>
      </c>
      <c r="U22" s="21">
        <v>0</v>
      </c>
      <c r="V22" s="13">
        <f t="shared" si="8"/>
        <v>0</v>
      </c>
      <c r="W22" s="49">
        <f t="shared" si="9"/>
        <v>26</v>
      </c>
      <c r="X22" s="50">
        <f t="shared" si="10"/>
        <v>1.014</v>
      </c>
      <c r="Y22" s="238">
        <v>0</v>
      </c>
      <c r="Z22" s="101">
        <v>0</v>
      </c>
    </row>
    <row r="23" spans="1:26" x14ac:dyDescent="0.25">
      <c r="A23" s="264">
        <v>19</v>
      </c>
      <c r="B23" s="42" t="s">
        <v>103</v>
      </c>
      <c r="C23" s="34">
        <v>58</v>
      </c>
      <c r="D23" s="35">
        <v>58</v>
      </c>
      <c r="E23" s="35">
        <v>5</v>
      </c>
      <c r="F23" s="19">
        <f t="shared" si="5"/>
        <v>1.6820000000000002E-2</v>
      </c>
      <c r="G23" s="23">
        <v>87</v>
      </c>
      <c r="H23" s="26">
        <f t="shared" si="6"/>
        <v>1.4633400000000001</v>
      </c>
      <c r="I23" s="21">
        <v>0</v>
      </c>
      <c r="J23" s="205">
        <f t="shared" si="0"/>
        <v>0</v>
      </c>
      <c r="K23" s="21">
        <v>0</v>
      </c>
      <c r="L23" s="10">
        <f t="shared" si="1"/>
        <v>0</v>
      </c>
      <c r="M23" s="21">
        <v>0</v>
      </c>
      <c r="N23" s="205">
        <f t="shared" si="2"/>
        <v>0</v>
      </c>
      <c r="O23" s="21">
        <v>0</v>
      </c>
      <c r="P23" s="10">
        <f t="shared" si="7"/>
        <v>0</v>
      </c>
      <c r="Q23" s="21">
        <v>0</v>
      </c>
      <c r="R23" s="205">
        <f t="shared" si="3"/>
        <v>0</v>
      </c>
      <c r="S23" s="39">
        <f t="shared" si="11"/>
        <v>87</v>
      </c>
      <c r="T23" s="38">
        <f t="shared" si="4"/>
        <v>1.4633400000000001</v>
      </c>
      <c r="U23" s="21">
        <v>0</v>
      </c>
      <c r="V23" s="13">
        <f t="shared" si="8"/>
        <v>0</v>
      </c>
      <c r="W23" s="49">
        <f t="shared" si="9"/>
        <v>87</v>
      </c>
      <c r="X23" s="50">
        <f t="shared" si="10"/>
        <v>1.4633400000000001</v>
      </c>
      <c r="Y23" s="238">
        <v>0</v>
      </c>
      <c r="Z23" s="101">
        <v>0</v>
      </c>
    </row>
    <row r="24" spans="1:26" x14ac:dyDescent="0.25">
      <c r="A24" s="264">
        <v>20</v>
      </c>
      <c r="B24" s="256" t="s">
        <v>22</v>
      </c>
      <c r="C24" s="34">
        <v>66</v>
      </c>
      <c r="D24" s="35">
        <v>56</v>
      </c>
      <c r="E24" s="35">
        <v>12</v>
      </c>
      <c r="F24" s="19">
        <f t="shared" si="5"/>
        <v>4.4352000000000003E-2</v>
      </c>
      <c r="G24" s="23">
        <f>'ARALIK 1 HAFTA'!W24</f>
        <v>28</v>
      </c>
      <c r="H24" s="26">
        <f t="shared" si="6"/>
        <v>1.2418560000000001</v>
      </c>
      <c r="I24" s="21">
        <v>0</v>
      </c>
      <c r="J24" s="205">
        <f t="shared" si="0"/>
        <v>0</v>
      </c>
      <c r="K24" s="21">
        <v>0</v>
      </c>
      <c r="L24" s="10">
        <f t="shared" si="1"/>
        <v>0</v>
      </c>
      <c r="M24" s="21">
        <v>0</v>
      </c>
      <c r="N24" s="205">
        <f t="shared" si="2"/>
        <v>0</v>
      </c>
      <c r="O24" s="21">
        <v>0</v>
      </c>
      <c r="P24" s="10">
        <f t="shared" si="7"/>
        <v>0</v>
      </c>
      <c r="Q24" s="21">
        <v>0</v>
      </c>
      <c r="R24" s="205">
        <f t="shared" si="3"/>
        <v>0</v>
      </c>
      <c r="S24" s="39">
        <f t="shared" si="11"/>
        <v>28</v>
      </c>
      <c r="T24" s="38">
        <f t="shared" si="4"/>
        <v>1.2418560000000001</v>
      </c>
      <c r="U24" s="21">
        <v>0</v>
      </c>
      <c r="V24" s="13">
        <f t="shared" si="8"/>
        <v>0</v>
      </c>
      <c r="W24" s="49">
        <f t="shared" si="9"/>
        <v>28</v>
      </c>
      <c r="X24" s="50">
        <f t="shared" si="10"/>
        <v>1.2418560000000001</v>
      </c>
      <c r="Y24" s="238">
        <v>0</v>
      </c>
      <c r="Z24" s="101">
        <v>0</v>
      </c>
    </row>
    <row r="25" spans="1:26" x14ac:dyDescent="0.25">
      <c r="A25" s="264">
        <v>21</v>
      </c>
      <c r="B25" s="256" t="s">
        <v>102</v>
      </c>
      <c r="C25" s="34">
        <v>61.5</v>
      </c>
      <c r="D25" s="35">
        <v>61.5</v>
      </c>
      <c r="E25" s="35">
        <v>10</v>
      </c>
      <c r="F25" s="19">
        <f t="shared" si="5"/>
        <v>3.7822500000000002E-2</v>
      </c>
      <c r="G25" s="23">
        <f>'ARALIK 1 HAFTA'!W25</f>
        <v>0</v>
      </c>
      <c r="H25" s="26">
        <f t="shared" si="6"/>
        <v>0</v>
      </c>
      <c r="I25" s="21">
        <v>0</v>
      </c>
      <c r="J25" s="205">
        <f t="shared" si="0"/>
        <v>0</v>
      </c>
      <c r="K25" s="21">
        <v>0</v>
      </c>
      <c r="L25" s="10">
        <f t="shared" si="1"/>
        <v>0</v>
      </c>
      <c r="M25" s="21">
        <v>0</v>
      </c>
      <c r="N25" s="205">
        <f t="shared" si="2"/>
        <v>0</v>
      </c>
      <c r="O25" s="21">
        <v>0</v>
      </c>
      <c r="P25" s="10">
        <f t="shared" si="7"/>
        <v>0</v>
      </c>
      <c r="Q25" s="21">
        <v>0</v>
      </c>
      <c r="R25" s="205">
        <f t="shared" si="3"/>
        <v>0</v>
      </c>
      <c r="S25" s="39">
        <f t="shared" si="11"/>
        <v>0</v>
      </c>
      <c r="T25" s="38">
        <f t="shared" si="4"/>
        <v>0</v>
      </c>
      <c r="U25" s="21">
        <v>0</v>
      </c>
      <c r="V25" s="13">
        <f t="shared" si="8"/>
        <v>0</v>
      </c>
      <c r="W25" s="49">
        <f t="shared" si="9"/>
        <v>0</v>
      </c>
      <c r="X25" s="50">
        <f t="shared" si="10"/>
        <v>0</v>
      </c>
      <c r="Y25" s="238">
        <v>30</v>
      </c>
      <c r="Z25" s="101">
        <v>100</v>
      </c>
    </row>
    <row r="26" spans="1:26" x14ac:dyDescent="0.25">
      <c r="A26" s="264">
        <v>22</v>
      </c>
      <c r="B26" s="256" t="s">
        <v>24</v>
      </c>
      <c r="C26" s="34">
        <v>82</v>
      </c>
      <c r="D26" s="35">
        <v>67</v>
      </c>
      <c r="E26" s="35">
        <v>5</v>
      </c>
      <c r="F26" s="19">
        <f t="shared" si="5"/>
        <v>2.7470000000000001E-2</v>
      </c>
      <c r="G26" s="23">
        <f>'ARALIK 1 HAFTA'!W26</f>
        <v>30</v>
      </c>
      <c r="H26" s="26">
        <f t="shared" si="6"/>
        <v>0.82410000000000005</v>
      </c>
      <c r="I26" s="21">
        <v>0</v>
      </c>
      <c r="J26" s="205">
        <f t="shared" si="0"/>
        <v>0</v>
      </c>
      <c r="K26" s="21">
        <v>0</v>
      </c>
      <c r="L26" s="10">
        <f t="shared" si="1"/>
        <v>0</v>
      </c>
      <c r="M26" s="21">
        <v>0</v>
      </c>
      <c r="N26" s="205">
        <f t="shared" si="2"/>
        <v>0</v>
      </c>
      <c r="O26" s="21">
        <v>0</v>
      </c>
      <c r="P26" s="10">
        <f t="shared" si="7"/>
        <v>0</v>
      </c>
      <c r="Q26" s="21">
        <v>0</v>
      </c>
      <c r="R26" s="205">
        <f t="shared" si="3"/>
        <v>0</v>
      </c>
      <c r="S26" s="39">
        <f t="shared" si="11"/>
        <v>30</v>
      </c>
      <c r="T26" s="38">
        <f t="shared" si="4"/>
        <v>0.82410000000000005</v>
      </c>
      <c r="U26" s="21">
        <v>0</v>
      </c>
      <c r="V26" s="13">
        <f t="shared" si="8"/>
        <v>0</v>
      </c>
      <c r="W26" s="49">
        <f t="shared" si="9"/>
        <v>30</v>
      </c>
      <c r="X26" s="50">
        <f t="shared" si="10"/>
        <v>0.82410000000000005</v>
      </c>
      <c r="Y26" s="238">
        <v>0</v>
      </c>
      <c r="Z26" s="101">
        <v>0</v>
      </c>
    </row>
    <row r="27" spans="1:26" x14ac:dyDescent="0.25">
      <c r="A27" s="264">
        <v>23</v>
      </c>
      <c r="B27" s="256" t="s">
        <v>25</v>
      </c>
      <c r="C27" s="34">
        <v>80</v>
      </c>
      <c r="D27" s="35">
        <v>62</v>
      </c>
      <c r="E27" s="35">
        <v>2</v>
      </c>
      <c r="F27" s="19">
        <f t="shared" si="5"/>
        <v>9.92E-3</v>
      </c>
      <c r="G27" s="23">
        <f>'ARALIK 1 HAFTA'!W27</f>
        <v>36</v>
      </c>
      <c r="H27" s="26">
        <f t="shared" si="6"/>
        <v>0.35711999999999999</v>
      </c>
      <c r="I27" s="21">
        <v>0</v>
      </c>
      <c r="J27" s="205">
        <f t="shared" si="0"/>
        <v>0</v>
      </c>
      <c r="K27" s="21">
        <v>0</v>
      </c>
      <c r="L27" s="10">
        <f t="shared" si="1"/>
        <v>0</v>
      </c>
      <c r="M27" s="21">
        <v>0</v>
      </c>
      <c r="N27" s="205">
        <f t="shared" si="2"/>
        <v>0</v>
      </c>
      <c r="O27" s="21">
        <v>0</v>
      </c>
      <c r="P27" s="10">
        <f t="shared" si="7"/>
        <v>0</v>
      </c>
      <c r="Q27" s="21">
        <v>0</v>
      </c>
      <c r="R27" s="205">
        <f t="shared" si="3"/>
        <v>0</v>
      </c>
      <c r="S27" s="39">
        <f t="shared" si="11"/>
        <v>36</v>
      </c>
      <c r="T27" s="38">
        <f t="shared" si="4"/>
        <v>0.35711999999999999</v>
      </c>
      <c r="U27" s="21">
        <v>0</v>
      </c>
      <c r="V27" s="13">
        <f t="shared" si="8"/>
        <v>0</v>
      </c>
      <c r="W27" s="49">
        <f t="shared" si="9"/>
        <v>36</v>
      </c>
      <c r="X27" s="50">
        <f t="shared" si="10"/>
        <v>0.35711999999999999</v>
      </c>
      <c r="Y27" s="238">
        <v>0</v>
      </c>
      <c r="Z27" s="101">
        <v>0</v>
      </c>
    </row>
    <row r="28" spans="1:26" x14ac:dyDescent="0.25">
      <c r="A28" s="264">
        <v>24</v>
      </c>
      <c r="B28" s="256" t="s">
        <v>26</v>
      </c>
      <c r="C28" s="34">
        <v>63</v>
      </c>
      <c r="D28" s="35">
        <v>55</v>
      </c>
      <c r="E28" s="35">
        <v>5</v>
      </c>
      <c r="F28" s="19">
        <f t="shared" si="5"/>
        <v>1.7325E-2</v>
      </c>
      <c r="G28" s="23">
        <f>'ARALIK 1 HAFTA'!W28</f>
        <v>7</v>
      </c>
      <c r="H28" s="26">
        <f t="shared" si="6"/>
        <v>0.12127499999999999</v>
      </c>
      <c r="I28" s="21">
        <v>0</v>
      </c>
      <c r="J28" s="205">
        <f t="shared" si="0"/>
        <v>0</v>
      </c>
      <c r="K28" s="21">
        <v>0</v>
      </c>
      <c r="L28" s="10">
        <f t="shared" si="1"/>
        <v>0</v>
      </c>
      <c r="M28" s="21">
        <v>0</v>
      </c>
      <c r="N28" s="205">
        <f t="shared" si="2"/>
        <v>0</v>
      </c>
      <c r="O28" s="21">
        <v>0</v>
      </c>
      <c r="P28" s="10">
        <f t="shared" si="7"/>
        <v>0</v>
      </c>
      <c r="Q28" s="21">
        <v>0</v>
      </c>
      <c r="R28" s="205">
        <f t="shared" si="3"/>
        <v>0</v>
      </c>
      <c r="S28" s="39">
        <f t="shared" si="11"/>
        <v>7</v>
      </c>
      <c r="T28" s="38">
        <f t="shared" si="4"/>
        <v>0.12127499999999999</v>
      </c>
      <c r="U28" s="21">
        <v>0</v>
      </c>
      <c r="V28" s="13">
        <f t="shared" si="8"/>
        <v>0</v>
      </c>
      <c r="W28" s="49">
        <f t="shared" si="9"/>
        <v>7</v>
      </c>
      <c r="X28" s="50">
        <f t="shared" si="10"/>
        <v>0.12127499999999999</v>
      </c>
      <c r="Y28" s="238">
        <v>0</v>
      </c>
      <c r="Z28" s="101">
        <v>0</v>
      </c>
    </row>
    <row r="29" spans="1:26" x14ac:dyDescent="0.25">
      <c r="A29" s="264">
        <v>25</v>
      </c>
      <c r="B29" s="256" t="s">
        <v>27</v>
      </c>
      <c r="C29" s="34">
        <v>140</v>
      </c>
      <c r="D29" s="35">
        <v>240</v>
      </c>
      <c r="E29" s="35">
        <v>5</v>
      </c>
      <c r="F29" s="19">
        <f t="shared" si="5"/>
        <v>0.16800000000000001</v>
      </c>
      <c r="G29" s="23">
        <f>'ARALIK 1 HAFTA'!W29</f>
        <v>6</v>
      </c>
      <c r="H29" s="26">
        <f t="shared" si="6"/>
        <v>1.008</v>
      </c>
      <c r="I29" s="21">
        <v>0</v>
      </c>
      <c r="J29" s="205">
        <f t="shared" si="0"/>
        <v>0</v>
      </c>
      <c r="K29" s="21">
        <v>0</v>
      </c>
      <c r="L29" s="10">
        <f t="shared" si="1"/>
        <v>0</v>
      </c>
      <c r="M29" s="21">
        <v>0</v>
      </c>
      <c r="N29" s="205">
        <f t="shared" si="2"/>
        <v>0</v>
      </c>
      <c r="O29" s="21">
        <v>0</v>
      </c>
      <c r="P29" s="10">
        <f t="shared" si="7"/>
        <v>0</v>
      </c>
      <c r="Q29" s="21">
        <v>0</v>
      </c>
      <c r="R29" s="205">
        <f t="shared" si="3"/>
        <v>0</v>
      </c>
      <c r="S29" s="39">
        <f t="shared" si="11"/>
        <v>6</v>
      </c>
      <c r="T29" s="38">
        <f t="shared" si="4"/>
        <v>1.008</v>
      </c>
      <c r="U29" s="21">
        <v>0</v>
      </c>
      <c r="V29" s="13">
        <f t="shared" si="8"/>
        <v>0</v>
      </c>
      <c r="W29" s="49">
        <f t="shared" si="9"/>
        <v>6</v>
      </c>
      <c r="X29" s="50">
        <f t="shared" si="10"/>
        <v>1.008</v>
      </c>
      <c r="Y29" s="238">
        <v>0</v>
      </c>
      <c r="Z29" s="101">
        <v>0</v>
      </c>
    </row>
    <row r="30" spans="1:26" x14ac:dyDescent="0.25">
      <c r="A30" s="264">
        <v>26</v>
      </c>
      <c r="B30" s="256" t="s">
        <v>112</v>
      </c>
      <c r="C30" s="34">
        <v>140</v>
      </c>
      <c r="D30" s="35">
        <v>240</v>
      </c>
      <c r="E30" s="35">
        <v>10</v>
      </c>
      <c r="F30" s="19">
        <f t="shared" si="5"/>
        <v>0.33600000000000002</v>
      </c>
      <c r="G30" s="23">
        <v>45</v>
      </c>
      <c r="H30" s="26">
        <f t="shared" si="6"/>
        <v>15.120000000000001</v>
      </c>
      <c r="I30" s="21">
        <v>14</v>
      </c>
      <c r="J30" s="205">
        <f t="shared" si="0"/>
        <v>4.7040000000000006</v>
      </c>
      <c r="K30" s="21">
        <v>2</v>
      </c>
      <c r="L30" s="10">
        <f t="shared" si="1"/>
        <v>0.67200000000000004</v>
      </c>
      <c r="M30" s="21">
        <v>1</v>
      </c>
      <c r="N30" s="205">
        <f t="shared" si="2"/>
        <v>0.33600000000000002</v>
      </c>
      <c r="O30" s="21">
        <v>0</v>
      </c>
      <c r="P30" s="10">
        <f t="shared" si="7"/>
        <v>0</v>
      </c>
      <c r="Q30" s="21">
        <v>3</v>
      </c>
      <c r="R30" s="205">
        <f t="shared" si="3"/>
        <v>1.008</v>
      </c>
      <c r="S30" s="39">
        <f t="shared" si="11"/>
        <v>25</v>
      </c>
      <c r="T30" s="38">
        <f t="shared" si="4"/>
        <v>8.4</v>
      </c>
      <c r="U30" s="21">
        <v>0</v>
      </c>
      <c r="V30" s="13">
        <f t="shared" si="8"/>
        <v>0</v>
      </c>
      <c r="W30" s="49">
        <f t="shared" si="9"/>
        <v>25</v>
      </c>
      <c r="X30" s="50">
        <f t="shared" si="10"/>
        <v>8.4</v>
      </c>
      <c r="Y30" s="238">
        <v>0</v>
      </c>
      <c r="Z30" s="101">
        <v>0</v>
      </c>
    </row>
    <row r="31" spans="1:26" x14ac:dyDescent="0.25">
      <c r="A31" s="264">
        <v>27</v>
      </c>
      <c r="B31" s="256" t="s">
        <v>29</v>
      </c>
      <c r="C31" s="34">
        <v>140</v>
      </c>
      <c r="D31" s="35">
        <v>240</v>
      </c>
      <c r="E31" s="35">
        <v>3</v>
      </c>
      <c r="F31" s="19">
        <f t="shared" si="5"/>
        <v>0.1008</v>
      </c>
      <c r="G31" s="23">
        <f>'ARALIK 1 HAFTA'!W31</f>
        <v>26</v>
      </c>
      <c r="H31" s="26">
        <f t="shared" si="6"/>
        <v>2.6208</v>
      </c>
      <c r="I31" s="21">
        <v>0</v>
      </c>
      <c r="J31" s="205">
        <f t="shared" si="0"/>
        <v>0</v>
      </c>
      <c r="K31" s="21">
        <v>0</v>
      </c>
      <c r="L31" s="10">
        <f t="shared" si="1"/>
        <v>0</v>
      </c>
      <c r="M31" s="21">
        <v>0</v>
      </c>
      <c r="N31" s="205">
        <f t="shared" si="2"/>
        <v>0</v>
      </c>
      <c r="O31" s="21">
        <v>0</v>
      </c>
      <c r="P31" s="10">
        <f t="shared" si="7"/>
        <v>0</v>
      </c>
      <c r="Q31" s="21">
        <v>0</v>
      </c>
      <c r="R31" s="205">
        <f t="shared" si="3"/>
        <v>0</v>
      </c>
      <c r="S31" s="39">
        <f t="shared" si="11"/>
        <v>26</v>
      </c>
      <c r="T31" s="38">
        <f t="shared" si="4"/>
        <v>2.6208</v>
      </c>
      <c r="U31" s="21">
        <v>0</v>
      </c>
      <c r="V31" s="13">
        <f t="shared" si="8"/>
        <v>0</v>
      </c>
      <c r="W31" s="49">
        <f t="shared" si="9"/>
        <v>26</v>
      </c>
      <c r="X31" s="50">
        <f t="shared" si="10"/>
        <v>2.6208</v>
      </c>
      <c r="Y31" s="238">
        <v>0</v>
      </c>
      <c r="Z31" s="101">
        <v>0</v>
      </c>
    </row>
    <row r="32" spans="1:26" x14ac:dyDescent="0.25">
      <c r="A32" s="264">
        <v>28</v>
      </c>
      <c r="B32" s="256" t="s">
        <v>30</v>
      </c>
      <c r="C32" s="34">
        <v>90</v>
      </c>
      <c r="D32" s="35">
        <v>80</v>
      </c>
      <c r="E32" s="35">
        <v>8</v>
      </c>
      <c r="F32" s="19">
        <f t="shared" si="5"/>
        <v>5.7599999999999998E-2</v>
      </c>
      <c r="G32" s="23">
        <f>'ARALIK 1 HAFTA'!W32</f>
        <v>0</v>
      </c>
      <c r="H32" s="26">
        <f t="shared" si="6"/>
        <v>0</v>
      </c>
      <c r="I32" s="21">
        <v>0</v>
      </c>
      <c r="J32" s="205">
        <f t="shared" si="0"/>
        <v>0</v>
      </c>
      <c r="K32" s="21">
        <v>0</v>
      </c>
      <c r="L32" s="10">
        <f t="shared" si="1"/>
        <v>0</v>
      </c>
      <c r="M32" s="21">
        <v>0</v>
      </c>
      <c r="N32" s="205">
        <f t="shared" si="2"/>
        <v>0</v>
      </c>
      <c r="O32" s="21">
        <v>0</v>
      </c>
      <c r="P32" s="10">
        <f t="shared" si="7"/>
        <v>0</v>
      </c>
      <c r="Q32" s="21">
        <v>0</v>
      </c>
      <c r="R32" s="205">
        <f t="shared" si="3"/>
        <v>0</v>
      </c>
      <c r="S32" s="39">
        <f t="shared" si="11"/>
        <v>0</v>
      </c>
      <c r="T32" s="38">
        <f t="shared" si="4"/>
        <v>0</v>
      </c>
      <c r="U32" s="21">
        <v>0</v>
      </c>
      <c r="V32" s="13">
        <f t="shared" si="8"/>
        <v>0</v>
      </c>
      <c r="W32" s="49">
        <f t="shared" si="9"/>
        <v>0</v>
      </c>
      <c r="X32" s="50">
        <f t="shared" si="10"/>
        <v>0</v>
      </c>
      <c r="Y32" s="238">
        <v>0</v>
      </c>
      <c r="Z32" s="101">
        <v>0</v>
      </c>
    </row>
    <row r="33" spans="1:26" x14ac:dyDescent="0.25">
      <c r="A33" s="264">
        <v>29</v>
      </c>
      <c r="B33" s="256" t="s">
        <v>31</v>
      </c>
      <c r="C33" s="34">
        <v>90</v>
      </c>
      <c r="D33" s="35">
        <v>80</v>
      </c>
      <c r="E33" s="35">
        <v>8</v>
      </c>
      <c r="F33" s="19">
        <f t="shared" si="5"/>
        <v>5.7599999999999998E-2</v>
      </c>
      <c r="G33" s="23">
        <f>'ARALIK 1 HAFTA'!W33</f>
        <v>0</v>
      </c>
      <c r="H33" s="26">
        <f t="shared" si="6"/>
        <v>0</v>
      </c>
      <c r="I33" s="21">
        <v>0</v>
      </c>
      <c r="J33" s="205">
        <f t="shared" si="0"/>
        <v>0</v>
      </c>
      <c r="K33" s="21">
        <v>0</v>
      </c>
      <c r="L33" s="10">
        <f t="shared" si="1"/>
        <v>0</v>
      </c>
      <c r="M33" s="21">
        <v>0</v>
      </c>
      <c r="N33" s="205">
        <f t="shared" si="2"/>
        <v>0</v>
      </c>
      <c r="O33" s="21">
        <v>0</v>
      </c>
      <c r="P33" s="10">
        <f t="shared" si="7"/>
        <v>0</v>
      </c>
      <c r="Q33" s="21">
        <v>0</v>
      </c>
      <c r="R33" s="205">
        <f t="shared" si="3"/>
        <v>0</v>
      </c>
      <c r="S33" s="39">
        <f t="shared" si="11"/>
        <v>0</v>
      </c>
      <c r="T33" s="38">
        <f t="shared" si="4"/>
        <v>0</v>
      </c>
      <c r="U33" s="21">
        <v>0</v>
      </c>
      <c r="V33" s="13">
        <f t="shared" si="8"/>
        <v>0</v>
      </c>
      <c r="W33" s="49">
        <f t="shared" si="9"/>
        <v>0</v>
      </c>
      <c r="X33" s="50">
        <f t="shared" si="10"/>
        <v>0</v>
      </c>
      <c r="Y33" s="238">
        <v>0</v>
      </c>
      <c r="Z33" s="101">
        <v>0</v>
      </c>
    </row>
    <row r="34" spans="1:26" x14ac:dyDescent="0.25">
      <c r="A34" s="264">
        <v>30</v>
      </c>
      <c r="B34" s="256" t="s">
        <v>32</v>
      </c>
      <c r="C34" s="34"/>
      <c r="D34" s="35"/>
      <c r="E34" s="35"/>
      <c r="F34" s="19">
        <f t="shared" si="5"/>
        <v>0</v>
      </c>
      <c r="G34" s="23">
        <f>'ARALIK 1 HAFTA'!W34</f>
        <v>300</v>
      </c>
      <c r="H34" s="26">
        <f t="shared" si="6"/>
        <v>0</v>
      </c>
      <c r="I34" s="21">
        <v>0</v>
      </c>
      <c r="J34" s="205">
        <f t="shared" si="0"/>
        <v>0</v>
      </c>
      <c r="K34" s="21">
        <v>0</v>
      </c>
      <c r="L34" s="10">
        <f t="shared" si="1"/>
        <v>0</v>
      </c>
      <c r="M34" s="21">
        <v>0</v>
      </c>
      <c r="N34" s="205">
        <f t="shared" si="2"/>
        <v>0</v>
      </c>
      <c r="O34" s="21">
        <v>0</v>
      </c>
      <c r="P34" s="10">
        <f t="shared" si="7"/>
        <v>0</v>
      </c>
      <c r="Q34" s="21">
        <v>0</v>
      </c>
      <c r="R34" s="205">
        <f t="shared" si="3"/>
        <v>0</v>
      </c>
      <c r="S34" s="39">
        <f t="shared" si="11"/>
        <v>300</v>
      </c>
      <c r="T34" s="38">
        <f t="shared" si="4"/>
        <v>0</v>
      </c>
      <c r="U34" s="21">
        <v>0</v>
      </c>
      <c r="V34" s="13">
        <f t="shared" si="8"/>
        <v>0</v>
      </c>
      <c r="W34" s="49">
        <f t="shared" si="9"/>
        <v>300</v>
      </c>
      <c r="X34" s="50">
        <f t="shared" si="10"/>
        <v>0</v>
      </c>
      <c r="Y34" s="238">
        <v>0</v>
      </c>
      <c r="Z34" s="101">
        <v>0</v>
      </c>
    </row>
    <row r="35" spans="1:26" x14ac:dyDescent="0.25">
      <c r="A35" s="264">
        <v>31</v>
      </c>
      <c r="B35" s="256" t="s">
        <v>33</v>
      </c>
      <c r="C35" s="34">
        <v>80</v>
      </c>
      <c r="D35" s="35">
        <v>66</v>
      </c>
      <c r="E35" s="35">
        <v>5</v>
      </c>
      <c r="F35" s="19">
        <f t="shared" si="5"/>
        <v>2.64E-2</v>
      </c>
      <c r="G35" s="23">
        <f>'ARALIK 1 HAFTA'!W35</f>
        <v>56</v>
      </c>
      <c r="H35" s="26">
        <f t="shared" si="6"/>
        <v>1.4783999999999999</v>
      </c>
      <c r="I35" s="21">
        <v>0</v>
      </c>
      <c r="J35" s="205">
        <f t="shared" si="0"/>
        <v>0</v>
      </c>
      <c r="K35" s="21">
        <v>0</v>
      </c>
      <c r="L35" s="10">
        <f t="shared" si="1"/>
        <v>0</v>
      </c>
      <c r="M35" s="21">
        <v>0</v>
      </c>
      <c r="N35" s="205">
        <f t="shared" si="2"/>
        <v>0</v>
      </c>
      <c r="O35" s="21">
        <v>0</v>
      </c>
      <c r="P35" s="10">
        <f t="shared" si="7"/>
        <v>0</v>
      </c>
      <c r="Q35" s="21">
        <v>0</v>
      </c>
      <c r="R35" s="205">
        <f t="shared" si="3"/>
        <v>0</v>
      </c>
      <c r="S35" s="39">
        <f t="shared" si="11"/>
        <v>56</v>
      </c>
      <c r="T35" s="38">
        <f t="shared" si="4"/>
        <v>1.4783999999999999</v>
      </c>
      <c r="U35" s="21">
        <v>0</v>
      </c>
      <c r="V35" s="13">
        <f t="shared" si="8"/>
        <v>0</v>
      </c>
      <c r="W35" s="49">
        <f t="shared" si="9"/>
        <v>56</v>
      </c>
      <c r="X35" s="50">
        <f t="shared" si="10"/>
        <v>1.4783999999999999</v>
      </c>
      <c r="Y35" s="238">
        <v>0</v>
      </c>
      <c r="Z35" s="101">
        <v>0</v>
      </c>
    </row>
    <row r="36" spans="1:26" x14ac:dyDescent="0.25">
      <c r="A36" s="264">
        <v>32</v>
      </c>
      <c r="B36" s="256" t="s">
        <v>110</v>
      </c>
      <c r="C36" s="34">
        <v>60</v>
      </c>
      <c r="D36" s="35">
        <v>62</v>
      </c>
      <c r="E36" s="35">
        <v>5</v>
      </c>
      <c r="F36" s="19">
        <f t="shared" si="5"/>
        <v>1.8599999999999998E-2</v>
      </c>
      <c r="G36" s="23">
        <f>'ARALIK 1 HAFTA'!W36</f>
        <v>15</v>
      </c>
      <c r="H36" s="26">
        <f t="shared" si="6"/>
        <v>0.27899999999999997</v>
      </c>
      <c r="I36" s="21">
        <v>5</v>
      </c>
      <c r="J36" s="205">
        <f t="shared" si="0"/>
        <v>9.2999999999999999E-2</v>
      </c>
      <c r="K36" s="21">
        <v>0</v>
      </c>
      <c r="L36" s="10">
        <f t="shared" si="1"/>
        <v>0</v>
      </c>
      <c r="M36" s="21">
        <v>0</v>
      </c>
      <c r="N36" s="205">
        <f t="shared" si="2"/>
        <v>0</v>
      </c>
      <c r="O36" s="21">
        <v>10</v>
      </c>
      <c r="P36" s="10">
        <f t="shared" si="7"/>
        <v>0.186</v>
      </c>
      <c r="Q36" s="21">
        <v>0</v>
      </c>
      <c r="R36" s="205">
        <f t="shared" si="3"/>
        <v>0</v>
      </c>
      <c r="S36" s="39">
        <f t="shared" si="11"/>
        <v>0</v>
      </c>
      <c r="T36" s="38">
        <f t="shared" si="4"/>
        <v>0</v>
      </c>
      <c r="U36" s="21">
        <v>0</v>
      </c>
      <c r="V36" s="13">
        <f t="shared" si="8"/>
        <v>0</v>
      </c>
      <c r="W36" s="49">
        <f t="shared" si="9"/>
        <v>0</v>
      </c>
      <c r="X36" s="50">
        <f t="shared" si="10"/>
        <v>0</v>
      </c>
      <c r="Y36" s="238">
        <v>0</v>
      </c>
      <c r="Z36" s="101">
        <v>0</v>
      </c>
    </row>
    <row r="37" spans="1:26" x14ac:dyDescent="0.25">
      <c r="A37" s="264">
        <v>33</v>
      </c>
      <c r="B37" s="256" t="s">
        <v>41</v>
      </c>
      <c r="C37" s="34">
        <v>60</v>
      </c>
      <c r="D37" s="35">
        <v>67</v>
      </c>
      <c r="E37" s="35">
        <v>3</v>
      </c>
      <c r="F37" s="19">
        <f t="shared" si="5"/>
        <v>1.206E-2</v>
      </c>
      <c r="G37" s="23">
        <f>'ARALIK 1 HAFTA'!W37</f>
        <v>12</v>
      </c>
      <c r="H37" s="26">
        <f t="shared" si="6"/>
        <v>0.14471999999999999</v>
      </c>
      <c r="I37" s="21">
        <v>0</v>
      </c>
      <c r="J37" s="205">
        <f t="shared" si="0"/>
        <v>0</v>
      </c>
      <c r="K37" s="21">
        <v>0</v>
      </c>
      <c r="L37" s="10">
        <f t="shared" si="1"/>
        <v>0</v>
      </c>
      <c r="M37" s="21">
        <v>0</v>
      </c>
      <c r="N37" s="205">
        <f t="shared" si="2"/>
        <v>0</v>
      </c>
      <c r="O37" s="21">
        <v>0</v>
      </c>
      <c r="P37" s="10">
        <f t="shared" si="7"/>
        <v>0</v>
      </c>
      <c r="Q37" s="21">
        <v>0</v>
      </c>
      <c r="R37" s="205">
        <f t="shared" si="3"/>
        <v>0</v>
      </c>
      <c r="S37" s="39">
        <f t="shared" si="11"/>
        <v>12</v>
      </c>
      <c r="T37" s="38">
        <f t="shared" si="4"/>
        <v>0.14471999999999999</v>
      </c>
      <c r="U37" s="21">
        <v>0</v>
      </c>
      <c r="V37" s="13">
        <f t="shared" si="8"/>
        <v>0</v>
      </c>
      <c r="W37" s="49">
        <f t="shared" si="9"/>
        <v>12</v>
      </c>
      <c r="X37" s="50">
        <f t="shared" si="10"/>
        <v>0.14471999999999999</v>
      </c>
      <c r="Y37" s="238">
        <v>0</v>
      </c>
      <c r="Z37" s="101">
        <v>0</v>
      </c>
    </row>
    <row r="38" spans="1:26" x14ac:dyDescent="0.25">
      <c r="A38" s="264">
        <v>34</v>
      </c>
      <c r="B38" s="256" t="s">
        <v>35</v>
      </c>
      <c r="C38" s="34">
        <v>140</v>
      </c>
      <c r="D38" s="35">
        <v>240</v>
      </c>
      <c r="E38" s="35">
        <v>7</v>
      </c>
      <c r="F38" s="19">
        <f t="shared" si="5"/>
        <v>0.23519999999999999</v>
      </c>
      <c r="G38" s="23">
        <f>'ARALIK 1 HAFTA'!W38</f>
        <v>0</v>
      </c>
      <c r="H38" s="26">
        <f t="shared" si="6"/>
        <v>0</v>
      </c>
      <c r="I38" s="21">
        <v>0</v>
      </c>
      <c r="J38" s="205">
        <f t="shared" si="0"/>
        <v>0</v>
      </c>
      <c r="K38" s="21">
        <v>0</v>
      </c>
      <c r="L38" s="10">
        <f t="shared" si="1"/>
        <v>0</v>
      </c>
      <c r="M38" s="21">
        <v>0</v>
      </c>
      <c r="N38" s="205">
        <f t="shared" si="2"/>
        <v>0</v>
      </c>
      <c r="O38" s="21">
        <v>0</v>
      </c>
      <c r="P38" s="10">
        <f t="shared" si="7"/>
        <v>0</v>
      </c>
      <c r="Q38" s="21">
        <v>0</v>
      </c>
      <c r="R38" s="205">
        <f t="shared" si="3"/>
        <v>0</v>
      </c>
      <c r="S38" s="39">
        <f t="shared" si="11"/>
        <v>0</v>
      </c>
      <c r="T38" s="38">
        <f t="shared" si="4"/>
        <v>0</v>
      </c>
      <c r="U38" s="21">
        <v>0</v>
      </c>
      <c r="V38" s="13">
        <f t="shared" si="8"/>
        <v>0</v>
      </c>
      <c r="W38" s="49">
        <f t="shared" si="9"/>
        <v>0</v>
      </c>
      <c r="X38" s="50">
        <f t="shared" si="10"/>
        <v>0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36</v>
      </c>
      <c r="C39" s="34">
        <v>60</v>
      </c>
      <c r="D39" s="35">
        <v>56</v>
      </c>
      <c r="E39" s="35">
        <v>10</v>
      </c>
      <c r="F39" s="19">
        <f t="shared" si="5"/>
        <v>3.3599999999999998E-2</v>
      </c>
      <c r="G39" s="23">
        <f>'ARALIK 1 HAFTA'!W39</f>
        <v>0</v>
      </c>
      <c r="H39" s="26">
        <f t="shared" si="6"/>
        <v>0</v>
      </c>
      <c r="I39" s="21">
        <v>0</v>
      </c>
      <c r="J39" s="205">
        <f t="shared" si="0"/>
        <v>0</v>
      </c>
      <c r="K39" s="21">
        <v>0</v>
      </c>
      <c r="L39" s="10">
        <f t="shared" si="1"/>
        <v>0</v>
      </c>
      <c r="M39" s="21">
        <v>0</v>
      </c>
      <c r="N39" s="205">
        <f t="shared" si="2"/>
        <v>0</v>
      </c>
      <c r="O39" s="21">
        <v>0</v>
      </c>
      <c r="P39" s="10">
        <f t="shared" si="7"/>
        <v>0</v>
      </c>
      <c r="Q39" s="21">
        <v>0</v>
      </c>
      <c r="R39" s="205">
        <f t="shared" si="3"/>
        <v>0</v>
      </c>
      <c r="S39" s="39">
        <f t="shared" si="11"/>
        <v>0</v>
      </c>
      <c r="T39" s="38">
        <f t="shared" si="4"/>
        <v>0</v>
      </c>
      <c r="U39" s="21">
        <v>0</v>
      </c>
      <c r="V39" s="13">
        <f t="shared" si="8"/>
        <v>0</v>
      </c>
      <c r="W39" s="49">
        <f t="shared" si="9"/>
        <v>0</v>
      </c>
      <c r="X39" s="50">
        <f t="shared" si="10"/>
        <v>0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37</v>
      </c>
      <c r="C40" s="34">
        <v>58</v>
      </c>
      <c r="D40" s="35">
        <v>55</v>
      </c>
      <c r="E40" s="35">
        <v>10</v>
      </c>
      <c r="F40" s="19">
        <f t="shared" si="5"/>
        <v>3.1899999999999998E-2</v>
      </c>
      <c r="G40" s="23">
        <f>'ARALIK 1 HAFTA'!W40</f>
        <v>0</v>
      </c>
      <c r="H40" s="26">
        <f t="shared" si="6"/>
        <v>0</v>
      </c>
      <c r="I40" s="21">
        <v>0</v>
      </c>
      <c r="J40" s="205">
        <f t="shared" si="0"/>
        <v>0</v>
      </c>
      <c r="K40" s="21">
        <v>0</v>
      </c>
      <c r="L40" s="10">
        <f t="shared" si="1"/>
        <v>0</v>
      </c>
      <c r="M40" s="21">
        <v>0</v>
      </c>
      <c r="N40" s="205">
        <f t="shared" si="2"/>
        <v>0</v>
      </c>
      <c r="O40" s="21">
        <v>0</v>
      </c>
      <c r="P40" s="10">
        <f t="shared" si="7"/>
        <v>0</v>
      </c>
      <c r="Q40" s="21">
        <v>0</v>
      </c>
      <c r="R40" s="205">
        <f t="shared" si="3"/>
        <v>0</v>
      </c>
      <c r="S40" s="39">
        <f t="shared" si="11"/>
        <v>0</v>
      </c>
      <c r="T40" s="38">
        <f t="shared" si="4"/>
        <v>0</v>
      </c>
      <c r="U40" s="21">
        <v>0</v>
      </c>
      <c r="V40" s="13">
        <f t="shared" si="8"/>
        <v>0</v>
      </c>
      <c r="W40" s="49">
        <f t="shared" si="9"/>
        <v>0</v>
      </c>
      <c r="X40" s="50">
        <f t="shared" si="10"/>
        <v>0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38</v>
      </c>
      <c r="C41" s="34">
        <v>63</v>
      </c>
      <c r="D41" s="35">
        <v>55</v>
      </c>
      <c r="E41" s="35">
        <v>5</v>
      </c>
      <c r="F41" s="19">
        <f t="shared" si="5"/>
        <v>1.7325E-2</v>
      </c>
      <c r="G41" s="23">
        <f>'ARALIK 1 HAFTA'!W41</f>
        <v>10</v>
      </c>
      <c r="H41" s="26">
        <f t="shared" si="6"/>
        <v>0.17325000000000002</v>
      </c>
      <c r="I41" s="21">
        <v>0</v>
      </c>
      <c r="J41" s="205">
        <f t="shared" si="0"/>
        <v>0</v>
      </c>
      <c r="K41" s="21">
        <v>0</v>
      </c>
      <c r="L41" s="10">
        <f t="shared" si="1"/>
        <v>0</v>
      </c>
      <c r="M41" s="21">
        <v>0</v>
      </c>
      <c r="N41" s="205">
        <f t="shared" si="2"/>
        <v>0</v>
      </c>
      <c r="O41" s="21">
        <v>0</v>
      </c>
      <c r="P41" s="10">
        <f t="shared" si="7"/>
        <v>0</v>
      </c>
      <c r="Q41" s="21">
        <v>0</v>
      </c>
      <c r="R41" s="205">
        <f t="shared" si="3"/>
        <v>0</v>
      </c>
      <c r="S41" s="39">
        <f t="shared" si="11"/>
        <v>10</v>
      </c>
      <c r="T41" s="38">
        <f t="shared" si="4"/>
        <v>0.17325000000000002</v>
      </c>
      <c r="U41" s="21">
        <v>0</v>
      </c>
      <c r="V41" s="13">
        <f t="shared" si="8"/>
        <v>0</v>
      </c>
      <c r="W41" s="49">
        <f t="shared" si="9"/>
        <v>10</v>
      </c>
      <c r="X41" s="50">
        <f t="shared" si="10"/>
        <v>0.17325000000000002</v>
      </c>
      <c r="Y41" s="238">
        <v>0</v>
      </c>
      <c r="Z41" s="101">
        <v>0</v>
      </c>
    </row>
    <row r="42" spans="1:26" x14ac:dyDescent="0.25">
      <c r="A42" s="264">
        <v>38</v>
      </c>
      <c r="B42" s="256" t="s">
        <v>120</v>
      </c>
      <c r="C42" s="34">
        <v>52</v>
      </c>
      <c r="D42" s="35">
        <v>52</v>
      </c>
      <c r="E42" s="35">
        <v>5</v>
      </c>
      <c r="F42" s="19">
        <f t="shared" si="5"/>
        <v>1.3520000000000001E-2</v>
      </c>
      <c r="G42" s="23">
        <v>172</v>
      </c>
      <c r="H42" s="26">
        <f t="shared" si="6"/>
        <v>2.32544</v>
      </c>
      <c r="I42" s="21">
        <v>0</v>
      </c>
      <c r="J42" s="205">
        <f t="shared" si="0"/>
        <v>0</v>
      </c>
      <c r="K42" s="21">
        <v>0</v>
      </c>
      <c r="L42" s="10">
        <f t="shared" si="1"/>
        <v>0</v>
      </c>
      <c r="M42" s="21">
        <v>0</v>
      </c>
      <c r="N42" s="205">
        <f t="shared" si="2"/>
        <v>0</v>
      </c>
      <c r="O42" s="21">
        <v>0</v>
      </c>
      <c r="P42" s="10">
        <f t="shared" si="7"/>
        <v>0</v>
      </c>
      <c r="Q42" s="21">
        <v>10</v>
      </c>
      <c r="R42" s="205">
        <f t="shared" si="3"/>
        <v>0.13520000000000001</v>
      </c>
      <c r="S42" s="39">
        <f t="shared" si="11"/>
        <v>162</v>
      </c>
      <c r="T42" s="38">
        <f t="shared" si="4"/>
        <v>2.1902400000000002</v>
      </c>
      <c r="U42" s="21">
        <v>0</v>
      </c>
      <c r="V42" s="13">
        <f t="shared" si="8"/>
        <v>0</v>
      </c>
      <c r="W42" s="49">
        <f t="shared" si="9"/>
        <v>162</v>
      </c>
      <c r="X42" s="50">
        <f t="shared" si="10"/>
        <v>2.1902400000000002</v>
      </c>
      <c r="Y42" s="238">
        <v>0</v>
      </c>
      <c r="Z42" s="101">
        <v>0</v>
      </c>
    </row>
    <row r="43" spans="1:26" x14ac:dyDescent="0.25">
      <c r="A43" s="264">
        <v>39</v>
      </c>
      <c r="B43" s="256" t="s">
        <v>40</v>
      </c>
      <c r="C43" s="34">
        <v>80</v>
      </c>
      <c r="D43" s="35">
        <v>70</v>
      </c>
      <c r="E43" s="35">
        <v>8</v>
      </c>
      <c r="F43" s="19">
        <f t="shared" si="5"/>
        <v>4.48E-2</v>
      </c>
      <c r="G43" s="23">
        <v>317</v>
      </c>
      <c r="H43" s="26">
        <f t="shared" si="6"/>
        <v>14.201599999999999</v>
      </c>
      <c r="I43" s="21">
        <v>0</v>
      </c>
      <c r="J43" s="205">
        <f t="shared" si="0"/>
        <v>0</v>
      </c>
      <c r="K43" s="21">
        <v>5</v>
      </c>
      <c r="L43" s="10">
        <f t="shared" si="1"/>
        <v>0.224</v>
      </c>
      <c r="M43" s="21">
        <v>0</v>
      </c>
      <c r="N43" s="205">
        <f t="shared" si="2"/>
        <v>0</v>
      </c>
      <c r="O43" s="21">
        <v>0</v>
      </c>
      <c r="P43" s="10">
        <f t="shared" si="7"/>
        <v>0</v>
      </c>
      <c r="Q43" s="21">
        <v>0</v>
      </c>
      <c r="R43" s="205">
        <f t="shared" si="3"/>
        <v>0</v>
      </c>
      <c r="S43" s="39">
        <f t="shared" si="11"/>
        <v>312</v>
      </c>
      <c r="T43" s="38">
        <f t="shared" si="4"/>
        <v>13.977600000000001</v>
      </c>
      <c r="U43" s="21">
        <v>0</v>
      </c>
      <c r="V43" s="13">
        <f t="shared" si="8"/>
        <v>0</v>
      </c>
      <c r="W43" s="49">
        <f t="shared" si="9"/>
        <v>312</v>
      </c>
      <c r="X43" s="50">
        <f t="shared" si="10"/>
        <v>13.977600000000001</v>
      </c>
      <c r="Y43" s="238">
        <v>50</v>
      </c>
      <c r="Z43" s="101">
        <v>200</v>
      </c>
    </row>
    <row r="44" spans="1:26" x14ac:dyDescent="0.25">
      <c r="A44" s="264">
        <v>40</v>
      </c>
      <c r="B44" s="256" t="s">
        <v>42</v>
      </c>
      <c r="C44" s="34">
        <v>70</v>
      </c>
      <c r="D44" s="35">
        <v>64</v>
      </c>
      <c r="E44" s="35">
        <v>8</v>
      </c>
      <c r="F44" s="19">
        <f t="shared" si="5"/>
        <v>3.5839999999999997E-2</v>
      </c>
      <c r="G44" s="23">
        <f>'ARALIK 1 HAFTA'!W44</f>
        <v>363</v>
      </c>
      <c r="H44" s="26">
        <f t="shared" si="6"/>
        <v>13.009919999999999</v>
      </c>
      <c r="I44" s="21">
        <v>0</v>
      </c>
      <c r="J44" s="205">
        <f t="shared" si="0"/>
        <v>0</v>
      </c>
      <c r="K44" s="21">
        <v>0</v>
      </c>
      <c r="L44" s="10">
        <f t="shared" si="1"/>
        <v>0</v>
      </c>
      <c r="M44" s="21">
        <v>20</v>
      </c>
      <c r="N44" s="205">
        <f t="shared" si="2"/>
        <v>0.71679999999999988</v>
      </c>
      <c r="O44" s="21">
        <v>0</v>
      </c>
      <c r="P44" s="10">
        <f t="shared" si="7"/>
        <v>0</v>
      </c>
      <c r="Q44" s="21">
        <v>0</v>
      </c>
      <c r="R44" s="205">
        <f t="shared" si="3"/>
        <v>0</v>
      </c>
      <c r="S44" s="39">
        <f t="shared" si="11"/>
        <v>343</v>
      </c>
      <c r="T44" s="38">
        <f t="shared" si="4"/>
        <v>12.293119999999998</v>
      </c>
      <c r="U44" s="21">
        <v>0</v>
      </c>
      <c r="V44" s="13">
        <f t="shared" si="8"/>
        <v>0</v>
      </c>
      <c r="W44" s="49">
        <f t="shared" si="9"/>
        <v>343</v>
      </c>
      <c r="X44" s="50">
        <f t="shared" si="10"/>
        <v>12.293119999999998</v>
      </c>
      <c r="Y44" s="238">
        <v>50</v>
      </c>
      <c r="Z44" s="101">
        <v>200</v>
      </c>
    </row>
    <row r="45" spans="1:26" x14ac:dyDescent="0.25">
      <c r="A45" s="264">
        <v>41</v>
      </c>
      <c r="B45" s="256" t="s">
        <v>43</v>
      </c>
      <c r="C45" s="34">
        <v>75</v>
      </c>
      <c r="D45" s="35">
        <v>70</v>
      </c>
      <c r="E45" s="35">
        <v>8</v>
      </c>
      <c r="F45" s="19">
        <f t="shared" si="5"/>
        <v>4.2000000000000003E-2</v>
      </c>
      <c r="G45" s="23">
        <f>'ARALIK 1 HAFTA'!W45</f>
        <v>434</v>
      </c>
      <c r="H45" s="26">
        <f t="shared" si="6"/>
        <v>18.228000000000002</v>
      </c>
      <c r="I45" s="21">
        <v>0</v>
      </c>
      <c r="J45" s="205">
        <f t="shared" si="0"/>
        <v>0</v>
      </c>
      <c r="K45" s="21">
        <v>0</v>
      </c>
      <c r="L45" s="10">
        <f t="shared" si="1"/>
        <v>0</v>
      </c>
      <c r="M45" s="21">
        <v>0</v>
      </c>
      <c r="N45" s="205">
        <f t="shared" si="2"/>
        <v>0</v>
      </c>
      <c r="O45" s="21">
        <v>0</v>
      </c>
      <c r="P45" s="10">
        <f t="shared" si="7"/>
        <v>0</v>
      </c>
      <c r="Q45" s="21">
        <v>0</v>
      </c>
      <c r="R45" s="205">
        <f t="shared" si="3"/>
        <v>0</v>
      </c>
      <c r="S45" s="39">
        <f t="shared" si="11"/>
        <v>434</v>
      </c>
      <c r="T45" s="38">
        <f t="shared" si="4"/>
        <v>18.228000000000002</v>
      </c>
      <c r="U45" s="21">
        <v>0</v>
      </c>
      <c r="V45" s="13">
        <f t="shared" si="8"/>
        <v>0</v>
      </c>
      <c r="W45" s="49">
        <f t="shared" si="9"/>
        <v>434</v>
      </c>
      <c r="X45" s="50">
        <f t="shared" si="10"/>
        <v>18.228000000000002</v>
      </c>
      <c r="Y45" s="238">
        <v>50</v>
      </c>
      <c r="Z45" s="101">
        <v>200</v>
      </c>
    </row>
    <row r="46" spans="1:26" x14ac:dyDescent="0.25">
      <c r="A46" s="264">
        <v>42</v>
      </c>
      <c r="B46" s="256" t="s">
        <v>119</v>
      </c>
      <c r="C46" s="34">
        <v>143</v>
      </c>
      <c r="D46" s="35">
        <v>66</v>
      </c>
      <c r="E46" s="35">
        <v>5</v>
      </c>
      <c r="F46" s="19">
        <f t="shared" si="5"/>
        <v>4.7190000000000003E-2</v>
      </c>
      <c r="G46" s="23">
        <v>392</v>
      </c>
      <c r="H46" s="26">
        <f t="shared" si="6"/>
        <v>18.498480000000001</v>
      </c>
      <c r="I46" s="21">
        <v>5</v>
      </c>
      <c r="J46" s="205">
        <f t="shared" si="0"/>
        <v>0.23595000000000002</v>
      </c>
      <c r="K46" s="21">
        <v>0</v>
      </c>
      <c r="L46" s="10">
        <f t="shared" si="1"/>
        <v>0</v>
      </c>
      <c r="M46" s="21">
        <v>0</v>
      </c>
      <c r="N46" s="205">
        <f t="shared" si="2"/>
        <v>0</v>
      </c>
      <c r="O46" s="21">
        <v>26</v>
      </c>
      <c r="P46" s="10">
        <f t="shared" si="7"/>
        <v>1.2269400000000001</v>
      </c>
      <c r="Q46" s="21">
        <v>0</v>
      </c>
      <c r="R46" s="205">
        <f t="shared" si="3"/>
        <v>0</v>
      </c>
      <c r="S46" s="39">
        <f t="shared" si="11"/>
        <v>361</v>
      </c>
      <c r="T46" s="38">
        <f t="shared" si="4"/>
        <v>17.035590000000003</v>
      </c>
      <c r="U46" s="21">
        <v>0</v>
      </c>
      <c r="V46" s="13">
        <f t="shared" si="8"/>
        <v>0</v>
      </c>
      <c r="W46" s="49">
        <f t="shared" si="9"/>
        <v>361</v>
      </c>
      <c r="X46" s="50">
        <f t="shared" si="10"/>
        <v>17.035590000000003</v>
      </c>
      <c r="Y46" s="238">
        <v>50</v>
      </c>
      <c r="Z46" s="101">
        <v>100</v>
      </c>
    </row>
    <row r="47" spans="1:26" x14ac:dyDescent="0.25">
      <c r="A47" s="264">
        <v>43</v>
      </c>
      <c r="B47" s="256" t="s">
        <v>45</v>
      </c>
      <c r="C47" s="34">
        <v>80</v>
      </c>
      <c r="D47" s="35">
        <v>63</v>
      </c>
      <c r="E47" s="35">
        <v>5</v>
      </c>
      <c r="F47" s="19">
        <f t="shared" si="5"/>
        <v>2.52E-2</v>
      </c>
      <c r="G47" s="23">
        <f>'ARALIK 1 HAFTA'!W47</f>
        <v>315</v>
      </c>
      <c r="H47" s="26">
        <f t="shared" si="6"/>
        <v>7.9379999999999997</v>
      </c>
      <c r="I47" s="21">
        <v>0</v>
      </c>
      <c r="J47" s="205">
        <f t="shared" si="0"/>
        <v>0</v>
      </c>
      <c r="K47" s="21">
        <v>0</v>
      </c>
      <c r="L47" s="10">
        <f t="shared" si="1"/>
        <v>0</v>
      </c>
      <c r="M47" s="21">
        <v>0</v>
      </c>
      <c r="N47" s="205">
        <f t="shared" si="2"/>
        <v>0</v>
      </c>
      <c r="O47" s="21">
        <v>0</v>
      </c>
      <c r="P47" s="10">
        <f t="shared" si="7"/>
        <v>0</v>
      </c>
      <c r="Q47" s="21">
        <v>0</v>
      </c>
      <c r="R47" s="205">
        <f t="shared" si="3"/>
        <v>0</v>
      </c>
      <c r="S47" s="39">
        <f t="shared" si="11"/>
        <v>315</v>
      </c>
      <c r="T47" s="38">
        <f t="shared" si="4"/>
        <v>7.9379999999999997</v>
      </c>
      <c r="U47" s="21">
        <v>0</v>
      </c>
      <c r="V47" s="13">
        <f t="shared" si="8"/>
        <v>0</v>
      </c>
      <c r="W47" s="49">
        <f t="shared" si="9"/>
        <v>315</v>
      </c>
      <c r="X47" s="50">
        <f t="shared" si="10"/>
        <v>7.9379999999999997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46</v>
      </c>
      <c r="C48" s="34">
        <v>77</v>
      </c>
      <c r="D48" s="35">
        <v>68</v>
      </c>
      <c r="E48" s="35">
        <v>8</v>
      </c>
      <c r="F48" s="19">
        <f t="shared" si="5"/>
        <v>4.1888000000000002E-2</v>
      </c>
      <c r="G48" s="23">
        <f>'ARALIK 1 HAFTA'!W48</f>
        <v>9</v>
      </c>
      <c r="H48" s="26">
        <f t="shared" si="6"/>
        <v>0.37699199999999999</v>
      </c>
      <c r="I48" s="21">
        <v>0</v>
      </c>
      <c r="J48" s="205">
        <f t="shared" si="0"/>
        <v>0</v>
      </c>
      <c r="K48" s="21">
        <v>0</v>
      </c>
      <c r="L48" s="10">
        <f t="shared" si="1"/>
        <v>0</v>
      </c>
      <c r="M48" s="21">
        <v>0</v>
      </c>
      <c r="N48" s="205">
        <f t="shared" si="2"/>
        <v>0</v>
      </c>
      <c r="O48" s="21">
        <v>0</v>
      </c>
      <c r="P48" s="10">
        <f t="shared" si="7"/>
        <v>0</v>
      </c>
      <c r="Q48" s="21">
        <v>0</v>
      </c>
      <c r="R48" s="205">
        <f t="shared" si="3"/>
        <v>0</v>
      </c>
      <c r="S48" s="39">
        <f t="shared" si="11"/>
        <v>9</v>
      </c>
      <c r="T48" s="38">
        <f t="shared" si="4"/>
        <v>0.37699199999999999</v>
      </c>
      <c r="U48" s="21">
        <v>0</v>
      </c>
      <c r="V48" s="13">
        <f t="shared" si="8"/>
        <v>0</v>
      </c>
      <c r="W48" s="49">
        <f t="shared" si="9"/>
        <v>9</v>
      </c>
      <c r="X48" s="50">
        <f t="shared" si="10"/>
        <v>0.37699199999999999</v>
      </c>
      <c r="Y48" s="238">
        <v>50</v>
      </c>
      <c r="Z48" s="101">
        <v>200</v>
      </c>
    </row>
    <row r="49" spans="1:26" x14ac:dyDescent="0.25">
      <c r="A49" s="264">
        <v>45</v>
      </c>
      <c r="B49" s="256" t="s">
        <v>47</v>
      </c>
      <c r="C49" s="34">
        <v>79</v>
      </c>
      <c r="D49" s="35">
        <v>79</v>
      </c>
      <c r="E49" s="35">
        <v>2</v>
      </c>
      <c r="F49" s="19">
        <f t="shared" si="5"/>
        <v>1.2482E-2</v>
      </c>
      <c r="G49" s="23">
        <f>'ARALIK 1 HAFTA'!W49</f>
        <v>244</v>
      </c>
      <c r="H49" s="26">
        <f t="shared" si="6"/>
        <v>3.0456080000000001</v>
      </c>
      <c r="I49" s="21">
        <v>0</v>
      </c>
      <c r="J49" s="205">
        <f t="shared" si="0"/>
        <v>0</v>
      </c>
      <c r="K49" s="21">
        <v>0</v>
      </c>
      <c r="L49" s="10">
        <f t="shared" si="1"/>
        <v>0</v>
      </c>
      <c r="M49" s="21">
        <v>0</v>
      </c>
      <c r="N49" s="205">
        <f t="shared" si="2"/>
        <v>0</v>
      </c>
      <c r="O49" s="21">
        <v>0</v>
      </c>
      <c r="P49" s="10">
        <f t="shared" si="7"/>
        <v>0</v>
      </c>
      <c r="Q49" s="21">
        <v>0</v>
      </c>
      <c r="R49" s="205">
        <f t="shared" si="3"/>
        <v>0</v>
      </c>
      <c r="S49" s="39">
        <f t="shared" si="11"/>
        <v>244</v>
      </c>
      <c r="T49" s="38">
        <f t="shared" si="4"/>
        <v>3.0456080000000001</v>
      </c>
      <c r="U49" s="21">
        <v>0</v>
      </c>
      <c r="V49" s="13">
        <f t="shared" si="8"/>
        <v>0</v>
      </c>
      <c r="W49" s="49">
        <f t="shared" si="9"/>
        <v>244</v>
      </c>
      <c r="X49" s="50">
        <f t="shared" si="10"/>
        <v>3.0456080000000001</v>
      </c>
      <c r="Y49" s="238">
        <v>100</v>
      </c>
      <c r="Z49" s="101">
        <v>300</v>
      </c>
    </row>
    <row r="50" spans="1:26" x14ac:dyDescent="0.25">
      <c r="A50" s="264">
        <v>46</v>
      </c>
      <c r="B50" s="256" t="s">
        <v>48</v>
      </c>
      <c r="C50" s="34">
        <v>61</v>
      </c>
      <c r="D50" s="35">
        <v>56</v>
      </c>
      <c r="E50" s="35">
        <v>10</v>
      </c>
      <c r="F50" s="19">
        <f t="shared" si="5"/>
        <v>3.4160000000000003E-2</v>
      </c>
      <c r="G50" s="23">
        <v>60</v>
      </c>
      <c r="H50" s="26">
        <f t="shared" si="6"/>
        <v>2.0496000000000003</v>
      </c>
      <c r="I50" s="21">
        <v>0</v>
      </c>
      <c r="J50" s="205">
        <f t="shared" si="0"/>
        <v>0</v>
      </c>
      <c r="K50" s="21">
        <v>0</v>
      </c>
      <c r="L50" s="10">
        <f t="shared" si="1"/>
        <v>0</v>
      </c>
      <c r="M50" s="21">
        <v>0</v>
      </c>
      <c r="N50" s="205">
        <f t="shared" si="2"/>
        <v>0</v>
      </c>
      <c r="O50" s="21">
        <v>0</v>
      </c>
      <c r="P50" s="10">
        <f t="shared" si="7"/>
        <v>0</v>
      </c>
      <c r="Q50" s="21">
        <v>0</v>
      </c>
      <c r="R50" s="205">
        <f t="shared" si="3"/>
        <v>0</v>
      </c>
      <c r="S50" s="39">
        <f t="shared" si="11"/>
        <v>60</v>
      </c>
      <c r="T50" s="38">
        <f t="shared" si="4"/>
        <v>2.0496000000000003</v>
      </c>
      <c r="U50" s="21">
        <v>0</v>
      </c>
      <c r="V50" s="13">
        <f t="shared" si="8"/>
        <v>0</v>
      </c>
      <c r="W50" s="49">
        <f t="shared" si="9"/>
        <v>60</v>
      </c>
      <c r="X50" s="50">
        <f t="shared" si="10"/>
        <v>2.0496000000000003</v>
      </c>
      <c r="Y50" s="238">
        <v>30</v>
      </c>
      <c r="Z50" s="101">
        <v>100</v>
      </c>
    </row>
    <row r="51" spans="1:26" x14ac:dyDescent="0.25">
      <c r="A51" s="264">
        <v>47</v>
      </c>
      <c r="B51" s="256" t="s">
        <v>49</v>
      </c>
      <c r="C51" s="34">
        <v>66</v>
      </c>
      <c r="D51" s="35">
        <v>61</v>
      </c>
      <c r="E51" s="35">
        <v>10</v>
      </c>
      <c r="F51" s="19">
        <f t="shared" si="5"/>
        <v>4.0259999999999997E-2</v>
      </c>
      <c r="G51" s="23">
        <v>90</v>
      </c>
      <c r="H51" s="26">
        <f t="shared" si="6"/>
        <v>3.6233999999999997</v>
      </c>
      <c r="I51" s="21">
        <v>0</v>
      </c>
      <c r="J51" s="205">
        <f t="shared" si="0"/>
        <v>0</v>
      </c>
      <c r="K51" s="21">
        <v>0</v>
      </c>
      <c r="L51" s="10">
        <f t="shared" si="1"/>
        <v>0</v>
      </c>
      <c r="M51" s="21">
        <v>0</v>
      </c>
      <c r="N51" s="205">
        <f t="shared" si="2"/>
        <v>0</v>
      </c>
      <c r="O51" s="21">
        <v>0</v>
      </c>
      <c r="P51" s="10">
        <f t="shared" si="7"/>
        <v>0</v>
      </c>
      <c r="Q51" s="21">
        <v>0</v>
      </c>
      <c r="R51" s="205">
        <f t="shared" si="3"/>
        <v>0</v>
      </c>
      <c r="S51" s="39">
        <f t="shared" si="11"/>
        <v>90</v>
      </c>
      <c r="T51" s="38">
        <f t="shared" si="4"/>
        <v>3.6233999999999997</v>
      </c>
      <c r="U51" s="21">
        <v>0</v>
      </c>
      <c r="V51" s="13">
        <f t="shared" si="8"/>
        <v>0</v>
      </c>
      <c r="W51" s="49">
        <f t="shared" si="9"/>
        <v>90</v>
      </c>
      <c r="X51" s="50">
        <f t="shared" si="10"/>
        <v>3.6233999999999997</v>
      </c>
      <c r="Y51" s="238">
        <v>30</v>
      </c>
      <c r="Z51" s="101">
        <v>100</v>
      </c>
    </row>
    <row r="52" spans="1:26" x14ac:dyDescent="0.25">
      <c r="A52" s="264">
        <v>48</v>
      </c>
      <c r="B52" s="256" t="s">
        <v>50</v>
      </c>
      <c r="C52" s="34">
        <v>63</v>
      </c>
      <c r="D52" s="35">
        <v>61</v>
      </c>
      <c r="E52" s="35">
        <v>10</v>
      </c>
      <c r="F52" s="19">
        <f t="shared" si="5"/>
        <v>3.8429999999999999E-2</v>
      </c>
      <c r="G52" s="23">
        <f>'ARALIK 1 HAFTA'!W52</f>
        <v>0</v>
      </c>
      <c r="H52" s="26">
        <f t="shared" si="6"/>
        <v>0</v>
      </c>
      <c r="I52" s="21">
        <v>0</v>
      </c>
      <c r="J52" s="205">
        <f t="shared" si="0"/>
        <v>0</v>
      </c>
      <c r="K52" s="21">
        <v>0</v>
      </c>
      <c r="L52" s="10">
        <f t="shared" si="1"/>
        <v>0</v>
      </c>
      <c r="M52" s="21">
        <v>0</v>
      </c>
      <c r="N52" s="205">
        <f t="shared" si="2"/>
        <v>0</v>
      </c>
      <c r="O52" s="21">
        <v>0</v>
      </c>
      <c r="P52" s="10">
        <f t="shared" si="7"/>
        <v>0</v>
      </c>
      <c r="Q52" s="21">
        <v>0</v>
      </c>
      <c r="R52" s="205">
        <f t="shared" si="3"/>
        <v>0</v>
      </c>
      <c r="S52" s="39">
        <f t="shared" si="11"/>
        <v>0</v>
      </c>
      <c r="T52" s="38">
        <f t="shared" si="4"/>
        <v>0</v>
      </c>
      <c r="U52" s="21">
        <v>0</v>
      </c>
      <c r="V52" s="13">
        <f t="shared" si="8"/>
        <v>0</v>
      </c>
      <c r="W52" s="49">
        <f t="shared" si="9"/>
        <v>0</v>
      </c>
      <c r="X52" s="50">
        <f t="shared" si="10"/>
        <v>0</v>
      </c>
      <c r="Y52" s="238">
        <v>30</v>
      </c>
      <c r="Z52" s="101">
        <v>100</v>
      </c>
    </row>
    <row r="53" spans="1:26" x14ac:dyDescent="0.25">
      <c r="A53" s="264">
        <v>49</v>
      </c>
      <c r="B53" s="256" t="s">
        <v>51</v>
      </c>
      <c r="C53" s="34">
        <v>58</v>
      </c>
      <c r="D53" s="35">
        <v>58</v>
      </c>
      <c r="E53" s="35">
        <v>2.2999999999999998</v>
      </c>
      <c r="F53" s="19">
        <f t="shared" si="5"/>
        <v>7.7371999999999996E-3</v>
      </c>
      <c r="G53" s="23">
        <v>3358</v>
      </c>
      <c r="H53" s="26">
        <f t="shared" si="6"/>
        <v>25.9815176</v>
      </c>
      <c r="I53" s="21">
        <v>190</v>
      </c>
      <c r="J53" s="205">
        <f t="shared" si="0"/>
        <v>1.4700679999999999</v>
      </c>
      <c r="K53" s="21">
        <v>0</v>
      </c>
      <c r="L53" s="10">
        <f t="shared" si="1"/>
        <v>0</v>
      </c>
      <c r="M53" s="21">
        <v>0</v>
      </c>
      <c r="N53" s="205">
        <f t="shared" si="2"/>
        <v>0</v>
      </c>
      <c r="O53" s="21">
        <v>0</v>
      </c>
      <c r="P53" s="10">
        <f t="shared" si="7"/>
        <v>0</v>
      </c>
      <c r="Q53" s="21">
        <v>0</v>
      </c>
      <c r="R53" s="205">
        <f t="shared" si="3"/>
        <v>0</v>
      </c>
      <c r="S53" s="39">
        <f t="shared" si="11"/>
        <v>3168</v>
      </c>
      <c r="T53" s="38">
        <f t="shared" si="4"/>
        <v>24.511449599999999</v>
      </c>
      <c r="U53" s="21">
        <v>0</v>
      </c>
      <c r="V53" s="13">
        <f t="shared" si="8"/>
        <v>0</v>
      </c>
      <c r="W53" s="49">
        <f t="shared" si="9"/>
        <v>3168</v>
      </c>
      <c r="X53" s="50">
        <f t="shared" si="10"/>
        <v>24.511449599999999</v>
      </c>
      <c r="Y53" s="238">
        <v>200</v>
      </c>
      <c r="Z53" s="101">
        <v>500</v>
      </c>
    </row>
    <row r="54" spans="1:26" x14ac:dyDescent="0.25">
      <c r="A54" s="264">
        <v>50</v>
      </c>
      <c r="B54" s="256" t="s">
        <v>52</v>
      </c>
      <c r="C54" s="34">
        <v>79</v>
      </c>
      <c r="D54" s="35">
        <v>62</v>
      </c>
      <c r="E54" s="35">
        <v>2.2999999999999998</v>
      </c>
      <c r="F54" s="19">
        <f t="shared" si="5"/>
        <v>1.12654E-2</v>
      </c>
      <c r="G54" s="23">
        <v>3382</v>
      </c>
      <c r="H54" s="26">
        <f t="shared" si="6"/>
        <v>38.0995828</v>
      </c>
      <c r="I54" s="21">
        <v>167</v>
      </c>
      <c r="J54" s="205">
        <f t="shared" si="0"/>
        <v>1.8813218</v>
      </c>
      <c r="K54" s="21">
        <v>0</v>
      </c>
      <c r="L54" s="10">
        <f t="shared" si="1"/>
        <v>0</v>
      </c>
      <c r="M54" s="21">
        <v>0</v>
      </c>
      <c r="N54" s="205">
        <f t="shared" si="2"/>
        <v>0</v>
      </c>
      <c r="O54" s="21">
        <v>0</v>
      </c>
      <c r="P54" s="10">
        <f t="shared" si="7"/>
        <v>0</v>
      </c>
      <c r="Q54" s="21">
        <v>0</v>
      </c>
      <c r="R54" s="205">
        <f t="shared" si="3"/>
        <v>0</v>
      </c>
      <c r="S54" s="39">
        <f t="shared" si="11"/>
        <v>3215</v>
      </c>
      <c r="T54" s="38">
        <f t="shared" si="4"/>
        <v>36.218260999999998</v>
      </c>
      <c r="U54" s="21">
        <v>0</v>
      </c>
      <c r="V54" s="13">
        <f t="shared" si="8"/>
        <v>0</v>
      </c>
      <c r="W54" s="49">
        <f t="shared" si="9"/>
        <v>3215</v>
      </c>
      <c r="X54" s="50">
        <f t="shared" si="10"/>
        <v>36.218260999999998</v>
      </c>
      <c r="Y54" s="238">
        <v>100</v>
      </c>
      <c r="Z54" s="101">
        <v>300</v>
      </c>
    </row>
    <row r="55" spans="1:26" x14ac:dyDescent="0.25">
      <c r="A55" s="264">
        <v>51</v>
      </c>
      <c r="B55" s="256" t="s">
        <v>53</v>
      </c>
      <c r="C55" s="34">
        <v>200</v>
      </c>
      <c r="D55" s="35">
        <v>176</v>
      </c>
      <c r="E55" s="35">
        <v>2.2999999999999998</v>
      </c>
      <c r="F55" s="19">
        <f t="shared" si="5"/>
        <v>8.0960000000000004E-2</v>
      </c>
      <c r="G55" s="23">
        <f>'ARALIK 1 HAFTA'!W55</f>
        <v>1</v>
      </c>
      <c r="H55" s="26">
        <f t="shared" si="6"/>
        <v>8.0960000000000004E-2</v>
      </c>
      <c r="I55" s="21">
        <v>0</v>
      </c>
      <c r="J55" s="205">
        <f t="shared" si="0"/>
        <v>0</v>
      </c>
      <c r="K55" s="21">
        <v>0</v>
      </c>
      <c r="L55" s="10">
        <f t="shared" si="1"/>
        <v>0</v>
      </c>
      <c r="M55" s="21">
        <v>0</v>
      </c>
      <c r="N55" s="205">
        <f t="shared" si="2"/>
        <v>0</v>
      </c>
      <c r="O55" s="21">
        <v>0</v>
      </c>
      <c r="P55" s="10">
        <f t="shared" si="7"/>
        <v>0</v>
      </c>
      <c r="Q55" s="21">
        <v>0</v>
      </c>
      <c r="R55" s="205">
        <f t="shared" si="3"/>
        <v>0</v>
      </c>
      <c r="S55" s="39">
        <f t="shared" si="11"/>
        <v>1</v>
      </c>
      <c r="T55" s="38">
        <f t="shared" si="4"/>
        <v>8.0960000000000004E-2</v>
      </c>
      <c r="U55" s="21">
        <v>0</v>
      </c>
      <c r="V55" s="13">
        <f t="shared" si="8"/>
        <v>0</v>
      </c>
      <c r="W55" s="49">
        <f t="shared" si="9"/>
        <v>1</v>
      </c>
      <c r="X55" s="50">
        <f t="shared" si="10"/>
        <v>8.0960000000000004E-2</v>
      </c>
      <c r="Y55" s="238">
        <v>0</v>
      </c>
      <c r="Z55" s="101">
        <v>0</v>
      </c>
    </row>
    <row r="56" spans="1:26" x14ac:dyDescent="0.25">
      <c r="A56" s="264">
        <v>52</v>
      </c>
      <c r="B56" s="256" t="s">
        <v>122</v>
      </c>
      <c r="C56" s="34">
        <v>79</v>
      </c>
      <c r="D56" s="35">
        <v>79</v>
      </c>
      <c r="E56" s="35">
        <v>2.2999999999999998</v>
      </c>
      <c r="F56" s="19">
        <f t="shared" si="5"/>
        <v>1.4354299999999999E-2</v>
      </c>
      <c r="G56" s="23">
        <f>'ARALIK 1 HAFTA'!W56</f>
        <v>3597</v>
      </c>
      <c r="H56" s="26">
        <f t="shared" si="6"/>
        <v>51.632417099999998</v>
      </c>
      <c r="I56" s="21">
        <v>0</v>
      </c>
      <c r="J56" s="205">
        <f t="shared" si="0"/>
        <v>0</v>
      </c>
      <c r="K56" s="21">
        <v>0</v>
      </c>
      <c r="L56" s="10">
        <f t="shared" si="1"/>
        <v>0</v>
      </c>
      <c r="M56" s="21">
        <v>25</v>
      </c>
      <c r="N56" s="205">
        <f t="shared" si="2"/>
        <v>0.35885749999999994</v>
      </c>
      <c r="O56" s="21">
        <v>0</v>
      </c>
      <c r="P56" s="10">
        <f t="shared" si="7"/>
        <v>0</v>
      </c>
      <c r="Q56" s="21">
        <v>0</v>
      </c>
      <c r="R56" s="205">
        <f t="shared" si="3"/>
        <v>0</v>
      </c>
      <c r="S56" s="39">
        <f t="shared" si="11"/>
        <v>3572</v>
      </c>
      <c r="T56" s="38">
        <f t="shared" si="4"/>
        <v>51.273559599999999</v>
      </c>
      <c r="U56" s="21">
        <v>0</v>
      </c>
      <c r="V56" s="13">
        <f t="shared" si="8"/>
        <v>0</v>
      </c>
      <c r="W56" s="49">
        <f t="shared" si="9"/>
        <v>3572</v>
      </c>
      <c r="X56" s="50">
        <f t="shared" si="10"/>
        <v>51.273559599999999</v>
      </c>
      <c r="Y56" s="238">
        <v>300</v>
      </c>
      <c r="Z56" s="101">
        <v>1000</v>
      </c>
    </row>
    <row r="57" spans="1:26" ht="15.75" x14ac:dyDescent="0.25">
      <c r="A57" s="264">
        <v>53</v>
      </c>
      <c r="B57" s="256" t="s">
        <v>55</v>
      </c>
      <c r="C57" s="111">
        <v>50</v>
      </c>
      <c r="D57" s="112">
        <v>45</v>
      </c>
      <c r="E57" s="112">
        <v>4</v>
      </c>
      <c r="F57" s="19">
        <f t="shared" si="5"/>
        <v>8.9999999999999993E-3</v>
      </c>
      <c r="G57" s="23">
        <v>242</v>
      </c>
      <c r="H57" s="26">
        <f t="shared" si="6"/>
        <v>2.1779999999999999</v>
      </c>
      <c r="I57" s="21">
        <v>0</v>
      </c>
      <c r="J57" s="205">
        <f t="shared" si="0"/>
        <v>0</v>
      </c>
      <c r="K57" s="21">
        <v>0</v>
      </c>
      <c r="L57" s="10">
        <f t="shared" si="1"/>
        <v>0</v>
      </c>
      <c r="M57" s="21">
        <v>0</v>
      </c>
      <c r="N57" s="205">
        <f t="shared" si="2"/>
        <v>0</v>
      </c>
      <c r="O57" s="21">
        <v>15</v>
      </c>
      <c r="P57" s="10">
        <f t="shared" si="7"/>
        <v>0.13499999999999998</v>
      </c>
      <c r="Q57" s="21">
        <v>0</v>
      </c>
      <c r="R57" s="205">
        <f t="shared" si="3"/>
        <v>0</v>
      </c>
      <c r="S57" s="39">
        <f t="shared" si="11"/>
        <v>227</v>
      </c>
      <c r="T57" s="38">
        <f t="shared" si="4"/>
        <v>2.0429999999999997</v>
      </c>
      <c r="U57" s="21">
        <v>0</v>
      </c>
      <c r="V57" s="13">
        <f t="shared" si="8"/>
        <v>0</v>
      </c>
      <c r="W57" s="49">
        <f t="shared" si="9"/>
        <v>227</v>
      </c>
      <c r="X57" s="50">
        <f t="shared" si="10"/>
        <v>2.0429999999999997</v>
      </c>
      <c r="Y57" s="238">
        <v>300</v>
      </c>
      <c r="Z57" s="101">
        <v>1000</v>
      </c>
    </row>
    <row r="58" spans="1:26" ht="15.75" x14ac:dyDescent="0.25">
      <c r="A58" s="264">
        <v>54</v>
      </c>
      <c r="B58" s="256" t="s">
        <v>56</v>
      </c>
      <c r="C58" s="111">
        <v>50</v>
      </c>
      <c r="D58" s="112">
        <v>35</v>
      </c>
      <c r="E58" s="112">
        <v>4</v>
      </c>
      <c r="F58" s="19">
        <f t="shared" si="5"/>
        <v>7.0000000000000001E-3</v>
      </c>
      <c r="G58" s="23">
        <f>'ARALIK 1 HAFTA'!W58</f>
        <v>355</v>
      </c>
      <c r="H58" s="26">
        <f t="shared" si="6"/>
        <v>2.4849999999999999</v>
      </c>
      <c r="I58" s="21">
        <v>0</v>
      </c>
      <c r="J58" s="205">
        <f t="shared" si="0"/>
        <v>0</v>
      </c>
      <c r="K58" s="21">
        <v>0</v>
      </c>
      <c r="L58" s="10">
        <f t="shared" si="1"/>
        <v>0</v>
      </c>
      <c r="M58" s="21">
        <v>0</v>
      </c>
      <c r="N58" s="205">
        <f t="shared" si="2"/>
        <v>0</v>
      </c>
      <c r="O58" s="21">
        <v>20</v>
      </c>
      <c r="P58" s="10">
        <f t="shared" si="7"/>
        <v>0.14000000000000001</v>
      </c>
      <c r="Q58" s="21">
        <v>0</v>
      </c>
      <c r="R58" s="205">
        <f t="shared" si="3"/>
        <v>0</v>
      </c>
      <c r="S58" s="39">
        <f t="shared" si="11"/>
        <v>335</v>
      </c>
      <c r="T58" s="38">
        <f t="shared" si="4"/>
        <v>2.3450000000000002</v>
      </c>
      <c r="U58" s="21">
        <v>0</v>
      </c>
      <c r="V58" s="13">
        <f t="shared" si="8"/>
        <v>0</v>
      </c>
      <c r="W58" s="49">
        <f t="shared" si="9"/>
        <v>335</v>
      </c>
      <c r="X58" s="50">
        <f t="shared" si="10"/>
        <v>2.3450000000000002</v>
      </c>
      <c r="Y58" s="238">
        <v>500</v>
      </c>
      <c r="Z58" s="101">
        <v>1500</v>
      </c>
    </row>
    <row r="59" spans="1:26" ht="15.75" x14ac:dyDescent="0.25">
      <c r="A59" s="264">
        <v>55</v>
      </c>
      <c r="B59" s="256" t="s">
        <v>57</v>
      </c>
      <c r="C59" s="111">
        <v>45</v>
      </c>
      <c r="D59" s="112">
        <v>50</v>
      </c>
      <c r="E59" s="112">
        <v>3</v>
      </c>
      <c r="F59" s="19">
        <f t="shared" si="5"/>
        <v>6.7499999999999999E-3</v>
      </c>
      <c r="G59" s="23">
        <v>725</v>
      </c>
      <c r="H59" s="26">
        <f t="shared" si="6"/>
        <v>4.8937499999999998</v>
      </c>
      <c r="I59" s="21">
        <v>0</v>
      </c>
      <c r="J59" s="205">
        <f t="shared" si="0"/>
        <v>0</v>
      </c>
      <c r="K59" s="21">
        <v>0</v>
      </c>
      <c r="L59" s="10">
        <f t="shared" si="1"/>
        <v>0</v>
      </c>
      <c r="M59" s="21">
        <v>0</v>
      </c>
      <c r="N59" s="205">
        <f t="shared" si="2"/>
        <v>0</v>
      </c>
      <c r="O59" s="21">
        <v>0</v>
      </c>
      <c r="P59" s="10">
        <f t="shared" si="7"/>
        <v>0</v>
      </c>
      <c r="Q59" s="21">
        <v>0</v>
      </c>
      <c r="R59" s="205">
        <f t="shared" si="3"/>
        <v>0</v>
      </c>
      <c r="S59" s="39">
        <f t="shared" si="11"/>
        <v>725</v>
      </c>
      <c r="T59" s="38">
        <f t="shared" si="4"/>
        <v>4.8937499999999998</v>
      </c>
      <c r="U59" s="21">
        <v>0</v>
      </c>
      <c r="V59" s="13">
        <f t="shared" si="8"/>
        <v>0</v>
      </c>
      <c r="W59" s="49">
        <f t="shared" si="9"/>
        <v>725</v>
      </c>
      <c r="X59" s="50">
        <f t="shared" si="10"/>
        <v>4.8937499999999998</v>
      </c>
      <c r="Y59" s="238">
        <v>500</v>
      </c>
      <c r="Z59" s="101">
        <v>1500</v>
      </c>
    </row>
    <row r="60" spans="1:26" ht="15.75" x14ac:dyDescent="0.25">
      <c r="A60" s="264">
        <v>56</v>
      </c>
      <c r="B60" s="256" t="s">
        <v>58</v>
      </c>
      <c r="C60" s="111">
        <v>50</v>
      </c>
      <c r="D60" s="112">
        <v>35</v>
      </c>
      <c r="E60" s="112">
        <v>3</v>
      </c>
      <c r="F60" s="19">
        <f t="shared" si="5"/>
        <v>5.2500000000000003E-3</v>
      </c>
      <c r="G60" s="23">
        <v>933</v>
      </c>
      <c r="H60" s="26">
        <f t="shared" si="6"/>
        <v>4.89825</v>
      </c>
      <c r="I60" s="21">
        <v>0</v>
      </c>
      <c r="J60" s="205">
        <f t="shared" si="0"/>
        <v>0</v>
      </c>
      <c r="K60" s="21">
        <v>0</v>
      </c>
      <c r="L60" s="10">
        <f t="shared" si="1"/>
        <v>0</v>
      </c>
      <c r="M60" s="21">
        <v>0</v>
      </c>
      <c r="N60" s="205">
        <f t="shared" si="2"/>
        <v>0</v>
      </c>
      <c r="O60" s="21">
        <v>0</v>
      </c>
      <c r="P60" s="10">
        <f t="shared" si="7"/>
        <v>0</v>
      </c>
      <c r="Q60" s="21">
        <v>0</v>
      </c>
      <c r="R60" s="205">
        <f t="shared" si="3"/>
        <v>0</v>
      </c>
      <c r="S60" s="39">
        <f t="shared" si="11"/>
        <v>933</v>
      </c>
      <c r="T60" s="38">
        <f t="shared" si="4"/>
        <v>4.89825</v>
      </c>
      <c r="U60" s="21">
        <v>0</v>
      </c>
      <c r="V60" s="13">
        <f t="shared" si="8"/>
        <v>0</v>
      </c>
      <c r="W60" s="49">
        <f t="shared" si="9"/>
        <v>933</v>
      </c>
      <c r="X60" s="50">
        <f t="shared" si="10"/>
        <v>4.89825</v>
      </c>
      <c r="Y60" s="238">
        <v>0</v>
      </c>
      <c r="Z60" s="101">
        <v>0</v>
      </c>
    </row>
    <row r="61" spans="1:26" ht="15.75" x14ac:dyDescent="0.25">
      <c r="A61" s="264">
        <v>57</v>
      </c>
      <c r="B61" s="256" t="s">
        <v>59</v>
      </c>
      <c r="C61" s="111">
        <v>42</v>
      </c>
      <c r="D61" s="112">
        <v>36</v>
      </c>
      <c r="E61" s="112">
        <v>4</v>
      </c>
      <c r="F61" s="19">
        <f t="shared" si="5"/>
        <v>6.0480000000000004E-3</v>
      </c>
      <c r="G61" s="23">
        <f>'ARALIK 1 HAFTA'!W61</f>
        <v>0</v>
      </c>
      <c r="H61" s="26">
        <f t="shared" si="6"/>
        <v>0</v>
      </c>
      <c r="I61" s="21">
        <v>0</v>
      </c>
      <c r="J61" s="205">
        <f t="shared" si="0"/>
        <v>0</v>
      </c>
      <c r="K61" s="21">
        <v>0</v>
      </c>
      <c r="L61" s="10">
        <f t="shared" si="1"/>
        <v>0</v>
      </c>
      <c r="M61" s="21">
        <v>0</v>
      </c>
      <c r="N61" s="205">
        <f t="shared" si="2"/>
        <v>0</v>
      </c>
      <c r="O61" s="21">
        <v>0</v>
      </c>
      <c r="P61" s="10">
        <f t="shared" si="7"/>
        <v>0</v>
      </c>
      <c r="Q61" s="21">
        <v>0</v>
      </c>
      <c r="R61" s="205">
        <f t="shared" si="3"/>
        <v>0</v>
      </c>
      <c r="S61" s="97">
        <f t="shared" si="11"/>
        <v>0</v>
      </c>
      <c r="T61" s="38">
        <f t="shared" si="4"/>
        <v>0</v>
      </c>
      <c r="U61" s="21">
        <v>0</v>
      </c>
      <c r="V61" s="13">
        <f t="shared" si="8"/>
        <v>0</v>
      </c>
      <c r="W61" s="49">
        <f t="shared" si="9"/>
        <v>0</v>
      </c>
      <c r="X61" s="50">
        <f t="shared" si="10"/>
        <v>0</v>
      </c>
      <c r="Y61" s="238">
        <v>300</v>
      </c>
      <c r="Z61" s="101">
        <v>1000</v>
      </c>
    </row>
    <row r="62" spans="1:26" ht="15.75" x14ac:dyDescent="0.25">
      <c r="A62" s="264">
        <v>58</v>
      </c>
      <c r="B62" s="256" t="s">
        <v>60</v>
      </c>
      <c r="C62" s="111">
        <v>50</v>
      </c>
      <c r="D62" s="112">
        <v>35</v>
      </c>
      <c r="E62" s="112">
        <v>3</v>
      </c>
      <c r="F62" s="19">
        <f t="shared" si="5"/>
        <v>5.2500000000000003E-3</v>
      </c>
      <c r="G62" s="23">
        <f>'ARALIK 1 HAFTA'!W62</f>
        <v>871</v>
      </c>
      <c r="H62" s="26">
        <f t="shared" si="6"/>
        <v>4.5727500000000001</v>
      </c>
      <c r="I62" s="21">
        <v>0</v>
      </c>
      <c r="J62" s="205">
        <f t="shared" si="0"/>
        <v>0</v>
      </c>
      <c r="K62" s="21">
        <v>46</v>
      </c>
      <c r="L62" s="10">
        <f t="shared" si="1"/>
        <v>0.24150000000000002</v>
      </c>
      <c r="M62" s="21">
        <v>0</v>
      </c>
      <c r="N62" s="205">
        <f t="shared" si="2"/>
        <v>0</v>
      </c>
      <c r="O62" s="21">
        <v>0</v>
      </c>
      <c r="P62" s="10">
        <f t="shared" si="7"/>
        <v>0</v>
      </c>
      <c r="Q62" s="21">
        <v>0</v>
      </c>
      <c r="R62" s="205">
        <f t="shared" si="3"/>
        <v>0</v>
      </c>
      <c r="S62" s="97">
        <f t="shared" si="11"/>
        <v>825</v>
      </c>
      <c r="T62" s="38">
        <f t="shared" si="4"/>
        <v>4.3312500000000007</v>
      </c>
      <c r="U62" s="21">
        <v>0</v>
      </c>
      <c r="V62" s="13">
        <f t="shared" si="8"/>
        <v>0</v>
      </c>
      <c r="W62" s="49">
        <f t="shared" si="9"/>
        <v>825</v>
      </c>
      <c r="X62" s="50">
        <f t="shared" si="10"/>
        <v>4.3312500000000007</v>
      </c>
      <c r="Y62" s="238">
        <v>300</v>
      </c>
      <c r="Z62" s="101">
        <v>1000</v>
      </c>
    </row>
    <row r="63" spans="1:26" ht="15.75" x14ac:dyDescent="0.25">
      <c r="A63" s="264">
        <v>59</v>
      </c>
      <c r="B63" s="257" t="s">
        <v>61</v>
      </c>
      <c r="C63" s="111">
        <v>45</v>
      </c>
      <c r="D63" s="112">
        <v>50</v>
      </c>
      <c r="E63" s="112">
        <v>3</v>
      </c>
      <c r="F63" s="19">
        <f t="shared" si="5"/>
        <v>6.7499999999999999E-3</v>
      </c>
      <c r="G63" s="23">
        <f>'ARALIK 1 HAFTA'!W63</f>
        <v>935</v>
      </c>
      <c r="H63" s="26">
        <f t="shared" si="6"/>
        <v>6.3112500000000002</v>
      </c>
      <c r="I63" s="21">
        <v>0</v>
      </c>
      <c r="J63" s="205">
        <f t="shared" si="0"/>
        <v>0</v>
      </c>
      <c r="K63" s="21">
        <v>46</v>
      </c>
      <c r="L63" s="10">
        <f t="shared" si="1"/>
        <v>0.3105</v>
      </c>
      <c r="M63" s="21">
        <v>0</v>
      </c>
      <c r="N63" s="205">
        <f t="shared" si="2"/>
        <v>0</v>
      </c>
      <c r="O63" s="21">
        <v>0</v>
      </c>
      <c r="P63" s="10">
        <f t="shared" si="7"/>
        <v>0</v>
      </c>
      <c r="Q63" s="21">
        <v>0</v>
      </c>
      <c r="R63" s="205">
        <f t="shared" si="3"/>
        <v>0</v>
      </c>
      <c r="S63" s="97">
        <f t="shared" si="11"/>
        <v>889</v>
      </c>
      <c r="T63" s="38">
        <f t="shared" si="4"/>
        <v>6.00075</v>
      </c>
      <c r="U63" s="21">
        <v>0</v>
      </c>
      <c r="V63" s="13">
        <f t="shared" si="8"/>
        <v>0</v>
      </c>
      <c r="W63" s="49">
        <f t="shared" si="9"/>
        <v>889</v>
      </c>
      <c r="X63" s="50">
        <f t="shared" si="10"/>
        <v>6.00075</v>
      </c>
      <c r="Y63" s="238">
        <v>500</v>
      </c>
      <c r="Z63" s="101">
        <v>1500</v>
      </c>
    </row>
    <row r="64" spans="1:26" ht="15.75" thickBot="1" x14ac:dyDescent="0.3">
      <c r="A64" s="264">
        <v>60</v>
      </c>
      <c r="B64" s="258" t="s">
        <v>90</v>
      </c>
      <c r="C64" s="36">
        <v>140</v>
      </c>
      <c r="D64" s="37">
        <v>9.5</v>
      </c>
      <c r="E64" s="37">
        <v>6.5</v>
      </c>
      <c r="F64" s="20">
        <f t="shared" si="5"/>
        <v>8.6449999999999999E-3</v>
      </c>
      <c r="G64" s="23">
        <f>'ARALIK 1 HAFTA'!W64</f>
        <v>200</v>
      </c>
      <c r="H64" s="27">
        <f t="shared" si="6"/>
        <v>1.7290000000000001</v>
      </c>
      <c r="I64" s="21">
        <v>0</v>
      </c>
      <c r="J64" s="205">
        <f t="shared" si="0"/>
        <v>0</v>
      </c>
      <c r="K64" s="21">
        <v>0</v>
      </c>
      <c r="L64" s="10">
        <f t="shared" si="1"/>
        <v>0</v>
      </c>
      <c r="M64" s="21">
        <v>0</v>
      </c>
      <c r="N64" s="205">
        <f t="shared" si="2"/>
        <v>0</v>
      </c>
      <c r="O64" s="21">
        <v>0</v>
      </c>
      <c r="P64" s="48">
        <f t="shared" si="7"/>
        <v>0</v>
      </c>
      <c r="Q64" s="21">
        <v>0</v>
      </c>
      <c r="R64" s="205">
        <f t="shared" si="3"/>
        <v>0</v>
      </c>
      <c r="S64" s="97">
        <f t="shared" si="11"/>
        <v>200</v>
      </c>
      <c r="T64" s="41">
        <f t="shared" si="4"/>
        <v>1.7290000000000001</v>
      </c>
      <c r="U64" s="21">
        <v>0</v>
      </c>
      <c r="V64" s="13">
        <f t="shared" si="8"/>
        <v>0</v>
      </c>
      <c r="W64" s="49">
        <f t="shared" si="9"/>
        <v>200</v>
      </c>
      <c r="X64" s="50">
        <f t="shared" si="10"/>
        <v>1.7290000000000001</v>
      </c>
      <c r="Y64" s="238">
        <v>100</v>
      </c>
      <c r="Z64" s="101">
        <v>300</v>
      </c>
    </row>
    <row r="65" spans="1:26" ht="15.75" x14ac:dyDescent="0.25">
      <c r="A65" s="264">
        <v>61</v>
      </c>
      <c r="B65" s="259" t="s">
        <v>79</v>
      </c>
      <c r="C65" s="112">
        <v>90</v>
      </c>
      <c r="D65" s="112">
        <v>83</v>
      </c>
      <c r="E65" s="112">
        <v>2</v>
      </c>
      <c r="F65" s="114">
        <f t="shared" si="5"/>
        <v>1.494E-2</v>
      </c>
      <c r="G65" s="23">
        <v>100</v>
      </c>
      <c r="H65" s="116">
        <f t="shared" si="6"/>
        <v>1.494</v>
      </c>
      <c r="I65" s="21">
        <v>0</v>
      </c>
      <c r="J65" s="205">
        <f t="shared" si="0"/>
        <v>0</v>
      </c>
      <c r="K65" s="21">
        <v>0</v>
      </c>
      <c r="L65" s="10">
        <f t="shared" si="1"/>
        <v>0</v>
      </c>
      <c r="M65" s="21">
        <v>0</v>
      </c>
      <c r="N65" s="205">
        <f t="shared" si="2"/>
        <v>0</v>
      </c>
      <c r="O65" s="21">
        <v>0</v>
      </c>
      <c r="P65" s="121">
        <f t="shared" si="7"/>
        <v>0</v>
      </c>
      <c r="Q65" s="21">
        <v>0</v>
      </c>
      <c r="R65" s="205">
        <f t="shared" si="3"/>
        <v>0</v>
      </c>
      <c r="S65" s="140">
        <f t="shared" si="11"/>
        <v>100</v>
      </c>
      <c r="T65" s="123">
        <f t="shared" si="4"/>
        <v>1.494</v>
      </c>
      <c r="U65" s="21">
        <v>0</v>
      </c>
      <c r="V65" s="139">
        <f t="shared" si="8"/>
        <v>0</v>
      </c>
      <c r="W65" s="141">
        <f t="shared" si="9"/>
        <v>100</v>
      </c>
      <c r="X65" s="50">
        <f t="shared" si="10"/>
        <v>1.494</v>
      </c>
      <c r="Y65" s="238">
        <v>100</v>
      </c>
      <c r="Z65" s="101">
        <v>300</v>
      </c>
    </row>
    <row r="66" spans="1:26" ht="15.75" x14ac:dyDescent="0.25">
      <c r="A66" s="264">
        <v>62</v>
      </c>
      <c r="B66" s="260" t="s">
        <v>80</v>
      </c>
      <c r="C66" s="113">
        <v>92</v>
      </c>
      <c r="D66" s="113">
        <v>82</v>
      </c>
      <c r="E66" s="113">
        <v>2</v>
      </c>
      <c r="F66" s="124">
        <f t="shared" si="5"/>
        <v>1.5088000000000001E-2</v>
      </c>
      <c r="G66" s="23">
        <v>160</v>
      </c>
      <c r="H66" s="125">
        <f t="shared" si="6"/>
        <v>2.4140800000000002</v>
      </c>
      <c r="I66" s="21">
        <v>0</v>
      </c>
      <c r="J66" s="205">
        <f t="shared" si="0"/>
        <v>0</v>
      </c>
      <c r="K66" s="21">
        <v>70</v>
      </c>
      <c r="L66" s="10">
        <f t="shared" si="1"/>
        <v>1.05616</v>
      </c>
      <c r="M66" s="21">
        <v>0</v>
      </c>
      <c r="N66" s="205">
        <f t="shared" si="2"/>
        <v>0</v>
      </c>
      <c r="O66" s="21">
        <v>0</v>
      </c>
      <c r="P66" s="121">
        <f t="shared" si="7"/>
        <v>0</v>
      </c>
      <c r="Q66" s="21">
        <v>90</v>
      </c>
      <c r="R66" s="205">
        <f t="shared" si="3"/>
        <v>1.35792</v>
      </c>
      <c r="S66" s="140">
        <f t="shared" si="11"/>
        <v>0</v>
      </c>
      <c r="T66" s="123">
        <f t="shared" si="4"/>
        <v>0</v>
      </c>
      <c r="U66" s="21">
        <v>0</v>
      </c>
      <c r="V66" s="139">
        <f t="shared" si="8"/>
        <v>0</v>
      </c>
      <c r="W66" s="141">
        <f t="shared" si="9"/>
        <v>0</v>
      </c>
      <c r="X66" s="107">
        <f t="shared" si="10"/>
        <v>0</v>
      </c>
      <c r="Y66" s="238">
        <v>100</v>
      </c>
      <c r="Z66" s="101">
        <v>300</v>
      </c>
    </row>
    <row r="67" spans="1:26" x14ac:dyDescent="0.25">
      <c r="A67" s="264">
        <v>63</v>
      </c>
      <c r="B67" s="261" t="s">
        <v>82</v>
      </c>
      <c r="C67" s="35">
        <v>82</v>
      </c>
      <c r="D67" s="35">
        <v>80</v>
      </c>
      <c r="E67" s="35">
        <v>2</v>
      </c>
      <c r="F67" s="114">
        <f t="shared" si="5"/>
        <v>1.312E-2</v>
      </c>
      <c r="G67" s="23">
        <v>253</v>
      </c>
      <c r="H67" s="110">
        <f t="shared" si="6"/>
        <v>3.3193600000000001</v>
      </c>
      <c r="I67" s="21">
        <v>0</v>
      </c>
      <c r="J67" s="205">
        <f t="shared" si="0"/>
        <v>0</v>
      </c>
      <c r="K67" s="21">
        <v>0</v>
      </c>
      <c r="L67" s="10">
        <f t="shared" si="1"/>
        <v>0</v>
      </c>
      <c r="M67" s="21">
        <v>0</v>
      </c>
      <c r="N67" s="205">
        <f t="shared" si="2"/>
        <v>0</v>
      </c>
      <c r="O67" s="21">
        <v>0</v>
      </c>
      <c r="P67" s="10">
        <f t="shared" si="7"/>
        <v>0</v>
      </c>
      <c r="Q67" s="21">
        <v>90</v>
      </c>
      <c r="R67" s="205">
        <f t="shared" si="3"/>
        <v>1.1808000000000001</v>
      </c>
      <c r="S67" s="97">
        <f t="shared" si="11"/>
        <v>163</v>
      </c>
      <c r="T67" s="87">
        <f t="shared" si="4"/>
        <v>2.13856</v>
      </c>
      <c r="U67" s="21">
        <v>0</v>
      </c>
      <c r="V67" s="139">
        <f t="shared" si="8"/>
        <v>0</v>
      </c>
      <c r="W67" s="141">
        <f t="shared" si="9"/>
        <v>163</v>
      </c>
      <c r="X67" s="107">
        <f t="shared" si="10"/>
        <v>2.13856</v>
      </c>
      <c r="Y67" s="238">
        <v>50</v>
      </c>
      <c r="Z67" s="101">
        <v>200</v>
      </c>
    </row>
    <row r="68" spans="1:26" x14ac:dyDescent="0.25">
      <c r="A68" s="264">
        <v>64</v>
      </c>
      <c r="B68" s="261" t="s">
        <v>83</v>
      </c>
      <c r="C68" s="35">
        <v>86</v>
      </c>
      <c r="D68" s="35">
        <v>77</v>
      </c>
      <c r="E68" s="35">
        <v>8</v>
      </c>
      <c r="F68" s="114">
        <f t="shared" si="5"/>
        <v>5.2976000000000002E-2</v>
      </c>
      <c r="G68" s="23">
        <v>21</v>
      </c>
      <c r="H68" s="110">
        <f t="shared" si="6"/>
        <v>1.1124960000000002</v>
      </c>
      <c r="I68" s="21">
        <v>0</v>
      </c>
      <c r="J68" s="205">
        <f t="shared" si="0"/>
        <v>0</v>
      </c>
      <c r="K68" s="21">
        <v>0</v>
      </c>
      <c r="L68" s="10">
        <f t="shared" si="1"/>
        <v>0</v>
      </c>
      <c r="M68" s="21">
        <v>0</v>
      </c>
      <c r="N68" s="205">
        <f t="shared" si="2"/>
        <v>0</v>
      </c>
      <c r="O68" s="21">
        <v>0</v>
      </c>
      <c r="P68" s="10">
        <f t="shared" si="7"/>
        <v>0</v>
      </c>
      <c r="Q68" s="21">
        <v>0</v>
      </c>
      <c r="R68" s="205">
        <f t="shared" si="3"/>
        <v>0</v>
      </c>
      <c r="S68" s="97">
        <f t="shared" si="11"/>
        <v>21</v>
      </c>
      <c r="T68" s="87">
        <f t="shared" si="4"/>
        <v>1.1124960000000002</v>
      </c>
      <c r="U68" s="21">
        <v>0</v>
      </c>
      <c r="V68" s="139">
        <f t="shared" si="8"/>
        <v>0</v>
      </c>
      <c r="W68" s="141">
        <f t="shared" si="9"/>
        <v>21</v>
      </c>
      <c r="X68" s="107">
        <f t="shared" si="10"/>
        <v>1.1124960000000002</v>
      </c>
      <c r="Y68" s="238">
        <v>50</v>
      </c>
      <c r="Z68" s="101">
        <v>200</v>
      </c>
    </row>
    <row r="69" spans="1:26" x14ac:dyDescent="0.25">
      <c r="A69" s="264">
        <v>65</v>
      </c>
      <c r="B69" s="261" t="s">
        <v>84</v>
      </c>
      <c r="C69" s="35">
        <v>76</v>
      </c>
      <c r="D69" s="35">
        <v>75</v>
      </c>
      <c r="E69" s="35">
        <v>8</v>
      </c>
      <c r="F69" s="114">
        <f t="shared" si="5"/>
        <v>4.5600000000000002E-2</v>
      </c>
      <c r="G69" s="23">
        <f>'ARALIK 1 HAFTA'!W69</f>
        <v>12</v>
      </c>
      <c r="H69" s="110">
        <f t="shared" si="6"/>
        <v>0.54720000000000002</v>
      </c>
      <c r="I69" s="21">
        <v>0</v>
      </c>
      <c r="J69" s="205">
        <f t="shared" ref="J69:J78" si="12">F69*I69</f>
        <v>0</v>
      </c>
      <c r="K69" s="21">
        <v>0</v>
      </c>
      <c r="L69" s="10">
        <f t="shared" ref="L69:L75" si="13">F69*K69</f>
        <v>0</v>
      </c>
      <c r="M69" s="21">
        <v>0</v>
      </c>
      <c r="N69" s="205">
        <f t="shared" ref="N69:N78" si="14">F69*M69</f>
        <v>0</v>
      </c>
      <c r="O69" s="21">
        <v>0</v>
      </c>
      <c r="P69" s="10">
        <f t="shared" si="7"/>
        <v>0</v>
      </c>
      <c r="Q69" s="21">
        <v>0</v>
      </c>
      <c r="R69" s="205">
        <f t="shared" ref="R69:R78" si="15">F69*Q69</f>
        <v>0</v>
      </c>
      <c r="S69" s="97">
        <f t="shared" si="11"/>
        <v>12</v>
      </c>
      <c r="T69" s="87">
        <f t="shared" ref="T69:T78" si="16">F69*S69</f>
        <v>0.54720000000000002</v>
      </c>
      <c r="U69" s="21">
        <v>0</v>
      </c>
      <c r="V69" s="139">
        <f t="shared" ref="V69:V70" si="17">R69*U69</f>
        <v>0</v>
      </c>
      <c r="W69" s="141">
        <f t="shared" si="9"/>
        <v>12</v>
      </c>
      <c r="X69" s="107">
        <f t="shared" si="10"/>
        <v>0.54720000000000002</v>
      </c>
      <c r="Y69" s="238">
        <v>5</v>
      </c>
      <c r="Z69" s="101">
        <v>10</v>
      </c>
    </row>
    <row r="70" spans="1:26" x14ac:dyDescent="0.25">
      <c r="A70" s="264">
        <v>66</v>
      </c>
      <c r="B70" s="261" t="s">
        <v>85</v>
      </c>
      <c r="C70" s="35">
        <v>140</v>
      </c>
      <c r="D70" s="35">
        <v>240</v>
      </c>
      <c r="E70" s="35">
        <v>12</v>
      </c>
      <c r="F70" s="114">
        <f t="shared" ref="F70:F72" si="18">(C70*D70*E70)/1000000</f>
        <v>0.4032</v>
      </c>
      <c r="G70" s="23">
        <v>3</v>
      </c>
      <c r="H70" s="110">
        <f t="shared" ref="H70:H78" si="19">F70*G70</f>
        <v>1.2096</v>
      </c>
      <c r="I70" s="21">
        <v>1</v>
      </c>
      <c r="J70" s="205">
        <f t="shared" si="12"/>
        <v>0.4032</v>
      </c>
      <c r="K70" s="21">
        <v>0</v>
      </c>
      <c r="L70" s="10">
        <f t="shared" si="13"/>
        <v>0</v>
      </c>
      <c r="M70" s="21">
        <v>0</v>
      </c>
      <c r="N70" s="205">
        <f t="shared" si="14"/>
        <v>0</v>
      </c>
      <c r="O70" s="21">
        <v>0</v>
      </c>
      <c r="P70" s="10">
        <f t="shared" ref="P70:P78" si="20">F70*O70</f>
        <v>0</v>
      </c>
      <c r="Q70" s="21">
        <v>0</v>
      </c>
      <c r="R70" s="205">
        <f t="shared" si="15"/>
        <v>0</v>
      </c>
      <c r="S70" s="97">
        <f t="shared" si="11"/>
        <v>2</v>
      </c>
      <c r="T70" s="87">
        <f t="shared" si="16"/>
        <v>0.80640000000000001</v>
      </c>
      <c r="U70" s="21">
        <v>0</v>
      </c>
      <c r="V70" s="139">
        <f t="shared" si="17"/>
        <v>0</v>
      </c>
      <c r="W70" s="141">
        <f t="shared" ref="W70:W78" si="21">S70+U70</f>
        <v>2</v>
      </c>
      <c r="X70" s="107">
        <f t="shared" ref="X70:X78" si="22">F70*W70</f>
        <v>0.80640000000000001</v>
      </c>
      <c r="Y70" s="238">
        <v>20</v>
      </c>
      <c r="Z70" s="101">
        <v>50</v>
      </c>
    </row>
    <row r="71" spans="1:26" x14ac:dyDescent="0.25">
      <c r="A71" s="264">
        <v>67</v>
      </c>
      <c r="B71" s="261" t="s">
        <v>96</v>
      </c>
      <c r="C71" s="130">
        <v>140</v>
      </c>
      <c r="D71" s="130">
        <v>240</v>
      </c>
      <c r="E71" s="130">
        <v>2</v>
      </c>
      <c r="F71" s="131">
        <f t="shared" si="18"/>
        <v>6.7199999999999996E-2</v>
      </c>
      <c r="G71" s="23">
        <v>188</v>
      </c>
      <c r="H71" s="135">
        <f t="shared" si="19"/>
        <v>12.633599999999999</v>
      </c>
      <c r="I71" s="21">
        <v>5</v>
      </c>
      <c r="J71" s="205">
        <f t="shared" si="12"/>
        <v>0.33599999999999997</v>
      </c>
      <c r="K71" s="21">
        <v>3</v>
      </c>
      <c r="L71" s="10">
        <f t="shared" si="13"/>
        <v>0.2016</v>
      </c>
      <c r="M71" s="21">
        <v>3</v>
      </c>
      <c r="N71" s="205">
        <f t="shared" si="14"/>
        <v>0.2016</v>
      </c>
      <c r="O71" s="21">
        <v>1</v>
      </c>
      <c r="P71" s="173">
        <f t="shared" si="20"/>
        <v>6.7199999999999996E-2</v>
      </c>
      <c r="Q71" s="21">
        <v>0</v>
      </c>
      <c r="R71" s="205">
        <f t="shared" si="15"/>
        <v>0</v>
      </c>
      <c r="S71" s="97">
        <f t="shared" ref="S71:S78" si="23">G71-I71-K71-M71-O71-Q71</f>
        <v>176</v>
      </c>
      <c r="T71" s="97">
        <f t="shared" si="16"/>
        <v>11.827199999999999</v>
      </c>
      <c r="U71" s="21">
        <v>0</v>
      </c>
      <c r="V71" s="139">
        <f t="shared" ref="V71:V78" si="24">F71*U71</f>
        <v>0</v>
      </c>
      <c r="W71" s="141">
        <f t="shared" si="21"/>
        <v>176</v>
      </c>
      <c r="X71" s="141">
        <f t="shared" si="22"/>
        <v>11.827199999999999</v>
      </c>
      <c r="Y71" s="238">
        <v>30</v>
      </c>
      <c r="Z71" s="101">
        <v>100</v>
      </c>
    </row>
    <row r="72" spans="1:26" x14ac:dyDescent="0.25">
      <c r="A72" s="264">
        <v>68</v>
      </c>
      <c r="B72" s="262" t="s">
        <v>95</v>
      </c>
      <c r="C72" s="130">
        <v>61</v>
      </c>
      <c r="D72" s="130">
        <v>61</v>
      </c>
      <c r="E72" s="130">
        <v>3</v>
      </c>
      <c r="F72" s="131">
        <f t="shared" si="18"/>
        <v>1.1162999999999999E-2</v>
      </c>
      <c r="G72" s="23">
        <v>171</v>
      </c>
      <c r="H72" s="135">
        <f t="shared" si="19"/>
        <v>1.9088729999999998</v>
      </c>
      <c r="I72" s="21">
        <v>0</v>
      </c>
      <c r="J72" s="205">
        <f t="shared" si="12"/>
        <v>0</v>
      </c>
      <c r="K72" s="21">
        <v>0</v>
      </c>
      <c r="L72" s="10">
        <f t="shared" si="13"/>
        <v>0</v>
      </c>
      <c r="M72" s="21">
        <v>0</v>
      </c>
      <c r="N72" s="205">
        <f t="shared" si="14"/>
        <v>0</v>
      </c>
      <c r="O72" s="21">
        <v>0</v>
      </c>
      <c r="P72" s="173">
        <f t="shared" si="20"/>
        <v>0</v>
      </c>
      <c r="Q72" s="21">
        <v>0</v>
      </c>
      <c r="R72" s="205">
        <f t="shared" si="15"/>
        <v>0</v>
      </c>
      <c r="S72" s="97">
        <f t="shared" si="23"/>
        <v>171</v>
      </c>
      <c r="T72" s="97">
        <f t="shared" si="16"/>
        <v>1.9088729999999998</v>
      </c>
      <c r="U72" s="21">
        <v>0</v>
      </c>
      <c r="V72" s="252">
        <f t="shared" si="24"/>
        <v>0</v>
      </c>
      <c r="W72" s="253">
        <f t="shared" si="21"/>
        <v>171</v>
      </c>
      <c r="X72" s="253">
        <f t="shared" si="22"/>
        <v>1.9088729999999998</v>
      </c>
      <c r="Y72" s="238">
        <v>0</v>
      </c>
      <c r="Z72" s="101">
        <v>0</v>
      </c>
    </row>
    <row r="73" spans="1:26" x14ac:dyDescent="0.25">
      <c r="A73" s="264">
        <v>69</v>
      </c>
      <c r="B73" s="108" t="s">
        <v>106</v>
      </c>
      <c r="C73" s="96"/>
      <c r="D73" s="96"/>
      <c r="E73" s="96"/>
      <c r="F73" s="109"/>
      <c r="G73" s="23">
        <f>'ARALIK 1 HAFTA'!W73</f>
        <v>20</v>
      </c>
      <c r="H73" s="135">
        <f t="shared" si="19"/>
        <v>0</v>
      </c>
      <c r="I73" s="21">
        <v>0</v>
      </c>
      <c r="J73" s="205">
        <f t="shared" si="12"/>
        <v>0</v>
      </c>
      <c r="K73" s="21">
        <v>0</v>
      </c>
      <c r="L73" s="10">
        <f t="shared" si="13"/>
        <v>0</v>
      </c>
      <c r="M73" s="21">
        <v>0</v>
      </c>
      <c r="N73" s="205">
        <f t="shared" si="14"/>
        <v>0</v>
      </c>
      <c r="O73" s="21">
        <v>0</v>
      </c>
      <c r="P73" s="250">
        <f t="shared" si="20"/>
        <v>0</v>
      </c>
      <c r="Q73" s="21">
        <v>0</v>
      </c>
      <c r="R73" s="205">
        <f t="shared" si="15"/>
        <v>0</v>
      </c>
      <c r="S73" s="97">
        <f t="shared" si="23"/>
        <v>20</v>
      </c>
      <c r="T73" s="97">
        <f t="shared" si="16"/>
        <v>0</v>
      </c>
      <c r="U73" s="21">
        <v>0</v>
      </c>
      <c r="V73" s="252">
        <f t="shared" si="24"/>
        <v>0</v>
      </c>
      <c r="W73" s="253">
        <f t="shared" si="21"/>
        <v>20</v>
      </c>
      <c r="X73" s="253">
        <f t="shared" si="22"/>
        <v>0</v>
      </c>
      <c r="Y73" s="101">
        <v>0</v>
      </c>
      <c r="Z73" s="101">
        <v>0</v>
      </c>
    </row>
    <row r="74" spans="1:26" x14ac:dyDescent="0.25">
      <c r="A74" s="105">
        <v>70</v>
      </c>
      <c r="B74" s="270" t="s">
        <v>107</v>
      </c>
      <c r="C74" s="105"/>
      <c r="D74" s="105"/>
      <c r="E74" s="271"/>
      <c r="F74" s="125"/>
      <c r="G74" s="23">
        <f>'ARALIK 1 HAFTA'!W74</f>
        <v>20</v>
      </c>
      <c r="H74" s="135">
        <f t="shared" si="19"/>
        <v>0</v>
      </c>
      <c r="I74" s="21">
        <v>0</v>
      </c>
      <c r="J74" s="205">
        <f t="shared" si="12"/>
        <v>0</v>
      </c>
      <c r="K74" s="21">
        <v>0</v>
      </c>
      <c r="L74" s="10">
        <f t="shared" si="13"/>
        <v>0</v>
      </c>
      <c r="M74" s="21">
        <v>0</v>
      </c>
      <c r="N74" s="205">
        <f t="shared" si="14"/>
        <v>0</v>
      </c>
      <c r="O74" s="21">
        <v>0</v>
      </c>
      <c r="P74" s="250">
        <f t="shared" si="20"/>
        <v>0</v>
      </c>
      <c r="Q74" s="21">
        <v>0</v>
      </c>
      <c r="R74" s="205">
        <f t="shared" si="15"/>
        <v>0</v>
      </c>
      <c r="S74" s="97">
        <f t="shared" si="23"/>
        <v>20</v>
      </c>
      <c r="T74" s="97">
        <f t="shared" si="16"/>
        <v>0</v>
      </c>
      <c r="U74" s="21">
        <v>0</v>
      </c>
      <c r="V74" s="252">
        <f t="shared" si="24"/>
        <v>0</v>
      </c>
      <c r="W74" s="253">
        <f t="shared" si="21"/>
        <v>20</v>
      </c>
      <c r="X74" s="253">
        <f t="shared" si="22"/>
        <v>0</v>
      </c>
      <c r="Y74" s="106"/>
      <c r="Z74" s="106"/>
    </row>
    <row r="75" spans="1:26" x14ac:dyDescent="0.25">
      <c r="A75" s="96">
        <v>71</v>
      </c>
      <c r="B75" s="265" t="s">
        <v>108</v>
      </c>
      <c r="C75" s="96">
        <v>140</v>
      </c>
      <c r="D75" s="96">
        <v>240</v>
      </c>
      <c r="E75" s="109">
        <v>6</v>
      </c>
      <c r="F75" s="131">
        <f t="shared" ref="F75:F78" si="25">(C75*D75*E75)/1000000</f>
        <v>0.2016</v>
      </c>
      <c r="G75" s="23">
        <v>32</v>
      </c>
      <c r="H75" s="135">
        <f t="shared" si="19"/>
        <v>6.4512</v>
      </c>
      <c r="I75" s="21">
        <v>0</v>
      </c>
      <c r="J75" s="205">
        <f t="shared" si="12"/>
        <v>0</v>
      </c>
      <c r="K75" s="21">
        <v>0</v>
      </c>
      <c r="L75" s="85">
        <f t="shared" si="13"/>
        <v>0</v>
      </c>
      <c r="M75" s="21">
        <v>0</v>
      </c>
      <c r="N75" s="205">
        <f t="shared" si="14"/>
        <v>0</v>
      </c>
      <c r="O75" s="21">
        <v>0</v>
      </c>
      <c r="P75" s="250">
        <f t="shared" si="20"/>
        <v>0</v>
      </c>
      <c r="Q75" s="21">
        <v>0</v>
      </c>
      <c r="R75" s="276">
        <f t="shared" si="15"/>
        <v>0</v>
      </c>
      <c r="S75" s="251">
        <f t="shared" si="23"/>
        <v>32</v>
      </c>
      <c r="T75" s="97">
        <f t="shared" si="16"/>
        <v>6.4512</v>
      </c>
      <c r="U75" s="21">
        <v>0</v>
      </c>
      <c r="V75" s="252">
        <f t="shared" si="24"/>
        <v>0</v>
      </c>
      <c r="W75" s="253">
        <f t="shared" si="21"/>
        <v>32</v>
      </c>
      <c r="X75" s="253">
        <f t="shared" si="22"/>
        <v>6.4512</v>
      </c>
      <c r="Y75" s="106"/>
      <c r="Z75" s="106"/>
    </row>
    <row r="76" spans="1:26" x14ac:dyDescent="0.25">
      <c r="A76" s="277">
        <v>72</v>
      </c>
      <c r="B76" s="175" t="s">
        <v>113</v>
      </c>
      <c r="C76" s="2">
        <v>63</v>
      </c>
      <c r="D76" s="2">
        <v>60</v>
      </c>
      <c r="E76" s="2">
        <v>5</v>
      </c>
      <c r="F76" s="131">
        <f t="shared" si="25"/>
        <v>1.89E-2</v>
      </c>
      <c r="G76" s="23">
        <v>164</v>
      </c>
      <c r="H76" s="135">
        <f t="shared" si="19"/>
        <v>3.0996000000000001</v>
      </c>
      <c r="I76" s="21">
        <v>0</v>
      </c>
      <c r="J76" s="205">
        <f t="shared" si="12"/>
        <v>0</v>
      </c>
      <c r="K76" s="21">
        <v>0</v>
      </c>
      <c r="L76" s="105"/>
      <c r="M76" s="21">
        <v>0</v>
      </c>
      <c r="N76" s="205">
        <f t="shared" si="14"/>
        <v>0</v>
      </c>
      <c r="O76" s="21">
        <v>0</v>
      </c>
      <c r="P76" s="250">
        <f t="shared" si="20"/>
        <v>0</v>
      </c>
      <c r="Q76" s="21">
        <v>0</v>
      </c>
      <c r="R76" s="276">
        <f t="shared" si="15"/>
        <v>0</v>
      </c>
      <c r="S76" s="251">
        <f t="shared" si="23"/>
        <v>164</v>
      </c>
      <c r="T76" s="251">
        <f t="shared" si="16"/>
        <v>3.0996000000000001</v>
      </c>
      <c r="U76" s="21">
        <v>0</v>
      </c>
      <c r="V76" s="252">
        <f t="shared" si="24"/>
        <v>0</v>
      </c>
      <c r="W76" s="253">
        <f t="shared" si="21"/>
        <v>164</v>
      </c>
      <c r="X76" s="253">
        <f t="shared" si="22"/>
        <v>3.0996000000000001</v>
      </c>
      <c r="Y76" s="106"/>
      <c r="Z76" s="106"/>
    </row>
    <row r="77" spans="1:26" ht="15.75" thickBot="1" x14ac:dyDescent="0.3">
      <c r="A77" s="279">
        <v>73</v>
      </c>
      <c r="B77" s="280" t="s">
        <v>115</v>
      </c>
      <c r="C77" s="2">
        <v>90</v>
      </c>
      <c r="D77" s="2">
        <v>85</v>
      </c>
      <c r="E77" s="2">
        <v>5</v>
      </c>
      <c r="F77" s="131">
        <f t="shared" si="25"/>
        <v>3.8249999999999999E-2</v>
      </c>
      <c r="G77" s="23">
        <v>145</v>
      </c>
      <c r="H77" s="135">
        <f t="shared" si="19"/>
        <v>5.5462499999999997</v>
      </c>
      <c r="I77" s="21">
        <v>0</v>
      </c>
      <c r="J77" s="205">
        <f t="shared" si="12"/>
        <v>0</v>
      </c>
      <c r="K77" s="21">
        <v>0</v>
      </c>
      <c r="L77" s="96"/>
      <c r="M77" s="21">
        <v>0</v>
      </c>
      <c r="N77" s="205">
        <f t="shared" si="14"/>
        <v>0</v>
      </c>
      <c r="O77" s="21">
        <v>0</v>
      </c>
      <c r="P77" s="250">
        <f t="shared" si="20"/>
        <v>0</v>
      </c>
      <c r="Q77" s="21">
        <v>15</v>
      </c>
      <c r="R77" s="276">
        <f t="shared" si="15"/>
        <v>0.57374999999999998</v>
      </c>
      <c r="S77" s="251">
        <f t="shared" si="23"/>
        <v>130</v>
      </c>
      <c r="T77" s="251">
        <f t="shared" si="16"/>
        <v>4.9725000000000001</v>
      </c>
      <c r="U77" s="21">
        <v>0</v>
      </c>
      <c r="V77" s="264">
        <f t="shared" si="24"/>
        <v>0</v>
      </c>
      <c r="W77" s="264">
        <f t="shared" si="21"/>
        <v>130</v>
      </c>
      <c r="X77" s="264">
        <f t="shared" si="22"/>
        <v>4.9725000000000001</v>
      </c>
      <c r="Y77" s="101"/>
      <c r="Z77" s="101"/>
    </row>
    <row r="78" spans="1:26" x14ac:dyDescent="0.25">
      <c r="A78" s="277">
        <v>74</v>
      </c>
      <c r="B78" s="151" t="s">
        <v>116</v>
      </c>
      <c r="C78" s="2">
        <v>100</v>
      </c>
      <c r="D78" s="2">
        <v>90</v>
      </c>
      <c r="E78" s="2">
        <v>3</v>
      </c>
      <c r="F78" s="131">
        <f t="shared" si="25"/>
        <v>2.7E-2</v>
      </c>
      <c r="G78" s="23">
        <v>132</v>
      </c>
      <c r="H78" s="136">
        <f t="shared" si="19"/>
        <v>3.5640000000000001</v>
      </c>
      <c r="I78" s="21">
        <v>0</v>
      </c>
      <c r="J78" s="205">
        <f t="shared" si="12"/>
        <v>0</v>
      </c>
      <c r="K78" s="21">
        <v>0</v>
      </c>
      <c r="L78" s="96"/>
      <c r="M78" s="21">
        <v>0</v>
      </c>
      <c r="N78" s="205">
        <f t="shared" si="14"/>
        <v>0</v>
      </c>
      <c r="O78" s="21">
        <v>0</v>
      </c>
      <c r="P78" s="174">
        <f t="shared" si="20"/>
        <v>0</v>
      </c>
      <c r="Q78" s="21">
        <v>0</v>
      </c>
      <c r="R78" s="276">
        <f t="shared" si="15"/>
        <v>0</v>
      </c>
      <c r="S78" s="97">
        <f t="shared" si="23"/>
        <v>132</v>
      </c>
      <c r="T78" s="97">
        <f t="shared" si="16"/>
        <v>3.5640000000000001</v>
      </c>
      <c r="U78" s="21">
        <v>0</v>
      </c>
      <c r="V78" s="264">
        <f t="shared" si="24"/>
        <v>0</v>
      </c>
      <c r="W78" s="264">
        <f t="shared" si="21"/>
        <v>132</v>
      </c>
      <c r="X78" s="264">
        <f t="shared" si="22"/>
        <v>3.5640000000000001</v>
      </c>
      <c r="Y78" s="101"/>
      <c r="Z78" s="101"/>
    </row>
  </sheetData>
  <mergeCells count="24">
    <mergeCell ref="S4:T4"/>
    <mergeCell ref="U4:V4"/>
    <mergeCell ref="W4:X4"/>
    <mergeCell ref="G4:H4"/>
    <mergeCell ref="I4:J4"/>
    <mergeCell ref="K4:L4"/>
    <mergeCell ref="M4:N4"/>
    <mergeCell ref="O4:P4"/>
    <mergeCell ref="Q4:R4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C1:H1"/>
    <mergeCell ref="G2:H3"/>
    <mergeCell ref="I2:J2"/>
    <mergeCell ref="K2:L2"/>
    <mergeCell ref="M2:N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78"/>
  <sheetViews>
    <sheetView topLeftCell="G58" workbookViewId="0">
      <selection activeCell="J12" sqref="J12"/>
    </sheetView>
  </sheetViews>
  <sheetFormatPr defaultRowHeight="15" x14ac:dyDescent="0.25"/>
  <cols>
    <col min="1" max="1" width="6.42578125" customWidth="1"/>
    <col min="2" max="2" width="29.85546875" style="3" customWidth="1"/>
    <col min="3" max="3" width="13.28515625" style="2" hidden="1" customWidth="1"/>
    <col min="4" max="4" width="11.85546875" style="2" hidden="1" customWidth="1"/>
    <col min="5" max="5" width="11" style="2" hidden="1" customWidth="1"/>
    <col min="6" max="6" width="12" style="4" hidden="1" customWidth="1"/>
    <col min="7" max="8" width="9" style="5" customWidth="1"/>
    <col min="9" max="20" width="8.140625" style="2" customWidth="1"/>
    <col min="25" max="25" width="10.28515625" customWidth="1"/>
  </cols>
  <sheetData>
    <row r="1" spans="1:26" ht="15.75" thickBot="1" x14ac:dyDescent="0.3">
      <c r="B1" s="4" t="s">
        <v>18</v>
      </c>
      <c r="C1" s="320" t="s">
        <v>123</v>
      </c>
      <c r="D1" s="320"/>
      <c r="E1" s="320"/>
      <c r="F1" s="320"/>
      <c r="G1" s="320"/>
      <c r="H1" s="320"/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44921</v>
      </c>
      <c r="J2" s="326"/>
      <c r="K2" s="327">
        <v>44922</v>
      </c>
      <c r="L2" s="328"/>
      <c r="M2" s="325">
        <v>44923</v>
      </c>
      <c r="N2" s="329"/>
      <c r="O2" s="327">
        <v>44924</v>
      </c>
      <c r="P2" s="346"/>
      <c r="Q2" s="325">
        <v>44925</v>
      </c>
      <c r="R2" s="329"/>
      <c r="S2" s="330" t="s">
        <v>69</v>
      </c>
      <c r="T2" s="331"/>
      <c r="U2" s="334" t="s">
        <v>70</v>
      </c>
      <c r="V2" s="335"/>
      <c r="W2" s="338" t="s">
        <v>71</v>
      </c>
      <c r="X2" s="339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40"/>
      <c r="X3" s="341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51" t="s">
        <v>63</v>
      </c>
      <c r="X4" s="352"/>
      <c r="Y4" s="268" t="s">
        <v>99</v>
      </c>
      <c r="Z4" s="269" t="s">
        <v>100</v>
      </c>
    </row>
    <row r="5" spans="1:26" x14ac:dyDescent="0.25">
      <c r="A5" s="263">
        <v>1</v>
      </c>
      <c r="B5" s="256" t="s">
        <v>2</v>
      </c>
      <c r="C5" s="32">
        <v>140</v>
      </c>
      <c r="D5" s="33">
        <v>240</v>
      </c>
      <c r="E5" s="33">
        <v>1</v>
      </c>
      <c r="F5" s="15">
        <f>(C5*D5*E5)/1000000</f>
        <v>3.3599999999999998E-2</v>
      </c>
      <c r="G5" s="23">
        <f>'ARALIK 3 HAFTA '!W5</f>
        <v>0</v>
      </c>
      <c r="H5" s="24">
        <f>F5*G5</f>
        <v>0</v>
      </c>
      <c r="I5" s="21">
        <v>270</v>
      </c>
      <c r="J5" s="205">
        <f t="shared" ref="J5:J68" si="0">F5*I5</f>
        <v>9.0719999999999992</v>
      </c>
      <c r="K5" s="21">
        <v>173</v>
      </c>
      <c r="L5" s="10">
        <f t="shared" ref="L5:L68" si="1">F5*K5</f>
        <v>5.8127999999999993</v>
      </c>
      <c r="M5" s="21">
        <v>78</v>
      </c>
      <c r="N5" s="205">
        <f t="shared" ref="N5:N68" si="2">F5*M5</f>
        <v>2.6208</v>
      </c>
      <c r="O5" s="21">
        <v>0</v>
      </c>
      <c r="P5" s="10">
        <f>F5*O5</f>
        <v>0</v>
      </c>
      <c r="Q5" s="21">
        <v>0</v>
      </c>
      <c r="R5" s="205">
        <f t="shared" ref="R5:R68" si="3">F5*Q5</f>
        <v>0</v>
      </c>
      <c r="S5" s="39">
        <f>G5-I5-K5-M5-O5-Q5</f>
        <v>-521</v>
      </c>
      <c r="T5" s="38">
        <f t="shared" ref="T5:T68" si="4">F5*S5</f>
        <v>-17.505599999999998</v>
      </c>
      <c r="U5" s="21">
        <v>1729</v>
      </c>
      <c r="V5" s="13">
        <f>F5*U5</f>
        <v>58.094399999999993</v>
      </c>
      <c r="W5" s="49">
        <f>S5+U5</f>
        <v>1208</v>
      </c>
      <c r="X5" s="50">
        <f>F5*W5</f>
        <v>40.588799999999999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3</v>
      </c>
      <c r="C6" s="34">
        <v>140</v>
      </c>
      <c r="D6" s="35">
        <v>240</v>
      </c>
      <c r="E6" s="35">
        <v>0.8</v>
      </c>
      <c r="F6" s="19">
        <f t="shared" ref="F6:F69" si="5">(C6*D6*E6)/1000000</f>
        <v>2.6880000000000001E-2</v>
      </c>
      <c r="G6" s="23">
        <f>'ARALIK 3 HAFTA '!W6</f>
        <v>292</v>
      </c>
      <c r="H6" s="26">
        <f t="shared" ref="H6:H69" si="6">F6*G6</f>
        <v>7.8489599999999999</v>
      </c>
      <c r="I6" s="21">
        <v>10</v>
      </c>
      <c r="J6" s="205">
        <f t="shared" si="0"/>
        <v>0.26880000000000004</v>
      </c>
      <c r="K6" s="21">
        <v>20</v>
      </c>
      <c r="L6" s="10">
        <f t="shared" si="1"/>
        <v>0.53760000000000008</v>
      </c>
      <c r="M6" s="21">
        <v>15</v>
      </c>
      <c r="N6" s="205">
        <f t="shared" si="2"/>
        <v>0.4032</v>
      </c>
      <c r="O6" s="21">
        <v>32</v>
      </c>
      <c r="P6" s="10">
        <f t="shared" ref="P6:P69" si="7">F6*O6</f>
        <v>0.86016000000000004</v>
      </c>
      <c r="Q6" s="21">
        <v>0</v>
      </c>
      <c r="R6" s="205">
        <f t="shared" si="3"/>
        <v>0</v>
      </c>
      <c r="S6" s="39">
        <f>G6-I6-K6-M6-O6-Q6</f>
        <v>215</v>
      </c>
      <c r="T6" s="38">
        <f t="shared" si="4"/>
        <v>5.7792000000000003</v>
      </c>
      <c r="U6" s="21">
        <v>300</v>
      </c>
      <c r="V6" s="13">
        <f t="shared" ref="V6:V69" si="8">F6*U6</f>
        <v>8.0640000000000001</v>
      </c>
      <c r="W6" s="49">
        <f t="shared" ref="W6:W69" si="9">S6+U6</f>
        <v>515</v>
      </c>
      <c r="X6" s="50">
        <f t="shared" ref="X6:X69" si="10">F6*W6</f>
        <v>13.843200000000001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4</v>
      </c>
      <c r="C7" s="34">
        <v>140</v>
      </c>
      <c r="D7" s="35">
        <v>238</v>
      </c>
      <c r="E7" s="35">
        <v>1.4</v>
      </c>
      <c r="F7" s="19">
        <f t="shared" si="5"/>
        <v>4.6648000000000002E-2</v>
      </c>
      <c r="G7" s="23">
        <f>'ARALIK 3 HAFTA '!W7</f>
        <v>42</v>
      </c>
      <c r="H7" s="26">
        <f t="shared" si="6"/>
        <v>1.9592160000000001</v>
      </c>
      <c r="I7" s="21">
        <v>10</v>
      </c>
      <c r="J7" s="205">
        <f t="shared" si="0"/>
        <v>0.46648000000000001</v>
      </c>
      <c r="K7" s="21">
        <v>5</v>
      </c>
      <c r="L7" s="10">
        <f t="shared" si="1"/>
        <v>0.23324</v>
      </c>
      <c r="M7" s="21">
        <v>6</v>
      </c>
      <c r="N7" s="205">
        <f t="shared" si="2"/>
        <v>0.27988800000000003</v>
      </c>
      <c r="O7" s="21">
        <v>10</v>
      </c>
      <c r="P7" s="10">
        <f t="shared" si="7"/>
        <v>0.46648000000000001</v>
      </c>
      <c r="Q7" s="21">
        <v>32</v>
      </c>
      <c r="R7" s="205">
        <f t="shared" si="3"/>
        <v>1.4927360000000001</v>
      </c>
      <c r="S7" s="39">
        <f t="shared" ref="S7:S70" si="11">G7-I7-K7-M7-O7-Q7</f>
        <v>-21</v>
      </c>
      <c r="T7" s="38">
        <f t="shared" si="4"/>
        <v>-0.97960800000000003</v>
      </c>
      <c r="U7" s="21">
        <v>108</v>
      </c>
      <c r="V7" s="13">
        <f t="shared" si="8"/>
        <v>5.0379839999999998</v>
      </c>
      <c r="W7" s="49">
        <f t="shared" si="9"/>
        <v>87</v>
      </c>
      <c r="X7" s="50">
        <f t="shared" si="10"/>
        <v>4.058376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114</v>
      </c>
      <c r="C8" s="34">
        <v>140</v>
      </c>
      <c r="D8" s="35">
        <v>240</v>
      </c>
      <c r="E8" s="35">
        <v>4</v>
      </c>
      <c r="F8" s="19">
        <f t="shared" si="5"/>
        <v>0.13439999999999999</v>
      </c>
      <c r="G8" s="23">
        <f>'ARALIK 3 HAFTA '!W8</f>
        <v>20</v>
      </c>
      <c r="H8" s="26">
        <f t="shared" si="6"/>
        <v>2.6879999999999997</v>
      </c>
      <c r="I8" s="21">
        <v>5</v>
      </c>
      <c r="J8" s="205">
        <f t="shared" si="0"/>
        <v>0.67199999999999993</v>
      </c>
      <c r="K8" s="21">
        <v>0</v>
      </c>
      <c r="L8" s="10">
        <f t="shared" si="1"/>
        <v>0</v>
      </c>
      <c r="M8" s="21">
        <v>2</v>
      </c>
      <c r="N8" s="205">
        <f t="shared" si="2"/>
        <v>0.26879999999999998</v>
      </c>
      <c r="O8" s="21">
        <v>2</v>
      </c>
      <c r="P8" s="10">
        <f t="shared" si="7"/>
        <v>0.26879999999999998</v>
      </c>
      <c r="Q8" s="21">
        <v>5</v>
      </c>
      <c r="R8" s="205">
        <f t="shared" si="3"/>
        <v>0.67199999999999993</v>
      </c>
      <c r="S8" s="39">
        <f t="shared" si="11"/>
        <v>6</v>
      </c>
      <c r="T8" s="38">
        <f t="shared" si="4"/>
        <v>0.80640000000000001</v>
      </c>
      <c r="U8" s="21">
        <v>0</v>
      </c>
      <c r="V8" s="13">
        <f t="shared" si="8"/>
        <v>0</v>
      </c>
      <c r="W8" s="49">
        <f t="shared" si="9"/>
        <v>6</v>
      </c>
      <c r="X8" s="50">
        <f t="shared" si="10"/>
        <v>0.80640000000000001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6</v>
      </c>
      <c r="C9" s="34">
        <v>140</v>
      </c>
      <c r="D9" s="35">
        <v>240</v>
      </c>
      <c r="E9" s="35">
        <v>2</v>
      </c>
      <c r="F9" s="19">
        <f t="shared" si="5"/>
        <v>6.7199999999999996E-2</v>
      </c>
      <c r="G9" s="23">
        <f>'ARALIK 3 HAFTA '!W9</f>
        <v>1</v>
      </c>
      <c r="H9" s="26">
        <f t="shared" si="6"/>
        <v>6.7199999999999996E-2</v>
      </c>
      <c r="I9" s="21">
        <v>0</v>
      </c>
      <c r="J9" s="205">
        <f t="shared" si="0"/>
        <v>0</v>
      </c>
      <c r="K9" s="21">
        <v>0</v>
      </c>
      <c r="L9" s="10">
        <f t="shared" si="1"/>
        <v>0</v>
      </c>
      <c r="M9" s="21">
        <v>0</v>
      </c>
      <c r="N9" s="205">
        <f t="shared" si="2"/>
        <v>0</v>
      </c>
      <c r="O9" s="21">
        <v>0</v>
      </c>
      <c r="P9" s="10">
        <f t="shared" si="7"/>
        <v>0</v>
      </c>
      <c r="Q9" s="21">
        <v>0</v>
      </c>
      <c r="R9" s="205">
        <f t="shared" si="3"/>
        <v>0</v>
      </c>
      <c r="S9" s="39">
        <f t="shared" si="11"/>
        <v>1</v>
      </c>
      <c r="T9" s="38">
        <f t="shared" si="4"/>
        <v>6.7199999999999996E-2</v>
      </c>
      <c r="U9" s="21">
        <v>0</v>
      </c>
      <c r="V9" s="13">
        <f t="shared" si="8"/>
        <v>0</v>
      </c>
      <c r="W9" s="49">
        <f t="shared" si="9"/>
        <v>1</v>
      </c>
      <c r="X9" s="50">
        <f t="shared" si="10"/>
        <v>6.7199999999999996E-2</v>
      </c>
      <c r="Y9" s="238">
        <v>50</v>
      </c>
      <c r="Z9" s="101">
        <v>150</v>
      </c>
    </row>
    <row r="10" spans="1:26" x14ac:dyDescent="0.25">
      <c r="A10" s="264">
        <v>6</v>
      </c>
      <c r="B10" s="256" t="s">
        <v>7</v>
      </c>
      <c r="C10" s="34">
        <v>140</v>
      </c>
      <c r="D10" s="35">
        <v>240</v>
      </c>
      <c r="E10" s="35">
        <v>2</v>
      </c>
      <c r="F10" s="19">
        <f t="shared" si="5"/>
        <v>6.7199999999999996E-2</v>
      </c>
      <c r="G10" s="23">
        <f>'ARALIK 3 HAFTA '!W10</f>
        <v>2</v>
      </c>
      <c r="H10" s="26">
        <f t="shared" si="6"/>
        <v>0.13439999999999999</v>
      </c>
      <c r="I10" s="21">
        <v>0</v>
      </c>
      <c r="J10" s="205">
        <f t="shared" si="0"/>
        <v>0</v>
      </c>
      <c r="K10" s="21">
        <v>25</v>
      </c>
      <c r="L10" s="10">
        <f t="shared" si="1"/>
        <v>1.68</v>
      </c>
      <c r="M10" s="21">
        <v>0</v>
      </c>
      <c r="N10" s="205">
        <f t="shared" si="2"/>
        <v>0</v>
      </c>
      <c r="O10" s="21">
        <v>26</v>
      </c>
      <c r="P10" s="10">
        <f t="shared" si="7"/>
        <v>1.7471999999999999</v>
      </c>
      <c r="Q10" s="21">
        <v>6</v>
      </c>
      <c r="R10" s="205">
        <f t="shared" si="3"/>
        <v>0.4032</v>
      </c>
      <c r="S10" s="39">
        <f t="shared" si="11"/>
        <v>-55</v>
      </c>
      <c r="T10" s="38">
        <f t="shared" si="4"/>
        <v>-3.6959999999999997</v>
      </c>
      <c r="U10" s="21">
        <v>100</v>
      </c>
      <c r="V10" s="13">
        <f t="shared" si="8"/>
        <v>6.72</v>
      </c>
      <c r="W10" s="49">
        <f t="shared" si="9"/>
        <v>45</v>
      </c>
      <c r="X10" s="50">
        <f t="shared" si="10"/>
        <v>3.024</v>
      </c>
      <c r="Y10" s="238">
        <v>75</v>
      </c>
      <c r="Z10" s="101">
        <v>300</v>
      </c>
    </row>
    <row r="11" spans="1:26" x14ac:dyDescent="0.25">
      <c r="A11" s="264">
        <v>7</v>
      </c>
      <c r="B11" s="256" t="s">
        <v>8</v>
      </c>
      <c r="C11" s="34">
        <v>140</v>
      </c>
      <c r="D11" s="35">
        <v>240</v>
      </c>
      <c r="E11" s="35">
        <v>7</v>
      </c>
      <c r="F11" s="19">
        <f t="shared" si="5"/>
        <v>0.23519999999999999</v>
      </c>
      <c r="G11" s="23">
        <f>'ARALIK 3 HAFTA '!W11</f>
        <v>0</v>
      </c>
      <c r="H11" s="26">
        <f t="shared" si="6"/>
        <v>0</v>
      </c>
      <c r="I11" s="21">
        <v>1</v>
      </c>
      <c r="J11" s="205">
        <f t="shared" si="0"/>
        <v>0.23519999999999999</v>
      </c>
      <c r="K11" s="21">
        <v>3</v>
      </c>
      <c r="L11" s="10">
        <f t="shared" si="1"/>
        <v>0.7056</v>
      </c>
      <c r="M11" s="21">
        <v>0</v>
      </c>
      <c r="N11" s="205">
        <f t="shared" si="2"/>
        <v>0</v>
      </c>
      <c r="O11" s="21">
        <v>5</v>
      </c>
      <c r="P11" s="10">
        <f t="shared" si="7"/>
        <v>1.1759999999999999</v>
      </c>
      <c r="Q11" s="21">
        <v>1</v>
      </c>
      <c r="R11" s="205">
        <f t="shared" si="3"/>
        <v>0.23519999999999999</v>
      </c>
      <c r="S11" s="39">
        <f t="shared" si="11"/>
        <v>-10</v>
      </c>
      <c r="T11" s="38">
        <f t="shared" si="4"/>
        <v>-2.3519999999999999</v>
      </c>
      <c r="U11" s="21">
        <v>65</v>
      </c>
      <c r="V11" s="13">
        <f t="shared" si="8"/>
        <v>15.288</v>
      </c>
      <c r="W11" s="49">
        <f t="shared" si="9"/>
        <v>55</v>
      </c>
      <c r="X11" s="50">
        <f t="shared" si="10"/>
        <v>12.936</v>
      </c>
      <c r="Y11" s="238">
        <v>20</v>
      </c>
      <c r="Z11" s="101">
        <v>50</v>
      </c>
    </row>
    <row r="12" spans="1:26" x14ac:dyDescent="0.25">
      <c r="A12" s="264">
        <v>8</v>
      </c>
      <c r="B12" s="256" t="s">
        <v>9</v>
      </c>
      <c r="C12" s="34">
        <v>140</v>
      </c>
      <c r="D12" s="35">
        <v>240</v>
      </c>
      <c r="E12" s="35">
        <v>5</v>
      </c>
      <c r="F12" s="19">
        <f t="shared" si="5"/>
        <v>0.16800000000000001</v>
      </c>
      <c r="G12" s="23">
        <f>'ARALIK 3 HAFTA '!W12</f>
        <v>260</v>
      </c>
      <c r="H12" s="26">
        <f t="shared" si="6"/>
        <v>43.68</v>
      </c>
      <c r="I12" s="21">
        <v>8</v>
      </c>
      <c r="J12" s="205">
        <f t="shared" si="0"/>
        <v>1.3440000000000001</v>
      </c>
      <c r="K12" s="21">
        <v>3</v>
      </c>
      <c r="L12" s="10">
        <f t="shared" si="1"/>
        <v>0.504</v>
      </c>
      <c r="M12" s="21">
        <v>3</v>
      </c>
      <c r="N12" s="205">
        <f t="shared" si="2"/>
        <v>0.504</v>
      </c>
      <c r="O12" s="21">
        <v>2</v>
      </c>
      <c r="P12" s="10">
        <f t="shared" si="7"/>
        <v>0.33600000000000002</v>
      </c>
      <c r="Q12" s="21">
        <v>0</v>
      </c>
      <c r="R12" s="205">
        <f t="shared" si="3"/>
        <v>0</v>
      </c>
      <c r="S12" s="39">
        <f t="shared" si="11"/>
        <v>244</v>
      </c>
      <c r="T12" s="38">
        <f t="shared" si="4"/>
        <v>40.992000000000004</v>
      </c>
      <c r="U12" s="21">
        <v>0</v>
      </c>
      <c r="V12" s="13">
        <f t="shared" si="8"/>
        <v>0</v>
      </c>
      <c r="W12" s="49">
        <f t="shared" si="9"/>
        <v>244</v>
      </c>
      <c r="X12" s="50">
        <f t="shared" si="10"/>
        <v>40.992000000000004</v>
      </c>
      <c r="Y12" s="238">
        <v>30</v>
      </c>
      <c r="Z12" s="101">
        <v>100</v>
      </c>
    </row>
    <row r="13" spans="1:26" x14ac:dyDescent="0.25">
      <c r="A13" s="264">
        <v>9</v>
      </c>
      <c r="B13" s="256" t="s">
        <v>10</v>
      </c>
      <c r="C13" s="34">
        <v>140</v>
      </c>
      <c r="D13" s="35">
        <v>240</v>
      </c>
      <c r="E13" s="35">
        <v>5</v>
      </c>
      <c r="F13" s="19">
        <f t="shared" si="5"/>
        <v>0.16800000000000001</v>
      </c>
      <c r="G13" s="23">
        <f>'ARALIK 3 HAFTA '!W13</f>
        <v>43</v>
      </c>
      <c r="H13" s="26">
        <f t="shared" si="6"/>
        <v>7.2240000000000002</v>
      </c>
      <c r="I13" s="21">
        <v>2</v>
      </c>
      <c r="J13" s="205">
        <f t="shared" si="0"/>
        <v>0.33600000000000002</v>
      </c>
      <c r="K13" s="21">
        <v>0</v>
      </c>
      <c r="L13" s="10">
        <f t="shared" si="1"/>
        <v>0</v>
      </c>
      <c r="M13" s="21">
        <v>0</v>
      </c>
      <c r="N13" s="205">
        <f t="shared" si="2"/>
        <v>0</v>
      </c>
      <c r="O13" s="21">
        <v>0</v>
      </c>
      <c r="P13" s="10">
        <f t="shared" si="7"/>
        <v>0</v>
      </c>
      <c r="Q13" s="21">
        <v>0</v>
      </c>
      <c r="R13" s="205">
        <f t="shared" si="3"/>
        <v>0</v>
      </c>
      <c r="S13" s="39">
        <f t="shared" si="11"/>
        <v>41</v>
      </c>
      <c r="T13" s="38">
        <f t="shared" si="4"/>
        <v>6.8880000000000008</v>
      </c>
      <c r="U13" s="21">
        <v>0</v>
      </c>
      <c r="V13" s="13">
        <f t="shared" si="8"/>
        <v>0</v>
      </c>
      <c r="W13" s="49">
        <f t="shared" si="9"/>
        <v>41</v>
      </c>
      <c r="X13" s="50">
        <f t="shared" si="10"/>
        <v>6.8880000000000008</v>
      </c>
      <c r="Y13" s="238">
        <v>20</v>
      </c>
      <c r="Z13" s="101">
        <v>50</v>
      </c>
    </row>
    <row r="14" spans="1:26" x14ac:dyDescent="0.25">
      <c r="A14" s="264">
        <v>10</v>
      </c>
      <c r="B14" s="256" t="s">
        <v>11</v>
      </c>
      <c r="C14" s="34">
        <v>140</v>
      </c>
      <c r="D14" s="35">
        <v>240</v>
      </c>
      <c r="E14" s="35">
        <v>5</v>
      </c>
      <c r="F14" s="19">
        <f t="shared" si="5"/>
        <v>0.16800000000000001</v>
      </c>
      <c r="G14" s="23">
        <f>'ARALIK 3 HAFTA '!W14</f>
        <v>212</v>
      </c>
      <c r="H14" s="26">
        <f t="shared" si="6"/>
        <v>35.616</v>
      </c>
      <c r="I14" s="21">
        <v>0</v>
      </c>
      <c r="J14" s="205">
        <f t="shared" si="0"/>
        <v>0</v>
      </c>
      <c r="K14" s="21">
        <v>5</v>
      </c>
      <c r="L14" s="10">
        <f t="shared" si="1"/>
        <v>0.84000000000000008</v>
      </c>
      <c r="M14" s="21">
        <v>1</v>
      </c>
      <c r="N14" s="205">
        <f t="shared" si="2"/>
        <v>0.16800000000000001</v>
      </c>
      <c r="O14" s="21">
        <v>0</v>
      </c>
      <c r="P14" s="10">
        <f t="shared" si="7"/>
        <v>0</v>
      </c>
      <c r="Q14" s="21">
        <v>6</v>
      </c>
      <c r="R14" s="205">
        <f t="shared" si="3"/>
        <v>1.008</v>
      </c>
      <c r="S14" s="39">
        <f t="shared" si="11"/>
        <v>200</v>
      </c>
      <c r="T14" s="38">
        <f t="shared" si="4"/>
        <v>33.6</v>
      </c>
      <c r="U14" s="21">
        <v>0</v>
      </c>
      <c r="V14" s="13">
        <f t="shared" si="8"/>
        <v>0</v>
      </c>
      <c r="W14" s="49">
        <f t="shared" si="9"/>
        <v>200</v>
      </c>
      <c r="X14" s="50">
        <f t="shared" si="10"/>
        <v>33.6</v>
      </c>
      <c r="Y14" s="238">
        <v>30</v>
      </c>
      <c r="Z14" s="101">
        <v>100</v>
      </c>
    </row>
    <row r="15" spans="1:26" x14ac:dyDescent="0.25">
      <c r="A15" s="264">
        <v>11</v>
      </c>
      <c r="B15" s="256" t="s">
        <v>12</v>
      </c>
      <c r="C15" s="34">
        <v>140</v>
      </c>
      <c r="D15" s="35">
        <v>240</v>
      </c>
      <c r="E15" s="35">
        <v>10</v>
      </c>
      <c r="F15" s="19">
        <f t="shared" si="5"/>
        <v>0.33600000000000002</v>
      </c>
      <c r="G15" s="23">
        <f>'ARALIK 3 HAFTA '!W15</f>
        <v>38</v>
      </c>
      <c r="H15" s="26">
        <f t="shared" si="6"/>
        <v>12.768000000000001</v>
      </c>
      <c r="I15" s="21">
        <v>0</v>
      </c>
      <c r="J15" s="205">
        <f t="shared" si="0"/>
        <v>0</v>
      </c>
      <c r="K15" s="21">
        <v>1</v>
      </c>
      <c r="L15" s="10">
        <f t="shared" si="1"/>
        <v>0.33600000000000002</v>
      </c>
      <c r="M15" s="21">
        <v>2</v>
      </c>
      <c r="N15" s="205">
        <f t="shared" si="2"/>
        <v>0.67200000000000004</v>
      </c>
      <c r="O15" s="21">
        <v>1</v>
      </c>
      <c r="P15" s="10">
        <f t="shared" si="7"/>
        <v>0.33600000000000002</v>
      </c>
      <c r="Q15" s="21">
        <v>1</v>
      </c>
      <c r="R15" s="205">
        <f t="shared" si="3"/>
        <v>0.33600000000000002</v>
      </c>
      <c r="S15" s="39">
        <f t="shared" si="11"/>
        <v>33</v>
      </c>
      <c r="T15" s="38">
        <f t="shared" si="4"/>
        <v>11.088000000000001</v>
      </c>
      <c r="U15" s="21">
        <v>0</v>
      </c>
      <c r="V15" s="13">
        <f t="shared" si="8"/>
        <v>0</v>
      </c>
      <c r="W15" s="49">
        <f t="shared" si="9"/>
        <v>33</v>
      </c>
      <c r="X15" s="50">
        <f t="shared" si="10"/>
        <v>11.088000000000001</v>
      </c>
      <c r="Y15" s="238">
        <v>20</v>
      </c>
      <c r="Z15" s="101">
        <v>70</v>
      </c>
    </row>
    <row r="16" spans="1:26" x14ac:dyDescent="0.25">
      <c r="A16" s="264">
        <v>12</v>
      </c>
      <c r="B16" s="256" t="s">
        <v>13</v>
      </c>
      <c r="C16" s="34">
        <v>140</v>
      </c>
      <c r="D16" s="35">
        <v>240</v>
      </c>
      <c r="E16" s="35">
        <v>3</v>
      </c>
      <c r="F16" s="19">
        <f t="shared" si="5"/>
        <v>0.1008</v>
      </c>
      <c r="G16" s="23">
        <f>'ARALIK 3 HAFTA '!W16</f>
        <v>72</v>
      </c>
      <c r="H16" s="26">
        <f t="shared" si="6"/>
        <v>7.2576000000000001</v>
      </c>
      <c r="I16" s="21">
        <v>26</v>
      </c>
      <c r="J16" s="205">
        <f t="shared" si="0"/>
        <v>2.6208</v>
      </c>
      <c r="K16" s="21">
        <v>0</v>
      </c>
      <c r="L16" s="10">
        <f t="shared" si="1"/>
        <v>0</v>
      </c>
      <c r="M16" s="21">
        <v>0</v>
      </c>
      <c r="N16" s="205">
        <f t="shared" si="2"/>
        <v>0</v>
      </c>
      <c r="O16" s="21">
        <v>0</v>
      </c>
      <c r="P16" s="10">
        <f t="shared" si="7"/>
        <v>0</v>
      </c>
      <c r="Q16" s="21">
        <v>0</v>
      </c>
      <c r="R16" s="205">
        <f t="shared" si="3"/>
        <v>0</v>
      </c>
      <c r="S16" s="39">
        <f t="shared" si="11"/>
        <v>46</v>
      </c>
      <c r="T16" s="38">
        <f t="shared" si="4"/>
        <v>4.6368</v>
      </c>
      <c r="U16" s="21">
        <v>0</v>
      </c>
      <c r="V16" s="13">
        <f t="shared" si="8"/>
        <v>0</v>
      </c>
      <c r="W16" s="49">
        <f t="shared" si="9"/>
        <v>46</v>
      </c>
      <c r="X16" s="50">
        <f t="shared" si="10"/>
        <v>4.6368</v>
      </c>
      <c r="Y16" s="238">
        <v>50</v>
      </c>
      <c r="Z16" s="101">
        <v>150</v>
      </c>
    </row>
    <row r="17" spans="1:26" x14ac:dyDescent="0.25">
      <c r="A17" s="264">
        <v>13</v>
      </c>
      <c r="B17" s="256" t="s">
        <v>14</v>
      </c>
      <c r="C17" s="34">
        <v>140</v>
      </c>
      <c r="D17" s="35">
        <v>240</v>
      </c>
      <c r="E17" s="35">
        <v>5</v>
      </c>
      <c r="F17" s="19">
        <f t="shared" si="5"/>
        <v>0.16800000000000001</v>
      </c>
      <c r="G17" s="23">
        <f>'ARALIK 3 HAFTA '!W17</f>
        <v>68</v>
      </c>
      <c r="H17" s="26">
        <f t="shared" si="6"/>
        <v>11.424000000000001</v>
      </c>
      <c r="I17" s="21">
        <v>2</v>
      </c>
      <c r="J17" s="205">
        <f t="shared" si="0"/>
        <v>0.33600000000000002</v>
      </c>
      <c r="K17" s="21">
        <v>0</v>
      </c>
      <c r="L17" s="10">
        <f t="shared" si="1"/>
        <v>0</v>
      </c>
      <c r="M17" s="21">
        <v>2</v>
      </c>
      <c r="N17" s="205">
        <f t="shared" si="2"/>
        <v>0.33600000000000002</v>
      </c>
      <c r="O17" s="21">
        <v>0</v>
      </c>
      <c r="P17" s="10">
        <f t="shared" si="7"/>
        <v>0</v>
      </c>
      <c r="Q17" s="21">
        <v>5</v>
      </c>
      <c r="R17" s="205">
        <f t="shared" si="3"/>
        <v>0.84000000000000008</v>
      </c>
      <c r="S17" s="39">
        <f t="shared" si="11"/>
        <v>59</v>
      </c>
      <c r="T17" s="38">
        <f t="shared" si="4"/>
        <v>9.9120000000000008</v>
      </c>
      <c r="U17" s="21">
        <v>0</v>
      </c>
      <c r="V17" s="13">
        <f t="shared" si="8"/>
        <v>0</v>
      </c>
      <c r="W17" s="49">
        <f t="shared" si="9"/>
        <v>59</v>
      </c>
      <c r="X17" s="50">
        <f t="shared" si="10"/>
        <v>9.9120000000000008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15</v>
      </c>
      <c r="C18" s="34">
        <v>140</v>
      </c>
      <c r="D18" s="35">
        <v>240</v>
      </c>
      <c r="E18" s="35">
        <v>3</v>
      </c>
      <c r="F18" s="19">
        <f t="shared" si="5"/>
        <v>0.1008</v>
      </c>
      <c r="G18" s="23">
        <f>'ARALIK 3 HAFTA '!W18</f>
        <v>0</v>
      </c>
      <c r="H18" s="26">
        <f t="shared" si="6"/>
        <v>0</v>
      </c>
      <c r="I18" s="21">
        <v>0</v>
      </c>
      <c r="J18" s="205">
        <f t="shared" si="0"/>
        <v>0</v>
      </c>
      <c r="K18" s="21">
        <v>0</v>
      </c>
      <c r="L18" s="10">
        <f t="shared" si="1"/>
        <v>0</v>
      </c>
      <c r="M18" s="21">
        <v>0</v>
      </c>
      <c r="N18" s="205">
        <f t="shared" si="2"/>
        <v>0</v>
      </c>
      <c r="O18" s="21">
        <v>64</v>
      </c>
      <c r="P18" s="10">
        <f t="shared" si="7"/>
        <v>6.4512</v>
      </c>
      <c r="Q18" s="21">
        <v>7</v>
      </c>
      <c r="R18" s="205">
        <f t="shared" si="3"/>
        <v>0.7056</v>
      </c>
      <c r="S18" s="39">
        <f t="shared" si="11"/>
        <v>-71</v>
      </c>
      <c r="T18" s="38">
        <f t="shared" si="4"/>
        <v>-7.1568000000000005</v>
      </c>
      <c r="U18" s="21">
        <v>101</v>
      </c>
      <c r="V18" s="13">
        <f t="shared" si="8"/>
        <v>10.1808</v>
      </c>
      <c r="W18" s="49">
        <f t="shared" si="9"/>
        <v>30</v>
      </c>
      <c r="X18" s="50">
        <f t="shared" si="10"/>
        <v>3.024</v>
      </c>
      <c r="Y18" s="238">
        <v>30</v>
      </c>
      <c r="Z18" s="101">
        <v>100</v>
      </c>
    </row>
    <row r="19" spans="1:26" x14ac:dyDescent="0.25">
      <c r="A19" s="264">
        <v>15</v>
      </c>
      <c r="B19" s="256" t="s">
        <v>16</v>
      </c>
      <c r="C19" s="34">
        <v>140</v>
      </c>
      <c r="D19" s="35">
        <v>240</v>
      </c>
      <c r="E19" s="35">
        <v>8</v>
      </c>
      <c r="F19" s="19">
        <f t="shared" si="5"/>
        <v>0.26879999999999998</v>
      </c>
      <c r="G19" s="23">
        <f>'ARALIK 3 HAFTA '!W19</f>
        <v>0</v>
      </c>
      <c r="H19" s="26">
        <f t="shared" si="6"/>
        <v>0</v>
      </c>
      <c r="I19" s="21">
        <v>0</v>
      </c>
      <c r="J19" s="205">
        <f t="shared" si="0"/>
        <v>0</v>
      </c>
      <c r="K19" s="21">
        <v>0</v>
      </c>
      <c r="L19" s="10">
        <f t="shared" si="1"/>
        <v>0</v>
      </c>
      <c r="M19" s="21">
        <v>0</v>
      </c>
      <c r="N19" s="205">
        <f t="shared" si="2"/>
        <v>0</v>
      </c>
      <c r="O19" s="21">
        <v>0</v>
      </c>
      <c r="P19" s="10">
        <f t="shared" si="7"/>
        <v>0</v>
      </c>
      <c r="Q19" s="21">
        <v>0</v>
      </c>
      <c r="R19" s="205">
        <f t="shared" si="3"/>
        <v>0</v>
      </c>
      <c r="S19" s="39">
        <f t="shared" si="11"/>
        <v>0</v>
      </c>
      <c r="T19" s="38">
        <f t="shared" si="4"/>
        <v>0</v>
      </c>
      <c r="U19" s="21">
        <v>0</v>
      </c>
      <c r="V19" s="13">
        <f t="shared" si="8"/>
        <v>0</v>
      </c>
      <c r="W19" s="49">
        <f t="shared" si="9"/>
        <v>0</v>
      </c>
      <c r="X19" s="50">
        <f t="shared" si="10"/>
        <v>0</v>
      </c>
      <c r="Y19" s="238">
        <v>10</v>
      </c>
      <c r="Z19" s="101">
        <v>30</v>
      </c>
    </row>
    <row r="20" spans="1:26" x14ac:dyDescent="0.25">
      <c r="A20" s="264">
        <v>16</v>
      </c>
      <c r="B20" s="256" t="s">
        <v>17</v>
      </c>
      <c r="C20" s="34">
        <v>140</v>
      </c>
      <c r="D20" s="35">
        <v>240</v>
      </c>
      <c r="E20" s="35">
        <v>8</v>
      </c>
      <c r="F20" s="19">
        <f t="shared" si="5"/>
        <v>0.26879999999999998</v>
      </c>
      <c r="G20" s="23">
        <f>'ARALIK 3 HAFTA '!W20</f>
        <v>0</v>
      </c>
      <c r="H20" s="26">
        <f t="shared" si="6"/>
        <v>0</v>
      </c>
      <c r="I20" s="21">
        <v>0</v>
      </c>
      <c r="J20" s="205">
        <f t="shared" si="0"/>
        <v>0</v>
      </c>
      <c r="K20" s="21">
        <v>0</v>
      </c>
      <c r="L20" s="10">
        <f t="shared" si="1"/>
        <v>0</v>
      </c>
      <c r="M20" s="21">
        <v>0</v>
      </c>
      <c r="N20" s="205">
        <f t="shared" si="2"/>
        <v>0</v>
      </c>
      <c r="O20" s="21">
        <v>0</v>
      </c>
      <c r="P20" s="10">
        <f t="shared" si="7"/>
        <v>0</v>
      </c>
      <c r="Q20" s="21">
        <v>0</v>
      </c>
      <c r="R20" s="205">
        <f t="shared" si="3"/>
        <v>0</v>
      </c>
      <c r="S20" s="39">
        <f t="shared" si="11"/>
        <v>0</v>
      </c>
      <c r="T20" s="38">
        <f t="shared" si="4"/>
        <v>0</v>
      </c>
      <c r="U20" s="21">
        <v>0</v>
      </c>
      <c r="V20" s="13">
        <f t="shared" si="8"/>
        <v>0</v>
      </c>
      <c r="W20" s="49">
        <f t="shared" si="9"/>
        <v>0</v>
      </c>
      <c r="X20" s="50">
        <f t="shared" si="10"/>
        <v>0</v>
      </c>
      <c r="Y20" s="238">
        <v>0</v>
      </c>
      <c r="Z20" s="101">
        <v>0</v>
      </c>
    </row>
    <row r="21" spans="1:26" x14ac:dyDescent="0.25">
      <c r="A21" s="264">
        <v>17</v>
      </c>
      <c r="B21" s="256" t="s">
        <v>19</v>
      </c>
      <c r="C21" s="34">
        <v>77</v>
      </c>
      <c r="D21" s="35">
        <v>55</v>
      </c>
      <c r="E21" s="35">
        <v>8</v>
      </c>
      <c r="F21" s="19">
        <f t="shared" si="5"/>
        <v>3.388E-2</v>
      </c>
      <c r="G21" s="23">
        <f>'ARALIK 3 HAFTA '!W21</f>
        <v>0</v>
      </c>
      <c r="H21" s="26">
        <f t="shared" si="6"/>
        <v>0</v>
      </c>
      <c r="I21" s="21">
        <v>0</v>
      </c>
      <c r="J21" s="205">
        <f t="shared" si="0"/>
        <v>0</v>
      </c>
      <c r="K21" s="21">
        <v>0</v>
      </c>
      <c r="L21" s="10">
        <f t="shared" si="1"/>
        <v>0</v>
      </c>
      <c r="M21" s="21">
        <v>0</v>
      </c>
      <c r="N21" s="205">
        <f t="shared" si="2"/>
        <v>0</v>
      </c>
      <c r="O21" s="21">
        <v>0</v>
      </c>
      <c r="P21" s="10">
        <f t="shared" si="7"/>
        <v>0</v>
      </c>
      <c r="Q21" s="21">
        <v>0</v>
      </c>
      <c r="R21" s="205">
        <f t="shared" si="3"/>
        <v>0</v>
      </c>
      <c r="S21" s="39">
        <f t="shared" si="11"/>
        <v>0</v>
      </c>
      <c r="T21" s="38">
        <f t="shared" si="4"/>
        <v>0</v>
      </c>
      <c r="U21" s="21">
        <v>0</v>
      </c>
      <c r="V21" s="13">
        <f t="shared" si="8"/>
        <v>0</v>
      </c>
      <c r="W21" s="49">
        <f t="shared" si="9"/>
        <v>0</v>
      </c>
      <c r="X21" s="50">
        <f t="shared" si="10"/>
        <v>0</v>
      </c>
      <c r="Y21" s="238">
        <v>0</v>
      </c>
      <c r="Z21" s="101">
        <v>0</v>
      </c>
    </row>
    <row r="22" spans="1:26" x14ac:dyDescent="0.25">
      <c r="A22" s="264">
        <v>18</v>
      </c>
      <c r="B22" s="256" t="s">
        <v>20</v>
      </c>
      <c r="C22" s="34">
        <v>65</v>
      </c>
      <c r="D22" s="35">
        <v>50</v>
      </c>
      <c r="E22" s="35">
        <v>12</v>
      </c>
      <c r="F22" s="19">
        <f t="shared" si="5"/>
        <v>3.9E-2</v>
      </c>
      <c r="G22" s="23">
        <f>'ARALIK 3 HAFTA '!W22</f>
        <v>26</v>
      </c>
      <c r="H22" s="26">
        <f t="shared" si="6"/>
        <v>1.014</v>
      </c>
      <c r="I22" s="21">
        <v>0</v>
      </c>
      <c r="J22" s="205">
        <f t="shared" si="0"/>
        <v>0</v>
      </c>
      <c r="K22" s="21">
        <v>0</v>
      </c>
      <c r="L22" s="10">
        <f t="shared" si="1"/>
        <v>0</v>
      </c>
      <c r="M22" s="21">
        <v>0</v>
      </c>
      <c r="N22" s="205">
        <f t="shared" si="2"/>
        <v>0</v>
      </c>
      <c r="O22" s="21">
        <v>0</v>
      </c>
      <c r="P22" s="10">
        <f t="shared" si="7"/>
        <v>0</v>
      </c>
      <c r="Q22" s="21">
        <v>0</v>
      </c>
      <c r="R22" s="205">
        <f t="shared" si="3"/>
        <v>0</v>
      </c>
      <c r="S22" s="39">
        <f t="shared" si="11"/>
        <v>26</v>
      </c>
      <c r="T22" s="38">
        <f t="shared" si="4"/>
        <v>1.014</v>
      </c>
      <c r="U22" s="21">
        <v>0</v>
      </c>
      <c r="V22" s="13">
        <f t="shared" si="8"/>
        <v>0</v>
      </c>
      <c r="W22" s="49">
        <f t="shared" si="9"/>
        <v>26</v>
      </c>
      <c r="X22" s="50">
        <f t="shared" si="10"/>
        <v>1.014</v>
      </c>
      <c r="Y22" s="238">
        <v>0</v>
      </c>
      <c r="Z22" s="101">
        <v>0</v>
      </c>
    </row>
    <row r="23" spans="1:26" x14ac:dyDescent="0.25">
      <c r="A23" s="264">
        <v>19</v>
      </c>
      <c r="B23" s="42" t="s">
        <v>103</v>
      </c>
      <c r="C23" s="34">
        <v>58</v>
      </c>
      <c r="D23" s="35">
        <v>58</v>
      </c>
      <c r="E23" s="35">
        <v>5</v>
      </c>
      <c r="F23" s="19">
        <f t="shared" si="5"/>
        <v>1.6820000000000002E-2</v>
      </c>
      <c r="G23" s="23">
        <f>'ARALIK 3 HAFTA '!W23</f>
        <v>87</v>
      </c>
      <c r="H23" s="26">
        <f t="shared" si="6"/>
        <v>1.4633400000000001</v>
      </c>
      <c r="I23" s="21">
        <v>0</v>
      </c>
      <c r="J23" s="205">
        <f t="shared" si="0"/>
        <v>0</v>
      </c>
      <c r="K23" s="21">
        <v>0</v>
      </c>
      <c r="L23" s="10">
        <f t="shared" si="1"/>
        <v>0</v>
      </c>
      <c r="M23" s="21">
        <v>0</v>
      </c>
      <c r="N23" s="205">
        <f t="shared" si="2"/>
        <v>0</v>
      </c>
      <c r="O23" s="21">
        <v>0</v>
      </c>
      <c r="P23" s="10">
        <f t="shared" si="7"/>
        <v>0</v>
      </c>
      <c r="Q23" s="21">
        <v>0</v>
      </c>
      <c r="R23" s="205">
        <f t="shared" si="3"/>
        <v>0</v>
      </c>
      <c r="S23" s="39">
        <f t="shared" si="11"/>
        <v>87</v>
      </c>
      <c r="T23" s="38">
        <f t="shared" si="4"/>
        <v>1.4633400000000001</v>
      </c>
      <c r="U23" s="21">
        <v>0</v>
      </c>
      <c r="V23" s="13">
        <f t="shared" si="8"/>
        <v>0</v>
      </c>
      <c r="W23" s="49">
        <f t="shared" si="9"/>
        <v>87</v>
      </c>
      <c r="X23" s="50">
        <f t="shared" si="10"/>
        <v>1.4633400000000001</v>
      </c>
      <c r="Y23" s="238">
        <v>0</v>
      </c>
      <c r="Z23" s="101">
        <v>0</v>
      </c>
    </row>
    <row r="24" spans="1:26" x14ac:dyDescent="0.25">
      <c r="A24" s="264">
        <v>20</v>
      </c>
      <c r="B24" s="256" t="s">
        <v>22</v>
      </c>
      <c r="C24" s="34">
        <v>66</v>
      </c>
      <c r="D24" s="35">
        <v>56</v>
      </c>
      <c r="E24" s="35">
        <v>12</v>
      </c>
      <c r="F24" s="19">
        <f t="shared" si="5"/>
        <v>4.4352000000000003E-2</v>
      </c>
      <c r="G24" s="23">
        <f>'ARALIK 3 HAFTA '!W24</f>
        <v>28</v>
      </c>
      <c r="H24" s="26">
        <f t="shared" si="6"/>
        <v>1.2418560000000001</v>
      </c>
      <c r="I24" s="21">
        <v>0</v>
      </c>
      <c r="J24" s="205">
        <f t="shared" si="0"/>
        <v>0</v>
      </c>
      <c r="K24" s="21">
        <v>0</v>
      </c>
      <c r="L24" s="10">
        <f t="shared" si="1"/>
        <v>0</v>
      </c>
      <c r="M24" s="21">
        <v>0</v>
      </c>
      <c r="N24" s="205">
        <f t="shared" si="2"/>
        <v>0</v>
      </c>
      <c r="O24" s="21">
        <v>0</v>
      </c>
      <c r="P24" s="10">
        <f t="shared" si="7"/>
        <v>0</v>
      </c>
      <c r="Q24" s="21">
        <v>0</v>
      </c>
      <c r="R24" s="205">
        <f t="shared" si="3"/>
        <v>0</v>
      </c>
      <c r="S24" s="39">
        <f t="shared" si="11"/>
        <v>28</v>
      </c>
      <c r="T24" s="38">
        <f t="shared" si="4"/>
        <v>1.2418560000000001</v>
      </c>
      <c r="U24" s="21">
        <v>0</v>
      </c>
      <c r="V24" s="13">
        <f t="shared" si="8"/>
        <v>0</v>
      </c>
      <c r="W24" s="49">
        <f t="shared" si="9"/>
        <v>28</v>
      </c>
      <c r="X24" s="50">
        <f t="shared" si="10"/>
        <v>1.2418560000000001</v>
      </c>
      <c r="Y24" s="238">
        <v>0</v>
      </c>
      <c r="Z24" s="101">
        <v>0</v>
      </c>
    </row>
    <row r="25" spans="1:26" x14ac:dyDescent="0.25">
      <c r="A25" s="264">
        <v>21</v>
      </c>
      <c r="B25" s="256" t="s">
        <v>102</v>
      </c>
      <c r="C25" s="34">
        <v>61</v>
      </c>
      <c r="D25" s="35">
        <v>61</v>
      </c>
      <c r="E25" s="35">
        <v>10</v>
      </c>
      <c r="F25" s="19">
        <f t="shared" si="5"/>
        <v>3.721E-2</v>
      </c>
      <c r="G25" s="23">
        <f>'ARALIK 3 HAFTA '!W25</f>
        <v>0</v>
      </c>
      <c r="H25" s="26">
        <f t="shared" si="6"/>
        <v>0</v>
      </c>
      <c r="I25" s="21">
        <v>0</v>
      </c>
      <c r="J25" s="205">
        <f t="shared" si="0"/>
        <v>0</v>
      </c>
      <c r="K25" s="21">
        <v>0</v>
      </c>
      <c r="L25" s="10">
        <f t="shared" si="1"/>
        <v>0</v>
      </c>
      <c r="M25" s="21">
        <v>0</v>
      </c>
      <c r="N25" s="205">
        <f t="shared" si="2"/>
        <v>0</v>
      </c>
      <c r="O25" s="21">
        <v>0</v>
      </c>
      <c r="P25" s="10">
        <f t="shared" si="7"/>
        <v>0</v>
      </c>
      <c r="Q25" s="21">
        <v>0</v>
      </c>
      <c r="R25" s="205">
        <f t="shared" si="3"/>
        <v>0</v>
      </c>
      <c r="S25" s="39">
        <f t="shared" si="11"/>
        <v>0</v>
      </c>
      <c r="T25" s="38">
        <f t="shared" si="4"/>
        <v>0</v>
      </c>
      <c r="U25" s="21">
        <v>139</v>
      </c>
      <c r="V25" s="13">
        <f t="shared" si="8"/>
        <v>5.1721899999999996</v>
      </c>
      <c r="W25" s="49">
        <f t="shared" si="9"/>
        <v>139</v>
      </c>
      <c r="X25" s="50">
        <f t="shared" si="10"/>
        <v>5.1721899999999996</v>
      </c>
      <c r="Y25" s="238">
        <v>30</v>
      </c>
      <c r="Z25" s="101">
        <v>100</v>
      </c>
    </row>
    <row r="26" spans="1:26" x14ac:dyDescent="0.25">
      <c r="A26" s="264">
        <v>22</v>
      </c>
      <c r="B26" s="256" t="s">
        <v>24</v>
      </c>
      <c r="C26" s="34">
        <v>82</v>
      </c>
      <c r="D26" s="35">
        <v>67</v>
      </c>
      <c r="E26" s="35">
        <v>5</v>
      </c>
      <c r="F26" s="19">
        <f t="shared" si="5"/>
        <v>2.7470000000000001E-2</v>
      </c>
      <c r="G26" s="23">
        <f>'ARALIK 3 HAFTA '!W26</f>
        <v>30</v>
      </c>
      <c r="H26" s="26">
        <f t="shared" si="6"/>
        <v>0.82410000000000005</v>
      </c>
      <c r="I26" s="21">
        <v>0</v>
      </c>
      <c r="J26" s="205">
        <f t="shared" si="0"/>
        <v>0</v>
      </c>
      <c r="K26" s="21">
        <v>0</v>
      </c>
      <c r="L26" s="10">
        <f t="shared" si="1"/>
        <v>0</v>
      </c>
      <c r="M26" s="21">
        <v>0</v>
      </c>
      <c r="N26" s="205">
        <f t="shared" si="2"/>
        <v>0</v>
      </c>
      <c r="O26" s="21">
        <v>0</v>
      </c>
      <c r="P26" s="10">
        <f t="shared" si="7"/>
        <v>0</v>
      </c>
      <c r="Q26" s="21">
        <v>0</v>
      </c>
      <c r="R26" s="205">
        <f t="shared" si="3"/>
        <v>0</v>
      </c>
      <c r="S26" s="39">
        <f t="shared" si="11"/>
        <v>30</v>
      </c>
      <c r="T26" s="38">
        <f t="shared" si="4"/>
        <v>0.82410000000000005</v>
      </c>
      <c r="U26" s="21">
        <v>0</v>
      </c>
      <c r="V26" s="13">
        <f t="shared" si="8"/>
        <v>0</v>
      </c>
      <c r="W26" s="49">
        <f t="shared" si="9"/>
        <v>30</v>
      </c>
      <c r="X26" s="50">
        <f t="shared" si="10"/>
        <v>0.82410000000000005</v>
      </c>
      <c r="Y26" s="238">
        <v>0</v>
      </c>
      <c r="Z26" s="101">
        <v>0</v>
      </c>
    </row>
    <row r="27" spans="1:26" x14ac:dyDescent="0.25">
      <c r="A27" s="264">
        <v>23</v>
      </c>
      <c r="B27" s="256" t="s">
        <v>25</v>
      </c>
      <c r="C27" s="34">
        <v>80</v>
      </c>
      <c r="D27" s="35">
        <v>62</v>
      </c>
      <c r="E27" s="35">
        <v>2</v>
      </c>
      <c r="F27" s="19">
        <f t="shared" si="5"/>
        <v>9.92E-3</v>
      </c>
      <c r="G27" s="23">
        <f>'ARALIK 3 HAFTA '!W27</f>
        <v>36</v>
      </c>
      <c r="H27" s="26">
        <f t="shared" si="6"/>
        <v>0.35711999999999999</v>
      </c>
      <c r="I27" s="21">
        <v>0</v>
      </c>
      <c r="J27" s="205">
        <f t="shared" si="0"/>
        <v>0</v>
      </c>
      <c r="K27" s="21">
        <v>0</v>
      </c>
      <c r="L27" s="10">
        <f t="shared" si="1"/>
        <v>0</v>
      </c>
      <c r="M27" s="21">
        <v>0</v>
      </c>
      <c r="N27" s="205">
        <f t="shared" si="2"/>
        <v>0</v>
      </c>
      <c r="O27" s="21">
        <v>0</v>
      </c>
      <c r="P27" s="10">
        <f t="shared" si="7"/>
        <v>0</v>
      </c>
      <c r="Q27" s="21">
        <v>0</v>
      </c>
      <c r="R27" s="205">
        <f t="shared" si="3"/>
        <v>0</v>
      </c>
      <c r="S27" s="39">
        <f t="shared" si="11"/>
        <v>36</v>
      </c>
      <c r="T27" s="38">
        <f t="shared" si="4"/>
        <v>0.35711999999999999</v>
      </c>
      <c r="U27" s="21">
        <v>0</v>
      </c>
      <c r="V27" s="13">
        <f t="shared" si="8"/>
        <v>0</v>
      </c>
      <c r="W27" s="49">
        <f t="shared" si="9"/>
        <v>36</v>
      </c>
      <c r="X27" s="50">
        <f t="shared" si="10"/>
        <v>0.35711999999999999</v>
      </c>
      <c r="Y27" s="238">
        <v>0</v>
      </c>
      <c r="Z27" s="101">
        <v>0</v>
      </c>
    </row>
    <row r="28" spans="1:26" x14ac:dyDescent="0.25">
      <c r="A28" s="264">
        <v>24</v>
      </c>
      <c r="B28" s="256" t="s">
        <v>26</v>
      </c>
      <c r="C28" s="34">
        <v>63</v>
      </c>
      <c r="D28" s="35">
        <v>55</v>
      </c>
      <c r="E28" s="35">
        <v>5</v>
      </c>
      <c r="F28" s="19">
        <f t="shared" si="5"/>
        <v>1.7325E-2</v>
      </c>
      <c r="G28" s="23">
        <f>'ARALIK 3 HAFTA '!W28</f>
        <v>7</v>
      </c>
      <c r="H28" s="26">
        <f t="shared" si="6"/>
        <v>0.12127499999999999</v>
      </c>
      <c r="I28" s="21">
        <v>0</v>
      </c>
      <c r="J28" s="205">
        <f t="shared" si="0"/>
        <v>0</v>
      </c>
      <c r="K28" s="21">
        <v>0</v>
      </c>
      <c r="L28" s="10">
        <f t="shared" si="1"/>
        <v>0</v>
      </c>
      <c r="M28" s="21">
        <v>0</v>
      </c>
      <c r="N28" s="205">
        <f t="shared" si="2"/>
        <v>0</v>
      </c>
      <c r="O28" s="21">
        <v>0</v>
      </c>
      <c r="P28" s="10">
        <f t="shared" si="7"/>
        <v>0</v>
      </c>
      <c r="Q28" s="21">
        <v>0</v>
      </c>
      <c r="R28" s="205">
        <f t="shared" si="3"/>
        <v>0</v>
      </c>
      <c r="S28" s="39">
        <f t="shared" si="11"/>
        <v>7</v>
      </c>
      <c r="T28" s="38">
        <f t="shared" si="4"/>
        <v>0.12127499999999999</v>
      </c>
      <c r="U28" s="21">
        <v>0</v>
      </c>
      <c r="V28" s="13">
        <f t="shared" si="8"/>
        <v>0</v>
      </c>
      <c r="W28" s="49">
        <f t="shared" si="9"/>
        <v>7</v>
      </c>
      <c r="X28" s="50">
        <f t="shared" si="10"/>
        <v>0.12127499999999999</v>
      </c>
      <c r="Y28" s="238">
        <v>0</v>
      </c>
      <c r="Z28" s="101">
        <v>0</v>
      </c>
    </row>
    <row r="29" spans="1:26" x14ac:dyDescent="0.25">
      <c r="A29" s="264">
        <v>25</v>
      </c>
      <c r="B29" s="256" t="s">
        <v>27</v>
      </c>
      <c r="C29" s="34">
        <v>140</v>
      </c>
      <c r="D29" s="35">
        <v>240</v>
      </c>
      <c r="E29" s="35">
        <v>5</v>
      </c>
      <c r="F29" s="19">
        <f t="shared" si="5"/>
        <v>0.16800000000000001</v>
      </c>
      <c r="G29" s="23">
        <f>'ARALIK 3 HAFTA '!W29</f>
        <v>6</v>
      </c>
      <c r="H29" s="26">
        <f t="shared" si="6"/>
        <v>1.008</v>
      </c>
      <c r="I29" s="21">
        <v>0</v>
      </c>
      <c r="J29" s="205">
        <f t="shared" si="0"/>
        <v>0</v>
      </c>
      <c r="K29" s="21">
        <v>0</v>
      </c>
      <c r="L29" s="10">
        <f t="shared" si="1"/>
        <v>0</v>
      </c>
      <c r="M29" s="21">
        <v>0</v>
      </c>
      <c r="N29" s="205">
        <f t="shared" si="2"/>
        <v>0</v>
      </c>
      <c r="O29" s="21">
        <v>0</v>
      </c>
      <c r="P29" s="10">
        <f t="shared" si="7"/>
        <v>0</v>
      </c>
      <c r="Q29" s="21">
        <v>0</v>
      </c>
      <c r="R29" s="205">
        <f t="shared" si="3"/>
        <v>0</v>
      </c>
      <c r="S29" s="39">
        <f t="shared" si="11"/>
        <v>6</v>
      </c>
      <c r="T29" s="38">
        <f t="shared" si="4"/>
        <v>1.008</v>
      </c>
      <c r="U29" s="21">
        <v>0</v>
      </c>
      <c r="V29" s="13">
        <f t="shared" si="8"/>
        <v>0</v>
      </c>
      <c r="W29" s="49">
        <f t="shared" si="9"/>
        <v>6</v>
      </c>
      <c r="X29" s="50">
        <f t="shared" si="10"/>
        <v>1.008</v>
      </c>
      <c r="Y29" s="238">
        <v>0</v>
      </c>
      <c r="Z29" s="101">
        <v>0</v>
      </c>
    </row>
    <row r="30" spans="1:26" x14ac:dyDescent="0.25">
      <c r="A30" s="264">
        <v>26</v>
      </c>
      <c r="B30" s="256" t="s">
        <v>112</v>
      </c>
      <c r="C30" s="34">
        <v>140</v>
      </c>
      <c r="D30" s="35">
        <v>240</v>
      </c>
      <c r="E30" s="35">
        <v>10</v>
      </c>
      <c r="F30" s="19">
        <f t="shared" si="5"/>
        <v>0.33600000000000002</v>
      </c>
      <c r="G30" s="23">
        <f>'ARALIK 3 HAFTA '!W30</f>
        <v>25</v>
      </c>
      <c r="H30" s="26">
        <f t="shared" si="6"/>
        <v>8.4</v>
      </c>
      <c r="I30" s="21">
        <v>5</v>
      </c>
      <c r="J30" s="205">
        <f t="shared" si="0"/>
        <v>1.6800000000000002</v>
      </c>
      <c r="K30" s="21">
        <v>6</v>
      </c>
      <c r="L30" s="10">
        <f t="shared" si="1"/>
        <v>2.016</v>
      </c>
      <c r="M30" s="21">
        <v>0</v>
      </c>
      <c r="N30" s="205">
        <f t="shared" si="2"/>
        <v>0</v>
      </c>
      <c r="O30" s="21">
        <v>0</v>
      </c>
      <c r="P30" s="10">
        <f t="shared" si="7"/>
        <v>0</v>
      </c>
      <c r="Q30" s="21">
        <v>2</v>
      </c>
      <c r="R30" s="205">
        <f t="shared" si="3"/>
        <v>0.67200000000000004</v>
      </c>
      <c r="S30" s="39">
        <f t="shared" si="11"/>
        <v>12</v>
      </c>
      <c r="T30" s="38">
        <f t="shared" si="4"/>
        <v>4.032</v>
      </c>
      <c r="U30" s="21">
        <v>0</v>
      </c>
      <c r="V30" s="13">
        <f t="shared" si="8"/>
        <v>0</v>
      </c>
      <c r="W30" s="49">
        <f t="shared" si="9"/>
        <v>12</v>
      </c>
      <c r="X30" s="50">
        <f t="shared" si="10"/>
        <v>4.032</v>
      </c>
      <c r="Y30" s="238">
        <v>0</v>
      </c>
      <c r="Z30" s="101">
        <v>0</v>
      </c>
    </row>
    <row r="31" spans="1:26" x14ac:dyDescent="0.25">
      <c r="A31" s="264">
        <v>27</v>
      </c>
      <c r="B31" s="256" t="s">
        <v>29</v>
      </c>
      <c r="C31" s="34">
        <v>140</v>
      </c>
      <c r="D31" s="35">
        <v>240</v>
      </c>
      <c r="E31" s="35">
        <v>3</v>
      </c>
      <c r="F31" s="19">
        <f t="shared" si="5"/>
        <v>0.1008</v>
      </c>
      <c r="G31" s="23">
        <f>'ARALIK 3 HAFTA '!W31</f>
        <v>26</v>
      </c>
      <c r="H31" s="26">
        <f t="shared" si="6"/>
        <v>2.6208</v>
      </c>
      <c r="I31" s="21">
        <v>0</v>
      </c>
      <c r="J31" s="205">
        <f t="shared" si="0"/>
        <v>0</v>
      </c>
      <c r="K31" s="21">
        <v>0</v>
      </c>
      <c r="L31" s="10">
        <f t="shared" si="1"/>
        <v>0</v>
      </c>
      <c r="M31" s="21">
        <v>0</v>
      </c>
      <c r="N31" s="205">
        <f t="shared" si="2"/>
        <v>0</v>
      </c>
      <c r="O31" s="21">
        <v>0</v>
      </c>
      <c r="P31" s="10">
        <f t="shared" si="7"/>
        <v>0</v>
      </c>
      <c r="Q31" s="21">
        <v>0</v>
      </c>
      <c r="R31" s="205">
        <f t="shared" si="3"/>
        <v>0</v>
      </c>
      <c r="S31" s="39">
        <f t="shared" si="11"/>
        <v>26</v>
      </c>
      <c r="T31" s="38">
        <f t="shared" si="4"/>
        <v>2.6208</v>
      </c>
      <c r="U31" s="21">
        <v>0</v>
      </c>
      <c r="V31" s="13">
        <f t="shared" si="8"/>
        <v>0</v>
      </c>
      <c r="W31" s="49">
        <f t="shared" si="9"/>
        <v>26</v>
      </c>
      <c r="X31" s="50">
        <f t="shared" si="10"/>
        <v>2.6208</v>
      </c>
      <c r="Y31" s="238">
        <v>0</v>
      </c>
      <c r="Z31" s="101">
        <v>0</v>
      </c>
    </row>
    <row r="32" spans="1:26" x14ac:dyDescent="0.25">
      <c r="A32" s="264">
        <v>28</v>
      </c>
      <c r="B32" s="256" t="s">
        <v>30</v>
      </c>
      <c r="C32" s="34">
        <v>90</v>
      </c>
      <c r="D32" s="35">
        <v>80</v>
      </c>
      <c r="E32" s="35">
        <v>8</v>
      </c>
      <c r="F32" s="19">
        <f t="shared" si="5"/>
        <v>5.7599999999999998E-2</v>
      </c>
      <c r="G32" s="23">
        <f>'ARALIK 3 HAFTA '!W32</f>
        <v>0</v>
      </c>
      <c r="H32" s="26">
        <f t="shared" si="6"/>
        <v>0</v>
      </c>
      <c r="I32" s="21">
        <v>0</v>
      </c>
      <c r="J32" s="205">
        <f t="shared" si="0"/>
        <v>0</v>
      </c>
      <c r="K32" s="21">
        <v>0</v>
      </c>
      <c r="L32" s="10">
        <f t="shared" si="1"/>
        <v>0</v>
      </c>
      <c r="M32" s="21">
        <v>0</v>
      </c>
      <c r="N32" s="205">
        <f t="shared" si="2"/>
        <v>0</v>
      </c>
      <c r="O32" s="21">
        <v>0</v>
      </c>
      <c r="P32" s="10">
        <f t="shared" si="7"/>
        <v>0</v>
      </c>
      <c r="Q32" s="21">
        <v>0</v>
      </c>
      <c r="R32" s="205">
        <f t="shared" si="3"/>
        <v>0</v>
      </c>
      <c r="S32" s="39">
        <f t="shared" si="11"/>
        <v>0</v>
      </c>
      <c r="T32" s="38">
        <f t="shared" si="4"/>
        <v>0</v>
      </c>
      <c r="U32" s="21">
        <v>0</v>
      </c>
      <c r="V32" s="13">
        <f t="shared" si="8"/>
        <v>0</v>
      </c>
      <c r="W32" s="49">
        <f t="shared" si="9"/>
        <v>0</v>
      </c>
      <c r="X32" s="50">
        <f t="shared" si="10"/>
        <v>0</v>
      </c>
      <c r="Y32" s="238">
        <v>0</v>
      </c>
      <c r="Z32" s="101">
        <v>0</v>
      </c>
    </row>
    <row r="33" spans="1:26" x14ac:dyDescent="0.25">
      <c r="A33" s="264">
        <v>29</v>
      </c>
      <c r="B33" s="256" t="s">
        <v>31</v>
      </c>
      <c r="C33" s="34">
        <v>90</v>
      </c>
      <c r="D33" s="35">
        <v>80</v>
      </c>
      <c r="E33" s="35">
        <v>8</v>
      </c>
      <c r="F33" s="19">
        <f t="shared" si="5"/>
        <v>5.7599999999999998E-2</v>
      </c>
      <c r="G33" s="23">
        <f>'ARALIK 3 HAFTA '!W33</f>
        <v>0</v>
      </c>
      <c r="H33" s="26">
        <f t="shared" si="6"/>
        <v>0</v>
      </c>
      <c r="I33" s="21">
        <v>0</v>
      </c>
      <c r="J33" s="205">
        <f t="shared" si="0"/>
        <v>0</v>
      </c>
      <c r="K33" s="21">
        <v>0</v>
      </c>
      <c r="L33" s="10">
        <f t="shared" si="1"/>
        <v>0</v>
      </c>
      <c r="M33" s="21">
        <v>0</v>
      </c>
      <c r="N33" s="205">
        <f t="shared" si="2"/>
        <v>0</v>
      </c>
      <c r="O33" s="21">
        <v>0</v>
      </c>
      <c r="P33" s="10">
        <f t="shared" si="7"/>
        <v>0</v>
      </c>
      <c r="Q33" s="21">
        <v>0</v>
      </c>
      <c r="R33" s="205">
        <f t="shared" si="3"/>
        <v>0</v>
      </c>
      <c r="S33" s="39">
        <f t="shared" si="11"/>
        <v>0</v>
      </c>
      <c r="T33" s="38">
        <f t="shared" si="4"/>
        <v>0</v>
      </c>
      <c r="U33" s="21">
        <v>0</v>
      </c>
      <c r="V33" s="13">
        <f t="shared" si="8"/>
        <v>0</v>
      </c>
      <c r="W33" s="49">
        <f t="shared" si="9"/>
        <v>0</v>
      </c>
      <c r="X33" s="50">
        <f t="shared" si="10"/>
        <v>0</v>
      </c>
      <c r="Y33" s="238">
        <v>0</v>
      </c>
      <c r="Z33" s="101">
        <v>0</v>
      </c>
    </row>
    <row r="34" spans="1:26" x14ac:dyDescent="0.25">
      <c r="A34" s="264">
        <v>30</v>
      </c>
      <c r="B34" s="256" t="s">
        <v>32</v>
      </c>
      <c r="C34" s="34"/>
      <c r="D34" s="35"/>
      <c r="E34" s="35"/>
      <c r="F34" s="19">
        <f t="shared" si="5"/>
        <v>0</v>
      </c>
      <c r="G34" s="23">
        <f>'ARALIK 3 HAFTA '!W34</f>
        <v>300</v>
      </c>
      <c r="H34" s="26">
        <f t="shared" si="6"/>
        <v>0</v>
      </c>
      <c r="I34" s="21">
        <v>0</v>
      </c>
      <c r="J34" s="205">
        <f t="shared" si="0"/>
        <v>0</v>
      </c>
      <c r="K34" s="21">
        <v>0</v>
      </c>
      <c r="L34" s="10">
        <f t="shared" si="1"/>
        <v>0</v>
      </c>
      <c r="M34" s="21">
        <v>0</v>
      </c>
      <c r="N34" s="205">
        <f t="shared" si="2"/>
        <v>0</v>
      </c>
      <c r="O34" s="21">
        <v>0</v>
      </c>
      <c r="P34" s="10">
        <f t="shared" si="7"/>
        <v>0</v>
      </c>
      <c r="Q34" s="21">
        <v>0</v>
      </c>
      <c r="R34" s="205">
        <f t="shared" si="3"/>
        <v>0</v>
      </c>
      <c r="S34" s="39">
        <f t="shared" si="11"/>
        <v>300</v>
      </c>
      <c r="T34" s="38">
        <f t="shared" si="4"/>
        <v>0</v>
      </c>
      <c r="U34" s="21">
        <v>0</v>
      </c>
      <c r="V34" s="13">
        <f t="shared" si="8"/>
        <v>0</v>
      </c>
      <c r="W34" s="49">
        <f t="shared" si="9"/>
        <v>300</v>
      </c>
      <c r="X34" s="50">
        <f t="shared" si="10"/>
        <v>0</v>
      </c>
      <c r="Y34" s="238">
        <v>0</v>
      </c>
      <c r="Z34" s="101">
        <v>0</v>
      </c>
    </row>
    <row r="35" spans="1:26" x14ac:dyDescent="0.25">
      <c r="A35" s="264">
        <v>31</v>
      </c>
      <c r="B35" s="256" t="s">
        <v>33</v>
      </c>
      <c r="C35" s="34">
        <v>80</v>
      </c>
      <c r="D35" s="35">
        <v>66</v>
      </c>
      <c r="E35" s="35">
        <v>5</v>
      </c>
      <c r="F35" s="19">
        <f t="shared" si="5"/>
        <v>2.64E-2</v>
      </c>
      <c r="G35" s="23">
        <f>'ARALIK 3 HAFTA '!W35</f>
        <v>56</v>
      </c>
      <c r="H35" s="26">
        <f t="shared" si="6"/>
        <v>1.4783999999999999</v>
      </c>
      <c r="I35" s="21">
        <v>0</v>
      </c>
      <c r="J35" s="205">
        <f t="shared" si="0"/>
        <v>0</v>
      </c>
      <c r="K35" s="21">
        <v>0</v>
      </c>
      <c r="L35" s="10">
        <f t="shared" si="1"/>
        <v>0</v>
      </c>
      <c r="M35" s="21">
        <v>0</v>
      </c>
      <c r="N35" s="205">
        <f t="shared" si="2"/>
        <v>0</v>
      </c>
      <c r="O35" s="21">
        <v>0</v>
      </c>
      <c r="P35" s="10">
        <f t="shared" si="7"/>
        <v>0</v>
      </c>
      <c r="Q35" s="21">
        <v>0</v>
      </c>
      <c r="R35" s="205">
        <f t="shared" si="3"/>
        <v>0</v>
      </c>
      <c r="S35" s="39">
        <f t="shared" si="11"/>
        <v>56</v>
      </c>
      <c r="T35" s="38">
        <f t="shared" si="4"/>
        <v>1.4783999999999999</v>
      </c>
      <c r="U35" s="21">
        <v>0</v>
      </c>
      <c r="V35" s="13">
        <f t="shared" si="8"/>
        <v>0</v>
      </c>
      <c r="W35" s="49">
        <f t="shared" si="9"/>
        <v>56</v>
      </c>
      <c r="X35" s="50">
        <f t="shared" si="10"/>
        <v>1.4783999999999999</v>
      </c>
      <c r="Y35" s="238">
        <v>0</v>
      </c>
      <c r="Z35" s="101">
        <v>0</v>
      </c>
    </row>
    <row r="36" spans="1:26" x14ac:dyDescent="0.25">
      <c r="A36" s="264">
        <v>32</v>
      </c>
      <c r="B36" s="256" t="s">
        <v>110</v>
      </c>
      <c r="C36" s="34">
        <v>60</v>
      </c>
      <c r="D36" s="35">
        <v>62</v>
      </c>
      <c r="E36" s="35">
        <v>5</v>
      </c>
      <c r="F36" s="19">
        <f t="shared" si="5"/>
        <v>1.8599999999999998E-2</v>
      </c>
      <c r="G36" s="23">
        <f>'ARALIK 3 HAFTA '!W36</f>
        <v>0</v>
      </c>
      <c r="H36" s="26">
        <f t="shared" si="6"/>
        <v>0</v>
      </c>
      <c r="I36" s="21">
        <v>0</v>
      </c>
      <c r="J36" s="205">
        <f t="shared" si="0"/>
        <v>0</v>
      </c>
      <c r="K36" s="21">
        <v>0</v>
      </c>
      <c r="L36" s="10">
        <f t="shared" si="1"/>
        <v>0</v>
      </c>
      <c r="M36" s="21">
        <v>0</v>
      </c>
      <c r="N36" s="205">
        <f t="shared" si="2"/>
        <v>0</v>
      </c>
      <c r="O36" s="21">
        <v>0</v>
      </c>
      <c r="P36" s="10">
        <f t="shared" si="7"/>
        <v>0</v>
      </c>
      <c r="Q36" s="21">
        <v>0</v>
      </c>
      <c r="R36" s="205">
        <f t="shared" si="3"/>
        <v>0</v>
      </c>
      <c r="S36" s="39">
        <f t="shared" si="11"/>
        <v>0</v>
      </c>
      <c r="T36" s="38">
        <f t="shared" si="4"/>
        <v>0</v>
      </c>
      <c r="U36" s="21">
        <v>0</v>
      </c>
      <c r="V36" s="13">
        <f t="shared" si="8"/>
        <v>0</v>
      </c>
      <c r="W36" s="49">
        <f t="shared" si="9"/>
        <v>0</v>
      </c>
      <c r="X36" s="50">
        <f t="shared" si="10"/>
        <v>0</v>
      </c>
      <c r="Y36" s="238">
        <v>0</v>
      </c>
      <c r="Z36" s="101">
        <v>0</v>
      </c>
    </row>
    <row r="37" spans="1:26" x14ac:dyDescent="0.25">
      <c r="A37" s="264">
        <v>33</v>
      </c>
      <c r="B37" s="256" t="s">
        <v>41</v>
      </c>
      <c r="C37" s="34">
        <v>60</v>
      </c>
      <c r="D37" s="35">
        <v>67</v>
      </c>
      <c r="E37" s="35">
        <v>3</v>
      </c>
      <c r="F37" s="19">
        <f t="shared" si="5"/>
        <v>1.206E-2</v>
      </c>
      <c r="G37" s="23">
        <f>'ARALIK 3 HAFTA '!W37</f>
        <v>12</v>
      </c>
      <c r="H37" s="26">
        <f t="shared" si="6"/>
        <v>0.14471999999999999</v>
      </c>
      <c r="I37" s="21">
        <v>0</v>
      </c>
      <c r="J37" s="205">
        <f t="shared" si="0"/>
        <v>0</v>
      </c>
      <c r="K37" s="21">
        <v>0</v>
      </c>
      <c r="L37" s="10">
        <f t="shared" si="1"/>
        <v>0</v>
      </c>
      <c r="M37" s="21">
        <v>0</v>
      </c>
      <c r="N37" s="205">
        <f t="shared" si="2"/>
        <v>0</v>
      </c>
      <c r="O37" s="21">
        <v>0</v>
      </c>
      <c r="P37" s="10">
        <f t="shared" si="7"/>
        <v>0</v>
      </c>
      <c r="Q37" s="21">
        <v>0</v>
      </c>
      <c r="R37" s="205">
        <f t="shared" si="3"/>
        <v>0</v>
      </c>
      <c r="S37" s="39">
        <f t="shared" si="11"/>
        <v>12</v>
      </c>
      <c r="T37" s="38">
        <f t="shared" si="4"/>
        <v>0.14471999999999999</v>
      </c>
      <c r="U37" s="21">
        <v>0</v>
      </c>
      <c r="V37" s="13">
        <f t="shared" si="8"/>
        <v>0</v>
      </c>
      <c r="W37" s="49">
        <f t="shared" si="9"/>
        <v>12</v>
      </c>
      <c r="X37" s="50">
        <f t="shared" si="10"/>
        <v>0.14471999999999999</v>
      </c>
      <c r="Y37" s="238">
        <v>0</v>
      </c>
      <c r="Z37" s="101">
        <v>0</v>
      </c>
    </row>
    <row r="38" spans="1:26" x14ac:dyDescent="0.25">
      <c r="A38" s="264">
        <v>34</v>
      </c>
      <c r="B38" s="256" t="s">
        <v>35</v>
      </c>
      <c r="C38" s="34">
        <v>140</v>
      </c>
      <c r="D38" s="35">
        <v>240</v>
      </c>
      <c r="E38" s="35">
        <v>7</v>
      </c>
      <c r="F38" s="19">
        <f t="shared" si="5"/>
        <v>0.23519999999999999</v>
      </c>
      <c r="G38" s="23">
        <f>'ARALIK 3 HAFTA '!W38</f>
        <v>0</v>
      </c>
      <c r="H38" s="26">
        <f t="shared" si="6"/>
        <v>0</v>
      </c>
      <c r="I38" s="21">
        <v>0</v>
      </c>
      <c r="J38" s="205">
        <f t="shared" si="0"/>
        <v>0</v>
      </c>
      <c r="K38" s="21">
        <v>0</v>
      </c>
      <c r="L38" s="10">
        <f t="shared" si="1"/>
        <v>0</v>
      </c>
      <c r="M38" s="21">
        <v>0</v>
      </c>
      <c r="N38" s="205">
        <f t="shared" si="2"/>
        <v>0</v>
      </c>
      <c r="O38" s="21">
        <v>0</v>
      </c>
      <c r="P38" s="10">
        <f t="shared" si="7"/>
        <v>0</v>
      </c>
      <c r="Q38" s="21">
        <v>0</v>
      </c>
      <c r="R38" s="205">
        <f t="shared" si="3"/>
        <v>0</v>
      </c>
      <c r="S38" s="39">
        <f t="shared" si="11"/>
        <v>0</v>
      </c>
      <c r="T38" s="38">
        <f t="shared" si="4"/>
        <v>0</v>
      </c>
      <c r="U38" s="21">
        <v>0</v>
      </c>
      <c r="V38" s="13">
        <f t="shared" si="8"/>
        <v>0</v>
      </c>
      <c r="W38" s="49">
        <f t="shared" si="9"/>
        <v>0</v>
      </c>
      <c r="X38" s="50">
        <f t="shared" si="10"/>
        <v>0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36</v>
      </c>
      <c r="C39" s="34">
        <v>60</v>
      </c>
      <c r="D39" s="35">
        <v>56</v>
      </c>
      <c r="E39" s="35">
        <v>10</v>
      </c>
      <c r="F39" s="19">
        <f t="shared" si="5"/>
        <v>3.3599999999999998E-2</v>
      </c>
      <c r="G39" s="23">
        <f>'ARALIK 3 HAFTA '!W39</f>
        <v>0</v>
      </c>
      <c r="H39" s="26">
        <f t="shared" si="6"/>
        <v>0</v>
      </c>
      <c r="I39" s="21">
        <v>0</v>
      </c>
      <c r="J39" s="205">
        <f t="shared" si="0"/>
        <v>0</v>
      </c>
      <c r="K39" s="21">
        <v>0</v>
      </c>
      <c r="L39" s="10">
        <f t="shared" si="1"/>
        <v>0</v>
      </c>
      <c r="M39" s="21">
        <v>0</v>
      </c>
      <c r="N39" s="205">
        <f t="shared" si="2"/>
        <v>0</v>
      </c>
      <c r="O39" s="21">
        <v>0</v>
      </c>
      <c r="P39" s="10">
        <f t="shared" si="7"/>
        <v>0</v>
      </c>
      <c r="Q39" s="21">
        <v>0</v>
      </c>
      <c r="R39" s="205">
        <f t="shared" si="3"/>
        <v>0</v>
      </c>
      <c r="S39" s="39">
        <f t="shared" si="11"/>
        <v>0</v>
      </c>
      <c r="T39" s="38">
        <f t="shared" si="4"/>
        <v>0</v>
      </c>
      <c r="U39" s="21">
        <v>0</v>
      </c>
      <c r="V39" s="13">
        <f t="shared" si="8"/>
        <v>0</v>
      </c>
      <c r="W39" s="49">
        <f t="shared" si="9"/>
        <v>0</v>
      </c>
      <c r="X39" s="50">
        <f t="shared" si="10"/>
        <v>0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37</v>
      </c>
      <c r="C40" s="34">
        <v>58</v>
      </c>
      <c r="D40" s="35">
        <v>55</v>
      </c>
      <c r="E40" s="35">
        <v>10</v>
      </c>
      <c r="F40" s="19">
        <f t="shared" si="5"/>
        <v>3.1899999999999998E-2</v>
      </c>
      <c r="G40" s="23">
        <f>'ARALIK 3 HAFTA '!W40</f>
        <v>0</v>
      </c>
      <c r="H40" s="26">
        <f t="shared" si="6"/>
        <v>0</v>
      </c>
      <c r="I40" s="21">
        <v>0</v>
      </c>
      <c r="J40" s="205">
        <f t="shared" si="0"/>
        <v>0</v>
      </c>
      <c r="K40" s="21">
        <v>0</v>
      </c>
      <c r="L40" s="10">
        <f t="shared" si="1"/>
        <v>0</v>
      </c>
      <c r="M40" s="21">
        <v>0</v>
      </c>
      <c r="N40" s="205">
        <f t="shared" si="2"/>
        <v>0</v>
      </c>
      <c r="O40" s="21">
        <v>0</v>
      </c>
      <c r="P40" s="10">
        <f t="shared" si="7"/>
        <v>0</v>
      </c>
      <c r="Q40" s="21">
        <v>0</v>
      </c>
      <c r="R40" s="205">
        <f t="shared" si="3"/>
        <v>0</v>
      </c>
      <c r="S40" s="39">
        <f t="shared" si="11"/>
        <v>0</v>
      </c>
      <c r="T40" s="38">
        <f t="shared" si="4"/>
        <v>0</v>
      </c>
      <c r="U40" s="21">
        <v>0</v>
      </c>
      <c r="V40" s="13">
        <f t="shared" si="8"/>
        <v>0</v>
      </c>
      <c r="W40" s="49">
        <f t="shared" si="9"/>
        <v>0</v>
      </c>
      <c r="X40" s="50">
        <f t="shared" si="10"/>
        <v>0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38</v>
      </c>
      <c r="C41" s="34">
        <v>63</v>
      </c>
      <c r="D41" s="35">
        <v>55</v>
      </c>
      <c r="E41" s="35">
        <v>5</v>
      </c>
      <c r="F41" s="19">
        <f t="shared" si="5"/>
        <v>1.7325E-2</v>
      </c>
      <c r="G41" s="23">
        <f>'ARALIK 3 HAFTA '!W41</f>
        <v>10</v>
      </c>
      <c r="H41" s="26">
        <f t="shared" si="6"/>
        <v>0.17325000000000002</v>
      </c>
      <c r="I41" s="21">
        <v>0</v>
      </c>
      <c r="J41" s="205">
        <f t="shared" si="0"/>
        <v>0</v>
      </c>
      <c r="K41" s="21">
        <v>0</v>
      </c>
      <c r="L41" s="10">
        <f t="shared" si="1"/>
        <v>0</v>
      </c>
      <c r="M41" s="21">
        <v>0</v>
      </c>
      <c r="N41" s="205">
        <f t="shared" si="2"/>
        <v>0</v>
      </c>
      <c r="O41" s="21">
        <v>0</v>
      </c>
      <c r="P41" s="10">
        <f t="shared" si="7"/>
        <v>0</v>
      </c>
      <c r="Q41" s="21">
        <v>0</v>
      </c>
      <c r="R41" s="205">
        <f t="shared" si="3"/>
        <v>0</v>
      </c>
      <c r="S41" s="39">
        <f t="shared" si="11"/>
        <v>10</v>
      </c>
      <c r="T41" s="38">
        <f t="shared" si="4"/>
        <v>0.17325000000000002</v>
      </c>
      <c r="U41" s="21">
        <v>0</v>
      </c>
      <c r="V41" s="13">
        <f t="shared" si="8"/>
        <v>0</v>
      </c>
      <c r="W41" s="49">
        <f t="shared" si="9"/>
        <v>10</v>
      </c>
      <c r="X41" s="50">
        <f t="shared" si="10"/>
        <v>0.17325000000000002</v>
      </c>
      <c r="Y41" s="238">
        <v>0</v>
      </c>
      <c r="Z41" s="101">
        <v>0</v>
      </c>
    </row>
    <row r="42" spans="1:26" x14ac:dyDescent="0.25">
      <c r="A42" s="264">
        <v>38</v>
      </c>
      <c r="B42" s="256" t="s">
        <v>120</v>
      </c>
      <c r="C42" s="34">
        <v>52</v>
      </c>
      <c r="D42" s="35">
        <v>52</v>
      </c>
      <c r="E42" s="35">
        <v>5</v>
      </c>
      <c r="F42" s="19">
        <f t="shared" si="5"/>
        <v>1.3520000000000001E-2</v>
      </c>
      <c r="G42" s="23">
        <f>'ARALIK 3 HAFTA '!W42</f>
        <v>162</v>
      </c>
      <c r="H42" s="26">
        <f t="shared" si="6"/>
        <v>2.1902400000000002</v>
      </c>
      <c r="I42" s="21">
        <v>0</v>
      </c>
      <c r="J42" s="205">
        <f t="shared" si="0"/>
        <v>0</v>
      </c>
      <c r="K42" s="21">
        <v>5</v>
      </c>
      <c r="L42" s="10">
        <f t="shared" si="1"/>
        <v>6.7600000000000007E-2</v>
      </c>
      <c r="M42" s="21">
        <v>0</v>
      </c>
      <c r="N42" s="205">
        <f t="shared" si="2"/>
        <v>0</v>
      </c>
      <c r="O42" s="21">
        <v>0</v>
      </c>
      <c r="P42" s="10">
        <f t="shared" si="7"/>
        <v>0</v>
      </c>
      <c r="Q42" s="21">
        <v>0</v>
      </c>
      <c r="R42" s="205">
        <f t="shared" si="3"/>
        <v>0</v>
      </c>
      <c r="S42" s="39">
        <f t="shared" si="11"/>
        <v>157</v>
      </c>
      <c r="T42" s="38">
        <f t="shared" si="4"/>
        <v>2.1226400000000001</v>
      </c>
      <c r="U42" s="21">
        <v>0</v>
      </c>
      <c r="V42" s="13">
        <f t="shared" si="8"/>
        <v>0</v>
      </c>
      <c r="W42" s="49">
        <f t="shared" si="9"/>
        <v>157</v>
      </c>
      <c r="X42" s="50">
        <f t="shared" si="10"/>
        <v>2.1226400000000001</v>
      </c>
      <c r="Y42" s="238">
        <v>0</v>
      </c>
      <c r="Z42" s="101">
        <v>0</v>
      </c>
    </row>
    <row r="43" spans="1:26" x14ac:dyDescent="0.25">
      <c r="A43" s="264">
        <v>39</v>
      </c>
      <c r="B43" s="256" t="s">
        <v>40</v>
      </c>
      <c r="C43" s="34">
        <v>80</v>
      </c>
      <c r="D43" s="35">
        <v>70</v>
      </c>
      <c r="E43" s="35">
        <v>8</v>
      </c>
      <c r="F43" s="19">
        <f t="shared" si="5"/>
        <v>4.48E-2</v>
      </c>
      <c r="G43" s="23">
        <f>'ARALIK 3 HAFTA '!W43</f>
        <v>312</v>
      </c>
      <c r="H43" s="26">
        <f t="shared" si="6"/>
        <v>13.977600000000001</v>
      </c>
      <c r="I43" s="21">
        <v>16</v>
      </c>
      <c r="J43" s="205">
        <f t="shared" si="0"/>
        <v>0.71679999999999999</v>
      </c>
      <c r="K43" s="21">
        <v>50</v>
      </c>
      <c r="L43" s="10">
        <f t="shared" si="1"/>
        <v>2.2399999999999998</v>
      </c>
      <c r="M43" s="21">
        <v>0</v>
      </c>
      <c r="N43" s="205">
        <f t="shared" si="2"/>
        <v>0</v>
      </c>
      <c r="O43" s="21">
        <v>0</v>
      </c>
      <c r="P43" s="10">
        <f t="shared" si="7"/>
        <v>0</v>
      </c>
      <c r="Q43" s="21">
        <v>0</v>
      </c>
      <c r="R43" s="205">
        <f t="shared" si="3"/>
        <v>0</v>
      </c>
      <c r="S43" s="39">
        <f t="shared" si="11"/>
        <v>246</v>
      </c>
      <c r="T43" s="38">
        <f t="shared" si="4"/>
        <v>11.020799999999999</v>
      </c>
      <c r="U43" s="21">
        <v>242</v>
      </c>
      <c r="V43" s="13">
        <f t="shared" si="8"/>
        <v>10.8416</v>
      </c>
      <c r="W43" s="49">
        <f t="shared" si="9"/>
        <v>488</v>
      </c>
      <c r="X43" s="50">
        <f t="shared" si="10"/>
        <v>21.862400000000001</v>
      </c>
      <c r="Y43" s="238">
        <v>50</v>
      </c>
      <c r="Z43" s="101">
        <v>200</v>
      </c>
    </row>
    <row r="44" spans="1:26" x14ac:dyDescent="0.25">
      <c r="A44" s="264">
        <v>40</v>
      </c>
      <c r="B44" s="256" t="s">
        <v>42</v>
      </c>
      <c r="C44" s="34">
        <v>70</v>
      </c>
      <c r="D44" s="35">
        <v>64</v>
      </c>
      <c r="E44" s="35">
        <v>8</v>
      </c>
      <c r="F44" s="19">
        <f t="shared" si="5"/>
        <v>3.5839999999999997E-2</v>
      </c>
      <c r="G44" s="23">
        <f>'ARALIK 3 HAFTA '!W44</f>
        <v>343</v>
      </c>
      <c r="H44" s="26">
        <f t="shared" si="6"/>
        <v>12.293119999999998</v>
      </c>
      <c r="I44" s="21">
        <v>0</v>
      </c>
      <c r="J44" s="205">
        <f t="shared" si="0"/>
        <v>0</v>
      </c>
      <c r="K44" s="21">
        <v>15</v>
      </c>
      <c r="L44" s="10">
        <f t="shared" si="1"/>
        <v>0.53759999999999997</v>
      </c>
      <c r="M44" s="21">
        <v>0</v>
      </c>
      <c r="N44" s="205">
        <f t="shared" si="2"/>
        <v>0</v>
      </c>
      <c r="O44" s="21">
        <v>0</v>
      </c>
      <c r="P44" s="10">
        <f t="shared" si="7"/>
        <v>0</v>
      </c>
      <c r="Q44" s="21">
        <v>0</v>
      </c>
      <c r="R44" s="205">
        <f t="shared" si="3"/>
        <v>0</v>
      </c>
      <c r="S44" s="39">
        <f t="shared" si="11"/>
        <v>328</v>
      </c>
      <c r="T44" s="38">
        <f t="shared" si="4"/>
        <v>11.755519999999999</v>
      </c>
      <c r="U44" s="21">
        <v>210</v>
      </c>
      <c r="V44" s="13">
        <f t="shared" si="8"/>
        <v>7.5263999999999998</v>
      </c>
      <c r="W44" s="49">
        <f t="shared" si="9"/>
        <v>538</v>
      </c>
      <c r="X44" s="50">
        <f t="shared" si="10"/>
        <v>19.28192</v>
      </c>
      <c r="Y44" s="238">
        <v>50</v>
      </c>
      <c r="Z44" s="101">
        <v>200</v>
      </c>
    </row>
    <row r="45" spans="1:26" x14ac:dyDescent="0.25">
      <c r="A45" s="264">
        <v>41</v>
      </c>
      <c r="B45" s="256" t="s">
        <v>43</v>
      </c>
      <c r="C45" s="34">
        <v>75</v>
      </c>
      <c r="D45" s="35">
        <v>70</v>
      </c>
      <c r="E45" s="35">
        <v>8</v>
      </c>
      <c r="F45" s="19">
        <f t="shared" si="5"/>
        <v>4.2000000000000003E-2</v>
      </c>
      <c r="G45" s="23">
        <f>'ARALIK 3 HAFTA '!W45</f>
        <v>434</v>
      </c>
      <c r="H45" s="26">
        <f t="shared" si="6"/>
        <v>18.228000000000002</v>
      </c>
      <c r="I45" s="21">
        <v>0</v>
      </c>
      <c r="J45" s="205">
        <f t="shared" si="0"/>
        <v>0</v>
      </c>
      <c r="K45" s="21">
        <v>30</v>
      </c>
      <c r="L45" s="10">
        <f t="shared" si="1"/>
        <v>1.26</v>
      </c>
      <c r="M45" s="21">
        <v>0</v>
      </c>
      <c r="N45" s="205">
        <f t="shared" si="2"/>
        <v>0</v>
      </c>
      <c r="O45" s="21">
        <v>0</v>
      </c>
      <c r="P45" s="10">
        <f t="shared" si="7"/>
        <v>0</v>
      </c>
      <c r="Q45" s="21">
        <v>0</v>
      </c>
      <c r="R45" s="205">
        <f t="shared" si="3"/>
        <v>0</v>
      </c>
      <c r="S45" s="39">
        <f t="shared" si="11"/>
        <v>404</v>
      </c>
      <c r="T45" s="38">
        <f t="shared" si="4"/>
        <v>16.968</v>
      </c>
      <c r="U45" s="21">
        <v>0</v>
      </c>
      <c r="V45" s="13">
        <f t="shared" si="8"/>
        <v>0</v>
      </c>
      <c r="W45" s="49">
        <f t="shared" si="9"/>
        <v>404</v>
      </c>
      <c r="X45" s="50">
        <f t="shared" si="10"/>
        <v>16.968</v>
      </c>
      <c r="Y45" s="238">
        <v>50</v>
      </c>
      <c r="Z45" s="101">
        <v>200</v>
      </c>
    </row>
    <row r="46" spans="1:26" x14ac:dyDescent="0.25">
      <c r="A46" s="264">
        <v>42</v>
      </c>
      <c r="B46" s="256" t="s">
        <v>119</v>
      </c>
      <c r="C46" s="34">
        <v>143</v>
      </c>
      <c r="D46" s="35">
        <v>66</v>
      </c>
      <c r="E46" s="35">
        <v>5</v>
      </c>
      <c r="F46" s="19">
        <f t="shared" si="5"/>
        <v>4.7190000000000003E-2</v>
      </c>
      <c r="G46" s="23">
        <f>'ARALIK 3 HAFTA '!W46</f>
        <v>361</v>
      </c>
      <c r="H46" s="26">
        <f t="shared" si="6"/>
        <v>17.035590000000003</v>
      </c>
      <c r="I46" s="21">
        <v>5</v>
      </c>
      <c r="J46" s="205">
        <f t="shared" si="0"/>
        <v>0.23595000000000002</v>
      </c>
      <c r="K46" s="21">
        <v>0</v>
      </c>
      <c r="L46" s="10">
        <f t="shared" si="1"/>
        <v>0</v>
      </c>
      <c r="M46" s="21">
        <v>21</v>
      </c>
      <c r="N46" s="205">
        <f t="shared" si="2"/>
        <v>0.99099000000000004</v>
      </c>
      <c r="O46" s="21">
        <v>0</v>
      </c>
      <c r="P46" s="10">
        <f t="shared" si="7"/>
        <v>0</v>
      </c>
      <c r="Q46" s="21">
        <v>23</v>
      </c>
      <c r="R46" s="205">
        <f t="shared" si="3"/>
        <v>1.0853700000000002</v>
      </c>
      <c r="S46" s="39">
        <f t="shared" si="11"/>
        <v>312</v>
      </c>
      <c r="T46" s="38">
        <f t="shared" si="4"/>
        <v>14.723280000000001</v>
      </c>
      <c r="U46" s="21">
        <v>0</v>
      </c>
      <c r="V46" s="13">
        <f t="shared" si="8"/>
        <v>0</v>
      </c>
      <c r="W46" s="49">
        <f t="shared" si="9"/>
        <v>312</v>
      </c>
      <c r="X46" s="50">
        <f t="shared" si="10"/>
        <v>14.723280000000001</v>
      </c>
      <c r="Y46" s="238">
        <v>50</v>
      </c>
      <c r="Z46" s="101">
        <v>100</v>
      </c>
    </row>
    <row r="47" spans="1:26" x14ac:dyDescent="0.25">
      <c r="A47" s="264">
        <v>43</v>
      </c>
      <c r="B47" s="256" t="s">
        <v>45</v>
      </c>
      <c r="C47" s="34">
        <v>80</v>
      </c>
      <c r="D47" s="35">
        <v>63</v>
      </c>
      <c r="E47" s="35">
        <v>5</v>
      </c>
      <c r="F47" s="19">
        <f t="shared" si="5"/>
        <v>2.52E-2</v>
      </c>
      <c r="G47" s="23">
        <f>'ARALIK 3 HAFTA '!W47</f>
        <v>315</v>
      </c>
      <c r="H47" s="26">
        <f t="shared" si="6"/>
        <v>7.9379999999999997</v>
      </c>
      <c r="I47" s="21">
        <v>0</v>
      </c>
      <c r="J47" s="205">
        <f t="shared" si="0"/>
        <v>0</v>
      </c>
      <c r="K47" s="21">
        <v>0</v>
      </c>
      <c r="L47" s="10">
        <f t="shared" si="1"/>
        <v>0</v>
      </c>
      <c r="M47" s="21">
        <v>0</v>
      </c>
      <c r="N47" s="205">
        <f t="shared" si="2"/>
        <v>0</v>
      </c>
      <c r="O47" s="21">
        <v>0</v>
      </c>
      <c r="P47" s="10">
        <f t="shared" si="7"/>
        <v>0</v>
      </c>
      <c r="Q47" s="21">
        <v>0</v>
      </c>
      <c r="R47" s="205">
        <f t="shared" si="3"/>
        <v>0</v>
      </c>
      <c r="S47" s="39">
        <f t="shared" si="11"/>
        <v>315</v>
      </c>
      <c r="T47" s="38">
        <f t="shared" si="4"/>
        <v>7.9379999999999997</v>
      </c>
      <c r="U47" s="21">
        <v>0</v>
      </c>
      <c r="V47" s="13">
        <f t="shared" si="8"/>
        <v>0</v>
      </c>
      <c r="W47" s="49">
        <f t="shared" si="9"/>
        <v>315</v>
      </c>
      <c r="X47" s="50">
        <f t="shared" si="10"/>
        <v>7.9379999999999997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46</v>
      </c>
      <c r="C48" s="34">
        <v>77</v>
      </c>
      <c r="D48" s="35">
        <v>68</v>
      </c>
      <c r="E48" s="35">
        <v>8</v>
      </c>
      <c r="F48" s="19">
        <f t="shared" si="5"/>
        <v>4.1888000000000002E-2</v>
      </c>
      <c r="G48" s="23">
        <f>'ARALIK 3 HAFTA '!W48</f>
        <v>9</v>
      </c>
      <c r="H48" s="26">
        <f t="shared" si="6"/>
        <v>0.37699199999999999</v>
      </c>
      <c r="I48" s="21">
        <v>0</v>
      </c>
      <c r="J48" s="205">
        <f t="shared" si="0"/>
        <v>0</v>
      </c>
      <c r="K48" s="21">
        <v>15</v>
      </c>
      <c r="L48" s="10">
        <f t="shared" si="1"/>
        <v>0.62831999999999999</v>
      </c>
      <c r="M48" s="21">
        <v>0</v>
      </c>
      <c r="N48" s="205">
        <f t="shared" si="2"/>
        <v>0</v>
      </c>
      <c r="O48" s="21">
        <v>0</v>
      </c>
      <c r="P48" s="10">
        <f t="shared" si="7"/>
        <v>0</v>
      </c>
      <c r="Q48" s="21">
        <v>0</v>
      </c>
      <c r="R48" s="205">
        <f t="shared" si="3"/>
        <v>0</v>
      </c>
      <c r="S48" s="39">
        <f t="shared" si="11"/>
        <v>-6</v>
      </c>
      <c r="T48" s="38">
        <f t="shared" si="4"/>
        <v>-0.251328</v>
      </c>
      <c r="U48" s="21">
        <v>156</v>
      </c>
      <c r="V48" s="13">
        <f t="shared" si="8"/>
        <v>6.5345279999999999</v>
      </c>
      <c r="W48" s="49">
        <f t="shared" si="9"/>
        <v>150</v>
      </c>
      <c r="X48" s="50">
        <f t="shared" si="10"/>
        <v>6.2831999999999999</v>
      </c>
      <c r="Y48" s="238">
        <v>50</v>
      </c>
      <c r="Z48" s="101">
        <v>200</v>
      </c>
    </row>
    <row r="49" spans="1:26" x14ac:dyDescent="0.25">
      <c r="A49" s="264">
        <v>45</v>
      </c>
      <c r="B49" s="256" t="s">
        <v>47</v>
      </c>
      <c r="C49" s="34">
        <v>79</v>
      </c>
      <c r="D49" s="35">
        <v>79</v>
      </c>
      <c r="E49" s="35">
        <v>2</v>
      </c>
      <c r="F49" s="19">
        <f t="shared" si="5"/>
        <v>1.2482E-2</v>
      </c>
      <c r="G49" s="23">
        <f>'ARALIK 3 HAFTA '!W49</f>
        <v>244</v>
      </c>
      <c r="H49" s="26">
        <f t="shared" si="6"/>
        <v>3.0456080000000001</v>
      </c>
      <c r="I49" s="21">
        <v>0</v>
      </c>
      <c r="J49" s="205">
        <f t="shared" si="0"/>
        <v>0</v>
      </c>
      <c r="K49" s="21">
        <v>0</v>
      </c>
      <c r="L49" s="10">
        <f t="shared" si="1"/>
        <v>0</v>
      </c>
      <c r="M49" s="21">
        <v>0</v>
      </c>
      <c r="N49" s="205">
        <f t="shared" si="2"/>
        <v>0</v>
      </c>
      <c r="O49" s="21">
        <v>0</v>
      </c>
      <c r="P49" s="10">
        <f t="shared" si="7"/>
        <v>0</v>
      </c>
      <c r="Q49" s="21">
        <v>0</v>
      </c>
      <c r="R49" s="205">
        <f t="shared" si="3"/>
        <v>0</v>
      </c>
      <c r="S49" s="39">
        <f t="shared" si="11"/>
        <v>244</v>
      </c>
      <c r="T49" s="38">
        <f t="shared" si="4"/>
        <v>3.0456080000000001</v>
      </c>
      <c r="U49" s="21">
        <v>0</v>
      </c>
      <c r="V49" s="13">
        <f t="shared" si="8"/>
        <v>0</v>
      </c>
      <c r="W49" s="49">
        <f t="shared" si="9"/>
        <v>244</v>
      </c>
      <c r="X49" s="50">
        <f t="shared" si="10"/>
        <v>3.0456080000000001</v>
      </c>
      <c r="Y49" s="238">
        <v>100</v>
      </c>
      <c r="Z49" s="101">
        <v>300</v>
      </c>
    </row>
    <row r="50" spans="1:26" x14ac:dyDescent="0.25">
      <c r="A50" s="264">
        <v>46</v>
      </c>
      <c r="B50" s="256" t="s">
        <v>48</v>
      </c>
      <c r="C50" s="34">
        <v>61</v>
      </c>
      <c r="D50" s="35">
        <v>56</v>
      </c>
      <c r="E50" s="35">
        <v>10</v>
      </c>
      <c r="F50" s="19">
        <f t="shared" si="5"/>
        <v>3.4160000000000003E-2</v>
      </c>
      <c r="G50" s="23">
        <f>'ARALIK 3 HAFTA '!W50</f>
        <v>60</v>
      </c>
      <c r="H50" s="26">
        <f t="shared" si="6"/>
        <v>2.0496000000000003</v>
      </c>
      <c r="I50" s="21">
        <v>0</v>
      </c>
      <c r="J50" s="205">
        <f t="shared" si="0"/>
        <v>0</v>
      </c>
      <c r="K50" s="21">
        <v>0</v>
      </c>
      <c r="L50" s="10">
        <f t="shared" si="1"/>
        <v>0</v>
      </c>
      <c r="M50" s="21">
        <v>0</v>
      </c>
      <c r="N50" s="205">
        <f t="shared" si="2"/>
        <v>0</v>
      </c>
      <c r="O50" s="21">
        <v>0</v>
      </c>
      <c r="P50" s="10">
        <f t="shared" si="7"/>
        <v>0</v>
      </c>
      <c r="Q50" s="21">
        <v>0</v>
      </c>
      <c r="R50" s="205">
        <f t="shared" si="3"/>
        <v>0</v>
      </c>
      <c r="S50" s="39">
        <f t="shared" si="11"/>
        <v>60</v>
      </c>
      <c r="T50" s="38">
        <f t="shared" si="4"/>
        <v>2.0496000000000003</v>
      </c>
      <c r="U50" s="21">
        <v>48</v>
      </c>
      <c r="V50" s="13">
        <f t="shared" si="8"/>
        <v>1.6396800000000002</v>
      </c>
      <c r="W50" s="49">
        <f t="shared" si="9"/>
        <v>108</v>
      </c>
      <c r="X50" s="50">
        <f t="shared" si="10"/>
        <v>3.6892800000000001</v>
      </c>
      <c r="Y50" s="238">
        <v>30</v>
      </c>
      <c r="Z50" s="101">
        <v>100</v>
      </c>
    </row>
    <row r="51" spans="1:26" x14ac:dyDescent="0.25">
      <c r="A51" s="264">
        <v>47</v>
      </c>
      <c r="B51" s="256" t="s">
        <v>49</v>
      </c>
      <c r="C51" s="34">
        <v>66</v>
      </c>
      <c r="D51" s="35">
        <v>61</v>
      </c>
      <c r="E51" s="35">
        <v>10</v>
      </c>
      <c r="F51" s="19">
        <f t="shared" si="5"/>
        <v>4.0259999999999997E-2</v>
      </c>
      <c r="G51" s="23">
        <f>'ARALIK 3 HAFTA '!W51</f>
        <v>90</v>
      </c>
      <c r="H51" s="26">
        <f t="shared" si="6"/>
        <v>3.6233999999999997</v>
      </c>
      <c r="I51" s="21">
        <v>0</v>
      </c>
      <c r="J51" s="205">
        <f t="shared" si="0"/>
        <v>0</v>
      </c>
      <c r="K51" s="21">
        <v>0</v>
      </c>
      <c r="L51" s="10">
        <f t="shared" si="1"/>
        <v>0</v>
      </c>
      <c r="M51" s="21">
        <v>0</v>
      </c>
      <c r="N51" s="205">
        <f t="shared" si="2"/>
        <v>0</v>
      </c>
      <c r="O51" s="21">
        <v>0</v>
      </c>
      <c r="P51" s="10">
        <f t="shared" si="7"/>
        <v>0</v>
      </c>
      <c r="Q51" s="21">
        <v>0</v>
      </c>
      <c r="R51" s="205">
        <f t="shared" si="3"/>
        <v>0</v>
      </c>
      <c r="S51" s="39">
        <f t="shared" si="11"/>
        <v>90</v>
      </c>
      <c r="T51" s="38">
        <f t="shared" si="4"/>
        <v>3.6233999999999997</v>
      </c>
      <c r="U51" s="21">
        <v>6</v>
      </c>
      <c r="V51" s="13">
        <f t="shared" si="8"/>
        <v>0.24156</v>
      </c>
      <c r="W51" s="49">
        <f t="shared" si="9"/>
        <v>96</v>
      </c>
      <c r="X51" s="50">
        <f t="shared" si="10"/>
        <v>3.86496</v>
      </c>
      <c r="Y51" s="238">
        <v>30</v>
      </c>
      <c r="Z51" s="101">
        <v>100</v>
      </c>
    </row>
    <row r="52" spans="1:26" x14ac:dyDescent="0.25">
      <c r="A52" s="264">
        <v>48</v>
      </c>
      <c r="B52" s="256" t="s">
        <v>50</v>
      </c>
      <c r="C52" s="34">
        <v>63</v>
      </c>
      <c r="D52" s="35">
        <v>61</v>
      </c>
      <c r="E52" s="35">
        <v>10</v>
      </c>
      <c r="F52" s="19">
        <f t="shared" si="5"/>
        <v>3.8429999999999999E-2</v>
      </c>
      <c r="G52" s="23">
        <f>'ARALIK 3 HAFTA '!W52</f>
        <v>0</v>
      </c>
      <c r="H52" s="26">
        <f t="shared" si="6"/>
        <v>0</v>
      </c>
      <c r="I52" s="21">
        <v>0</v>
      </c>
      <c r="J52" s="205">
        <f t="shared" si="0"/>
        <v>0</v>
      </c>
      <c r="K52" s="21">
        <v>0</v>
      </c>
      <c r="L52" s="10">
        <f t="shared" si="1"/>
        <v>0</v>
      </c>
      <c r="M52" s="21">
        <v>0</v>
      </c>
      <c r="N52" s="205">
        <f t="shared" si="2"/>
        <v>0</v>
      </c>
      <c r="O52" s="21">
        <v>0</v>
      </c>
      <c r="P52" s="10">
        <f t="shared" si="7"/>
        <v>0</v>
      </c>
      <c r="Q52" s="21">
        <v>0</v>
      </c>
      <c r="R52" s="205">
        <f t="shared" si="3"/>
        <v>0</v>
      </c>
      <c r="S52" s="39">
        <f t="shared" si="11"/>
        <v>0</v>
      </c>
      <c r="T52" s="38">
        <f t="shared" si="4"/>
        <v>0</v>
      </c>
      <c r="U52" s="21">
        <v>0</v>
      </c>
      <c r="V52" s="13">
        <f t="shared" si="8"/>
        <v>0</v>
      </c>
      <c r="W52" s="49">
        <f t="shared" si="9"/>
        <v>0</v>
      </c>
      <c r="X52" s="50">
        <f t="shared" si="10"/>
        <v>0</v>
      </c>
      <c r="Y52" s="238">
        <v>30</v>
      </c>
      <c r="Z52" s="101">
        <v>100</v>
      </c>
    </row>
    <row r="53" spans="1:26" x14ac:dyDescent="0.25">
      <c r="A53" s="264">
        <v>49</v>
      </c>
      <c r="B53" s="256" t="s">
        <v>51</v>
      </c>
      <c r="C53" s="34">
        <v>58</v>
      </c>
      <c r="D53" s="35">
        <v>58</v>
      </c>
      <c r="E53" s="35">
        <v>2.2999999999999998</v>
      </c>
      <c r="F53" s="19">
        <f t="shared" si="5"/>
        <v>7.7371999999999996E-3</v>
      </c>
      <c r="G53" s="23">
        <f>'ARALIK 3 HAFTA '!W53</f>
        <v>3168</v>
      </c>
      <c r="H53" s="26">
        <f t="shared" si="6"/>
        <v>24.511449599999999</v>
      </c>
      <c r="I53" s="21">
        <v>0</v>
      </c>
      <c r="J53" s="205">
        <f t="shared" si="0"/>
        <v>0</v>
      </c>
      <c r="K53" s="21">
        <v>74</v>
      </c>
      <c r="L53" s="10">
        <f t="shared" si="1"/>
        <v>0.57255279999999997</v>
      </c>
      <c r="M53" s="21">
        <v>0</v>
      </c>
      <c r="N53" s="205">
        <f t="shared" si="2"/>
        <v>0</v>
      </c>
      <c r="O53" s="21">
        <v>0</v>
      </c>
      <c r="P53" s="10">
        <f t="shared" si="7"/>
        <v>0</v>
      </c>
      <c r="Q53" s="21">
        <v>0</v>
      </c>
      <c r="R53" s="205">
        <f t="shared" si="3"/>
        <v>0</v>
      </c>
      <c r="S53" s="39">
        <f t="shared" si="11"/>
        <v>3094</v>
      </c>
      <c r="T53" s="38">
        <f t="shared" si="4"/>
        <v>23.938896799999998</v>
      </c>
      <c r="U53" s="21">
        <v>0</v>
      </c>
      <c r="V53" s="13">
        <f t="shared" si="8"/>
        <v>0</v>
      </c>
      <c r="W53" s="49">
        <f t="shared" si="9"/>
        <v>3094</v>
      </c>
      <c r="X53" s="50">
        <f t="shared" si="10"/>
        <v>23.938896799999998</v>
      </c>
      <c r="Y53" s="238">
        <v>200</v>
      </c>
      <c r="Z53" s="101">
        <v>500</v>
      </c>
    </row>
    <row r="54" spans="1:26" x14ac:dyDescent="0.25">
      <c r="A54" s="264">
        <v>50</v>
      </c>
      <c r="B54" s="256" t="s">
        <v>52</v>
      </c>
      <c r="C54" s="34">
        <v>79</v>
      </c>
      <c r="D54" s="35">
        <v>62</v>
      </c>
      <c r="E54" s="35">
        <v>2.2999999999999998</v>
      </c>
      <c r="F54" s="19">
        <f t="shared" si="5"/>
        <v>1.12654E-2</v>
      </c>
      <c r="G54" s="23">
        <f>'ARALIK 3 HAFTA '!W54</f>
        <v>3215</v>
      </c>
      <c r="H54" s="26">
        <f t="shared" si="6"/>
        <v>36.218260999999998</v>
      </c>
      <c r="I54" s="21">
        <v>30</v>
      </c>
      <c r="J54" s="205">
        <f t="shared" si="0"/>
        <v>0.33796199999999998</v>
      </c>
      <c r="K54" s="21">
        <v>0</v>
      </c>
      <c r="L54" s="10">
        <f t="shared" si="1"/>
        <v>0</v>
      </c>
      <c r="M54" s="21">
        <v>0</v>
      </c>
      <c r="N54" s="205">
        <f t="shared" si="2"/>
        <v>0</v>
      </c>
      <c r="O54" s="21">
        <v>0</v>
      </c>
      <c r="P54" s="10">
        <f t="shared" si="7"/>
        <v>0</v>
      </c>
      <c r="Q54" s="21">
        <v>0</v>
      </c>
      <c r="R54" s="205">
        <f t="shared" si="3"/>
        <v>0</v>
      </c>
      <c r="S54" s="39">
        <f t="shared" si="11"/>
        <v>3185</v>
      </c>
      <c r="T54" s="38">
        <f t="shared" si="4"/>
        <v>35.880299000000001</v>
      </c>
      <c r="U54" s="21">
        <v>0</v>
      </c>
      <c r="V54" s="13">
        <f t="shared" si="8"/>
        <v>0</v>
      </c>
      <c r="W54" s="49">
        <f t="shared" si="9"/>
        <v>3185</v>
      </c>
      <c r="X54" s="50">
        <f t="shared" si="10"/>
        <v>35.880299000000001</v>
      </c>
      <c r="Y54" s="238">
        <v>100</v>
      </c>
      <c r="Z54" s="101">
        <v>300</v>
      </c>
    </row>
    <row r="55" spans="1:26" x14ac:dyDescent="0.25">
      <c r="A55" s="264">
        <v>51</v>
      </c>
      <c r="B55" s="256" t="s">
        <v>53</v>
      </c>
      <c r="C55" s="34">
        <v>200</v>
      </c>
      <c r="D55" s="35">
        <v>176</v>
      </c>
      <c r="E55" s="35">
        <v>2.2999999999999998</v>
      </c>
      <c r="F55" s="19">
        <f t="shared" si="5"/>
        <v>8.0960000000000004E-2</v>
      </c>
      <c r="G55" s="23">
        <f>'ARALIK 3 HAFTA '!W55</f>
        <v>1</v>
      </c>
      <c r="H55" s="26">
        <f t="shared" si="6"/>
        <v>8.0960000000000004E-2</v>
      </c>
      <c r="I55" s="21">
        <v>0</v>
      </c>
      <c r="J55" s="205">
        <f t="shared" si="0"/>
        <v>0</v>
      </c>
      <c r="K55" s="21">
        <v>0</v>
      </c>
      <c r="L55" s="10">
        <f t="shared" si="1"/>
        <v>0</v>
      </c>
      <c r="M55" s="21">
        <v>0</v>
      </c>
      <c r="N55" s="205">
        <f t="shared" si="2"/>
        <v>0</v>
      </c>
      <c r="O55" s="21">
        <v>0</v>
      </c>
      <c r="P55" s="10">
        <f t="shared" si="7"/>
        <v>0</v>
      </c>
      <c r="Q55" s="21">
        <v>0</v>
      </c>
      <c r="R55" s="205">
        <f t="shared" si="3"/>
        <v>0</v>
      </c>
      <c r="S55" s="39">
        <f t="shared" si="11"/>
        <v>1</v>
      </c>
      <c r="T55" s="38">
        <f t="shared" si="4"/>
        <v>8.0960000000000004E-2</v>
      </c>
      <c r="U55" s="21">
        <v>0</v>
      </c>
      <c r="V55" s="13">
        <f t="shared" si="8"/>
        <v>0</v>
      </c>
      <c r="W55" s="49">
        <f t="shared" si="9"/>
        <v>1</v>
      </c>
      <c r="X55" s="50">
        <f t="shared" si="10"/>
        <v>8.0960000000000004E-2</v>
      </c>
      <c r="Y55" s="238">
        <v>0</v>
      </c>
      <c r="Z55" s="101">
        <v>0</v>
      </c>
    </row>
    <row r="56" spans="1:26" x14ac:dyDescent="0.25">
      <c r="A56" s="264">
        <v>52</v>
      </c>
      <c r="B56" s="256" t="s">
        <v>122</v>
      </c>
      <c r="C56" s="34">
        <v>79</v>
      </c>
      <c r="D56" s="35">
        <v>79</v>
      </c>
      <c r="E56" s="35">
        <v>2.2999999999999998</v>
      </c>
      <c r="F56" s="19">
        <f t="shared" si="5"/>
        <v>1.4354299999999999E-2</v>
      </c>
      <c r="G56" s="23">
        <f>'ARALIK 3 HAFTA '!W56</f>
        <v>3572</v>
      </c>
      <c r="H56" s="26">
        <f t="shared" si="6"/>
        <v>51.273559599999999</v>
      </c>
      <c r="I56" s="21">
        <v>8</v>
      </c>
      <c r="J56" s="205">
        <f t="shared" si="0"/>
        <v>0.11483439999999999</v>
      </c>
      <c r="K56" s="21">
        <v>0</v>
      </c>
      <c r="L56" s="10">
        <f t="shared" si="1"/>
        <v>0</v>
      </c>
      <c r="M56" s="21">
        <v>0</v>
      </c>
      <c r="N56" s="205">
        <f t="shared" si="2"/>
        <v>0</v>
      </c>
      <c r="O56" s="21">
        <v>0</v>
      </c>
      <c r="P56" s="10">
        <f t="shared" si="7"/>
        <v>0</v>
      </c>
      <c r="Q56" s="21">
        <v>0</v>
      </c>
      <c r="R56" s="205">
        <f t="shared" si="3"/>
        <v>0</v>
      </c>
      <c r="S56" s="39">
        <f t="shared" si="11"/>
        <v>3564</v>
      </c>
      <c r="T56" s="38">
        <f t="shared" si="4"/>
        <v>51.158725199999992</v>
      </c>
      <c r="U56" s="21">
        <v>0</v>
      </c>
      <c r="V56" s="13">
        <f t="shared" si="8"/>
        <v>0</v>
      </c>
      <c r="W56" s="49">
        <f t="shared" si="9"/>
        <v>3564</v>
      </c>
      <c r="X56" s="50">
        <f t="shared" si="10"/>
        <v>51.158725199999992</v>
      </c>
      <c r="Y56" s="238">
        <v>300</v>
      </c>
      <c r="Z56" s="101">
        <v>1000</v>
      </c>
    </row>
    <row r="57" spans="1:26" ht="15.75" x14ac:dyDescent="0.25">
      <c r="A57" s="264">
        <v>53</v>
      </c>
      <c r="B57" s="256" t="s">
        <v>55</v>
      </c>
      <c r="C57" s="111">
        <v>50</v>
      </c>
      <c r="D57" s="112">
        <v>45</v>
      </c>
      <c r="E57" s="112">
        <v>4</v>
      </c>
      <c r="F57" s="19">
        <f t="shared" si="5"/>
        <v>8.9999999999999993E-3</v>
      </c>
      <c r="G57" s="23">
        <f>'ARALIK 3 HAFTA '!W57</f>
        <v>227</v>
      </c>
      <c r="H57" s="26">
        <f t="shared" si="6"/>
        <v>2.0429999999999997</v>
      </c>
      <c r="I57" s="21">
        <v>0</v>
      </c>
      <c r="J57" s="205">
        <f t="shared" si="0"/>
        <v>0</v>
      </c>
      <c r="K57" s="21">
        <v>0</v>
      </c>
      <c r="L57" s="10">
        <f t="shared" si="1"/>
        <v>0</v>
      </c>
      <c r="M57" s="21">
        <v>20</v>
      </c>
      <c r="N57" s="205">
        <f t="shared" si="2"/>
        <v>0.18</v>
      </c>
      <c r="O57" s="21">
        <v>12</v>
      </c>
      <c r="P57" s="10">
        <f t="shared" si="7"/>
        <v>0.10799999999999998</v>
      </c>
      <c r="Q57" s="21">
        <v>11</v>
      </c>
      <c r="R57" s="205">
        <f t="shared" si="3"/>
        <v>9.8999999999999991E-2</v>
      </c>
      <c r="S57" s="39">
        <f t="shared" si="11"/>
        <v>184</v>
      </c>
      <c r="T57" s="38">
        <f t="shared" si="4"/>
        <v>1.6559999999999999</v>
      </c>
      <c r="U57" s="21">
        <v>0</v>
      </c>
      <c r="V57" s="13">
        <f t="shared" si="8"/>
        <v>0</v>
      </c>
      <c r="W57" s="49">
        <f t="shared" si="9"/>
        <v>184</v>
      </c>
      <c r="X57" s="50">
        <f t="shared" si="10"/>
        <v>1.6559999999999999</v>
      </c>
      <c r="Y57" s="238">
        <v>300</v>
      </c>
      <c r="Z57" s="101">
        <v>1000</v>
      </c>
    </row>
    <row r="58" spans="1:26" ht="15.75" x14ac:dyDescent="0.25">
      <c r="A58" s="264">
        <v>54</v>
      </c>
      <c r="B58" s="256" t="s">
        <v>56</v>
      </c>
      <c r="C58" s="111">
        <v>50</v>
      </c>
      <c r="D58" s="112">
        <v>35</v>
      </c>
      <c r="E58" s="112">
        <v>4</v>
      </c>
      <c r="F58" s="19">
        <f t="shared" si="5"/>
        <v>7.0000000000000001E-3</v>
      </c>
      <c r="G58" s="23">
        <f>'ARALIK 3 HAFTA '!W58</f>
        <v>335</v>
      </c>
      <c r="H58" s="26">
        <f t="shared" si="6"/>
        <v>2.3450000000000002</v>
      </c>
      <c r="I58" s="21">
        <v>0</v>
      </c>
      <c r="J58" s="205">
        <f t="shared" si="0"/>
        <v>0</v>
      </c>
      <c r="K58" s="21">
        <v>0</v>
      </c>
      <c r="L58" s="10">
        <f t="shared" si="1"/>
        <v>0</v>
      </c>
      <c r="M58" s="21">
        <v>0</v>
      </c>
      <c r="N58" s="205">
        <f t="shared" si="2"/>
        <v>0</v>
      </c>
      <c r="O58" s="21">
        <v>12</v>
      </c>
      <c r="P58" s="10">
        <f t="shared" si="7"/>
        <v>8.4000000000000005E-2</v>
      </c>
      <c r="Q58" s="21">
        <v>0</v>
      </c>
      <c r="R58" s="205">
        <f t="shared" si="3"/>
        <v>0</v>
      </c>
      <c r="S58" s="39">
        <f t="shared" si="11"/>
        <v>323</v>
      </c>
      <c r="T58" s="38">
        <f t="shared" si="4"/>
        <v>2.2610000000000001</v>
      </c>
      <c r="U58" s="21">
        <v>0</v>
      </c>
      <c r="V58" s="13">
        <f t="shared" si="8"/>
        <v>0</v>
      </c>
      <c r="W58" s="49">
        <f t="shared" si="9"/>
        <v>323</v>
      </c>
      <c r="X58" s="50">
        <f t="shared" si="10"/>
        <v>2.2610000000000001</v>
      </c>
      <c r="Y58" s="238">
        <v>500</v>
      </c>
      <c r="Z58" s="101">
        <v>1500</v>
      </c>
    </row>
    <row r="59" spans="1:26" ht="15.75" x14ac:dyDescent="0.25">
      <c r="A59" s="264">
        <v>55</v>
      </c>
      <c r="B59" s="256" t="s">
        <v>57</v>
      </c>
      <c r="C59" s="111">
        <v>45</v>
      </c>
      <c r="D59" s="112">
        <v>50</v>
      </c>
      <c r="E59" s="112">
        <v>3</v>
      </c>
      <c r="F59" s="19">
        <f t="shared" si="5"/>
        <v>6.7499999999999999E-3</v>
      </c>
      <c r="G59" s="23">
        <f>'ARALIK 3 HAFTA '!W59</f>
        <v>725</v>
      </c>
      <c r="H59" s="26">
        <f t="shared" si="6"/>
        <v>4.8937499999999998</v>
      </c>
      <c r="I59" s="21">
        <v>500</v>
      </c>
      <c r="J59" s="205">
        <f t="shared" si="0"/>
        <v>3.375</v>
      </c>
      <c r="K59" s="21">
        <v>0</v>
      </c>
      <c r="L59" s="10">
        <f t="shared" si="1"/>
        <v>0</v>
      </c>
      <c r="M59" s="21">
        <v>0</v>
      </c>
      <c r="N59" s="205">
        <f t="shared" si="2"/>
        <v>0</v>
      </c>
      <c r="O59" s="21">
        <v>0</v>
      </c>
      <c r="P59" s="10">
        <f t="shared" si="7"/>
        <v>0</v>
      </c>
      <c r="Q59" s="21">
        <v>0</v>
      </c>
      <c r="R59" s="205">
        <f t="shared" si="3"/>
        <v>0</v>
      </c>
      <c r="S59" s="39">
        <f t="shared" si="11"/>
        <v>225</v>
      </c>
      <c r="T59" s="38">
        <f t="shared" si="4"/>
        <v>1.51875</v>
      </c>
      <c r="U59" s="21">
        <v>0</v>
      </c>
      <c r="V59" s="13">
        <f t="shared" si="8"/>
        <v>0</v>
      </c>
      <c r="W59" s="49">
        <f t="shared" si="9"/>
        <v>225</v>
      </c>
      <c r="X59" s="50">
        <f t="shared" si="10"/>
        <v>1.51875</v>
      </c>
      <c r="Y59" s="238">
        <v>500</v>
      </c>
      <c r="Z59" s="101">
        <v>1500</v>
      </c>
    </row>
    <row r="60" spans="1:26" ht="15.75" x14ac:dyDescent="0.25">
      <c r="A60" s="264">
        <v>56</v>
      </c>
      <c r="B60" s="256" t="s">
        <v>58</v>
      </c>
      <c r="C60" s="111">
        <v>50</v>
      </c>
      <c r="D60" s="112">
        <v>35</v>
      </c>
      <c r="E60" s="112">
        <v>3</v>
      </c>
      <c r="F60" s="19">
        <f t="shared" si="5"/>
        <v>5.2500000000000003E-3</v>
      </c>
      <c r="G60" s="23">
        <v>433</v>
      </c>
      <c r="H60" s="26">
        <f t="shared" si="6"/>
        <v>2.27325</v>
      </c>
      <c r="I60" s="21">
        <v>433</v>
      </c>
      <c r="J60" s="205">
        <f t="shared" si="0"/>
        <v>2.27325</v>
      </c>
      <c r="K60" s="21">
        <v>0</v>
      </c>
      <c r="L60" s="10">
        <f t="shared" si="1"/>
        <v>0</v>
      </c>
      <c r="M60" s="21">
        <v>0</v>
      </c>
      <c r="N60" s="205">
        <f t="shared" si="2"/>
        <v>0</v>
      </c>
      <c r="O60" s="21">
        <v>0</v>
      </c>
      <c r="P60" s="10">
        <f t="shared" si="7"/>
        <v>0</v>
      </c>
      <c r="Q60" s="21">
        <v>0</v>
      </c>
      <c r="R60" s="205">
        <f t="shared" si="3"/>
        <v>0</v>
      </c>
      <c r="S60" s="39">
        <f t="shared" si="11"/>
        <v>0</v>
      </c>
      <c r="T60" s="38">
        <f t="shared" si="4"/>
        <v>0</v>
      </c>
      <c r="U60" s="21">
        <v>0</v>
      </c>
      <c r="V60" s="13">
        <f t="shared" si="8"/>
        <v>0</v>
      </c>
      <c r="W60" s="49">
        <f t="shared" si="9"/>
        <v>0</v>
      </c>
      <c r="X60" s="50">
        <f t="shared" si="10"/>
        <v>0</v>
      </c>
      <c r="Y60" s="238">
        <v>0</v>
      </c>
      <c r="Z60" s="101">
        <v>0</v>
      </c>
    </row>
    <row r="61" spans="1:26" ht="15.75" x14ac:dyDescent="0.25">
      <c r="A61" s="264">
        <v>57</v>
      </c>
      <c r="B61" s="256" t="s">
        <v>59</v>
      </c>
      <c r="C61" s="111">
        <v>42</v>
      </c>
      <c r="D61" s="112">
        <v>36</v>
      </c>
      <c r="E61" s="112">
        <v>4</v>
      </c>
      <c r="F61" s="19">
        <f t="shared" si="5"/>
        <v>6.0480000000000004E-3</v>
      </c>
      <c r="G61" s="23">
        <f>'ARALIK 3 HAFTA '!W61</f>
        <v>0</v>
      </c>
      <c r="H61" s="26">
        <f t="shared" si="6"/>
        <v>0</v>
      </c>
      <c r="I61" s="21">
        <v>0</v>
      </c>
      <c r="J61" s="205">
        <f t="shared" si="0"/>
        <v>0</v>
      </c>
      <c r="K61" s="21">
        <v>0</v>
      </c>
      <c r="L61" s="10">
        <f t="shared" si="1"/>
        <v>0</v>
      </c>
      <c r="M61" s="21">
        <v>0</v>
      </c>
      <c r="N61" s="205">
        <f t="shared" si="2"/>
        <v>0</v>
      </c>
      <c r="O61" s="21">
        <v>0</v>
      </c>
      <c r="P61" s="10">
        <f t="shared" si="7"/>
        <v>0</v>
      </c>
      <c r="Q61" s="21">
        <v>0</v>
      </c>
      <c r="R61" s="205">
        <f t="shared" si="3"/>
        <v>0</v>
      </c>
      <c r="S61" s="97">
        <f t="shared" si="11"/>
        <v>0</v>
      </c>
      <c r="T61" s="38">
        <f t="shared" si="4"/>
        <v>0</v>
      </c>
      <c r="U61" s="21">
        <v>0</v>
      </c>
      <c r="V61" s="13">
        <f t="shared" si="8"/>
        <v>0</v>
      </c>
      <c r="W61" s="49">
        <f t="shared" si="9"/>
        <v>0</v>
      </c>
      <c r="X61" s="50">
        <f t="shared" si="10"/>
        <v>0</v>
      </c>
      <c r="Y61" s="238">
        <v>300</v>
      </c>
      <c r="Z61" s="101">
        <v>1000</v>
      </c>
    </row>
    <row r="62" spans="1:26" ht="15.75" x14ac:dyDescent="0.25">
      <c r="A62" s="264">
        <v>58</v>
      </c>
      <c r="B62" s="256" t="s">
        <v>60</v>
      </c>
      <c r="C62" s="111">
        <v>50</v>
      </c>
      <c r="D62" s="112">
        <v>35</v>
      </c>
      <c r="E62" s="112">
        <v>3</v>
      </c>
      <c r="F62" s="19">
        <f t="shared" si="5"/>
        <v>5.2500000000000003E-3</v>
      </c>
      <c r="G62" s="23">
        <f>'ARALIK 3 HAFTA '!W62</f>
        <v>825</v>
      </c>
      <c r="H62" s="26">
        <f t="shared" si="6"/>
        <v>4.3312500000000007</v>
      </c>
      <c r="I62" s="21">
        <v>164</v>
      </c>
      <c r="J62" s="205">
        <f t="shared" si="0"/>
        <v>0.8610000000000001</v>
      </c>
      <c r="K62" s="21">
        <v>0</v>
      </c>
      <c r="L62" s="10">
        <f t="shared" si="1"/>
        <v>0</v>
      </c>
      <c r="M62" s="21">
        <v>0</v>
      </c>
      <c r="N62" s="205">
        <f t="shared" si="2"/>
        <v>0</v>
      </c>
      <c r="O62" s="21">
        <v>18</v>
      </c>
      <c r="P62" s="10">
        <f t="shared" si="7"/>
        <v>9.4500000000000001E-2</v>
      </c>
      <c r="Q62" s="21">
        <v>60</v>
      </c>
      <c r="R62" s="205">
        <f t="shared" si="3"/>
        <v>0.315</v>
      </c>
      <c r="S62" s="97">
        <f t="shared" si="11"/>
        <v>583</v>
      </c>
      <c r="T62" s="38">
        <f t="shared" si="4"/>
        <v>3.0607500000000001</v>
      </c>
      <c r="U62" s="21">
        <v>0</v>
      </c>
      <c r="V62" s="13">
        <f t="shared" si="8"/>
        <v>0</v>
      </c>
      <c r="W62" s="49">
        <f t="shared" si="9"/>
        <v>583</v>
      </c>
      <c r="X62" s="50">
        <f t="shared" si="10"/>
        <v>3.0607500000000001</v>
      </c>
      <c r="Y62" s="238">
        <v>300</v>
      </c>
      <c r="Z62" s="101">
        <v>1000</v>
      </c>
    </row>
    <row r="63" spans="1:26" ht="15.75" x14ac:dyDescent="0.25">
      <c r="A63" s="264">
        <v>59</v>
      </c>
      <c r="B63" s="257" t="s">
        <v>61</v>
      </c>
      <c r="C63" s="111">
        <v>45</v>
      </c>
      <c r="D63" s="112">
        <v>50</v>
      </c>
      <c r="E63" s="112">
        <v>3</v>
      </c>
      <c r="F63" s="19">
        <f t="shared" si="5"/>
        <v>6.7499999999999999E-3</v>
      </c>
      <c r="G63" s="23">
        <f>'ARALIK 3 HAFTA '!W63</f>
        <v>889</v>
      </c>
      <c r="H63" s="26">
        <f t="shared" si="6"/>
        <v>6.00075</v>
      </c>
      <c r="I63" s="21">
        <v>0</v>
      </c>
      <c r="J63" s="205">
        <f t="shared" si="0"/>
        <v>0</v>
      </c>
      <c r="K63" s="21">
        <v>0</v>
      </c>
      <c r="L63" s="10">
        <f t="shared" si="1"/>
        <v>0</v>
      </c>
      <c r="M63" s="21">
        <v>0</v>
      </c>
      <c r="N63" s="205">
        <f t="shared" si="2"/>
        <v>0</v>
      </c>
      <c r="O63" s="21">
        <v>18</v>
      </c>
      <c r="P63" s="10">
        <f t="shared" si="7"/>
        <v>0.1215</v>
      </c>
      <c r="Q63" s="21">
        <v>60</v>
      </c>
      <c r="R63" s="205">
        <f t="shared" si="3"/>
        <v>0.40499999999999997</v>
      </c>
      <c r="S63" s="97">
        <f t="shared" si="11"/>
        <v>811</v>
      </c>
      <c r="T63" s="38">
        <f t="shared" si="4"/>
        <v>5.4742499999999996</v>
      </c>
      <c r="U63" s="21">
        <v>0</v>
      </c>
      <c r="V63" s="13">
        <f t="shared" si="8"/>
        <v>0</v>
      </c>
      <c r="W63" s="49">
        <f t="shared" si="9"/>
        <v>811</v>
      </c>
      <c r="X63" s="50">
        <f t="shared" si="10"/>
        <v>5.4742499999999996</v>
      </c>
      <c r="Y63" s="238">
        <v>500</v>
      </c>
      <c r="Z63" s="101">
        <v>1500</v>
      </c>
    </row>
    <row r="64" spans="1:26" ht="15.75" thickBot="1" x14ac:dyDescent="0.3">
      <c r="A64" s="264">
        <v>60</v>
      </c>
      <c r="B64" s="258" t="s">
        <v>90</v>
      </c>
      <c r="C64" s="36">
        <v>140</v>
      </c>
      <c r="D64" s="37">
        <v>9.5</v>
      </c>
      <c r="E64" s="37">
        <v>6.5</v>
      </c>
      <c r="F64" s="20">
        <f t="shared" si="5"/>
        <v>8.6449999999999999E-3</v>
      </c>
      <c r="G64" s="23">
        <v>0</v>
      </c>
      <c r="H64" s="27">
        <f t="shared" si="6"/>
        <v>0</v>
      </c>
      <c r="I64" s="21">
        <v>0</v>
      </c>
      <c r="J64" s="205">
        <f t="shared" si="0"/>
        <v>0</v>
      </c>
      <c r="K64" s="21">
        <v>0</v>
      </c>
      <c r="L64" s="10">
        <f t="shared" si="1"/>
        <v>0</v>
      </c>
      <c r="M64" s="21">
        <v>0</v>
      </c>
      <c r="N64" s="205">
        <f t="shared" si="2"/>
        <v>0</v>
      </c>
      <c r="O64" s="21">
        <v>0</v>
      </c>
      <c r="P64" s="48">
        <f t="shared" si="7"/>
        <v>0</v>
      </c>
      <c r="Q64" s="21">
        <v>0</v>
      </c>
      <c r="R64" s="205">
        <f t="shared" si="3"/>
        <v>0</v>
      </c>
      <c r="S64" s="97">
        <f t="shared" si="11"/>
        <v>0</v>
      </c>
      <c r="T64" s="41">
        <f t="shared" si="4"/>
        <v>0</v>
      </c>
      <c r="U64" s="21">
        <v>2406</v>
      </c>
      <c r="V64" s="13">
        <f t="shared" si="8"/>
        <v>20.799869999999999</v>
      </c>
      <c r="W64" s="49">
        <f t="shared" si="9"/>
        <v>2406</v>
      </c>
      <c r="X64" s="50">
        <f t="shared" si="10"/>
        <v>20.799869999999999</v>
      </c>
      <c r="Y64" s="238">
        <v>100</v>
      </c>
      <c r="Z64" s="101">
        <v>300</v>
      </c>
    </row>
    <row r="65" spans="1:26" ht="15.75" x14ac:dyDescent="0.25">
      <c r="A65" s="264">
        <v>61</v>
      </c>
      <c r="B65" s="259" t="s">
        <v>79</v>
      </c>
      <c r="C65" s="112">
        <v>90</v>
      </c>
      <c r="D65" s="112">
        <v>83</v>
      </c>
      <c r="E65" s="112">
        <v>2</v>
      </c>
      <c r="F65" s="114">
        <f t="shared" si="5"/>
        <v>1.494E-2</v>
      </c>
      <c r="G65" s="23">
        <f>'ARALIK 3 HAFTA '!W65</f>
        <v>100</v>
      </c>
      <c r="H65" s="116">
        <f t="shared" si="6"/>
        <v>1.494</v>
      </c>
      <c r="I65" s="21">
        <v>0</v>
      </c>
      <c r="J65" s="205">
        <f t="shared" si="0"/>
        <v>0</v>
      </c>
      <c r="K65" s="21">
        <v>0</v>
      </c>
      <c r="L65" s="10">
        <f t="shared" si="1"/>
        <v>0</v>
      </c>
      <c r="M65" s="21">
        <v>0</v>
      </c>
      <c r="N65" s="205">
        <f t="shared" si="2"/>
        <v>0</v>
      </c>
      <c r="O65" s="21">
        <v>0</v>
      </c>
      <c r="P65" s="121">
        <f t="shared" si="7"/>
        <v>0</v>
      </c>
      <c r="Q65" s="21">
        <v>0</v>
      </c>
      <c r="R65" s="205">
        <f t="shared" si="3"/>
        <v>0</v>
      </c>
      <c r="S65" s="140">
        <f t="shared" si="11"/>
        <v>100</v>
      </c>
      <c r="T65" s="123">
        <f t="shared" si="4"/>
        <v>1.494</v>
      </c>
      <c r="U65" s="21">
        <v>0</v>
      </c>
      <c r="V65" s="139">
        <f t="shared" si="8"/>
        <v>0</v>
      </c>
      <c r="W65" s="141">
        <f t="shared" si="9"/>
        <v>100</v>
      </c>
      <c r="X65" s="50">
        <f t="shared" si="10"/>
        <v>1.494</v>
      </c>
      <c r="Y65" s="238">
        <v>100</v>
      </c>
      <c r="Z65" s="101">
        <v>300</v>
      </c>
    </row>
    <row r="66" spans="1:26" ht="15.75" x14ac:dyDescent="0.25">
      <c r="A66" s="264">
        <v>62</v>
      </c>
      <c r="B66" s="260" t="s">
        <v>80</v>
      </c>
      <c r="C66" s="113">
        <v>92</v>
      </c>
      <c r="D66" s="113">
        <v>82</v>
      </c>
      <c r="E66" s="113">
        <v>2</v>
      </c>
      <c r="F66" s="124">
        <f t="shared" si="5"/>
        <v>1.5088000000000001E-2</v>
      </c>
      <c r="G66" s="23">
        <f>'ARALIK 3 HAFTA '!W66</f>
        <v>0</v>
      </c>
      <c r="H66" s="125">
        <f t="shared" si="6"/>
        <v>0</v>
      </c>
      <c r="I66" s="21">
        <v>0</v>
      </c>
      <c r="J66" s="205">
        <f t="shared" si="0"/>
        <v>0</v>
      </c>
      <c r="K66" s="21">
        <v>0</v>
      </c>
      <c r="L66" s="10">
        <f t="shared" si="1"/>
        <v>0</v>
      </c>
      <c r="M66" s="21">
        <v>0</v>
      </c>
      <c r="N66" s="205">
        <f t="shared" si="2"/>
        <v>0</v>
      </c>
      <c r="O66" s="21">
        <v>0</v>
      </c>
      <c r="P66" s="121">
        <f t="shared" si="7"/>
        <v>0</v>
      </c>
      <c r="Q66" s="21">
        <v>0</v>
      </c>
      <c r="R66" s="205">
        <f t="shared" si="3"/>
        <v>0</v>
      </c>
      <c r="S66" s="140">
        <f t="shared" si="11"/>
        <v>0</v>
      </c>
      <c r="T66" s="123">
        <f t="shared" si="4"/>
        <v>0</v>
      </c>
      <c r="U66" s="21">
        <v>0</v>
      </c>
      <c r="V66" s="139">
        <f t="shared" si="8"/>
        <v>0</v>
      </c>
      <c r="W66" s="141">
        <f t="shared" si="9"/>
        <v>0</v>
      </c>
      <c r="X66" s="107">
        <f t="shared" si="10"/>
        <v>0</v>
      </c>
      <c r="Y66" s="238">
        <v>100</v>
      </c>
      <c r="Z66" s="101">
        <v>300</v>
      </c>
    </row>
    <row r="67" spans="1:26" x14ac:dyDescent="0.25">
      <c r="A67" s="264">
        <v>63</v>
      </c>
      <c r="B67" s="261" t="s">
        <v>82</v>
      </c>
      <c r="C67" s="35">
        <v>82</v>
      </c>
      <c r="D67" s="35">
        <v>80</v>
      </c>
      <c r="E67" s="35">
        <v>2</v>
      </c>
      <c r="F67" s="114">
        <f t="shared" si="5"/>
        <v>1.312E-2</v>
      </c>
      <c r="G67" s="23">
        <f>'ARALIK 3 HAFTA '!W67</f>
        <v>163</v>
      </c>
      <c r="H67" s="110">
        <f t="shared" si="6"/>
        <v>2.13856</v>
      </c>
      <c r="I67" s="21">
        <v>0</v>
      </c>
      <c r="J67" s="205">
        <f t="shared" si="0"/>
        <v>0</v>
      </c>
      <c r="K67" s="21">
        <v>0</v>
      </c>
      <c r="L67" s="10">
        <f t="shared" si="1"/>
        <v>0</v>
      </c>
      <c r="M67" s="21">
        <v>0</v>
      </c>
      <c r="N67" s="205">
        <f t="shared" si="2"/>
        <v>0</v>
      </c>
      <c r="O67" s="21">
        <v>0</v>
      </c>
      <c r="P67" s="10">
        <f t="shared" si="7"/>
        <v>0</v>
      </c>
      <c r="Q67" s="21">
        <v>0</v>
      </c>
      <c r="R67" s="205">
        <f t="shared" si="3"/>
        <v>0</v>
      </c>
      <c r="S67" s="97">
        <f t="shared" si="11"/>
        <v>163</v>
      </c>
      <c r="T67" s="87">
        <f t="shared" si="4"/>
        <v>2.13856</v>
      </c>
      <c r="U67" s="21">
        <v>0</v>
      </c>
      <c r="V67" s="139">
        <f t="shared" si="8"/>
        <v>0</v>
      </c>
      <c r="W67" s="141">
        <f t="shared" si="9"/>
        <v>163</v>
      </c>
      <c r="X67" s="107">
        <f t="shared" si="10"/>
        <v>2.13856</v>
      </c>
      <c r="Y67" s="238">
        <v>50</v>
      </c>
      <c r="Z67" s="101">
        <v>200</v>
      </c>
    </row>
    <row r="68" spans="1:26" x14ac:dyDescent="0.25">
      <c r="A68" s="264">
        <v>64</v>
      </c>
      <c r="B68" s="261" t="s">
        <v>83</v>
      </c>
      <c r="C68" s="35">
        <v>86</v>
      </c>
      <c r="D68" s="35">
        <v>77</v>
      </c>
      <c r="E68" s="35">
        <v>8</v>
      </c>
      <c r="F68" s="114">
        <f t="shared" si="5"/>
        <v>5.2976000000000002E-2</v>
      </c>
      <c r="G68" s="23">
        <f>'ARALIK 3 HAFTA '!W68</f>
        <v>21</v>
      </c>
      <c r="H68" s="110">
        <f t="shared" si="6"/>
        <v>1.1124960000000002</v>
      </c>
      <c r="I68" s="21">
        <v>8</v>
      </c>
      <c r="J68" s="205">
        <f t="shared" si="0"/>
        <v>0.42380800000000002</v>
      </c>
      <c r="K68" s="21">
        <v>30</v>
      </c>
      <c r="L68" s="10">
        <f t="shared" si="1"/>
        <v>1.58928</v>
      </c>
      <c r="M68" s="21">
        <v>0</v>
      </c>
      <c r="N68" s="205">
        <f t="shared" si="2"/>
        <v>0</v>
      </c>
      <c r="O68" s="21">
        <v>0</v>
      </c>
      <c r="P68" s="10">
        <f t="shared" si="7"/>
        <v>0</v>
      </c>
      <c r="Q68" s="21">
        <v>12</v>
      </c>
      <c r="R68" s="205">
        <f t="shared" si="3"/>
        <v>0.63571200000000005</v>
      </c>
      <c r="S68" s="97">
        <f t="shared" si="11"/>
        <v>-29</v>
      </c>
      <c r="T68" s="87">
        <f t="shared" si="4"/>
        <v>-1.5363040000000001</v>
      </c>
      <c r="U68" s="21">
        <v>231</v>
      </c>
      <c r="V68" s="139">
        <f t="shared" si="8"/>
        <v>12.237456</v>
      </c>
      <c r="W68" s="141">
        <f t="shared" si="9"/>
        <v>202</v>
      </c>
      <c r="X68" s="107">
        <f t="shared" si="10"/>
        <v>10.701152</v>
      </c>
      <c r="Y68" s="238">
        <v>50</v>
      </c>
      <c r="Z68" s="101">
        <v>200</v>
      </c>
    </row>
    <row r="69" spans="1:26" x14ac:dyDescent="0.25">
      <c r="A69" s="264">
        <v>65</v>
      </c>
      <c r="B69" s="261" t="s">
        <v>84</v>
      </c>
      <c r="C69" s="35">
        <v>76</v>
      </c>
      <c r="D69" s="35">
        <v>75</v>
      </c>
      <c r="E69" s="35">
        <v>8</v>
      </c>
      <c r="F69" s="114">
        <f t="shared" si="5"/>
        <v>4.5600000000000002E-2</v>
      </c>
      <c r="G69" s="23">
        <f>'ARALIK 3 HAFTA '!W69</f>
        <v>12</v>
      </c>
      <c r="H69" s="110">
        <f t="shared" si="6"/>
        <v>0.54720000000000002</v>
      </c>
      <c r="I69" s="21">
        <v>0</v>
      </c>
      <c r="J69" s="205">
        <f t="shared" ref="J69:J78" si="12">F69*I69</f>
        <v>0</v>
      </c>
      <c r="K69" s="21">
        <v>30</v>
      </c>
      <c r="L69" s="10">
        <f t="shared" ref="L69:L78" si="13">F69*K69</f>
        <v>1.3680000000000001</v>
      </c>
      <c r="M69" s="21">
        <v>0</v>
      </c>
      <c r="N69" s="205">
        <f t="shared" ref="N69:N78" si="14">F69*M69</f>
        <v>0</v>
      </c>
      <c r="O69" s="21">
        <v>0</v>
      </c>
      <c r="P69" s="10">
        <f t="shared" si="7"/>
        <v>0</v>
      </c>
      <c r="Q69" s="21">
        <v>0</v>
      </c>
      <c r="R69" s="205">
        <f t="shared" ref="R69:R78" si="15">F69*Q69</f>
        <v>0</v>
      </c>
      <c r="S69" s="97">
        <f t="shared" si="11"/>
        <v>-18</v>
      </c>
      <c r="T69" s="87">
        <f t="shared" ref="T69:T78" si="16">F69*S69</f>
        <v>-0.82079999999999997</v>
      </c>
      <c r="U69" s="21">
        <v>311</v>
      </c>
      <c r="V69" s="139">
        <f t="shared" si="8"/>
        <v>14.181600000000001</v>
      </c>
      <c r="W69" s="141">
        <f t="shared" si="9"/>
        <v>293</v>
      </c>
      <c r="X69" s="107">
        <f t="shared" si="10"/>
        <v>13.360800000000001</v>
      </c>
      <c r="Y69" s="238">
        <v>5</v>
      </c>
      <c r="Z69" s="101">
        <v>10</v>
      </c>
    </row>
    <row r="70" spans="1:26" x14ac:dyDescent="0.25">
      <c r="A70" s="264">
        <v>66</v>
      </c>
      <c r="B70" s="261" t="s">
        <v>85</v>
      </c>
      <c r="C70" s="35">
        <v>140</v>
      </c>
      <c r="D70" s="35">
        <v>240</v>
      </c>
      <c r="E70" s="35">
        <v>12</v>
      </c>
      <c r="F70" s="114">
        <f t="shared" ref="F70:F72" si="17">(C70*D70*E70)/1000000</f>
        <v>0.4032</v>
      </c>
      <c r="G70" s="23">
        <f>'ARALIK 3 HAFTA '!W70</f>
        <v>2</v>
      </c>
      <c r="H70" s="110">
        <f t="shared" ref="H70:H78" si="18">F70*G70</f>
        <v>0.80640000000000001</v>
      </c>
      <c r="I70" s="21">
        <v>1</v>
      </c>
      <c r="J70" s="205">
        <f t="shared" si="12"/>
        <v>0.4032</v>
      </c>
      <c r="K70" s="21">
        <v>0</v>
      </c>
      <c r="L70" s="10">
        <f t="shared" si="13"/>
        <v>0</v>
      </c>
      <c r="M70" s="21">
        <v>0</v>
      </c>
      <c r="N70" s="205">
        <f t="shared" si="14"/>
        <v>0</v>
      </c>
      <c r="O70" s="21">
        <v>0</v>
      </c>
      <c r="P70" s="10">
        <f t="shared" ref="P70:P78" si="19">F70*O70</f>
        <v>0</v>
      </c>
      <c r="Q70" s="21">
        <v>0</v>
      </c>
      <c r="R70" s="205">
        <f t="shared" si="15"/>
        <v>0</v>
      </c>
      <c r="S70" s="97">
        <f t="shared" si="11"/>
        <v>1</v>
      </c>
      <c r="T70" s="87">
        <f t="shared" si="16"/>
        <v>0.4032</v>
      </c>
      <c r="U70" s="21">
        <v>0</v>
      </c>
      <c r="V70" s="139">
        <f t="shared" ref="V70" si="20">R70*U70</f>
        <v>0</v>
      </c>
      <c r="W70" s="141">
        <f t="shared" ref="W70:W78" si="21">S70+U70</f>
        <v>1</v>
      </c>
      <c r="X70" s="107">
        <f t="shared" ref="X70:X78" si="22">F70*W70</f>
        <v>0.4032</v>
      </c>
      <c r="Y70" s="238">
        <v>20</v>
      </c>
      <c r="Z70" s="101">
        <v>50</v>
      </c>
    </row>
    <row r="71" spans="1:26" x14ac:dyDescent="0.25">
      <c r="A71" s="264">
        <v>67</v>
      </c>
      <c r="B71" s="261" t="s">
        <v>96</v>
      </c>
      <c r="C71" s="130">
        <v>140</v>
      </c>
      <c r="D71" s="130">
        <v>240</v>
      </c>
      <c r="E71" s="130">
        <v>2</v>
      </c>
      <c r="F71" s="131">
        <f t="shared" si="17"/>
        <v>6.7199999999999996E-2</v>
      </c>
      <c r="G71" s="23">
        <f>'ARALIK 3 HAFTA '!W71</f>
        <v>176</v>
      </c>
      <c r="H71" s="135">
        <f t="shared" si="18"/>
        <v>11.827199999999999</v>
      </c>
      <c r="I71" s="21">
        <v>6</v>
      </c>
      <c r="J71" s="205">
        <f t="shared" si="12"/>
        <v>0.4032</v>
      </c>
      <c r="K71" s="21">
        <v>6</v>
      </c>
      <c r="L71" s="10">
        <f t="shared" si="13"/>
        <v>0.4032</v>
      </c>
      <c r="M71" s="21">
        <v>2</v>
      </c>
      <c r="N71" s="205">
        <f t="shared" si="14"/>
        <v>0.13439999999999999</v>
      </c>
      <c r="O71" s="21">
        <v>1</v>
      </c>
      <c r="P71" s="173">
        <f t="shared" si="19"/>
        <v>6.7199999999999996E-2</v>
      </c>
      <c r="Q71" s="21">
        <v>1</v>
      </c>
      <c r="R71" s="205">
        <f t="shared" si="15"/>
        <v>6.7199999999999996E-2</v>
      </c>
      <c r="S71" s="97">
        <f t="shared" ref="S71:S78" si="23">G71-I71-K71-M71-O71-Q71</f>
        <v>160</v>
      </c>
      <c r="T71" s="97">
        <f t="shared" si="16"/>
        <v>10.751999999999999</v>
      </c>
      <c r="U71" s="21">
        <v>0</v>
      </c>
      <c r="V71" s="139">
        <f t="shared" ref="V71:V78" si="24">F71*U71</f>
        <v>0</v>
      </c>
      <c r="W71" s="141">
        <f t="shared" si="21"/>
        <v>160</v>
      </c>
      <c r="X71" s="141">
        <f t="shared" si="22"/>
        <v>10.751999999999999</v>
      </c>
      <c r="Y71" s="238">
        <v>30</v>
      </c>
      <c r="Z71" s="101">
        <v>100</v>
      </c>
    </row>
    <row r="72" spans="1:26" x14ac:dyDescent="0.25">
      <c r="A72" s="264">
        <v>68</v>
      </c>
      <c r="B72" s="262" t="s">
        <v>95</v>
      </c>
      <c r="C72" s="130">
        <v>61</v>
      </c>
      <c r="D72" s="130">
        <v>61</v>
      </c>
      <c r="E72" s="130">
        <v>3</v>
      </c>
      <c r="F72" s="131">
        <f t="shared" si="17"/>
        <v>1.1162999999999999E-2</v>
      </c>
      <c r="G72" s="23">
        <f>'ARALIK 3 HAFTA '!W72</f>
        <v>171</v>
      </c>
      <c r="H72" s="135">
        <f t="shared" si="18"/>
        <v>1.9088729999999998</v>
      </c>
      <c r="I72" s="21">
        <v>0</v>
      </c>
      <c r="J72" s="205">
        <f t="shared" si="12"/>
        <v>0</v>
      </c>
      <c r="K72" s="21">
        <v>0</v>
      </c>
      <c r="L72" s="10">
        <f t="shared" si="13"/>
        <v>0</v>
      </c>
      <c r="M72" s="21">
        <v>0</v>
      </c>
      <c r="N72" s="205">
        <f t="shared" si="14"/>
        <v>0</v>
      </c>
      <c r="O72" s="21">
        <v>0</v>
      </c>
      <c r="P72" s="173">
        <f t="shared" si="19"/>
        <v>0</v>
      </c>
      <c r="Q72" s="21">
        <v>0</v>
      </c>
      <c r="R72" s="205">
        <f t="shared" si="15"/>
        <v>0</v>
      </c>
      <c r="S72" s="97">
        <f t="shared" si="23"/>
        <v>171</v>
      </c>
      <c r="T72" s="97">
        <f t="shared" si="16"/>
        <v>1.9088729999999998</v>
      </c>
      <c r="U72" s="21">
        <v>0</v>
      </c>
      <c r="V72" s="252">
        <f t="shared" si="24"/>
        <v>0</v>
      </c>
      <c r="W72" s="253">
        <f t="shared" si="21"/>
        <v>171</v>
      </c>
      <c r="X72" s="253">
        <f t="shared" si="22"/>
        <v>1.9088729999999998</v>
      </c>
      <c r="Y72" s="238">
        <v>0</v>
      </c>
      <c r="Z72" s="101">
        <v>0</v>
      </c>
    </row>
    <row r="73" spans="1:26" x14ac:dyDescent="0.25">
      <c r="A73" s="264">
        <v>69</v>
      </c>
      <c r="B73" s="108" t="s">
        <v>106</v>
      </c>
      <c r="C73" s="96"/>
      <c r="D73" s="96"/>
      <c r="E73" s="96"/>
      <c r="F73" s="109"/>
      <c r="G73" s="23">
        <f>'ARALIK 3 HAFTA '!W73</f>
        <v>20</v>
      </c>
      <c r="H73" s="135">
        <f t="shared" si="18"/>
        <v>0</v>
      </c>
      <c r="I73" s="21">
        <v>0</v>
      </c>
      <c r="J73" s="205">
        <f t="shared" si="12"/>
        <v>0</v>
      </c>
      <c r="K73" s="21">
        <v>0</v>
      </c>
      <c r="L73" s="10">
        <f t="shared" si="13"/>
        <v>0</v>
      </c>
      <c r="M73" s="21">
        <v>0</v>
      </c>
      <c r="N73" s="205">
        <f t="shared" si="14"/>
        <v>0</v>
      </c>
      <c r="O73" s="21">
        <v>0</v>
      </c>
      <c r="P73" s="250">
        <f t="shared" si="19"/>
        <v>0</v>
      </c>
      <c r="Q73" s="21">
        <v>0</v>
      </c>
      <c r="R73" s="205">
        <f t="shared" si="15"/>
        <v>0</v>
      </c>
      <c r="S73" s="97">
        <f t="shared" si="23"/>
        <v>20</v>
      </c>
      <c r="T73" s="97">
        <f t="shared" si="16"/>
        <v>0</v>
      </c>
      <c r="U73" s="21">
        <v>0</v>
      </c>
      <c r="V73" s="252">
        <f t="shared" si="24"/>
        <v>0</v>
      </c>
      <c r="W73" s="253">
        <f t="shared" si="21"/>
        <v>20</v>
      </c>
      <c r="X73" s="253">
        <f t="shared" si="22"/>
        <v>0</v>
      </c>
      <c r="Y73" s="101">
        <v>0</v>
      </c>
      <c r="Z73" s="101">
        <v>0</v>
      </c>
    </row>
    <row r="74" spans="1:26" x14ac:dyDescent="0.25">
      <c r="A74" s="105">
        <v>70</v>
      </c>
      <c r="B74" s="270" t="s">
        <v>107</v>
      </c>
      <c r="C74" s="105"/>
      <c r="D74" s="105"/>
      <c r="E74" s="271"/>
      <c r="F74" s="125"/>
      <c r="G74" s="23">
        <f>'ARALIK 3 HAFTA '!W74</f>
        <v>20</v>
      </c>
      <c r="H74" s="135">
        <f t="shared" si="18"/>
        <v>0</v>
      </c>
      <c r="I74" s="21">
        <v>0</v>
      </c>
      <c r="J74" s="205">
        <f t="shared" si="12"/>
        <v>0</v>
      </c>
      <c r="K74" s="21">
        <v>0</v>
      </c>
      <c r="L74" s="10">
        <f t="shared" si="13"/>
        <v>0</v>
      </c>
      <c r="M74" s="21">
        <v>0</v>
      </c>
      <c r="N74" s="205">
        <f t="shared" si="14"/>
        <v>0</v>
      </c>
      <c r="O74" s="21">
        <v>0</v>
      </c>
      <c r="P74" s="250">
        <f t="shared" si="19"/>
        <v>0</v>
      </c>
      <c r="Q74" s="21">
        <v>0</v>
      </c>
      <c r="R74" s="205">
        <f t="shared" si="15"/>
        <v>0</v>
      </c>
      <c r="S74" s="97">
        <f t="shared" si="23"/>
        <v>20</v>
      </c>
      <c r="T74" s="97">
        <f t="shared" si="16"/>
        <v>0</v>
      </c>
      <c r="U74" s="21">
        <v>0</v>
      </c>
      <c r="V74" s="252">
        <f t="shared" si="24"/>
        <v>0</v>
      </c>
      <c r="W74" s="253">
        <f t="shared" si="21"/>
        <v>20</v>
      </c>
      <c r="X74" s="253">
        <f t="shared" si="22"/>
        <v>0</v>
      </c>
      <c r="Y74" s="106"/>
      <c r="Z74" s="106"/>
    </row>
    <row r="75" spans="1:26" x14ac:dyDescent="0.25">
      <c r="A75" s="96">
        <v>71</v>
      </c>
      <c r="B75" s="265" t="s">
        <v>108</v>
      </c>
      <c r="C75" s="96">
        <v>140</v>
      </c>
      <c r="D75" s="96">
        <v>240</v>
      </c>
      <c r="E75" s="109">
        <v>6</v>
      </c>
      <c r="F75" s="131">
        <f t="shared" ref="F75:F78" si="25">(C75*D75*E75)/1000000</f>
        <v>0.2016</v>
      </c>
      <c r="G75" s="23">
        <f>'ARALIK 3 HAFTA '!W75</f>
        <v>32</v>
      </c>
      <c r="H75" s="135">
        <f t="shared" si="18"/>
        <v>6.4512</v>
      </c>
      <c r="I75" s="21">
        <v>0</v>
      </c>
      <c r="J75" s="205">
        <f t="shared" si="12"/>
        <v>0</v>
      </c>
      <c r="K75" s="21">
        <v>0</v>
      </c>
      <c r="L75" s="85">
        <f t="shared" si="13"/>
        <v>0</v>
      </c>
      <c r="M75" s="21">
        <v>0</v>
      </c>
      <c r="N75" s="205">
        <f t="shared" si="14"/>
        <v>0</v>
      </c>
      <c r="O75" s="21">
        <v>0</v>
      </c>
      <c r="P75" s="250">
        <f t="shared" si="19"/>
        <v>0</v>
      </c>
      <c r="Q75" s="21">
        <v>0</v>
      </c>
      <c r="R75" s="276">
        <f t="shared" si="15"/>
        <v>0</v>
      </c>
      <c r="S75" s="251">
        <f t="shared" si="23"/>
        <v>32</v>
      </c>
      <c r="T75" s="97">
        <f t="shared" si="16"/>
        <v>6.4512</v>
      </c>
      <c r="U75" s="21">
        <v>0</v>
      </c>
      <c r="V75" s="252">
        <f t="shared" si="24"/>
        <v>0</v>
      </c>
      <c r="W75" s="253">
        <f t="shared" si="21"/>
        <v>32</v>
      </c>
      <c r="X75" s="253">
        <f t="shared" si="22"/>
        <v>6.4512</v>
      </c>
      <c r="Y75" s="106"/>
      <c r="Z75" s="106"/>
    </row>
    <row r="76" spans="1:26" x14ac:dyDescent="0.25">
      <c r="A76" s="277">
        <v>72</v>
      </c>
      <c r="B76" s="175" t="s">
        <v>113</v>
      </c>
      <c r="C76" s="2">
        <v>63</v>
      </c>
      <c r="D76" s="2">
        <v>60</v>
      </c>
      <c r="E76" s="2">
        <v>5</v>
      </c>
      <c r="F76" s="131">
        <f t="shared" si="25"/>
        <v>1.89E-2</v>
      </c>
      <c r="G76" s="23">
        <f>'ARALIK 3 HAFTA '!W76</f>
        <v>164</v>
      </c>
      <c r="H76" s="135">
        <f t="shared" si="18"/>
        <v>3.0996000000000001</v>
      </c>
      <c r="I76" s="21">
        <v>17</v>
      </c>
      <c r="J76" s="205">
        <f t="shared" si="12"/>
        <v>0.32130000000000003</v>
      </c>
      <c r="K76" s="21">
        <v>0</v>
      </c>
      <c r="L76" s="85">
        <f t="shared" si="13"/>
        <v>0</v>
      </c>
      <c r="M76" s="21">
        <v>8</v>
      </c>
      <c r="N76" s="205">
        <f t="shared" si="14"/>
        <v>0.1512</v>
      </c>
      <c r="O76" s="21">
        <v>0</v>
      </c>
      <c r="P76" s="250">
        <f t="shared" si="19"/>
        <v>0</v>
      </c>
      <c r="Q76" s="21">
        <v>0</v>
      </c>
      <c r="R76" s="276">
        <f t="shared" si="15"/>
        <v>0</v>
      </c>
      <c r="S76" s="251">
        <f t="shared" si="23"/>
        <v>139</v>
      </c>
      <c r="T76" s="251">
        <f t="shared" si="16"/>
        <v>2.6271</v>
      </c>
      <c r="U76" s="21">
        <v>0</v>
      </c>
      <c r="V76" s="252">
        <f t="shared" si="24"/>
        <v>0</v>
      </c>
      <c r="W76" s="253">
        <f t="shared" si="21"/>
        <v>139</v>
      </c>
      <c r="X76" s="253">
        <f t="shared" si="22"/>
        <v>2.6271</v>
      </c>
      <c r="Y76" s="106"/>
      <c r="Z76" s="106"/>
    </row>
    <row r="77" spans="1:26" ht="15.75" thickBot="1" x14ac:dyDescent="0.3">
      <c r="A77" s="279">
        <v>73</v>
      </c>
      <c r="B77" s="280" t="s">
        <v>115</v>
      </c>
      <c r="C77" s="2">
        <v>90</v>
      </c>
      <c r="D77" s="2">
        <v>85</v>
      </c>
      <c r="E77" s="2">
        <v>5</v>
      </c>
      <c r="F77" s="131">
        <f t="shared" si="25"/>
        <v>3.8249999999999999E-2</v>
      </c>
      <c r="G77" s="23">
        <f>'ARALIK 3 HAFTA '!W77</f>
        <v>130</v>
      </c>
      <c r="H77" s="135">
        <f t="shared" si="18"/>
        <v>4.9725000000000001</v>
      </c>
      <c r="I77" s="21">
        <v>0</v>
      </c>
      <c r="J77" s="205">
        <f t="shared" si="12"/>
        <v>0</v>
      </c>
      <c r="K77" s="21">
        <v>8</v>
      </c>
      <c r="L77" s="85">
        <f t="shared" si="13"/>
        <v>0.30599999999999999</v>
      </c>
      <c r="M77" s="21">
        <v>0</v>
      </c>
      <c r="N77" s="205">
        <f t="shared" si="14"/>
        <v>0</v>
      </c>
      <c r="O77" s="21">
        <v>0</v>
      </c>
      <c r="P77" s="250">
        <f t="shared" si="19"/>
        <v>0</v>
      </c>
      <c r="Q77" s="21">
        <v>0</v>
      </c>
      <c r="R77" s="276">
        <f t="shared" si="15"/>
        <v>0</v>
      </c>
      <c r="S77" s="251">
        <f t="shared" si="23"/>
        <v>122</v>
      </c>
      <c r="T77" s="251">
        <f t="shared" si="16"/>
        <v>4.6665000000000001</v>
      </c>
      <c r="U77" s="21">
        <v>0</v>
      </c>
      <c r="V77" s="264">
        <f t="shared" si="24"/>
        <v>0</v>
      </c>
      <c r="W77" s="264">
        <f t="shared" si="21"/>
        <v>122</v>
      </c>
      <c r="X77" s="264">
        <f t="shared" si="22"/>
        <v>4.6665000000000001</v>
      </c>
      <c r="Y77" s="101"/>
      <c r="Z77" s="101"/>
    </row>
    <row r="78" spans="1:26" x14ac:dyDescent="0.25">
      <c r="A78" s="277">
        <v>74</v>
      </c>
      <c r="B78" s="151" t="s">
        <v>116</v>
      </c>
      <c r="C78" s="2">
        <v>100</v>
      </c>
      <c r="D78" s="2">
        <v>90</v>
      </c>
      <c r="E78" s="2">
        <v>3</v>
      </c>
      <c r="F78" s="131">
        <f t="shared" si="25"/>
        <v>2.7E-2</v>
      </c>
      <c r="G78" s="23">
        <f>'ARALIK 3 HAFTA '!W78</f>
        <v>132</v>
      </c>
      <c r="H78" s="136">
        <f t="shared" si="18"/>
        <v>3.5640000000000001</v>
      </c>
      <c r="I78" s="21">
        <v>0</v>
      </c>
      <c r="J78" s="205">
        <f t="shared" si="12"/>
        <v>0</v>
      </c>
      <c r="K78" s="21">
        <v>0</v>
      </c>
      <c r="L78" s="85">
        <f t="shared" si="13"/>
        <v>0</v>
      </c>
      <c r="M78" s="21">
        <v>0</v>
      </c>
      <c r="N78" s="205">
        <f t="shared" si="14"/>
        <v>0</v>
      </c>
      <c r="O78" s="21">
        <v>0</v>
      </c>
      <c r="P78" s="174">
        <f t="shared" si="19"/>
        <v>0</v>
      </c>
      <c r="Q78" s="21">
        <v>0</v>
      </c>
      <c r="R78" s="276">
        <f t="shared" si="15"/>
        <v>0</v>
      </c>
      <c r="S78" s="97">
        <f t="shared" si="23"/>
        <v>132</v>
      </c>
      <c r="T78" s="97">
        <f t="shared" si="16"/>
        <v>3.5640000000000001</v>
      </c>
      <c r="U78" s="21">
        <v>0</v>
      </c>
      <c r="V78" s="264">
        <f t="shared" si="24"/>
        <v>0</v>
      </c>
      <c r="W78" s="264">
        <f t="shared" si="21"/>
        <v>132</v>
      </c>
      <c r="X78" s="264">
        <f t="shared" si="22"/>
        <v>3.5640000000000001</v>
      </c>
      <c r="Y78" s="101"/>
      <c r="Z78" s="101"/>
    </row>
  </sheetData>
  <mergeCells count="24">
    <mergeCell ref="C1:H1"/>
    <mergeCell ref="G2:H3"/>
    <mergeCell ref="I2:J2"/>
    <mergeCell ref="K2:L2"/>
    <mergeCell ref="M2:N2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S4:T4"/>
    <mergeCell ref="U4:V4"/>
    <mergeCell ref="W4:X4"/>
    <mergeCell ref="G4:H4"/>
    <mergeCell ref="I4:J4"/>
    <mergeCell ref="K4:L4"/>
    <mergeCell ref="M4:N4"/>
    <mergeCell ref="O4:P4"/>
    <mergeCell ref="Q4:R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78"/>
  <sheetViews>
    <sheetView topLeftCell="G55" workbookViewId="0">
      <selection activeCell="Q68" sqref="Q68"/>
    </sheetView>
  </sheetViews>
  <sheetFormatPr defaultRowHeight="15" x14ac:dyDescent="0.25"/>
  <cols>
    <col min="1" max="1" width="6.42578125" customWidth="1"/>
    <col min="2" max="2" width="29.85546875" style="3" customWidth="1"/>
    <col min="3" max="3" width="13.28515625" style="2" hidden="1" customWidth="1"/>
    <col min="4" max="4" width="11.85546875" style="2" hidden="1" customWidth="1"/>
    <col min="5" max="5" width="11" style="2" hidden="1" customWidth="1"/>
    <col min="6" max="6" width="12" style="4" hidden="1" customWidth="1"/>
    <col min="7" max="8" width="9" style="5" customWidth="1"/>
    <col min="9" max="20" width="8.140625" style="2" customWidth="1"/>
    <col min="25" max="25" width="10.28515625" customWidth="1"/>
  </cols>
  <sheetData>
    <row r="1" spans="1:26" ht="15.75" thickBot="1" x14ac:dyDescent="0.3">
      <c r="B1" s="4" t="s">
        <v>18</v>
      </c>
      <c r="C1" s="320" t="s">
        <v>124</v>
      </c>
      <c r="D1" s="320"/>
      <c r="E1" s="320"/>
      <c r="F1" s="320"/>
      <c r="G1" s="320"/>
      <c r="H1" s="320"/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44928</v>
      </c>
      <c r="J2" s="326"/>
      <c r="K2" s="327">
        <v>44929</v>
      </c>
      <c r="L2" s="328"/>
      <c r="M2" s="325">
        <v>44930</v>
      </c>
      <c r="N2" s="329"/>
      <c r="O2" s="327">
        <v>44931</v>
      </c>
      <c r="P2" s="346"/>
      <c r="Q2" s="325">
        <v>44932</v>
      </c>
      <c r="R2" s="329"/>
      <c r="S2" s="330" t="s">
        <v>69</v>
      </c>
      <c r="T2" s="331"/>
      <c r="U2" s="334" t="s">
        <v>70</v>
      </c>
      <c r="V2" s="335"/>
      <c r="W2" s="338" t="s">
        <v>71</v>
      </c>
      <c r="X2" s="339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40"/>
      <c r="X3" s="341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51" t="s">
        <v>63</v>
      </c>
      <c r="X4" s="352"/>
      <c r="Y4" s="268" t="s">
        <v>99</v>
      </c>
      <c r="Z4" s="269" t="s">
        <v>100</v>
      </c>
    </row>
    <row r="5" spans="1:26" x14ac:dyDescent="0.25">
      <c r="A5" s="263">
        <v>1</v>
      </c>
      <c r="B5" s="256" t="s">
        <v>2</v>
      </c>
      <c r="C5" s="32">
        <v>140</v>
      </c>
      <c r="D5" s="33">
        <v>240</v>
      </c>
      <c r="E5" s="33">
        <v>1</v>
      </c>
      <c r="F5" s="15">
        <f>(C5*D5*E5)/1000000</f>
        <v>3.3599999999999998E-2</v>
      </c>
      <c r="G5" s="23">
        <v>1251</v>
      </c>
      <c r="H5" s="24">
        <f>F5*G5</f>
        <v>42.0336</v>
      </c>
      <c r="I5" s="21">
        <v>56</v>
      </c>
      <c r="J5" s="205">
        <f t="shared" ref="J5:J68" si="0">F5*I5</f>
        <v>1.8815999999999999</v>
      </c>
      <c r="K5" s="21">
        <v>0</v>
      </c>
      <c r="L5" s="10">
        <f t="shared" ref="L5:L68" si="1">F5*K5</f>
        <v>0</v>
      </c>
      <c r="M5" s="21">
        <v>0</v>
      </c>
      <c r="N5" s="205">
        <f t="shared" ref="N5:N68" si="2">F5*M5</f>
        <v>0</v>
      </c>
      <c r="O5" s="21">
        <v>35</v>
      </c>
      <c r="P5" s="10">
        <f>F5*O5</f>
        <v>1.1759999999999999</v>
      </c>
      <c r="Q5" s="21">
        <v>6</v>
      </c>
      <c r="R5" s="205">
        <f t="shared" ref="R5:R68" si="3">F5*Q5</f>
        <v>0.2016</v>
      </c>
      <c r="S5" s="39">
        <f>G5-I5-K5-M5-O5-Q5</f>
        <v>1154</v>
      </c>
      <c r="T5" s="38">
        <f t="shared" ref="T5:T68" si="4">F5*S5</f>
        <v>38.7744</v>
      </c>
      <c r="U5" s="21">
        <v>487</v>
      </c>
      <c r="V5" s="13">
        <f>F5*U5</f>
        <v>16.363199999999999</v>
      </c>
      <c r="W5" s="49">
        <f>S5+U5</f>
        <v>1641</v>
      </c>
      <c r="X5" s="50">
        <f>F5*W5</f>
        <v>55.137599999999999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3</v>
      </c>
      <c r="C6" s="34">
        <v>140</v>
      </c>
      <c r="D6" s="35">
        <v>240</v>
      </c>
      <c r="E6" s="35">
        <v>0.8</v>
      </c>
      <c r="F6" s="19">
        <f t="shared" ref="F6:F69" si="5">(C6*D6*E6)/1000000</f>
        <v>2.6880000000000001E-2</v>
      </c>
      <c r="G6" s="23">
        <v>500</v>
      </c>
      <c r="H6" s="26">
        <f t="shared" ref="H6:H69" si="6">F6*G6</f>
        <v>13.440000000000001</v>
      </c>
      <c r="I6" s="21">
        <v>0</v>
      </c>
      <c r="J6" s="205">
        <f t="shared" si="0"/>
        <v>0</v>
      </c>
      <c r="K6" s="21">
        <v>0</v>
      </c>
      <c r="L6" s="10">
        <f t="shared" si="1"/>
        <v>0</v>
      </c>
      <c r="M6" s="21">
        <v>0</v>
      </c>
      <c r="N6" s="205">
        <f t="shared" si="2"/>
        <v>0</v>
      </c>
      <c r="O6" s="21">
        <v>11</v>
      </c>
      <c r="P6" s="10">
        <f t="shared" ref="P6:P69" si="7">F6*O6</f>
        <v>0.29568</v>
      </c>
      <c r="Q6" s="21">
        <v>0</v>
      </c>
      <c r="R6" s="205">
        <f t="shared" si="3"/>
        <v>0</v>
      </c>
      <c r="S6" s="39">
        <f>G6-I6-K6-M6-O6-Q6</f>
        <v>489</v>
      </c>
      <c r="T6" s="38">
        <f t="shared" si="4"/>
        <v>13.14432</v>
      </c>
      <c r="U6" s="21">
        <v>0</v>
      </c>
      <c r="V6" s="13">
        <f t="shared" ref="V6:V69" si="8">F6*U6</f>
        <v>0</v>
      </c>
      <c r="W6" s="49">
        <f t="shared" ref="W6:W69" si="9">S6+U6</f>
        <v>489</v>
      </c>
      <c r="X6" s="50">
        <f t="shared" ref="X6:X69" si="10">F6*W6</f>
        <v>13.14432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4</v>
      </c>
      <c r="C7" s="34">
        <v>140</v>
      </c>
      <c r="D7" s="35">
        <v>238</v>
      </c>
      <c r="E7" s="35">
        <v>1.4</v>
      </c>
      <c r="F7" s="19">
        <f t="shared" si="5"/>
        <v>4.6648000000000002E-2</v>
      </c>
      <c r="G7" s="23">
        <v>247</v>
      </c>
      <c r="H7" s="26">
        <f t="shared" si="6"/>
        <v>11.522056000000001</v>
      </c>
      <c r="I7" s="21">
        <v>69</v>
      </c>
      <c r="J7" s="205">
        <f t="shared" si="0"/>
        <v>3.218712</v>
      </c>
      <c r="K7" s="21">
        <v>6</v>
      </c>
      <c r="L7" s="10">
        <f t="shared" si="1"/>
        <v>0.27988800000000003</v>
      </c>
      <c r="M7" s="21">
        <v>18</v>
      </c>
      <c r="N7" s="205">
        <f t="shared" si="2"/>
        <v>0.83966400000000008</v>
      </c>
      <c r="O7" s="21">
        <v>13</v>
      </c>
      <c r="P7" s="10">
        <f t="shared" si="7"/>
        <v>0.60642400000000007</v>
      </c>
      <c r="Q7" s="21">
        <v>39</v>
      </c>
      <c r="R7" s="205">
        <f t="shared" si="3"/>
        <v>1.819272</v>
      </c>
      <c r="S7" s="39">
        <f t="shared" ref="S7:S70" si="11">G7-I7-K7-M7-O7-Q7</f>
        <v>102</v>
      </c>
      <c r="T7" s="38">
        <f t="shared" si="4"/>
        <v>4.7580960000000001</v>
      </c>
      <c r="U7" s="21">
        <v>400</v>
      </c>
      <c r="V7" s="13">
        <f t="shared" si="8"/>
        <v>18.659200000000002</v>
      </c>
      <c r="W7" s="49">
        <f t="shared" si="9"/>
        <v>502</v>
      </c>
      <c r="X7" s="50">
        <f t="shared" si="10"/>
        <v>23.417296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114</v>
      </c>
      <c r="C8" s="34">
        <v>140</v>
      </c>
      <c r="D8" s="35">
        <v>240</v>
      </c>
      <c r="E8" s="35">
        <v>4</v>
      </c>
      <c r="F8" s="19">
        <f t="shared" si="5"/>
        <v>0.13439999999999999</v>
      </c>
      <c r="G8" s="23">
        <v>16</v>
      </c>
      <c r="H8" s="26">
        <f t="shared" si="6"/>
        <v>2.1503999999999999</v>
      </c>
      <c r="I8" s="21">
        <v>1</v>
      </c>
      <c r="J8" s="205">
        <f t="shared" si="0"/>
        <v>0.13439999999999999</v>
      </c>
      <c r="K8" s="21">
        <v>2</v>
      </c>
      <c r="L8" s="10">
        <f t="shared" si="1"/>
        <v>0.26879999999999998</v>
      </c>
      <c r="M8" s="21">
        <v>2</v>
      </c>
      <c r="N8" s="205">
        <f t="shared" si="2"/>
        <v>0.26879999999999998</v>
      </c>
      <c r="O8" s="21">
        <v>0</v>
      </c>
      <c r="P8" s="10">
        <f t="shared" si="7"/>
        <v>0</v>
      </c>
      <c r="Q8" s="21">
        <v>1</v>
      </c>
      <c r="R8" s="205">
        <f t="shared" si="3"/>
        <v>0.13439999999999999</v>
      </c>
      <c r="S8" s="39">
        <f t="shared" si="11"/>
        <v>10</v>
      </c>
      <c r="T8" s="38">
        <f t="shared" si="4"/>
        <v>1.3439999999999999</v>
      </c>
      <c r="U8" s="21">
        <v>0</v>
      </c>
      <c r="V8" s="13">
        <f t="shared" si="8"/>
        <v>0</v>
      </c>
      <c r="W8" s="49">
        <f t="shared" si="9"/>
        <v>10</v>
      </c>
      <c r="X8" s="50">
        <f t="shared" si="10"/>
        <v>1.3439999999999999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6</v>
      </c>
      <c r="C9" s="34">
        <v>140</v>
      </c>
      <c r="D9" s="35">
        <v>240</v>
      </c>
      <c r="E9" s="35">
        <v>2</v>
      </c>
      <c r="F9" s="19">
        <f t="shared" si="5"/>
        <v>6.7199999999999996E-2</v>
      </c>
      <c r="G9" s="23">
        <v>0</v>
      </c>
      <c r="H9" s="26">
        <f t="shared" si="6"/>
        <v>0</v>
      </c>
      <c r="I9" s="21">
        <v>0</v>
      </c>
      <c r="J9" s="205">
        <f t="shared" si="0"/>
        <v>0</v>
      </c>
      <c r="K9" s="21">
        <v>0</v>
      </c>
      <c r="L9" s="10">
        <f t="shared" si="1"/>
        <v>0</v>
      </c>
      <c r="M9" s="21">
        <v>0</v>
      </c>
      <c r="N9" s="205">
        <f t="shared" si="2"/>
        <v>0</v>
      </c>
      <c r="O9" s="21">
        <v>0</v>
      </c>
      <c r="P9" s="10">
        <f t="shared" si="7"/>
        <v>0</v>
      </c>
      <c r="Q9" s="21">
        <v>40</v>
      </c>
      <c r="R9" s="205">
        <f t="shared" si="3"/>
        <v>2.6879999999999997</v>
      </c>
      <c r="S9" s="39">
        <f t="shared" si="11"/>
        <v>-40</v>
      </c>
      <c r="T9" s="38">
        <f t="shared" si="4"/>
        <v>-2.6879999999999997</v>
      </c>
      <c r="U9" s="21">
        <v>274</v>
      </c>
      <c r="V9" s="13">
        <f t="shared" si="8"/>
        <v>18.412799999999997</v>
      </c>
      <c r="W9" s="49">
        <f t="shared" si="9"/>
        <v>234</v>
      </c>
      <c r="X9" s="50">
        <f t="shared" si="10"/>
        <v>15.724799999999998</v>
      </c>
      <c r="Y9" s="238">
        <v>50</v>
      </c>
      <c r="Z9" s="101">
        <v>150</v>
      </c>
    </row>
    <row r="10" spans="1:26" x14ac:dyDescent="0.25">
      <c r="A10" s="264">
        <v>6</v>
      </c>
      <c r="B10" s="256" t="s">
        <v>7</v>
      </c>
      <c r="C10" s="34">
        <v>140</v>
      </c>
      <c r="D10" s="35">
        <v>240</v>
      </c>
      <c r="E10" s="35">
        <v>2</v>
      </c>
      <c r="F10" s="19">
        <f t="shared" si="5"/>
        <v>6.7199999999999996E-2</v>
      </c>
      <c r="G10" s="23">
        <v>61</v>
      </c>
      <c r="H10" s="26">
        <f t="shared" si="6"/>
        <v>4.0991999999999997</v>
      </c>
      <c r="I10" s="21">
        <v>47</v>
      </c>
      <c r="J10" s="205">
        <f t="shared" si="0"/>
        <v>3.1583999999999999</v>
      </c>
      <c r="K10" s="21">
        <v>0</v>
      </c>
      <c r="L10" s="10">
        <f t="shared" si="1"/>
        <v>0</v>
      </c>
      <c r="M10" s="21">
        <v>14</v>
      </c>
      <c r="N10" s="205">
        <f t="shared" si="2"/>
        <v>0.94079999999999997</v>
      </c>
      <c r="O10" s="21">
        <v>0</v>
      </c>
      <c r="P10" s="10">
        <f t="shared" si="7"/>
        <v>0</v>
      </c>
      <c r="Q10" s="21">
        <v>0</v>
      </c>
      <c r="R10" s="205">
        <f t="shared" si="3"/>
        <v>0</v>
      </c>
      <c r="S10" s="39">
        <f t="shared" si="11"/>
        <v>0</v>
      </c>
      <c r="T10" s="38">
        <f t="shared" si="4"/>
        <v>0</v>
      </c>
      <c r="U10" s="21">
        <v>0</v>
      </c>
      <c r="V10" s="13">
        <f t="shared" si="8"/>
        <v>0</v>
      </c>
      <c r="W10" s="49">
        <f t="shared" si="9"/>
        <v>0</v>
      </c>
      <c r="X10" s="50">
        <f t="shared" si="10"/>
        <v>0</v>
      </c>
      <c r="Y10" s="238">
        <v>75</v>
      </c>
      <c r="Z10" s="101">
        <v>300</v>
      </c>
    </row>
    <row r="11" spans="1:26" x14ac:dyDescent="0.25">
      <c r="A11" s="264">
        <v>7</v>
      </c>
      <c r="B11" s="256" t="s">
        <v>8</v>
      </c>
      <c r="C11" s="34">
        <v>140</v>
      </c>
      <c r="D11" s="35">
        <v>240</v>
      </c>
      <c r="E11" s="35">
        <v>7</v>
      </c>
      <c r="F11" s="19">
        <f t="shared" si="5"/>
        <v>0.23519999999999999</v>
      </c>
      <c r="G11" s="23">
        <v>51</v>
      </c>
      <c r="H11" s="26">
        <f t="shared" si="6"/>
        <v>11.995199999999999</v>
      </c>
      <c r="I11" s="21">
        <v>3</v>
      </c>
      <c r="J11" s="205">
        <f t="shared" si="0"/>
        <v>0.7056</v>
      </c>
      <c r="K11" s="21">
        <v>8</v>
      </c>
      <c r="L11" s="10">
        <f t="shared" si="1"/>
        <v>1.8815999999999999</v>
      </c>
      <c r="M11" s="21">
        <v>0</v>
      </c>
      <c r="N11" s="205">
        <f t="shared" si="2"/>
        <v>0</v>
      </c>
      <c r="O11" s="21">
        <v>11</v>
      </c>
      <c r="P11" s="10">
        <f t="shared" si="7"/>
        <v>2.5871999999999997</v>
      </c>
      <c r="Q11" s="21">
        <v>0</v>
      </c>
      <c r="R11" s="205">
        <f t="shared" si="3"/>
        <v>0</v>
      </c>
      <c r="S11" s="39">
        <f t="shared" si="11"/>
        <v>29</v>
      </c>
      <c r="T11" s="38">
        <f t="shared" si="4"/>
        <v>6.8208000000000002</v>
      </c>
      <c r="U11" s="21">
        <v>0</v>
      </c>
      <c r="V11" s="13">
        <f t="shared" si="8"/>
        <v>0</v>
      </c>
      <c r="W11" s="49">
        <f t="shared" si="9"/>
        <v>29</v>
      </c>
      <c r="X11" s="50">
        <f t="shared" si="10"/>
        <v>6.8208000000000002</v>
      </c>
      <c r="Y11" s="238">
        <v>20</v>
      </c>
      <c r="Z11" s="101">
        <v>50</v>
      </c>
    </row>
    <row r="12" spans="1:26" x14ac:dyDescent="0.25">
      <c r="A12" s="264">
        <v>8</v>
      </c>
      <c r="B12" s="256" t="s">
        <v>9</v>
      </c>
      <c r="C12" s="34">
        <v>140</v>
      </c>
      <c r="D12" s="35">
        <v>240</v>
      </c>
      <c r="E12" s="35">
        <v>5</v>
      </c>
      <c r="F12" s="19">
        <f t="shared" si="5"/>
        <v>0.16800000000000001</v>
      </c>
      <c r="G12" s="23">
        <v>245</v>
      </c>
      <c r="H12" s="26">
        <f t="shared" si="6"/>
        <v>41.160000000000004</v>
      </c>
      <c r="I12" s="21">
        <v>5</v>
      </c>
      <c r="J12" s="205">
        <f t="shared" si="0"/>
        <v>0.84000000000000008</v>
      </c>
      <c r="K12" s="21">
        <v>2</v>
      </c>
      <c r="L12" s="10">
        <f t="shared" si="1"/>
        <v>0.33600000000000002</v>
      </c>
      <c r="M12" s="21">
        <v>1</v>
      </c>
      <c r="N12" s="205">
        <f t="shared" si="2"/>
        <v>0.16800000000000001</v>
      </c>
      <c r="O12" s="21">
        <v>0</v>
      </c>
      <c r="P12" s="10">
        <f t="shared" si="7"/>
        <v>0</v>
      </c>
      <c r="Q12" s="21">
        <v>2</v>
      </c>
      <c r="R12" s="205">
        <f t="shared" si="3"/>
        <v>0.33600000000000002</v>
      </c>
      <c r="S12" s="39">
        <f t="shared" si="11"/>
        <v>235</v>
      </c>
      <c r="T12" s="38">
        <f t="shared" si="4"/>
        <v>39.480000000000004</v>
      </c>
      <c r="U12" s="21">
        <v>0</v>
      </c>
      <c r="V12" s="13">
        <f t="shared" si="8"/>
        <v>0</v>
      </c>
      <c r="W12" s="49">
        <f t="shared" si="9"/>
        <v>235</v>
      </c>
      <c r="X12" s="50">
        <f t="shared" si="10"/>
        <v>39.480000000000004</v>
      </c>
      <c r="Y12" s="238">
        <v>30</v>
      </c>
      <c r="Z12" s="101">
        <v>100</v>
      </c>
    </row>
    <row r="13" spans="1:26" x14ac:dyDescent="0.25">
      <c r="A13" s="264">
        <v>9</v>
      </c>
      <c r="B13" s="256" t="s">
        <v>10</v>
      </c>
      <c r="C13" s="34">
        <v>140</v>
      </c>
      <c r="D13" s="35">
        <v>240</v>
      </c>
      <c r="E13" s="35">
        <v>5</v>
      </c>
      <c r="F13" s="19">
        <f t="shared" si="5"/>
        <v>0.16800000000000001</v>
      </c>
      <c r="G13" s="23">
        <v>37</v>
      </c>
      <c r="H13" s="26">
        <f t="shared" si="6"/>
        <v>6.2160000000000002</v>
      </c>
      <c r="I13" s="21">
        <v>1</v>
      </c>
      <c r="J13" s="205">
        <f t="shared" si="0"/>
        <v>0.16800000000000001</v>
      </c>
      <c r="K13" s="21">
        <v>0</v>
      </c>
      <c r="L13" s="10">
        <f t="shared" si="1"/>
        <v>0</v>
      </c>
      <c r="M13" s="21">
        <v>0</v>
      </c>
      <c r="N13" s="205">
        <f t="shared" si="2"/>
        <v>0</v>
      </c>
      <c r="O13" s="21">
        <v>2</v>
      </c>
      <c r="P13" s="10">
        <f t="shared" si="7"/>
        <v>0.33600000000000002</v>
      </c>
      <c r="Q13" s="21">
        <v>1</v>
      </c>
      <c r="R13" s="205">
        <f t="shared" si="3"/>
        <v>0.16800000000000001</v>
      </c>
      <c r="S13" s="39">
        <f t="shared" si="11"/>
        <v>33</v>
      </c>
      <c r="T13" s="38">
        <f t="shared" si="4"/>
        <v>5.5440000000000005</v>
      </c>
      <c r="U13" s="21">
        <v>57</v>
      </c>
      <c r="V13" s="13">
        <f t="shared" si="8"/>
        <v>9.5760000000000005</v>
      </c>
      <c r="W13" s="49">
        <f t="shared" si="9"/>
        <v>90</v>
      </c>
      <c r="X13" s="50">
        <f t="shared" si="10"/>
        <v>15.120000000000001</v>
      </c>
      <c r="Y13" s="238">
        <v>20</v>
      </c>
      <c r="Z13" s="101">
        <v>50</v>
      </c>
    </row>
    <row r="14" spans="1:26" x14ac:dyDescent="0.25">
      <c r="A14" s="264">
        <v>10</v>
      </c>
      <c r="B14" s="256" t="s">
        <v>11</v>
      </c>
      <c r="C14" s="34">
        <v>140</v>
      </c>
      <c r="D14" s="35">
        <v>240</v>
      </c>
      <c r="E14" s="35">
        <v>5</v>
      </c>
      <c r="F14" s="19">
        <f t="shared" si="5"/>
        <v>0.16800000000000001</v>
      </c>
      <c r="G14" s="23">
        <v>235</v>
      </c>
      <c r="H14" s="26">
        <f t="shared" si="6"/>
        <v>39.480000000000004</v>
      </c>
      <c r="I14" s="21">
        <v>0</v>
      </c>
      <c r="J14" s="205">
        <f t="shared" si="0"/>
        <v>0</v>
      </c>
      <c r="K14" s="21">
        <v>0</v>
      </c>
      <c r="L14" s="10">
        <f t="shared" si="1"/>
        <v>0</v>
      </c>
      <c r="M14" s="21">
        <v>0</v>
      </c>
      <c r="N14" s="205">
        <f t="shared" si="2"/>
        <v>0</v>
      </c>
      <c r="O14" s="21">
        <v>0</v>
      </c>
      <c r="P14" s="10">
        <f t="shared" si="7"/>
        <v>0</v>
      </c>
      <c r="Q14" s="21">
        <v>1</v>
      </c>
      <c r="R14" s="205">
        <f t="shared" si="3"/>
        <v>0.16800000000000001</v>
      </c>
      <c r="S14" s="39">
        <f t="shared" si="11"/>
        <v>234</v>
      </c>
      <c r="T14" s="38">
        <f t="shared" si="4"/>
        <v>39.312000000000005</v>
      </c>
      <c r="U14" s="21">
        <v>0</v>
      </c>
      <c r="V14" s="13">
        <f t="shared" si="8"/>
        <v>0</v>
      </c>
      <c r="W14" s="49">
        <f t="shared" si="9"/>
        <v>234</v>
      </c>
      <c r="X14" s="50">
        <f t="shared" si="10"/>
        <v>39.312000000000005</v>
      </c>
      <c r="Y14" s="238">
        <v>30</v>
      </c>
      <c r="Z14" s="101">
        <v>100</v>
      </c>
    </row>
    <row r="15" spans="1:26" x14ac:dyDescent="0.25">
      <c r="A15" s="264">
        <v>11</v>
      </c>
      <c r="B15" s="256" t="s">
        <v>12</v>
      </c>
      <c r="C15" s="34">
        <v>140</v>
      </c>
      <c r="D15" s="35">
        <v>240</v>
      </c>
      <c r="E15" s="35">
        <v>10</v>
      </c>
      <c r="F15" s="19">
        <f t="shared" si="5"/>
        <v>0.33600000000000002</v>
      </c>
      <c r="G15" s="23">
        <v>32</v>
      </c>
      <c r="H15" s="26">
        <f t="shared" si="6"/>
        <v>10.752000000000001</v>
      </c>
      <c r="I15" s="21">
        <v>0</v>
      </c>
      <c r="J15" s="205">
        <f t="shared" si="0"/>
        <v>0</v>
      </c>
      <c r="K15" s="21">
        <v>0</v>
      </c>
      <c r="L15" s="10">
        <f t="shared" si="1"/>
        <v>0</v>
      </c>
      <c r="M15" s="21">
        <v>0</v>
      </c>
      <c r="N15" s="205">
        <f t="shared" si="2"/>
        <v>0</v>
      </c>
      <c r="O15" s="21">
        <v>1</v>
      </c>
      <c r="P15" s="10">
        <f t="shared" si="7"/>
        <v>0.33600000000000002</v>
      </c>
      <c r="Q15" s="21">
        <v>0</v>
      </c>
      <c r="R15" s="205">
        <f t="shared" si="3"/>
        <v>0</v>
      </c>
      <c r="S15" s="39">
        <f t="shared" si="11"/>
        <v>31</v>
      </c>
      <c r="T15" s="38">
        <f t="shared" si="4"/>
        <v>10.416</v>
      </c>
      <c r="U15" s="21">
        <v>0</v>
      </c>
      <c r="V15" s="13">
        <f t="shared" si="8"/>
        <v>0</v>
      </c>
      <c r="W15" s="49">
        <f t="shared" si="9"/>
        <v>31</v>
      </c>
      <c r="X15" s="50">
        <f t="shared" si="10"/>
        <v>10.416</v>
      </c>
      <c r="Y15" s="238">
        <v>20</v>
      </c>
      <c r="Z15" s="101">
        <v>70</v>
      </c>
    </row>
    <row r="16" spans="1:26" x14ac:dyDescent="0.25">
      <c r="A16" s="264">
        <v>12</v>
      </c>
      <c r="B16" s="256" t="s">
        <v>13</v>
      </c>
      <c r="C16" s="34">
        <v>140</v>
      </c>
      <c r="D16" s="35">
        <v>240</v>
      </c>
      <c r="E16" s="35">
        <v>3</v>
      </c>
      <c r="F16" s="19">
        <f t="shared" si="5"/>
        <v>0.1008</v>
      </c>
      <c r="G16" s="23">
        <f>'ARALIK 4 HAFTA '!W16</f>
        <v>46</v>
      </c>
      <c r="H16" s="26">
        <f t="shared" si="6"/>
        <v>4.6368</v>
      </c>
      <c r="I16" s="21">
        <v>0</v>
      </c>
      <c r="J16" s="205">
        <f t="shared" si="0"/>
        <v>0</v>
      </c>
      <c r="K16" s="21">
        <v>4</v>
      </c>
      <c r="L16" s="10">
        <f t="shared" si="1"/>
        <v>0.4032</v>
      </c>
      <c r="M16" s="21">
        <v>29</v>
      </c>
      <c r="N16" s="205">
        <f t="shared" si="2"/>
        <v>2.9232</v>
      </c>
      <c r="O16" s="21">
        <v>13</v>
      </c>
      <c r="P16" s="10">
        <f t="shared" si="7"/>
        <v>1.3104</v>
      </c>
      <c r="Q16" s="21">
        <v>0</v>
      </c>
      <c r="R16" s="205">
        <f t="shared" si="3"/>
        <v>0</v>
      </c>
      <c r="S16" s="39">
        <f t="shared" si="11"/>
        <v>0</v>
      </c>
      <c r="T16" s="38">
        <f t="shared" si="4"/>
        <v>0</v>
      </c>
      <c r="U16" s="21">
        <v>0</v>
      </c>
      <c r="V16" s="13">
        <f t="shared" si="8"/>
        <v>0</v>
      </c>
      <c r="W16" s="49">
        <f t="shared" si="9"/>
        <v>0</v>
      </c>
      <c r="X16" s="50">
        <f t="shared" si="10"/>
        <v>0</v>
      </c>
      <c r="Y16" s="238">
        <v>50</v>
      </c>
      <c r="Z16" s="101">
        <v>150</v>
      </c>
    </row>
    <row r="17" spans="1:26" x14ac:dyDescent="0.25">
      <c r="A17" s="264">
        <v>13</v>
      </c>
      <c r="B17" s="256" t="s">
        <v>14</v>
      </c>
      <c r="C17" s="34">
        <v>140</v>
      </c>
      <c r="D17" s="35">
        <v>240</v>
      </c>
      <c r="E17" s="35">
        <v>5</v>
      </c>
      <c r="F17" s="19">
        <f t="shared" si="5"/>
        <v>0.16800000000000001</v>
      </c>
      <c r="G17" s="23">
        <v>58</v>
      </c>
      <c r="H17" s="26">
        <f t="shared" si="6"/>
        <v>9.7439999999999998</v>
      </c>
      <c r="I17" s="21">
        <v>0</v>
      </c>
      <c r="J17" s="205">
        <f t="shared" si="0"/>
        <v>0</v>
      </c>
      <c r="K17" s="21">
        <v>1</v>
      </c>
      <c r="L17" s="10">
        <f t="shared" si="1"/>
        <v>0.16800000000000001</v>
      </c>
      <c r="M17" s="21">
        <v>0</v>
      </c>
      <c r="N17" s="205">
        <f t="shared" si="2"/>
        <v>0</v>
      </c>
      <c r="O17" s="21">
        <v>7</v>
      </c>
      <c r="P17" s="10">
        <f t="shared" si="7"/>
        <v>1.1760000000000002</v>
      </c>
      <c r="Q17" s="21">
        <v>0</v>
      </c>
      <c r="R17" s="205">
        <f t="shared" si="3"/>
        <v>0</v>
      </c>
      <c r="S17" s="39">
        <f t="shared" si="11"/>
        <v>50</v>
      </c>
      <c r="T17" s="38">
        <f t="shared" si="4"/>
        <v>8.4</v>
      </c>
      <c r="U17" s="21">
        <v>0</v>
      </c>
      <c r="V17" s="13">
        <f t="shared" si="8"/>
        <v>0</v>
      </c>
      <c r="W17" s="49">
        <f t="shared" si="9"/>
        <v>50</v>
      </c>
      <c r="X17" s="50">
        <f t="shared" si="10"/>
        <v>8.4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15</v>
      </c>
      <c r="C18" s="34">
        <v>140</v>
      </c>
      <c r="D18" s="35">
        <v>240</v>
      </c>
      <c r="E18" s="35">
        <v>3</v>
      </c>
      <c r="F18" s="19">
        <f t="shared" si="5"/>
        <v>0.1008</v>
      </c>
      <c r="G18" s="23">
        <v>6</v>
      </c>
      <c r="H18" s="26">
        <f t="shared" si="6"/>
        <v>0.6048</v>
      </c>
      <c r="I18" s="21">
        <v>6</v>
      </c>
      <c r="J18" s="205">
        <f t="shared" si="0"/>
        <v>0.6048</v>
      </c>
      <c r="K18" s="21">
        <v>0</v>
      </c>
      <c r="L18" s="10">
        <f t="shared" si="1"/>
        <v>0</v>
      </c>
      <c r="M18" s="21">
        <v>0</v>
      </c>
      <c r="N18" s="205">
        <f t="shared" si="2"/>
        <v>0</v>
      </c>
      <c r="O18" s="21">
        <v>0</v>
      </c>
      <c r="P18" s="10">
        <f t="shared" si="7"/>
        <v>0</v>
      </c>
      <c r="Q18" s="21">
        <v>0</v>
      </c>
      <c r="R18" s="205">
        <f t="shared" si="3"/>
        <v>0</v>
      </c>
      <c r="S18" s="39">
        <f t="shared" si="11"/>
        <v>0</v>
      </c>
      <c r="T18" s="38">
        <f t="shared" si="4"/>
        <v>0</v>
      </c>
      <c r="U18" s="21">
        <v>128</v>
      </c>
      <c r="V18" s="13">
        <f t="shared" si="8"/>
        <v>12.9024</v>
      </c>
      <c r="W18" s="49">
        <f t="shared" si="9"/>
        <v>128</v>
      </c>
      <c r="X18" s="50">
        <f t="shared" si="10"/>
        <v>12.9024</v>
      </c>
      <c r="Y18" s="238">
        <v>30</v>
      </c>
      <c r="Z18" s="101">
        <v>100</v>
      </c>
    </row>
    <row r="19" spans="1:26" x14ac:dyDescent="0.25">
      <c r="A19" s="264">
        <v>15</v>
      </c>
      <c r="B19" s="256" t="s">
        <v>16</v>
      </c>
      <c r="C19" s="34">
        <v>140</v>
      </c>
      <c r="D19" s="35">
        <v>240</v>
      </c>
      <c r="E19" s="35">
        <v>8</v>
      </c>
      <c r="F19" s="19">
        <f t="shared" si="5"/>
        <v>0.26879999999999998</v>
      </c>
      <c r="G19" s="23">
        <f>'ARALIK 4 HAFTA '!W19</f>
        <v>0</v>
      </c>
      <c r="H19" s="26">
        <f t="shared" si="6"/>
        <v>0</v>
      </c>
      <c r="I19" s="21">
        <v>0</v>
      </c>
      <c r="J19" s="205">
        <f t="shared" si="0"/>
        <v>0</v>
      </c>
      <c r="K19" s="21">
        <v>0</v>
      </c>
      <c r="L19" s="10">
        <f t="shared" si="1"/>
        <v>0</v>
      </c>
      <c r="M19" s="21">
        <v>0</v>
      </c>
      <c r="N19" s="205">
        <f t="shared" si="2"/>
        <v>0</v>
      </c>
      <c r="O19" s="21">
        <v>0</v>
      </c>
      <c r="P19" s="10">
        <f t="shared" si="7"/>
        <v>0</v>
      </c>
      <c r="Q19" s="21">
        <v>0</v>
      </c>
      <c r="R19" s="205">
        <f t="shared" si="3"/>
        <v>0</v>
      </c>
      <c r="S19" s="39">
        <f t="shared" si="11"/>
        <v>0</v>
      </c>
      <c r="T19" s="38">
        <f t="shared" si="4"/>
        <v>0</v>
      </c>
      <c r="U19" s="21">
        <v>0</v>
      </c>
      <c r="V19" s="13">
        <f t="shared" si="8"/>
        <v>0</v>
      </c>
      <c r="W19" s="49">
        <f t="shared" si="9"/>
        <v>0</v>
      </c>
      <c r="X19" s="50">
        <f t="shared" si="10"/>
        <v>0</v>
      </c>
      <c r="Y19" s="238">
        <v>10</v>
      </c>
      <c r="Z19" s="101">
        <v>30</v>
      </c>
    </row>
    <row r="20" spans="1:26" x14ac:dyDescent="0.25">
      <c r="A20" s="264">
        <v>16</v>
      </c>
      <c r="B20" s="256" t="s">
        <v>17</v>
      </c>
      <c r="C20" s="34">
        <v>140</v>
      </c>
      <c r="D20" s="35">
        <v>240</v>
      </c>
      <c r="E20" s="35">
        <v>8</v>
      </c>
      <c r="F20" s="19">
        <f t="shared" si="5"/>
        <v>0.26879999999999998</v>
      </c>
      <c r="G20" s="23">
        <f>'ARALIK 4 HAFTA '!W20</f>
        <v>0</v>
      </c>
      <c r="H20" s="26">
        <f t="shared" si="6"/>
        <v>0</v>
      </c>
      <c r="I20" s="21">
        <v>0</v>
      </c>
      <c r="J20" s="205">
        <f t="shared" si="0"/>
        <v>0</v>
      </c>
      <c r="K20" s="21">
        <v>0</v>
      </c>
      <c r="L20" s="10">
        <f t="shared" si="1"/>
        <v>0</v>
      </c>
      <c r="M20" s="21">
        <v>0</v>
      </c>
      <c r="N20" s="205">
        <f t="shared" si="2"/>
        <v>0</v>
      </c>
      <c r="O20" s="21">
        <v>0</v>
      </c>
      <c r="P20" s="10">
        <f t="shared" si="7"/>
        <v>0</v>
      </c>
      <c r="Q20" s="21">
        <v>0</v>
      </c>
      <c r="R20" s="205">
        <f t="shared" si="3"/>
        <v>0</v>
      </c>
      <c r="S20" s="39">
        <f t="shared" si="11"/>
        <v>0</v>
      </c>
      <c r="T20" s="38">
        <f t="shared" si="4"/>
        <v>0</v>
      </c>
      <c r="U20" s="21">
        <v>0</v>
      </c>
      <c r="V20" s="13">
        <f t="shared" si="8"/>
        <v>0</v>
      </c>
      <c r="W20" s="49">
        <f t="shared" si="9"/>
        <v>0</v>
      </c>
      <c r="X20" s="50">
        <f t="shared" si="10"/>
        <v>0</v>
      </c>
      <c r="Y20" s="238">
        <v>0</v>
      </c>
      <c r="Z20" s="101">
        <v>0</v>
      </c>
    </row>
    <row r="21" spans="1:26" x14ac:dyDescent="0.25">
      <c r="A21" s="264">
        <v>17</v>
      </c>
      <c r="B21" s="256" t="s">
        <v>19</v>
      </c>
      <c r="C21" s="34">
        <v>77</v>
      </c>
      <c r="D21" s="35">
        <v>55</v>
      </c>
      <c r="E21" s="35">
        <v>8</v>
      </c>
      <c r="F21" s="19">
        <f t="shared" si="5"/>
        <v>3.388E-2</v>
      </c>
      <c r="G21" s="23">
        <f>'ARALIK 4 HAFTA '!W21</f>
        <v>0</v>
      </c>
      <c r="H21" s="26">
        <f t="shared" si="6"/>
        <v>0</v>
      </c>
      <c r="I21" s="21">
        <v>0</v>
      </c>
      <c r="J21" s="205">
        <f t="shared" si="0"/>
        <v>0</v>
      </c>
      <c r="K21" s="21">
        <v>0</v>
      </c>
      <c r="L21" s="10">
        <f t="shared" si="1"/>
        <v>0</v>
      </c>
      <c r="M21" s="21">
        <v>0</v>
      </c>
      <c r="N21" s="205">
        <f t="shared" si="2"/>
        <v>0</v>
      </c>
      <c r="O21" s="21">
        <v>0</v>
      </c>
      <c r="P21" s="10">
        <f t="shared" si="7"/>
        <v>0</v>
      </c>
      <c r="Q21" s="21">
        <v>0</v>
      </c>
      <c r="R21" s="205">
        <f t="shared" si="3"/>
        <v>0</v>
      </c>
      <c r="S21" s="39">
        <f t="shared" si="11"/>
        <v>0</v>
      </c>
      <c r="T21" s="38">
        <f t="shared" si="4"/>
        <v>0</v>
      </c>
      <c r="U21" s="21">
        <v>0</v>
      </c>
      <c r="V21" s="13">
        <f t="shared" si="8"/>
        <v>0</v>
      </c>
      <c r="W21" s="49">
        <f t="shared" si="9"/>
        <v>0</v>
      </c>
      <c r="X21" s="50">
        <f t="shared" si="10"/>
        <v>0</v>
      </c>
      <c r="Y21" s="238">
        <v>0</v>
      </c>
      <c r="Z21" s="101">
        <v>0</v>
      </c>
    </row>
    <row r="22" spans="1:26" x14ac:dyDescent="0.25">
      <c r="A22" s="264">
        <v>18</v>
      </c>
      <c r="B22" s="256" t="s">
        <v>20</v>
      </c>
      <c r="C22" s="34">
        <v>65</v>
      </c>
      <c r="D22" s="35">
        <v>50</v>
      </c>
      <c r="E22" s="35">
        <v>12</v>
      </c>
      <c r="F22" s="19">
        <f t="shared" si="5"/>
        <v>3.9E-2</v>
      </c>
      <c r="G22" s="23">
        <f>'ARALIK 4 HAFTA '!W22</f>
        <v>26</v>
      </c>
      <c r="H22" s="26">
        <f t="shared" si="6"/>
        <v>1.014</v>
      </c>
      <c r="I22" s="21">
        <v>0</v>
      </c>
      <c r="J22" s="205">
        <f t="shared" si="0"/>
        <v>0</v>
      </c>
      <c r="K22" s="21">
        <v>0</v>
      </c>
      <c r="L22" s="10">
        <f t="shared" si="1"/>
        <v>0</v>
      </c>
      <c r="M22" s="21">
        <v>0</v>
      </c>
      <c r="N22" s="205">
        <f t="shared" si="2"/>
        <v>0</v>
      </c>
      <c r="O22" s="21">
        <v>0</v>
      </c>
      <c r="P22" s="10">
        <f t="shared" si="7"/>
        <v>0</v>
      </c>
      <c r="Q22" s="21">
        <v>0</v>
      </c>
      <c r="R22" s="205">
        <f t="shared" si="3"/>
        <v>0</v>
      </c>
      <c r="S22" s="39">
        <f t="shared" si="11"/>
        <v>26</v>
      </c>
      <c r="T22" s="38">
        <f t="shared" si="4"/>
        <v>1.014</v>
      </c>
      <c r="U22" s="21">
        <v>0</v>
      </c>
      <c r="V22" s="13">
        <f t="shared" si="8"/>
        <v>0</v>
      </c>
      <c r="W22" s="49">
        <f t="shared" si="9"/>
        <v>26</v>
      </c>
      <c r="X22" s="50">
        <f t="shared" si="10"/>
        <v>1.014</v>
      </c>
      <c r="Y22" s="238">
        <v>0</v>
      </c>
      <c r="Z22" s="101">
        <v>0</v>
      </c>
    </row>
    <row r="23" spans="1:26" x14ac:dyDescent="0.25">
      <c r="A23" s="264">
        <v>19</v>
      </c>
      <c r="B23" s="42" t="s">
        <v>103</v>
      </c>
      <c r="C23" s="34">
        <v>58</v>
      </c>
      <c r="D23" s="35">
        <v>58</v>
      </c>
      <c r="E23" s="35">
        <v>5</v>
      </c>
      <c r="F23" s="19">
        <f t="shared" si="5"/>
        <v>1.6820000000000002E-2</v>
      </c>
      <c r="G23" s="23">
        <f>'ARALIK 4 HAFTA '!W23</f>
        <v>87</v>
      </c>
      <c r="H23" s="26">
        <f t="shared" si="6"/>
        <v>1.4633400000000001</v>
      </c>
      <c r="I23" s="21">
        <v>0</v>
      </c>
      <c r="J23" s="205">
        <f t="shared" si="0"/>
        <v>0</v>
      </c>
      <c r="K23" s="21">
        <v>16</v>
      </c>
      <c r="L23" s="10">
        <f t="shared" si="1"/>
        <v>0.26912000000000003</v>
      </c>
      <c r="M23" s="21">
        <v>0</v>
      </c>
      <c r="N23" s="205">
        <f t="shared" si="2"/>
        <v>0</v>
      </c>
      <c r="O23" s="21">
        <v>0</v>
      </c>
      <c r="P23" s="10">
        <f t="shared" si="7"/>
        <v>0</v>
      </c>
      <c r="Q23" s="21">
        <v>0</v>
      </c>
      <c r="R23" s="205">
        <f t="shared" si="3"/>
        <v>0</v>
      </c>
      <c r="S23" s="39">
        <f t="shared" si="11"/>
        <v>71</v>
      </c>
      <c r="T23" s="38">
        <f t="shared" si="4"/>
        <v>1.1942200000000001</v>
      </c>
      <c r="U23" s="21">
        <v>0</v>
      </c>
      <c r="V23" s="13">
        <f t="shared" si="8"/>
        <v>0</v>
      </c>
      <c r="W23" s="49">
        <f t="shared" si="9"/>
        <v>71</v>
      </c>
      <c r="X23" s="50">
        <f t="shared" si="10"/>
        <v>1.1942200000000001</v>
      </c>
      <c r="Y23" s="238">
        <v>0</v>
      </c>
      <c r="Z23" s="101">
        <v>0</v>
      </c>
    </row>
    <row r="24" spans="1:26" x14ac:dyDescent="0.25">
      <c r="A24" s="264">
        <v>20</v>
      </c>
      <c r="B24" s="256" t="s">
        <v>22</v>
      </c>
      <c r="C24" s="34">
        <v>66</v>
      </c>
      <c r="D24" s="35">
        <v>56</v>
      </c>
      <c r="E24" s="35">
        <v>12</v>
      </c>
      <c r="F24" s="19">
        <f t="shared" si="5"/>
        <v>4.4352000000000003E-2</v>
      </c>
      <c r="G24" s="23">
        <f>'ARALIK 4 HAFTA '!W24</f>
        <v>28</v>
      </c>
      <c r="H24" s="26">
        <f t="shared" si="6"/>
        <v>1.2418560000000001</v>
      </c>
      <c r="I24" s="21">
        <v>0</v>
      </c>
      <c r="J24" s="205">
        <f t="shared" si="0"/>
        <v>0</v>
      </c>
      <c r="K24" s="21">
        <v>0</v>
      </c>
      <c r="L24" s="10">
        <f t="shared" si="1"/>
        <v>0</v>
      </c>
      <c r="M24" s="21">
        <v>0</v>
      </c>
      <c r="N24" s="205">
        <f t="shared" si="2"/>
        <v>0</v>
      </c>
      <c r="O24" s="21">
        <v>0</v>
      </c>
      <c r="P24" s="10">
        <f t="shared" si="7"/>
        <v>0</v>
      </c>
      <c r="Q24" s="21">
        <v>0</v>
      </c>
      <c r="R24" s="205">
        <f t="shared" si="3"/>
        <v>0</v>
      </c>
      <c r="S24" s="39">
        <f t="shared" si="11"/>
        <v>28</v>
      </c>
      <c r="T24" s="38">
        <f t="shared" si="4"/>
        <v>1.2418560000000001</v>
      </c>
      <c r="U24" s="21">
        <v>0</v>
      </c>
      <c r="V24" s="13">
        <f t="shared" si="8"/>
        <v>0</v>
      </c>
      <c r="W24" s="49">
        <f t="shared" si="9"/>
        <v>28</v>
      </c>
      <c r="X24" s="50">
        <f t="shared" si="10"/>
        <v>1.2418560000000001</v>
      </c>
      <c r="Y24" s="238">
        <v>0</v>
      </c>
      <c r="Z24" s="101">
        <v>0</v>
      </c>
    </row>
    <row r="25" spans="1:26" x14ac:dyDescent="0.25">
      <c r="A25" s="264">
        <v>21</v>
      </c>
      <c r="B25" s="256" t="s">
        <v>102</v>
      </c>
      <c r="C25" s="34">
        <v>61</v>
      </c>
      <c r="D25" s="35">
        <v>61</v>
      </c>
      <c r="E25" s="35">
        <v>10</v>
      </c>
      <c r="F25" s="19">
        <f t="shared" si="5"/>
        <v>3.721E-2</v>
      </c>
      <c r="G25" s="23">
        <f>'ARALIK 4 HAFTA '!W25</f>
        <v>139</v>
      </c>
      <c r="H25" s="26">
        <f t="shared" si="6"/>
        <v>5.1721899999999996</v>
      </c>
      <c r="I25" s="21">
        <v>0</v>
      </c>
      <c r="J25" s="205">
        <f t="shared" si="0"/>
        <v>0</v>
      </c>
      <c r="K25" s="21">
        <v>0</v>
      </c>
      <c r="L25" s="10">
        <f t="shared" si="1"/>
        <v>0</v>
      </c>
      <c r="M25" s="21">
        <v>0</v>
      </c>
      <c r="N25" s="205">
        <f t="shared" si="2"/>
        <v>0</v>
      </c>
      <c r="O25" s="21">
        <v>0</v>
      </c>
      <c r="P25" s="10">
        <f t="shared" si="7"/>
        <v>0</v>
      </c>
      <c r="Q25" s="21">
        <v>0</v>
      </c>
      <c r="R25" s="205">
        <f t="shared" si="3"/>
        <v>0</v>
      </c>
      <c r="S25" s="39">
        <f t="shared" si="11"/>
        <v>139</v>
      </c>
      <c r="T25" s="38">
        <f t="shared" si="4"/>
        <v>5.1721899999999996</v>
      </c>
      <c r="U25" s="21">
        <v>0</v>
      </c>
      <c r="V25" s="13">
        <f t="shared" si="8"/>
        <v>0</v>
      </c>
      <c r="W25" s="49">
        <f t="shared" si="9"/>
        <v>139</v>
      </c>
      <c r="X25" s="50">
        <f t="shared" si="10"/>
        <v>5.1721899999999996</v>
      </c>
      <c r="Y25" s="238">
        <v>30</v>
      </c>
      <c r="Z25" s="101">
        <v>100</v>
      </c>
    </row>
    <row r="26" spans="1:26" x14ac:dyDescent="0.25">
      <c r="A26" s="264">
        <v>22</v>
      </c>
      <c r="B26" s="256" t="s">
        <v>24</v>
      </c>
      <c r="C26" s="34">
        <v>82</v>
      </c>
      <c r="D26" s="35">
        <v>67</v>
      </c>
      <c r="E26" s="35">
        <v>5</v>
      </c>
      <c r="F26" s="19">
        <f t="shared" si="5"/>
        <v>2.7470000000000001E-2</v>
      </c>
      <c r="G26" s="23">
        <f>'ARALIK 4 HAFTA '!W26</f>
        <v>30</v>
      </c>
      <c r="H26" s="26">
        <f t="shared" si="6"/>
        <v>0.82410000000000005</v>
      </c>
      <c r="I26" s="21">
        <v>0</v>
      </c>
      <c r="J26" s="205">
        <f t="shared" si="0"/>
        <v>0</v>
      </c>
      <c r="K26" s="21">
        <v>0</v>
      </c>
      <c r="L26" s="10">
        <f t="shared" si="1"/>
        <v>0</v>
      </c>
      <c r="M26" s="21">
        <v>0</v>
      </c>
      <c r="N26" s="205">
        <f t="shared" si="2"/>
        <v>0</v>
      </c>
      <c r="O26" s="21">
        <v>0</v>
      </c>
      <c r="P26" s="10">
        <f t="shared" si="7"/>
        <v>0</v>
      </c>
      <c r="Q26" s="21">
        <v>0</v>
      </c>
      <c r="R26" s="205">
        <f t="shared" si="3"/>
        <v>0</v>
      </c>
      <c r="S26" s="39">
        <f t="shared" si="11"/>
        <v>30</v>
      </c>
      <c r="T26" s="38">
        <f t="shared" si="4"/>
        <v>0.82410000000000005</v>
      </c>
      <c r="U26" s="21">
        <v>0</v>
      </c>
      <c r="V26" s="13">
        <f t="shared" si="8"/>
        <v>0</v>
      </c>
      <c r="W26" s="49">
        <f t="shared" si="9"/>
        <v>30</v>
      </c>
      <c r="X26" s="50">
        <f t="shared" si="10"/>
        <v>0.82410000000000005</v>
      </c>
      <c r="Y26" s="238">
        <v>0</v>
      </c>
      <c r="Z26" s="101">
        <v>0</v>
      </c>
    </row>
    <row r="27" spans="1:26" x14ac:dyDescent="0.25">
      <c r="A27" s="264">
        <v>23</v>
      </c>
      <c r="B27" s="256" t="s">
        <v>25</v>
      </c>
      <c r="C27" s="34">
        <v>80</v>
      </c>
      <c r="D27" s="35">
        <v>62</v>
      </c>
      <c r="E27" s="35">
        <v>2</v>
      </c>
      <c r="F27" s="19">
        <f t="shared" si="5"/>
        <v>9.92E-3</v>
      </c>
      <c r="G27" s="23">
        <f>'ARALIK 4 HAFTA '!W27</f>
        <v>36</v>
      </c>
      <c r="H27" s="26">
        <f t="shared" si="6"/>
        <v>0.35711999999999999</v>
      </c>
      <c r="I27" s="21">
        <v>0</v>
      </c>
      <c r="J27" s="205">
        <f t="shared" si="0"/>
        <v>0</v>
      </c>
      <c r="K27" s="21">
        <v>0</v>
      </c>
      <c r="L27" s="10">
        <f t="shared" si="1"/>
        <v>0</v>
      </c>
      <c r="M27" s="21">
        <v>0</v>
      </c>
      <c r="N27" s="205">
        <f t="shared" si="2"/>
        <v>0</v>
      </c>
      <c r="O27" s="21">
        <v>0</v>
      </c>
      <c r="P27" s="10">
        <f t="shared" si="7"/>
        <v>0</v>
      </c>
      <c r="Q27" s="21">
        <v>0</v>
      </c>
      <c r="R27" s="205">
        <f t="shared" si="3"/>
        <v>0</v>
      </c>
      <c r="S27" s="39">
        <f t="shared" si="11"/>
        <v>36</v>
      </c>
      <c r="T27" s="38">
        <f t="shared" si="4"/>
        <v>0.35711999999999999</v>
      </c>
      <c r="U27" s="21">
        <v>0</v>
      </c>
      <c r="V27" s="13">
        <f t="shared" si="8"/>
        <v>0</v>
      </c>
      <c r="W27" s="49">
        <f t="shared" si="9"/>
        <v>36</v>
      </c>
      <c r="X27" s="50">
        <f t="shared" si="10"/>
        <v>0.35711999999999999</v>
      </c>
      <c r="Y27" s="238">
        <v>0</v>
      </c>
      <c r="Z27" s="101">
        <v>0</v>
      </c>
    </row>
    <row r="28" spans="1:26" x14ac:dyDescent="0.25">
      <c r="A28" s="264">
        <v>24</v>
      </c>
      <c r="B28" s="256" t="s">
        <v>26</v>
      </c>
      <c r="C28" s="34">
        <v>63</v>
      </c>
      <c r="D28" s="35">
        <v>55</v>
      </c>
      <c r="E28" s="35">
        <v>5</v>
      </c>
      <c r="F28" s="19">
        <f t="shared" si="5"/>
        <v>1.7325E-2</v>
      </c>
      <c r="G28" s="23">
        <f>'ARALIK 4 HAFTA '!W28</f>
        <v>7</v>
      </c>
      <c r="H28" s="26">
        <f t="shared" si="6"/>
        <v>0.12127499999999999</v>
      </c>
      <c r="I28" s="21">
        <v>0</v>
      </c>
      <c r="J28" s="205">
        <f t="shared" si="0"/>
        <v>0</v>
      </c>
      <c r="K28" s="21">
        <v>0</v>
      </c>
      <c r="L28" s="10">
        <f t="shared" si="1"/>
        <v>0</v>
      </c>
      <c r="M28" s="21">
        <v>0</v>
      </c>
      <c r="N28" s="205">
        <f t="shared" si="2"/>
        <v>0</v>
      </c>
      <c r="O28" s="21">
        <v>0</v>
      </c>
      <c r="P28" s="10">
        <f t="shared" si="7"/>
        <v>0</v>
      </c>
      <c r="Q28" s="21">
        <v>0</v>
      </c>
      <c r="R28" s="205">
        <f t="shared" si="3"/>
        <v>0</v>
      </c>
      <c r="S28" s="39">
        <f t="shared" si="11"/>
        <v>7</v>
      </c>
      <c r="T28" s="38">
        <f t="shared" si="4"/>
        <v>0.12127499999999999</v>
      </c>
      <c r="U28" s="21">
        <v>0</v>
      </c>
      <c r="V28" s="13">
        <f t="shared" si="8"/>
        <v>0</v>
      </c>
      <c r="W28" s="49">
        <f t="shared" si="9"/>
        <v>7</v>
      </c>
      <c r="X28" s="50">
        <f t="shared" si="10"/>
        <v>0.12127499999999999</v>
      </c>
      <c r="Y28" s="238">
        <v>0</v>
      </c>
      <c r="Z28" s="101">
        <v>0</v>
      </c>
    </row>
    <row r="29" spans="1:26" x14ac:dyDescent="0.25">
      <c r="A29" s="264">
        <v>25</v>
      </c>
      <c r="B29" s="256" t="s">
        <v>27</v>
      </c>
      <c r="C29" s="34">
        <v>140</v>
      </c>
      <c r="D29" s="35">
        <v>240</v>
      </c>
      <c r="E29" s="35">
        <v>5</v>
      </c>
      <c r="F29" s="19">
        <f t="shared" si="5"/>
        <v>0.16800000000000001</v>
      </c>
      <c r="G29" s="23">
        <f>'ARALIK 4 HAFTA '!W29</f>
        <v>6</v>
      </c>
      <c r="H29" s="26">
        <f t="shared" si="6"/>
        <v>1.008</v>
      </c>
      <c r="I29" s="21">
        <v>0</v>
      </c>
      <c r="J29" s="205">
        <f t="shared" si="0"/>
        <v>0</v>
      </c>
      <c r="K29" s="21">
        <v>0</v>
      </c>
      <c r="L29" s="10">
        <f t="shared" si="1"/>
        <v>0</v>
      </c>
      <c r="M29" s="21">
        <v>0</v>
      </c>
      <c r="N29" s="205">
        <f t="shared" si="2"/>
        <v>0</v>
      </c>
      <c r="O29" s="21">
        <v>0</v>
      </c>
      <c r="P29" s="10">
        <f t="shared" si="7"/>
        <v>0</v>
      </c>
      <c r="Q29" s="21">
        <v>0</v>
      </c>
      <c r="R29" s="205">
        <f t="shared" si="3"/>
        <v>0</v>
      </c>
      <c r="S29" s="39">
        <f t="shared" si="11"/>
        <v>6</v>
      </c>
      <c r="T29" s="38">
        <f t="shared" si="4"/>
        <v>1.008</v>
      </c>
      <c r="U29" s="21">
        <v>0</v>
      </c>
      <c r="V29" s="13">
        <f t="shared" si="8"/>
        <v>0</v>
      </c>
      <c r="W29" s="49">
        <f t="shared" si="9"/>
        <v>6</v>
      </c>
      <c r="X29" s="50">
        <f t="shared" si="10"/>
        <v>1.008</v>
      </c>
      <c r="Y29" s="238">
        <v>0</v>
      </c>
      <c r="Z29" s="101">
        <v>0</v>
      </c>
    </row>
    <row r="30" spans="1:26" x14ac:dyDescent="0.25">
      <c r="A30" s="264">
        <v>26</v>
      </c>
      <c r="B30" s="256" t="s">
        <v>112</v>
      </c>
      <c r="C30" s="34">
        <v>140</v>
      </c>
      <c r="D30" s="35">
        <v>240</v>
      </c>
      <c r="E30" s="35">
        <v>10</v>
      </c>
      <c r="F30" s="19">
        <f t="shared" si="5"/>
        <v>0.33600000000000002</v>
      </c>
      <c r="G30" s="23">
        <v>22</v>
      </c>
      <c r="H30" s="26">
        <f t="shared" si="6"/>
        <v>7.3920000000000003</v>
      </c>
      <c r="I30" s="21">
        <v>0</v>
      </c>
      <c r="J30" s="205">
        <f t="shared" si="0"/>
        <v>0</v>
      </c>
      <c r="K30" s="21">
        <v>1</v>
      </c>
      <c r="L30" s="10">
        <f t="shared" si="1"/>
        <v>0.33600000000000002</v>
      </c>
      <c r="M30" s="21">
        <v>0</v>
      </c>
      <c r="N30" s="205">
        <f t="shared" si="2"/>
        <v>0</v>
      </c>
      <c r="O30" s="21">
        <v>0</v>
      </c>
      <c r="P30" s="10">
        <f t="shared" si="7"/>
        <v>0</v>
      </c>
      <c r="Q30" s="21">
        <v>0</v>
      </c>
      <c r="R30" s="205">
        <f t="shared" si="3"/>
        <v>0</v>
      </c>
      <c r="S30" s="39">
        <f t="shared" si="11"/>
        <v>21</v>
      </c>
      <c r="T30" s="38">
        <f t="shared" si="4"/>
        <v>7.056</v>
      </c>
      <c r="U30" s="21">
        <v>0</v>
      </c>
      <c r="V30" s="13">
        <f t="shared" si="8"/>
        <v>0</v>
      </c>
      <c r="W30" s="49">
        <f t="shared" si="9"/>
        <v>21</v>
      </c>
      <c r="X30" s="50">
        <f t="shared" si="10"/>
        <v>7.056</v>
      </c>
      <c r="Y30" s="238">
        <v>0</v>
      </c>
      <c r="Z30" s="101">
        <v>0</v>
      </c>
    </row>
    <row r="31" spans="1:26" x14ac:dyDescent="0.25">
      <c r="A31" s="264">
        <v>27</v>
      </c>
      <c r="B31" s="256" t="s">
        <v>29</v>
      </c>
      <c r="C31" s="34">
        <v>140</v>
      </c>
      <c r="D31" s="35">
        <v>240</v>
      </c>
      <c r="E31" s="35">
        <v>3</v>
      </c>
      <c r="F31" s="19">
        <f t="shared" si="5"/>
        <v>0.1008</v>
      </c>
      <c r="G31" s="23">
        <f>'ARALIK 4 HAFTA '!W31</f>
        <v>26</v>
      </c>
      <c r="H31" s="26">
        <f t="shared" si="6"/>
        <v>2.6208</v>
      </c>
      <c r="I31" s="21">
        <v>0</v>
      </c>
      <c r="J31" s="205">
        <f t="shared" si="0"/>
        <v>0</v>
      </c>
      <c r="K31" s="21">
        <v>0</v>
      </c>
      <c r="L31" s="10">
        <f t="shared" si="1"/>
        <v>0</v>
      </c>
      <c r="M31" s="21">
        <v>0</v>
      </c>
      <c r="N31" s="205">
        <f t="shared" si="2"/>
        <v>0</v>
      </c>
      <c r="O31" s="21">
        <v>0</v>
      </c>
      <c r="P31" s="10">
        <f t="shared" si="7"/>
        <v>0</v>
      </c>
      <c r="Q31" s="21">
        <v>0</v>
      </c>
      <c r="R31" s="205">
        <f t="shared" si="3"/>
        <v>0</v>
      </c>
      <c r="S31" s="39">
        <f t="shared" si="11"/>
        <v>26</v>
      </c>
      <c r="T31" s="38">
        <f t="shared" si="4"/>
        <v>2.6208</v>
      </c>
      <c r="U31" s="21">
        <v>0</v>
      </c>
      <c r="V31" s="13">
        <f t="shared" si="8"/>
        <v>0</v>
      </c>
      <c r="W31" s="49">
        <f t="shared" si="9"/>
        <v>26</v>
      </c>
      <c r="X31" s="50">
        <f t="shared" si="10"/>
        <v>2.6208</v>
      </c>
      <c r="Y31" s="238">
        <v>0</v>
      </c>
      <c r="Z31" s="101">
        <v>0</v>
      </c>
    </row>
    <row r="32" spans="1:26" x14ac:dyDescent="0.25">
      <c r="A32" s="264">
        <v>28</v>
      </c>
      <c r="B32" s="256" t="s">
        <v>30</v>
      </c>
      <c r="C32" s="34">
        <v>90</v>
      </c>
      <c r="D32" s="35">
        <v>80</v>
      </c>
      <c r="E32" s="35">
        <v>8</v>
      </c>
      <c r="F32" s="19">
        <f t="shared" si="5"/>
        <v>5.7599999999999998E-2</v>
      </c>
      <c r="G32" s="23">
        <f>'ARALIK 4 HAFTA '!W32</f>
        <v>0</v>
      </c>
      <c r="H32" s="26">
        <f t="shared" si="6"/>
        <v>0</v>
      </c>
      <c r="I32" s="21">
        <v>0</v>
      </c>
      <c r="J32" s="205">
        <f t="shared" si="0"/>
        <v>0</v>
      </c>
      <c r="K32" s="21">
        <v>0</v>
      </c>
      <c r="L32" s="10">
        <f t="shared" si="1"/>
        <v>0</v>
      </c>
      <c r="M32" s="21">
        <v>0</v>
      </c>
      <c r="N32" s="205">
        <f t="shared" si="2"/>
        <v>0</v>
      </c>
      <c r="O32" s="21">
        <v>0</v>
      </c>
      <c r="P32" s="10">
        <f t="shared" si="7"/>
        <v>0</v>
      </c>
      <c r="Q32" s="21">
        <v>0</v>
      </c>
      <c r="R32" s="205">
        <f t="shared" si="3"/>
        <v>0</v>
      </c>
      <c r="S32" s="39">
        <f t="shared" si="11"/>
        <v>0</v>
      </c>
      <c r="T32" s="38">
        <f t="shared" si="4"/>
        <v>0</v>
      </c>
      <c r="U32" s="21">
        <v>0</v>
      </c>
      <c r="V32" s="13">
        <f t="shared" si="8"/>
        <v>0</v>
      </c>
      <c r="W32" s="49">
        <f t="shared" si="9"/>
        <v>0</v>
      </c>
      <c r="X32" s="50">
        <f t="shared" si="10"/>
        <v>0</v>
      </c>
      <c r="Y32" s="238">
        <v>0</v>
      </c>
      <c r="Z32" s="101">
        <v>0</v>
      </c>
    </row>
    <row r="33" spans="1:26" x14ac:dyDescent="0.25">
      <c r="A33" s="264">
        <v>29</v>
      </c>
      <c r="B33" s="256" t="s">
        <v>31</v>
      </c>
      <c r="C33" s="34">
        <v>90</v>
      </c>
      <c r="D33" s="35">
        <v>80</v>
      </c>
      <c r="E33" s="35">
        <v>8</v>
      </c>
      <c r="F33" s="19">
        <f t="shared" si="5"/>
        <v>5.7599999999999998E-2</v>
      </c>
      <c r="G33" s="23">
        <f>'ARALIK 4 HAFTA '!W33</f>
        <v>0</v>
      </c>
      <c r="H33" s="26">
        <f t="shared" si="6"/>
        <v>0</v>
      </c>
      <c r="I33" s="21">
        <v>0</v>
      </c>
      <c r="J33" s="205">
        <f t="shared" si="0"/>
        <v>0</v>
      </c>
      <c r="K33" s="21">
        <v>0</v>
      </c>
      <c r="L33" s="10">
        <f t="shared" si="1"/>
        <v>0</v>
      </c>
      <c r="M33" s="21">
        <v>0</v>
      </c>
      <c r="N33" s="205">
        <f t="shared" si="2"/>
        <v>0</v>
      </c>
      <c r="O33" s="21">
        <v>0</v>
      </c>
      <c r="P33" s="10">
        <f t="shared" si="7"/>
        <v>0</v>
      </c>
      <c r="Q33" s="21">
        <v>0</v>
      </c>
      <c r="R33" s="205">
        <f t="shared" si="3"/>
        <v>0</v>
      </c>
      <c r="S33" s="39">
        <f t="shared" si="11"/>
        <v>0</v>
      </c>
      <c r="T33" s="38">
        <f t="shared" si="4"/>
        <v>0</v>
      </c>
      <c r="U33" s="21">
        <v>0</v>
      </c>
      <c r="V33" s="13">
        <f t="shared" si="8"/>
        <v>0</v>
      </c>
      <c r="W33" s="49">
        <f t="shared" si="9"/>
        <v>0</v>
      </c>
      <c r="X33" s="50">
        <f t="shared" si="10"/>
        <v>0</v>
      </c>
      <c r="Y33" s="238">
        <v>0</v>
      </c>
      <c r="Z33" s="101">
        <v>0</v>
      </c>
    </row>
    <row r="34" spans="1:26" x14ac:dyDescent="0.25">
      <c r="A34" s="264">
        <v>30</v>
      </c>
      <c r="B34" s="256" t="s">
        <v>32</v>
      </c>
      <c r="C34" s="34"/>
      <c r="D34" s="35"/>
      <c r="E34" s="35"/>
      <c r="F34" s="19">
        <f t="shared" si="5"/>
        <v>0</v>
      </c>
      <c r="G34" s="23">
        <f>'ARALIK 4 HAFTA '!W34</f>
        <v>300</v>
      </c>
      <c r="H34" s="26">
        <f t="shared" si="6"/>
        <v>0</v>
      </c>
      <c r="I34" s="21">
        <v>0</v>
      </c>
      <c r="J34" s="205">
        <f t="shared" si="0"/>
        <v>0</v>
      </c>
      <c r="K34" s="21">
        <v>0</v>
      </c>
      <c r="L34" s="10">
        <f t="shared" si="1"/>
        <v>0</v>
      </c>
      <c r="M34" s="21">
        <v>0</v>
      </c>
      <c r="N34" s="205">
        <f t="shared" si="2"/>
        <v>0</v>
      </c>
      <c r="O34" s="21">
        <v>0</v>
      </c>
      <c r="P34" s="10">
        <f t="shared" si="7"/>
        <v>0</v>
      </c>
      <c r="Q34" s="21">
        <v>0</v>
      </c>
      <c r="R34" s="205">
        <f t="shared" si="3"/>
        <v>0</v>
      </c>
      <c r="S34" s="39">
        <f t="shared" si="11"/>
        <v>300</v>
      </c>
      <c r="T34" s="38">
        <f t="shared" si="4"/>
        <v>0</v>
      </c>
      <c r="U34" s="21">
        <v>0</v>
      </c>
      <c r="V34" s="13">
        <f t="shared" si="8"/>
        <v>0</v>
      </c>
      <c r="W34" s="49">
        <f t="shared" si="9"/>
        <v>300</v>
      </c>
      <c r="X34" s="50">
        <f t="shared" si="10"/>
        <v>0</v>
      </c>
      <c r="Y34" s="238">
        <v>0</v>
      </c>
      <c r="Z34" s="101">
        <v>0</v>
      </c>
    </row>
    <row r="35" spans="1:26" x14ac:dyDescent="0.25">
      <c r="A35" s="264">
        <v>31</v>
      </c>
      <c r="B35" s="256" t="s">
        <v>33</v>
      </c>
      <c r="C35" s="34">
        <v>80</v>
      </c>
      <c r="D35" s="35">
        <v>66</v>
      </c>
      <c r="E35" s="35">
        <v>5</v>
      </c>
      <c r="F35" s="19">
        <f t="shared" si="5"/>
        <v>2.64E-2</v>
      </c>
      <c r="G35" s="23">
        <f>'ARALIK 4 HAFTA '!W35</f>
        <v>56</v>
      </c>
      <c r="H35" s="26">
        <f t="shared" si="6"/>
        <v>1.4783999999999999</v>
      </c>
      <c r="I35" s="21">
        <v>0</v>
      </c>
      <c r="J35" s="205">
        <f t="shared" si="0"/>
        <v>0</v>
      </c>
      <c r="K35" s="21">
        <v>0</v>
      </c>
      <c r="L35" s="10">
        <f t="shared" si="1"/>
        <v>0</v>
      </c>
      <c r="M35" s="21">
        <v>0</v>
      </c>
      <c r="N35" s="205">
        <f t="shared" si="2"/>
        <v>0</v>
      </c>
      <c r="O35" s="21">
        <v>0</v>
      </c>
      <c r="P35" s="10">
        <f t="shared" si="7"/>
        <v>0</v>
      </c>
      <c r="Q35" s="21">
        <v>0</v>
      </c>
      <c r="R35" s="205">
        <f t="shared" si="3"/>
        <v>0</v>
      </c>
      <c r="S35" s="39">
        <f t="shared" si="11"/>
        <v>56</v>
      </c>
      <c r="T35" s="38">
        <f t="shared" si="4"/>
        <v>1.4783999999999999</v>
      </c>
      <c r="U35" s="21">
        <v>0</v>
      </c>
      <c r="V35" s="13">
        <f t="shared" si="8"/>
        <v>0</v>
      </c>
      <c r="W35" s="49">
        <f t="shared" si="9"/>
        <v>56</v>
      </c>
      <c r="X35" s="50">
        <f t="shared" si="10"/>
        <v>1.4783999999999999</v>
      </c>
      <c r="Y35" s="238">
        <v>0</v>
      </c>
      <c r="Z35" s="101">
        <v>0</v>
      </c>
    </row>
    <row r="36" spans="1:26" x14ac:dyDescent="0.25">
      <c r="A36" s="264">
        <v>32</v>
      </c>
      <c r="B36" s="256" t="s">
        <v>110</v>
      </c>
      <c r="C36" s="34">
        <v>60</v>
      </c>
      <c r="D36" s="35">
        <v>62</v>
      </c>
      <c r="E36" s="35">
        <v>5</v>
      </c>
      <c r="F36" s="19">
        <f t="shared" si="5"/>
        <v>1.8599999999999998E-2</v>
      </c>
      <c r="G36" s="23">
        <f>'ARALIK 4 HAFTA '!W36</f>
        <v>0</v>
      </c>
      <c r="H36" s="26">
        <f t="shared" si="6"/>
        <v>0</v>
      </c>
      <c r="I36" s="21">
        <v>0</v>
      </c>
      <c r="J36" s="205">
        <f t="shared" si="0"/>
        <v>0</v>
      </c>
      <c r="K36" s="21">
        <v>0</v>
      </c>
      <c r="L36" s="10">
        <f t="shared" si="1"/>
        <v>0</v>
      </c>
      <c r="M36" s="21">
        <v>0</v>
      </c>
      <c r="N36" s="205">
        <f t="shared" si="2"/>
        <v>0</v>
      </c>
      <c r="O36" s="21">
        <v>0</v>
      </c>
      <c r="P36" s="10">
        <f t="shared" si="7"/>
        <v>0</v>
      </c>
      <c r="Q36" s="21">
        <v>0</v>
      </c>
      <c r="R36" s="205">
        <f t="shared" si="3"/>
        <v>0</v>
      </c>
      <c r="S36" s="39">
        <f t="shared" si="11"/>
        <v>0</v>
      </c>
      <c r="T36" s="38">
        <f t="shared" si="4"/>
        <v>0</v>
      </c>
      <c r="U36" s="21">
        <v>0</v>
      </c>
      <c r="V36" s="13">
        <f t="shared" si="8"/>
        <v>0</v>
      </c>
      <c r="W36" s="49">
        <f t="shared" si="9"/>
        <v>0</v>
      </c>
      <c r="X36" s="50">
        <f t="shared" si="10"/>
        <v>0</v>
      </c>
      <c r="Y36" s="238">
        <v>0</v>
      </c>
      <c r="Z36" s="101">
        <v>0</v>
      </c>
    </row>
    <row r="37" spans="1:26" x14ac:dyDescent="0.25">
      <c r="A37" s="264">
        <v>33</v>
      </c>
      <c r="B37" s="256" t="s">
        <v>41</v>
      </c>
      <c r="C37" s="34">
        <v>60</v>
      </c>
      <c r="D37" s="35">
        <v>67</v>
      </c>
      <c r="E37" s="35">
        <v>3</v>
      </c>
      <c r="F37" s="19">
        <f t="shared" si="5"/>
        <v>1.206E-2</v>
      </c>
      <c r="G37" s="23">
        <f>'ARALIK 4 HAFTA '!W37</f>
        <v>12</v>
      </c>
      <c r="H37" s="26">
        <f t="shared" si="6"/>
        <v>0.14471999999999999</v>
      </c>
      <c r="I37" s="21">
        <v>0</v>
      </c>
      <c r="J37" s="205">
        <f t="shared" si="0"/>
        <v>0</v>
      </c>
      <c r="K37" s="21">
        <v>0</v>
      </c>
      <c r="L37" s="10">
        <f t="shared" si="1"/>
        <v>0</v>
      </c>
      <c r="M37" s="21">
        <v>0</v>
      </c>
      <c r="N37" s="205">
        <f t="shared" si="2"/>
        <v>0</v>
      </c>
      <c r="O37" s="21">
        <v>0</v>
      </c>
      <c r="P37" s="10">
        <f t="shared" si="7"/>
        <v>0</v>
      </c>
      <c r="Q37" s="21">
        <v>0</v>
      </c>
      <c r="R37" s="205">
        <f t="shared" si="3"/>
        <v>0</v>
      </c>
      <c r="S37" s="39">
        <f t="shared" si="11"/>
        <v>12</v>
      </c>
      <c r="T37" s="38">
        <f t="shared" si="4"/>
        <v>0.14471999999999999</v>
      </c>
      <c r="U37" s="21">
        <v>0</v>
      </c>
      <c r="V37" s="13">
        <f t="shared" si="8"/>
        <v>0</v>
      </c>
      <c r="W37" s="49">
        <f t="shared" si="9"/>
        <v>12</v>
      </c>
      <c r="X37" s="50">
        <f t="shared" si="10"/>
        <v>0.14471999999999999</v>
      </c>
      <c r="Y37" s="238">
        <v>0</v>
      </c>
      <c r="Z37" s="101">
        <v>0</v>
      </c>
    </row>
    <row r="38" spans="1:26" x14ac:dyDescent="0.25">
      <c r="A38" s="264">
        <v>34</v>
      </c>
      <c r="B38" s="256" t="s">
        <v>35</v>
      </c>
      <c r="C38" s="34">
        <v>140</v>
      </c>
      <c r="D38" s="35">
        <v>240</v>
      </c>
      <c r="E38" s="35">
        <v>7</v>
      </c>
      <c r="F38" s="19">
        <f t="shared" si="5"/>
        <v>0.23519999999999999</v>
      </c>
      <c r="G38" s="23">
        <f>'ARALIK 4 HAFTA '!W38</f>
        <v>0</v>
      </c>
      <c r="H38" s="26">
        <f t="shared" si="6"/>
        <v>0</v>
      </c>
      <c r="I38" s="21">
        <v>0</v>
      </c>
      <c r="J38" s="205">
        <f t="shared" si="0"/>
        <v>0</v>
      </c>
      <c r="K38" s="21">
        <v>0</v>
      </c>
      <c r="L38" s="10">
        <f t="shared" si="1"/>
        <v>0</v>
      </c>
      <c r="M38" s="21">
        <v>0</v>
      </c>
      <c r="N38" s="205">
        <f t="shared" si="2"/>
        <v>0</v>
      </c>
      <c r="O38" s="21">
        <v>0</v>
      </c>
      <c r="P38" s="10">
        <f t="shared" si="7"/>
        <v>0</v>
      </c>
      <c r="Q38" s="21">
        <v>0</v>
      </c>
      <c r="R38" s="205">
        <f t="shared" si="3"/>
        <v>0</v>
      </c>
      <c r="S38" s="39">
        <f t="shared" si="11"/>
        <v>0</v>
      </c>
      <c r="T38" s="38">
        <f t="shared" si="4"/>
        <v>0</v>
      </c>
      <c r="U38" s="21">
        <v>0</v>
      </c>
      <c r="V38" s="13">
        <f t="shared" si="8"/>
        <v>0</v>
      </c>
      <c r="W38" s="49">
        <f t="shared" si="9"/>
        <v>0</v>
      </c>
      <c r="X38" s="50">
        <f t="shared" si="10"/>
        <v>0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36</v>
      </c>
      <c r="C39" s="34">
        <v>60</v>
      </c>
      <c r="D39" s="35">
        <v>56</v>
      </c>
      <c r="E39" s="35">
        <v>10</v>
      </c>
      <c r="F39" s="19">
        <f t="shared" si="5"/>
        <v>3.3599999999999998E-2</v>
      </c>
      <c r="G39" s="23">
        <f>'ARALIK 4 HAFTA '!W39</f>
        <v>0</v>
      </c>
      <c r="H39" s="26">
        <f t="shared" si="6"/>
        <v>0</v>
      </c>
      <c r="I39" s="21">
        <v>0</v>
      </c>
      <c r="J39" s="205">
        <f t="shared" si="0"/>
        <v>0</v>
      </c>
      <c r="K39" s="21">
        <v>0</v>
      </c>
      <c r="L39" s="10">
        <f t="shared" si="1"/>
        <v>0</v>
      </c>
      <c r="M39" s="21">
        <v>0</v>
      </c>
      <c r="N39" s="205">
        <f t="shared" si="2"/>
        <v>0</v>
      </c>
      <c r="O39" s="21">
        <v>0</v>
      </c>
      <c r="P39" s="10">
        <f t="shared" si="7"/>
        <v>0</v>
      </c>
      <c r="Q39" s="21">
        <v>0</v>
      </c>
      <c r="R39" s="205">
        <f t="shared" si="3"/>
        <v>0</v>
      </c>
      <c r="S39" s="39">
        <f t="shared" si="11"/>
        <v>0</v>
      </c>
      <c r="T39" s="38">
        <f t="shared" si="4"/>
        <v>0</v>
      </c>
      <c r="U39" s="21">
        <v>0</v>
      </c>
      <c r="V39" s="13">
        <f t="shared" si="8"/>
        <v>0</v>
      </c>
      <c r="W39" s="49">
        <f t="shared" si="9"/>
        <v>0</v>
      </c>
      <c r="X39" s="50">
        <f t="shared" si="10"/>
        <v>0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37</v>
      </c>
      <c r="C40" s="34">
        <v>58</v>
      </c>
      <c r="D40" s="35">
        <v>55</v>
      </c>
      <c r="E40" s="35">
        <v>10</v>
      </c>
      <c r="F40" s="19">
        <f t="shared" si="5"/>
        <v>3.1899999999999998E-2</v>
      </c>
      <c r="G40" s="23">
        <f>'ARALIK 4 HAFTA '!W40</f>
        <v>0</v>
      </c>
      <c r="H40" s="26">
        <f t="shared" si="6"/>
        <v>0</v>
      </c>
      <c r="I40" s="21">
        <v>0</v>
      </c>
      <c r="J40" s="205">
        <f t="shared" si="0"/>
        <v>0</v>
      </c>
      <c r="K40" s="21">
        <v>0</v>
      </c>
      <c r="L40" s="10">
        <f t="shared" si="1"/>
        <v>0</v>
      </c>
      <c r="M40" s="21">
        <v>0</v>
      </c>
      <c r="N40" s="205">
        <f t="shared" si="2"/>
        <v>0</v>
      </c>
      <c r="O40" s="21">
        <v>0</v>
      </c>
      <c r="P40" s="10">
        <f t="shared" si="7"/>
        <v>0</v>
      </c>
      <c r="Q40" s="21">
        <v>0</v>
      </c>
      <c r="R40" s="205">
        <f t="shared" si="3"/>
        <v>0</v>
      </c>
      <c r="S40" s="39">
        <f t="shared" si="11"/>
        <v>0</v>
      </c>
      <c r="T40" s="38">
        <f t="shared" si="4"/>
        <v>0</v>
      </c>
      <c r="U40" s="21">
        <v>0</v>
      </c>
      <c r="V40" s="13">
        <f t="shared" si="8"/>
        <v>0</v>
      </c>
      <c r="W40" s="49">
        <f t="shared" si="9"/>
        <v>0</v>
      </c>
      <c r="X40" s="50">
        <f t="shared" si="10"/>
        <v>0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38</v>
      </c>
      <c r="C41" s="34">
        <v>63</v>
      </c>
      <c r="D41" s="35">
        <v>55</v>
      </c>
      <c r="E41" s="35">
        <v>5</v>
      </c>
      <c r="F41" s="19">
        <f t="shared" si="5"/>
        <v>1.7325E-2</v>
      </c>
      <c r="G41" s="23">
        <f>'ARALIK 4 HAFTA '!W41</f>
        <v>10</v>
      </c>
      <c r="H41" s="26">
        <f t="shared" si="6"/>
        <v>0.17325000000000002</v>
      </c>
      <c r="I41" s="21">
        <v>0</v>
      </c>
      <c r="J41" s="205">
        <f t="shared" si="0"/>
        <v>0</v>
      </c>
      <c r="K41" s="21">
        <v>0</v>
      </c>
      <c r="L41" s="10">
        <f t="shared" si="1"/>
        <v>0</v>
      </c>
      <c r="M41" s="21">
        <v>0</v>
      </c>
      <c r="N41" s="205">
        <f t="shared" si="2"/>
        <v>0</v>
      </c>
      <c r="O41" s="21">
        <v>0</v>
      </c>
      <c r="P41" s="10">
        <f t="shared" si="7"/>
        <v>0</v>
      </c>
      <c r="Q41" s="21">
        <v>0</v>
      </c>
      <c r="R41" s="205">
        <f t="shared" si="3"/>
        <v>0</v>
      </c>
      <c r="S41" s="39">
        <f t="shared" si="11"/>
        <v>10</v>
      </c>
      <c r="T41" s="38">
        <f t="shared" si="4"/>
        <v>0.17325000000000002</v>
      </c>
      <c r="U41" s="21">
        <v>0</v>
      </c>
      <c r="V41" s="13">
        <f t="shared" si="8"/>
        <v>0</v>
      </c>
      <c r="W41" s="49">
        <f t="shared" si="9"/>
        <v>10</v>
      </c>
      <c r="X41" s="50">
        <f t="shared" si="10"/>
        <v>0.17325000000000002</v>
      </c>
      <c r="Y41" s="238">
        <v>0</v>
      </c>
      <c r="Z41" s="101">
        <v>0</v>
      </c>
    </row>
    <row r="42" spans="1:26" x14ac:dyDescent="0.25">
      <c r="A42" s="264">
        <v>38</v>
      </c>
      <c r="B42" s="256" t="s">
        <v>120</v>
      </c>
      <c r="C42" s="34">
        <v>52</v>
      </c>
      <c r="D42" s="35">
        <v>52</v>
      </c>
      <c r="E42" s="35">
        <v>5</v>
      </c>
      <c r="F42" s="19">
        <f t="shared" si="5"/>
        <v>1.3520000000000001E-2</v>
      </c>
      <c r="G42" s="23">
        <f>'ARALIK 4 HAFTA '!W42</f>
        <v>157</v>
      </c>
      <c r="H42" s="26">
        <f t="shared" si="6"/>
        <v>2.1226400000000001</v>
      </c>
      <c r="I42" s="21">
        <v>5</v>
      </c>
      <c r="J42" s="205">
        <f t="shared" si="0"/>
        <v>6.7600000000000007E-2</v>
      </c>
      <c r="K42" s="21">
        <v>0</v>
      </c>
      <c r="L42" s="10">
        <f t="shared" si="1"/>
        <v>0</v>
      </c>
      <c r="M42" s="21">
        <v>0</v>
      </c>
      <c r="N42" s="205">
        <f t="shared" si="2"/>
        <v>0</v>
      </c>
      <c r="O42" s="21">
        <v>0</v>
      </c>
      <c r="P42" s="10">
        <f t="shared" si="7"/>
        <v>0</v>
      </c>
      <c r="Q42" s="21">
        <v>0</v>
      </c>
      <c r="R42" s="205">
        <f t="shared" si="3"/>
        <v>0</v>
      </c>
      <c r="S42" s="39">
        <f t="shared" si="11"/>
        <v>152</v>
      </c>
      <c r="T42" s="38">
        <f t="shared" si="4"/>
        <v>2.05504</v>
      </c>
      <c r="U42" s="21">
        <v>0</v>
      </c>
      <c r="V42" s="13">
        <f t="shared" si="8"/>
        <v>0</v>
      </c>
      <c r="W42" s="49">
        <f t="shared" si="9"/>
        <v>152</v>
      </c>
      <c r="X42" s="50">
        <f t="shared" si="10"/>
        <v>2.05504</v>
      </c>
      <c r="Y42" s="238">
        <v>0</v>
      </c>
      <c r="Z42" s="101">
        <v>0</v>
      </c>
    </row>
    <row r="43" spans="1:26" x14ac:dyDescent="0.25">
      <c r="A43" s="264">
        <v>39</v>
      </c>
      <c r="B43" s="256" t="s">
        <v>40</v>
      </c>
      <c r="C43" s="34">
        <v>80</v>
      </c>
      <c r="D43" s="35">
        <v>70</v>
      </c>
      <c r="E43" s="35">
        <v>8</v>
      </c>
      <c r="F43" s="19">
        <f t="shared" si="5"/>
        <v>4.48E-2</v>
      </c>
      <c r="G43" s="23">
        <v>456</v>
      </c>
      <c r="H43" s="26">
        <f t="shared" si="6"/>
        <v>20.428799999999999</v>
      </c>
      <c r="I43" s="21">
        <v>0</v>
      </c>
      <c r="J43" s="205">
        <f t="shared" si="0"/>
        <v>0</v>
      </c>
      <c r="K43" s="21">
        <v>0</v>
      </c>
      <c r="L43" s="10">
        <f t="shared" si="1"/>
        <v>0</v>
      </c>
      <c r="M43" s="21">
        <v>0</v>
      </c>
      <c r="N43" s="205">
        <f t="shared" si="2"/>
        <v>0</v>
      </c>
      <c r="O43" s="21">
        <v>0</v>
      </c>
      <c r="P43" s="10">
        <f t="shared" si="7"/>
        <v>0</v>
      </c>
      <c r="Q43" s="21">
        <v>0</v>
      </c>
      <c r="R43" s="205">
        <f t="shared" si="3"/>
        <v>0</v>
      </c>
      <c r="S43" s="39">
        <f t="shared" si="11"/>
        <v>456</v>
      </c>
      <c r="T43" s="38">
        <f t="shared" si="4"/>
        <v>20.428799999999999</v>
      </c>
      <c r="U43" s="21">
        <v>0</v>
      </c>
      <c r="V43" s="13">
        <f t="shared" si="8"/>
        <v>0</v>
      </c>
      <c r="W43" s="49">
        <f t="shared" si="9"/>
        <v>456</v>
      </c>
      <c r="X43" s="50">
        <f t="shared" si="10"/>
        <v>20.428799999999999</v>
      </c>
      <c r="Y43" s="238">
        <v>50</v>
      </c>
      <c r="Z43" s="101">
        <v>200</v>
      </c>
    </row>
    <row r="44" spans="1:26" x14ac:dyDescent="0.25">
      <c r="A44" s="264">
        <v>40</v>
      </c>
      <c r="B44" s="256" t="s">
        <v>42</v>
      </c>
      <c r="C44" s="34">
        <v>70</v>
      </c>
      <c r="D44" s="35">
        <v>64</v>
      </c>
      <c r="E44" s="35">
        <v>8</v>
      </c>
      <c r="F44" s="19">
        <f t="shared" si="5"/>
        <v>3.5839999999999997E-2</v>
      </c>
      <c r="G44" s="23">
        <f>'ARALIK 4 HAFTA '!W44</f>
        <v>538</v>
      </c>
      <c r="H44" s="26">
        <f t="shared" si="6"/>
        <v>19.28192</v>
      </c>
      <c r="I44" s="21">
        <v>0</v>
      </c>
      <c r="J44" s="205">
        <f t="shared" si="0"/>
        <v>0</v>
      </c>
      <c r="K44" s="21">
        <v>0</v>
      </c>
      <c r="L44" s="10">
        <f t="shared" si="1"/>
        <v>0</v>
      </c>
      <c r="M44" s="21">
        <v>0</v>
      </c>
      <c r="N44" s="205">
        <f t="shared" si="2"/>
        <v>0</v>
      </c>
      <c r="O44" s="21">
        <v>0</v>
      </c>
      <c r="P44" s="10">
        <f t="shared" si="7"/>
        <v>0</v>
      </c>
      <c r="Q44" s="21">
        <v>0</v>
      </c>
      <c r="R44" s="205">
        <f t="shared" si="3"/>
        <v>0</v>
      </c>
      <c r="S44" s="39">
        <f t="shared" si="11"/>
        <v>538</v>
      </c>
      <c r="T44" s="38">
        <f t="shared" si="4"/>
        <v>19.28192</v>
      </c>
      <c r="U44" s="21">
        <v>0</v>
      </c>
      <c r="V44" s="13">
        <f t="shared" si="8"/>
        <v>0</v>
      </c>
      <c r="W44" s="49">
        <f t="shared" si="9"/>
        <v>538</v>
      </c>
      <c r="X44" s="50">
        <f t="shared" si="10"/>
        <v>19.28192</v>
      </c>
      <c r="Y44" s="238">
        <v>50</v>
      </c>
      <c r="Z44" s="101">
        <v>200</v>
      </c>
    </row>
    <row r="45" spans="1:26" x14ac:dyDescent="0.25">
      <c r="A45" s="264">
        <v>41</v>
      </c>
      <c r="B45" s="256" t="s">
        <v>43</v>
      </c>
      <c r="C45" s="34">
        <v>75</v>
      </c>
      <c r="D45" s="35">
        <v>70</v>
      </c>
      <c r="E45" s="35">
        <v>8</v>
      </c>
      <c r="F45" s="19">
        <f t="shared" si="5"/>
        <v>4.2000000000000003E-2</v>
      </c>
      <c r="G45" s="23">
        <v>110</v>
      </c>
      <c r="H45" s="26">
        <f t="shared" si="6"/>
        <v>4.62</v>
      </c>
      <c r="I45" s="21">
        <v>0</v>
      </c>
      <c r="J45" s="205">
        <f t="shared" si="0"/>
        <v>0</v>
      </c>
      <c r="K45" s="21">
        <v>0</v>
      </c>
      <c r="L45" s="10">
        <f t="shared" si="1"/>
        <v>0</v>
      </c>
      <c r="M45" s="21">
        <v>0</v>
      </c>
      <c r="N45" s="205">
        <f t="shared" si="2"/>
        <v>0</v>
      </c>
      <c r="O45" s="21">
        <v>0</v>
      </c>
      <c r="P45" s="10">
        <f t="shared" si="7"/>
        <v>0</v>
      </c>
      <c r="Q45" s="21">
        <v>0</v>
      </c>
      <c r="R45" s="205">
        <f t="shared" si="3"/>
        <v>0</v>
      </c>
      <c r="S45" s="39">
        <f t="shared" si="11"/>
        <v>110</v>
      </c>
      <c r="T45" s="38">
        <f t="shared" si="4"/>
        <v>4.62</v>
      </c>
      <c r="U45" s="21">
        <v>0</v>
      </c>
      <c r="V45" s="13">
        <f t="shared" si="8"/>
        <v>0</v>
      </c>
      <c r="W45" s="49">
        <f t="shared" si="9"/>
        <v>110</v>
      </c>
      <c r="X45" s="50">
        <f t="shared" si="10"/>
        <v>4.62</v>
      </c>
      <c r="Y45" s="238">
        <v>50</v>
      </c>
      <c r="Z45" s="101">
        <v>200</v>
      </c>
    </row>
    <row r="46" spans="1:26" x14ac:dyDescent="0.25">
      <c r="A46" s="264">
        <v>42</v>
      </c>
      <c r="B46" s="256" t="s">
        <v>119</v>
      </c>
      <c r="C46" s="34">
        <v>143</v>
      </c>
      <c r="D46" s="35">
        <v>66</v>
      </c>
      <c r="E46" s="35">
        <v>5</v>
      </c>
      <c r="F46" s="19">
        <f t="shared" si="5"/>
        <v>4.7190000000000003E-2</v>
      </c>
      <c r="G46" s="23">
        <v>263</v>
      </c>
      <c r="H46" s="26">
        <f t="shared" si="6"/>
        <v>12.410970000000001</v>
      </c>
      <c r="I46" s="21">
        <v>21</v>
      </c>
      <c r="J46" s="205">
        <f t="shared" si="0"/>
        <v>0.99099000000000004</v>
      </c>
      <c r="K46" s="21">
        <v>14</v>
      </c>
      <c r="L46" s="10">
        <f t="shared" si="1"/>
        <v>0.66066000000000003</v>
      </c>
      <c r="M46" s="21">
        <v>5</v>
      </c>
      <c r="N46" s="205">
        <f t="shared" si="2"/>
        <v>0.23595000000000002</v>
      </c>
      <c r="O46" s="21">
        <v>24</v>
      </c>
      <c r="P46" s="10">
        <f t="shared" si="7"/>
        <v>1.13256</v>
      </c>
      <c r="Q46" s="21">
        <v>0</v>
      </c>
      <c r="R46" s="205">
        <f t="shared" si="3"/>
        <v>0</v>
      </c>
      <c r="S46" s="39">
        <f t="shared" si="11"/>
        <v>199</v>
      </c>
      <c r="T46" s="38">
        <f t="shared" si="4"/>
        <v>9.3908100000000001</v>
      </c>
      <c r="U46" s="21">
        <v>0</v>
      </c>
      <c r="V46" s="13">
        <f t="shared" si="8"/>
        <v>0</v>
      </c>
      <c r="W46" s="49">
        <f t="shared" si="9"/>
        <v>199</v>
      </c>
      <c r="X46" s="50">
        <f t="shared" si="10"/>
        <v>9.3908100000000001</v>
      </c>
      <c r="Y46" s="238">
        <v>50</v>
      </c>
      <c r="Z46" s="101">
        <v>100</v>
      </c>
    </row>
    <row r="47" spans="1:26" x14ac:dyDescent="0.25">
      <c r="A47" s="264">
        <v>43</v>
      </c>
      <c r="B47" s="256" t="s">
        <v>45</v>
      </c>
      <c r="C47" s="34">
        <v>80</v>
      </c>
      <c r="D47" s="35">
        <v>63</v>
      </c>
      <c r="E47" s="35">
        <v>5</v>
      </c>
      <c r="F47" s="19">
        <f t="shared" si="5"/>
        <v>2.52E-2</v>
      </c>
      <c r="G47" s="23">
        <f>'ARALIK 4 HAFTA '!W47</f>
        <v>315</v>
      </c>
      <c r="H47" s="26">
        <f t="shared" si="6"/>
        <v>7.9379999999999997</v>
      </c>
      <c r="I47" s="21">
        <v>0</v>
      </c>
      <c r="J47" s="205">
        <f t="shared" si="0"/>
        <v>0</v>
      </c>
      <c r="K47" s="21">
        <v>0</v>
      </c>
      <c r="L47" s="10">
        <f t="shared" si="1"/>
        <v>0</v>
      </c>
      <c r="M47" s="21">
        <v>0</v>
      </c>
      <c r="N47" s="205">
        <f t="shared" si="2"/>
        <v>0</v>
      </c>
      <c r="O47" s="21">
        <v>0</v>
      </c>
      <c r="P47" s="10">
        <f t="shared" si="7"/>
        <v>0</v>
      </c>
      <c r="Q47" s="21">
        <v>0</v>
      </c>
      <c r="R47" s="205">
        <f t="shared" si="3"/>
        <v>0</v>
      </c>
      <c r="S47" s="39">
        <f t="shared" si="11"/>
        <v>315</v>
      </c>
      <c r="T47" s="38">
        <f t="shared" si="4"/>
        <v>7.9379999999999997</v>
      </c>
      <c r="U47" s="21">
        <v>0</v>
      </c>
      <c r="V47" s="13">
        <f t="shared" si="8"/>
        <v>0</v>
      </c>
      <c r="W47" s="49">
        <f t="shared" si="9"/>
        <v>315</v>
      </c>
      <c r="X47" s="50">
        <f t="shared" si="10"/>
        <v>7.9379999999999997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46</v>
      </c>
      <c r="C48" s="34">
        <v>77</v>
      </c>
      <c r="D48" s="35">
        <v>68</v>
      </c>
      <c r="E48" s="35">
        <v>8</v>
      </c>
      <c r="F48" s="19">
        <f t="shared" si="5"/>
        <v>4.1888000000000002E-2</v>
      </c>
      <c r="G48" s="23">
        <v>130</v>
      </c>
      <c r="H48" s="26">
        <f t="shared" si="6"/>
        <v>5.4454400000000005</v>
      </c>
      <c r="I48" s="21">
        <v>0</v>
      </c>
      <c r="J48" s="205">
        <f t="shared" si="0"/>
        <v>0</v>
      </c>
      <c r="K48" s="21">
        <v>0</v>
      </c>
      <c r="L48" s="10">
        <f t="shared" si="1"/>
        <v>0</v>
      </c>
      <c r="M48" s="21">
        <v>0</v>
      </c>
      <c r="N48" s="205">
        <f t="shared" si="2"/>
        <v>0</v>
      </c>
      <c r="O48" s="21">
        <v>0</v>
      </c>
      <c r="P48" s="10">
        <f t="shared" si="7"/>
        <v>0</v>
      </c>
      <c r="Q48" s="21">
        <v>0</v>
      </c>
      <c r="R48" s="205">
        <f t="shared" si="3"/>
        <v>0</v>
      </c>
      <c r="S48" s="39">
        <f t="shared" si="11"/>
        <v>130</v>
      </c>
      <c r="T48" s="38">
        <f t="shared" si="4"/>
        <v>5.4454400000000005</v>
      </c>
      <c r="U48" s="21">
        <v>0</v>
      </c>
      <c r="V48" s="13">
        <f t="shared" si="8"/>
        <v>0</v>
      </c>
      <c r="W48" s="49">
        <f t="shared" si="9"/>
        <v>130</v>
      </c>
      <c r="X48" s="50">
        <f t="shared" si="10"/>
        <v>5.4454400000000005</v>
      </c>
      <c r="Y48" s="238">
        <v>50</v>
      </c>
      <c r="Z48" s="101">
        <v>200</v>
      </c>
    </row>
    <row r="49" spans="1:26" x14ac:dyDescent="0.25">
      <c r="A49" s="264">
        <v>45</v>
      </c>
      <c r="B49" s="256" t="s">
        <v>47</v>
      </c>
      <c r="C49" s="34">
        <v>79</v>
      </c>
      <c r="D49" s="35">
        <v>79</v>
      </c>
      <c r="E49" s="35">
        <v>2</v>
      </c>
      <c r="F49" s="19">
        <f t="shared" si="5"/>
        <v>1.2482E-2</v>
      </c>
      <c r="G49" s="23">
        <f>'ARALIK 4 HAFTA '!W49</f>
        <v>244</v>
      </c>
      <c r="H49" s="26">
        <f t="shared" si="6"/>
        <v>3.0456080000000001</v>
      </c>
      <c r="I49" s="21">
        <v>0</v>
      </c>
      <c r="J49" s="205">
        <f t="shared" si="0"/>
        <v>0</v>
      </c>
      <c r="K49" s="21">
        <v>0</v>
      </c>
      <c r="L49" s="10">
        <f t="shared" si="1"/>
        <v>0</v>
      </c>
      <c r="M49" s="21">
        <v>0</v>
      </c>
      <c r="N49" s="205">
        <f t="shared" si="2"/>
        <v>0</v>
      </c>
      <c r="O49" s="21">
        <v>0</v>
      </c>
      <c r="P49" s="10">
        <f t="shared" si="7"/>
        <v>0</v>
      </c>
      <c r="Q49" s="21">
        <v>0</v>
      </c>
      <c r="R49" s="205">
        <f t="shared" si="3"/>
        <v>0</v>
      </c>
      <c r="S49" s="39">
        <f t="shared" si="11"/>
        <v>244</v>
      </c>
      <c r="T49" s="38">
        <f t="shared" si="4"/>
        <v>3.0456080000000001</v>
      </c>
      <c r="U49" s="21">
        <v>0</v>
      </c>
      <c r="V49" s="13">
        <f t="shared" si="8"/>
        <v>0</v>
      </c>
      <c r="W49" s="49">
        <f t="shared" si="9"/>
        <v>244</v>
      </c>
      <c r="X49" s="50">
        <f t="shared" si="10"/>
        <v>3.0456080000000001</v>
      </c>
      <c r="Y49" s="238">
        <v>100</v>
      </c>
      <c r="Z49" s="101">
        <v>300</v>
      </c>
    </row>
    <row r="50" spans="1:26" x14ac:dyDescent="0.25">
      <c r="A50" s="264">
        <v>46</v>
      </c>
      <c r="B50" s="256" t="s">
        <v>48</v>
      </c>
      <c r="C50" s="34">
        <v>61</v>
      </c>
      <c r="D50" s="35">
        <v>56</v>
      </c>
      <c r="E50" s="35">
        <v>10</v>
      </c>
      <c r="F50" s="19">
        <f t="shared" si="5"/>
        <v>3.4160000000000003E-2</v>
      </c>
      <c r="G50" s="23">
        <f>'ARALIK 4 HAFTA '!W50</f>
        <v>108</v>
      </c>
      <c r="H50" s="26">
        <f t="shared" si="6"/>
        <v>3.6892800000000001</v>
      </c>
      <c r="I50" s="21">
        <v>0</v>
      </c>
      <c r="J50" s="205">
        <f t="shared" si="0"/>
        <v>0</v>
      </c>
      <c r="K50" s="21">
        <v>0</v>
      </c>
      <c r="L50" s="10">
        <f t="shared" si="1"/>
        <v>0</v>
      </c>
      <c r="M50" s="21">
        <v>0</v>
      </c>
      <c r="N50" s="205">
        <f t="shared" si="2"/>
        <v>0</v>
      </c>
      <c r="O50" s="21">
        <v>0</v>
      </c>
      <c r="P50" s="10">
        <f t="shared" si="7"/>
        <v>0</v>
      </c>
      <c r="Q50" s="21">
        <v>0</v>
      </c>
      <c r="R50" s="205">
        <f t="shared" si="3"/>
        <v>0</v>
      </c>
      <c r="S50" s="39">
        <f t="shared" si="11"/>
        <v>108</v>
      </c>
      <c r="T50" s="38">
        <f t="shared" si="4"/>
        <v>3.6892800000000001</v>
      </c>
      <c r="U50" s="21">
        <v>0</v>
      </c>
      <c r="V50" s="13">
        <f t="shared" si="8"/>
        <v>0</v>
      </c>
      <c r="W50" s="49">
        <f t="shared" si="9"/>
        <v>108</v>
      </c>
      <c r="X50" s="50">
        <f t="shared" si="10"/>
        <v>3.6892800000000001</v>
      </c>
      <c r="Y50" s="238">
        <v>30</v>
      </c>
      <c r="Z50" s="101">
        <v>100</v>
      </c>
    </row>
    <row r="51" spans="1:26" x14ac:dyDescent="0.25">
      <c r="A51" s="264">
        <v>47</v>
      </c>
      <c r="B51" s="256" t="s">
        <v>49</v>
      </c>
      <c r="C51" s="34">
        <v>66</v>
      </c>
      <c r="D51" s="35">
        <v>61</v>
      </c>
      <c r="E51" s="35">
        <v>10</v>
      </c>
      <c r="F51" s="19">
        <f t="shared" si="5"/>
        <v>4.0259999999999997E-2</v>
      </c>
      <c r="G51" s="23">
        <f>'ARALIK 4 HAFTA '!W51</f>
        <v>96</v>
      </c>
      <c r="H51" s="26">
        <f t="shared" si="6"/>
        <v>3.86496</v>
      </c>
      <c r="I51" s="21">
        <v>0</v>
      </c>
      <c r="J51" s="205">
        <f t="shared" si="0"/>
        <v>0</v>
      </c>
      <c r="K51" s="21">
        <v>0</v>
      </c>
      <c r="L51" s="10">
        <f t="shared" si="1"/>
        <v>0</v>
      </c>
      <c r="M51" s="21">
        <v>0</v>
      </c>
      <c r="N51" s="205">
        <f t="shared" si="2"/>
        <v>0</v>
      </c>
      <c r="O51" s="21">
        <v>0</v>
      </c>
      <c r="P51" s="10">
        <f t="shared" si="7"/>
        <v>0</v>
      </c>
      <c r="Q51" s="21">
        <v>0</v>
      </c>
      <c r="R51" s="205">
        <f t="shared" si="3"/>
        <v>0</v>
      </c>
      <c r="S51" s="39">
        <f t="shared" si="11"/>
        <v>96</v>
      </c>
      <c r="T51" s="38">
        <f t="shared" si="4"/>
        <v>3.86496</v>
      </c>
      <c r="U51" s="21">
        <v>0</v>
      </c>
      <c r="V51" s="13">
        <f t="shared" si="8"/>
        <v>0</v>
      </c>
      <c r="W51" s="49">
        <f t="shared" si="9"/>
        <v>96</v>
      </c>
      <c r="X51" s="50">
        <f t="shared" si="10"/>
        <v>3.86496</v>
      </c>
      <c r="Y51" s="238">
        <v>30</v>
      </c>
      <c r="Z51" s="101">
        <v>100</v>
      </c>
    </row>
    <row r="52" spans="1:26" x14ac:dyDescent="0.25">
      <c r="A52" s="264">
        <v>48</v>
      </c>
      <c r="B52" s="256" t="s">
        <v>50</v>
      </c>
      <c r="C52" s="34">
        <v>63</v>
      </c>
      <c r="D52" s="35">
        <v>61</v>
      </c>
      <c r="E52" s="35">
        <v>10</v>
      </c>
      <c r="F52" s="19">
        <f t="shared" si="5"/>
        <v>3.8429999999999999E-2</v>
      </c>
      <c r="G52" s="23">
        <f>'ARALIK 4 HAFTA '!W52</f>
        <v>0</v>
      </c>
      <c r="H52" s="26">
        <f t="shared" si="6"/>
        <v>0</v>
      </c>
      <c r="I52" s="21">
        <v>0</v>
      </c>
      <c r="J52" s="205">
        <f t="shared" si="0"/>
        <v>0</v>
      </c>
      <c r="K52" s="21">
        <v>0</v>
      </c>
      <c r="L52" s="10">
        <f t="shared" si="1"/>
        <v>0</v>
      </c>
      <c r="M52" s="21">
        <v>0</v>
      </c>
      <c r="N52" s="205">
        <f t="shared" si="2"/>
        <v>0</v>
      </c>
      <c r="O52" s="21">
        <v>0</v>
      </c>
      <c r="P52" s="10">
        <f t="shared" si="7"/>
        <v>0</v>
      </c>
      <c r="Q52" s="21">
        <v>0</v>
      </c>
      <c r="R52" s="205">
        <f t="shared" si="3"/>
        <v>0</v>
      </c>
      <c r="S52" s="39">
        <f t="shared" si="11"/>
        <v>0</v>
      </c>
      <c r="T52" s="38">
        <f t="shared" si="4"/>
        <v>0</v>
      </c>
      <c r="U52" s="21">
        <v>0</v>
      </c>
      <c r="V52" s="13">
        <f t="shared" si="8"/>
        <v>0</v>
      </c>
      <c r="W52" s="49">
        <f t="shared" si="9"/>
        <v>0</v>
      </c>
      <c r="X52" s="50">
        <f t="shared" si="10"/>
        <v>0</v>
      </c>
      <c r="Y52" s="238">
        <v>30</v>
      </c>
      <c r="Z52" s="101">
        <v>100</v>
      </c>
    </row>
    <row r="53" spans="1:26" x14ac:dyDescent="0.25">
      <c r="A53" s="264">
        <v>49</v>
      </c>
      <c r="B53" s="256" t="s">
        <v>51</v>
      </c>
      <c r="C53" s="34">
        <v>58</v>
      </c>
      <c r="D53" s="35">
        <v>58</v>
      </c>
      <c r="E53" s="35">
        <v>2.2999999999999998</v>
      </c>
      <c r="F53" s="19">
        <f t="shared" si="5"/>
        <v>7.7371999999999996E-3</v>
      </c>
      <c r="G53" s="23">
        <f>'ARALIK 4 HAFTA '!W53</f>
        <v>3094</v>
      </c>
      <c r="H53" s="26">
        <f t="shared" si="6"/>
        <v>23.938896799999998</v>
      </c>
      <c r="I53" s="21">
        <v>70</v>
      </c>
      <c r="J53" s="205">
        <f t="shared" si="0"/>
        <v>0.54160399999999997</v>
      </c>
      <c r="K53" s="21">
        <v>0</v>
      </c>
      <c r="L53" s="10">
        <f t="shared" si="1"/>
        <v>0</v>
      </c>
      <c r="M53" s="21">
        <v>0</v>
      </c>
      <c r="N53" s="205">
        <f t="shared" si="2"/>
        <v>0</v>
      </c>
      <c r="O53" s="21">
        <v>5</v>
      </c>
      <c r="P53" s="10">
        <f t="shared" si="7"/>
        <v>3.8685999999999998E-2</v>
      </c>
      <c r="Q53" s="21">
        <v>0</v>
      </c>
      <c r="R53" s="205">
        <f t="shared" si="3"/>
        <v>0</v>
      </c>
      <c r="S53" s="39">
        <f t="shared" si="11"/>
        <v>3019</v>
      </c>
      <c r="T53" s="38">
        <f t="shared" si="4"/>
        <v>23.3586068</v>
      </c>
      <c r="U53" s="21">
        <v>0</v>
      </c>
      <c r="V53" s="13">
        <f t="shared" si="8"/>
        <v>0</v>
      </c>
      <c r="W53" s="49">
        <f t="shared" si="9"/>
        <v>3019</v>
      </c>
      <c r="X53" s="50">
        <f t="shared" si="10"/>
        <v>23.3586068</v>
      </c>
      <c r="Y53" s="238">
        <v>200</v>
      </c>
      <c r="Z53" s="101">
        <v>500</v>
      </c>
    </row>
    <row r="54" spans="1:26" x14ac:dyDescent="0.25">
      <c r="A54" s="264">
        <v>50</v>
      </c>
      <c r="B54" s="256" t="s">
        <v>52</v>
      </c>
      <c r="C54" s="34">
        <v>79</v>
      </c>
      <c r="D54" s="35">
        <v>62</v>
      </c>
      <c r="E54" s="35">
        <v>2.2999999999999998</v>
      </c>
      <c r="F54" s="19">
        <f t="shared" si="5"/>
        <v>1.12654E-2</v>
      </c>
      <c r="G54" s="23">
        <f>'ARALIK 4 HAFTA '!W54</f>
        <v>3185</v>
      </c>
      <c r="H54" s="26">
        <f t="shared" si="6"/>
        <v>35.880299000000001</v>
      </c>
      <c r="I54" s="21">
        <v>63</v>
      </c>
      <c r="J54" s="205">
        <f t="shared" si="0"/>
        <v>0.70972020000000002</v>
      </c>
      <c r="K54" s="21">
        <v>0</v>
      </c>
      <c r="L54" s="10">
        <f t="shared" si="1"/>
        <v>0</v>
      </c>
      <c r="M54" s="21">
        <v>0</v>
      </c>
      <c r="N54" s="205">
        <f t="shared" si="2"/>
        <v>0</v>
      </c>
      <c r="O54" s="21">
        <v>0</v>
      </c>
      <c r="P54" s="10">
        <f t="shared" si="7"/>
        <v>0</v>
      </c>
      <c r="Q54" s="21">
        <v>0</v>
      </c>
      <c r="R54" s="205">
        <f t="shared" si="3"/>
        <v>0</v>
      </c>
      <c r="S54" s="39">
        <f t="shared" si="11"/>
        <v>3122</v>
      </c>
      <c r="T54" s="38">
        <f t="shared" si="4"/>
        <v>35.170578800000001</v>
      </c>
      <c r="U54" s="21">
        <v>0</v>
      </c>
      <c r="V54" s="13">
        <f t="shared" si="8"/>
        <v>0</v>
      </c>
      <c r="W54" s="49">
        <f t="shared" si="9"/>
        <v>3122</v>
      </c>
      <c r="X54" s="50">
        <f t="shared" si="10"/>
        <v>35.170578800000001</v>
      </c>
      <c r="Y54" s="238">
        <v>100</v>
      </c>
      <c r="Z54" s="101">
        <v>300</v>
      </c>
    </row>
    <row r="55" spans="1:26" x14ac:dyDescent="0.25">
      <c r="A55" s="264">
        <v>51</v>
      </c>
      <c r="B55" s="256" t="s">
        <v>53</v>
      </c>
      <c r="C55" s="34">
        <v>200</v>
      </c>
      <c r="D55" s="35">
        <v>176</v>
      </c>
      <c r="E55" s="35">
        <v>2.2999999999999998</v>
      </c>
      <c r="F55" s="19">
        <f t="shared" si="5"/>
        <v>8.0960000000000004E-2</v>
      </c>
      <c r="G55" s="23">
        <f>'ARALIK 4 HAFTA '!W55</f>
        <v>1</v>
      </c>
      <c r="H55" s="26">
        <f t="shared" si="6"/>
        <v>8.0960000000000004E-2</v>
      </c>
      <c r="I55" s="21">
        <v>0</v>
      </c>
      <c r="J55" s="205">
        <f t="shared" si="0"/>
        <v>0</v>
      </c>
      <c r="K55" s="21">
        <v>0</v>
      </c>
      <c r="L55" s="10">
        <f t="shared" si="1"/>
        <v>0</v>
      </c>
      <c r="M55" s="21">
        <v>0</v>
      </c>
      <c r="N55" s="205">
        <f t="shared" si="2"/>
        <v>0</v>
      </c>
      <c r="O55" s="21">
        <v>0</v>
      </c>
      <c r="P55" s="10">
        <f t="shared" si="7"/>
        <v>0</v>
      </c>
      <c r="Q55" s="21">
        <v>0</v>
      </c>
      <c r="R55" s="205">
        <f t="shared" si="3"/>
        <v>0</v>
      </c>
      <c r="S55" s="39">
        <f t="shared" si="11"/>
        <v>1</v>
      </c>
      <c r="T55" s="38">
        <f t="shared" si="4"/>
        <v>8.0960000000000004E-2</v>
      </c>
      <c r="U55" s="21">
        <v>0</v>
      </c>
      <c r="V55" s="13">
        <f t="shared" si="8"/>
        <v>0</v>
      </c>
      <c r="W55" s="49">
        <f t="shared" si="9"/>
        <v>1</v>
      </c>
      <c r="X55" s="50">
        <f t="shared" si="10"/>
        <v>8.0960000000000004E-2</v>
      </c>
      <c r="Y55" s="238">
        <v>0</v>
      </c>
      <c r="Z55" s="101">
        <v>0</v>
      </c>
    </row>
    <row r="56" spans="1:26" x14ac:dyDescent="0.25">
      <c r="A56" s="264">
        <v>52</v>
      </c>
      <c r="B56" s="256" t="s">
        <v>122</v>
      </c>
      <c r="C56" s="34">
        <v>79</v>
      </c>
      <c r="D56" s="35">
        <v>79</v>
      </c>
      <c r="E56" s="35">
        <v>2.2999999999999998</v>
      </c>
      <c r="F56" s="19">
        <f t="shared" si="5"/>
        <v>1.4354299999999999E-2</v>
      </c>
      <c r="G56" s="23">
        <f>'ARALIK 4 HAFTA '!W56</f>
        <v>3564</v>
      </c>
      <c r="H56" s="26">
        <f t="shared" si="6"/>
        <v>51.158725199999992</v>
      </c>
      <c r="I56" s="21">
        <v>0</v>
      </c>
      <c r="J56" s="205">
        <f t="shared" si="0"/>
        <v>0</v>
      </c>
      <c r="K56" s="21">
        <v>0</v>
      </c>
      <c r="L56" s="10">
        <f t="shared" si="1"/>
        <v>0</v>
      </c>
      <c r="M56" s="21">
        <v>0</v>
      </c>
      <c r="N56" s="205">
        <f t="shared" si="2"/>
        <v>0</v>
      </c>
      <c r="O56" s="21">
        <v>0</v>
      </c>
      <c r="P56" s="10">
        <f t="shared" si="7"/>
        <v>0</v>
      </c>
      <c r="Q56" s="21">
        <v>0</v>
      </c>
      <c r="R56" s="205">
        <f t="shared" si="3"/>
        <v>0</v>
      </c>
      <c r="S56" s="39">
        <f t="shared" si="11"/>
        <v>3564</v>
      </c>
      <c r="T56" s="38">
        <f t="shared" si="4"/>
        <v>51.158725199999992</v>
      </c>
      <c r="U56" s="21">
        <v>0</v>
      </c>
      <c r="V56" s="13">
        <f t="shared" si="8"/>
        <v>0</v>
      </c>
      <c r="W56" s="49">
        <f t="shared" si="9"/>
        <v>3564</v>
      </c>
      <c r="X56" s="50">
        <f t="shared" si="10"/>
        <v>51.158725199999992</v>
      </c>
      <c r="Y56" s="238">
        <v>300</v>
      </c>
      <c r="Z56" s="101">
        <v>1000</v>
      </c>
    </row>
    <row r="57" spans="1:26" ht="15.75" x14ac:dyDescent="0.25">
      <c r="A57" s="264">
        <v>53</v>
      </c>
      <c r="B57" s="256" t="s">
        <v>55</v>
      </c>
      <c r="C57" s="111">
        <v>50</v>
      </c>
      <c r="D57" s="112">
        <v>45</v>
      </c>
      <c r="E57" s="112">
        <v>4</v>
      </c>
      <c r="F57" s="19">
        <f t="shared" si="5"/>
        <v>8.9999999999999993E-3</v>
      </c>
      <c r="G57" s="23">
        <f>'ARALIK 4 HAFTA '!W57</f>
        <v>184</v>
      </c>
      <c r="H57" s="26">
        <f t="shared" si="6"/>
        <v>1.6559999999999999</v>
      </c>
      <c r="I57" s="21">
        <v>0</v>
      </c>
      <c r="J57" s="205">
        <f t="shared" si="0"/>
        <v>0</v>
      </c>
      <c r="K57" s="21">
        <v>0</v>
      </c>
      <c r="L57" s="10">
        <f t="shared" si="1"/>
        <v>0</v>
      </c>
      <c r="M57" s="21">
        <v>0</v>
      </c>
      <c r="N57" s="205">
        <f t="shared" si="2"/>
        <v>0</v>
      </c>
      <c r="O57" s="21">
        <v>0</v>
      </c>
      <c r="P57" s="10">
        <f t="shared" si="7"/>
        <v>0</v>
      </c>
      <c r="Q57" s="21">
        <v>0</v>
      </c>
      <c r="R57" s="205">
        <f t="shared" si="3"/>
        <v>0</v>
      </c>
      <c r="S57" s="39">
        <f t="shared" si="11"/>
        <v>184</v>
      </c>
      <c r="T57" s="38">
        <f t="shared" si="4"/>
        <v>1.6559999999999999</v>
      </c>
      <c r="U57" s="21">
        <v>0</v>
      </c>
      <c r="V57" s="13">
        <f t="shared" si="8"/>
        <v>0</v>
      </c>
      <c r="W57" s="49">
        <f t="shared" si="9"/>
        <v>184</v>
      </c>
      <c r="X57" s="50">
        <f t="shared" si="10"/>
        <v>1.6559999999999999</v>
      </c>
      <c r="Y57" s="238">
        <v>300</v>
      </c>
      <c r="Z57" s="101">
        <v>1000</v>
      </c>
    </row>
    <row r="58" spans="1:26" ht="15.75" x14ac:dyDescent="0.25">
      <c r="A58" s="264">
        <v>54</v>
      </c>
      <c r="B58" s="256" t="s">
        <v>56</v>
      </c>
      <c r="C58" s="111">
        <v>50</v>
      </c>
      <c r="D58" s="112">
        <v>35</v>
      </c>
      <c r="E58" s="112">
        <v>4</v>
      </c>
      <c r="F58" s="19">
        <f t="shared" si="5"/>
        <v>7.0000000000000001E-3</v>
      </c>
      <c r="G58" s="23">
        <f>'ARALIK 4 HAFTA '!W58</f>
        <v>323</v>
      </c>
      <c r="H58" s="26">
        <f t="shared" si="6"/>
        <v>2.2610000000000001</v>
      </c>
      <c r="I58" s="21">
        <v>0</v>
      </c>
      <c r="J58" s="205">
        <f t="shared" si="0"/>
        <v>0</v>
      </c>
      <c r="K58" s="21">
        <v>0</v>
      </c>
      <c r="L58" s="10">
        <f t="shared" si="1"/>
        <v>0</v>
      </c>
      <c r="M58" s="21">
        <v>0</v>
      </c>
      <c r="N58" s="205">
        <f t="shared" si="2"/>
        <v>0</v>
      </c>
      <c r="O58" s="21">
        <v>0</v>
      </c>
      <c r="P58" s="10">
        <f t="shared" si="7"/>
        <v>0</v>
      </c>
      <c r="Q58" s="21">
        <v>0</v>
      </c>
      <c r="R58" s="205">
        <f t="shared" si="3"/>
        <v>0</v>
      </c>
      <c r="S58" s="39">
        <f t="shared" si="11"/>
        <v>323</v>
      </c>
      <c r="T58" s="38">
        <f t="shared" si="4"/>
        <v>2.2610000000000001</v>
      </c>
      <c r="U58" s="21">
        <v>0</v>
      </c>
      <c r="V58" s="13">
        <f t="shared" si="8"/>
        <v>0</v>
      </c>
      <c r="W58" s="49">
        <f t="shared" si="9"/>
        <v>323</v>
      </c>
      <c r="X58" s="50">
        <f t="shared" si="10"/>
        <v>2.2610000000000001</v>
      </c>
      <c r="Y58" s="238">
        <v>500</v>
      </c>
      <c r="Z58" s="101">
        <v>1500</v>
      </c>
    </row>
    <row r="59" spans="1:26" ht="15.75" x14ac:dyDescent="0.25">
      <c r="A59" s="264">
        <v>55</v>
      </c>
      <c r="B59" s="256" t="s">
        <v>57</v>
      </c>
      <c r="C59" s="111">
        <v>45</v>
      </c>
      <c r="D59" s="112">
        <v>50</v>
      </c>
      <c r="E59" s="112">
        <v>3</v>
      </c>
      <c r="F59" s="19">
        <f t="shared" si="5"/>
        <v>6.7499999999999999E-3</v>
      </c>
      <c r="G59" s="23">
        <v>160</v>
      </c>
      <c r="H59" s="26">
        <f t="shared" si="6"/>
        <v>1.08</v>
      </c>
      <c r="I59" s="21">
        <v>0</v>
      </c>
      <c r="J59" s="205">
        <f t="shared" si="0"/>
        <v>0</v>
      </c>
      <c r="K59" s="21">
        <v>0</v>
      </c>
      <c r="L59" s="10">
        <f t="shared" si="1"/>
        <v>0</v>
      </c>
      <c r="M59" s="21">
        <v>160</v>
      </c>
      <c r="N59" s="205">
        <f t="shared" si="2"/>
        <v>1.08</v>
      </c>
      <c r="O59" s="21">
        <v>0</v>
      </c>
      <c r="P59" s="10">
        <f t="shared" si="7"/>
        <v>0</v>
      </c>
      <c r="Q59" s="21">
        <v>0</v>
      </c>
      <c r="R59" s="205">
        <f t="shared" si="3"/>
        <v>0</v>
      </c>
      <c r="S59" s="39">
        <f t="shared" si="11"/>
        <v>0</v>
      </c>
      <c r="T59" s="38">
        <f t="shared" si="4"/>
        <v>0</v>
      </c>
      <c r="U59" s="21">
        <v>0</v>
      </c>
      <c r="V59" s="13">
        <f t="shared" si="8"/>
        <v>0</v>
      </c>
      <c r="W59" s="49">
        <f t="shared" si="9"/>
        <v>0</v>
      </c>
      <c r="X59" s="50">
        <f t="shared" si="10"/>
        <v>0</v>
      </c>
      <c r="Y59" s="238">
        <v>500</v>
      </c>
      <c r="Z59" s="101">
        <v>1500</v>
      </c>
    </row>
    <row r="60" spans="1:26" ht="15.75" x14ac:dyDescent="0.25">
      <c r="A60" s="264">
        <v>56</v>
      </c>
      <c r="B60" s="256" t="s">
        <v>58</v>
      </c>
      <c r="C60" s="111">
        <v>50</v>
      </c>
      <c r="D60" s="112">
        <v>35</v>
      </c>
      <c r="E60" s="112">
        <v>3</v>
      </c>
      <c r="F60" s="19">
        <f t="shared" si="5"/>
        <v>5.2500000000000003E-3</v>
      </c>
      <c r="G60" s="23">
        <f>'ARALIK 4 HAFTA '!W60</f>
        <v>0</v>
      </c>
      <c r="H60" s="26">
        <f t="shared" si="6"/>
        <v>0</v>
      </c>
      <c r="I60" s="21">
        <v>0</v>
      </c>
      <c r="J60" s="205">
        <f t="shared" si="0"/>
        <v>0</v>
      </c>
      <c r="K60" s="21">
        <v>0</v>
      </c>
      <c r="L60" s="10">
        <f t="shared" si="1"/>
        <v>0</v>
      </c>
      <c r="M60" s="21">
        <v>0</v>
      </c>
      <c r="N60" s="205">
        <f t="shared" si="2"/>
        <v>0</v>
      </c>
      <c r="O60" s="21">
        <v>0</v>
      </c>
      <c r="P60" s="10">
        <f t="shared" si="7"/>
        <v>0</v>
      </c>
      <c r="Q60" s="21">
        <v>0</v>
      </c>
      <c r="R60" s="205">
        <f t="shared" si="3"/>
        <v>0</v>
      </c>
      <c r="S60" s="39">
        <f t="shared" si="11"/>
        <v>0</v>
      </c>
      <c r="T60" s="38">
        <f t="shared" si="4"/>
        <v>0</v>
      </c>
      <c r="U60" s="21">
        <v>0</v>
      </c>
      <c r="V60" s="13">
        <f t="shared" si="8"/>
        <v>0</v>
      </c>
      <c r="W60" s="49">
        <f t="shared" si="9"/>
        <v>0</v>
      </c>
      <c r="X60" s="50">
        <f t="shared" si="10"/>
        <v>0</v>
      </c>
      <c r="Y60" s="238">
        <v>0</v>
      </c>
      <c r="Z60" s="101">
        <v>0</v>
      </c>
    </row>
    <row r="61" spans="1:26" ht="15.75" x14ac:dyDescent="0.25">
      <c r="A61" s="264">
        <v>57</v>
      </c>
      <c r="B61" s="256" t="s">
        <v>59</v>
      </c>
      <c r="C61" s="111">
        <v>42</v>
      </c>
      <c r="D61" s="112">
        <v>36</v>
      </c>
      <c r="E61" s="112">
        <v>4</v>
      </c>
      <c r="F61" s="19">
        <f t="shared" si="5"/>
        <v>6.0480000000000004E-3</v>
      </c>
      <c r="G61" s="23">
        <f>'ARALIK 4 HAFTA '!W61</f>
        <v>0</v>
      </c>
      <c r="H61" s="26">
        <f t="shared" si="6"/>
        <v>0</v>
      </c>
      <c r="I61" s="21">
        <v>0</v>
      </c>
      <c r="J61" s="205">
        <f t="shared" si="0"/>
        <v>0</v>
      </c>
      <c r="K61" s="21">
        <v>0</v>
      </c>
      <c r="L61" s="10">
        <f t="shared" si="1"/>
        <v>0</v>
      </c>
      <c r="M61" s="21">
        <v>0</v>
      </c>
      <c r="N61" s="205">
        <f t="shared" si="2"/>
        <v>0</v>
      </c>
      <c r="O61" s="21">
        <v>0</v>
      </c>
      <c r="P61" s="10">
        <f t="shared" si="7"/>
        <v>0</v>
      </c>
      <c r="Q61" s="21">
        <v>0</v>
      </c>
      <c r="R61" s="205">
        <f t="shared" si="3"/>
        <v>0</v>
      </c>
      <c r="S61" s="97">
        <f t="shared" si="11"/>
        <v>0</v>
      </c>
      <c r="T61" s="38">
        <f t="shared" si="4"/>
        <v>0</v>
      </c>
      <c r="U61" s="21">
        <v>0</v>
      </c>
      <c r="V61" s="13">
        <f t="shared" si="8"/>
        <v>0</v>
      </c>
      <c r="W61" s="49">
        <f t="shared" si="9"/>
        <v>0</v>
      </c>
      <c r="X61" s="50">
        <f t="shared" si="10"/>
        <v>0</v>
      </c>
      <c r="Y61" s="238">
        <v>300</v>
      </c>
      <c r="Z61" s="101">
        <v>1000</v>
      </c>
    </row>
    <row r="62" spans="1:26" ht="15.75" x14ac:dyDescent="0.25">
      <c r="A62" s="264">
        <v>58</v>
      </c>
      <c r="B62" s="256" t="s">
        <v>60</v>
      </c>
      <c r="C62" s="111">
        <v>50</v>
      </c>
      <c r="D62" s="112">
        <v>35</v>
      </c>
      <c r="E62" s="112">
        <v>3</v>
      </c>
      <c r="F62" s="19">
        <f t="shared" si="5"/>
        <v>5.2500000000000003E-3</v>
      </c>
      <c r="G62" s="23">
        <f>'ARALIK 4 HAFTA '!W62</f>
        <v>583</v>
      </c>
      <c r="H62" s="26">
        <f t="shared" si="6"/>
        <v>3.0607500000000001</v>
      </c>
      <c r="I62" s="21">
        <v>0</v>
      </c>
      <c r="J62" s="205">
        <f t="shared" si="0"/>
        <v>0</v>
      </c>
      <c r="K62" s="21">
        <v>0</v>
      </c>
      <c r="L62" s="10">
        <f t="shared" si="1"/>
        <v>0</v>
      </c>
      <c r="M62" s="21">
        <v>0</v>
      </c>
      <c r="N62" s="205">
        <f t="shared" si="2"/>
        <v>0</v>
      </c>
      <c r="O62" s="21">
        <v>0</v>
      </c>
      <c r="P62" s="10">
        <f t="shared" si="7"/>
        <v>0</v>
      </c>
      <c r="Q62" s="21">
        <v>0</v>
      </c>
      <c r="R62" s="205">
        <f t="shared" si="3"/>
        <v>0</v>
      </c>
      <c r="S62" s="97">
        <f t="shared" si="11"/>
        <v>583</v>
      </c>
      <c r="T62" s="38">
        <f t="shared" si="4"/>
        <v>3.0607500000000001</v>
      </c>
      <c r="U62" s="21">
        <v>0</v>
      </c>
      <c r="V62" s="13">
        <f t="shared" si="8"/>
        <v>0</v>
      </c>
      <c r="W62" s="49">
        <f t="shared" si="9"/>
        <v>583</v>
      </c>
      <c r="X62" s="50">
        <f t="shared" si="10"/>
        <v>3.0607500000000001</v>
      </c>
      <c r="Y62" s="238">
        <v>300</v>
      </c>
      <c r="Z62" s="101">
        <v>1000</v>
      </c>
    </row>
    <row r="63" spans="1:26" ht="15.75" x14ac:dyDescent="0.25">
      <c r="A63" s="264">
        <v>59</v>
      </c>
      <c r="B63" s="257" t="s">
        <v>61</v>
      </c>
      <c r="C63" s="111">
        <v>45</v>
      </c>
      <c r="D63" s="112">
        <v>50</v>
      </c>
      <c r="E63" s="112">
        <v>3</v>
      </c>
      <c r="F63" s="19">
        <f t="shared" si="5"/>
        <v>6.7499999999999999E-3</v>
      </c>
      <c r="G63" s="23">
        <f>'ARALIK 4 HAFTA '!W63</f>
        <v>811</v>
      </c>
      <c r="H63" s="26">
        <f t="shared" si="6"/>
        <v>5.4742499999999996</v>
      </c>
      <c r="I63" s="21">
        <v>0</v>
      </c>
      <c r="J63" s="205">
        <f t="shared" si="0"/>
        <v>0</v>
      </c>
      <c r="K63" s="21">
        <v>0</v>
      </c>
      <c r="L63" s="10">
        <f t="shared" si="1"/>
        <v>0</v>
      </c>
      <c r="M63" s="21">
        <v>0</v>
      </c>
      <c r="N63" s="205">
        <f t="shared" si="2"/>
        <v>0</v>
      </c>
      <c r="O63" s="21">
        <v>0</v>
      </c>
      <c r="P63" s="10">
        <f t="shared" si="7"/>
        <v>0</v>
      </c>
      <c r="Q63" s="21">
        <v>0</v>
      </c>
      <c r="R63" s="205">
        <f t="shared" si="3"/>
        <v>0</v>
      </c>
      <c r="S63" s="97">
        <f t="shared" si="11"/>
        <v>811</v>
      </c>
      <c r="T63" s="38">
        <f t="shared" si="4"/>
        <v>5.4742499999999996</v>
      </c>
      <c r="U63" s="21">
        <v>0</v>
      </c>
      <c r="V63" s="13">
        <f t="shared" si="8"/>
        <v>0</v>
      </c>
      <c r="W63" s="49">
        <f t="shared" si="9"/>
        <v>811</v>
      </c>
      <c r="X63" s="50">
        <f t="shared" si="10"/>
        <v>5.4742499999999996</v>
      </c>
      <c r="Y63" s="238">
        <v>500</v>
      </c>
      <c r="Z63" s="101">
        <v>1500</v>
      </c>
    </row>
    <row r="64" spans="1:26" ht="15.75" thickBot="1" x14ac:dyDescent="0.3">
      <c r="A64" s="264">
        <v>60</v>
      </c>
      <c r="B64" s="258" t="s">
        <v>90</v>
      </c>
      <c r="C64" s="36">
        <v>140</v>
      </c>
      <c r="D64" s="37">
        <v>9.5</v>
      </c>
      <c r="E64" s="37">
        <v>6.5</v>
      </c>
      <c r="F64" s="20">
        <f t="shared" si="5"/>
        <v>8.6449999999999999E-3</v>
      </c>
      <c r="G64" s="23">
        <f>'ARALIK 4 HAFTA '!W64</f>
        <v>2406</v>
      </c>
      <c r="H64" s="27">
        <f t="shared" si="6"/>
        <v>20.799869999999999</v>
      </c>
      <c r="I64" s="21">
        <v>0</v>
      </c>
      <c r="J64" s="205">
        <f t="shared" si="0"/>
        <v>0</v>
      </c>
      <c r="K64" s="21">
        <v>0</v>
      </c>
      <c r="L64" s="10">
        <f t="shared" si="1"/>
        <v>0</v>
      </c>
      <c r="M64" s="21">
        <v>0</v>
      </c>
      <c r="N64" s="205">
        <f t="shared" si="2"/>
        <v>0</v>
      </c>
      <c r="O64" s="21">
        <v>0</v>
      </c>
      <c r="P64" s="48">
        <f t="shared" si="7"/>
        <v>0</v>
      </c>
      <c r="Q64" s="21">
        <v>0</v>
      </c>
      <c r="R64" s="205">
        <f t="shared" si="3"/>
        <v>0</v>
      </c>
      <c r="S64" s="97">
        <f t="shared" si="11"/>
        <v>2406</v>
      </c>
      <c r="T64" s="41">
        <f t="shared" si="4"/>
        <v>20.799869999999999</v>
      </c>
      <c r="U64" s="21">
        <v>0</v>
      </c>
      <c r="V64" s="13">
        <f t="shared" si="8"/>
        <v>0</v>
      </c>
      <c r="W64" s="49">
        <f t="shared" si="9"/>
        <v>2406</v>
      </c>
      <c r="X64" s="50">
        <f t="shared" si="10"/>
        <v>20.799869999999999</v>
      </c>
      <c r="Y64" s="238">
        <v>100</v>
      </c>
      <c r="Z64" s="101">
        <v>300</v>
      </c>
    </row>
    <row r="65" spans="1:26" ht="15.75" x14ac:dyDescent="0.25">
      <c r="A65" s="264">
        <v>61</v>
      </c>
      <c r="B65" s="259" t="s">
        <v>79</v>
      </c>
      <c r="C65" s="112">
        <v>90</v>
      </c>
      <c r="D65" s="112">
        <v>83</v>
      </c>
      <c r="E65" s="112">
        <v>2</v>
      </c>
      <c r="F65" s="114">
        <f t="shared" si="5"/>
        <v>1.494E-2</v>
      </c>
      <c r="G65" s="23">
        <f>'ARALIK 4 HAFTA '!W65</f>
        <v>100</v>
      </c>
      <c r="H65" s="116">
        <f t="shared" si="6"/>
        <v>1.494</v>
      </c>
      <c r="I65" s="21">
        <v>0</v>
      </c>
      <c r="J65" s="205">
        <f t="shared" si="0"/>
        <v>0</v>
      </c>
      <c r="K65" s="21">
        <v>0</v>
      </c>
      <c r="L65" s="10">
        <f t="shared" si="1"/>
        <v>0</v>
      </c>
      <c r="M65" s="21">
        <v>0</v>
      </c>
      <c r="N65" s="205">
        <f t="shared" si="2"/>
        <v>0</v>
      </c>
      <c r="O65" s="21">
        <v>0</v>
      </c>
      <c r="P65" s="121">
        <f t="shared" si="7"/>
        <v>0</v>
      </c>
      <c r="Q65" s="21">
        <v>0</v>
      </c>
      <c r="R65" s="205">
        <f t="shared" si="3"/>
        <v>0</v>
      </c>
      <c r="S65" s="140">
        <f t="shared" si="11"/>
        <v>100</v>
      </c>
      <c r="T65" s="123">
        <f t="shared" si="4"/>
        <v>1.494</v>
      </c>
      <c r="U65" s="21">
        <v>0</v>
      </c>
      <c r="V65" s="139">
        <f t="shared" si="8"/>
        <v>0</v>
      </c>
      <c r="W65" s="141">
        <f t="shared" si="9"/>
        <v>100</v>
      </c>
      <c r="X65" s="50">
        <f t="shared" si="10"/>
        <v>1.494</v>
      </c>
      <c r="Y65" s="238">
        <v>100</v>
      </c>
      <c r="Z65" s="101">
        <v>300</v>
      </c>
    </row>
    <row r="66" spans="1:26" ht="15.75" x14ac:dyDescent="0.25">
      <c r="A66" s="264">
        <v>62</v>
      </c>
      <c r="B66" s="260" t="s">
        <v>80</v>
      </c>
      <c r="C66" s="113">
        <v>92</v>
      </c>
      <c r="D66" s="113">
        <v>82</v>
      </c>
      <c r="E66" s="113">
        <v>2</v>
      </c>
      <c r="F66" s="124">
        <f t="shared" si="5"/>
        <v>1.5088000000000001E-2</v>
      </c>
      <c r="G66" s="23">
        <f>'ARALIK 4 HAFTA '!W66</f>
        <v>0</v>
      </c>
      <c r="H66" s="125">
        <f t="shared" si="6"/>
        <v>0</v>
      </c>
      <c r="I66" s="21">
        <v>0</v>
      </c>
      <c r="J66" s="205">
        <f t="shared" si="0"/>
        <v>0</v>
      </c>
      <c r="K66" s="21">
        <v>0</v>
      </c>
      <c r="L66" s="10">
        <f t="shared" si="1"/>
        <v>0</v>
      </c>
      <c r="M66" s="21">
        <v>0</v>
      </c>
      <c r="N66" s="205">
        <f t="shared" si="2"/>
        <v>0</v>
      </c>
      <c r="O66" s="21">
        <v>0</v>
      </c>
      <c r="P66" s="121">
        <f t="shared" si="7"/>
        <v>0</v>
      </c>
      <c r="Q66" s="21">
        <v>0</v>
      </c>
      <c r="R66" s="205">
        <f t="shared" si="3"/>
        <v>0</v>
      </c>
      <c r="S66" s="140">
        <f t="shared" si="11"/>
        <v>0</v>
      </c>
      <c r="T66" s="123">
        <f t="shared" si="4"/>
        <v>0</v>
      </c>
      <c r="U66" s="21">
        <v>0</v>
      </c>
      <c r="V66" s="139">
        <f t="shared" si="8"/>
        <v>0</v>
      </c>
      <c r="W66" s="141">
        <f t="shared" si="9"/>
        <v>0</v>
      </c>
      <c r="X66" s="107">
        <f t="shared" si="10"/>
        <v>0</v>
      </c>
      <c r="Y66" s="238">
        <v>100</v>
      </c>
      <c r="Z66" s="101">
        <v>300</v>
      </c>
    </row>
    <row r="67" spans="1:26" x14ac:dyDescent="0.25">
      <c r="A67" s="264">
        <v>63</v>
      </c>
      <c r="B67" s="261" t="s">
        <v>82</v>
      </c>
      <c r="C67" s="35">
        <v>82</v>
      </c>
      <c r="D67" s="35">
        <v>80</v>
      </c>
      <c r="E67" s="35">
        <v>2</v>
      </c>
      <c r="F67" s="114">
        <f t="shared" si="5"/>
        <v>1.312E-2</v>
      </c>
      <c r="G67" s="23">
        <f>'ARALIK 4 HAFTA '!W67</f>
        <v>163</v>
      </c>
      <c r="H67" s="110">
        <f t="shared" si="6"/>
        <v>2.13856</v>
      </c>
      <c r="I67" s="21">
        <v>0</v>
      </c>
      <c r="J67" s="205">
        <f t="shared" si="0"/>
        <v>0</v>
      </c>
      <c r="K67" s="21">
        <v>0</v>
      </c>
      <c r="L67" s="10">
        <f t="shared" si="1"/>
        <v>0</v>
      </c>
      <c r="M67" s="21">
        <v>0</v>
      </c>
      <c r="N67" s="205">
        <f t="shared" si="2"/>
        <v>0</v>
      </c>
      <c r="O67" s="21">
        <v>0</v>
      </c>
      <c r="P67" s="10">
        <f t="shared" si="7"/>
        <v>0</v>
      </c>
      <c r="Q67" s="21">
        <v>0</v>
      </c>
      <c r="R67" s="205">
        <f t="shared" si="3"/>
        <v>0</v>
      </c>
      <c r="S67" s="97">
        <f t="shared" si="11"/>
        <v>163</v>
      </c>
      <c r="T67" s="87">
        <f t="shared" si="4"/>
        <v>2.13856</v>
      </c>
      <c r="U67" s="21">
        <v>0</v>
      </c>
      <c r="V67" s="139">
        <f t="shared" si="8"/>
        <v>0</v>
      </c>
      <c r="W67" s="141">
        <f t="shared" si="9"/>
        <v>163</v>
      </c>
      <c r="X67" s="107">
        <f t="shared" si="10"/>
        <v>2.13856</v>
      </c>
      <c r="Y67" s="238">
        <v>50</v>
      </c>
      <c r="Z67" s="101">
        <v>200</v>
      </c>
    </row>
    <row r="68" spans="1:26" x14ac:dyDescent="0.25">
      <c r="A68" s="264">
        <v>64</v>
      </c>
      <c r="B68" s="261" t="s">
        <v>83</v>
      </c>
      <c r="C68" s="35">
        <v>86</v>
      </c>
      <c r="D68" s="35">
        <v>77</v>
      </c>
      <c r="E68" s="35">
        <v>8</v>
      </c>
      <c r="F68" s="114">
        <f t="shared" si="5"/>
        <v>5.2976000000000002E-2</v>
      </c>
      <c r="G68" s="23">
        <v>191</v>
      </c>
      <c r="H68" s="110">
        <f t="shared" si="6"/>
        <v>10.118416</v>
      </c>
      <c r="I68" s="21">
        <v>0</v>
      </c>
      <c r="J68" s="205">
        <f t="shared" si="0"/>
        <v>0</v>
      </c>
      <c r="K68" s="21">
        <v>0</v>
      </c>
      <c r="L68" s="10">
        <f t="shared" si="1"/>
        <v>0</v>
      </c>
      <c r="M68" s="21">
        <v>0</v>
      </c>
      <c r="N68" s="205">
        <f t="shared" si="2"/>
        <v>0</v>
      </c>
      <c r="O68" s="21">
        <v>0</v>
      </c>
      <c r="P68" s="10">
        <f t="shared" si="7"/>
        <v>0</v>
      </c>
      <c r="Q68" s="21">
        <v>6</v>
      </c>
      <c r="R68" s="205">
        <f t="shared" si="3"/>
        <v>0.31785600000000003</v>
      </c>
      <c r="S68" s="97">
        <f t="shared" si="11"/>
        <v>185</v>
      </c>
      <c r="T68" s="87">
        <f t="shared" si="4"/>
        <v>9.8005600000000008</v>
      </c>
      <c r="U68" s="21">
        <v>0</v>
      </c>
      <c r="V68" s="139">
        <f t="shared" si="8"/>
        <v>0</v>
      </c>
      <c r="W68" s="141">
        <f t="shared" si="9"/>
        <v>185</v>
      </c>
      <c r="X68" s="107">
        <f t="shared" si="10"/>
        <v>9.8005600000000008</v>
      </c>
      <c r="Y68" s="238">
        <v>50</v>
      </c>
      <c r="Z68" s="101">
        <v>200</v>
      </c>
    </row>
    <row r="69" spans="1:26" x14ac:dyDescent="0.25">
      <c r="A69" s="264">
        <v>65</v>
      </c>
      <c r="B69" s="261" t="s">
        <v>84</v>
      </c>
      <c r="C69" s="35">
        <v>76</v>
      </c>
      <c r="D69" s="35">
        <v>75</v>
      </c>
      <c r="E69" s="35">
        <v>8</v>
      </c>
      <c r="F69" s="114">
        <f t="shared" si="5"/>
        <v>4.5600000000000002E-2</v>
      </c>
      <c r="G69" s="23">
        <v>236</v>
      </c>
      <c r="H69" s="110">
        <f t="shared" si="6"/>
        <v>10.7616</v>
      </c>
      <c r="I69" s="21">
        <v>0</v>
      </c>
      <c r="J69" s="205">
        <f t="shared" ref="J69:J78" si="12">F69*I69</f>
        <v>0</v>
      </c>
      <c r="K69" s="21">
        <v>0</v>
      </c>
      <c r="L69" s="10">
        <f t="shared" ref="L69:L78" si="13">F69*K69</f>
        <v>0</v>
      </c>
      <c r="M69" s="21">
        <v>0</v>
      </c>
      <c r="N69" s="205">
        <f t="shared" ref="N69:N78" si="14">F69*M69</f>
        <v>0</v>
      </c>
      <c r="O69" s="21">
        <v>0</v>
      </c>
      <c r="P69" s="10">
        <f t="shared" si="7"/>
        <v>0</v>
      </c>
      <c r="Q69" s="21">
        <v>0</v>
      </c>
      <c r="R69" s="205">
        <f t="shared" ref="R69:R78" si="15">F69*Q69</f>
        <v>0</v>
      </c>
      <c r="S69" s="97">
        <f t="shared" si="11"/>
        <v>236</v>
      </c>
      <c r="T69" s="87">
        <f t="shared" ref="T69:T78" si="16">F69*S69</f>
        <v>10.7616</v>
      </c>
      <c r="U69" s="21">
        <v>0</v>
      </c>
      <c r="V69" s="139">
        <f t="shared" si="8"/>
        <v>0</v>
      </c>
      <c r="W69" s="141">
        <f t="shared" si="9"/>
        <v>236</v>
      </c>
      <c r="X69" s="107">
        <f t="shared" si="10"/>
        <v>10.7616</v>
      </c>
      <c r="Y69" s="238">
        <v>5</v>
      </c>
      <c r="Z69" s="101">
        <v>10</v>
      </c>
    </row>
    <row r="70" spans="1:26" x14ac:dyDescent="0.25">
      <c r="A70" s="264">
        <v>66</v>
      </c>
      <c r="B70" s="261" t="s">
        <v>85</v>
      </c>
      <c r="C70" s="35">
        <v>140</v>
      </c>
      <c r="D70" s="35">
        <v>240</v>
      </c>
      <c r="E70" s="35">
        <v>12</v>
      </c>
      <c r="F70" s="114">
        <f t="shared" ref="F70:F72" si="17">(C70*D70*E70)/1000000</f>
        <v>0.4032</v>
      </c>
      <c r="G70" s="23">
        <v>0</v>
      </c>
      <c r="H70" s="110">
        <f t="shared" ref="H70:H78" si="18">F70*G70</f>
        <v>0</v>
      </c>
      <c r="I70" s="21">
        <v>0</v>
      </c>
      <c r="J70" s="205">
        <f t="shared" si="12"/>
        <v>0</v>
      </c>
      <c r="K70" s="21">
        <v>0</v>
      </c>
      <c r="L70" s="10">
        <f t="shared" si="13"/>
        <v>0</v>
      </c>
      <c r="M70" s="21">
        <v>0</v>
      </c>
      <c r="N70" s="205">
        <f t="shared" si="14"/>
        <v>0</v>
      </c>
      <c r="O70" s="21">
        <v>0</v>
      </c>
      <c r="P70" s="10">
        <f t="shared" ref="P70:P78" si="19">F70*O70</f>
        <v>0</v>
      </c>
      <c r="Q70" s="21">
        <v>0</v>
      </c>
      <c r="R70" s="205">
        <f t="shared" si="15"/>
        <v>0</v>
      </c>
      <c r="S70" s="97">
        <f t="shared" si="11"/>
        <v>0</v>
      </c>
      <c r="T70" s="87">
        <f t="shared" si="16"/>
        <v>0</v>
      </c>
      <c r="U70" s="21">
        <v>0</v>
      </c>
      <c r="V70" s="139">
        <f t="shared" ref="V70" si="20">R70*U70</f>
        <v>0</v>
      </c>
      <c r="W70" s="141">
        <f t="shared" ref="W70:W78" si="21">S70+U70</f>
        <v>0</v>
      </c>
      <c r="X70" s="107">
        <f t="shared" ref="X70:X78" si="22">F70*W70</f>
        <v>0</v>
      </c>
      <c r="Y70" s="238">
        <v>20</v>
      </c>
      <c r="Z70" s="101">
        <v>50</v>
      </c>
    </row>
    <row r="71" spans="1:26" x14ac:dyDescent="0.25">
      <c r="A71" s="264">
        <v>67</v>
      </c>
      <c r="B71" s="261" t="s">
        <v>96</v>
      </c>
      <c r="C71" s="130">
        <v>140</v>
      </c>
      <c r="D71" s="130">
        <v>240</v>
      </c>
      <c r="E71" s="130">
        <v>2</v>
      </c>
      <c r="F71" s="131">
        <f t="shared" si="17"/>
        <v>6.7199999999999996E-2</v>
      </c>
      <c r="G71" s="23">
        <f>'ARALIK 4 HAFTA '!W71</f>
        <v>160</v>
      </c>
      <c r="H71" s="135">
        <f t="shared" si="18"/>
        <v>10.751999999999999</v>
      </c>
      <c r="I71" s="21">
        <v>36</v>
      </c>
      <c r="J71" s="205">
        <f t="shared" si="12"/>
        <v>2.4192</v>
      </c>
      <c r="K71" s="21">
        <v>124</v>
      </c>
      <c r="L71" s="10">
        <f t="shared" si="13"/>
        <v>8.3327999999999989</v>
      </c>
      <c r="M71" s="21">
        <v>0</v>
      </c>
      <c r="N71" s="205">
        <f t="shared" si="14"/>
        <v>0</v>
      </c>
      <c r="O71" s="21">
        <v>0</v>
      </c>
      <c r="P71" s="173">
        <f t="shared" si="19"/>
        <v>0</v>
      </c>
      <c r="Q71" s="21">
        <v>0</v>
      </c>
      <c r="R71" s="205">
        <f t="shared" si="15"/>
        <v>0</v>
      </c>
      <c r="S71" s="97">
        <f t="shared" ref="S71:S78" si="23">G71-I71-K71-M71-O71-Q71</f>
        <v>0</v>
      </c>
      <c r="T71" s="97">
        <f t="shared" si="16"/>
        <v>0</v>
      </c>
      <c r="U71" s="21">
        <v>0</v>
      </c>
      <c r="V71" s="139">
        <f t="shared" ref="V71:V78" si="24">F71*U71</f>
        <v>0</v>
      </c>
      <c r="W71" s="141">
        <f t="shared" si="21"/>
        <v>0</v>
      </c>
      <c r="X71" s="141">
        <f t="shared" si="22"/>
        <v>0</v>
      </c>
      <c r="Y71" s="238">
        <v>30</v>
      </c>
      <c r="Z71" s="101">
        <v>100</v>
      </c>
    </row>
    <row r="72" spans="1:26" x14ac:dyDescent="0.25">
      <c r="A72" s="264">
        <v>68</v>
      </c>
      <c r="B72" s="262" t="s">
        <v>95</v>
      </c>
      <c r="C72" s="130">
        <v>61</v>
      </c>
      <c r="D72" s="130">
        <v>61</v>
      </c>
      <c r="E72" s="130">
        <v>3</v>
      </c>
      <c r="F72" s="131">
        <f t="shared" si="17"/>
        <v>1.1162999999999999E-2</v>
      </c>
      <c r="G72" s="23">
        <f>'ARALIK 4 HAFTA '!W72</f>
        <v>171</v>
      </c>
      <c r="H72" s="135">
        <f t="shared" si="18"/>
        <v>1.9088729999999998</v>
      </c>
      <c r="I72" s="21">
        <v>0</v>
      </c>
      <c r="J72" s="205">
        <f t="shared" si="12"/>
        <v>0</v>
      </c>
      <c r="K72" s="21">
        <v>0</v>
      </c>
      <c r="L72" s="10">
        <f t="shared" si="13"/>
        <v>0</v>
      </c>
      <c r="M72" s="21">
        <v>0</v>
      </c>
      <c r="N72" s="205">
        <f t="shared" si="14"/>
        <v>0</v>
      </c>
      <c r="O72" s="21">
        <v>0</v>
      </c>
      <c r="P72" s="173">
        <f t="shared" si="19"/>
        <v>0</v>
      </c>
      <c r="Q72" s="21">
        <v>0</v>
      </c>
      <c r="R72" s="205">
        <f t="shared" si="15"/>
        <v>0</v>
      </c>
      <c r="S72" s="97">
        <f t="shared" si="23"/>
        <v>171</v>
      </c>
      <c r="T72" s="97">
        <f t="shared" si="16"/>
        <v>1.9088729999999998</v>
      </c>
      <c r="U72" s="21">
        <v>0</v>
      </c>
      <c r="V72" s="252">
        <f t="shared" si="24"/>
        <v>0</v>
      </c>
      <c r="W72" s="253">
        <f t="shared" si="21"/>
        <v>171</v>
      </c>
      <c r="X72" s="253">
        <f t="shared" si="22"/>
        <v>1.9088729999999998</v>
      </c>
      <c r="Y72" s="238">
        <v>0</v>
      </c>
      <c r="Z72" s="101">
        <v>0</v>
      </c>
    </row>
    <row r="73" spans="1:26" x14ac:dyDescent="0.25">
      <c r="A73" s="264">
        <v>69</v>
      </c>
      <c r="B73" s="108" t="s">
        <v>106</v>
      </c>
      <c r="C73" s="96"/>
      <c r="D73" s="96"/>
      <c r="E73" s="96"/>
      <c r="F73" s="109"/>
      <c r="G73" s="23">
        <f>'ARALIK 4 HAFTA '!W73</f>
        <v>20</v>
      </c>
      <c r="H73" s="135">
        <f t="shared" si="18"/>
        <v>0</v>
      </c>
      <c r="I73" s="21">
        <v>0</v>
      </c>
      <c r="J73" s="205">
        <f t="shared" si="12"/>
        <v>0</v>
      </c>
      <c r="K73" s="21">
        <v>0</v>
      </c>
      <c r="L73" s="10">
        <f t="shared" si="13"/>
        <v>0</v>
      </c>
      <c r="M73" s="21">
        <v>0</v>
      </c>
      <c r="N73" s="205">
        <f t="shared" si="14"/>
        <v>0</v>
      </c>
      <c r="O73" s="21">
        <v>0</v>
      </c>
      <c r="P73" s="250">
        <f t="shared" si="19"/>
        <v>0</v>
      </c>
      <c r="Q73" s="21">
        <v>0</v>
      </c>
      <c r="R73" s="205">
        <f t="shared" si="15"/>
        <v>0</v>
      </c>
      <c r="S73" s="97">
        <f t="shared" si="23"/>
        <v>20</v>
      </c>
      <c r="T73" s="97">
        <f t="shared" si="16"/>
        <v>0</v>
      </c>
      <c r="U73" s="21">
        <v>0</v>
      </c>
      <c r="V73" s="252">
        <f t="shared" si="24"/>
        <v>0</v>
      </c>
      <c r="W73" s="253">
        <f t="shared" si="21"/>
        <v>20</v>
      </c>
      <c r="X73" s="253">
        <f t="shared" si="22"/>
        <v>0</v>
      </c>
      <c r="Y73" s="101">
        <v>0</v>
      </c>
      <c r="Z73" s="101">
        <v>0</v>
      </c>
    </row>
    <row r="74" spans="1:26" x14ac:dyDescent="0.25">
      <c r="A74" s="105">
        <v>70</v>
      </c>
      <c r="B74" s="270" t="s">
        <v>107</v>
      </c>
      <c r="C74" s="105"/>
      <c r="D74" s="105"/>
      <c r="E74" s="271"/>
      <c r="F74" s="125"/>
      <c r="G74" s="23">
        <f>'ARALIK 4 HAFTA '!W74</f>
        <v>20</v>
      </c>
      <c r="H74" s="135">
        <f t="shared" si="18"/>
        <v>0</v>
      </c>
      <c r="I74" s="21">
        <v>0</v>
      </c>
      <c r="J74" s="205">
        <f t="shared" si="12"/>
        <v>0</v>
      </c>
      <c r="K74" s="21">
        <v>0</v>
      </c>
      <c r="L74" s="10">
        <f t="shared" si="13"/>
        <v>0</v>
      </c>
      <c r="M74" s="21">
        <v>0</v>
      </c>
      <c r="N74" s="205">
        <f t="shared" si="14"/>
        <v>0</v>
      </c>
      <c r="O74" s="21">
        <v>0</v>
      </c>
      <c r="P74" s="250">
        <f t="shared" si="19"/>
        <v>0</v>
      </c>
      <c r="Q74" s="21">
        <v>0</v>
      </c>
      <c r="R74" s="205">
        <f t="shared" si="15"/>
        <v>0</v>
      </c>
      <c r="S74" s="97">
        <f t="shared" si="23"/>
        <v>20</v>
      </c>
      <c r="T74" s="97">
        <f t="shared" si="16"/>
        <v>0</v>
      </c>
      <c r="U74" s="21">
        <v>0</v>
      </c>
      <c r="V74" s="252">
        <f t="shared" si="24"/>
        <v>0</v>
      </c>
      <c r="W74" s="253">
        <f t="shared" si="21"/>
        <v>20</v>
      </c>
      <c r="X74" s="253">
        <f t="shared" si="22"/>
        <v>0</v>
      </c>
      <c r="Y74" s="106"/>
      <c r="Z74" s="106"/>
    </row>
    <row r="75" spans="1:26" x14ac:dyDescent="0.25">
      <c r="A75" s="96">
        <v>71</v>
      </c>
      <c r="B75" s="265" t="s">
        <v>108</v>
      </c>
      <c r="C75" s="96">
        <v>140</v>
      </c>
      <c r="D75" s="96">
        <v>240</v>
      </c>
      <c r="E75" s="109">
        <v>6</v>
      </c>
      <c r="F75" s="131">
        <f t="shared" ref="F75:F78" si="25">(C75*D75*E75)/1000000</f>
        <v>0.2016</v>
      </c>
      <c r="G75" s="23">
        <f>'ARALIK 4 HAFTA '!W75</f>
        <v>32</v>
      </c>
      <c r="H75" s="135">
        <f t="shared" si="18"/>
        <v>6.4512</v>
      </c>
      <c r="I75" s="21">
        <v>0</v>
      </c>
      <c r="J75" s="205">
        <f t="shared" si="12"/>
        <v>0</v>
      </c>
      <c r="K75" s="21">
        <v>0</v>
      </c>
      <c r="L75" s="96">
        <f t="shared" si="13"/>
        <v>0</v>
      </c>
      <c r="M75" s="21">
        <v>0</v>
      </c>
      <c r="N75" s="205">
        <f t="shared" si="14"/>
        <v>0</v>
      </c>
      <c r="O75" s="21">
        <v>0</v>
      </c>
      <c r="P75" s="250">
        <f t="shared" si="19"/>
        <v>0</v>
      </c>
      <c r="Q75" s="21">
        <v>0</v>
      </c>
      <c r="R75" s="174">
        <f t="shared" si="15"/>
        <v>0</v>
      </c>
      <c r="S75" s="281">
        <f t="shared" si="23"/>
        <v>32</v>
      </c>
      <c r="T75" s="97">
        <f t="shared" si="16"/>
        <v>6.4512</v>
      </c>
      <c r="U75" s="21">
        <v>0</v>
      </c>
      <c r="V75" s="252">
        <f t="shared" si="24"/>
        <v>0</v>
      </c>
      <c r="W75" s="253">
        <f t="shared" si="21"/>
        <v>32</v>
      </c>
      <c r="X75" s="253">
        <f t="shared" si="22"/>
        <v>6.4512</v>
      </c>
      <c r="Y75" s="106"/>
      <c r="Z75" s="106"/>
    </row>
    <row r="76" spans="1:26" x14ac:dyDescent="0.25">
      <c r="A76" s="277">
        <v>72</v>
      </c>
      <c r="B76" s="175" t="s">
        <v>113</v>
      </c>
      <c r="C76" s="2">
        <v>63</v>
      </c>
      <c r="D76" s="2">
        <v>60</v>
      </c>
      <c r="E76" s="2">
        <v>5</v>
      </c>
      <c r="F76" s="131">
        <f t="shared" si="25"/>
        <v>1.89E-2</v>
      </c>
      <c r="G76" s="23">
        <f>'ARALIK 4 HAFTA '!W76</f>
        <v>139</v>
      </c>
      <c r="H76" s="135">
        <f t="shared" si="18"/>
        <v>2.6271</v>
      </c>
      <c r="I76" s="21">
        <v>0</v>
      </c>
      <c r="J76" s="205">
        <f t="shared" si="12"/>
        <v>0</v>
      </c>
      <c r="K76" s="21">
        <v>10</v>
      </c>
      <c r="L76" s="96">
        <f t="shared" si="13"/>
        <v>0.189</v>
      </c>
      <c r="M76" s="21">
        <v>0</v>
      </c>
      <c r="N76" s="205">
        <f t="shared" si="14"/>
        <v>0</v>
      </c>
      <c r="O76" s="21">
        <v>0</v>
      </c>
      <c r="P76" s="250">
        <f t="shared" si="19"/>
        <v>0</v>
      </c>
      <c r="Q76" s="21">
        <v>0</v>
      </c>
      <c r="R76" s="174">
        <f t="shared" si="15"/>
        <v>0</v>
      </c>
      <c r="S76" s="281">
        <f t="shared" si="23"/>
        <v>129</v>
      </c>
      <c r="T76" s="251">
        <f t="shared" si="16"/>
        <v>2.4380999999999999</v>
      </c>
      <c r="U76" s="21">
        <v>0</v>
      </c>
      <c r="V76" s="252">
        <f t="shared" si="24"/>
        <v>0</v>
      </c>
      <c r="W76" s="253">
        <f t="shared" si="21"/>
        <v>129</v>
      </c>
      <c r="X76" s="253">
        <f t="shared" si="22"/>
        <v>2.4380999999999999</v>
      </c>
      <c r="Y76" s="106"/>
      <c r="Z76" s="106"/>
    </row>
    <row r="77" spans="1:26" ht="15.75" thickBot="1" x14ac:dyDescent="0.3">
      <c r="A77" s="279">
        <v>73</v>
      </c>
      <c r="B77" s="280" t="s">
        <v>115</v>
      </c>
      <c r="C77" s="2">
        <v>90</v>
      </c>
      <c r="D77" s="2">
        <v>85</v>
      </c>
      <c r="E77" s="2">
        <v>5</v>
      </c>
      <c r="F77" s="131">
        <f t="shared" si="25"/>
        <v>3.8249999999999999E-2</v>
      </c>
      <c r="G77" s="23">
        <f>'ARALIK 4 HAFTA '!W77</f>
        <v>122</v>
      </c>
      <c r="H77" s="135">
        <f t="shared" si="18"/>
        <v>4.6665000000000001</v>
      </c>
      <c r="I77" s="21">
        <v>0</v>
      </c>
      <c r="J77" s="205">
        <f t="shared" si="12"/>
        <v>0</v>
      </c>
      <c r="K77" s="21">
        <v>0</v>
      </c>
      <c r="L77" s="96">
        <f t="shared" si="13"/>
        <v>0</v>
      </c>
      <c r="M77" s="21">
        <v>7</v>
      </c>
      <c r="N77" s="205">
        <f t="shared" si="14"/>
        <v>0.26774999999999999</v>
      </c>
      <c r="O77" s="21">
        <v>0</v>
      </c>
      <c r="P77" s="250">
        <f t="shared" si="19"/>
        <v>0</v>
      </c>
      <c r="Q77" s="21">
        <v>19</v>
      </c>
      <c r="R77" s="174">
        <f t="shared" si="15"/>
        <v>0.72675000000000001</v>
      </c>
      <c r="S77" s="281">
        <f t="shared" si="23"/>
        <v>96</v>
      </c>
      <c r="T77" s="251">
        <f t="shared" si="16"/>
        <v>3.6719999999999997</v>
      </c>
      <c r="U77" s="21">
        <v>0</v>
      </c>
      <c r="V77" s="264">
        <f t="shared" si="24"/>
        <v>0</v>
      </c>
      <c r="W77" s="264">
        <f t="shared" si="21"/>
        <v>96</v>
      </c>
      <c r="X77" s="264">
        <f t="shared" si="22"/>
        <v>3.6719999999999997</v>
      </c>
      <c r="Y77" s="101"/>
      <c r="Z77" s="101"/>
    </row>
    <row r="78" spans="1:26" x14ac:dyDescent="0.25">
      <c r="A78" s="277">
        <v>74</v>
      </c>
      <c r="B78" s="151" t="s">
        <v>116</v>
      </c>
      <c r="C78" s="2">
        <v>100</v>
      </c>
      <c r="D78" s="2">
        <v>90</v>
      </c>
      <c r="E78" s="2">
        <v>3</v>
      </c>
      <c r="F78" s="131">
        <f t="shared" si="25"/>
        <v>2.7E-2</v>
      </c>
      <c r="G78" s="23">
        <f>'ARALIK 4 HAFTA '!W78</f>
        <v>132</v>
      </c>
      <c r="H78" s="136">
        <f t="shared" si="18"/>
        <v>3.5640000000000001</v>
      </c>
      <c r="I78" s="21">
        <v>0</v>
      </c>
      <c r="J78" s="205">
        <f t="shared" si="12"/>
        <v>0</v>
      </c>
      <c r="K78" s="21">
        <v>0</v>
      </c>
      <c r="L78" s="96">
        <f t="shared" si="13"/>
        <v>0</v>
      </c>
      <c r="M78" s="21">
        <v>0</v>
      </c>
      <c r="N78" s="205">
        <f t="shared" si="14"/>
        <v>0</v>
      </c>
      <c r="O78" s="21">
        <v>0</v>
      </c>
      <c r="P78" s="174">
        <f t="shared" si="19"/>
        <v>0</v>
      </c>
      <c r="Q78" s="21">
        <v>0</v>
      </c>
      <c r="R78" s="174">
        <f t="shared" si="15"/>
        <v>0</v>
      </c>
      <c r="S78" s="282">
        <f t="shared" si="23"/>
        <v>132</v>
      </c>
      <c r="T78" s="97">
        <f t="shared" si="16"/>
        <v>3.5640000000000001</v>
      </c>
      <c r="U78" s="21">
        <v>0</v>
      </c>
      <c r="V78" s="264">
        <f t="shared" si="24"/>
        <v>0</v>
      </c>
      <c r="W78" s="264">
        <f t="shared" si="21"/>
        <v>132</v>
      </c>
      <c r="X78" s="264">
        <f t="shared" si="22"/>
        <v>3.5640000000000001</v>
      </c>
      <c r="Y78" s="101"/>
      <c r="Z78" s="101"/>
    </row>
  </sheetData>
  <mergeCells count="24">
    <mergeCell ref="C1:H1"/>
    <mergeCell ref="G2:H3"/>
    <mergeCell ref="I2:J2"/>
    <mergeCell ref="K2:L2"/>
    <mergeCell ref="M2:N2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S4:T4"/>
    <mergeCell ref="U4:V4"/>
    <mergeCell ref="W4:X4"/>
    <mergeCell ref="G4:H4"/>
    <mergeCell ref="I4:J4"/>
    <mergeCell ref="K4:L4"/>
    <mergeCell ref="M4:N4"/>
    <mergeCell ref="O4:P4"/>
    <mergeCell ref="Q4:R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78"/>
  <sheetViews>
    <sheetView topLeftCell="B64" workbookViewId="0">
      <selection activeCell="R1" sqref="R1"/>
    </sheetView>
  </sheetViews>
  <sheetFormatPr defaultRowHeight="15" x14ac:dyDescent="0.25"/>
  <cols>
    <col min="1" max="1" width="6.42578125" customWidth="1"/>
    <col min="2" max="2" width="23.85546875" style="3" customWidth="1"/>
    <col min="3" max="3" width="13.7109375" style="2" hidden="1" customWidth="1"/>
    <col min="4" max="4" width="12.140625" style="2" hidden="1" customWidth="1"/>
    <col min="5" max="5" width="14" style="2" hidden="1" customWidth="1"/>
    <col min="6" max="6" width="14" style="4" hidden="1" customWidth="1"/>
    <col min="7" max="8" width="9" style="5" customWidth="1"/>
    <col min="9" max="20" width="8.140625" style="2" customWidth="1"/>
    <col min="25" max="25" width="10.28515625" customWidth="1"/>
  </cols>
  <sheetData>
    <row r="1" spans="1:26" ht="15.75" thickBot="1" x14ac:dyDescent="0.3">
      <c r="B1" s="4" t="s">
        <v>18</v>
      </c>
      <c r="C1" s="320" t="s">
        <v>125</v>
      </c>
      <c r="D1" s="320"/>
      <c r="E1" s="320"/>
      <c r="F1" s="320"/>
      <c r="G1" s="320"/>
      <c r="H1" s="320"/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44935</v>
      </c>
      <c r="J2" s="326"/>
      <c r="K2" s="327">
        <v>44936</v>
      </c>
      <c r="L2" s="328"/>
      <c r="M2" s="325">
        <v>44937</v>
      </c>
      <c r="N2" s="329"/>
      <c r="O2" s="327">
        <v>44938</v>
      </c>
      <c r="P2" s="346"/>
      <c r="Q2" s="325">
        <v>44939</v>
      </c>
      <c r="R2" s="329"/>
      <c r="S2" s="330" t="s">
        <v>69</v>
      </c>
      <c r="T2" s="331"/>
      <c r="U2" s="334" t="s">
        <v>70</v>
      </c>
      <c r="V2" s="335"/>
      <c r="W2" s="338" t="s">
        <v>71</v>
      </c>
      <c r="X2" s="339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40"/>
      <c r="X3" s="341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51" t="s">
        <v>63</v>
      </c>
      <c r="X4" s="352"/>
      <c r="Y4" s="268" t="s">
        <v>99</v>
      </c>
      <c r="Z4" s="269" t="s">
        <v>100</v>
      </c>
    </row>
    <row r="5" spans="1:26" x14ac:dyDescent="0.25">
      <c r="A5" s="263">
        <v>1</v>
      </c>
      <c r="B5" s="256" t="s">
        <v>2</v>
      </c>
      <c r="C5" s="32">
        <v>140</v>
      </c>
      <c r="D5" s="33">
        <v>240</v>
      </c>
      <c r="E5" s="33">
        <v>1</v>
      </c>
      <c r="F5" s="15">
        <f>(C5*D5*E5)/1000000</f>
        <v>3.3599999999999998E-2</v>
      </c>
      <c r="G5" s="23">
        <f>'OCAK 1.HAFTA'!W5</f>
        <v>1641</v>
      </c>
      <c r="H5" s="24">
        <f>F5*G5</f>
        <v>55.137599999999999</v>
      </c>
      <c r="I5" s="21">
        <v>5</v>
      </c>
      <c r="J5" s="205">
        <f t="shared" ref="J5:J68" si="0">F5*I5</f>
        <v>0.16799999999999998</v>
      </c>
      <c r="K5" s="21">
        <v>69</v>
      </c>
      <c r="L5" s="10">
        <f t="shared" ref="L5:L68" si="1">F5*K5</f>
        <v>2.3184</v>
      </c>
      <c r="M5" s="21">
        <v>8</v>
      </c>
      <c r="N5" s="205">
        <f t="shared" ref="N5:N68" si="2">F5*M5</f>
        <v>0.26879999999999998</v>
      </c>
      <c r="O5" s="21">
        <v>24</v>
      </c>
      <c r="P5" s="10">
        <f>F5*O5</f>
        <v>0.80640000000000001</v>
      </c>
      <c r="Q5" s="21">
        <v>0</v>
      </c>
      <c r="R5" s="205">
        <f t="shared" ref="R5:R68" si="3">F5*Q5</f>
        <v>0</v>
      </c>
      <c r="S5" s="39">
        <f>G5-I5-K5-M5-O5-Q5</f>
        <v>1535</v>
      </c>
      <c r="T5" s="38">
        <f t="shared" ref="T5:T68" si="4">F5*S5</f>
        <v>51.575999999999993</v>
      </c>
      <c r="U5" s="21">
        <v>278</v>
      </c>
      <c r="V5" s="13">
        <f>F5*U5</f>
        <v>9.3407999999999998</v>
      </c>
      <c r="W5" s="49">
        <f>S5+U5</f>
        <v>1813</v>
      </c>
      <c r="X5" s="50">
        <f>F5*W5</f>
        <v>60.916799999999995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3</v>
      </c>
      <c r="C6" s="34">
        <v>140</v>
      </c>
      <c r="D6" s="35">
        <v>240</v>
      </c>
      <c r="E6" s="35">
        <v>0.8</v>
      </c>
      <c r="F6" s="19">
        <f t="shared" ref="F6:F69" si="5">(C6*D6*E6)/1000000</f>
        <v>2.6880000000000001E-2</v>
      </c>
      <c r="G6" s="23">
        <f>'OCAK 1.HAFTA'!W6</f>
        <v>489</v>
      </c>
      <c r="H6" s="26">
        <f t="shared" ref="H6:H69" si="6">F6*G6</f>
        <v>13.14432</v>
      </c>
      <c r="I6" s="21">
        <v>1</v>
      </c>
      <c r="J6" s="205">
        <f t="shared" si="0"/>
        <v>2.6880000000000001E-2</v>
      </c>
      <c r="K6" s="21">
        <v>6</v>
      </c>
      <c r="L6" s="10">
        <f t="shared" si="1"/>
        <v>0.16128000000000001</v>
      </c>
      <c r="M6" s="21">
        <v>0</v>
      </c>
      <c r="N6" s="205">
        <f t="shared" si="2"/>
        <v>0</v>
      </c>
      <c r="O6" s="21">
        <v>0</v>
      </c>
      <c r="P6" s="10">
        <f t="shared" ref="P6:P69" si="7">F6*O6</f>
        <v>0</v>
      </c>
      <c r="Q6" s="21">
        <v>5</v>
      </c>
      <c r="R6" s="205">
        <f t="shared" si="3"/>
        <v>0.13440000000000002</v>
      </c>
      <c r="S6" s="39">
        <f>G6-I6-K6-M6-O6-Q6</f>
        <v>477</v>
      </c>
      <c r="T6" s="38">
        <f t="shared" si="4"/>
        <v>12.821760000000001</v>
      </c>
      <c r="U6" s="21">
        <v>84</v>
      </c>
      <c r="V6" s="13">
        <f t="shared" ref="V6:V69" si="8">F6*U6</f>
        <v>2.2579199999999999</v>
      </c>
      <c r="W6" s="49">
        <f t="shared" ref="W6:W69" si="9">S6+U6</f>
        <v>561</v>
      </c>
      <c r="X6" s="50">
        <f t="shared" ref="X6:X69" si="10">F6*W6</f>
        <v>15.07968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4</v>
      </c>
      <c r="C7" s="34">
        <v>140</v>
      </c>
      <c r="D7" s="35">
        <v>238</v>
      </c>
      <c r="E7" s="35">
        <v>1.4</v>
      </c>
      <c r="F7" s="19">
        <f t="shared" si="5"/>
        <v>4.6648000000000002E-2</v>
      </c>
      <c r="G7" s="23">
        <f>'OCAK 1.HAFTA'!W7</f>
        <v>502</v>
      </c>
      <c r="H7" s="26">
        <f t="shared" si="6"/>
        <v>23.417296</v>
      </c>
      <c r="I7" s="21">
        <v>32</v>
      </c>
      <c r="J7" s="205">
        <f t="shared" si="0"/>
        <v>1.4927360000000001</v>
      </c>
      <c r="K7" s="21">
        <v>35</v>
      </c>
      <c r="L7" s="10">
        <f t="shared" si="1"/>
        <v>1.6326800000000001</v>
      </c>
      <c r="M7" s="21">
        <v>27</v>
      </c>
      <c r="N7" s="205">
        <f t="shared" si="2"/>
        <v>1.2594959999999999</v>
      </c>
      <c r="O7" s="21">
        <v>11</v>
      </c>
      <c r="P7" s="10">
        <f t="shared" si="7"/>
        <v>0.51312800000000003</v>
      </c>
      <c r="Q7" s="21">
        <v>8</v>
      </c>
      <c r="R7" s="205">
        <f t="shared" si="3"/>
        <v>0.37318400000000002</v>
      </c>
      <c r="S7" s="39">
        <f t="shared" ref="S7:S70" si="11">G7-I7-K7-M7-O7-Q7</f>
        <v>389</v>
      </c>
      <c r="T7" s="38">
        <f t="shared" si="4"/>
        <v>18.146072</v>
      </c>
      <c r="U7" s="21">
        <v>422</v>
      </c>
      <c r="V7" s="13">
        <f t="shared" si="8"/>
        <v>19.685456000000002</v>
      </c>
      <c r="W7" s="49">
        <f t="shared" si="9"/>
        <v>811</v>
      </c>
      <c r="X7" s="50">
        <f t="shared" si="10"/>
        <v>37.831527999999999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114</v>
      </c>
      <c r="C8" s="34">
        <v>140</v>
      </c>
      <c r="D8" s="35">
        <v>240</v>
      </c>
      <c r="E8" s="35">
        <v>4</v>
      </c>
      <c r="F8" s="19">
        <f t="shared" si="5"/>
        <v>0.13439999999999999</v>
      </c>
      <c r="G8" s="23">
        <f>'OCAK 1.HAFTA'!W8</f>
        <v>10</v>
      </c>
      <c r="H8" s="26">
        <f t="shared" si="6"/>
        <v>1.3439999999999999</v>
      </c>
      <c r="I8" s="21">
        <v>1</v>
      </c>
      <c r="J8" s="205">
        <f t="shared" si="0"/>
        <v>0.13439999999999999</v>
      </c>
      <c r="K8" s="21">
        <v>0</v>
      </c>
      <c r="L8" s="10">
        <f t="shared" si="1"/>
        <v>0</v>
      </c>
      <c r="M8" s="21">
        <v>0</v>
      </c>
      <c r="N8" s="205">
        <f t="shared" si="2"/>
        <v>0</v>
      </c>
      <c r="O8" s="21">
        <v>0</v>
      </c>
      <c r="P8" s="10">
        <f t="shared" si="7"/>
        <v>0</v>
      </c>
      <c r="Q8" s="21">
        <v>0</v>
      </c>
      <c r="R8" s="205">
        <f t="shared" si="3"/>
        <v>0</v>
      </c>
      <c r="S8" s="39">
        <f t="shared" si="11"/>
        <v>9</v>
      </c>
      <c r="T8" s="38">
        <f t="shared" si="4"/>
        <v>1.2096</v>
      </c>
      <c r="U8" s="21">
        <v>0</v>
      </c>
      <c r="V8" s="13">
        <f t="shared" si="8"/>
        <v>0</v>
      </c>
      <c r="W8" s="49">
        <f t="shared" si="9"/>
        <v>9</v>
      </c>
      <c r="X8" s="50">
        <f t="shared" si="10"/>
        <v>1.2096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6</v>
      </c>
      <c r="C9" s="34">
        <v>140</v>
      </c>
      <c r="D9" s="35">
        <v>240</v>
      </c>
      <c r="E9" s="35">
        <v>2</v>
      </c>
      <c r="F9" s="19">
        <f t="shared" si="5"/>
        <v>6.7199999999999996E-2</v>
      </c>
      <c r="G9" s="23">
        <f>'OCAK 1.HAFTA'!W9</f>
        <v>234</v>
      </c>
      <c r="H9" s="26">
        <f t="shared" si="6"/>
        <v>15.724799999999998</v>
      </c>
      <c r="I9" s="21">
        <v>3</v>
      </c>
      <c r="J9" s="205">
        <f t="shared" si="0"/>
        <v>0.2016</v>
      </c>
      <c r="K9" s="21">
        <v>74</v>
      </c>
      <c r="L9" s="10">
        <f t="shared" si="1"/>
        <v>4.9727999999999994</v>
      </c>
      <c r="M9" s="21">
        <v>3</v>
      </c>
      <c r="N9" s="205">
        <f t="shared" si="2"/>
        <v>0.2016</v>
      </c>
      <c r="O9" s="21">
        <v>8</v>
      </c>
      <c r="P9" s="10">
        <f t="shared" si="7"/>
        <v>0.53759999999999997</v>
      </c>
      <c r="Q9" s="21">
        <v>0</v>
      </c>
      <c r="R9" s="205">
        <f t="shared" si="3"/>
        <v>0</v>
      </c>
      <c r="S9" s="39">
        <f t="shared" si="11"/>
        <v>146</v>
      </c>
      <c r="T9" s="38">
        <f t="shared" si="4"/>
        <v>9.8111999999999995</v>
      </c>
      <c r="U9" s="21">
        <v>233</v>
      </c>
      <c r="V9" s="13">
        <f t="shared" si="8"/>
        <v>15.657599999999999</v>
      </c>
      <c r="W9" s="49">
        <f t="shared" si="9"/>
        <v>379</v>
      </c>
      <c r="X9" s="50">
        <f t="shared" si="10"/>
        <v>25.468799999999998</v>
      </c>
      <c r="Y9" s="238">
        <v>50</v>
      </c>
      <c r="Z9" s="101">
        <v>150</v>
      </c>
    </row>
    <row r="10" spans="1:26" x14ac:dyDescent="0.25">
      <c r="A10" s="264">
        <v>6</v>
      </c>
      <c r="B10" s="256" t="s">
        <v>7</v>
      </c>
      <c r="C10" s="34">
        <v>140</v>
      </c>
      <c r="D10" s="35">
        <v>240</v>
      </c>
      <c r="E10" s="35">
        <v>2</v>
      </c>
      <c r="F10" s="19">
        <f t="shared" si="5"/>
        <v>6.7199999999999996E-2</v>
      </c>
      <c r="G10" s="23">
        <f>'OCAK 1.HAFTA'!W10</f>
        <v>0</v>
      </c>
      <c r="H10" s="26">
        <f t="shared" si="6"/>
        <v>0</v>
      </c>
      <c r="I10" s="21">
        <v>22</v>
      </c>
      <c r="J10" s="205">
        <f t="shared" si="0"/>
        <v>1.4783999999999999</v>
      </c>
      <c r="K10" s="21">
        <v>6</v>
      </c>
      <c r="L10" s="10">
        <f t="shared" si="1"/>
        <v>0.4032</v>
      </c>
      <c r="M10" s="21">
        <v>31</v>
      </c>
      <c r="N10" s="205">
        <f t="shared" si="2"/>
        <v>2.0831999999999997</v>
      </c>
      <c r="O10" s="21">
        <v>28</v>
      </c>
      <c r="P10" s="10">
        <f t="shared" si="7"/>
        <v>1.8815999999999999</v>
      </c>
      <c r="Q10" s="21">
        <v>22</v>
      </c>
      <c r="R10" s="205">
        <f t="shared" si="3"/>
        <v>1.4783999999999999</v>
      </c>
      <c r="S10" s="39">
        <f t="shared" si="11"/>
        <v>-109</v>
      </c>
      <c r="T10" s="38">
        <f t="shared" si="4"/>
        <v>-7.3247999999999998</v>
      </c>
      <c r="U10" s="21">
        <v>184</v>
      </c>
      <c r="V10" s="13">
        <f t="shared" si="8"/>
        <v>12.364799999999999</v>
      </c>
      <c r="W10" s="49">
        <f t="shared" si="9"/>
        <v>75</v>
      </c>
      <c r="X10" s="50">
        <f t="shared" si="10"/>
        <v>5.04</v>
      </c>
      <c r="Y10" s="238">
        <v>75</v>
      </c>
      <c r="Z10" s="101">
        <v>300</v>
      </c>
    </row>
    <row r="11" spans="1:26" x14ac:dyDescent="0.25">
      <c r="A11" s="264">
        <v>7</v>
      </c>
      <c r="B11" s="256" t="s">
        <v>8</v>
      </c>
      <c r="C11" s="34">
        <v>140</v>
      </c>
      <c r="D11" s="35">
        <v>240</v>
      </c>
      <c r="E11" s="35">
        <v>7</v>
      </c>
      <c r="F11" s="19">
        <f t="shared" si="5"/>
        <v>0.23519999999999999</v>
      </c>
      <c r="G11" s="23">
        <f>'OCAK 1.HAFTA'!W11</f>
        <v>29</v>
      </c>
      <c r="H11" s="26">
        <f t="shared" si="6"/>
        <v>6.8208000000000002</v>
      </c>
      <c r="I11" s="21">
        <v>0</v>
      </c>
      <c r="J11" s="205">
        <f t="shared" si="0"/>
        <v>0</v>
      </c>
      <c r="K11" s="21">
        <v>4</v>
      </c>
      <c r="L11" s="10">
        <f t="shared" si="1"/>
        <v>0.94079999999999997</v>
      </c>
      <c r="M11" s="21">
        <v>6</v>
      </c>
      <c r="N11" s="205">
        <f t="shared" si="2"/>
        <v>1.4112</v>
      </c>
      <c r="O11" s="21">
        <v>0</v>
      </c>
      <c r="P11" s="10">
        <f t="shared" si="7"/>
        <v>0</v>
      </c>
      <c r="Q11" s="21">
        <v>0</v>
      </c>
      <c r="R11" s="205">
        <f t="shared" si="3"/>
        <v>0</v>
      </c>
      <c r="S11" s="39">
        <f t="shared" si="11"/>
        <v>19</v>
      </c>
      <c r="T11" s="38">
        <f t="shared" si="4"/>
        <v>4.4687999999999999</v>
      </c>
      <c r="U11" s="21">
        <v>4</v>
      </c>
      <c r="V11" s="13">
        <f t="shared" si="8"/>
        <v>0.94079999999999997</v>
      </c>
      <c r="W11" s="49">
        <f t="shared" si="9"/>
        <v>23</v>
      </c>
      <c r="X11" s="50">
        <f t="shared" si="10"/>
        <v>5.4096000000000002</v>
      </c>
      <c r="Y11" s="238">
        <v>20</v>
      </c>
      <c r="Z11" s="101">
        <v>50</v>
      </c>
    </row>
    <row r="12" spans="1:26" x14ac:dyDescent="0.25">
      <c r="A12" s="264">
        <v>8</v>
      </c>
      <c r="B12" s="256" t="s">
        <v>9</v>
      </c>
      <c r="C12" s="34">
        <v>140</v>
      </c>
      <c r="D12" s="35">
        <v>240</v>
      </c>
      <c r="E12" s="35">
        <v>5</v>
      </c>
      <c r="F12" s="19">
        <f t="shared" si="5"/>
        <v>0.16800000000000001</v>
      </c>
      <c r="G12" s="23">
        <f>'OCAK 1.HAFTA'!W12</f>
        <v>235</v>
      </c>
      <c r="H12" s="26">
        <f t="shared" si="6"/>
        <v>39.480000000000004</v>
      </c>
      <c r="I12" s="21">
        <v>1</v>
      </c>
      <c r="J12" s="205">
        <f t="shared" si="0"/>
        <v>0.16800000000000001</v>
      </c>
      <c r="K12" s="21">
        <v>3</v>
      </c>
      <c r="L12" s="10">
        <f t="shared" si="1"/>
        <v>0.504</v>
      </c>
      <c r="M12" s="21">
        <v>1</v>
      </c>
      <c r="N12" s="205">
        <f t="shared" si="2"/>
        <v>0.16800000000000001</v>
      </c>
      <c r="O12" s="21">
        <v>8</v>
      </c>
      <c r="P12" s="10">
        <f t="shared" si="7"/>
        <v>1.3440000000000001</v>
      </c>
      <c r="Q12" s="21">
        <v>6</v>
      </c>
      <c r="R12" s="205">
        <f t="shared" si="3"/>
        <v>1.008</v>
      </c>
      <c r="S12" s="39">
        <f t="shared" si="11"/>
        <v>216</v>
      </c>
      <c r="T12" s="38">
        <f t="shared" si="4"/>
        <v>36.288000000000004</v>
      </c>
      <c r="U12" s="21">
        <v>0</v>
      </c>
      <c r="V12" s="13">
        <f t="shared" si="8"/>
        <v>0</v>
      </c>
      <c r="W12" s="49">
        <f t="shared" si="9"/>
        <v>216</v>
      </c>
      <c r="X12" s="50">
        <f t="shared" si="10"/>
        <v>36.288000000000004</v>
      </c>
      <c r="Y12" s="238">
        <v>30</v>
      </c>
      <c r="Z12" s="101">
        <v>100</v>
      </c>
    </row>
    <row r="13" spans="1:26" x14ac:dyDescent="0.25">
      <c r="A13" s="264">
        <v>9</v>
      </c>
      <c r="B13" s="256" t="s">
        <v>10</v>
      </c>
      <c r="C13" s="34">
        <v>140</v>
      </c>
      <c r="D13" s="35">
        <v>240</v>
      </c>
      <c r="E13" s="35">
        <v>5</v>
      </c>
      <c r="F13" s="19">
        <f t="shared" si="5"/>
        <v>0.16800000000000001</v>
      </c>
      <c r="G13" s="23">
        <f>'OCAK 1.HAFTA'!W13</f>
        <v>90</v>
      </c>
      <c r="H13" s="26">
        <f t="shared" si="6"/>
        <v>15.120000000000001</v>
      </c>
      <c r="I13" s="21">
        <v>0</v>
      </c>
      <c r="J13" s="205">
        <f t="shared" si="0"/>
        <v>0</v>
      </c>
      <c r="K13" s="21">
        <v>1</v>
      </c>
      <c r="L13" s="10">
        <f t="shared" si="1"/>
        <v>0.16800000000000001</v>
      </c>
      <c r="M13" s="21">
        <v>0</v>
      </c>
      <c r="N13" s="205">
        <f t="shared" si="2"/>
        <v>0</v>
      </c>
      <c r="O13" s="21">
        <v>0</v>
      </c>
      <c r="P13" s="10">
        <f t="shared" si="7"/>
        <v>0</v>
      </c>
      <c r="Q13" s="21">
        <v>0</v>
      </c>
      <c r="R13" s="205">
        <f t="shared" si="3"/>
        <v>0</v>
      </c>
      <c r="S13" s="39">
        <f t="shared" si="11"/>
        <v>89</v>
      </c>
      <c r="T13" s="38">
        <f t="shared" si="4"/>
        <v>14.952000000000002</v>
      </c>
      <c r="U13" s="21">
        <v>0</v>
      </c>
      <c r="V13" s="13">
        <f t="shared" si="8"/>
        <v>0</v>
      </c>
      <c r="W13" s="49">
        <f t="shared" si="9"/>
        <v>89</v>
      </c>
      <c r="X13" s="50">
        <f t="shared" si="10"/>
        <v>14.952000000000002</v>
      </c>
      <c r="Y13" s="238">
        <v>20</v>
      </c>
      <c r="Z13" s="101">
        <v>50</v>
      </c>
    </row>
    <row r="14" spans="1:26" x14ac:dyDescent="0.25">
      <c r="A14" s="264">
        <v>10</v>
      </c>
      <c r="B14" s="256" t="s">
        <v>11</v>
      </c>
      <c r="C14" s="34">
        <v>140</v>
      </c>
      <c r="D14" s="35">
        <v>240</v>
      </c>
      <c r="E14" s="35">
        <v>5</v>
      </c>
      <c r="F14" s="19">
        <f t="shared" si="5"/>
        <v>0.16800000000000001</v>
      </c>
      <c r="G14" s="23">
        <f>'OCAK 1.HAFTA'!W14</f>
        <v>234</v>
      </c>
      <c r="H14" s="26">
        <f t="shared" si="6"/>
        <v>39.312000000000005</v>
      </c>
      <c r="I14" s="21">
        <v>0</v>
      </c>
      <c r="J14" s="205">
        <f t="shared" si="0"/>
        <v>0</v>
      </c>
      <c r="K14" s="21">
        <v>0</v>
      </c>
      <c r="L14" s="10">
        <f t="shared" si="1"/>
        <v>0</v>
      </c>
      <c r="M14" s="21">
        <v>1</v>
      </c>
      <c r="N14" s="205">
        <f t="shared" si="2"/>
        <v>0.16800000000000001</v>
      </c>
      <c r="O14" s="21">
        <v>2</v>
      </c>
      <c r="P14" s="10">
        <f t="shared" si="7"/>
        <v>0.33600000000000002</v>
      </c>
      <c r="Q14" s="21">
        <v>3</v>
      </c>
      <c r="R14" s="205">
        <f t="shared" si="3"/>
        <v>0.504</v>
      </c>
      <c r="S14" s="39">
        <f t="shared" si="11"/>
        <v>228</v>
      </c>
      <c r="T14" s="38">
        <f t="shared" si="4"/>
        <v>38.304000000000002</v>
      </c>
      <c r="U14" s="21">
        <v>0</v>
      </c>
      <c r="V14" s="13">
        <f t="shared" si="8"/>
        <v>0</v>
      </c>
      <c r="W14" s="49">
        <f t="shared" si="9"/>
        <v>228</v>
      </c>
      <c r="X14" s="50">
        <f t="shared" si="10"/>
        <v>38.304000000000002</v>
      </c>
      <c r="Y14" s="238">
        <v>30</v>
      </c>
      <c r="Z14" s="101">
        <v>100</v>
      </c>
    </row>
    <row r="15" spans="1:26" x14ac:dyDescent="0.25">
      <c r="A15" s="264">
        <v>11</v>
      </c>
      <c r="B15" s="256" t="s">
        <v>12</v>
      </c>
      <c r="C15" s="34">
        <v>140</v>
      </c>
      <c r="D15" s="35">
        <v>240</v>
      </c>
      <c r="E15" s="35">
        <v>10</v>
      </c>
      <c r="F15" s="19">
        <f t="shared" si="5"/>
        <v>0.33600000000000002</v>
      </c>
      <c r="G15" s="23">
        <f>'OCAK 1.HAFTA'!W15</f>
        <v>31</v>
      </c>
      <c r="H15" s="26">
        <f t="shared" si="6"/>
        <v>10.416</v>
      </c>
      <c r="I15" s="21">
        <v>0</v>
      </c>
      <c r="J15" s="205">
        <f t="shared" si="0"/>
        <v>0</v>
      </c>
      <c r="K15" s="21">
        <v>0</v>
      </c>
      <c r="L15" s="10">
        <f t="shared" si="1"/>
        <v>0</v>
      </c>
      <c r="M15" s="21">
        <v>0</v>
      </c>
      <c r="N15" s="205">
        <f t="shared" si="2"/>
        <v>0</v>
      </c>
      <c r="O15" s="21">
        <v>3</v>
      </c>
      <c r="P15" s="10">
        <f t="shared" si="7"/>
        <v>1.008</v>
      </c>
      <c r="Q15" s="21">
        <v>2</v>
      </c>
      <c r="R15" s="205">
        <f t="shared" si="3"/>
        <v>0.67200000000000004</v>
      </c>
      <c r="S15" s="39">
        <f t="shared" si="11"/>
        <v>26</v>
      </c>
      <c r="T15" s="38">
        <f t="shared" si="4"/>
        <v>8.7360000000000007</v>
      </c>
      <c r="U15" s="21">
        <v>0</v>
      </c>
      <c r="V15" s="13">
        <f t="shared" si="8"/>
        <v>0</v>
      </c>
      <c r="W15" s="49">
        <f t="shared" si="9"/>
        <v>26</v>
      </c>
      <c r="X15" s="50">
        <f t="shared" si="10"/>
        <v>8.7360000000000007</v>
      </c>
      <c r="Y15" s="238">
        <v>20</v>
      </c>
      <c r="Z15" s="101">
        <v>70</v>
      </c>
    </row>
    <row r="16" spans="1:26" x14ac:dyDescent="0.25">
      <c r="A16" s="264">
        <v>12</v>
      </c>
      <c r="B16" s="256" t="s">
        <v>13</v>
      </c>
      <c r="C16" s="34">
        <v>140</v>
      </c>
      <c r="D16" s="35">
        <v>240</v>
      </c>
      <c r="E16" s="35">
        <v>3</v>
      </c>
      <c r="F16" s="19">
        <f t="shared" si="5"/>
        <v>0.1008</v>
      </c>
      <c r="G16" s="23">
        <f>'OCAK 1.HAFTA'!W16</f>
        <v>0</v>
      </c>
      <c r="H16" s="26">
        <f t="shared" si="6"/>
        <v>0</v>
      </c>
      <c r="I16" s="21">
        <v>0</v>
      </c>
      <c r="J16" s="205">
        <f t="shared" si="0"/>
        <v>0</v>
      </c>
      <c r="K16" s="21">
        <v>0</v>
      </c>
      <c r="L16" s="10">
        <f t="shared" si="1"/>
        <v>0</v>
      </c>
      <c r="M16" s="21">
        <v>0</v>
      </c>
      <c r="N16" s="205">
        <f t="shared" si="2"/>
        <v>0</v>
      </c>
      <c r="O16" s="21">
        <v>0</v>
      </c>
      <c r="P16" s="10">
        <f t="shared" si="7"/>
        <v>0</v>
      </c>
      <c r="Q16" s="21">
        <v>3</v>
      </c>
      <c r="R16" s="205">
        <f t="shared" si="3"/>
        <v>0.3024</v>
      </c>
      <c r="S16" s="39">
        <f t="shared" si="11"/>
        <v>-3</v>
      </c>
      <c r="T16" s="38">
        <f t="shared" si="4"/>
        <v>-0.3024</v>
      </c>
      <c r="U16" s="21">
        <v>95</v>
      </c>
      <c r="V16" s="13">
        <f t="shared" si="8"/>
        <v>9.5760000000000005</v>
      </c>
      <c r="W16" s="49">
        <f t="shared" si="9"/>
        <v>92</v>
      </c>
      <c r="X16" s="50">
        <f t="shared" si="10"/>
        <v>9.2736000000000001</v>
      </c>
      <c r="Y16" s="238">
        <v>50</v>
      </c>
      <c r="Z16" s="101">
        <v>150</v>
      </c>
    </row>
    <row r="17" spans="1:26" x14ac:dyDescent="0.25">
      <c r="A17" s="264">
        <v>13</v>
      </c>
      <c r="B17" s="256" t="s">
        <v>14</v>
      </c>
      <c r="C17" s="34">
        <v>140</v>
      </c>
      <c r="D17" s="35">
        <v>240</v>
      </c>
      <c r="E17" s="35">
        <v>5</v>
      </c>
      <c r="F17" s="19">
        <f t="shared" si="5"/>
        <v>0.16800000000000001</v>
      </c>
      <c r="G17" s="23">
        <f>'OCAK 1.HAFTA'!W17</f>
        <v>50</v>
      </c>
      <c r="H17" s="26">
        <f t="shared" si="6"/>
        <v>8.4</v>
      </c>
      <c r="I17" s="21">
        <v>0</v>
      </c>
      <c r="J17" s="205">
        <f t="shared" si="0"/>
        <v>0</v>
      </c>
      <c r="K17" s="21">
        <v>0</v>
      </c>
      <c r="L17" s="10">
        <f t="shared" si="1"/>
        <v>0</v>
      </c>
      <c r="M17" s="21">
        <v>0</v>
      </c>
      <c r="N17" s="205">
        <f t="shared" si="2"/>
        <v>0</v>
      </c>
      <c r="O17" s="21">
        <v>4</v>
      </c>
      <c r="P17" s="10">
        <f t="shared" si="7"/>
        <v>0.67200000000000004</v>
      </c>
      <c r="Q17" s="21">
        <v>0</v>
      </c>
      <c r="R17" s="205">
        <f t="shared" si="3"/>
        <v>0</v>
      </c>
      <c r="S17" s="39">
        <f t="shared" si="11"/>
        <v>46</v>
      </c>
      <c r="T17" s="38">
        <f t="shared" si="4"/>
        <v>7.7280000000000006</v>
      </c>
      <c r="U17" s="21">
        <v>0</v>
      </c>
      <c r="V17" s="13">
        <f t="shared" si="8"/>
        <v>0</v>
      </c>
      <c r="W17" s="49">
        <f t="shared" si="9"/>
        <v>46</v>
      </c>
      <c r="X17" s="50">
        <f t="shared" si="10"/>
        <v>7.7280000000000006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15</v>
      </c>
      <c r="C18" s="34">
        <v>140</v>
      </c>
      <c r="D18" s="35">
        <v>240</v>
      </c>
      <c r="E18" s="35">
        <v>3</v>
      </c>
      <c r="F18" s="19">
        <f t="shared" si="5"/>
        <v>0.1008</v>
      </c>
      <c r="G18" s="23">
        <f>'OCAK 1.HAFTA'!W18</f>
        <v>128</v>
      </c>
      <c r="H18" s="26">
        <f t="shared" si="6"/>
        <v>12.9024</v>
      </c>
      <c r="I18" s="21">
        <v>60</v>
      </c>
      <c r="J18" s="205">
        <f t="shared" si="0"/>
        <v>6.048</v>
      </c>
      <c r="K18" s="21">
        <v>5</v>
      </c>
      <c r="L18" s="10">
        <f t="shared" si="1"/>
        <v>0.504</v>
      </c>
      <c r="M18" s="21">
        <v>2</v>
      </c>
      <c r="N18" s="205">
        <f t="shared" si="2"/>
        <v>0.2016</v>
      </c>
      <c r="O18" s="21">
        <v>33</v>
      </c>
      <c r="P18" s="10">
        <f t="shared" si="7"/>
        <v>3.3264</v>
      </c>
      <c r="Q18" s="21">
        <v>0</v>
      </c>
      <c r="R18" s="205">
        <f t="shared" si="3"/>
        <v>0</v>
      </c>
      <c r="S18" s="39">
        <f t="shared" si="11"/>
        <v>28</v>
      </c>
      <c r="T18" s="38">
        <f t="shared" si="4"/>
        <v>2.8224</v>
      </c>
      <c r="U18" s="21">
        <v>71</v>
      </c>
      <c r="V18" s="13">
        <f t="shared" si="8"/>
        <v>7.1568000000000005</v>
      </c>
      <c r="W18" s="49">
        <f t="shared" si="9"/>
        <v>99</v>
      </c>
      <c r="X18" s="50">
        <f t="shared" si="10"/>
        <v>9.9792000000000005</v>
      </c>
      <c r="Y18" s="238">
        <v>30</v>
      </c>
      <c r="Z18" s="101">
        <v>100</v>
      </c>
    </row>
    <row r="19" spans="1:26" x14ac:dyDescent="0.25">
      <c r="A19" s="264">
        <v>15</v>
      </c>
      <c r="B19" s="256" t="s">
        <v>16</v>
      </c>
      <c r="C19" s="34">
        <v>140</v>
      </c>
      <c r="D19" s="35">
        <v>240</v>
      </c>
      <c r="E19" s="35">
        <v>8</v>
      </c>
      <c r="F19" s="19">
        <f t="shared" si="5"/>
        <v>0.26879999999999998</v>
      </c>
      <c r="G19" s="23">
        <f>'OCAK 1.HAFTA'!W19</f>
        <v>0</v>
      </c>
      <c r="H19" s="26">
        <f t="shared" si="6"/>
        <v>0</v>
      </c>
      <c r="I19" s="21">
        <v>0</v>
      </c>
      <c r="J19" s="205">
        <f t="shared" si="0"/>
        <v>0</v>
      </c>
      <c r="K19" s="21">
        <v>0</v>
      </c>
      <c r="L19" s="10">
        <f t="shared" si="1"/>
        <v>0</v>
      </c>
      <c r="M19" s="21">
        <v>0</v>
      </c>
      <c r="N19" s="205">
        <f t="shared" si="2"/>
        <v>0</v>
      </c>
      <c r="O19" s="21">
        <v>0</v>
      </c>
      <c r="P19" s="10">
        <f t="shared" si="7"/>
        <v>0</v>
      </c>
      <c r="Q19" s="21">
        <v>0</v>
      </c>
      <c r="R19" s="205">
        <f t="shared" si="3"/>
        <v>0</v>
      </c>
      <c r="S19" s="39">
        <f t="shared" si="11"/>
        <v>0</v>
      </c>
      <c r="T19" s="38">
        <f t="shared" si="4"/>
        <v>0</v>
      </c>
      <c r="U19" s="21">
        <v>0</v>
      </c>
      <c r="V19" s="13">
        <f t="shared" si="8"/>
        <v>0</v>
      </c>
      <c r="W19" s="49">
        <f t="shared" si="9"/>
        <v>0</v>
      </c>
      <c r="X19" s="50">
        <f t="shared" si="10"/>
        <v>0</v>
      </c>
      <c r="Y19" s="238">
        <v>10</v>
      </c>
      <c r="Z19" s="101">
        <v>30</v>
      </c>
    </row>
    <row r="20" spans="1:26" x14ac:dyDescent="0.25">
      <c r="A20" s="264">
        <v>16</v>
      </c>
      <c r="B20" s="256" t="s">
        <v>17</v>
      </c>
      <c r="C20" s="34">
        <v>140</v>
      </c>
      <c r="D20" s="35">
        <v>240</v>
      </c>
      <c r="E20" s="35">
        <v>8</v>
      </c>
      <c r="F20" s="19">
        <f t="shared" si="5"/>
        <v>0.26879999999999998</v>
      </c>
      <c r="G20" s="23">
        <f>'OCAK 1.HAFTA'!W20</f>
        <v>0</v>
      </c>
      <c r="H20" s="26">
        <f t="shared" si="6"/>
        <v>0</v>
      </c>
      <c r="I20" s="21">
        <v>0</v>
      </c>
      <c r="J20" s="205">
        <f t="shared" si="0"/>
        <v>0</v>
      </c>
      <c r="K20" s="21">
        <v>0</v>
      </c>
      <c r="L20" s="10">
        <f t="shared" si="1"/>
        <v>0</v>
      </c>
      <c r="M20" s="21">
        <v>0</v>
      </c>
      <c r="N20" s="205">
        <f t="shared" si="2"/>
        <v>0</v>
      </c>
      <c r="O20" s="21">
        <v>0</v>
      </c>
      <c r="P20" s="10">
        <f t="shared" si="7"/>
        <v>0</v>
      </c>
      <c r="Q20" s="21">
        <v>0</v>
      </c>
      <c r="R20" s="205">
        <f t="shared" si="3"/>
        <v>0</v>
      </c>
      <c r="S20" s="39">
        <f t="shared" si="11"/>
        <v>0</v>
      </c>
      <c r="T20" s="38">
        <f t="shared" si="4"/>
        <v>0</v>
      </c>
      <c r="U20" s="21">
        <v>0</v>
      </c>
      <c r="V20" s="13">
        <f t="shared" si="8"/>
        <v>0</v>
      </c>
      <c r="W20" s="49">
        <f t="shared" si="9"/>
        <v>0</v>
      </c>
      <c r="X20" s="50">
        <f t="shared" si="10"/>
        <v>0</v>
      </c>
      <c r="Y20" s="238">
        <v>0</v>
      </c>
      <c r="Z20" s="101">
        <v>0</v>
      </c>
    </row>
    <row r="21" spans="1:26" x14ac:dyDescent="0.25">
      <c r="A21" s="264">
        <v>17</v>
      </c>
      <c r="B21" s="256" t="s">
        <v>19</v>
      </c>
      <c r="C21" s="34">
        <v>77</v>
      </c>
      <c r="D21" s="35">
        <v>55</v>
      </c>
      <c r="E21" s="35">
        <v>8</v>
      </c>
      <c r="F21" s="19">
        <f t="shared" si="5"/>
        <v>3.388E-2</v>
      </c>
      <c r="G21" s="23">
        <f>'OCAK 1.HAFTA'!W21</f>
        <v>0</v>
      </c>
      <c r="H21" s="26">
        <f t="shared" si="6"/>
        <v>0</v>
      </c>
      <c r="I21" s="21">
        <v>0</v>
      </c>
      <c r="J21" s="205">
        <f t="shared" si="0"/>
        <v>0</v>
      </c>
      <c r="K21" s="21">
        <v>0</v>
      </c>
      <c r="L21" s="10">
        <f t="shared" si="1"/>
        <v>0</v>
      </c>
      <c r="M21" s="21">
        <v>0</v>
      </c>
      <c r="N21" s="205">
        <f t="shared" si="2"/>
        <v>0</v>
      </c>
      <c r="O21" s="21">
        <v>0</v>
      </c>
      <c r="P21" s="10">
        <f t="shared" si="7"/>
        <v>0</v>
      </c>
      <c r="Q21" s="21">
        <v>0</v>
      </c>
      <c r="R21" s="205">
        <f t="shared" si="3"/>
        <v>0</v>
      </c>
      <c r="S21" s="39">
        <f t="shared" si="11"/>
        <v>0</v>
      </c>
      <c r="T21" s="38">
        <f t="shared" si="4"/>
        <v>0</v>
      </c>
      <c r="U21" s="21">
        <v>0</v>
      </c>
      <c r="V21" s="13">
        <f t="shared" si="8"/>
        <v>0</v>
      </c>
      <c r="W21" s="49">
        <f t="shared" si="9"/>
        <v>0</v>
      </c>
      <c r="X21" s="50">
        <f t="shared" si="10"/>
        <v>0</v>
      </c>
      <c r="Y21" s="238">
        <v>0</v>
      </c>
      <c r="Z21" s="101">
        <v>0</v>
      </c>
    </row>
    <row r="22" spans="1:26" x14ac:dyDescent="0.25">
      <c r="A22" s="264">
        <v>18</v>
      </c>
      <c r="B22" s="256" t="s">
        <v>20</v>
      </c>
      <c r="C22" s="34">
        <v>65</v>
      </c>
      <c r="D22" s="35">
        <v>50</v>
      </c>
      <c r="E22" s="35">
        <v>12</v>
      </c>
      <c r="F22" s="19">
        <f t="shared" si="5"/>
        <v>3.9E-2</v>
      </c>
      <c r="G22" s="23">
        <f>'OCAK 1.HAFTA'!W22</f>
        <v>26</v>
      </c>
      <c r="H22" s="26">
        <f t="shared" si="6"/>
        <v>1.014</v>
      </c>
      <c r="I22" s="21">
        <v>0</v>
      </c>
      <c r="J22" s="205">
        <f t="shared" si="0"/>
        <v>0</v>
      </c>
      <c r="K22" s="21">
        <v>0</v>
      </c>
      <c r="L22" s="10">
        <f t="shared" si="1"/>
        <v>0</v>
      </c>
      <c r="M22" s="21">
        <v>0</v>
      </c>
      <c r="N22" s="205">
        <f t="shared" si="2"/>
        <v>0</v>
      </c>
      <c r="O22" s="21">
        <v>0</v>
      </c>
      <c r="P22" s="10">
        <f t="shared" si="7"/>
        <v>0</v>
      </c>
      <c r="Q22" s="21">
        <v>0</v>
      </c>
      <c r="R22" s="205">
        <f t="shared" si="3"/>
        <v>0</v>
      </c>
      <c r="S22" s="39">
        <f t="shared" si="11"/>
        <v>26</v>
      </c>
      <c r="T22" s="38">
        <f t="shared" si="4"/>
        <v>1.014</v>
      </c>
      <c r="U22" s="21">
        <v>0</v>
      </c>
      <c r="V22" s="13">
        <f t="shared" si="8"/>
        <v>0</v>
      </c>
      <c r="W22" s="49">
        <f t="shared" si="9"/>
        <v>26</v>
      </c>
      <c r="X22" s="50">
        <f t="shared" si="10"/>
        <v>1.014</v>
      </c>
      <c r="Y22" s="238">
        <v>0</v>
      </c>
      <c r="Z22" s="101">
        <v>0</v>
      </c>
    </row>
    <row r="23" spans="1:26" x14ac:dyDescent="0.25">
      <c r="A23" s="264">
        <v>19</v>
      </c>
      <c r="B23" s="42" t="s">
        <v>103</v>
      </c>
      <c r="C23" s="34">
        <v>58</v>
      </c>
      <c r="D23" s="35">
        <v>58</v>
      </c>
      <c r="E23" s="35">
        <v>5</v>
      </c>
      <c r="F23" s="19">
        <f t="shared" si="5"/>
        <v>1.6820000000000002E-2</v>
      </c>
      <c r="G23" s="23">
        <f>'OCAK 1.HAFTA'!W23</f>
        <v>71</v>
      </c>
      <c r="H23" s="26">
        <f t="shared" si="6"/>
        <v>1.1942200000000001</v>
      </c>
      <c r="I23" s="21">
        <v>0</v>
      </c>
      <c r="J23" s="205">
        <f t="shared" si="0"/>
        <v>0</v>
      </c>
      <c r="K23" s="21">
        <v>4</v>
      </c>
      <c r="L23" s="10">
        <f t="shared" si="1"/>
        <v>6.7280000000000006E-2</v>
      </c>
      <c r="M23" s="21">
        <v>0</v>
      </c>
      <c r="N23" s="205">
        <f t="shared" si="2"/>
        <v>0</v>
      </c>
      <c r="O23" s="21">
        <v>0</v>
      </c>
      <c r="P23" s="10">
        <f t="shared" si="7"/>
        <v>0</v>
      </c>
      <c r="Q23" s="21">
        <v>0</v>
      </c>
      <c r="R23" s="205">
        <f t="shared" si="3"/>
        <v>0</v>
      </c>
      <c r="S23" s="39">
        <f t="shared" si="11"/>
        <v>67</v>
      </c>
      <c r="T23" s="38">
        <f t="shared" si="4"/>
        <v>1.1269400000000001</v>
      </c>
      <c r="U23" s="21">
        <v>0</v>
      </c>
      <c r="V23" s="13">
        <f t="shared" si="8"/>
        <v>0</v>
      </c>
      <c r="W23" s="49">
        <f t="shared" si="9"/>
        <v>67</v>
      </c>
      <c r="X23" s="50">
        <f t="shared" si="10"/>
        <v>1.1269400000000001</v>
      </c>
      <c r="Y23" s="238">
        <v>0</v>
      </c>
      <c r="Z23" s="101">
        <v>0</v>
      </c>
    </row>
    <row r="24" spans="1:26" x14ac:dyDescent="0.25">
      <c r="A24" s="264">
        <v>20</v>
      </c>
      <c r="B24" s="256" t="s">
        <v>22</v>
      </c>
      <c r="C24" s="34">
        <v>66</v>
      </c>
      <c r="D24" s="35">
        <v>56</v>
      </c>
      <c r="E24" s="35">
        <v>12</v>
      </c>
      <c r="F24" s="19">
        <f t="shared" si="5"/>
        <v>4.4352000000000003E-2</v>
      </c>
      <c r="G24" s="23">
        <f>'OCAK 1.HAFTA'!W24</f>
        <v>28</v>
      </c>
      <c r="H24" s="26">
        <f t="shared" si="6"/>
        <v>1.2418560000000001</v>
      </c>
      <c r="I24" s="21">
        <v>0</v>
      </c>
      <c r="J24" s="205">
        <f t="shared" si="0"/>
        <v>0</v>
      </c>
      <c r="K24" s="21">
        <v>0</v>
      </c>
      <c r="L24" s="10">
        <f t="shared" si="1"/>
        <v>0</v>
      </c>
      <c r="M24" s="21">
        <v>0</v>
      </c>
      <c r="N24" s="205">
        <f t="shared" si="2"/>
        <v>0</v>
      </c>
      <c r="O24" s="21">
        <v>0</v>
      </c>
      <c r="P24" s="10">
        <f t="shared" si="7"/>
        <v>0</v>
      </c>
      <c r="Q24" s="21">
        <v>0</v>
      </c>
      <c r="R24" s="205">
        <f t="shared" si="3"/>
        <v>0</v>
      </c>
      <c r="S24" s="39">
        <f t="shared" si="11"/>
        <v>28</v>
      </c>
      <c r="T24" s="38">
        <f t="shared" si="4"/>
        <v>1.2418560000000001</v>
      </c>
      <c r="U24" s="21">
        <v>0</v>
      </c>
      <c r="V24" s="13">
        <f t="shared" si="8"/>
        <v>0</v>
      </c>
      <c r="W24" s="49">
        <f t="shared" si="9"/>
        <v>28</v>
      </c>
      <c r="X24" s="50">
        <f t="shared" si="10"/>
        <v>1.2418560000000001</v>
      </c>
      <c r="Y24" s="238">
        <v>0</v>
      </c>
      <c r="Z24" s="101">
        <v>0</v>
      </c>
    </row>
    <row r="25" spans="1:26" x14ac:dyDescent="0.25">
      <c r="A25" s="264">
        <v>21</v>
      </c>
      <c r="B25" s="256" t="s">
        <v>102</v>
      </c>
      <c r="C25" s="34">
        <v>61</v>
      </c>
      <c r="D25" s="35">
        <v>61</v>
      </c>
      <c r="E25" s="35">
        <v>10</v>
      </c>
      <c r="F25" s="19">
        <f t="shared" si="5"/>
        <v>3.721E-2</v>
      </c>
      <c r="G25" s="23">
        <f>'OCAK 1.HAFTA'!W25</f>
        <v>139</v>
      </c>
      <c r="H25" s="26">
        <f t="shared" si="6"/>
        <v>5.1721899999999996</v>
      </c>
      <c r="I25" s="21">
        <v>0</v>
      </c>
      <c r="J25" s="205">
        <f t="shared" si="0"/>
        <v>0</v>
      </c>
      <c r="K25" s="21">
        <v>0</v>
      </c>
      <c r="L25" s="10">
        <f t="shared" si="1"/>
        <v>0</v>
      </c>
      <c r="M25" s="21">
        <v>66</v>
      </c>
      <c r="N25" s="205">
        <f t="shared" si="2"/>
        <v>2.4558599999999999</v>
      </c>
      <c r="O25" s="21">
        <v>0</v>
      </c>
      <c r="P25" s="10">
        <f t="shared" si="7"/>
        <v>0</v>
      </c>
      <c r="Q25" s="21">
        <v>0</v>
      </c>
      <c r="R25" s="205">
        <f t="shared" si="3"/>
        <v>0</v>
      </c>
      <c r="S25" s="39">
        <f t="shared" si="11"/>
        <v>73</v>
      </c>
      <c r="T25" s="38">
        <f t="shared" si="4"/>
        <v>2.7163300000000001</v>
      </c>
      <c r="U25" s="21">
        <v>0</v>
      </c>
      <c r="V25" s="13">
        <f t="shared" si="8"/>
        <v>0</v>
      </c>
      <c r="W25" s="49">
        <f t="shared" si="9"/>
        <v>73</v>
      </c>
      <c r="X25" s="50">
        <f t="shared" si="10"/>
        <v>2.7163300000000001</v>
      </c>
      <c r="Y25" s="238">
        <v>30</v>
      </c>
      <c r="Z25" s="101">
        <v>100</v>
      </c>
    </row>
    <row r="26" spans="1:26" x14ac:dyDescent="0.25">
      <c r="A26" s="264">
        <v>22</v>
      </c>
      <c r="B26" s="256" t="s">
        <v>24</v>
      </c>
      <c r="C26" s="34">
        <v>82</v>
      </c>
      <c r="D26" s="35">
        <v>67</v>
      </c>
      <c r="E26" s="35">
        <v>5</v>
      </c>
      <c r="F26" s="19">
        <f t="shared" si="5"/>
        <v>2.7470000000000001E-2</v>
      </c>
      <c r="G26" s="23">
        <f>'OCAK 1.HAFTA'!W26</f>
        <v>30</v>
      </c>
      <c r="H26" s="26">
        <f t="shared" si="6"/>
        <v>0.82410000000000005</v>
      </c>
      <c r="I26" s="21">
        <v>0</v>
      </c>
      <c r="J26" s="205">
        <f t="shared" si="0"/>
        <v>0</v>
      </c>
      <c r="K26" s="21">
        <v>0</v>
      </c>
      <c r="L26" s="10">
        <f t="shared" si="1"/>
        <v>0</v>
      </c>
      <c r="M26" s="21">
        <v>0</v>
      </c>
      <c r="N26" s="205">
        <f t="shared" si="2"/>
        <v>0</v>
      </c>
      <c r="O26" s="21">
        <v>0</v>
      </c>
      <c r="P26" s="10">
        <f t="shared" si="7"/>
        <v>0</v>
      </c>
      <c r="Q26" s="21">
        <v>0</v>
      </c>
      <c r="R26" s="205">
        <f t="shared" si="3"/>
        <v>0</v>
      </c>
      <c r="S26" s="39">
        <f t="shared" si="11"/>
        <v>30</v>
      </c>
      <c r="T26" s="38">
        <f t="shared" si="4"/>
        <v>0.82410000000000005</v>
      </c>
      <c r="U26" s="21">
        <v>0</v>
      </c>
      <c r="V26" s="13">
        <f t="shared" si="8"/>
        <v>0</v>
      </c>
      <c r="W26" s="49">
        <f t="shared" si="9"/>
        <v>30</v>
      </c>
      <c r="X26" s="50">
        <f t="shared" si="10"/>
        <v>0.82410000000000005</v>
      </c>
      <c r="Y26" s="238">
        <v>0</v>
      </c>
      <c r="Z26" s="101">
        <v>0</v>
      </c>
    </row>
    <row r="27" spans="1:26" x14ac:dyDescent="0.25">
      <c r="A27" s="264">
        <v>23</v>
      </c>
      <c r="B27" s="256" t="s">
        <v>25</v>
      </c>
      <c r="C27" s="34">
        <v>80</v>
      </c>
      <c r="D27" s="35">
        <v>62</v>
      </c>
      <c r="E27" s="35">
        <v>2</v>
      </c>
      <c r="F27" s="19">
        <f t="shared" si="5"/>
        <v>9.92E-3</v>
      </c>
      <c r="G27" s="23">
        <f>'OCAK 1.HAFTA'!W27</f>
        <v>36</v>
      </c>
      <c r="H27" s="26">
        <f t="shared" si="6"/>
        <v>0.35711999999999999</v>
      </c>
      <c r="I27" s="21">
        <v>0</v>
      </c>
      <c r="J27" s="205">
        <f t="shared" si="0"/>
        <v>0</v>
      </c>
      <c r="K27" s="21">
        <v>0</v>
      </c>
      <c r="L27" s="10">
        <f t="shared" si="1"/>
        <v>0</v>
      </c>
      <c r="M27" s="21">
        <v>0</v>
      </c>
      <c r="N27" s="205">
        <f t="shared" si="2"/>
        <v>0</v>
      </c>
      <c r="O27" s="21">
        <v>0</v>
      </c>
      <c r="P27" s="10">
        <f t="shared" si="7"/>
        <v>0</v>
      </c>
      <c r="Q27" s="21">
        <v>0</v>
      </c>
      <c r="R27" s="205">
        <f t="shared" si="3"/>
        <v>0</v>
      </c>
      <c r="S27" s="39">
        <f t="shared" si="11"/>
        <v>36</v>
      </c>
      <c r="T27" s="38">
        <f t="shared" si="4"/>
        <v>0.35711999999999999</v>
      </c>
      <c r="U27" s="21">
        <v>0</v>
      </c>
      <c r="V27" s="13">
        <f t="shared" si="8"/>
        <v>0</v>
      </c>
      <c r="W27" s="49">
        <f t="shared" si="9"/>
        <v>36</v>
      </c>
      <c r="X27" s="50">
        <f t="shared" si="10"/>
        <v>0.35711999999999999</v>
      </c>
      <c r="Y27" s="238">
        <v>0</v>
      </c>
      <c r="Z27" s="101">
        <v>0</v>
      </c>
    </row>
    <row r="28" spans="1:26" x14ac:dyDescent="0.25">
      <c r="A28" s="264">
        <v>24</v>
      </c>
      <c r="B28" s="256" t="s">
        <v>26</v>
      </c>
      <c r="C28" s="34">
        <v>63</v>
      </c>
      <c r="D28" s="35">
        <v>55</v>
      </c>
      <c r="E28" s="35">
        <v>5</v>
      </c>
      <c r="F28" s="19">
        <f t="shared" si="5"/>
        <v>1.7325E-2</v>
      </c>
      <c r="G28" s="23">
        <f>'OCAK 1.HAFTA'!W28</f>
        <v>7</v>
      </c>
      <c r="H28" s="26">
        <f t="shared" si="6"/>
        <v>0.12127499999999999</v>
      </c>
      <c r="I28" s="21">
        <v>0</v>
      </c>
      <c r="J28" s="205">
        <f t="shared" si="0"/>
        <v>0</v>
      </c>
      <c r="K28" s="21">
        <v>0</v>
      </c>
      <c r="L28" s="10">
        <f t="shared" si="1"/>
        <v>0</v>
      </c>
      <c r="M28" s="21">
        <v>0</v>
      </c>
      <c r="N28" s="205">
        <f t="shared" si="2"/>
        <v>0</v>
      </c>
      <c r="O28" s="21">
        <v>0</v>
      </c>
      <c r="P28" s="10">
        <f t="shared" si="7"/>
        <v>0</v>
      </c>
      <c r="Q28" s="21">
        <v>0</v>
      </c>
      <c r="R28" s="205">
        <f t="shared" si="3"/>
        <v>0</v>
      </c>
      <c r="S28" s="39">
        <f t="shared" si="11"/>
        <v>7</v>
      </c>
      <c r="T28" s="38">
        <f t="shared" si="4"/>
        <v>0.12127499999999999</v>
      </c>
      <c r="U28" s="21">
        <v>0</v>
      </c>
      <c r="V28" s="13">
        <f t="shared" si="8"/>
        <v>0</v>
      </c>
      <c r="W28" s="49">
        <f t="shared" si="9"/>
        <v>7</v>
      </c>
      <c r="X28" s="50">
        <f t="shared" si="10"/>
        <v>0.12127499999999999</v>
      </c>
      <c r="Y28" s="238">
        <v>0</v>
      </c>
      <c r="Z28" s="101">
        <v>0</v>
      </c>
    </row>
    <row r="29" spans="1:26" x14ac:dyDescent="0.25">
      <c r="A29" s="264">
        <v>25</v>
      </c>
      <c r="B29" s="256" t="s">
        <v>27</v>
      </c>
      <c r="C29" s="34">
        <v>140</v>
      </c>
      <c r="D29" s="35">
        <v>240</v>
      </c>
      <c r="E29" s="35">
        <v>5</v>
      </c>
      <c r="F29" s="19">
        <f t="shared" si="5"/>
        <v>0.16800000000000001</v>
      </c>
      <c r="G29" s="23">
        <f>'OCAK 1.HAFTA'!W29</f>
        <v>6</v>
      </c>
      <c r="H29" s="26">
        <f t="shared" si="6"/>
        <v>1.008</v>
      </c>
      <c r="I29" s="21">
        <v>0</v>
      </c>
      <c r="J29" s="205">
        <f t="shared" si="0"/>
        <v>0</v>
      </c>
      <c r="K29" s="21">
        <v>0</v>
      </c>
      <c r="L29" s="10">
        <f t="shared" si="1"/>
        <v>0</v>
      </c>
      <c r="M29" s="21">
        <v>0</v>
      </c>
      <c r="N29" s="205">
        <f t="shared" si="2"/>
        <v>0</v>
      </c>
      <c r="O29" s="21">
        <v>0</v>
      </c>
      <c r="P29" s="10">
        <f t="shared" si="7"/>
        <v>0</v>
      </c>
      <c r="Q29" s="21">
        <v>0</v>
      </c>
      <c r="R29" s="205">
        <f t="shared" si="3"/>
        <v>0</v>
      </c>
      <c r="S29" s="39">
        <f t="shared" si="11"/>
        <v>6</v>
      </c>
      <c r="T29" s="38">
        <f t="shared" si="4"/>
        <v>1.008</v>
      </c>
      <c r="U29" s="21">
        <v>0</v>
      </c>
      <c r="V29" s="13">
        <f t="shared" si="8"/>
        <v>0</v>
      </c>
      <c r="W29" s="49">
        <f t="shared" si="9"/>
        <v>6</v>
      </c>
      <c r="X29" s="50">
        <f t="shared" si="10"/>
        <v>1.008</v>
      </c>
      <c r="Y29" s="238">
        <v>0</v>
      </c>
      <c r="Z29" s="101">
        <v>0</v>
      </c>
    </row>
    <row r="30" spans="1:26" x14ac:dyDescent="0.25">
      <c r="A30" s="264">
        <v>26</v>
      </c>
      <c r="B30" s="256" t="s">
        <v>112</v>
      </c>
      <c r="C30" s="34">
        <v>140</v>
      </c>
      <c r="D30" s="35">
        <v>240</v>
      </c>
      <c r="E30" s="35">
        <v>10</v>
      </c>
      <c r="F30" s="19">
        <f t="shared" si="5"/>
        <v>0.33600000000000002</v>
      </c>
      <c r="G30" s="23">
        <f>'OCAK 1.HAFTA'!W30</f>
        <v>21</v>
      </c>
      <c r="H30" s="26">
        <f t="shared" si="6"/>
        <v>7.056</v>
      </c>
      <c r="I30" s="21">
        <v>0</v>
      </c>
      <c r="J30" s="205">
        <f t="shared" si="0"/>
        <v>0</v>
      </c>
      <c r="K30" s="21">
        <v>0</v>
      </c>
      <c r="L30" s="10">
        <f t="shared" si="1"/>
        <v>0</v>
      </c>
      <c r="M30" s="21">
        <v>0</v>
      </c>
      <c r="N30" s="205">
        <f t="shared" si="2"/>
        <v>0</v>
      </c>
      <c r="O30" s="21">
        <v>0</v>
      </c>
      <c r="P30" s="10">
        <f t="shared" si="7"/>
        <v>0</v>
      </c>
      <c r="Q30" s="21">
        <v>0</v>
      </c>
      <c r="R30" s="205">
        <f t="shared" si="3"/>
        <v>0</v>
      </c>
      <c r="S30" s="39">
        <f t="shared" si="11"/>
        <v>21</v>
      </c>
      <c r="T30" s="38">
        <f t="shared" si="4"/>
        <v>7.056</v>
      </c>
      <c r="U30" s="21">
        <v>0</v>
      </c>
      <c r="V30" s="13">
        <f t="shared" si="8"/>
        <v>0</v>
      </c>
      <c r="W30" s="49">
        <f t="shared" si="9"/>
        <v>21</v>
      </c>
      <c r="X30" s="50">
        <f t="shared" si="10"/>
        <v>7.056</v>
      </c>
      <c r="Y30" s="238">
        <v>0</v>
      </c>
      <c r="Z30" s="101">
        <v>0</v>
      </c>
    </row>
    <row r="31" spans="1:26" x14ac:dyDescent="0.25">
      <c r="A31" s="264">
        <v>27</v>
      </c>
      <c r="B31" s="256" t="s">
        <v>29</v>
      </c>
      <c r="C31" s="34">
        <v>140</v>
      </c>
      <c r="D31" s="35">
        <v>240</v>
      </c>
      <c r="E31" s="35">
        <v>3</v>
      </c>
      <c r="F31" s="19">
        <f t="shared" si="5"/>
        <v>0.1008</v>
      </c>
      <c r="G31" s="23">
        <f>'OCAK 1.HAFTA'!W31</f>
        <v>26</v>
      </c>
      <c r="H31" s="26">
        <f t="shared" si="6"/>
        <v>2.6208</v>
      </c>
      <c r="I31" s="21">
        <v>0</v>
      </c>
      <c r="J31" s="205">
        <f t="shared" si="0"/>
        <v>0</v>
      </c>
      <c r="K31" s="21">
        <v>0</v>
      </c>
      <c r="L31" s="10">
        <f t="shared" si="1"/>
        <v>0</v>
      </c>
      <c r="M31" s="21">
        <v>0</v>
      </c>
      <c r="N31" s="205">
        <f t="shared" si="2"/>
        <v>0</v>
      </c>
      <c r="O31" s="21">
        <v>0</v>
      </c>
      <c r="P31" s="10">
        <f t="shared" si="7"/>
        <v>0</v>
      </c>
      <c r="Q31" s="21">
        <v>0</v>
      </c>
      <c r="R31" s="205">
        <f t="shared" si="3"/>
        <v>0</v>
      </c>
      <c r="S31" s="39">
        <f t="shared" si="11"/>
        <v>26</v>
      </c>
      <c r="T31" s="38">
        <f t="shared" si="4"/>
        <v>2.6208</v>
      </c>
      <c r="U31" s="21">
        <v>0</v>
      </c>
      <c r="V31" s="13">
        <f t="shared" si="8"/>
        <v>0</v>
      </c>
      <c r="W31" s="49">
        <f t="shared" si="9"/>
        <v>26</v>
      </c>
      <c r="X31" s="50">
        <f t="shared" si="10"/>
        <v>2.6208</v>
      </c>
      <c r="Y31" s="238">
        <v>0</v>
      </c>
      <c r="Z31" s="101">
        <v>0</v>
      </c>
    </row>
    <row r="32" spans="1:26" x14ac:dyDescent="0.25">
      <c r="A32" s="264">
        <v>28</v>
      </c>
      <c r="B32" s="256" t="s">
        <v>129</v>
      </c>
      <c r="C32" s="34">
        <v>105</v>
      </c>
      <c r="D32" s="35">
        <v>55</v>
      </c>
      <c r="E32" s="35">
        <v>3</v>
      </c>
      <c r="F32" s="19">
        <f t="shared" si="5"/>
        <v>1.7325E-2</v>
      </c>
      <c r="G32" s="23">
        <f>'OCAK 1.HAFTA'!W32</f>
        <v>0</v>
      </c>
      <c r="H32" s="26">
        <f t="shared" si="6"/>
        <v>0</v>
      </c>
      <c r="I32" s="21">
        <v>0</v>
      </c>
      <c r="J32" s="205">
        <f t="shared" si="0"/>
        <v>0</v>
      </c>
      <c r="K32" s="21">
        <v>0</v>
      </c>
      <c r="L32" s="10">
        <f t="shared" si="1"/>
        <v>0</v>
      </c>
      <c r="M32" s="21">
        <v>0</v>
      </c>
      <c r="N32" s="205">
        <f t="shared" si="2"/>
        <v>0</v>
      </c>
      <c r="O32" s="21">
        <v>0</v>
      </c>
      <c r="P32" s="10">
        <f t="shared" si="7"/>
        <v>0</v>
      </c>
      <c r="Q32" s="21">
        <v>0</v>
      </c>
      <c r="R32" s="205">
        <f t="shared" si="3"/>
        <v>0</v>
      </c>
      <c r="S32" s="39">
        <f t="shared" si="11"/>
        <v>0</v>
      </c>
      <c r="T32" s="38">
        <f t="shared" si="4"/>
        <v>0</v>
      </c>
      <c r="U32" s="21">
        <v>99</v>
      </c>
      <c r="V32" s="13">
        <f t="shared" si="8"/>
        <v>1.7151750000000001</v>
      </c>
      <c r="W32" s="49">
        <f t="shared" si="9"/>
        <v>99</v>
      </c>
      <c r="X32" s="50">
        <f t="shared" si="10"/>
        <v>1.7151750000000001</v>
      </c>
      <c r="Y32" s="238">
        <v>0</v>
      </c>
      <c r="Z32" s="101">
        <v>0</v>
      </c>
    </row>
    <row r="33" spans="1:26" x14ac:dyDescent="0.25">
      <c r="A33" s="264">
        <v>29</v>
      </c>
      <c r="B33" s="256" t="s">
        <v>31</v>
      </c>
      <c r="C33" s="34">
        <v>90</v>
      </c>
      <c r="D33" s="35">
        <v>80</v>
      </c>
      <c r="E33" s="35">
        <v>8</v>
      </c>
      <c r="F33" s="19">
        <f t="shared" si="5"/>
        <v>5.7599999999999998E-2</v>
      </c>
      <c r="G33" s="23">
        <f>'OCAK 1.HAFTA'!W33</f>
        <v>0</v>
      </c>
      <c r="H33" s="26">
        <f t="shared" si="6"/>
        <v>0</v>
      </c>
      <c r="I33" s="21">
        <v>0</v>
      </c>
      <c r="J33" s="205">
        <f t="shared" si="0"/>
        <v>0</v>
      </c>
      <c r="K33" s="21">
        <v>0</v>
      </c>
      <c r="L33" s="10">
        <f t="shared" si="1"/>
        <v>0</v>
      </c>
      <c r="M33" s="21">
        <v>0</v>
      </c>
      <c r="N33" s="205">
        <f t="shared" si="2"/>
        <v>0</v>
      </c>
      <c r="O33" s="21">
        <v>0</v>
      </c>
      <c r="P33" s="10">
        <f t="shared" si="7"/>
        <v>0</v>
      </c>
      <c r="Q33" s="21">
        <v>0</v>
      </c>
      <c r="R33" s="205">
        <f t="shared" si="3"/>
        <v>0</v>
      </c>
      <c r="S33" s="39">
        <f t="shared" si="11"/>
        <v>0</v>
      </c>
      <c r="T33" s="38">
        <f t="shared" si="4"/>
        <v>0</v>
      </c>
      <c r="U33" s="21">
        <v>0</v>
      </c>
      <c r="V33" s="13">
        <f t="shared" si="8"/>
        <v>0</v>
      </c>
      <c r="W33" s="49">
        <f t="shared" si="9"/>
        <v>0</v>
      </c>
      <c r="X33" s="50">
        <f t="shared" si="10"/>
        <v>0</v>
      </c>
      <c r="Y33" s="238">
        <v>0</v>
      </c>
      <c r="Z33" s="101">
        <v>0</v>
      </c>
    </row>
    <row r="34" spans="1:26" x14ac:dyDescent="0.25">
      <c r="A34" s="264">
        <v>30</v>
      </c>
      <c r="B34" s="256" t="s">
        <v>32</v>
      </c>
      <c r="C34" s="34"/>
      <c r="D34" s="35"/>
      <c r="E34" s="35"/>
      <c r="F34" s="19">
        <f t="shared" si="5"/>
        <v>0</v>
      </c>
      <c r="G34" s="23">
        <f>'OCAK 1.HAFTA'!W34</f>
        <v>300</v>
      </c>
      <c r="H34" s="26">
        <f t="shared" si="6"/>
        <v>0</v>
      </c>
      <c r="I34" s="21">
        <v>0</v>
      </c>
      <c r="J34" s="205">
        <f t="shared" si="0"/>
        <v>0</v>
      </c>
      <c r="K34" s="21">
        <v>0</v>
      </c>
      <c r="L34" s="10">
        <f t="shared" si="1"/>
        <v>0</v>
      </c>
      <c r="M34" s="21">
        <v>0</v>
      </c>
      <c r="N34" s="205">
        <f t="shared" si="2"/>
        <v>0</v>
      </c>
      <c r="O34" s="21">
        <v>0</v>
      </c>
      <c r="P34" s="10">
        <f t="shared" si="7"/>
        <v>0</v>
      </c>
      <c r="Q34" s="21">
        <v>0</v>
      </c>
      <c r="R34" s="205">
        <f t="shared" si="3"/>
        <v>0</v>
      </c>
      <c r="S34" s="39">
        <f t="shared" si="11"/>
        <v>300</v>
      </c>
      <c r="T34" s="38">
        <f t="shared" si="4"/>
        <v>0</v>
      </c>
      <c r="U34" s="21">
        <v>0</v>
      </c>
      <c r="V34" s="13">
        <f t="shared" si="8"/>
        <v>0</v>
      </c>
      <c r="W34" s="49">
        <f t="shared" si="9"/>
        <v>300</v>
      </c>
      <c r="X34" s="50">
        <f t="shared" si="10"/>
        <v>0</v>
      </c>
      <c r="Y34" s="238">
        <v>0</v>
      </c>
      <c r="Z34" s="101">
        <v>0</v>
      </c>
    </row>
    <row r="35" spans="1:26" x14ac:dyDescent="0.25">
      <c r="A35" s="264">
        <v>31</v>
      </c>
      <c r="B35" s="256" t="s">
        <v>33</v>
      </c>
      <c r="C35" s="34">
        <v>80</v>
      </c>
      <c r="D35" s="35">
        <v>66</v>
      </c>
      <c r="E35" s="35">
        <v>5</v>
      </c>
      <c r="F35" s="19">
        <f t="shared" si="5"/>
        <v>2.64E-2</v>
      </c>
      <c r="G35" s="23">
        <f>'OCAK 1.HAFTA'!W35</f>
        <v>56</v>
      </c>
      <c r="H35" s="26">
        <f t="shared" si="6"/>
        <v>1.4783999999999999</v>
      </c>
      <c r="I35" s="21">
        <v>0</v>
      </c>
      <c r="J35" s="205">
        <f t="shared" si="0"/>
        <v>0</v>
      </c>
      <c r="K35" s="21">
        <v>0</v>
      </c>
      <c r="L35" s="10">
        <f t="shared" si="1"/>
        <v>0</v>
      </c>
      <c r="M35" s="21">
        <v>0</v>
      </c>
      <c r="N35" s="205">
        <f t="shared" si="2"/>
        <v>0</v>
      </c>
      <c r="O35" s="21">
        <v>0</v>
      </c>
      <c r="P35" s="10">
        <f t="shared" si="7"/>
        <v>0</v>
      </c>
      <c r="Q35" s="21">
        <v>0</v>
      </c>
      <c r="R35" s="205">
        <f t="shared" si="3"/>
        <v>0</v>
      </c>
      <c r="S35" s="39">
        <f t="shared" si="11"/>
        <v>56</v>
      </c>
      <c r="T35" s="38">
        <f t="shared" si="4"/>
        <v>1.4783999999999999</v>
      </c>
      <c r="U35" s="21">
        <v>0</v>
      </c>
      <c r="V35" s="13">
        <f t="shared" si="8"/>
        <v>0</v>
      </c>
      <c r="W35" s="49">
        <f t="shared" si="9"/>
        <v>56</v>
      </c>
      <c r="X35" s="50">
        <f t="shared" si="10"/>
        <v>1.4783999999999999</v>
      </c>
      <c r="Y35" s="238">
        <v>0</v>
      </c>
      <c r="Z35" s="101">
        <v>0</v>
      </c>
    </row>
    <row r="36" spans="1:26" x14ac:dyDescent="0.25">
      <c r="A36" s="264">
        <v>32</v>
      </c>
      <c r="B36" s="256" t="s">
        <v>110</v>
      </c>
      <c r="C36" s="34">
        <v>60</v>
      </c>
      <c r="D36" s="35">
        <v>62</v>
      </c>
      <c r="E36" s="35">
        <v>5</v>
      </c>
      <c r="F36" s="19">
        <f t="shared" si="5"/>
        <v>1.8599999999999998E-2</v>
      </c>
      <c r="G36" s="23">
        <f>'OCAK 1.HAFTA'!W36</f>
        <v>0</v>
      </c>
      <c r="H36" s="26">
        <f t="shared" si="6"/>
        <v>0</v>
      </c>
      <c r="I36" s="21">
        <v>0</v>
      </c>
      <c r="J36" s="205">
        <f t="shared" si="0"/>
        <v>0</v>
      </c>
      <c r="K36" s="21">
        <v>0</v>
      </c>
      <c r="L36" s="10">
        <f t="shared" si="1"/>
        <v>0</v>
      </c>
      <c r="M36" s="21">
        <v>0</v>
      </c>
      <c r="N36" s="205">
        <f t="shared" si="2"/>
        <v>0</v>
      </c>
      <c r="O36" s="21">
        <v>0</v>
      </c>
      <c r="P36" s="10">
        <f t="shared" si="7"/>
        <v>0</v>
      </c>
      <c r="Q36" s="21">
        <v>0</v>
      </c>
      <c r="R36" s="205">
        <f t="shared" si="3"/>
        <v>0</v>
      </c>
      <c r="S36" s="39">
        <f t="shared" si="11"/>
        <v>0</v>
      </c>
      <c r="T36" s="38">
        <f t="shared" si="4"/>
        <v>0</v>
      </c>
      <c r="U36" s="21">
        <v>0</v>
      </c>
      <c r="V36" s="13">
        <f t="shared" si="8"/>
        <v>0</v>
      </c>
      <c r="W36" s="49">
        <f t="shared" si="9"/>
        <v>0</v>
      </c>
      <c r="X36" s="50">
        <f t="shared" si="10"/>
        <v>0</v>
      </c>
      <c r="Y36" s="238">
        <v>0</v>
      </c>
      <c r="Z36" s="101">
        <v>0</v>
      </c>
    </row>
    <row r="37" spans="1:26" x14ac:dyDescent="0.25">
      <c r="A37" s="264">
        <v>33</v>
      </c>
      <c r="B37" s="256" t="s">
        <v>41</v>
      </c>
      <c r="C37" s="34">
        <v>60</v>
      </c>
      <c r="D37" s="35">
        <v>67</v>
      </c>
      <c r="E37" s="35">
        <v>3</v>
      </c>
      <c r="F37" s="19">
        <f t="shared" si="5"/>
        <v>1.206E-2</v>
      </c>
      <c r="G37" s="23">
        <f>'OCAK 1.HAFTA'!W37</f>
        <v>12</v>
      </c>
      <c r="H37" s="26">
        <f t="shared" si="6"/>
        <v>0.14471999999999999</v>
      </c>
      <c r="I37" s="21">
        <v>0</v>
      </c>
      <c r="J37" s="205">
        <f t="shared" si="0"/>
        <v>0</v>
      </c>
      <c r="K37" s="21">
        <v>0</v>
      </c>
      <c r="L37" s="10">
        <f t="shared" si="1"/>
        <v>0</v>
      </c>
      <c r="M37" s="21">
        <v>0</v>
      </c>
      <c r="N37" s="205">
        <f t="shared" si="2"/>
        <v>0</v>
      </c>
      <c r="O37" s="21">
        <v>0</v>
      </c>
      <c r="P37" s="10">
        <f t="shared" si="7"/>
        <v>0</v>
      </c>
      <c r="Q37" s="21">
        <v>0</v>
      </c>
      <c r="R37" s="205">
        <f t="shared" si="3"/>
        <v>0</v>
      </c>
      <c r="S37" s="39">
        <f t="shared" si="11"/>
        <v>12</v>
      </c>
      <c r="T37" s="38">
        <f t="shared" si="4"/>
        <v>0.14471999999999999</v>
      </c>
      <c r="U37" s="21">
        <v>0</v>
      </c>
      <c r="V37" s="13">
        <f t="shared" si="8"/>
        <v>0</v>
      </c>
      <c r="W37" s="49">
        <f t="shared" si="9"/>
        <v>12</v>
      </c>
      <c r="X37" s="50">
        <f t="shared" si="10"/>
        <v>0.14471999999999999</v>
      </c>
      <c r="Y37" s="238">
        <v>0</v>
      </c>
      <c r="Z37" s="101">
        <v>0</v>
      </c>
    </row>
    <row r="38" spans="1:26" x14ac:dyDescent="0.25">
      <c r="A38" s="264">
        <v>34</v>
      </c>
      <c r="B38" s="256" t="s">
        <v>126</v>
      </c>
      <c r="C38" s="34">
        <v>75</v>
      </c>
      <c r="D38" s="35">
        <v>55</v>
      </c>
      <c r="E38" s="35">
        <v>3</v>
      </c>
      <c r="F38" s="19">
        <f t="shared" si="5"/>
        <v>1.2375000000000001E-2</v>
      </c>
      <c r="G38" s="23">
        <f>'OCAK 1.HAFTA'!W38</f>
        <v>0</v>
      </c>
      <c r="H38" s="26">
        <f t="shared" si="6"/>
        <v>0</v>
      </c>
      <c r="I38" s="21">
        <v>0</v>
      </c>
      <c r="J38" s="205">
        <f t="shared" si="0"/>
        <v>0</v>
      </c>
      <c r="K38" s="21">
        <v>0</v>
      </c>
      <c r="L38" s="10">
        <f t="shared" si="1"/>
        <v>0</v>
      </c>
      <c r="M38" s="21">
        <v>0</v>
      </c>
      <c r="N38" s="205">
        <f t="shared" si="2"/>
        <v>0</v>
      </c>
      <c r="O38" s="21">
        <v>0</v>
      </c>
      <c r="P38" s="10">
        <f t="shared" si="7"/>
        <v>0</v>
      </c>
      <c r="Q38" s="21">
        <v>0</v>
      </c>
      <c r="R38" s="205">
        <f t="shared" si="3"/>
        <v>0</v>
      </c>
      <c r="S38" s="39">
        <f t="shared" si="11"/>
        <v>0</v>
      </c>
      <c r="T38" s="38">
        <f t="shared" si="4"/>
        <v>0</v>
      </c>
      <c r="U38" s="21">
        <v>60</v>
      </c>
      <c r="V38" s="13">
        <f t="shared" si="8"/>
        <v>0.74250000000000005</v>
      </c>
      <c r="W38" s="49">
        <f t="shared" si="9"/>
        <v>60</v>
      </c>
      <c r="X38" s="50">
        <f t="shared" si="10"/>
        <v>0.74250000000000005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127</v>
      </c>
      <c r="C39" s="34">
        <v>84</v>
      </c>
      <c r="D39" s="35">
        <v>55</v>
      </c>
      <c r="E39" s="35">
        <v>3</v>
      </c>
      <c r="F39" s="19">
        <f t="shared" si="5"/>
        <v>1.3860000000000001E-2</v>
      </c>
      <c r="G39" s="23">
        <f>'OCAK 1.HAFTA'!W39</f>
        <v>0</v>
      </c>
      <c r="H39" s="26">
        <f t="shared" si="6"/>
        <v>0</v>
      </c>
      <c r="I39" s="21">
        <v>0</v>
      </c>
      <c r="J39" s="205">
        <f t="shared" si="0"/>
        <v>0</v>
      </c>
      <c r="K39" s="21">
        <v>0</v>
      </c>
      <c r="L39" s="10">
        <f t="shared" si="1"/>
        <v>0</v>
      </c>
      <c r="M39" s="21">
        <v>0</v>
      </c>
      <c r="N39" s="205">
        <f t="shared" si="2"/>
        <v>0</v>
      </c>
      <c r="O39" s="21">
        <v>0</v>
      </c>
      <c r="P39" s="10">
        <f t="shared" si="7"/>
        <v>0</v>
      </c>
      <c r="Q39" s="21">
        <v>0</v>
      </c>
      <c r="R39" s="205">
        <f t="shared" si="3"/>
        <v>0</v>
      </c>
      <c r="S39" s="39">
        <f t="shared" si="11"/>
        <v>0</v>
      </c>
      <c r="T39" s="38">
        <f t="shared" si="4"/>
        <v>0</v>
      </c>
      <c r="U39" s="21">
        <v>82</v>
      </c>
      <c r="V39" s="13">
        <f t="shared" si="8"/>
        <v>1.13652</v>
      </c>
      <c r="W39" s="49">
        <f t="shared" si="9"/>
        <v>82</v>
      </c>
      <c r="X39" s="50">
        <f t="shared" si="10"/>
        <v>1.13652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128</v>
      </c>
      <c r="C40" s="34">
        <v>105</v>
      </c>
      <c r="D40" s="35">
        <v>65</v>
      </c>
      <c r="E40" s="35">
        <v>3</v>
      </c>
      <c r="F40" s="19">
        <f t="shared" si="5"/>
        <v>2.0475E-2</v>
      </c>
      <c r="G40" s="23">
        <f>'OCAK 1.HAFTA'!W40</f>
        <v>0</v>
      </c>
      <c r="H40" s="26">
        <f t="shared" si="6"/>
        <v>0</v>
      </c>
      <c r="I40" s="21">
        <v>0</v>
      </c>
      <c r="J40" s="205">
        <f t="shared" si="0"/>
        <v>0</v>
      </c>
      <c r="K40" s="21">
        <v>0</v>
      </c>
      <c r="L40" s="10">
        <f t="shared" si="1"/>
        <v>0</v>
      </c>
      <c r="M40" s="21">
        <v>0</v>
      </c>
      <c r="N40" s="205">
        <f t="shared" si="2"/>
        <v>0</v>
      </c>
      <c r="O40" s="21">
        <v>0</v>
      </c>
      <c r="P40" s="10">
        <f t="shared" si="7"/>
        <v>0</v>
      </c>
      <c r="Q40" s="21">
        <v>22</v>
      </c>
      <c r="R40" s="205">
        <f t="shared" si="3"/>
        <v>0.45045000000000002</v>
      </c>
      <c r="S40" s="39">
        <f t="shared" si="11"/>
        <v>-22</v>
      </c>
      <c r="T40" s="38">
        <f t="shared" si="4"/>
        <v>-0.45045000000000002</v>
      </c>
      <c r="U40" s="21">
        <v>99</v>
      </c>
      <c r="V40" s="13">
        <f t="shared" si="8"/>
        <v>2.0270250000000001</v>
      </c>
      <c r="W40" s="49">
        <f t="shared" si="9"/>
        <v>77</v>
      </c>
      <c r="X40" s="50">
        <f t="shared" si="10"/>
        <v>1.5765750000000001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38</v>
      </c>
      <c r="C41" s="34">
        <v>63</v>
      </c>
      <c r="D41" s="35">
        <v>55</v>
      </c>
      <c r="E41" s="35">
        <v>5</v>
      </c>
      <c r="F41" s="19">
        <f t="shared" si="5"/>
        <v>1.7325E-2</v>
      </c>
      <c r="G41" s="23">
        <f>'OCAK 1.HAFTA'!W41</f>
        <v>10</v>
      </c>
      <c r="H41" s="26">
        <f t="shared" si="6"/>
        <v>0.17325000000000002</v>
      </c>
      <c r="I41" s="21">
        <v>0</v>
      </c>
      <c r="J41" s="205">
        <f t="shared" si="0"/>
        <v>0</v>
      </c>
      <c r="K41" s="21">
        <v>0</v>
      </c>
      <c r="L41" s="10">
        <f t="shared" si="1"/>
        <v>0</v>
      </c>
      <c r="M41" s="21">
        <v>0</v>
      </c>
      <c r="N41" s="205">
        <f t="shared" si="2"/>
        <v>0</v>
      </c>
      <c r="O41" s="21">
        <v>0</v>
      </c>
      <c r="P41" s="10">
        <f t="shared" si="7"/>
        <v>0</v>
      </c>
      <c r="Q41" s="21">
        <v>0</v>
      </c>
      <c r="R41" s="205">
        <f t="shared" si="3"/>
        <v>0</v>
      </c>
      <c r="S41" s="39">
        <f t="shared" si="11"/>
        <v>10</v>
      </c>
      <c r="T41" s="38">
        <f t="shared" si="4"/>
        <v>0.17325000000000002</v>
      </c>
      <c r="U41" s="21">
        <v>0</v>
      </c>
      <c r="V41" s="13">
        <f t="shared" si="8"/>
        <v>0</v>
      </c>
      <c r="W41" s="49">
        <f t="shared" si="9"/>
        <v>10</v>
      </c>
      <c r="X41" s="50">
        <f t="shared" si="10"/>
        <v>0.17325000000000002</v>
      </c>
      <c r="Y41" s="238">
        <v>0</v>
      </c>
      <c r="Z41" s="101">
        <v>0</v>
      </c>
    </row>
    <row r="42" spans="1:26" x14ac:dyDescent="0.25">
      <c r="A42" s="264">
        <v>38</v>
      </c>
      <c r="B42" s="256" t="s">
        <v>120</v>
      </c>
      <c r="C42" s="34">
        <v>52</v>
      </c>
      <c r="D42" s="35">
        <v>52</v>
      </c>
      <c r="E42" s="35">
        <v>5</v>
      </c>
      <c r="F42" s="19">
        <f t="shared" si="5"/>
        <v>1.3520000000000001E-2</v>
      </c>
      <c r="G42" s="23">
        <f>'OCAK 1.HAFTA'!W42</f>
        <v>152</v>
      </c>
      <c r="H42" s="26">
        <f t="shared" si="6"/>
        <v>2.05504</v>
      </c>
      <c r="I42" s="21">
        <v>0</v>
      </c>
      <c r="J42" s="205">
        <f t="shared" si="0"/>
        <v>0</v>
      </c>
      <c r="K42" s="21">
        <v>4</v>
      </c>
      <c r="L42" s="10">
        <f t="shared" si="1"/>
        <v>5.4080000000000003E-2</v>
      </c>
      <c r="M42" s="21">
        <v>15</v>
      </c>
      <c r="N42" s="205">
        <f t="shared" si="2"/>
        <v>0.20280000000000001</v>
      </c>
      <c r="O42" s="21">
        <v>6</v>
      </c>
      <c r="P42" s="10">
        <f t="shared" si="7"/>
        <v>8.1119999999999998E-2</v>
      </c>
      <c r="Q42" s="21">
        <v>82</v>
      </c>
      <c r="R42" s="205">
        <f t="shared" si="3"/>
        <v>1.1086400000000001</v>
      </c>
      <c r="S42" s="39">
        <f t="shared" si="11"/>
        <v>45</v>
      </c>
      <c r="T42" s="38">
        <f t="shared" si="4"/>
        <v>0.60840000000000005</v>
      </c>
      <c r="U42" s="21">
        <v>0</v>
      </c>
      <c r="V42" s="13">
        <f t="shared" si="8"/>
        <v>0</v>
      </c>
      <c r="W42" s="49">
        <f t="shared" si="9"/>
        <v>45</v>
      </c>
      <c r="X42" s="50">
        <f t="shared" si="10"/>
        <v>0.60840000000000005</v>
      </c>
      <c r="Y42" s="238">
        <v>0</v>
      </c>
      <c r="Z42" s="101">
        <v>0</v>
      </c>
    </row>
    <row r="43" spans="1:26" x14ac:dyDescent="0.25">
      <c r="A43" s="264">
        <v>39</v>
      </c>
      <c r="B43" s="256" t="s">
        <v>40</v>
      </c>
      <c r="C43" s="34">
        <v>80</v>
      </c>
      <c r="D43" s="35">
        <v>70</v>
      </c>
      <c r="E43" s="35">
        <v>8</v>
      </c>
      <c r="F43" s="19">
        <f t="shared" si="5"/>
        <v>4.48E-2</v>
      </c>
      <c r="G43" s="23">
        <f>'OCAK 1.HAFTA'!W43</f>
        <v>456</v>
      </c>
      <c r="H43" s="26">
        <f t="shared" si="6"/>
        <v>20.428799999999999</v>
      </c>
      <c r="I43" s="21">
        <v>0</v>
      </c>
      <c r="J43" s="205">
        <f t="shared" si="0"/>
        <v>0</v>
      </c>
      <c r="K43" s="21">
        <v>0</v>
      </c>
      <c r="L43" s="10">
        <f t="shared" si="1"/>
        <v>0</v>
      </c>
      <c r="M43" s="21">
        <v>0</v>
      </c>
      <c r="N43" s="205">
        <f t="shared" si="2"/>
        <v>0</v>
      </c>
      <c r="O43" s="21">
        <v>0</v>
      </c>
      <c r="P43" s="10">
        <f t="shared" si="7"/>
        <v>0</v>
      </c>
      <c r="Q43" s="21">
        <v>0</v>
      </c>
      <c r="R43" s="205">
        <f t="shared" si="3"/>
        <v>0</v>
      </c>
      <c r="S43" s="39">
        <f t="shared" si="11"/>
        <v>456</v>
      </c>
      <c r="T43" s="38">
        <f t="shared" si="4"/>
        <v>20.428799999999999</v>
      </c>
      <c r="U43" s="21">
        <v>0</v>
      </c>
      <c r="V43" s="13">
        <f t="shared" si="8"/>
        <v>0</v>
      </c>
      <c r="W43" s="49">
        <f t="shared" si="9"/>
        <v>456</v>
      </c>
      <c r="X43" s="50">
        <f t="shared" si="10"/>
        <v>20.428799999999999</v>
      </c>
      <c r="Y43" s="238">
        <v>50</v>
      </c>
      <c r="Z43" s="101">
        <v>200</v>
      </c>
    </row>
    <row r="44" spans="1:26" x14ac:dyDescent="0.25">
      <c r="A44" s="264">
        <v>40</v>
      </c>
      <c r="B44" s="256" t="s">
        <v>42</v>
      </c>
      <c r="C44" s="34">
        <v>70</v>
      </c>
      <c r="D44" s="35">
        <v>64</v>
      </c>
      <c r="E44" s="35">
        <v>8</v>
      </c>
      <c r="F44" s="19">
        <f t="shared" si="5"/>
        <v>3.5839999999999997E-2</v>
      </c>
      <c r="G44" s="23">
        <f>'OCAK 1.HAFTA'!W44</f>
        <v>538</v>
      </c>
      <c r="H44" s="26">
        <f t="shared" si="6"/>
        <v>19.28192</v>
      </c>
      <c r="I44" s="21">
        <v>0</v>
      </c>
      <c r="J44" s="205">
        <f t="shared" si="0"/>
        <v>0</v>
      </c>
      <c r="K44" s="21">
        <v>0</v>
      </c>
      <c r="L44" s="10">
        <f t="shared" si="1"/>
        <v>0</v>
      </c>
      <c r="M44" s="21">
        <v>0</v>
      </c>
      <c r="N44" s="205">
        <f t="shared" si="2"/>
        <v>0</v>
      </c>
      <c r="O44" s="21">
        <v>0</v>
      </c>
      <c r="P44" s="10">
        <f t="shared" si="7"/>
        <v>0</v>
      </c>
      <c r="Q44" s="21">
        <v>0</v>
      </c>
      <c r="R44" s="205">
        <f t="shared" si="3"/>
        <v>0</v>
      </c>
      <c r="S44" s="39">
        <f t="shared" si="11"/>
        <v>538</v>
      </c>
      <c r="T44" s="38">
        <f t="shared" si="4"/>
        <v>19.28192</v>
      </c>
      <c r="U44" s="21">
        <v>0</v>
      </c>
      <c r="V44" s="13">
        <f t="shared" si="8"/>
        <v>0</v>
      </c>
      <c r="W44" s="49">
        <f t="shared" si="9"/>
        <v>538</v>
      </c>
      <c r="X44" s="50">
        <f t="shared" si="10"/>
        <v>19.28192</v>
      </c>
      <c r="Y44" s="238">
        <v>50</v>
      </c>
      <c r="Z44" s="101">
        <v>200</v>
      </c>
    </row>
    <row r="45" spans="1:26" x14ac:dyDescent="0.25">
      <c r="A45" s="264">
        <v>41</v>
      </c>
      <c r="B45" s="256" t="s">
        <v>43</v>
      </c>
      <c r="C45" s="34">
        <v>75</v>
      </c>
      <c r="D45" s="35">
        <v>70</v>
      </c>
      <c r="E45" s="35">
        <v>8</v>
      </c>
      <c r="F45" s="19">
        <f t="shared" si="5"/>
        <v>4.2000000000000003E-2</v>
      </c>
      <c r="G45" s="23">
        <f>'OCAK 1.HAFTA'!W45</f>
        <v>110</v>
      </c>
      <c r="H45" s="26">
        <f t="shared" si="6"/>
        <v>4.62</v>
      </c>
      <c r="I45" s="21">
        <v>0</v>
      </c>
      <c r="J45" s="205">
        <f t="shared" si="0"/>
        <v>0</v>
      </c>
      <c r="K45" s="21">
        <v>0</v>
      </c>
      <c r="L45" s="10">
        <f t="shared" si="1"/>
        <v>0</v>
      </c>
      <c r="M45" s="21">
        <v>0</v>
      </c>
      <c r="N45" s="205">
        <f t="shared" si="2"/>
        <v>0</v>
      </c>
      <c r="O45" s="21">
        <v>0</v>
      </c>
      <c r="P45" s="10">
        <f t="shared" si="7"/>
        <v>0</v>
      </c>
      <c r="Q45" s="21">
        <v>0</v>
      </c>
      <c r="R45" s="205">
        <f t="shared" si="3"/>
        <v>0</v>
      </c>
      <c r="S45" s="39">
        <f t="shared" si="11"/>
        <v>110</v>
      </c>
      <c r="T45" s="38">
        <f t="shared" si="4"/>
        <v>4.62</v>
      </c>
      <c r="U45" s="21">
        <v>0</v>
      </c>
      <c r="V45" s="13">
        <f t="shared" si="8"/>
        <v>0</v>
      </c>
      <c r="W45" s="49">
        <f t="shared" si="9"/>
        <v>110</v>
      </c>
      <c r="X45" s="50">
        <f t="shared" si="10"/>
        <v>4.62</v>
      </c>
      <c r="Y45" s="238">
        <v>50</v>
      </c>
      <c r="Z45" s="101">
        <v>200</v>
      </c>
    </row>
    <row r="46" spans="1:26" x14ac:dyDescent="0.25">
      <c r="A46" s="264">
        <v>42</v>
      </c>
      <c r="B46" s="256" t="s">
        <v>119</v>
      </c>
      <c r="C46" s="34">
        <v>143</v>
      </c>
      <c r="D46" s="35">
        <v>66</v>
      </c>
      <c r="E46" s="35">
        <v>5</v>
      </c>
      <c r="F46" s="19">
        <f t="shared" si="5"/>
        <v>4.7190000000000003E-2</v>
      </c>
      <c r="G46" s="23">
        <f>'OCAK 1.HAFTA'!W46</f>
        <v>199</v>
      </c>
      <c r="H46" s="26">
        <f t="shared" si="6"/>
        <v>9.3908100000000001</v>
      </c>
      <c r="I46" s="21">
        <v>0</v>
      </c>
      <c r="J46" s="205">
        <f t="shared" si="0"/>
        <v>0</v>
      </c>
      <c r="K46" s="21">
        <v>12</v>
      </c>
      <c r="L46" s="10">
        <f t="shared" si="1"/>
        <v>0.56628000000000001</v>
      </c>
      <c r="M46" s="21">
        <v>0</v>
      </c>
      <c r="N46" s="205">
        <f t="shared" si="2"/>
        <v>0</v>
      </c>
      <c r="O46" s="21">
        <v>36</v>
      </c>
      <c r="P46" s="10">
        <f t="shared" si="7"/>
        <v>1.6988400000000001</v>
      </c>
      <c r="Q46" s="21">
        <v>12</v>
      </c>
      <c r="R46" s="205">
        <f t="shared" si="3"/>
        <v>0.56628000000000001</v>
      </c>
      <c r="S46" s="39">
        <f t="shared" si="11"/>
        <v>139</v>
      </c>
      <c r="T46" s="38">
        <f t="shared" si="4"/>
        <v>6.5594100000000006</v>
      </c>
      <c r="U46" s="21">
        <v>0</v>
      </c>
      <c r="V46" s="13">
        <f t="shared" si="8"/>
        <v>0</v>
      </c>
      <c r="W46" s="49">
        <f t="shared" si="9"/>
        <v>139</v>
      </c>
      <c r="X46" s="50">
        <f t="shared" si="10"/>
        <v>6.5594100000000006</v>
      </c>
      <c r="Y46" s="238">
        <v>50</v>
      </c>
      <c r="Z46" s="101">
        <v>100</v>
      </c>
    </row>
    <row r="47" spans="1:26" x14ac:dyDescent="0.25">
      <c r="A47" s="264">
        <v>43</v>
      </c>
      <c r="B47" s="256" t="s">
        <v>45</v>
      </c>
      <c r="C47" s="34">
        <v>80</v>
      </c>
      <c r="D47" s="35">
        <v>63</v>
      </c>
      <c r="E47" s="35">
        <v>5</v>
      </c>
      <c r="F47" s="19">
        <f t="shared" si="5"/>
        <v>2.52E-2</v>
      </c>
      <c r="G47" s="23">
        <f>'OCAK 1.HAFTA'!W47</f>
        <v>315</v>
      </c>
      <c r="H47" s="26">
        <f t="shared" si="6"/>
        <v>7.9379999999999997</v>
      </c>
      <c r="I47" s="21">
        <v>0</v>
      </c>
      <c r="J47" s="205">
        <f t="shared" si="0"/>
        <v>0</v>
      </c>
      <c r="K47" s="21">
        <v>0</v>
      </c>
      <c r="L47" s="10">
        <f t="shared" si="1"/>
        <v>0</v>
      </c>
      <c r="M47" s="21">
        <v>0</v>
      </c>
      <c r="N47" s="205">
        <f t="shared" si="2"/>
        <v>0</v>
      </c>
      <c r="O47" s="21">
        <v>0</v>
      </c>
      <c r="P47" s="10">
        <f t="shared" si="7"/>
        <v>0</v>
      </c>
      <c r="Q47" s="21">
        <v>0</v>
      </c>
      <c r="R47" s="205">
        <f t="shared" si="3"/>
        <v>0</v>
      </c>
      <c r="S47" s="39">
        <f t="shared" si="11"/>
        <v>315</v>
      </c>
      <c r="T47" s="38">
        <f t="shared" si="4"/>
        <v>7.9379999999999997</v>
      </c>
      <c r="U47" s="21">
        <v>0</v>
      </c>
      <c r="V47" s="13">
        <f t="shared" si="8"/>
        <v>0</v>
      </c>
      <c r="W47" s="49">
        <f t="shared" si="9"/>
        <v>315</v>
      </c>
      <c r="X47" s="50">
        <f t="shared" si="10"/>
        <v>7.9379999999999997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46</v>
      </c>
      <c r="C48" s="34">
        <v>77</v>
      </c>
      <c r="D48" s="35">
        <v>68</v>
      </c>
      <c r="E48" s="35">
        <v>8</v>
      </c>
      <c r="F48" s="19">
        <f t="shared" si="5"/>
        <v>4.1888000000000002E-2</v>
      </c>
      <c r="G48" s="23">
        <f>'OCAK 1.HAFTA'!W48</f>
        <v>130</v>
      </c>
      <c r="H48" s="26">
        <f t="shared" si="6"/>
        <v>5.4454400000000005</v>
      </c>
      <c r="I48" s="21">
        <v>0</v>
      </c>
      <c r="J48" s="205">
        <f t="shared" si="0"/>
        <v>0</v>
      </c>
      <c r="K48" s="21">
        <v>0</v>
      </c>
      <c r="L48" s="10">
        <f t="shared" si="1"/>
        <v>0</v>
      </c>
      <c r="M48" s="21">
        <v>0</v>
      </c>
      <c r="N48" s="205">
        <f t="shared" si="2"/>
        <v>0</v>
      </c>
      <c r="O48" s="21">
        <v>0</v>
      </c>
      <c r="P48" s="10">
        <f t="shared" si="7"/>
        <v>0</v>
      </c>
      <c r="Q48" s="21">
        <v>0</v>
      </c>
      <c r="R48" s="205">
        <f t="shared" si="3"/>
        <v>0</v>
      </c>
      <c r="S48" s="39">
        <f t="shared" si="11"/>
        <v>130</v>
      </c>
      <c r="T48" s="38">
        <f t="shared" si="4"/>
        <v>5.4454400000000005</v>
      </c>
      <c r="U48" s="21">
        <v>0</v>
      </c>
      <c r="V48" s="13">
        <f t="shared" si="8"/>
        <v>0</v>
      </c>
      <c r="W48" s="49">
        <f t="shared" si="9"/>
        <v>130</v>
      </c>
      <c r="X48" s="50">
        <f t="shared" si="10"/>
        <v>5.4454400000000005</v>
      </c>
      <c r="Y48" s="238">
        <v>50</v>
      </c>
      <c r="Z48" s="101">
        <v>200</v>
      </c>
    </row>
    <row r="49" spans="1:26" x14ac:dyDescent="0.25">
      <c r="A49" s="264">
        <v>45</v>
      </c>
      <c r="B49" s="256" t="s">
        <v>47</v>
      </c>
      <c r="C49" s="34">
        <v>79</v>
      </c>
      <c r="D49" s="35">
        <v>79</v>
      </c>
      <c r="E49" s="35">
        <v>2</v>
      </c>
      <c r="F49" s="19">
        <f t="shared" si="5"/>
        <v>1.2482E-2</v>
      </c>
      <c r="G49" s="23">
        <f>'OCAK 1.HAFTA'!W49</f>
        <v>244</v>
      </c>
      <c r="H49" s="26">
        <f t="shared" si="6"/>
        <v>3.0456080000000001</v>
      </c>
      <c r="I49" s="21">
        <v>0</v>
      </c>
      <c r="J49" s="205">
        <f t="shared" si="0"/>
        <v>0</v>
      </c>
      <c r="K49" s="21">
        <v>0</v>
      </c>
      <c r="L49" s="10">
        <f t="shared" si="1"/>
        <v>0</v>
      </c>
      <c r="M49" s="21">
        <v>0</v>
      </c>
      <c r="N49" s="205">
        <f t="shared" si="2"/>
        <v>0</v>
      </c>
      <c r="O49" s="21">
        <v>0</v>
      </c>
      <c r="P49" s="10">
        <f t="shared" si="7"/>
        <v>0</v>
      </c>
      <c r="Q49" s="21">
        <v>0</v>
      </c>
      <c r="R49" s="205">
        <f t="shared" si="3"/>
        <v>0</v>
      </c>
      <c r="S49" s="39">
        <f t="shared" si="11"/>
        <v>244</v>
      </c>
      <c r="T49" s="38">
        <f t="shared" si="4"/>
        <v>3.0456080000000001</v>
      </c>
      <c r="U49" s="21">
        <v>0</v>
      </c>
      <c r="V49" s="13">
        <f t="shared" si="8"/>
        <v>0</v>
      </c>
      <c r="W49" s="49">
        <f t="shared" si="9"/>
        <v>244</v>
      </c>
      <c r="X49" s="50">
        <f t="shared" si="10"/>
        <v>3.0456080000000001</v>
      </c>
      <c r="Y49" s="238">
        <v>100</v>
      </c>
      <c r="Z49" s="101">
        <v>300</v>
      </c>
    </row>
    <row r="50" spans="1:26" x14ac:dyDescent="0.25">
      <c r="A50" s="264">
        <v>46</v>
      </c>
      <c r="B50" s="256" t="s">
        <v>48</v>
      </c>
      <c r="C50" s="34">
        <v>61</v>
      </c>
      <c r="D50" s="35">
        <v>56</v>
      </c>
      <c r="E50" s="35">
        <v>10</v>
      </c>
      <c r="F50" s="19">
        <f t="shared" si="5"/>
        <v>3.4160000000000003E-2</v>
      </c>
      <c r="G50" s="23">
        <f>'OCAK 1.HAFTA'!W50</f>
        <v>108</v>
      </c>
      <c r="H50" s="26">
        <f t="shared" si="6"/>
        <v>3.6892800000000001</v>
      </c>
      <c r="I50" s="21">
        <v>0</v>
      </c>
      <c r="J50" s="205">
        <f t="shared" si="0"/>
        <v>0</v>
      </c>
      <c r="K50" s="21">
        <v>0</v>
      </c>
      <c r="L50" s="10">
        <f t="shared" si="1"/>
        <v>0</v>
      </c>
      <c r="M50" s="21">
        <v>33</v>
      </c>
      <c r="N50" s="205">
        <f t="shared" si="2"/>
        <v>1.1272800000000001</v>
      </c>
      <c r="O50" s="21">
        <v>0</v>
      </c>
      <c r="P50" s="10">
        <f t="shared" si="7"/>
        <v>0</v>
      </c>
      <c r="Q50" s="21">
        <v>0</v>
      </c>
      <c r="R50" s="205">
        <f t="shared" si="3"/>
        <v>0</v>
      </c>
      <c r="S50" s="39">
        <f t="shared" si="11"/>
        <v>75</v>
      </c>
      <c r="T50" s="38">
        <f t="shared" si="4"/>
        <v>2.5620000000000003</v>
      </c>
      <c r="U50" s="21">
        <v>0</v>
      </c>
      <c r="V50" s="13">
        <f t="shared" si="8"/>
        <v>0</v>
      </c>
      <c r="W50" s="49">
        <f t="shared" si="9"/>
        <v>75</v>
      </c>
      <c r="X50" s="50">
        <f t="shared" si="10"/>
        <v>2.5620000000000003</v>
      </c>
      <c r="Y50" s="238">
        <v>30</v>
      </c>
      <c r="Z50" s="101">
        <v>100</v>
      </c>
    </row>
    <row r="51" spans="1:26" x14ac:dyDescent="0.25">
      <c r="A51" s="264">
        <v>47</v>
      </c>
      <c r="B51" s="256" t="s">
        <v>49</v>
      </c>
      <c r="C51" s="34">
        <v>66</v>
      </c>
      <c r="D51" s="35">
        <v>61</v>
      </c>
      <c r="E51" s="35">
        <v>10</v>
      </c>
      <c r="F51" s="19">
        <f t="shared" si="5"/>
        <v>4.0259999999999997E-2</v>
      </c>
      <c r="G51" s="23">
        <f>'OCAK 1.HAFTA'!W51</f>
        <v>96</v>
      </c>
      <c r="H51" s="26">
        <f t="shared" si="6"/>
        <v>3.86496</v>
      </c>
      <c r="I51" s="21">
        <v>0</v>
      </c>
      <c r="J51" s="205">
        <f t="shared" si="0"/>
        <v>0</v>
      </c>
      <c r="K51" s="21">
        <v>0</v>
      </c>
      <c r="L51" s="10">
        <f t="shared" si="1"/>
        <v>0</v>
      </c>
      <c r="M51" s="21">
        <v>66</v>
      </c>
      <c r="N51" s="205">
        <f t="shared" si="2"/>
        <v>2.6571599999999997</v>
      </c>
      <c r="O51" s="21">
        <v>0</v>
      </c>
      <c r="P51" s="10">
        <f t="shared" si="7"/>
        <v>0</v>
      </c>
      <c r="Q51" s="21">
        <v>0</v>
      </c>
      <c r="R51" s="205">
        <f t="shared" si="3"/>
        <v>0</v>
      </c>
      <c r="S51" s="39">
        <f t="shared" si="11"/>
        <v>30</v>
      </c>
      <c r="T51" s="38">
        <f t="shared" si="4"/>
        <v>1.2078</v>
      </c>
      <c r="U51" s="21">
        <v>0</v>
      </c>
      <c r="V51" s="13">
        <f t="shared" si="8"/>
        <v>0</v>
      </c>
      <c r="W51" s="49">
        <f t="shared" si="9"/>
        <v>30</v>
      </c>
      <c r="X51" s="50">
        <f t="shared" si="10"/>
        <v>1.2078</v>
      </c>
      <c r="Y51" s="238">
        <v>30</v>
      </c>
      <c r="Z51" s="101">
        <v>100</v>
      </c>
    </row>
    <row r="52" spans="1:26" x14ac:dyDescent="0.25">
      <c r="A52" s="264">
        <v>48</v>
      </c>
      <c r="B52" s="256" t="s">
        <v>50</v>
      </c>
      <c r="C52" s="34">
        <v>63</v>
      </c>
      <c r="D52" s="35">
        <v>61</v>
      </c>
      <c r="E52" s="35">
        <v>10</v>
      </c>
      <c r="F52" s="19">
        <f t="shared" si="5"/>
        <v>3.8429999999999999E-2</v>
      </c>
      <c r="G52" s="23">
        <f>'OCAK 1.HAFTA'!W52</f>
        <v>0</v>
      </c>
      <c r="H52" s="26">
        <f t="shared" si="6"/>
        <v>0</v>
      </c>
      <c r="I52" s="21">
        <v>0</v>
      </c>
      <c r="J52" s="205">
        <f t="shared" si="0"/>
        <v>0</v>
      </c>
      <c r="K52" s="21">
        <v>0</v>
      </c>
      <c r="L52" s="10">
        <f t="shared" si="1"/>
        <v>0</v>
      </c>
      <c r="M52" s="21">
        <v>0</v>
      </c>
      <c r="N52" s="205">
        <f t="shared" si="2"/>
        <v>0</v>
      </c>
      <c r="O52" s="21">
        <v>0</v>
      </c>
      <c r="P52" s="10">
        <f t="shared" si="7"/>
        <v>0</v>
      </c>
      <c r="Q52" s="21">
        <v>0</v>
      </c>
      <c r="R52" s="205">
        <f t="shared" si="3"/>
        <v>0</v>
      </c>
      <c r="S52" s="39">
        <f t="shared" si="11"/>
        <v>0</v>
      </c>
      <c r="T52" s="38">
        <f t="shared" si="4"/>
        <v>0</v>
      </c>
      <c r="U52" s="21">
        <v>0</v>
      </c>
      <c r="V52" s="13">
        <f t="shared" si="8"/>
        <v>0</v>
      </c>
      <c r="W52" s="49">
        <f t="shared" si="9"/>
        <v>0</v>
      </c>
      <c r="X52" s="50">
        <f t="shared" si="10"/>
        <v>0</v>
      </c>
      <c r="Y52" s="238">
        <v>30</v>
      </c>
      <c r="Z52" s="101">
        <v>100</v>
      </c>
    </row>
    <row r="53" spans="1:26" x14ac:dyDescent="0.25">
      <c r="A53" s="264">
        <v>49</v>
      </c>
      <c r="B53" s="256" t="s">
        <v>51</v>
      </c>
      <c r="C53" s="34">
        <v>58</v>
      </c>
      <c r="D53" s="35">
        <v>58</v>
      </c>
      <c r="E53" s="35">
        <v>2.2999999999999998</v>
      </c>
      <c r="F53" s="19">
        <f t="shared" si="5"/>
        <v>7.7371999999999996E-3</v>
      </c>
      <c r="G53" s="23">
        <f>'OCAK 1.HAFTA'!W53</f>
        <v>3019</v>
      </c>
      <c r="H53" s="26">
        <f t="shared" si="6"/>
        <v>23.3586068</v>
      </c>
      <c r="I53" s="21">
        <v>60</v>
      </c>
      <c r="J53" s="205">
        <f t="shared" si="0"/>
        <v>0.46423199999999998</v>
      </c>
      <c r="K53" s="21">
        <v>0</v>
      </c>
      <c r="L53" s="10">
        <f t="shared" si="1"/>
        <v>0</v>
      </c>
      <c r="M53" s="21">
        <v>0</v>
      </c>
      <c r="N53" s="205">
        <f t="shared" si="2"/>
        <v>0</v>
      </c>
      <c r="O53" s="21">
        <v>40</v>
      </c>
      <c r="P53" s="10">
        <f t="shared" si="7"/>
        <v>0.30948799999999999</v>
      </c>
      <c r="Q53" s="21">
        <v>0</v>
      </c>
      <c r="R53" s="205">
        <f t="shared" si="3"/>
        <v>0</v>
      </c>
      <c r="S53" s="39">
        <f t="shared" si="11"/>
        <v>2919</v>
      </c>
      <c r="T53" s="38">
        <f t="shared" si="4"/>
        <v>22.5848868</v>
      </c>
      <c r="U53" s="21">
        <v>0</v>
      </c>
      <c r="V53" s="13">
        <f t="shared" si="8"/>
        <v>0</v>
      </c>
      <c r="W53" s="49">
        <f t="shared" si="9"/>
        <v>2919</v>
      </c>
      <c r="X53" s="50">
        <f t="shared" si="10"/>
        <v>22.5848868</v>
      </c>
      <c r="Y53" s="238">
        <v>200</v>
      </c>
      <c r="Z53" s="101">
        <v>500</v>
      </c>
    </row>
    <row r="54" spans="1:26" x14ac:dyDescent="0.25">
      <c r="A54" s="264">
        <v>50</v>
      </c>
      <c r="B54" s="256" t="s">
        <v>52</v>
      </c>
      <c r="C54" s="34">
        <v>79</v>
      </c>
      <c r="D54" s="35">
        <v>62</v>
      </c>
      <c r="E54" s="35">
        <v>2.2999999999999998</v>
      </c>
      <c r="F54" s="19">
        <f t="shared" si="5"/>
        <v>1.12654E-2</v>
      </c>
      <c r="G54" s="23">
        <f>'OCAK 1.HAFTA'!W54</f>
        <v>3122</v>
      </c>
      <c r="H54" s="26">
        <f t="shared" si="6"/>
        <v>35.170578800000001</v>
      </c>
      <c r="I54" s="21">
        <v>0</v>
      </c>
      <c r="J54" s="205">
        <f t="shared" si="0"/>
        <v>0</v>
      </c>
      <c r="K54" s="21">
        <v>0</v>
      </c>
      <c r="L54" s="10">
        <f t="shared" si="1"/>
        <v>0</v>
      </c>
      <c r="M54" s="21">
        <v>0</v>
      </c>
      <c r="N54" s="205">
        <f t="shared" si="2"/>
        <v>0</v>
      </c>
      <c r="O54" s="21">
        <v>0</v>
      </c>
      <c r="P54" s="10">
        <f t="shared" si="7"/>
        <v>0</v>
      </c>
      <c r="Q54" s="21">
        <v>0</v>
      </c>
      <c r="R54" s="205">
        <f t="shared" si="3"/>
        <v>0</v>
      </c>
      <c r="S54" s="39">
        <f t="shared" si="11"/>
        <v>3122</v>
      </c>
      <c r="T54" s="38">
        <f t="shared" si="4"/>
        <v>35.170578800000001</v>
      </c>
      <c r="U54" s="21">
        <v>0</v>
      </c>
      <c r="V54" s="13">
        <f t="shared" si="8"/>
        <v>0</v>
      </c>
      <c r="W54" s="49">
        <f t="shared" si="9"/>
        <v>3122</v>
      </c>
      <c r="X54" s="50">
        <f t="shared" si="10"/>
        <v>35.170578800000001</v>
      </c>
      <c r="Y54" s="238">
        <v>100</v>
      </c>
      <c r="Z54" s="101">
        <v>300</v>
      </c>
    </row>
    <row r="55" spans="1:26" x14ac:dyDescent="0.25">
      <c r="A55" s="264">
        <v>51</v>
      </c>
      <c r="B55" s="256" t="s">
        <v>53</v>
      </c>
      <c r="C55" s="34">
        <v>200</v>
      </c>
      <c r="D55" s="35">
        <v>176</v>
      </c>
      <c r="E55" s="35">
        <v>2.2999999999999998</v>
      </c>
      <c r="F55" s="19">
        <f t="shared" si="5"/>
        <v>8.0960000000000004E-2</v>
      </c>
      <c r="G55" s="23">
        <f>'OCAK 1.HAFTA'!W55</f>
        <v>1</v>
      </c>
      <c r="H55" s="26">
        <f t="shared" si="6"/>
        <v>8.0960000000000004E-2</v>
      </c>
      <c r="I55" s="21">
        <v>0</v>
      </c>
      <c r="J55" s="205">
        <f t="shared" si="0"/>
        <v>0</v>
      </c>
      <c r="K55" s="21">
        <v>0</v>
      </c>
      <c r="L55" s="10">
        <f t="shared" si="1"/>
        <v>0</v>
      </c>
      <c r="M55" s="21">
        <v>0</v>
      </c>
      <c r="N55" s="205">
        <f t="shared" si="2"/>
        <v>0</v>
      </c>
      <c r="O55" s="21">
        <v>0</v>
      </c>
      <c r="P55" s="10">
        <f t="shared" si="7"/>
        <v>0</v>
      </c>
      <c r="Q55" s="21">
        <v>0</v>
      </c>
      <c r="R55" s="205">
        <f t="shared" si="3"/>
        <v>0</v>
      </c>
      <c r="S55" s="39">
        <f t="shared" si="11"/>
        <v>1</v>
      </c>
      <c r="T55" s="38">
        <f t="shared" si="4"/>
        <v>8.0960000000000004E-2</v>
      </c>
      <c r="U55" s="21">
        <v>0</v>
      </c>
      <c r="V55" s="13">
        <f t="shared" si="8"/>
        <v>0</v>
      </c>
      <c r="W55" s="49">
        <f t="shared" si="9"/>
        <v>1</v>
      </c>
      <c r="X55" s="50">
        <f t="shared" si="10"/>
        <v>8.0960000000000004E-2</v>
      </c>
      <c r="Y55" s="238">
        <v>0</v>
      </c>
      <c r="Z55" s="101">
        <v>0</v>
      </c>
    </row>
    <row r="56" spans="1:26" x14ac:dyDescent="0.25">
      <c r="A56" s="264">
        <v>52</v>
      </c>
      <c r="B56" s="256" t="s">
        <v>122</v>
      </c>
      <c r="C56" s="34">
        <v>79</v>
      </c>
      <c r="D56" s="35">
        <v>79</v>
      </c>
      <c r="E56" s="35">
        <v>2.2999999999999998</v>
      </c>
      <c r="F56" s="19">
        <f t="shared" si="5"/>
        <v>1.4354299999999999E-2</v>
      </c>
      <c r="G56" s="23">
        <f>'OCAK 1.HAFTA'!W56</f>
        <v>3564</v>
      </c>
      <c r="H56" s="26">
        <f t="shared" si="6"/>
        <v>51.158725199999992</v>
      </c>
      <c r="I56" s="21">
        <v>0</v>
      </c>
      <c r="J56" s="205">
        <f t="shared" si="0"/>
        <v>0</v>
      </c>
      <c r="K56" s="21">
        <v>0</v>
      </c>
      <c r="L56" s="10">
        <f t="shared" si="1"/>
        <v>0</v>
      </c>
      <c r="M56" s="21">
        <v>0</v>
      </c>
      <c r="N56" s="205">
        <f t="shared" si="2"/>
        <v>0</v>
      </c>
      <c r="O56" s="21">
        <v>0</v>
      </c>
      <c r="P56" s="10">
        <f t="shared" si="7"/>
        <v>0</v>
      </c>
      <c r="Q56" s="21">
        <v>0</v>
      </c>
      <c r="R56" s="205">
        <f t="shared" si="3"/>
        <v>0</v>
      </c>
      <c r="S56" s="39">
        <f t="shared" si="11"/>
        <v>3564</v>
      </c>
      <c r="T56" s="38">
        <f t="shared" si="4"/>
        <v>51.158725199999992</v>
      </c>
      <c r="U56" s="21">
        <v>0</v>
      </c>
      <c r="V56" s="13">
        <f t="shared" si="8"/>
        <v>0</v>
      </c>
      <c r="W56" s="49">
        <f t="shared" si="9"/>
        <v>3564</v>
      </c>
      <c r="X56" s="50">
        <f t="shared" si="10"/>
        <v>51.158725199999992</v>
      </c>
      <c r="Y56" s="238">
        <v>300</v>
      </c>
      <c r="Z56" s="101">
        <v>1000</v>
      </c>
    </row>
    <row r="57" spans="1:26" ht="15.75" x14ac:dyDescent="0.25">
      <c r="A57" s="264">
        <v>53</v>
      </c>
      <c r="B57" s="256" t="s">
        <v>55</v>
      </c>
      <c r="C57" s="111">
        <v>50</v>
      </c>
      <c r="D57" s="112">
        <v>45</v>
      </c>
      <c r="E57" s="112">
        <v>4</v>
      </c>
      <c r="F57" s="19">
        <f t="shared" si="5"/>
        <v>8.9999999999999993E-3</v>
      </c>
      <c r="G57" s="23">
        <f>'OCAK 1.HAFTA'!W57</f>
        <v>184</v>
      </c>
      <c r="H57" s="26">
        <f t="shared" si="6"/>
        <v>1.6559999999999999</v>
      </c>
      <c r="I57" s="21">
        <v>0</v>
      </c>
      <c r="J57" s="205">
        <f t="shared" si="0"/>
        <v>0</v>
      </c>
      <c r="K57" s="21">
        <v>0</v>
      </c>
      <c r="L57" s="10">
        <f t="shared" si="1"/>
        <v>0</v>
      </c>
      <c r="M57" s="21">
        <v>0</v>
      </c>
      <c r="N57" s="205">
        <f t="shared" si="2"/>
        <v>0</v>
      </c>
      <c r="O57" s="21">
        <v>0</v>
      </c>
      <c r="P57" s="10">
        <f t="shared" si="7"/>
        <v>0</v>
      </c>
      <c r="Q57" s="21">
        <v>184</v>
      </c>
      <c r="R57" s="205">
        <f t="shared" si="3"/>
        <v>1.6559999999999999</v>
      </c>
      <c r="S57" s="39">
        <f t="shared" si="11"/>
        <v>0</v>
      </c>
      <c r="T57" s="38">
        <f t="shared" si="4"/>
        <v>0</v>
      </c>
      <c r="U57" s="21">
        <v>0</v>
      </c>
      <c r="V57" s="13">
        <f t="shared" si="8"/>
        <v>0</v>
      </c>
      <c r="W57" s="49">
        <f t="shared" si="9"/>
        <v>0</v>
      </c>
      <c r="X57" s="50">
        <f t="shared" si="10"/>
        <v>0</v>
      </c>
      <c r="Y57" s="238">
        <v>300</v>
      </c>
      <c r="Z57" s="101">
        <v>1000</v>
      </c>
    </row>
    <row r="58" spans="1:26" ht="15.75" x14ac:dyDescent="0.25">
      <c r="A58" s="264">
        <v>54</v>
      </c>
      <c r="B58" s="256" t="s">
        <v>56</v>
      </c>
      <c r="C58" s="111">
        <v>50</v>
      </c>
      <c r="D58" s="112">
        <v>35</v>
      </c>
      <c r="E58" s="112">
        <v>4</v>
      </c>
      <c r="F58" s="19">
        <f t="shared" si="5"/>
        <v>7.0000000000000001E-3</v>
      </c>
      <c r="G58" s="23">
        <f>'OCAK 1.HAFTA'!W58</f>
        <v>323</v>
      </c>
      <c r="H58" s="26">
        <f t="shared" si="6"/>
        <v>2.2610000000000001</v>
      </c>
      <c r="I58" s="21">
        <v>0</v>
      </c>
      <c r="J58" s="205">
        <f t="shared" si="0"/>
        <v>0</v>
      </c>
      <c r="K58" s="21">
        <v>0</v>
      </c>
      <c r="L58" s="10">
        <f t="shared" si="1"/>
        <v>0</v>
      </c>
      <c r="M58" s="21">
        <v>0</v>
      </c>
      <c r="N58" s="205">
        <f t="shared" si="2"/>
        <v>0</v>
      </c>
      <c r="O58" s="21">
        <v>0</v>
      </c>
      <c r="P58" s="10">
        <f t="shared" si="7"/>
        <v>0</v>
      </c>
      <c r="Q58" s="21">
        <v>323</v>
      </c>
      <c r="R58" s="205">
        <f t="shared" si="3"/>
        <v>2.2610000000000001</v>
      </c>
      <c r="S58" s="39">
        <f t="shared" si="11"/>
        <v>0</v>
      </c>
      <c r="T58" s="38">
        <f t="shared" si="4"/>
        <v>0</v>
      </c>
      <c r="U58" s="21">
        <v>0</v>
      </c>
      <c r="V58" s="13">
        <f t="shared" si="8"/>
        <v>0</v>
      </c>
      <c r="W58" s="49">
        <f t="shared" si="9"/>
        <v>0</v>
      </c>
      <c r="X58" s="50">
        <f t="shared" si="10"/>
        <v>0</v>
      </c>
      <c r="Y58" s="238">
        <v>500</v>
      </c>
      <c r="Z58" s="101">
        <v>1500</v>
      </c>
    </row>
    <row r="59" spans="1:26" ht="15.75" x14ac:dyDescent="0.25">
      <c r="A59" s="264">
        <v>55</v>
      </c>
      <c r="B59" s="256" t="s">
        <v>57</v>
      </c>
      <c r="C59" s="111">
        <v>45</v>
      </c>
      <c r="D59" s="112">
        <v>50</v>
      </c>
      <c r="E59" s="112">
        <v>3</v>
      </c>
      <c r="F59" s="19">
        <f t="shared" si="5"/>
        <v>6.7499999999999999E-3</v>
      </c>
      <c r="G59" s="23">
        <f>'OCAK 1.HAFTA'!W59</f>
        <v>0</v>
      </c>
      <c r="H59" s="26">
        <f t="shared" si="6"/>
        <v>0</v>
      </c>
      <c r="I59" s="21">
        <v>0</v>
      </c>
      <c r="J59" s="205">
        <f t="shared" si="0"/>
        <v>0</v>
      </c>
      <c r="K59" s="21">
        <v>0</v>
      </c>
      <c r="L59" s="10">
        <f t="shared" si="1"/>
        <v>0</v>
      </c>
      <c r="M59" s="21">
        <v>0</v>
      </c>
      <c r="N59" s="205">
        <f t="shared" si="2"/>
        <v>0</v>
      </c>
      <c r="O59" s="21">
        <v>0</v>
      </c>
      <c r="P59" s="10">
        <f t="shared" si="7"/>
        <v>0</v>
      </c>
      <c r="Q59" s="21">
        <v>0</v>
      </c>
      <c r="R59" s="205">
        <f t="shared" si="3"/>
        <v>0</v>
      </c>
      <c r="S59" s="39">
        <f t="shared" si="11"/>
        <v>0</v>
      </c>
      <c r="T59" s="38">
        <f t="shared" si="4"/>
        <v>0</v>
      </c>
      <c r="U59" s="21">
        <v>0</v>
      </c>
      <c r="V59" s="13">
        <f t="shared" si="8"/>
        <v>0</v>
      </c>
      <c r="W59" s="49">
        <f t="shared" si="9"/>
        <v>0</v>
      </c>
      <c r="X59" s="50">
        <f t="shared" si="10"/>
        <v>0</v>
      </c>
      <c r="Y59" s="238">
        <v>500</v>
      </c>
      <c r="Z59" s="101">
        <v>1500</v>
      </c>
    </row>
    <row r="60" spans="1:26" ht="15.75" x14ac:dyDescent="0.25">
      <c r="A60" s="264">
        <v>56</v>
      </c>
      <c r="B60" s="256" t="s">
        <v>58</v>
      </c>
      <c r="C60" s="111">
        <v>50</v>
      </c>
      <c r="D60" s="112">
        <v>35</v>
      </c>
      <c r="E60" s="112">
        <v>3</v>
      </c>
      <c r="F60" s="19">
        <f t="shared" si="5"/>
        <v>5.2500000000000003E-3</v>
      </c>
      <c r="G60" s="23">
        <f>'OCAK 1.HAFTA'!W60</f>
        <v>0</v>
      </c>
      <c r="H60" s="26">
        <f t="shared" si="6"/>
        <v>0</v>
      </c>
      <c r="I60" s="21">
        <v>0</v>
      </c>
      <c r="J60" s="205">
        <f t="shared" si="0"/>
        <v>0</v>
      </c>
      <c r="K60" s="21">
        <v>0</v>
      </c>
      <c r="L60" s="10">
        <f t="shared" si="1"/>
        <v>0</v>
      </c>
      <c r="M60" s="21">
        <v>0</v>
      </c>
      <c r="N60" s="205">
        <f t="shared" si="2"/>
        <v>0</v>
      </c>
      <c r="O60" s="21">
        <v>0</v>
      </c>
      <c r="P60" s="10">
        <f t="shared" si="7"/>
        <v>0</v>
      </c>
      <c r="Q60" s="21">
        <v>0</v>
      </c>
      <c r="R60" s="205">
        <f t="shared" si="3"/>
        <v>0</v>
      </c>
      <c r="S60" s="39">
        <f t="shared" si="11"/>
        <v>0</v>
      </c>
      <c r="T60" s="38">
        <f t="shared" si="4"/>
        <v>0</v>
      </c>
      <c r="U60" s="21">
        <v>0</v>
      </c>
      <c r="V60" s="13">
        <f t="shared" si="8"/>
        <v>0</v>
      </c>
      <c r="W60" s="49">
        <f t="shared" si="9"/>
        <v>0</v>
      </c>
      <c r="X60" s="50">
        <f t="shared" si="10"/>
        <v>0</v>
      </c>
      <c r="Y60" s="238">
        <v>0</v>
      </c>
      <c r="Z60" s="101">
        <v>0</v>
      </c>
    </row>
    <row r="61" spans="1:26" ht="15.75" x14ac:dyDescent="0.25">
      <c r="A61" s="264">
        <v>57</v>
      </c>
      <c r="B61" s="256" t="s">
        <v>59</v>
      </c>
      <c r="C61" s="111">
        <v>42</v>
      </c>
      <c r="D61" s="112">
        <v>36</v>
      </c>
      <c r="E61" s="112">
        <v>4</v>
      </c>
      <c r="F61" s="19">
        <f t="shared" si="5"/>
        <v>6.0480000000000004E-3</v>
      </c>
      <c r="G61" s="23">
        <f>'OCAK 1.HAFTA'!W61</f>
        <v>0</v>
      </c>
      <c r="H61" s="26">
        <f t="shared" si="6"/>
        <v>0</v>
      </c>
      <c r="I61" s="21">
        <v>0</v>
      </c>
      <c r="J61" s="205">
        <f t="shared" si="0"/>
        <v>0</v>
      </c>
      <c r="K61" s="21">
        <v>0</v>
      </c>
      <c r="L61" s="10">
        <f t="shared" si="1"/>
        <v>0</v>
      </c>
      <c r="M61" s="21">
        <v>0</v>
      </c>
      <c r="N61" s="205">
        <f t="shared" si="2"/>
        <v>0</v>
      </c>
      <c r="O61" s="21">
        <v>0</v>
      </c>
      <c r="P61" s="10">
        <f t="shared" si="7"/>
        <v>0</v>
      </c>
      <c r="Q61" s="21">
        <v>0</v>
      </c>
      <c r="R61" s="205">
        <f t="shared" si="3"/>
        <v>0</v>
      </c>
      <c r="S61" s="97">
        <f t="shared" si="11"/>
        <v>0</v>
      </c>
      <c r="T61" s="38">
        <f t="shared" si="4"/>
        <v>0</v>
      </c>
      <c r="U61" s="21">
        <v>0</v>
      </c>
      <c r="V61" s="13">
        <f t="shared" si="8"/>
        <v>0</v>
      </c>
      <c r="W61" s="49">
        <f t="shared" si="9"/>
        <v>0</v>
      </c>
      <c r="X61" s="50">
        <f t="shared" si="10"/>
        <v>0</v>
      </c>
      <c r="Y61" s="238">
        <v>300</v>
      </c>
      <c r="Z61" s="101">
        <v>1000</v>
      </c>
    </row>
    <row r="62" spans="1:26" ht="15.75" x14ac:dyDescent="0.25">
      <c r="A62" s="264">
        <v>58</v>
      </c>
      <c r="B62" s="256" t="s">
        <v>60</v>
      </c>
      <c r="C62" s="111">
        <v>50</v>
      </c>
      <c r="D62" s="112">
        <v>35</v>
      </c>
      <c r="E62" s="112">
        <v>3</v>
      </c>
      <c r="F62" s="19">
        <f t="shared" si="5"/>
        <v>5.2500000000000003E-3</v>
      </c>
      <c r="G62" s="23">
        <f>'OCAK 1.HAFTA'!W62</f>
        <v>583</v>
      </c>
      <c r="H62" s="26">
        <f t="shared" si="6"/>
        <v>3.0607500000000001</v>
      </c>
      <c r="I62" s="21">
        <v>0</v>
      </c>
      <c r="J62" s="205">
        <f t="shared" si="0"/>
        <v>0</v>
      </c>
      <c r="K62" s="21">
        <v>0</v>
      </c>
      <c r="L62" s="10">
        <f t="shared" si="1"/>
        <v>0</v>
      </c>
      <c r="M62" s="21">
        <v>0</v>
      </c>
      <c r="N62" s="205">
        <f t="shared" si="2"/>
        <v>0</v>
      </c>
      <c r="O62" s="21">
        <v>0</v>
      </c>
      <c r="P62" s="10">
        <f t="shared" si="7"/>
        <v>0</v>
      </c>
      <c r="Q62" s="21">
        <v>0</v>
      </c>
      <c r="R62" s="205">
        <f t="shared" si="3"/>
        <v>0</v>
      </c>
      <c r="S62" s="97">
        <f t="shared" si="11"/>
        <v>583</v>
      </c>
      <c r="T62" s="38">
        <f t="shared" si="4"/>
        <v>3.0607500000000001</v>
      </c>
      <c r="U62" s="21">
        <v>0</v>
      </c>
      <c r="V62" s="13">
        <f t="shared" si="8"/>
        <v>0</v>
      </c>
      <c r="W62" s="49">
        <f t="shared" si="9"/>
        <v>583</v>
      </c>
      <c r="X62" s="50">
        <f t="shared" si="10"/>
        <v>3.0607500000000001</v>
      </c>
      <c r="Y62" s="238">
        <v>300</v>
      </c>
      <c r="Z62" s="101">
        <v>1000</v>
      </c>
    </row>
    <row r="63" spans="1:26" ht="15.75" x14ac:dyDescent="0.25">
      <c r="A63" s="264">
        <v>59</v>
      </c>
      <c r="B63" s="257" t="s">
        <v>61</v>
      </c>
      <c r="C63" s="111">
        <v>45</v>
      </c>
      <c r="D63" s="112">
        <v>50</v>
      </c>
      <c r="E63" s="112">
        <v>3</v>
      </c>
      <c r="F63" s="19">
        <f t="shared" si="5"/>
        <v>6.7499999999999999E-3</v>
      </c>
      <c r="G63" s="23">
        <f>'OCAK 1.HAFTA'!W63</f>
        <v>811</v>
      </c>
      <c r="H63" s="26">
        <f t="shared" si="6"/>
        <v>5.4742499999999996</v>
      </c>
      <c r="I63" s="21">
        <v>0</v>
      </c>
      <c r="J63" s="205">
        <f t="shared" si="0"/>
        <v>0</v>
      </c>
      <c r="K63" s="21">
        <v>0</v>
      </c>
      <c r="L63" s="10">
        <f t="shared" si="1"/>
        <v>0</v>
      </c>
      <c r="M63" s="21">
        <v>0</v>
      </c>
      <c r="N63" s="205">
        <f t="shared" si="2"/>
        <v>0</v>
      </c>
      <c r="O63" s="21">
        <v>0</v>
      </c>
      <c r="P63" s="10">
        <f t="shared" si="7"/>
        <v>0</v>
      </c>
      <c r="Q63" s="21">
        <v>0</v>
      </c>
      <c r="R63" s="205">
        <f t="shared" si="3"/>
        <v>0</v>
      </c>
      <c r="S63" s="97">
        <f t="shared" si="11"/>
        <v>811</v>
      </c>
      <c r="T63" s="38">
        <f t="shared" si="4"/>
        <v>5.4742499999999996</v>
      </c>
      <c r="U63" s="21">
        <v>0</v>
      </c>
      <c r="V63" s="13">
        <f t="shared" si="8"/>
        <v>0</v>
      </c>
      <c r="W63" s="49">
        <f t="shared" si="9"/>
        <v>811</v>
      </c>
      <c r="X63" s="50">
        <f t="shared" si="10"/>
        <v>5.4742499999999996</v>
      </c>
      <c r="Y63" s="238">
        <v>500</v>
      </c>
      <c r="Z63" s="101">
        <v>1500</v>
      </c>
    </row>
    <row r="64" spans="1:26" ht="15.75" thickBot="1" x14ac:dyDescent="0.3">
      <c r="A64" s="264">
        <v>60</v>
      </c>
      <c r="B64" s="258" t="s">
        <v>90</v>
      </c>
      <c r="C64" s="36">
        <v>140</v>
      </c>
      <c r="D64" s="37">
        <v>9.5</v>
      </c>
      <c r="E64" s="37">
        <v>6.5</v>
      </c>
      <c r="F64" s="20">
        <f t="shared" si="5"/>
        <v>8.6449999999999999E-3</v>
      </c>
      <c r="G64" s="23">
        <f>'OCAK 1.HAFTA'!W64</f>
        <v>2406</v>
      </c>
      <c r="H64" s="27">
        <f t="shared" si="6"/>
        <v>20.799869999999999</v>
      </c>
      <c r="I64" s="21">
        <v>166</v>
      </c>
      <c r="J64" s="205">
        <f t="shared" si="0"/>
        <v>1.4350700000000001</v>
      </c>
      <c r="K64" s="21">
        <v>166</v>
      </c>
      <c r="L64" s="10">
        <f t="shared" si="1"/>
        <v>1.4350700000000001</v>
      </c>
      <c r="M64" s="21">
        <v>0</v>
      </c>
      <c r="N64" s="205">
        <f t="shared" si="2"/>
        <v>0</v>
      </c>
      <c r="O64" s="21">
        <v>0</v>
      </c>
      <c r="P64" s="48">
        <f t="shared" si="7"/>
        <v>0</v>
      </c>
      <c r="Q64" s="21">
        <v>0</v>
      </c>
      <c r="R64" s="205">
        <f t="shared" si="3"/>
        <v>0</v>
      </c>
      <c r="S64" s="97">
        <f t="shared" si="11"/>
        <v>2074</v>
      </c>
      <c r="T64" s="41">
        <f t="shared" si="4"/>
        <v>17.929729999999999</v>
      </c>
      <c r="U64" s="21">
        <v>1866</v>
      </c>
      <c r="V64" s="13">
        <f t="shared" si="8"/>
        <v>16.13157</v>
      </c>
      <c r="W64" s="49">
        <f t="shared" si="9"/>
        <v>3940</v>
      </c>
      <c r="X64" s="50">
        <f t="shared" si="10"/>
        <v>34.061300000000003</v>
      </c>
      <c r="Y64" s="238">
        <v>100</v>
      </c>
      <c r="Z64" s="101">
        <v>300</v>
      </c>
    </row>
    <row r="65" spans="1:26" ht="15.75" x14ac:dyDescent="0.25">
      <c r="A65" s="264">
        <v>61</v>
      </c>
      <c r="B65" s="259" t="s">
        <v>79</v>
      </c>
      <c r="C65" s="112">
        <v>90</v>
      </c>
      <c r="D65" s="112">
        <v>83</v>
      </c>
      <c r="E65" s="112">
        <v>2</v>
      </c>
      <c r="F65" s="114">
        <f t="shared" si="5"/>
        <v>1.494E-2</v>
      </c>
      <c r="G65" s="23">
        <f>'OCAK 1.HAFTA'!W65</f>
        <v>100</v>
      </c>
      <c r="H65" s="116">
        <f t="shared" si="6"/>
        <v>1.494</v>
      </c>
      <c r="I65" s="21">
        <v>0</v>
      </c>
      <c r="J65" s="205">
        <f t="shared" si="0"/>
        <v>0</v>
      </c>
      <c r="K65" s="21">
        <v>0</v>
      </c>
      <c r="L65" s="10">
        <f t="shared" si="1"/>
        <v>0</v>
      </c>
      <c r="M65" s="21">
        <v>0</v>
      </c>
      <c r="N65" s="205">
        <f t="shared" si="2"/>
        <v>0</v>
      </c>
      <c r="O65" s="21">
        <v>0</v>
      </c>
      <c r="P65" s="121">
        <f t="shared" si="7"/>
        <v>0</v>
      </c>
      <c r="Q65" s="21">
        <v>0</v>
      </c>
      <c r="R65" s="205">
        <f t="shared" si="3"/>
        <v>0</v>
      </c>
      <c r="S65" s="140">
        <f t="shared" si="11"/>
        <v>100</v>
      </c>
      <c r="T65" s="123">
        <f t="shared" si="4"/>
        <v>1.494</v>
      </c>
      <c r="U65" s="21">
        <v>0</v>
      </c>
      <c r="V65" s="139">
        <f t="shared" si="8"/>
        <v>0</v>
      </c>
      <c r="W65" s="141">
        <f t="shared" si="9"/>
        <v>100</v>
      </c>
      <c r="X65" s="50">
        <f t="shared" si="10"/>
        <v>1.494</v>
      </c>
      <c r="Y65" s="238">
        <v>100</v>
      </c>
      <c r="Z65" s="101">
        <v>300</v>
      </c>
    </row>
    <row r="66" spans="1:26" ht="15.75" x14ac:dyDescent="0.25">
      <c r="A66" s="264">
        <v>62</v>
      </c>
      <c r="B66" s="260" t="s">
        <v>80</v>
      </c>
      <c r="C66" s="113">
        <v>92</v>
      </c>
      <c r="D66" s="113">
        <v>82</v>
      </c>
      <c r="E66" s="113">
        <v>2</v>
      </c>
      <c r="F66" s="124">
        <f t="shared" si="5"/>
        <v>1.5088000000000001E-2</v>
      </c>
      <c r="G66" s="23">
        <f>'OCAK 1.HAFTA'!W66</f>
        <v>0</v>
      </c>
      <c r="H66" s="125">
        <f t="shared" si="6"/>
        <v>0</v>
      </c>
      <c r="I66" s="21">
        <v>0</v>
      </c>
      <c r="J66" s="205">
        <f t="shared" si="0"/>
        <v>0</v>
      </c>
      <c r="K66" s="21">
        <v>0</v>
      </c>
      <c r="L66" s="10">
        <f t="shared" si="1"/>
        <v>0</v>
      </c>
      <c r="M66" s="21">
        <v>0</v>
      </c>
      <c r="N66" s="205">
        <f t="shared" si="2"/>
        <v>0</v>
      </c>
      <c r="O66" s="21">
        <v>0</v>
      </c>
      <c r="P66" s="121">
        <f t="shared" si="7"/>
        <v>0</v>
      </c>
      <c r="Q66" s="21">
        <v>0</v>
      </c>
      <c r="R66" s="205">
        <f t="shared" si="3"/>
        <v>0</v>
      </c>
      <c r="S66" s="140">
        <f t="shared" si="11"/>
        <v>0</v>
      </c>
      <c r="T66" s="123">
        <f t="shared" si="4"/>
        <v>0</v>
      </c>
      <c r="U66" s="21">
        <v>166</v>
      </c>
      <c r="V66" s="139">
        <f t="shared" si="8"/>
        <v>2.5046080000000002</v>
      </c>
      <c r="W66" s="141">
        <f t="shared" si="9"/>
        <v>166</v>
      </c>
      <c r="X66" s="107">
        <f t="shared" si="10"/>
        <v>2.5046080000000002</v>
      </c>
      <c r="Y66" s="238">
        <v>100</v>
      </c>
      <c r="Z66" s="101">
        <v>300</v>
      </c>
    </row>
    <row r="67" spans="1:26" x14ac:dyDescent="0.25">
      <c r="A67" s="264">
        <v>63</v>
      </c>
      <c r="B67" s="261" t="s">
        <v>82</v>
      </c>
      <c r="C67" s="35">
        <v>82</v>
      </c>
      <c r="D67" s="35">
        <v>80</v>
      </c>
      <c r="E67" s="35">
        <v>2</v>
      </c>
      <c r="F67" s="114">
        <f t="shared" si="5"/>
        <v>1.312E-2</v>
      </c>
      <c r="G67" s="23">
        <f>'OCAK 1.HAFTA'!W67</f>
        <v>163</v>
      </c>
      <c r="H67" s="110">
        <f t="shared" si="6"/>
        <v>2.13856</v>
      </c>
      <c r="I67" s="21">
        <v>0</v>
      </c>
      <c r="J67" s="205">
        <f t="shared" si="0"/>
        <v>0</v>
      </c>
      <c r="K67" s="21">
        <v>0</v>
      </c>
      <c r="L67" s="10">
        <f t="shared" si="1"/>
        <v>0</v>
      </c>
      <c r="M67" s="21">
        <v>8</v>
      </c>
      <c r="N67" s="205">
        <f t="shared" si="2"/>
        <v>0.10496</v>
      </c>
      <c r="O67" s="21">
        <v>0</v>
      </c>
      <c r="P67" s="10">
        <f t="shared" si="7"/>
        <v>0</v>
      </c>
      <c r="Q67" s="21">
        <v>0</v>
      </c>
      <c r="R67" s="205">
        <f t="shared" si="3"/>
        <v>0</v>
      </c>
      <c r="S67" s="97">
        <f t="shared" si="11"/>
        <v>155</v>
      </c>
      <c r="T67" s="87">
        <f t="shared" si="4"/>
        <v>2.0335999999999999</v>
      </c>
      <c r="U67" s="21">
        <v>0</v>
      </c>
      <c r="V67" s="139">
        <f t="shared" si="8"/>
        <v>0</v>
      </c>
      <c r="W67" s="141">
        <f t="shared" si="9"/>
        <v>155</v>
      </c>
      <c r="X67" s="107">
        <f t="shared" si="10"/>
        <v>2.0335999999999999</v>
      </c>
      <c r="Y67" s="238">
        <v>50</v>
      </c>
      <c r="Z67" s="101">
        <v>200</v>
      </c>
    </row>
    <row r="68" spans="1:26" x14ac:dyDescent="0.25">
      <c r="A68" s="264">
        <v>64</v>
      </c>
      <c r="B68" s="261" t="s">
        <v>83</v>
      </c>
      <c r="C68" s="35">
        <v>86</v>
      </c>
      <c r="D68" s="35">
        <v>77</v>
      </c>
      <c r="E68" s="35">
        <v>8</v>
      </c>
      <c r="F68" s="114">
        <f t="shared" si="5"/>
        <v>5.2976000000000002E-2</v>
      </c>
      <c r="G68" s="23">
        <f>'OCAK 1.HAFTA'!W68</f>
        <v>185</v>
      </c>
      <c r="H68" s="110">
        <f t="shared" si="6"/>
        <v>9.8005600000000008</v>
      </c>
      <c r="I68" s="21">
        <v>0</v>
      </c>
      <c r="J68" s="205">
        <f t="shared" si="0"/>
        <v>0</v>
      </c>
      <c r="K68" s="21">
        <v>0</v>
      </c>
      <c r="L68" s="10">
        <f t="shared" si="1"/>
        <v>0</v>
      </c>
      <c r="M68" s="21">
        <v>0</v>
      </c>
      <c r="N68" s="205">
        <f t="shared" si="2"/>
        <v>0</v>
      </c>
      <c r="O68" s="21">
        <v>0</v>
      </c>
      <c r="P68" s="10">
        <f t="shared" si="7"/>
        <v>0</v>
      </c>
      <c r="Q68" s="21">
        <v>0</v>
      </c>
      <c r="R68" s="205">
        <f t="shared" si="3"/>
        <v>0</v>
      </c>
      <c r="S68" s="97">
        <f t="shared" si="11"/>
        <v>185</v>
      </c>
      <c r="T68" s="87">
        <f t="shared" si="4"/>
        <v>9.8005600000000008</v>
      </c>
      <c r="U68" s="21">
        <v>0</v>
      </c>
      <c r="V68" s="139">
        <f t="shared" si="8"/>
        <v>0</v>
      </c>
      <c r="W68" s="141">
        <f t="shared" si="9"/>
        <v>185</v>
      </c>
      <c r="X68" s="107">
        <f t="shared" si="10"/>
        <v>9.8005600000000008</v>
      </c>
      <c r="Y68" s="238">
        <v>50</v>
      </c>
      <c r="Z68" s="101">
        <v>200</v>
      </c>
    </row>
    <row r="69" spans="1:26" x14ac:dyDescent="0.25">
      <c r="A69" s="264">
        <v>65</v>
      </c>
      <c r="B69" s="261" t="s">
        <v>84</v>
      </c>
      <c r="C69" s="35">
        <v>76</v>
      </c>
      <c r="D69" s="35">
        <v>75</v>
      </c>
      <c r="E69" s="35">
        <v>8</v>
      </c>
      <c r="F69" s="114">
        <f t="shared" si="5"/>
        <v>4.5600000000000002E-2</v>
      </c>
      <c r="G69" s="23">
        <f>'OCAK 1.HAFTA'!W69</f>
        <v>236</v>
      </c>
      <c r="H69" s="110">
        <f t="shared" si="6"/>
        <v>10.7616</v>
      </c>
      <c r="I69" s="21">
        <v>0</v>
      </c>
      <c r="J69" s="205">
        <f t="shared" ref="J69:J78" si="12">F69*I69</f>
        <v>0</v>
      </c>
      <c r="K69" s="21">
        <v>0</v>
      </c>
      <c r="L69" s="10">
        <f t="shared" ref="L69:L78" si="13">F69*K69</f>
        <v>0</v>
      </c>
      <c r="M69" s="21">
        <v>0</v>
      </c>
      <c r="N69" s="205">
        <f t="shared" ref="N69:N78" si="14">F69*M69</f>
        <v>0</v>
      </c>
      <c r="O69" s="21">
        <v>0</v>
      </c>
      <c r="P69" s="10">
        <f t="shared" si="7"/>
        <v>0</v>
      </c>
      <c r="Q69" s="21">
        <v>0</v>
      </c>
      <c r="R69" s="205">
        <f t="shared" ref="R69:R78" si="15">F69*Q69</f>
        <v>0</v>
      </c>
      <c r="S69" s="97">
        <f t="shared" si="11"/>
        <v>236</v>
      </c>
      <c r="T69" s="87">
        <f t="shared" ref="T69:T78" si="16">F69*S69</f>
        <v>10.7616</v>
      </c>
      <c r="U69" s="21">
        <v>0</v>
      </c>
      <c r="V69" s="139">
        <f t="shared" si="8"/>
        <v>0</v>
      </c>
      <c r="W69" s="141">
        <f t="shared" si="9"/>
        <v>236</v>
      </c>
      <c r="X69" s="107">
        <f t="shared" si="10"/>
        <v>10.7616</v>
      </c>
      <c r="Y69" s="238">
        <v>5</v>
      </c>
      <c r="Z69" s="101">
        <v>10</v>
      </c>
    </row>
    <row r="70" spans="1:26" x14ac:dyDescent="0.25">
      <c r="A70" s="264">
        <v>66</v>
      </c>
      <c r="B70" s="261" t="s">
        <v>85</v>
      </c>
      <c r="C70" s="35">
        <v>140</v>
      </c>
      <c r="D70" s="35">
        <v>240</v>
      </c>
      <c r="E70" s="35">
        <v>12</v>
      </c>
      <c r="F70" s="114">
        <f t="shared" ref="F70:F72" si="17">(C70*D70*E70)/1000000</f>
        <v>0.4032</v>
      </c>
      <c r="G70" s="23">
        <f>'OCAK 1.HAFTA'!W70</f>
        <v>0</v>
      </c>
      <c r="H70" s="110">
        <f t="shared" ref="H70:H78" si="18">F70*G70</f>
        <v>0</v>
      </c>
      <c r="I70" s="21">
        <v>0</v>
      </c>
      <c r="J70" s="205">
        <f t="shared" si="12"/>
        <v>0</v>
      </c>
      <c r="K70" s="21">
        <v>0</v>
      </c>
      <c r="L70" s="10">
        <f t="shared" si="13"/>
        <v>0</v>
      </c>
      <c r="M70" s="21">
        <v>0</v>
      </c>
      <c r="N70" s="205">
        <f t="shared" si="14"/>
        <v>0</v>
      </c>
      <c r="O70" s="21">
        <v>0</v>
      </c>
      <c r="P70" s="10">
        <f t="shared" ref="P70:P78" si="19">F70*O70</f>
        <v>0</v>
      </c>
      <c r="Q70" s="21">
        <v>0</v>
      </c>
      <c r="R70" s="205">
        <f t="shared" si="15"/>
        <v>0</v>
      </c>
      <c r="S70" s="97">
        <f t="shared" si="11"/>
        <v>0</v>
      </c>
      <c r="T70" s="87">
        <f t="shared" si="16"/>
        <v>0</v>
      </c>
      <c r="U70" s="21">
        <v>0</v>
      </c>
      <c r="V70" s="139">
        <f t="shared" ref="V70" si="20">R70*U70</f>
        <v>0</v>
      </c>
      <c r="W70" s="141">
        <f t="shared" ref="W70:W78" si="21">S70+U70</f>
        <v>0</v>
      </c>
      <c r="X70" s="107">
        <f t="shared" ref="X70:X78" si="22">F70*W70</f>
        <v>0</v>
      </c>
      <c r="Y70" s="238">
        <v>20</v>
      </c>
      <c r="Z70" s="101">
        <v>50</v>
      </c>
    </row>
    <row r="71" spans="1:26" x14ac:dyDescent="0.25">
      <c r="A71" s="264">
        <v>67</v>
      </c>
      <c r="B71" s="261" t="s">
        <v>96</v>
      </c>
      <c r="C71" s="130">
        <v>140</v>
      </c>
      <c r="D71" s="130">
        <v>240</v>
      </c>
      <c r="E71" s="130">
        <v>2</v>
      </c>
      <c r="F71" s="131">
        <f t="shared" si="17"/>
        <v>6.7199999999999996E-2</v>
      </c>
      <c r="G71" s="23">
        <f>'OCAK 1.HAFTA'!W71</f>
        <v>0</v>
      </c>
      <c r="H71" s="135">
        <f t="shared" si="18"/>
        <v>0</v>
      </c>
      <c r="I71" s="21">
        <v>0</v>
      </c>
      <c r="J71" s="205">
        <f t="shared" si="12"/>
        <v>0</v>
      </c>
      <c r="K71" s="21">
        <v>0</v>
      </c>
      <c r="L71" s="10">
        <f t="shared" si="13"/>
        <v>0</v>
      </c>
      <c r="M71" s="21">
        <v>0</v>
      </c>
      <c r="N71" s="205">
        <f t="shared" si="14"/>
        <v>0</v>
      </c>
      <c r="O71" s="21">
        <v>0</v>
      </c>
      <c r="P71" s="173">
        <f t="shared" si="19"/>
        <v>0</v>
      </c>
      <c r="Q71" s="21">
        <v>0</v>
      </c>
      <c r="R71" s="205">
        <f t="shared" si="15"/>
        <v>0</v>
      </c>
      <c r="S71" s="97">
        <f t="shared" ref="S71:S78" si="23">G71-I71-K71-M71-O71-Q71</f>
        <v>0</v>
      </c>
      <c r="T71" s="97">
        <f t="shared" si="16"/>
        <v>0</v>
      </c>
      <c r="U71" s="21">
        <v>0</v>
      </c>
      <c r="V71" s="139">
        <f t="shared" ref="V71:V78" si="24">F71*U71</f>
        <v>0</v>
      </c>
      <c r="W71" s="141">
        <f t="shared" si="21"/>
        <v>0</v>
      </c>
      <c r="X71" s="141">
        <f t="shared" si="22"/>
        <v>0</v>
      </c>
      <c r="Y71" s="238">
        <v>30</v>
      </c>
      <c r="Z71" s="101">
        <v>100</v>
      </c>
    </row>
    <row r="72" spans="1:26" x14ac:dyDescent="0.25">
      <c r="A72" s="264">
        <v>68</v>
      </c>
      <c r="B72" s="262" t="s">
        <v>95</v>
      </c>
      <c r="C72" s="130">
        <v>61</v>
      </c>
      <c r="D72" s="130">
        <v>61</v>
      </c>
      <c r="E72" s="130">
        <v>3</v>
      </c>
      <c r="F72" s="131">
        <f t="shared" si="17"/>
        <v>1.1162999999999999E-2</v>
      </c>
      <c r="G72" s="23">
        <f>'OCAK 1.HAFTA'!W72</f>
        <v>171</v>
      </c>
      <c r="H72" s="135">
        <f t="shared" si="18"/>
        <v>1.9088729999999998</v>
      </c>
      <c r="I72" s="21">
        <v>0</v>
      </c>
      <c r="J72" s="205">
        <f t="shared" si="12"/>
        <v>0</v>
      </c>
      <c r="K72" s="21">
        <v>0</v>
      </c>
      <c r="L72" s="10">
        <f t="shared" si="13"/>
        <v>0</v>
      </c>
      <c r="M72" s="21">
        <v>33</v>
      </c>
      <c r="N72" s="205">
        <f t="shared" si="14"/>
        <v>0.36837899999999996</v>
      </c>
      <c r="O72" s="21">
        <v>0</v>
      </c>
      <c r="P72" s="173">
        <f t="shared" si="19"/>
        <v>0</v>
      </c>
      <c r="Q72" s="21">
        <v>0</v>
      </c>
      <c r="R72" s="205">
        <f t="shared" si="15"/>
        <v>0</v>
      </c>
      <c r="S72" s="97">
        <f t="shared" si="23"/>
        <v>138</v>
      </c>
      <c r="T72" s="97">
        <f t="shared" si="16"/>
        <v>1.5404939999999998</v>
      </c>
      <c r="U72" s="21">
        <v>0</v>
      </c>
      <c r="V72" s="252">
        <f t="shared" si="24"/>
        <v>0</v>
      </c>
      <c r="W72" s="253">
        <f t="shared" si="21"/>
        <v>138</v>
      </c>
      <c r="X72" s="253">
        <f t="shared" si="22"/>
        <v>1.5404939999999998</v>
      </c>
      <c r="Y72" s="238">
        <v>0</v>
      </c>
      <c r="Z72" s="101">
        <v>0</v>
      </c>
    </row>
    <row r="73" spans="1:26" x14ac:dyDescent="0.25">
      <c r="A73" s="264">
        <v>69</v>
      </c>
      <c r="B73" s="108" t="s">
        <v>106</v>
      </c>
      <c r="C73" s="96"/>
      <c r="D73" s="96"/>
      <c r="E73" s="96"/>
      <c r="F73" s="109"/>
      <c r="G73" s="23">
        <f>'OCAK 1.HAFTA'!W73</f>
        <v>20</v>
      </c>
      <c r="H73" s="135">
        <f t="shared" si="18"/>
        <v>0</v>
      </c>
      <c r="I73" s="21">
        <v>0</v>
      </c>
      <c r="J73" s="205">
        <f t="shared" si="12"/>
        <v>0</v>
      </c>
      <c r="K73" s="21">
        <v>0</v>
      </c>
      <c r="L73" s="10">
        <f t="shared" si="13"/>
        <v>0</v>
      </c>
      <c r="M73" s="21">
        <v>0</v>
      </c>
      <c r="N73" s="205">
        <f t="shared" si="14"/>
        <v>0</v>
      </c>
      <c r="O73" s="21">
        <v>0</v>
      </c>
      <c r="P73" s="250">
        <f t="shared" si="19"/>
        <v>0</v>
      </c>
      <c r="Q73" s="21">
        <v>0</v>
      </c>
      <c r="R73" s="205">
        <f t="shared" si="15"/>
        <v>0</v>
      </c>
      <c r="S73" s="97">
        <f t="shared" si="23"/>
        <v>20</v>
      </c>
      <c r="T73" s="97">
        <f t="shared" si="16"/>
        <v>0</v>
      </c>
      <c r="U73" s="21">
        <v>0</v>
      </c>
      <c r="V73" s="252">
        <f t="shared" si="24"/>
        <v>0</v>
      </c>
      <c r="W73" s="253">
        <f t="shared" si="21"/>
        <v>20</v>
      </c>
      <c r="X73" s="253">
        <f t="shared" si="22"/>
        <v>0</v>
      </c>
      <c r="Y73" s="101">
        <v>0</v>
      </c>
      <c r="Z73" s="101">
        <v>0</v>
      </c>
    </row>
    <row r="74" spans="1:26" x14ac:dyDescent="0.25">
      <c r="A74" s="105">
        <v>70</v>
      </c>
      <c r="B74" s="270" t="s">
        <v>107</v>
      </c>
      <c r="C74" s="105"/>
      <c r="D74" s="105"/>
      <c r="E74" s="271"/>
      <c r="F74" s="125"/>
      <c r="G74" s="23">
        <f>'OCAK 1.HAFTA'!W74</f>
        <v>20</v>
      </c>
      <c r="H74" s="135">
        <f t="shared" si="18"/>
        <v>0</v>
      </c>
      <c r="I74" s="21">
        <v>0</v>
      </c>
      <c r="J74" s="205">
        <f t="shared" si="12"/>
        <v>0</v>
      </c>
      <c r="K74" s="21">
        <v>0</v>
      </c>
      <c r="L74" s="10">
        <f t="shared" si="13"/>
        <v>0</v>
      </c>
      <c r="M74" s="21">
        <v>0</v>
      </c>
      <c r="N74" s="205">
        <f t="shared" si="14"/>
        <v>0</v>
      </c>
      <c r="O74" s="21">
        <v>0</v>
      </c>
      <c r="P74" s="250">
        <f t="shared" si="19"/>
        <v>0</v>
      </c>
      <c r="Q74" s="21">
        <v>0</v>
      </c>
      <c r="R74" s="205">
        <f t="shared" si="15"/>
        <v>0</v>
      </c>
      <c r="S74" s="97">
        <f t="shared" si="23"/>
        <v>20</v>
      </c>
      <c r="T74" s="97">
        <f t="shared" si="16"/>
        <v>0</v>
      </c>
      <c r="U74" s="21">
        <v>0</v>
      </c>
      <c r="V74" s="252">
        <f t="shared" si="24"/>
        <v>0</v>
      </c>
      <c r="W74" s="253">
        <f t="shared" si="21"/>
        <v>20</v>
      </c>
      <c r="X74" s="253">
        <f t="shared" si="22"/>
        <v>0</v>
      </c>
      <c r="Y74" s="106"/>
      <c r="Z74" s="106"/>
    </row>
    <row r="75" spans="1:26" x14ac:dyDescent="0.25">
      <c r="A75" s="96">
        <v>71</v>
      </c>
      <c r="B75" s="265" t="s">
        <v>108</v>
      </c>
      <c r="C75" s="96">
        <v>140</v>
      </c>
      <c r="D75" s="96">
        <v>240</v>
      </c>
      <c r="E75" s="109">
        <v>6</v>
      </c>
      <c r="F75" s="131">
        <f t="shared" ref="F75:F78" si="25">(C75*D75*E75)/1000000</f>
        <v>0.2016</v>
      </c>
      <c r="G75" s="23">
        <f>'OCAK 1.HAFTA'!W75</f>
        <v>32</v>
      </c>
      <c r="H75" s="135">
        <f t="shared" si="18"/>
        <v>6.4512</v>
      </c>
      <c r="I75" s="21">
        <v>0</v>
      </c>
      <c r="J75" s="205">
        <f t="shared" si="12"/>
        <v>0</v>
      </c>
      <c r="K75" s="21">
        <v>0</v>
      </c>
      <c r="L75" s="96">
        <f t="shared" si="13"/>
        <v>0</v>
      </c>
      <c r="M75" s="21">
        <v>0</v>
      </c>
      <c r="N75" s="205">
        <f t="shared" si="14"/>
        <v>0</v>
      </c>
      <c r="O75" s="21">
        <v>0</v>
      </c>
      <c r="P75" s="250">
        <f t="shared" si="19"/>
        <v>0</v>
      </c>
      <c r="Q75" s="21">
        <v>0</v>
      </c>
      <c r="R75" s="174">
        <f t="shared" si="15"/>
        <v>0</v>
      </c>
      <c r="S75" s="281">
        <f t="shared" si="23"/>
        <v>32</v>
      </c>
      <c r="T75" s="97">
        <f t="shared" si="16"/>
        <v>6.4512</v>
      </c>
      <c r="U75" s="21">
        <v>0</v>
      </c>
      <c r="V75" s="252">
        <f t="shared" si="24"/>
        <v>0</v>
      </c>
      <c r="W75" s="253">
        <f t="shared" si="21"/>
        <v>32</v>
      </c>
      <c r="X75" s="253">
        <f t="shared" si="22"/>
        <v>6.4512</v>
      </c>
      <c r="Y75" s="106"/>
      <c r="Z75" s="106"/>
    </row>
    <row r="76" spans="1:26" x14ac:dyDescent="0.25">
      <c r="A76" s="277">
        <v>72</v>
      </c>
      <c r="B76" s="175" t="s">
        <v>113</v>
      </c>
      <c r="C76" s="2">
        <v>63</v>
      </c>
      <c r="D76" s="2">
        <v>60</v>
      </c>
      <c r="E76" s="2">
        <v>5</v>
      </c>
      <c r="F76" s="131">
        <f t="shared" si="25"/>
        <v>1.89E-2</v>
      </c>
      <c r="G76" s="23">
        <f>'OCAK 1.HAFTA'!W76</f>
        <v>129</v>
      </c>
      <c r="H76" s="135">
        <f t="shared" si="18"/>
        <v>2.4380999999999999</v>
      </c>
      <c r="I76" s="21">
        <v>0</v>
      </c>
      <c r="J76" s="205">
        <f t="shared" si="12"/>
        <v>0</v>
      </c>
      <c r="K76" s="21">
        <v>10</v>
      </c>
      <c r="L76" s="96">
        <f t="shared" si="13"/>
        <v>0.189</v>
      </c>
      <c r="M76" s="21">
        <v>0</v>
      </c>
      <c r="N76" s="205">
        <f t="shared" si="14"/>
        <v>0</v>
      </c>
      <c r="O76" s="21">
        <v>0</v>
      </c>
      <c r="P76" s="250">
        <f t="shared" si="19"/>
        <v>0</v>
      </c>
      <c r="Q76" s="21">
        <v>0</v>
      </c>
      <c r="R76" s="174">
        <f t="shared" si="15"/>
        <v>0</v>
      </c>
      <c r="S76" s="281">
        <f t="shared" si="23"/>
        <v>119</v>
      </c>
      <c r="T76" s="251">
        <f t="shared" si="16"/>
        <v>2.2490999999999999</v>
      </c>
      <c r="U76" s="21">
        <v>0</v>
      </c>
      <c r="V76" s="252">
        <f t="shared" si="24"/>
        <v>0</v>
      </c>
      <c r="W76" s="253">
        <f t="shared" si="21"/>
        <v>119</v>
      </c>
      <c r="X76" s="253">
        <f t="shared" si="22"/>
        <v>2.2490999999999999</v>
      </c>
      <c r="Y76" s="106"/>
      <c r="Z76" s="106"/>
    </row>
    <row r="77" spans="1:26" ht="15.75" thickBot="1" x14ac:dyDescent="0.3">
      <c r="A77" s="279">
        <v>73</v>
      </c>
      <c r="B77" s="280" t="s">
        <v>115</v>
      </c>
      <c r="C77" s="2">
        <v>90</v>
      </c>
      <c r="D77" s="2">
        <v>85</v>
      </c>
      <c r="E77" s="2">
        <v>5</v>
      </c>
      <c r="F77" s="131">
        <f t="shared" si="25"/>
        <v>3.8249999999999999E-2</v>
      </c>
      <c r="G77" s="23">
        <f>'OCAK 1.HAFTA'!W77</f>
        <v>96</v>
      </c>
      <c r="H77" s="135">
        <f t="shared" si="18"/>
        <v>3.6719999999999997</v>
      </c>
      <c r="I77" s="21">
        <v>0</v>
      </c>
      <c r="J77" s="205">
        <f t="shared" si="12"/>
        <v>0</v>
      </c>
      <c r="K77" s="21">
        <v>0</v>
      </c>
      <c r="L77" s="96">
        <f t="shared" si="13"/>
        <v>0</v>
      </c>
      <c r="M77" s="21">
        <v>3</v>
      </c>
      <c r="N77" s="205">
        <f t="shared" si="14"/>
        <v>0.11474999999999999</v>
      </c>
      <c r="O77" s="21">
        <v>0</v>
      </c>
      <c r="P77" s="250">
        <f t="shared" si="19"/>
        <v>0</v>
      </c>
      <c r="Q77" s="21">
        <v>0</v>
      </c>
      <c r="R77" s="174">
        <f t="shared" si="15"/>
        <v>0</v>
      </c>
      <c r="S77" s="281">
        <f t="shared" si="23"/>
        <v>93</v>
      </c>
      <c r="T77" s="251">
        <f t="shared" si="16"/>
        <v>3.5572499999999998</v>
      </c>
      <c r="U77" s="21">
        <v>0</v>
      </c>
      <c r="V77" s="264">
        <f t="shared" si="24"/>
        <v>0</v>
      </c>
      <c r="W77" s="264">
        <f t="shared" si="21"/>
        <v>93</v>
      </c>
      <c r="X77" s="264">
        <f t="shared" si="22"/>
        <v>3.5572499999999998</v>
      </c>
      <c r="Y77" s="101"/>
      <c r="Z77" s="101"/>
    </row>
    <row r="78" spans="1:26" x14ac:dyDescent="0.25">
      <c r="A78" s="277">
        <v>74</v>
      </c>
      <c r="B78" s="151" t="s">
        <v>116</v>
      </c>
      <c r="C78" s="2">
        <v>100</v>
      </c>
      <c r="D78" s="2">
        <v>90</v>
      </c>
      <c r="E78" s="2">
        <v>3</v>
      </c>
      <c r="F78" s="131">
        <f t="shared" si="25"/>
        <v>2.7E-2</v>
      </c>
      <c r="G78" s="23">
        <f>'OCAK 1.HAFTA'!W78</f>
        <v>132</v>
      </c>
      <c r="H78" s="136">
        <f t="shared" si="18"/>
        <v>3.5640000000000001</v>
      </c>
      <c r="I78" s="21">
        <v>0</v>
      </c>
      <c r="J78" s="205">
        <f t="shared" si="12"/>
        <v>0</v>
      </c>
      <c r="K78" s="21">
        <v>0</v>
      </c>
      <c r="L78" s="96">
        <f t="shared" si="13"/>
        <v>0</v>
      </c>
      <c r="M78" s="21">
        <v>0</v>
      </c>
      <c r="N78" s="205">
        <f t="shared" si="14"/>
        <v>0</v>
      </c>
      <c r="O78" s="21">
        <v>0</v>
      </c>
      <c r="P78" s="174">
        <f t="shared" si="19"/>
        <v>0</v>
      </c>
      <c r="Q78" s="21">
        <v>0</v>
      </c>
      <c r="R78" s="174">
        <f t="shared" si="15"/>
        <v>0</v>
      </c>
      <c r="S78" s="282">
        <f t="shared" si="23"/>
        <v>132</v>
      </c>
      <c r="T78" s="97">
        <f t="shared" si="16"/>
        <v>3.5640000000000001</v>
      </c>
      <c r="U78" s="21">
        <v>0</v>
      </c>
      <c r="V78" s="264">
        <f t="shared" si="24"/>
        <v>0</v>
      </c>
      <c r="W78" s="264">
        <f t="shared" si="21"/>
        <v>132</v>
      </c>
      <c r="X78" s="264">
        <f t="shared" si="22"/>
        <v>3.5640000000000001</v>
      </c>
      <c r="Y78" s="101"/>
      <c r="Z78" s="101"/>
    </row>
  </sheetData>
  <mergeCells count="24">
    <mergeCell ref="S4:T4"/>
    <mergeCell ref="U4:V4"/>
    <mergeCell ref="W4:X4"/>
    <mergeCell ref="G4:H4"/>
    <mergeCell ref="I4:J4"/>
    <mergeCell ref="K4:L4"/>
    <mergeCell ref="M4:N4"/>
    <mergeCell ref="O4:P4"/>
    <mergeCell ref="Q4:R4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C1:H1"/>
    <mergeCell ref="G2:H3"/>
    <mergeCell ref="I2:J2"/>
    <mergeCell ref="K2:L2"/>
    <mergeCell ref="M2:N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78"/>
  <sheetViews>
    <sheetView topLeftCell="A67" workbookViewId="0">
      <selection activeCell="Q22" sqref="Q22"/>
    </sheetView>
  </sheetViews>
  <sheetFormatPr defaultRowHeight="15" x14ac:dyDescent="0.25"/>
  <cols>
    <col min="1" max="1" width="6.42578125" customWidth="1"/>
    <col min="2" max="2" width="23.85546875" style="3" customWidth="1"/>
    <col min="3" max="3" width="13.7109375" style="2" hidden="1" customWidth="1"/>
    <col min="4" max="4" width="12.140625" style="2" hidden="1" customWidth="1"/>
    <col min="5" max="5" width="14" style="2" hidden="1" customWidth="1"/>
    <col min="6" max="6" width="14" style="4" hidden="1" customWidth="1"/>
    <col min="7" max="8" width="9" style="5" customWidth="1"/>
    <col min="9" max="20" width="8.140625" style="2" customWidth="1"/>
    <col min="25" max="25" width="10.28515625" customWidth="1"/>
  </cols>
  <sheetData>
    <row r="1" spans="1:26" ht="15.75" thickBot="1" x14ac:dyDescent="0.3">
      <c r="B1" s="4" t="s">
        <v>18</v>
      </c>
      <c r="C1" s="320" t="s">
        <v>130</v>
      </c>
      <c r="D1" s="320"/>
      <c r="E1" s="320"/>
      <c r="F1" s="320"/>
      <c r="G1" s="320"/>
      <c r="H1" s="320"/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44942</v>
      </c>
      <c r="J2" s="326"/>
      <c r="K2" s="327">
        <v>44943</v>
      </c>
      <c r="L2" s="328"/>
      <c r="M2" s="325">
        <v>44944</v>
      </c>
      <c r="N2" s="329"/>
      <c r="O2" s="327">
        <v>44945</v>
      </c>
      <c r="P2" s="346"/>
      <c r="Q2" s="325">
        <v>44946</v>
      </c>
      <c r="R2" s="329"/>
      <c r="S2" s="330" t="s">
        <v>69</v>
      </c>
      <c r="T2" s="331"/>
      <c r="U2" s="334" t="s">
        <v>70</v>
      </c>
      <c r="V2" s="335"/>
      <c r="W2" s="338" t="s">
        <v>71</v>
      </c>
      <c r="X2" s="339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40"/>
      <c r="X3" s="341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51" t="s">
        <v>63</v>
      </c>
      <c r="X4" s="352"/>
      <c r="Y4" s="268" t="s">
        <v>99</v>
      </c>
      <c r="Z4" s="269" t="s">
        <v>100</v>
      </c>
    </row>
    <row r="5" spans="1:26" x14ac:dyDescent="0.25">
      <c r="A5" s="263">
        <v>1</v>
      </c>
      <c r="B5" s="256" t="s">
        <v>2</v>
      </c>
      <c r="C5" s="32">
        <v>140</v>
      </c>
      <c r="D5" s="33">
        <v>240</v>
      </c>
      <c r="E5" s="33">
        <v>1</v>
      </c>
      <c r="F5" s="15">
        <f>(C5*D5*E5)/1000000</f>
        <v>3.3599999999999998E-2</v>
      </c>
      <c r="G5" s="23">
        <v>1572</v>
      </c>
      <c r="H5" s="24">
        <f>F5*G5</f>
        <v>52.819199999999995</v>
      </c>
      <c r="I5" s="21">
        <v>52</v>
      </c>
      <c r="J5" s="205">
        <f t="shared" ref="J5:J68" si="0">F5*I5</f>
        <v>1.7471999999999999</v>
      </c>
      <c r="K5" s="21">
        <v>30</v>
      </c>
      <c r="L5" s="10">
        <f t="shared" ref="L5:L68" si="1">F5*K5</f>
        <v>1.008</v>
      </c>
      <c r="M5" s="21">
        <v>45</v>
      </c>
      <c r="N5" s="205">
        <f t="shared" ref="N5:N68" si="2">F5*M5</f>
        <v>1.512</v>
      </c>
      <c r="O5" s="21">
        <v>22</v>
      </c>
      <c r="P5" s="10">
        <f>F5*O5</f>
        <v>0.73919999999999997</v>
      </c>
      <c r="Q5" s="21">
        <v>73</v>
      </c>
      <c r="R5" s="205">
        <f t="shared" ref="R5:R68" si="3">F5*Q5</f>
        <v>2.4527999999999999</v>
      </c>
      <c r="S5" s="39">
        <f>G5-I5-K5-M5-O5-Q5</f>
        <v>1350</v>
      </c>
      <c r="T5" s="38">
        <f t="shared" ref="T5:T68" si="4">F5*S5</f>
        <v>45.36</v>
      </c>
      <c r="U5" s="21">
        <v>0</v>
      </c>
      <c r="V5" s="13">
        <f>F5*U5</f>
        <v>0</v>
      </c>
      <c r="W5" s="49">
        <f>S5+U5</f>
        <v>1350</v>
      </c>
      <c r="X5" s="50">
        <f>F5*W5</f>
        <v>45.36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3</v>
      </c>
      <c r="C6" s="34">
        <v>140</v>
      </c>
      <c r="D6" s="35">
        <v>240</v>
      </c>
      <c r="E6" s="35">
        <v>0.8</v>
      </c>
      <c r="F6" s="19">
        <f t="shared" ref="F6:F69" si="5">(C6*D6*E6)/1000000</f>
        <v>2.6880000000000001E-2</v>
      </c>
      <c r="G6" s="23">
        <v>729</v>
      </c>
      <c r="H6" s="26">
        <f t="shared" ref="H6:H69" si="6">F6*G6</f>
        <v>19.59552</v>
      </c>
      <c r="I6" s="21">
        <v>0</v>
      </c>
      <c r="J6" s="205">
        <f t="shared" si="0"/>
        <v>0</v>
      </c>
      <c r="K6" s="21">
        <v>6</v>
      </c>
      <c r="L6" s="10">
        <f t="shared" si="1"/>
        <v>0.16128000000000001</v>
      </c>
      <c r="M6" s="21">
        <v>20</v>
      </c>
      <c r="N6" s="205">
        <f t="shared" si="2"/>
        <v>0.53760000000000008</v>
      </c>
      <c r="O6" s="21">
        <v>18</v>
      </c>
      <c r="P6" s="10">
        <f t="shared" ref="P6:P69" si="7">F6*O6</f>
        <v>0.48384000000000005</v>
      </c>
      <c r="Q6" s="21">
        <v>17</v>
      </c>
      <c r="R6" s="205">
        <f t="shared" si="3"/>
        <v>0.45696000000000003</v>
      </c>
      <c r="S6" s="39">
        <f>G6-I6-K6-M6-O6-Q6</f>
        <v>668</v>
      </c>
      <c r="T6" s="38">
        <f t="shared" si="4"/>
        <v>17.955840000000002</v>
      </c>
      <c r="U6" s="21">
        <v>100</v>
      </c>
      <c r="V6" s="13">
        <f t="shared" ref="V6:V69" si="8">F6*U6</f>
        <v>2.6880000000000002</v>
      </c>
      <c r="W6" s="49">
        <f t="shared" ref="W6:W69" si="9">S6+U6</f>
        <v>768</v>
      </c>
      <c r="X6" s="50">
        <f t="shared" ref="X6:X69" si="10">F6*W6</f>
        <v>20.643840000000001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4</v>
      </c>
      <c r="C7" s="34">
        <v>140</v>
      </c>
      <c r="D7" s="35">
        <v>238</v>
      </c>
      <c r="E7" s="35">
        <v>1.4</v>
      </c>
      <c r="F7" s="19">
        <f t="shared" si="5"/>
        <v>4.6648000000000002E-2</v>
      </c>
      <c r="G7" s="23">
        <v>580</v>
      </c>
      <c r="H7" s="26">
        <f t="shared" si="6"/>
        <v>27.05584</v>
      </c>
      <c r="I7" s="21">
        <v>61</v>
      </c>
      <c r="J7" s="205">
        <f t="shared" si="0"/>
        <v>2.8455280000000003</v>
      </c>
      <c r="K7" s="21">
        <v>9</v>
      </c>
      <c r="L7" s="10">
        <f t="shared" si="1"/>
        <v>0.41983200000000004</v>
      </c>
      <c r="M7" s="21">
        <v>28</v>
      </c>
      <c r="N7" s="205">
        <f t="shared" si="2"/>
        <v>1.306144</v>
      </c>
      <c r="O7" s="21">
        <v>14</v>
      </c>
      <c r="P7" s="10">
        <f t="shared" si="7"/>
        <v>0.65307199999999999</v>
      </c>
      <c r="Q7" s="21">
        <v>0</v>
      </c>
      <c r="R7" s="205">
        <f t="shared" si="3"/>
        <v>0</v>
      </c>
      <c r="S7" s="39">
        <f t="shared" ref="S7:S70" si="11">G7-I7-K7-M7-O7-Q7</f>
        <v>468</v>
      </c>
      <c r="T7" s="38">
        <f t="shared" si="4"/>
        <v>21.831264000000001</v>
      </c>
      <c r="U7" s="21">
        <v>144</v>
      </c>
      <c r="V7" s="13">
        <f t="shared" si="8"/>
        <v>6.7173120000000006</v>
      </c>
      <c r="W7" s="49">
        <f t="shared" si="9"/>
        <v>612</v>
      </c>
      <c r="X7" s="50">
        <f t="shared" si="10"/>
        <v>28.548576000000001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114</v>
      </c>
      <c r="C8" s="34">
        <v>140</v>
      </c>
      <c r="D8" s="35">
        <v>240</v>
      </c>
      <c r="E8" s="35">
        <v>4</v>
      </c>
      <c r="F8" s="19">
        <f t="shared" si="5"/>
        <v>0.13439999999999999</v>
      </c>
      <c r="G8" s="23">
        <f>'OCAK 2.HAFTA '!W8</f>
        <v>9</v>
      </c>
      <c r="H8" s="26">
        <f t="shared" si="6"/>
        <v>1.2096</v>
      </c>
      <c r="I8" s="21">
        <v>9</v>
      </c>
      <c r="J8" s="205">
        <f t="shared" si="0"/>
        <v>1.2096</v>
      </c>
      <c r="K8" s="21">
        <v>0</v>
      </c>
      <c r="L8" s="10">
        <f t="shared" si="1"/>
        <v>0</v>
      </c>
      <c r="M8" s="21">
        <v>0</v>
      </c>
      <c r="N8" s="205">
        <f t="shared" si="2"/>
        <v>0</v>
      </c>
      <c r="O8" s="21">
        <v>0</v>
      </c>
      <c r="P8" s="10">
        <f t="shared" si="7"/>
        <v>0</v>
      </c>
      <c r="Q8" s="21">
        <v>0</v>
      </c>
      <c r="R8" s="205">
        <f t="shared" si="3"/>
        <v>0</v>
      </c>
      <c r="S8" s="39">
        <f t="shared" si="11"/>
        <v>0</v>
      </c>
      <c r="T8" s="38">
        <f t="shared" si="4"/>
        <v>0</v>
      </c>
      <c r="U8" s="21">
        <v>0</v>
      </c>
      <c r="V8" s="13">
        <f t="shared" si="8"/>
        <v>0</v>
      </c>
      <c r="W8" s="49">
        <f t="shared" si="9"/>
        <v>0</v>
      </c>
      <c r="X8" s="50">
        <f t="shared" si="10"/>
        <v>0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6</v>
      </c>
      <c r="C9" s="34">
        <v>140</v>
      </c>
      <c r="D9" s="35">
        <v>240</v>
      </c>
      <c r="E9" s="35">
        <v>2</v>
      </c>
      <c r="F9" s="19">
        <f t="shared" si="5"/>
        <v>6.7199999999999996E-2</v>
      </c>
      <c r="G9" s="23">
        <v>325</v>
      </c>
      <c r="H9" s="26">
        <f t="shared" si="6"/>
        <v>21.84</v>
      </c>
      <c r="I9" s="21">
        <v>0</v>
      </c>
      <c r="J9" s="205">
        <f t="shared" si="0"/>
        <v>0</v>
      </c>
      <c r="K9" s="21">
        <v>4</v>
      </c>
      <c r="L9" s="10">
        <f t="shared" si="1"/>
        <v>0.26879999999999998</v>
      </c>
      <c r="M9" s="21">
        <v>1</v>
      </c>
      <c r="N9" s="205">
        <f t="shared" si="2"/>
        <v>6.7199999999999996E-2</v>
      </c>
      <c r="O9" s="21">
        <v>26</v>
      </c>
      <c r="P9" s="10">
        <f t="shared" si="7"/>
        <v>1.7471999999999999</v>
      </c>
      <c r="Q9" s="21">
        <v>6</v>
      </c>
      <c r="R9" s="205">
        <f t="shared" si="3"/>
        <v>0.4032</v>
      </c>
      <c r="S9" s="39">
        <f t="shared" si="11"/>
        <v>288</v>
      </c>
      <c r="T9" s="38">
        <f t="shared" si="4"/>
        <v>19.3536</v>
      </c>
      <c r="U9" s="21">
        <v>138</v>
      </c>
      <c r="V9" s="13">
        <f t="shared" si="8"/>
        <v>9.2736000000000001</v>
      </c>
      <c r="W9" s="49">
        <f t="shared" si="9"/>
        <v>426</v>
      </c>
      <c r="X9" s="50">
        <f t="shared" si="10"/>
        <v>28.627199999999998</v>
      </c>
      <c r="Y9" s="238">
        <v>50</v>
      </c>
      <c r="Z9" s="101">
        <v>150</v>
      </c>
    </row>
    <row r="10" spans="1:26" x14ac:dyDescent="0.25">
      <c r="A10" s="264">
        <v>6</v>
      </c>
      <c r="B10" s="256" t="s">
        <v>7</v>
      </c>
      <c r="C10" s="34">
        <v>140</v>
      </c>
      <c r="D10" s="35">
        <v>240</v>
      </c>
      <c r="E10" s="35">
        <v>2</v>
      </c>
      <c r="F10" s="19">
        <f t="shared" si="5"/>
        <v>6.7199999999999996E-2</v>
      </c>
      <c r="G10" s="23">
        <v>60</v>
      </c>
      <c r="H10" s="26">
        <f t="shared" si="6"/>
        <v>4.032</v>
      </c>
      <c r="I10" s="21">
        <v>5</v>
      </c>
      <c r="J10" s="205">
        <f t="shared" si="0"/>
        <v>0.33599999999999997</v>
      </c>
      <c r="K10" s="21">
        <v>30</v>
      </c>
      <c r="L10" s="10">
        <f t="shared" si="1"/>
        <v>2.016</v>
      </c>
      <c r="M10" s="21">
        <v>25</v>
      </c>
      <c r="N10" s="205">
        <f t="shared" si="2"/>
        <v>1.68</v>
      </c>
      <c r="O10" s="21">
        <v>0</v>
      </c>
      <c r="P10" s="10">
        <f t="shared" si="7"/>
        <v>0</v>
      </c>
      <c r="Q10" s="21">
        <v>0</v>
      </c>
      <c r="R10" s="205">
        <f t="shared" si="3"/>
        <v>0</v>
      </c>
      <c r="S10" s="39">
        <f t="shared" si="11"/>
        <v>0</v>
      </c>
      <c r="T10" s="38">
        <f t="shared" si="4"/>
        <v>0</v>
      </c>
      <c r="U10" s="21">
        <v>140</v>
      </c>
      <c r="V10" s="13">
        <f t="shared" si="8"/>
        <v>9.4079999999999995</v>
      </c>
      <c r="W10" s="49">
        <f t="shared" si="9"/>
        <v>140</v>
      </c>
      <c r="X10" s="50">
        <f t="shared" si="10"/>
        <v>9.4079999999999995</v>
      </c>
      <c r="Y10" s="238">
        <v>75</v>
      </c>
      <c r="Z10" s="101">
        <v>300</v>
      </c>
    </row>
    <row r="11" spans="1:26" x14ac:dyDescent="0.25">
      <c r="A11" s="264">
        <v>7</v>
      </c>
      <c r="B11" s="256" t="s">
        <v>8</v>
      </c>
      <c r="C11" s="34">
        <v>140</v>
      </c>
      <c r="D11" s="35">
        <v>240</v>
      </c>
      <c r="E11" s="35">
        <v>7</v>
      </c>
      <c r="F11" s="19">
        <f t="shared" si="5"/>
        <v>0.23519999999999999</v>
      </c>
      <c r="G11" s="23">
        <v>24</v>
      </c>
      <c r="H11" s="26">
        <f t="shared" si="6"/>
        <v>5.6448</v>
      </c>
      <c r="I11" s="21">
        <v>1</v>
      </c>
      <c r="J11" s="205">
        <f t="shared" si="0"/>
        <v>0.23519999999999999</v>
      </c>
      <c r="K11" s="21">
        <v>3</v>
      </c>
      <c r="L11" s="10">
        <f t="shared" si="1"/>
        <v>0.7056</v>
      </c>
      <c r="M11" s="21">
        <v>1</v>
      </c>
      <c r="N11" s="205">
        <f t="shared" si="2"/>
        <v>0.23519999999999999</v>
      </c>
      <c r="O11" s="21">
        <v>3</v>
      </c>
      <c r="P11" s="10">
        <f t="shared" si="7"/>
        <v>0.7056</v>
      </c>
      <c r="Q11" s="21">
        <v>3</v>
      </c>
      <c r="R11" s="205">
        <f t="shared" si="3"/>
        <v>0.7056</v>
      </c>
      <c r="S11" s="39">
        <f t="shared" si="11"/>
        <v>13</v>
      </c>
      <c r="T11" s="38">
        <f t="shared" si="4"/>
        <v>3.0575999999999999</v>
      </c>
      <c r="U11" s="21">
        <v>0</v>
      </c>
      <c r="V11" s="13">
        <f t="shared" si="8"/>
        <v>0</v>
      </c>
      <c r="W11" s="49">
        <f t="shared" si="9"/>
        <v>13</v>
      </c>
      <c r="X11" s="50">
        <f t="shared" si="10"/>
        <v>3.0575999999999999</v>
      </c>
      <c r="Y11" s="238">
        <v>20</v>
      </c>
      <c r="Z11" s="101">
        <v>50</v>
      </c>
    </row>
    <row r="12" spans="1:26" x14ac:dyDescent="0.25">
      <c r="A12" s="264">
        <v>8</v>
      </c>
      <c r="B12" s="256" t="s">
        <v>9</v>
      </c>
      <c r="C12" s="34">
        <v>140</v>
      </c>
      <c r="D12" s="35">
        <v>240</v>
      </c>
      <c r="E12" s="35">
        <v>5</v>
      </c>
      <c r="F12" s="19">
        <f t="shared" si="5"/>
        <v>0.16800000000000001</v>
      </c>
      <c r="G12" s="23">
        <v>205</v>
      </c>
      <c r="H12" s="26">
        <f t="shared" si="6"/>
        <v>34.440000000000005</v>
      </c>
      <c r="I12" s="21">
        <v>17</v>
      </c>
      <c r="J12" s="205">
        <f t="shared" si="0"/>
        <v>2.8560000000000003</v>
      </c>
      <c r="K12" s="21">
        <v>0</v>
      </c>
      <c r="L12" s="10">
        <f t="shared" si="1"/>
        <v>0</v>
      </c>
      <c r="M12" s="21">
        <v>6</v>
      </c>
      <c r="N12" s="205">
        <f t="shared" si="2"/>
        <v>1.008</v>
      </c>
      <c r="O12" s="21">
        <v>1</v>
      </c>
      <c r="P12" s="10">
        <f t="shared" si="7"/>
        <v>0.16800000000000001</v>
      </c>
      <c r="Q12" s="21">
        <v>22</v>
      </c>
      <c r="R12" s="205">
        <f t="shared" si="3"/>
        <v>3.6960000000000002</v>
      </c>
      <c r="S12" s="39">
        <f t="shared" si="11"/>
        <v>159</v>
      </c>
      <c r="T12" s="38">
        <f t="shared" si="4"/>
        <v>26.712000000000003</v>
      </c>
      <c r="U12" s="21">
        <v>0</v>
      </c>
      <c r="V12" s="13">
        <f t="shared" si="8"/>
        <v>0</v>
      </c>
      <c r="W12" s="49">
        <f t="shared" si="9"/>
        <v>159</v>
      </c>
      <c r="X12" s="50">
        <f t="shared" si="10"/>
        <v>26.712000000000003</v>
      </c>
      <c r="Y12" s="238">
        <v>30</v>
      </c>
      <c r="Z12" s="101">
        <v>100</v>
      </c>
    </row>
    <row r="13" spans="1:26" x14ac:dyDescent="0.25">
      <c r="A13" s="264">
        <v>9</v>
      </c>
      <c r="B13" s="256" t="s">
        <v>10</v>
      </c>
      <c r="C13" s="34">
        <v>140</v>
      </c>
      <c r="D13" s="35">
        <v>240</v>
      </c>
      <c r="E13" s="35">
        <v>5</v>
      </c>
      <c r="F13" s="19">
        <f t="shared" si="5"/>
        <v>0.16800000000000001</v>
      </c>
      <c r="G13" s="23">
        <v>76</v>
      </c>
      <c r="H13" s="26">
        <f t="shared" si="6"/>
        <v>12.768000000000001</v>
      </c>
      <c r="I13" s="21">
        <v>1</v>
      </c>
      <c r="J13" s="205">
        <f t="shared" si="0"/>
        <v>0.16800000000000001</v>
      </c>
      <c r="K13" s="21">
        <v>2</v>
      </c>
      <c r="L13" s="10">
        <f t="shared" si="1"/>
        <v>0.33600000000000002</v>
      </c>
      <c r="M13" s="21">
        <v>0</v>
      </c>
      <c r="N13" s="205">
        <f t="shared" si="2"/>
        <v>0</v>
      </c>
      <c r="O13" s="21">
        <v>1</v>
      </c>
      <c r="P13" s="10">
        <f t="shared" si="7"/>
        <v>0.16800000000000001</v>
      </c>
      <c r="Q13" s="21">
        <v>1</v>
      </c>
      <c r="R13" s="205">
        <f t="shared" si="3"/>
        <v>0.16800000000000001</v>
      </c>
      <c r="S13" s="39">
        <f t="shared" si="11"/>
        <v>71</v>
      </c>
      <c r="T13" s="38">
        <f t="shared" si="4"/>
        <v>11.928000000000001</v>
      </c>
      <c r="U13" s="21">
        <v>0</v>
      </c>
      <c r="V13" s="13">
        <f t="shared" si="8"/>
        <v>0</v>
      </c>
      <c r="W13" s="49">
        <f t="shared" si="9"/>
        <v>71</v>
      </c>
      <c r="X13" s="50">
        <f t="shared" si="10"/>
        <v>11.928000000000001</v>
      </c>
      <c r="Y13" s="238">
        <v>20</v>
      </c>
      <c r="Z13" s="101">
        <v>50</v>
      </c>
    </row>
    <row r="14" spans="1:26" x14ac:dyDescent="0.25">
      <c r="A14" s="264">
        <v>10</v>
      </c>
      <c r="B14" s="256" t="s">
        <v>11</v>
      </c>
      <c r="C14" s="34">
        <v>140</v>
      </c>
      <c r="D14" s="35">
        <v>240</v>
      </c>
      <c r="E14" s="35">
        <v>5</v>
      </c>
      <c r="F14" s="19">
        <f t="shared" si="5"/>
        <v>0.16800000000000001</v>
      </c>
      <c r="G14" s="23">
        <v>247</v>
      </c>
      <c r="H14" s="26">
        <f t="shared" si="6"/>
        <v>41.496000000000002</v>
      </c>
      <c r="I14" s="21">
        <v>7</v>
      </c>
      <c r="J14" s="205">
        <f t="shared" si="0"/>
        <v>1.1760000000000002</v>
      </c>
      <c r="K14" s="21">
        <v>6</v>
      </c>
      <c r="L14" s="10">
        <f t="shared" si="1"/>
        <v>1.008</v>
      </c>
      <c r="M14" s="21">
        <v>0</v>
      </c>
      <c r="N14" s="205">
        <f t="shared" si="2"/>
        <v>0</v>
      </c>
      <c r="O14" s="21">
        <v>9</v>
      </c>
      <c r="P14" s="10">
        <f t="shared" si="7"/>
        <v>1.512</v>
      </c>
      <c r="Q14" s="21">
        <v>0</v>
      </c>
      <c r="R14" s="205">
        <f t="shared" si="3"/>
        <v>0</v>
      </c>
      <c r="S14" s="39">
        <f t="shared" si="11"/>
        <v>225</v>
      </c>
      <c r="T14" s="38">
        <f t="shared" si="4"/>
        <v>37.800000000000004</v>
      </c>
      <c r="U14" s="21">
        <v>0</v>
      </c>
      <c r="V14" s="13">
        <f t="shared" si="8"/>
        <v>0</v>
      </c>
      <c r="W14" s="49">
        <f t="shared" si="9"/>
        <v>225</v>
      </c>
      <c r="X14" s="50">
        <f t="shared" si="10"/>
        <v>37.800000000000004</v>
      </c>
      <c r="Y14" s="238">
        <v>30</v>
      </c>
      <c r="Z14" s="101">
        <v>100</v>
      </c>
    </row>
    <row r="15" spans="1:26" x14ac:dyDescent="0.25">
      <c r="A15" s="264">
        <v>11</v>
      </c>
      <c r="B15" s="256" t="s">
        <v>12</v>
      </c>
      <c r="C15" s="34">
        <v>140</v>
      </c>
      <c r="D15" s="35">
        <v>240</v>
      </c>
      <c r="E15" s="35">
        <v>10</v>
      </c>
      <c r="F15" s="19">
        <f t="shared" si="5"/>
        <v>0.33600000000000002</v>
      </c>
      <c r="G15" s="23">
        <v>22</v>
      </c>
      <c r="H15" s="26">
        <f t="shared" si="6"/>
        <v>7.3920000000000003</v>
      </c>
      <c r="I15" s="21">
        <v>0</v>
      </c>
      <c r="J15" s="205">
        <f t="shared" si="0"/>
        <v>0</v>
      </c>
      <c r="K15" s="21">
        <v>0</v>
      </c>
      <c r="L15" s="10">
        <f t="shared" si="1"/>
        <v>0</v>
      </c>
      <c r="M15" s="21">
        <v>1</v>
      </c>
      <c r="N15" s="205">
        <f t="shared" si="2"/>
        <v>0.33600000000000002</v>
      </c>
      <c r="O15" s="21">
        <v>3</v>
      </c>
      <c r="P15" s="10">
        <f t="shared" si="7"/>
        <v>1.008</v>
      </c>
      <c r="Q15" s="21">
        <v>0</v>
      </c>
      <c r="R15" s="205">
        <f t="shared" si="3"/>
        <v>0</v>
      </c>
      <c r="S15" s="39">
        <f t="shared" si="11"/>
        <v>18</v>
      </c>
      <c r="T15" s="38">
        <f t="shared" si="4"/>
        <v>6.048</v>
      </c>
      <c r="U15" s="21">
        <v>0</v>
      </c>
      <c r="V15" s="13">
        <f t="shared" si="8"/>
        <v>0</v>
      </c>
      <c r="W15" s="49">
        <f t="shared" si="9"/>
        <v>18</v>
      </c>
      <c r="X15" s="50">
        <f t="shared" si="10"/>
        <v>6.048</v>
      </c>
      <c r="Y15" s="238">
        <v>20</v>
      </c>
      <c r="Z15" s="101">
        <v>70</v>
      </c>
    </row>
    <row r="16" spans="1:26" x14ac:dyDescent="0.25">
      <c r="A16" s="264">
        <v>12</v>
      </c>
      <c r="B16" s="256" t="s">
        <v>13</v>
      </c>
      <c r="C16" s="34">
        <v>140</v>
      </c>
      <c r="D16" s="35">
        <v>240</v>
      </c>
      <c r="E16" s="35">
        <v>3</v>
      </c>
      <c r="F16" s="19">
        <f t="shared" si="5"/>
        <v>0.1008</v>
      </c>
      <c r="G16" s="23">
        <v>94</v>
      </c>
      <c r="H16" s="26">
        <f t="shared" si="6"/>
        <v>9.475200000000001</v>
      </c>
      <c r="I16" s="21">
        <v>20</v>
      </c>
      <c r="J16" s="205">
        <f t="shared" si="0"/>
        <v>2.016</v>
      </c>
      <c r="K16" s="21">
        <v>9</v>
      </c>
      <c r="L16" s="10">
        <f t="shared" si="1"/>
        <v>0.90720000000000001</v>
      </c>
      <c r="M16" s="21">
        <v>1</v>
      </c>
      <c r="N16" s="205">
        <f t="shared" si="2"/>
        <v>0.1008</v>
      </c>
      <c r="O16" s="21">
        <v>3</v>
      </c>
      <c r="P16" s="10">
        <f t="shared" si="7"/>
        <v>0.3024</v>
      </c>
      <c r="Q16" s="21">
        <v>0</v>
      </c>
      <c r="R16" s="205">
        <f t="shared" si="3"/>
        <v>0</v>
      </c>
      <c r="S16" s="39">
        <f t="shared" si="11"/>
        <v>61</v>
      </c>
      <c r="T16" s="38">
        <f t="shared" si="4"/>
        <v>6.1487999999999996</v>
      </c>
      <c r="U16" s="21">
        <v>0</v>
      </c>
      <c r="V16" s="13">
        <f t="shared" si="8"/>
        <v>0</v>
      </c>
      <c r="W16" s="49">
        <f t="shared" si="9"/>
        <v>61</v>
      </c>
      <c r="X16" s="50">
        <f t="shared" si="10"/>
        <v>6.1487999999999996</v>
      </c>
      <c r="Y16" s="238">
        <v>50</v>
      </c>
      <c r="Z16" s="101">
        <v>150</v>
      </c>
    </row>
    <row r="17" spans="1:26" x14ac:dyDescent="0.25">
      <c r="A17" s="264">
        <v>13</v>
      </c>
      <c r="B17" s="256" t="s">
        <v>14</v>
      </c>
      <c r="C17" s="34">
        <v>140</v>
      </c>
      <c r="D17" s="35">
        <v>240</v>
      </c>
      <c r="E17" s="35">
        <v>5</v>
      </c>
      <c r="F17" s="19">
        <f t="shared" si="5"/>
        <v>0.16800000000000001</v>
      </c>
      <c r="G17" s="23">
        <v>25</v>
      </c>
      <c r="H17" s="26">
        <f t="shared" si="6"/>
        <v>4.2</v>
      </c>
      <c r="I17" s="21">
        <v>19</v>
      </c>
      <c r="J17" s="205">
        <f t="shared" si="0"/>
        <v>3.1920000000000002</v>
      </c>
      <c r="K17" s="21">
        <v>0</v>
      </c>
      <c r="L17" s="10">
        <f t="shared" si="1"/>
        <v>0</v>
      </c>
      <c r="M17" s="21">
        <v>0</v>
      </c>
      <c r="N17" s="205">
        <f t="shared" si="2"/>
        <v>0</v>
      </c>
      <c r="O17" s="21">
        <v>1</v>
      </c>
      <c r="P17" s="10">
        <f t="shared" si="7"/>
        <v>0.16800000000000001</v>
      </c>
      <c r="Q17" s="21">
        <v>0</v>
      </c>
      <c r="R17" s="205">
        <f t="shared" si="3"/>
        <v>0</v>
      </c>
      <c r="S17" s="39">
        <f t="shared" si="11"/>
        <v>5</v>
      </c>
      <c r="T17" s="38">
        <f t="shared" si="4"/>
        <v>0.84000000000000008</v>
      </c>
      <c r="U17" s="21">
        <v>0</v>
      </c>
      <c r="V17" s="13">
        <f t="shared" si="8"/>
        <v>0</v>
      </c>
      <c r="W17" s="49">
        <f t="shared" si="9"/>
        <v>5</v>
      </c>
      <c r="X17" s="50">
        <f t="shared" si="10"/>
        <v>0.84000000000000008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15</v>
      </c>
      <c r="C18" s="34">
        <v>140</v>
      </c>
      <c r="D18" s="35">
        <v>240</v>
      </c>
      <c r="E18" s="35">
        <v>3</v>
      </c>
      <c r="F18" s="19">
        <f t="shared" si="5"/>
        <v>0.1008</v>
      </c>
      <c r="G18" s="23">
        <v>91</v>
      </c>
      <c r="H18" s="26">
        <f t="shared" si="6"/>
        <v>9.1728000000000005</v>
      </c>
      <c r="I18" s="21">
        <v>0</v>
      </c>
      <c r="J18" s="205">
        <f t="shared" si="0"/>
        <v>0</v>
      </c>
      <c r="K18" s="21">
        <v>16</v>
      </c>
      <c r="L18" s="10">
        <f t="shared" si="1"/>
        <v>1.6128</v>
      </c>
      <c r="M18" s="21">
        <v>0</v>
      </c>
      <c r="N18" s="205">
        <f t="shared" si="2"/>
        <v>0</v>
      </c>
      <c r="O18" s="21">
        <v>2</v>
      </c>
      <c r="P18" s="10">
        <f t="shared" si="7"/>
        <v>0.2016</v>
      </c>
      <c r="Q18" s="21">
        <v>0</v>
      </c>
      <c r="R18" s="205">
        <f t="shared" si="3"/>
        <v>0</v>
      </c>
      <c r="S18" s="39">
        <f t="shared" si="11"/>
        <v>73</v>
      </c>
      <c r="T18" s="38">
        <f t="shared" si="4"/>
        <v>7.3583999999999996</v>
      </c>
      <c r="U18" s="21">
        <v>0</v>
      </c>
      <c r="V18" s="13">
        <f t="shared" si="8"/>
        <v>0</v>
      </c>
      <c r="W18" s="49">
        <f t="shared" si="9"/>
        <v>73</v>
      </c>
      <c r="X18" s="50">
        <f t="shared" si="10"/>
        <v>7.3583999999999996</v>
      </c>
      <c r="Y18" s="238">
        <v>30</v>
      </c>
      <c r="Z18" s="101">
        <v>100</v>
      </c>
    </row>
    <row r="19" spans="1:26" x14ac:dyDescent="0.25">
      <c r="A19" s="264">
        <v>15</v>
      </c>
      <c r="B19" s="256" t="s">
        <v>16</v>
      </c>
      <c r="C19" s="34">
        <v>140</v>
      </c>
      <c r="D19" s="35">
        <v>240</v>
      </c>
      <c r="E19" s="35">
        <v>8</v>
      </c>
      <c r="F19" s="19">
        <f t="shared" si="5"/>
        <v>0.26879999999999998</v>
      </c>
      <c r="G19" s="23">
        <f>'OCAK 2.HAFTA '!W19</f>
        <v>0</v>
      </c>
      <c r="H19" s="26">
        <f t="shared" si="6"/>
        <v>0</v>
      </c>
      <c r="I19" s="21">
        <v>0</v>
      </c>
      <c r="J19" s="205">
        <f t="shared" si="0"/>
        <v>0</v>
      </c>
      <c r="K19" s="21">
        <v>0</v>
      </c>
      <c r="L19" s="10">
        <f t="shared" si="1"/>
        <v>0</v>
      </c>
      <c r="M19" s="21">
        <v>0</v>
      </c>
      <c r="N19" s="205">
        <f t="shared" si="2"/>
        <v>0</v>
      </c>
      <c r="O19" s="21">
        <v>0</v>
      </c>
      <c r="P19" s="10">
        <f t="shared" si="7"/>
        <v>0</v>
      </c>
      <c r="Q19" s="21">
        <v>0</v>
      </c>
      <c r="R19" s="205">
        <f t="shared" si="3"/>
        <v>0</v>
      </c>
      <c r="S19" s="39">
        <f t="shared" si="11"/>
        <v>0</v>
      </c>
      <c r="T19" s="38">
        <f t="shared" si="4"/>
        <v>0</v>
      </c>
      <c r="U19" s="21">
        <v>0</v>
      </c>
      <c r="V19" s="13">
        <f t="shared" si="8"/>
        <v>0</v>
      </c>
      <c r="W19" s="49">
        <f t="shared" si="9"/>
        <v>0</v>
      </c>
      <c r="X19" s="50">
        <f t="shared" si="10"/>
        <v>0</v>
      </c>
      <c r="Y19" s="238">
        <v>10</v>
      </c>
      <c r="Z19" s="101">
        <v>30</v>
      </c>
    </row>
    <row r="20" spans="1:26" x14ac:dyDescent="0.25">
      <c r="A20" s="264">
        <v>16</v>
      </c>
      <c r="B20" s="256" t="s">
        <v>17</v>
      </c>
      <c r="C20" s="34">
        <v>140</v>
      </c>
      <c r="D20" s="35">
        <v>240</v>
      </c>
      <c r="E20" s="35">
        <v>8</v>
      </c>
      <c r="F20" s="19">
        <f t="shared" si="5"/>
        <v>0.26879999999999998</v>
      </c>
      <c r="G20" s="23">
        <f>'OCAK 2.HAFTA '!W20</f>
        <v>0</v>
      </c>
      <c r="H20" s="26">
        <f t="shared" si="6"/>
        <v>0</v>
      </c>
      <c r="I20" s="21">
        <v>0</v>
      </c>
      <c r="J20" s="205">
        <f t="shared" si="0"/>
        <v>0</v>
      </c>
      <c r="K20" s="21">
        <v>0</v>
      </c>
      <c r="L20" s="10">
        <f t="shared" si="1"/>
        <v>0</v>
      </c>
      <c r="M20" s="21">
        <v>0</v>
      </c>
      <c r="N20" s="205">
        <f t="shared" si="2"/>
        <v>0</v>
      </c>
      <c r="O20" s="21">
        <v>0</v>
      </c>
      <c r="P20" s="10">
        <f t="shared" si="7"/>
        <v>0</v>
      </c>
      <c r="Q20" s="21">
        <v>0</v>
      </c>
      <c r="R20" s="205">
        <f t="shared" si="3"/>
        <v>0</v>
      </c>
      <c r="S20" s="39">
        <f t="shared" si="11"/>
        <v>0</v>
      </c>
      <c r="T20" s="38">
        <f t="shared" si="4"/>
        <v>0</v>
      </c>
      <c r="U20" s="21">
        <v>0</v>
      </c>
      <c r="V20" s="13">
        <f t="shared" si="8"/>
        <v>0</v>
      </c>
      <c r="W20" s="49">
        <f t="shared" si="9"/>
        <v>0</v>
      </c>
      <c r="X20" s="50">
        <f t="shared" si="10"/>
        <v>0</v>
      </c>
      <c r="Y20" s="238">
        <v>0</v>
      </c>
      <c r="Z20" s="101">
        <v>0</v>
      </c>
    </row>
    <row r="21" spans="1:26" x14ac:dyDescent="0.25">
      <c r="A21" s="264">
        <v>17</v>
      </c>
      <c r="B21" s="256" t="s">
        <v>19</v>
      </c>
      <c r="C21" s="34">
        <v>77</v>
      </c>
      <c r="D21" s="35">
        <v>55</v>
      </c>
      <c r="E21" s="35">
        <v>8</v>
      </c>
      <c r="F21" s="19">
        <f t="shared" si="5"/>
        <v>3.388E-2</v>
      </c>
      <c r="G21" s="23">
        <f>'OCAK 2.HAFTA '!W21</f>
        <v>0</v>
      </c>
      <c r="H21" s="26">
        <f t="shared" si="6"/>
        <v>0</v>
      </c>
      <c r="I21" s="21">
        <v>0</v>
      </c>
      <c r="J21" s="205">
        <f t="shared" si="0"/>
        <v>0</v>
      </c>
      <c r="K21" s="21">
        <v>0</v>
      </c>
      <c r="L21" s="10">
        <f t="shared" si="1"/>
        <v>0</v>
      </c>
      <c r="M21" s="21">
        <v>0</v>
      </c>
      <c r="N21" s="205">
        <f t="shared" si="2"/>
        <v>0</v>
      </c>
      <c r="O21" s="21">
        <v>0</v>
      </c>
      <c r="P21" s="10">
        <f t="shared" si="7"/>
        <v>0</v>
      </c>
      <c r="Q21" s="21">
        <v>0</v>
      </c>
      <c r="R21" s="205">
        <f t="shared" si="3"/>
        <v>0</v>
      </c>
      <c r="S21" s="39">
        <f t="shared" si="11"/>
        <v>0</v>
      </c>
      <c r="T21" s="38">
        <f t="shared" si="4"/>
        <v>0</v>
      </c>
      <c r="U21" s="21">
        <v>0</v>
      </c>
      <c r="V21" s="13">
        <f t="shared" si="8"/>
        <v>0</v>
      </c>
      <c r="W21" s="49">
        <f t="shared" si="9"/>
        <v>0</v>
      </c>
      <c r="X21" s="50">
        <f t="shared" si="10"/>
        <v>0</v>
      </c>
      <c r="Y21" s="238">
        <v>0</v>
      </c>
      <c r="Z21" s="101">
        <v>0</v>
      </c>
    </row>
    <row r="22" spans="1:26" x14ac:dyDescent="0.25">
      <c r="A22" s="264">
        <v>18</v>
      </c>
      <c r="B22" s="256" t="s">
        <v>20</v>
      </c>
      <c r="C22" s="34">
        <v>65</v>
      </c>
      <c r="D22" s="35">
        <v>50</v>
      </c>
      <c r="E22" s="35">
        <v>12</v>
      </c>
      <c r="F22" s="19">
        <f t="shared" si="5"/>
        <v>3.9E-2</v>
      </c>
      <c r="G22" s="23">
        <f>'OCAK 2.HAFTA '!W22</f>
        <v>26</v>
      </c>
      <c r="H22" s="26">
        <f t="shared" si="6"/>
        <v>1.014</v>
      </c>
      <c r="I22" s="21">
        <v>0</v>
      </c>
      <c r="J22" s="205">
        <f t="shared" si="0"/>
        <v>0</v>
      </c>
      <c r="K22" s="21">
        <v>0</v>
      </c>
      <c r="L22" s="10">
        <f t="shared" si="1"/>
        <v>0</v>
      </c>
      <c r="M22" s="21">
        <v>0</v>
      </c>
      <c r="N22" s="205">
        <f t="shared" si="2"/>
        <v>0</v>
      </c>
      <c r="O22" s="21">
        <v>0</v>
      </c>
      <c r="P22" s="10">
        <f t="shared" si="7"/>
        <v>0</v>
      </c>
      <c r="Q22" s="21">
        <v>0</v>
      </c>
      <c r="R22" s="205">
        <f t="shared" si="3"/>
        <v>0</v>
      </c>
      <c r="S22" s="39">
        <f t="shared" si="11"/>
        <v>26</v>
      </c>
      <c r="T22" s="38">
        <f t="shared" si="4"/>
        <v>1.014</v>
      </c>
      <c r="U22" s="21">
        <v>0</v>
      </c>
      <c r="V22" s="13">
        <f t="shared" si="8"/>
        <v>0</v>
      </c>
      <c r="W22" s="49">
        <f t="shared" si="9"/>
        <v>26</v>
      </c>
      <c r="X22" s="50">
        <f t="shared" si="10"/>
        <v>1.014</v>
      </c>
      <c r="Y22" s="238">
        <v>0</v>
      </c>
      <c r="Z22" s="101">
        <v>0</v>
      </c>
    </row>
    <row r="23" spans="1:26" x14ac:dyDescent="0.25">
      <c r="A23" s="264">
        <v>19</v>
      </c>
      <c r="B23" s="42" t="s">
        <v>103</v>
      </c>
      <c r="C23" s="34">
        <v>58</v>
      </c>
      <c r="D23" s="35">
        <v>58</v>
      </c>
      <c r="E23" s="35">
        <v>5</v>
      </c>
      <c r="F23" s="19">
        <f t="shared" si="5"/>
        <v>1.6820000000000002E-2</v>
      </c>
      <c r="G23" s="23">
        <v>126</v>
      </c>
      <c r="H23" s="26">
        <f t="shared" si="6"/>
        <v>2.1193200000000001</v>
      </c>
      <c r="I23" s="21">
        <v>0</v>
      </c>
      <c r="J23" s="205">
        <f t="shared" si="0"/>
        <v>0</v>
      </c>
      <c r="K23" s="21">
        <v>30</v>
      </c>
      <c r="L23" s="10">
        <f t="shared" si="1"/>
        <v>0.50460000000000005</v>
      </c>
      <c r="M23" s="21">
        <v>0</v>
      </c>
      <c r="N23" s="205">
        <f t="shared" si="2"/>
        <v>0</v>
      </c>
      <c r="O23" s="21">
        <v>0</v>
      </c>
      <c r="P23" s="10">
        <f t="shared" si="7"/>
        <v>0</v>
      </c>
      <c r="Q23" s="21">
        <v>0</v>
      </c>
      <c r="R23" s="205">
        <f t="shared" si="3"/>
        <v>0</v>
      </c>
      <c r="S23" s="39">
        <f t="shared" si="11"/>
        <v>96</v>
      </c>
      <c r="T23" s="38">
        <f t="shared" si="4"/>
        <v>1.6147200000000002</v>
      </c>
      <c r="U23" s="21">
        <v>0</v>
      </c>
      <c r="V23" s="13">
        <f t="shared" si="8"/>
        <v>0</v>
      </c>
      <c r="W23" s="49">
        <f t="shared" si="9"/>
        <v>96</v>
      </c>
      <c r="X23" s="50">
        <f t="shared" si="10"/>
        <v>1.6147200000000002</v>
      </c>
      <c r="Y23" s="238">
        <v>0</v>
      </c>
      <c r="Z23" s="101">
        <v>0</v>
      </c>
    </row>
    <row r="24" spans="1:26" x14ac:dyDescent="0.25">
      <c r="A24" s="264">
        <v>20</v>
      </c>
      <c r="B24" s="256" t="s">
        <v>22</v>
      </c>
      <c r="C24" s="34">
        <v>66</v>
      </c>
      <c r="D24" s="35">
        <v>56</v>
      </c>
      <c r="E24" s="35">
        <v>12</v>
      </c>
      <c r="F24" s="19">
        <f t="shared" si="5"/>
        <v>4.4352000000000003E-2</v>
      </c>
      <c r="G24" s="23">
        <v>0</v>
      </c>
      <c r="H24" s="26">
        <f t="shared" si="6"/>
        <v>0</v>
      </c>
      <c r="I24" s="21">
        <v>0</v>
      </c>
      <c r="J24" s="205">
        <f t="shared" si="0"/>
        <v>0</v>
      </c>
      <c r="K24" s="21">
        <v>0</v>
      </c>
      <c r="L24" s="10">
        <f t="shared" si="1"/>
        <v>0</v>
      </c>
      <c r="M24" s="21">
        <v>0</v>
      </c>
      <c r="N24" s="205">
        <f t="shared" si="2"/>
        <v>0</v>
      </c>
      <c r="O24" s="21">
        <v>0</v>
      </c>
      <c r="P24" s="10">
        <f t="shared" si="7"/>
        <v>0</v>
      </c>
      <c r="Q24" s="21">
        <v>0</v>
      </c>
      <c r="R24" s="205">
        <f t="shared" si="3"/>
        <v>0</v>
      </c>
      <c r="S24" s="39">
        <f t="shared" si="11"/>
        <v>0</v>
      </c>
      <c r="T24" s="38">
        <f t="shared" si="4"/>
        <v>0</v>
      </c>
      <c r="U24" s="21">
        <v>0</v>
      </c>
      <c r="V24" s="13">
        <f t="shared" si="8"/>
        <v>0</v>
      </c>
      <c r="W24" s="49">
        <f t="shared" si="9"/>
        <v>0</v>
      </c>
      <c r="X24" s="50">
        <f t="shared" si="10"/>
        <v>0</v>
      </c>
      <c r="Y24" s="238">
        <v>0</v>
      </c>
      <c r="Z24" s="101">
        <v>0</v>
      </c>
    </row>
    <row r="25" spans="1:26" x14ac:dyDescent="0.25">
      <c r="A25" s="264">
        <v>21</v>
      </c>
      <c r="B25" s="256" t="s">
        <v>102</v>
      </c>
      <c r="C25" s="34">
        <v>61</v>
      </c>
      <c r="D25" s="35">
        <v>61</v>
      </c>
      <c r="E25" s="35">
        <v>10</v>
      </c>
      <c r="F25" s="19">
        <f t="shared" si="5"/>
        <v>3.721E-2</v>
      </c>
      <c r="G25" s="23">
        <f>'OCAK 2.HAFTA '!W25</f>
        <v>73</v>
      </c>
      <c r="H25" s="26">
        <f t="shared" si="6"/>
        <v>2.7163300000000001</v>
      </c>
      <c r="I25" s="21">
        <v>0</v>
      </c>
      <c r="J25" s="205">
        <f t="shared" si="0"/>
        <v>0</v>
      </c>
      <c r="K25" s="21">
        <v>0</v>
      </c>
      <c r="L25" s="10">
        <f t="shared" si="1"/>
        <v>0</v>
      </c>
      <c r="M25" s="21">
        <v>0</v>
      </c>
      <c r="N25" s="205">
        <f t="shared" si="2"/>
        <v>0</v>
      </c>
      <c r="O25" s="21">
        <v>0</v>
      </c>
      <c r="P25" s="10">
        <f t="shared" si="7"/>
        <v>0</v>
      </c>
      <c r="Q25" s="21">
        <v>0</v>
      </c>
      <c r="R25" s="205">
        <f t="shared" si="3"/>
        <v>0</v>
      </c>
      <c r="S25" s="39">
        <f t="shared" si="11"/>
        <v>73</v>
      </c>
      <c r="T25" s="38">
        <f t="shared" si="4"/>
        <v>2.7163300000000001</v>
      </c>
      <c r="U25" s="21">
        <v>0</v>
      </c>
      <c r="V25" s="13">
        <f t="shared" si="8"/>
        <v>0</v>
      </c>
      <c r="W25" s="49">
        <f t="shared" si="9"/>
        <v>73</v>
      </c>
      <c r="X25" s="50">
        <f t="shared" si="10"/>
        <v>2.7163300000000001</v>
      </c>
      <c r="Y25" s="238">
        <v>30</v>
      </c>
      <c r="Z25" s="101">
        <v>100</v>
      </c>
    </row>
    <row r="26" spans="1:26" x14ac:dyDescent="0.25">
      <c r="A26" s="264">
        <v>22</v>
      </c>
      <c r="B26" s="256" t="s">
        <v>24</v>
      </c>
      <c r="C26" s="34">
        <v>82</v>
      </c>
      <c r="D26" s="35">
        <v>67</v>
      </c>
      <c r="E26" s="35">
        <v>5</v>
      </c>
      <c r="F26" s="19">
        <f t="shared" si="5"/>
        <v>2.7470000000000001E-2</v>
      </c>
      <c r="G26" s="23">
        <f>'OCAK 2.HAFTA '!W26</f>
        <v>30</v>
      </c>
      <c r="H26" s="26">
        <f t="shared" si="6"/>
        <v>0.82410000000000005</v>
      </c>
      <c r="I26" s="21">
        <v>0</v>
      </c>
      <c r="J26" s="205">
        <f t="shared" si="0"/>
        <v>0</v>
      </c>
      <c r="K26" s="21">
        <v>0</v>
      </c>
      <c r="L26" s="10">
        <f t="shared" si="1"/>
        <v>0</v>
      </c>
      <c r="M26" s="21">
        <v>0</v>
      </c>
      <c r="N26" s="205">
        <f t="shared" si="2"/>
        <v>0</v>
      </c>
      <c r="O26" s="21">
        <v>0</v>
      </c>
      <c r="P26" s="10">
        <f t="shared" si="7"/>
        <v>0</v>
      </c>
      <c r="Q26" s="21">
        <v>0</v>
      </c>
      <c r="R26" s="205">
        <f t="shared" si="3"/>
        <v>0</v>
      </c>
      <c r="S26" s="39">
        <f t="shared" si="11"/>
        <v>30</v>
      </c>
      <c r="T26" s="38">
        <f t="shared" si="4"/>
        <v>0.82410000000000005</v>
      </c>
      <c r="U26" s="21">
        <v>0</v>
      </c>
      <c r="V26" s="13">
        <f t="shared" si="8"/>
        <v>0</v>
      </c>
      <c r="W26" s="49">
        <f t="shared" si="9"/>
        <v>30</v>
      </c>
      <c r="X26" s="50">
        <f t="shared" si="10"/>
        <v>0.82410000000000005</v>
      </c>
      <c r="Y26" s="238">
        <v>0</v>
      </c>
      <c r="Z26" s="101">
        <v>0</v>
      </c>
    </row>
    <row r="27" spans="1:26" x14ac:dyDescent="0.25">
      <c r="A27" s="264">
        <v>23</v>
      </c>
      <c r="B27" s="256" t="s">
        <v>25</v>
      </c>
      <c r="C27" s="34">
        <v>80</v>
      </c>
      <c r="D27" s="35">
        <v>62</v>
      </c>
      <c r="E27" s="35">
        <v>2</v>
      </c>
      <c r="F27" s="19">
        <f t="shared" si="5"/>
        <v>9.92E-3</v>
      </c>
      <c r="G27" s="23">
        <f>'OCAK 2.HAFTA '!W27</f>
        <v>36</v>
      </c>
      <c r="H27" s="26">
        <f t="shared" si="6"/>
        <v>0.35711999999999999</v>
      </c>
      <c r="I27" s="21">
        <v>0</v>
      </c>
      <c r="J27" s="205">
        <f t="shared" si="0"/>
        <v>0</v>
      </c>
      <c r="K27" s="21">
        <v>0</v>
      </c>
      <c r="L27" s="10">
        <f t="shared" si="1"/>
        <v>0</v>
      </c>
      <c r="M27" s="21">
        <v>0</v>
      </c>
      <c r="N27" s="205">
        <f t="shared" si="2"/>
        <v>0</v>
      </c>
      <c r="O27" s="21">
        <v>0</v>
      </c>
      <c r="P27" s="10">
        <f t="shared" si="7"/>
        <v>0</v>
      </c>
      <c r="Q27" s="21">
        <v>0</v>
      </c>
      <c r="R27" s="205">
        <f t="shared" si="3"/>
        <v>0</v>
      </c>
      <c r="S27" s="39">
        <f t="shared" si="11"/>
        <v>36</v>
      </c>
      <c r="T27" s="38">
        <f t="shared" si="4"/>
        <v>0.35711999999999999</v>
      </c>
      <c r="U27" s="21">
        <v>0</v>
      </c>
      <c r="V27" s="13">
        <f t="shared" si="8"/>
        <v>0</v>
      </c>
      <c r="W27" s="49">
        <f t="shared" si="9"/>
        <v>36</v>
      </c>
      <c r="X27" s="50">
        <f t="shared" si="10"/>
        <v>0.35711999999999999</v>
      </c>
      <c r="Y27" s="238">
        <v>0</v>
      </c>
      <c r="Z27" s="101">
        <v>0</v>
      </c>
    </row>
    <row r="28" spans="1:26" x14ac:dyDescent="0.25">
      <c r="A28" s="264">
        <v>24</v>
      </c>
      <c r="B28" s="256" t="s">
        <v>26</v>
      </c>
      <c r="C28" s="34">
        <v>63</v>
      </c>
      <c r="D28" s="35">
        <v>55</v>
      </c>
      <c r="E28" s="35">
        <v>5</v>
      </c>
      <c r="F28" s="19">
        <f t="shared" si="5"/>
        <v>1.7325E-2</v>
      </c>
      <c r="G28" s="23">
        <v>70</v>
      </c>
      <c r="H28" s="26">
        <f t="shared" si="6"/>
        <v>1.21275</v>
      </c>
      <c r="I28" s="21">
        <v>0</v>
      </c>
      <c r="J28" s="205">
        <f t="shared" si="0"/>
        <v>0</v>
      </c>
      <c r="K28" s="21">
        <v>0</v>
      </c>
      <c r="L28" s="10">
        <f t="shared" si="1"/>
        <v>0</v>
      </c>
      <c r="M28" s="21">
        <v>0</v>
      </c>
      <c r="N28" s="205">
        <f t="shared" si="2"/>
        <v>0</v>
      </c>
      <c r="O28" s="21">
        <v>0</v>
      </c>
      <c r="P28" s="10">
        <f t="shared" si="7"/>
        <v>0</v>
      </c>
      <c r="Q28" s="21">
        <v>0</v>
      </c>
      <c r="R28" s="205">
        <f t="shared" si="3"/>
        <v>0</v>
      </c>
      <c r="S28" s="39">
        <f t="shared" si="11"/>
        <v>70</v>
      </c>
      <c r="T28" s="38">
        <f t="shared" si="4"/>
        <v>1.21275</v>
      </c>
      <c r="U28" s="21">
        <v>0</v>
      </c>
      <c r="V28" s="13">
        <f t="shared" si="8"/>
        <v>0</v>
      </c>
      <c r="W28" s="49">
        <f t="shared" si="9"/>
        <v>70</v>
      </c>
      <c r="X28" s="50">
        <f t="shared" si="10"/>
        <v>1.21275</v>
      </c>
      <c r="Y28" s="238">
        <v>0</v>
      </c>
      <c r="Z28" s="101">
        <v>0</v>
      </c>
    </row>
    <row r="29" spans="1:26" x14ac:dyDescent="0.25">
      <c r="A29" s="264">
        <v>25</v>
      </c>
      <c r="B29" s="256" t="s">
        <v>87</v>
      </c>
      <c r="C29" s="34">
        <v>140</v>
      </c>
      <c r="D29" s="35">
        <v>240</v>
      </c>
      <c r="E29" s="35">
        <v>5</v>
      </c>
      <c r="F29" s="19">
        <f t="shared" si="5"/>
        <v>0.16800000000000001</v>
      </c>
      <c r="G29" s="23">
        <v>0</v>
      </c>
      <c r="H29" s="26">
        <f t="shared" si="6"/>
        <v>0</v>
      </c>
      <c r="I29" s="21">
        <v>0</v>
      </c>
      <c r="J29" s="205">
        <f t="shared" si="0"/>
        <v>0</v>
      </c>
      <c r="K29" s="21">
        <v>0</v>
      </c>
      <c r="L29" s="10">
        <f t="shared" si="1"/>
        <v>0</v>
      </c>
      <c r="M29" s="21">
        <v>0</v>
      </c>
      <c r="N29" s="205">
        <f t="shared" si="2"/>
        <v>0</v>
      </c>
      <c r="O29" s="21">
        <v>0</v>
      </c>
      <c r="P29" s="10">
        <f t="shared" si="7"/>
        <v>0</v>
      </c>
      <c r="Q29" s="21">
        <v>0</v>
      </c>
      <c r="R29" s="205">
        <f t="shared" si="3"/>
        <v>0</v>
      </c>
      <c r="S29" s="39">
        <f t="shared" si="11"/>
        <v>0</v>
      </c>
      <c r="T29" s="38">
        <f t="shared" si="4"/>
        <v>0</v>
      </c>
      <c r="U29" s="21">
        <v>0</v>
      </c>
      <c r="V29" s="13">
        <f t="shared" si="8"/>
        <v>0</v>
      </c>
      <c r="W29" s="49">
        <f t="shared" si="9"/>
        <v>0</v>
      </c>
      <c r="X29" s="50">
        <f t="shared" si="10"/>
        <v>0</v>
      </c>
      <c r="Y29" s="238">
        <v>0</v>
      </c>
      <c r="Z29" s="101">
        <v>0</v>
      </c>
    </row>
    <row r="30" spans="1:26" x14ac:dyDescent="0.25">
      <c r="A30" s="264">
        <v>26</v>
      </c>
      <c r="B30" s="256" t="s">
        <v>112</v>
      </c>
      <c r="C30" s="34">
        <v>140</v>
      </c>
      <c r="D30" s="35">
        <v>240</v>
      </c>
      <c r="E30" s="35">
        <v>10</v>
      </c>
      <c r="F30" s="19">
        <f t="shared" si="5"/>
        <v>0.33600000000000002</v>
      </c>
      <c r="G30" s="23">
        <v>25</v>
      </c>
      <c r="H30" s="26">
        <f t="shared" si="6"/>
        <v>8.4</v>
      </c>
      <c r="I30" s="21">
        <v>0</v>
      </c>
      <c r="J30" s="205">
        <f t="shared" si="0"/>
        <v>0</v>
      </c>
      <c r="K30" s="21">
        <v>0</v>
      </c>
      <c r="L30" s="10">
        <f t="shared" si="1"/>
        <v>0</v>
      </c>
      <c r="M30" s="21">
        <v>0</v>
      </c>
      <c r="N30" s="205">
        <f t="shared" si="2"/>
        <v>0</v>
      </c>
      <c r="O30" s="21">
        <v>0</v>
      </c>
      <c r="P30" s="10">
        <f t="shared" si="7"/>
        <v>0</v>
      </c>
      <c r="Q30" s="21">
        <v>0</v>
      </c>
      <c r="R30" s="205">
        <f t="shared" si="3"/>
        <v>0</v>
      </c>
      <c r="S30" s="39">
        <f t="shared" si="11"/>
        <v>25</v>
      </c>
      <c r="T30" s="38">
        <f t="shared" si="4"/>
        <v>8.4</v>
      </c>
      <c r="U30" s="21">
        <v>0</v>
      </c>
      <c r="V30" s="13">
        <f t="shared" si="8"/>
        <v>0</v>
      </c>
      <c r="W30" s="49">
        <f t="shared" si="9"/>
        <v>25</v>
      </c>
      <c r="X30" s="50">
        <f t="shared" si="10"/>
        <v>8.4</v>
      </c>
      <c r="Y30" s="238">
        <v>0</v>
      </c>
      <c r="Z30" s="101">
        <v>0</v>
      </c>
    </row>
    <row r="31" spans="1:26" x14ac:dyDescent="0.25">
      <c r="A31" s="264">
        <v>27</v>
      </c>
      <c r="B31" s="256" t="s">
        <v>29</v>
      </c>
      <c r="C31" s="34">
        <v>140</v>
      </c>
      <c r="D31" s="35">
        <v>240</v>
      </c>
      <c r="E31" s="35">
        <v>3</v>
      </c>
      <c r="F31" s="19">
        <f t="shared" si="5"/>
        <v>0.1008</v>
      </c>
      <c r="G31" s="23">
        <v>0</v>
      </c>
      <c r="H31" s="26">
        <f t="shared" si="6"/>
        <v>0</v>
      </c>
      <c r="I31" s="21">
        <v>0</v>
      </c>
      <c r="J31" s="205">
        <f t="shared" si="0"/>
        <v>0</v>
      </c>
      <c r="K31" s="21">
        <v>0</v>
      </c>
      <c r="L31" s="10">
        <f t="shared" si="1"/>
        <v>0</v>
      </c>
      <c r="M31" s="21">
        <v>0</v>
      </c>
      <c r="N31" s="205">
        <f t="shared" si="2"/>
        <v>0</v>
      </c>
      <c r="O31" s="21">
        <v>0</v>
      </c>
      <c r="P31" s="10">
        <f t="shared" si="7"/>
        <v>0</v>
      </c>
      <c r="Q31" s="21">
        <v>0</v>
      </c>
      <c r="R31" s="205">
        <f t="shared" si="3"/>
        <v>0</v>
      </c>
      <c r="S31" s="39">
        <f t="shared" si="11"/>
        <v>0</v>
      </c>
      <c r="T31" s="38">
        <f t="shared" si="4"/>
        <v>0</v>
      </c>
      <c r="U31" s="21">
        <v>0</v>
      </c>
      <c r="V31" s="13">
        <f t="shared" si="8"/>
        <v>0</v>
      </c>
      <c r="W31" s="49">
        <f t="shared" si="9"/>
        <v>0</v>
      </c>
      <c r="X31" s="50">
        <f t="shared" si="10"/>
        <v>0</v>
      </c>
      <c r="Y31" s="238">
        <v>0</v>
      </c>
      <c r="Z31" s="101">
        <v>0</v>
      </c>
    </row>
    <row r="32" spans="1:26" x14ac:dyDescent="0.25">
      <c r="A32" s="264">
        <v>28</v>
      </c>
      <c r="B32" s="256" t="s">
        <v>129</v>
      </c>
      <c r="C32" s="34">
        <v>105</v>
      </c>
      <c r="D32" s="35">
        <v>55</v>
      </c>
      <c r="E32" s="35">
        <v>3</v>
      </c>
      <c r="F32" s="19">
        <f t="shared" si="5"/>
        <v>1.7325E-2</v>
      </c>
      <c r="G32" s="23">
        <v>69</v>
      </c>
      <c r="H32" s="26">
        <f t="shared" si="6"/>
        <v>1.195425</v>
      </c>
      <c r="I32" s="21">
        <v>0</v>
      </c>
      <c r="J32" s="205">
        <f t="shared" si="0"/>
        <v>0</v>
      </c>
      <c r="K32" s="21">
        <v>0</v>
      </c>
      <c r="L32" s="10">
        <f t="shared" si="1"/>
        <v>0</v>
      </c>
      <c r="M32" s="21">
        <v>0</v>
      </c>
      <c r="N32" s="205">
        <f t="shared" si="2"/>
        <v>0</v>
      </c>
      <c r="O32" s="21">
        <v>0</v>
      </c>
      <c r="P32" s="10">
        <f t="shared" si="7"/>
        <v>0</v>
      </c>
      <c r="Q32" s="21">
        <v>0</v>
      </c>
      <c r="R32" s="205">
        <f t="shared" si="3"/>
        <v>0</v>
      </c>
      <c r="S32" s="39">
        <f t="shared" si="11"/>
        <v>69</v>
      </c>
      <c r="T32" s="38">
        <f t="shared" si="4"/>
        <v>1.195425</v>
      </c>
      <c r="U32" s="21">
        <v>0</v>
      </c>
      <c r="V32" s="13">
        <f t="shared" si="8"/>
        <v>0</v>
      </c>
      <c r="W32" s="49">
        <f t="shared" si="9"/>
        <v>69</v>
      </c>
      <c r="X32" s="50">
        <f t="shared" si="10"/>
        <v>1.195425</v>
      </c>
      <c r="Y32" s="238">
        <v>0</v>
      </c>
      <c r="Z32" s="101">
        <v>0</v>
      </c>
    </row>
    <row r="33" spans="1:26" x14ac:dyDescent="0.25">
      <c r="A33" s="264">
        <v>29</v>
      </c>
      <c r="B33" s="256" t="s">
        <v>31</v>
      </c>
      <c r="C33" s="34">
        <v>90</v>
      </c>
      <c r="D33" s="35">
        <v>80</v>
      </c>
      <c r="E33" s="35">
        <v>8</v>
      </c>
      <c r="F33" s="19">
        <f t="shared" si="5"/>
        <v>5.7599999999999998E-2</v>
      </c>
      <c r="G33" s="23">
        <f>'OCAK 2.HAFTA '!W33</f>
        <v>0</v>
      </c>
      <c r="H33" s="26">
        <f t="shared" si="6"/>
        <v>0</v>
      </c>
      <c r="I33" s="21">
        <v>0</v>
      </c>
      <c r="J33" s="205">
        <f t="shared" si="0"/>
        <v>0</v>
      </c>
      <c r="K33" s="21">
        <v>0</v>
      </c>
      <c r="L33" s="10">
        <f t="shared" si="1"/>
        <v>0</v>
      </c>
      <c r="M33" s="21">
        <v>0</v>
      </c>
      <c r="N33" s="205">
        <f t="shared" si="2"/>
        <v>0</v>
      </c>
      <c r="O33" s="21">
        <v>0</v>
      </c>
      <c r="P33" s="10">
        <f t="shared" si="7"/>
        <v>0</v>
      </c>
      <c r="Q33" s="21">
        <v>0</v>
      </c>
      <c r="R33" s="205">
        <f t="shared" si="3"/>
        <v>0</v>
      </c>
      <c r="S33" s="39">
        <f t="shared" si="11"/>
        <v>0</v>
      </c>
      <c r="T33" s="38">
        <f t="shared" si="4"/>
        <v>0</v>
      </c>
      <c r="U33" s="21">
        <v>0</v>
      </c>
      <c r="V33" s="13">
        <f t="shared" si="8"/>
        <v>0</v>
      </c>
      <c r="W33" s="49">
        <f t="shared" si="9"/>
        <v>0</v>
      </c>
      <c r="X33" s="50">
        <f t="shared" si="10"/>
        <v>0</v>
      </c>
      <c r="Y33" s="238">
        <v>0</v>
      </c>
      <c r="Z33" s="101">
        <v>0</v>
      </c>
    </row>
    <row r="34" spans="1:26" x14ac:dyDescent="0.25">
      <c r="A34" s="264">
        <v>30</v>
      </c>
      <c r="B34" s="256" t="s">
        <v>32</v>
      </c>
      <c r="C34" s="34"/>
      <c r="D34" s="35"/>
      <c r="E34" s="35"/>
      <c r="F34" s="19">
        <f t="shared" si="5"/>
        <v>0</v>
      </c>
      <c r="G34" s="23">
        <f>'OCAK 2.HAFTA '!W34</f>
        <v>300</v>
      </c>
      <c r="H34" s="26">
        <f t="shared" si="6"/>
        <v>0</v>
      </c>
      <c r="I34" s="21">
        <v>0</v>
      </c>
      <c r="J34" s="205">
        <f t="shared" si="0"/>
        <v>0</v>
      </c>
      <c r="K34" s="21">
        <v>0</v>
      </c>
      <c r="L34" s="10">
        <f t="shared" si="1"/>
        <v>0</v>
      </c>
      <c r="M34" s="21">
        <v>0</v>
      </c>
      <c r="N34" s="205">
        <f t="shared" si="2"/>
        <v>0</v>
      </c>
      <c r="O34" s="21">
        <v>0</v>
      </c>
      <c r="P34" s="10">
        <f t="shared" si="7"/>
        <v>0</v>
      </c>
      <c r="Q34" s="21">
        <v>0</v>
      </c>
      <c r="R34" s="205">
        <f t="shared" si="3"/>
        <v>0</v>
      </c>
      <c r="S34" s="39">
        <f t="shared" si="11"/>
        <v>300</v>
      </c>
      <c r="T34" s="38">
        <f t="shared" si="4"/>
        <v>0</v>
      </c>
      <c r="U34" s="21">
        <v>0</v>
      </c>
      <c r="V34" s="13">
        <f t="shared" si="8"/>
        <v>0</v>
      </c>
      <c r="W34" s="49">
        <f t="shared" si="9"/>
        <v>300</v>
      </c>
      <c r="X34" s="50">
        <f t="shared" si="10"/>
        <v>0</v>
      </c>
      <c r="Y34" s="238">
        <v>0</v>
      </c>
      <c r="Z34" s="101">
        <v>0</v>
      </c>
    </row>
    <row r="35" spans="1:26" x14ac:dyDescent="0.25">
      <c r="A35" s="264">
        <v>31</v>
      </c>
      <c r="B35" s="256" t="s">
        <v>33</v>
      </c>
      <c r="C35" s="34">
        <v>80</v>
      </c>
      <c r="D35" s="35">
        <v>66</v>
      </c>
      <c r="E35" s="35">
        <v>5</v>
      </c>
      <c r="F35" s="19">
        <f t="shared" si="5"/>
        <v>2.64E-2</v>
      </c>
      <c r="G35" s="23">
        <f>'OCAK 2.HAFTA '!W35</f>
        <v>56</v>
      </c>
      <c r="H35" s="26">
        <f t="shared" si="6"/>
        <v>1.4783999999999999</v>
      </c>
      <c r="I35" s="21">
        <v>0</v>
      </c>
      <c r="J35" s="205">
        <f t="shared" si="0"/>
        <v>0</v>
      </c>
      <c r="K35" s="21">
        <v>0</v>
      </c>
      <c r="L35" s="10">
        <f t="shared" si="1"/>
        <v>0</v>
      </c>
      <c r="M35" s="21">
        <v>0</v>
      </c>
      <c r="N35" s="205">
        <f t="shared" si="2"/>
        <v>0</v>
      </c>
      <c r="O35" s="21">
        <v>0</v>
      </c>
      <c r="P35" s="10">
        <f t="shared" si="7"/>
        <v>0</v>
      </c>
      <c r="Q35" s="21">
        <v>0</v>
      </c>
      <c r="R35" s="205">
        <f t="shared" si="3"/>
        <v>0</v>
      </c>
      <c r="S35" s="39">
        <f t="shared" si="11"/>
        <v>56</v>
      </c>
      <c r="T35" s="38">
        <f t="shared" si="4"/>
        <v>1.4783999999999999</v>
      </c>
      <c r="U35" s="21">
        <v>0</v>
      </c>
      <c r="V35" s="13">
        <f t="shared" si="8"/>
        <v>0</v>
      </c>
      <c r="W35" s="49">
        <f t="shared" si="9"/>
        <v>56</v>
      </c>
      <c r="X35" s="50">
        <f t="shared" si="10"/>
        <v>1.4783999999999999</v>
      </c>
      <c r="Y35" s="238">
        <v>0</v>
      </c>
      <c r="Z35" s="101">
        <v>0</v>
      </c>
    </row>
    <row r="36" spans="1:26" x14ac:dyDescent="0.25">
      <c r="A36" s="264">
        <v>32</v>
      </c>
      <c r="B36" s="256" t="s">
        <v>110</v>
      </c>
      <c r="C36" s="34">
        <v>60</v>
      </c>
      <c r="D36" s="35">
        <v>62</v>
      </c>
      <c r="E36" s="35">
        <v>5</v>
      </c>
      <c r="F36" s="19">
        <f t="shared" si="5"/>
        <v>1.8599999999999998E-2</v>
      </c>
      <c r="G36" s="23">
        <f>'OCAK 2.HAFTA '!W36</f>
        <v>0</v>
      </c>
      <c r="H36" s="26">
        <f t="shared" si="6"/>
        <v>0</v>
      </c>
      <c r="I36" s="21">
        <v>0</v>
      </c>
      <c r="J36" s="205">
        <f t="shared" si="0"/>
        <v>0</v>
      </c>
      <c r="K36" s="21">
        <v>0</v>
      </c>
      <c r="L36" s="10">
        <f t="shared" si="1"/>
        <v>0</v>
      </c>
      <c r="M36" s="21">
        <v>0</v>
      </c>
      <c r="N36" s="205">
        <f t="shared" si="2"/>
        <v>0</v>
      </c>
      <c r="O36" s="21">
        <v>0</v>
      </c>
      <c r="P36" s="10">
        <f t="shared" si="7"/>
        <v>0</v>
      </c>
      <c r="Q36" s="21">
        <v>0</v>
      </c>
      <c r="R36" s="205">
        <f t="shared" si="3"/>
        <v>0</v>
      </c>
      <c r="S36" s="39">
        <f t="shared" si="11"/>
        <v>0</v>
      </c>
      <c r="T36" s="38">
        <f t="shared" si="4"/>
        <v>0</v>
      </c>
      <c r="U36" s="21">
        <v>0</v>
      </c>
      <c r="V36" s="13">
        <f t="shared" si="8"/>
        <v>0</v>
      </c>
      <c r="W36" s="49">
        <f t="shared" si="9"/>
        <v>0</v>
      </c>
      <c r="X36" s="50">
        <f t="shared" si="10"/>
        <v>0</v>
      </c>
      <c r="Y36" s="238">
        <v>0</v>
      </c>
      <c r="Z36" s="101">
        <v>0</v>
      </c>
    </row>
    <row r="37" spans="1:26" x14ac:dyDescent="0.25">
      <c r="A37" s="264">
        <v>33</v>
      </c>
      <c r="B37" s="256" t="s">
        <v>41</v>
      </c>
      <c r="C37" s="34">
        <v>60</v>
      </c>
      <c r="D37" s="35">
        <v>67</v>
      </c>
      <c r="E37" s="35">
        <v>3</v>
      </c>
      <c r="F37" s="19">
        <f t="shared" si="5"/>
        <v>1.206E-2</v>
      </c>
      <c r="G37" s="23">
        <f>'OCAK 2.HAFTA '!W37</f>
        <v>12</v>
      </c>
      <c r="H37" s="26">
        <f t="shared" si="6"/>
        <v>0.14471999999999999</v>
      </c>
      <c r="I37" s="21">
        <v>0</v>
      </c>
      <c r="J37" s="205">
        <f t="shared" si="0"/>
        <v>0</v>
      </c>
      <c r="K37" s="21">
        <v>0</v>
      </c>
      <c r="L37" s="10">
        <f t="shared" si="1"/>
        <v>0</v>
      </c>
      <c r="M37" s="21">
        <v>0</v>
      </c>
      <c r="N37" s="205">
        <f t="shared" si="2"/>
        <v>0</v>
      </c>
      <c r="O37" s="21">
        <v>0</v>
      </c>
      <c r="P37" s="10">
        <f t="shared" si="7"/>
        <v>0</v>
      </c>
      <c r="Q37" s="21">
        <v>0</v>
      </c>
      <c r="R37" s="205">
        <f t="shared" si="3"/>
        <v>0</v>
      </c>
      <c r="S37" s="39">
        <f t="shared" si="11"/>
        <v>12</v>
      </c>
      <c r="T37" s="38">
        <f t="shared" si="4"/>
        <v>0.14471999999999999</v>
      </c>
      <c r="U37" s="21">
        <v>0</v>
      </c>
      <c r="V37" s="13">
        <f t="shared" si="8"/>
        <v>0</v>
      </c>
      <c r="W37" s="49">
        <f t="shared" si="9"/>
        <v>12</v>
      </c>
      <c r="X37" s="50">
        <f t="shared" si="10"/>
        <v>0.14471999999999999</v>
      </c>
      <c r="Y37" s="238">
        <v>0</v>
      </c>
      <c r="Z37" s="101">
        <v>0</v>
      </c>
    </row>
    <row r="38" spans="1:26" x14ac:dyDescent="0.25">
      <c r="A38" s="264">
        <v>34</v>
      </c>
      <c r="B38" s="256" t="s">
        <v>126</v>
      </c>
      <c r="C38" s="34">
        <v>75</v>
      </c>
      <c r="D38" s="35">
        <v>55</v>
      </c>
      <c r="E38" s="35">
        <v>3</v>
      </c>
      <c r="F38" s="19">
        <f t="shared" si="5"/>
        <v>1.2375000000000001E-2</v>
      </c>
      <c r="G38" s="23">
        <f>'OCAK 2.HAFTA '!W38</f>
        <v>60</v>
      </c>
      <c r="H38" s="26">
        <f t="shared" si="6"/>
        <v>0.74250000000000005</v>
      </c>
      <c r="I38" s="21">
        <v>0</v>
      </c>
      <c r="J38" s="205">
        <f t="shared" si="0"/>
        <v>0</v>
      </c>
      <c r="K38" s="21">
        <v>22</v>
      </c>
      <c r="L38" s="10">
        <f t="shared" si="1"/>
        <v>0.27224999999999999</v>
      </c>
      <c r="M38" s="21">
        <v>0</v>
      </c>
      <c r="N38" s="205">
        <f t="shared" si="2"/>
        <v>0</v>
      </c>
      <c r="O38" s="21">
        <v>0</v>
      </c>
      <c r="P38" s="10">
        <f t="shared" si="7"/>
        <v>0</v>
      </c>
      <c r="Q38" s="21">
        <v>0</v>
      </c>
      <c r="R38" s="205">
        <f t="shared" si="3"/>
        <v>0</v>
      </c>
      <c r="S38" s="39">
        <f t="shared" si="11"/>
        <v>38</v>
      </c>
      <c r="T38" s="38">
        <f t="shared" si="4"/>
        <v>0.47025</v>
      </c>
      <c r="U38" s="21">
        <v>0</v>
      </c>
      <c r="V38" s="13">
        <f t="shared" si="8"/>
        <v>0</v>
      </c>
      <c r="W38" s="49">
        <f t="shared" si="9"/>
        <v>38</v>
      </c>
      <c r="X38" s="50">
        <f t="shared" si="10"/>
        <v>0.47025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127</v>
      </c>
      <c r="C39" s="34">
        <v>84</v>
      </c>
      <c r="D39" s="35">
        <v>55</v>
      </c>
      <c r="E39" s="35">
        <v>3</v>
      </c>
      <c r="F39" s="19">
        <f t="shared" si="5"/>
        <v>1.3860000000000001E-2</v>
      </c>
      <c r="G39" s="23">
        <f>'OCAK 2.HAFTA '!W39</f>
        <v>82</v>
      </c>
      <c r="H39" s="26">
        <f t="shared" si="6"/>
        <v>1.13652</v>
      </c>
      <c r="I39" s="21">
        <v>0</v>
      </c>
      <c r="J39" s="205">
        <f t="shared" si="0"/>
        <v>0</v>
      </c>
      <c r="K39" s="21">
        <v>0</v>
      </c>
      <c r="L39" s="10">
        <f t="shared" si="1"/>
        <v>0</v>
      </c>
      <c r="M39" s="21">
        <v>0</v>
      </c>
      <c r="N39" s="205">
        <f t="shared" si="2"/>
        <v>0</v>
      </c>
      <c r="O39" s="21">
        <v>0</v>
      </c>
      <c r="P39" s="10">
        <f t="shared" si="7"/>
        <v>0</v>
      </c>
      <c r="Q39" s="21">
        <v>0</v>
      </c>
      <c r="R39" s="205">
        <f t="shared" si="3"/>
        <v>0</v>
      </c>
      <c r="S39" s="39">
        <f t="shared" si="11"/>
        <v>82</v>
      </c>
      <c r="T39" s="38">
        <f t="shared" si="4"/>
        <v>1.13652</v>
      </c>
      <c r="U39" s="21">
        <v>0</v>
      </c>
      <c r="V39" s="13">
        <f t="shared" si="8"/>
        <v>0</v>
      </c>
      <c r="W39" s="49">
        <f t="shared" si="9"/>
        <v>82</v>
      </c>
      <c r="X39" s="50">
        <f t="shared" si="10"/>
        <v>1.13652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128</v>
      </c>
      <c r="C40" s="34">
        <v>105</v>
      </c>
      <c r="D40" s="35">
        <v>65</v>
      </c>
      <c r="E40" s="35">
        <v>3</v>
      </c>
      <c r="F40" s="19">
        <f t="shared" si="5"/>
        <v>2.0475E-2</v>
      </c>
      <c r="G40" s="23">
        <v>66</v>
      </c>
      <c r="H40" s="26">
        <f t="shared" si="6"/>
        <v>1.3513500000000001</v>
      </c>
      <c r="I40" s="21">
        <v>0</v>
      </c>
      <c r="J40" s="205">
        <f t="shared" si="0"/>
        <v>0</v>
      </c>
      <c r="K40" s="21">
        <v>0</v>
      </c>
      <c r="L40" s="10">
        <f t="shared" si="1"/>
        <v>0</v>
      </c>
      <c r="M40" s="21">
        <v>0</v>
      </c>
      <c r="N40" s="205">
        <f t="shared" si="2"/>
        <v>0</v>
      </c>
      <c r="O40" s="21">
        <v>0</v>
      </c>
      <c r="P40" s="10">
        <f t="shared" si="7"/>
        <v>0</v>
      </c>
      <c r="Q40" s="21">
        <v>0</v>
      </c>
      <c r="R40" s="205">
        <f t="shared" si="3"/>
        <v>0</v>
      </c>
      <c r="S40" s="39">
        <f t="shared" si="11"/>
        <v>66</v>
      </c>
      <c r="T40" s="38">
        <f t="shared" si="4"/>
        <v>1.3513500000000001</v>
      </c>
      <c r="U40" s="21">
        <v>0</v>
      </c>
      <c r="V40" s="13">
        <f t="shared" si="8"/>
        <v>0</v>
      </c>
      <c r="W40" s="49">
        <f t="shared" si="9"/>
        <v>66</v>
      </c>
      <c r="X40" s="50">
        <f t="shared" si="10"/>
        <v>1.3513500000000001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38</v>
      </c>
      <c r="C41" s="34">
        <v>63</v>
      </c>
      <c r="D41" s="35">
        <v>55</v>
      </c>
      <c r="E41" s="35">
        <v>5</v>
      </c>
      <c r="F41" s="19">
        <f t="shared" si="5"/>
        <v>1.7325E-2</v>
      </c>
      <c r="G41" s="23">
        <f>'OCAK 2.HAFTA '!W41</f>
        <v>10</v>
      </c>
      <c r="H41" s="26">
        <f t="shared" si="6"/>
        <v>0.17325000000000002</v>
      </c>
      <c r="I41" s="21">
        <v>0</v>
      </c>
      <c r="J41" s="205">
        <f t="shared" si="0"/>
        <v>0</v>
      </c>
      <c r="K41" s="21">
        <v>0</v>
      </c>
      <c r="L41" s="10">
        <f t="shared" si="1"/>
        <v>0</v>
      </c>
      <c r="M41" s="21">
        <v>0</v>
      </c>
      <c r="N41" s="205">
        <f t="shared" si="2"/>
        <v>0</v>
      </c>
      <c r="O41" s="21">
        <v>0</v>
      </c>
      <c r="P41" s="10">
        <f t="shared" si="7"/>
        <v>0</v>
      </c>
      <c r="Q41" s="21">
        <v>0</v>
      </c>
      <c r="R41" s="205">
        <f t="shared" si="3"/>
        <v>0</v>
      </c>
      <c r="S41" s="39">
        <f t="shared" si="11"/>
        <v>10</v>
      </c>
      <c r="T41" s="38">
        <f t="shared" si="4"/>
        <v>0.17325000000000002</v>
      </c>
      <c r="U41" s="21">
        <v>0</v>
      </c>
      <c r="V41" s="13">
        <f t="shared" si="8"/>
        <v>0</v>
      </c>
      <c r="W41" s="49">
        <f t="shared" si="9"/>
        <v>10</v>
      </c>
      <c r="X41" s="50">
        <f t="shared" si="10"/>
        <v>0.17325000000000002</v>
      </c>
      <c r="Y41" s="238">
        <v>0</v>
      </c>
      <c r="Z41" s="101">
        <v>0</v>
      </c>
    </row>
    <row r="42" spans="1:26" x14ac:dyDescent="0.25">
      <c r="A42" s="264">
        <v>38</v>
      </c>
      <c r="B42" s="256" t="s">
        <v>120</v>
      </c>
      <c r="C42" s="34">
        <v>52</v>
      </c>
      <c r="D42" s="35">
        <v>52</v>
      </c>
      <c r="E42" s="35">
        <v>5</v>
      </c>
      <c r="F42" s="19">
        <f t="shared" si="5"/>
        <v>1.3520000000000001E-2</v>
      </c>
      <c r="G42" s="23">
        <f>'OCAK 2.HAFTA '!W42</f>
        <v>45</v>
      </c>
      <c r="H42" s="26">
        <f t="shared" si="6"/>
        <v>0.60840000000000005</v>
      </c>
      <c r="I42" s="21">
        <v>0</v>
      </c>
      <c r="J42" s="205">
        <f t="shared" si="0"/>
        <v>0</v>
      </c>
      <c r="K42" s="21">
        <v>0</v>
      </c>
      <c r="L42" s="10">
        <f t="shared" si="1"/>
        <v>0</v>
      </c>
      <c r="M42" s="21">
        <v>0</v>
      </c>
      <c r="N42" s="205">
        <f t="shared" si="2"/>
        <v>0</v>
      </c>
      <c r="O42" s="21">
        <v>0</v>
      </c>
      <c r="P42" s="10">
        <f t="shared" si="7"/>
        <v>0</v>
      </c>
      <c r="Q42" s="21">
        <v>0</v>
      </c>
      <c r="R42" s="205">
        <f t="shared" si="3"/>
        <v>0</v>
      </c>
      <c r="S42" s="39">
        <f t="shared" si="11"/>
        <v>45</v>
      </c>
      <c r="T42" s="38">
        <f t="shared" si="4"/>
        <v>0.60840000000000005</v>
      </c>
      <c r="U42" s="21">
        <v>0</v>
      </c>
      <c r="V42" s="13">
        <f t="shared" si="8"/>
        <v>0</v>
      </c>
      <c r="W42" s="49">
        <f t="shared" si="9"/>
        <v>45</v>
      </c>
      <c r="X42" s="50">
        <f t="shared" si="10"/>
        <v>0.60840000000000005</v>
      </c>
      <c r="Y42" s="238">
        <v>0</v>
      </c>
      <c r="Z42" s="101">
        <v>0</v>
      </c>
    </row>
    <row r="43" spans="1:26" x14ac:dyDescent="0.25">
      <c r="A43" s="264">
        <v>39</v>
      </c>
      <c r="B43" s="256" t="s">
        <v>40</v>
      </c>
      <c r="C43" s="34">
        <v>80</v>
      </c>
      <c r="D43" s="35">
        <v>70</v>
      </c>
      <c r="E43" s="35">
        <v>8</v>
      </c>
      <c r="F43" s="19">
        <f t="shared" si="5"/>
        <v>4.48E-2</v>
      </c>
      <c r="G43" s="23">
        <v>441</v>
      </c>
      <c r="H43" s="26">
        <f t="shared" si="6"/>
        <v>19.756799999999998</v>
      </c>
      <c r="I43" s="21">
        <v>0</v>
      </c>
      <c r="J43" s="205">
        <f t="shared" si="0"/>
        <v>0</v>
      </c>
      <c r="K43" s="21">
        <v>0</v>
      </c>
      <c r="L43" s="10">
        <f t="shared" si="1"/>
        <v>0</v>
      </c>
      <c r="M43" s="21">
        <v>12</v>
      </c>
      <c r="N43" s="205">
        <f t="shared" si="2"/>
        <v>0.53759999999999997</v>
      </c>
      <c r="O43" s="21">
        <v>0</v>
      </c>
      <c r="P43" s="10">
        <f t="shared" si="7"/>
        <v>0</v>
      </c>
      <c r="Q43" s="21">
        <v>0</v>
      </c>
      <c r="R43" s="205">
        <f t="shared" si="3"/>
        <v>0</v>
      </c>
      <c r="S43" s="39">
        <f t="shared" si="11"/>
        <v>429</v>
      </c>
      <c r="T43" s="38">
        <f t="shared" si="4"/>
        <v>19.219200000000001</v>
      </c>
      <c r="U43" s="21">
        <v>0</v>
      </c>
      <c r="V43" s="13">
        <f t="shared" si="8"/>
        <v>0</v>
      </c>
      <c r="W43" s="49">
        <f t="shared" si="9"/>
        <v>429</v>
      </c>
      <c r="X43" s="50">
        <f t="shared" si="10"/>
        <v>19.219200000000001</v>
      </c>
      <c r="Y43" s="238">
        <v>50</v>
      </c>
      <c r="Z43" s="101">
        <v>200</v>
      </c>
    </row>
    <row r="44" spans="1:26" x14ac:dyDescent="0.25">
      <c r="A44" s="264">
        <v>40</v>
      </c>
      <c r="B44" s="256" t="s">
        <v>42</v>
      </c>
      <c r="C44" s="34">
        <v>70</v>
      </c>
      <c r="D44" s="35">
        <v>64</v>
      </c>
      <c r="E44" s="35">
        <v>8</v>
      </c>
      <c r="F44" s="19">
        <f t="shared" si="5"/>
        <v>3.5839999999999997E-2</v>
      </c>
      <c r="G44" s="23">
        <f>'OCAK 2.HAFTA '!W44</f>
        <v>538</v>
      </c>
      <c r="H44" s="26">
        <f t="shared" si="6"/>
        <v>19.28192</v>
      </c>
      <c r="I44" s="21">
        <v>0</v>
      </c>
      <c r="J44" s="205">
        <f t="shared" si="0"/>
        <v>0</v>
      </c>
      <c r="K44" s="21">
        <v>0</v>
      </c>
      <c r="L44" s="10">
        <f t="shared" si="1"/>
        <v>0</v>
      </c>
      <c r="M44" s="21">
        <v>1</v>
      </c>
      <c r="N44" s="205">
        <f t="shared" si="2"/>
        <v>3.5839999999999997E-2</v>
      </c>
      <c r="O44" s="21">
        <v>0</v>
      </c>
      <c r="P44" s="10">
        <f t="shared" si="7"/>
        <v>0</v>
      </c>
      <c r="Q44" s="21">
        <v>0</v>
      </c>
      <c r="R44" s="205">
        <f t="shared" si="3"/>
        <v>0</v>
      </c>
      <c r="S44" s="39">
        <f t="shared" si="11"/>
        <v>537</v>
      </c>
      <c r="T44" s="38">
        <f t="shared" si="4"/>
        <v>19.246079999999999</v>
      </c>
      <c r="U44" s="21">
        <v>0</v>
      </c>
      <c r="V44" s="13">
        <f t="shared" si="8"/>
        <v>0</v>
      </c>
      <c r="W44" s="49">
        <f t="shared" si="9"/>
        <v>537</v>
      </c>
      <c r="X44" s="50">
        <f t="shared" si="10"/>
        <v>19.246079999999999</v>
      </c>
      <c r="Y44" s="238">
        <v>50</v>
      </c>
      <c r="Z44" s="101">
        <v>200</v>
      </c>
    </row>
    <row r="45" spans="1:26" x14ac:dyDescent="0.25">
      <c r="A45" s="264">
        <v>41</v>
      </c>
      <c r="B45" s="256" t="s">
        <v>43</v>
      </c>
      <c r="C45" s="34">
        <v>75</v>
      </c>
      <c r="D45" s="35">
        <v>70</v>
      </c>
      <c r="E45" s="35">
        <v>8</v>
      </c>
      <c r="F45" s="19">
        <f t="shared" si="5"/>
        <v>4.2000000000000003E-2</v>
      </c>
      <c r="G45" s="23">
        <v>220</v>
      </c>
      <c r="H45" s="26">
        <f t="shared" si="6"/>
        <v>9.24</v>
      </c>
      <c r="I45" s="21">
        <v>0</v>
      </c>
      <c r="J45" s="205">
        <f t="shared" si="0"/>
        <v>0</v>
      </c>
      <c r="K45" s="21">
        <v>0</v>
      </c>
      <c r="L45" s="10">
        <f t="shared" si="1"/>
        <v>0</v>
      </c>
      <c r="M45" s="21">
        <v>2</v>
      </c>
      <c r="N45" s="205">
        <f t="shared" si="2"/>
        <v>8.4000000000000005E-2</v>
      </c>
      <c r="O45" s="21">
        <v>0</v>
      </c>
      <c r="P45" s="10">
        <f t="shared" si="7"/>
        <v>0</v>
      </c>
      <c r="Q45" s="21">
        <v>0</v>
      </c>
      <c r="R45" s="205">
        <f t="shared" si="3"/>
        <v>0</v>
      </c>
      <c r="S45" s="39">
        <f t="shared" si="11"/>
        <v>218</v>
      </c>
      <c r="T45" s="38">
        <f t="shared" si="4"/>
        <v>9.1560000000000006</v>
      </c>
      <c r="U45" s="21">
        <v>0</v>
      </c>
      <c r="V45" s="13">
        <f t="shared" si="8"/>
        <v>0</v>
      </c>
      <c r="W45" s="49">
        <f t="shared" si="9"/>
        <v>218</v>
      </c>
      <c r="X45" s="50">
        <f t="shared" si="10"/>
        <v>9.1560000000000006</v>
      </c>
      <c r="Y45" s="238">
        <v>50</v>
      </c>
      <c r="Z45" s="101">
        <v>200</v>
      </c>
    </row>
    <row r="46" spans="1:26" x14ac:dyDescent="0.25">
      <c r="A46" s="264">
        <v>42</v>
      </c>
      <c r="B46" s="256" t="s">
        <v>119</v>
      </c>
      <c r="C46" s="34">
        <v>143</v>
      </c>
      <c r="D46" s="35">
        <v>66</v>
      </c>
      <c r="E46" s="35">
        <v>5</v>
      </c>
      <c r="F46" s="19">
        <f t="shared" si="5"/>
        <v>4.7190000000000003E-2</v>
      </c>
      <c r="G46" s="23">
        <v>277</v>
      </c>
      <c r="H46" s="26">
        <f t="shared" si="6"/>
        <v>13.071630000000001</v>
      </c>
      <c r="I46" s="21">
        <v>0</v>
      </c>
      <c r="J46" s="205">
        <f t="shared" si="0"/>
        <v>0</v>
      </c>
      <c r="K46" s="21">
        <v>49</v>
      </c>
      <c r="L46" s="10">
        <f t="shared" si="1"/>
        <v>2.3123100000000001</v>
      </c>
      <c r="M46" s="21">
        <v>0</v>
      </c>
      <c r="N46" s="205">
        <f t="shared" si="2"/>
        <v>0</v>
      </c>
      <c r="O46" s="21">
        <v>0</v>
      </c>
      <c r="P46" s="10">
        <f t="shared" si="7"/>
        <v>0</v>
      </c>
      <c r="Q46" s="21">
        <v>0</v>
      </c>
      <c r="R46" s="205">
        <f t="shared" si="3"/>
        <v>0</v>
      </c>
      <c r="S46" s="39">
        <f t="shared" si="11"/>
        <v>228</v>
      </c>
      <c r="T46" s="38">
        <f t="shared" si="4"/>
        <v>10.759320000000001</v>
      </c>
      <c r="U46" s="21">
        <v>0</v>
      </c>
      <c r="V46" s="13">
        <f t="shared" si="8"/>
        <v>0</v>
      </c>
      <c r="W46" s="49">
        <f t="shared" si="9"/>
        <v>228</v>
      </c>
      <c r="X46" s="50">
        <f t="shared" si="10"/>
        <v>10.759320000000001</v>
      </c>
      <c r="Y46" s="238">
        <v>50</v>
      </c>
      <c r="Z46" s="101">
        <v>100</v>
      </c>
    </row>
    <row r="47" spans="1:26" x14ac:dyDescent="0.25">
      <c r="A47" s="264">
        <v>43</v>
      </c>
      <c r="B47" s="256" t="s">
        <v>45</v>
      </c>
      <c r="C47" s="34">
        <v>80</v>
      </c>
      <c r="D47" s="35">
        <v>63</v>
      </c>
      <c r="E47" s="35">
        <v>5</v>
      </c>
      <c r="F47" s="19">
        <f t="shared" si="5"/>
        <v>2.52E-2</v>
      </c>
      <c r="G47" s="23">
        <f>'OCAK 2.HAFTA '!W47</f>
        <v>315</v>
      </c>
      <c r="H47" s="26">
        <f t="shared" si="6"/>
        <v>7.9379999999999997</v>
      </c>
      <c r="I47" s="21">
        <v>0</v>
      </c>
      <c r="J47" s="205">
        <f t="shared" si="0"/>
        <v>0</v>
      </c>
      <c r="K47" s="21">
        <v>0</v>
      </c>
      <c r="L47" s="10">
        <f t="shared" si="1"/>
        <v>0</v>
      </c>
      <c r="M47" s="21">
        <v>0</v>
      </c>
      <c r="N47" s="205">
        <f t="shared" si="2"/>
        <v>0</v>
      </c>
      <c r="O47" s="21">
        <v>0</v>
      </c>
      <c r="P47" s="10">
        <f t="shared" si="7"/>
        <v>0</v>
      </c>
      <c r="Q47" s="21">
        <v>0</v>
      </c>
      <c r="R47" s="205">
        <f t="shared" si="3"/>
        <v>0</v>
      </c>
      <c r="S47" s="39">
        <f t="shared" si="11"/>
        <v>315</v>
      </c>
      <c r="T47" s="38">
        <f t="shared" si="4"/>
        <v>7.9379999999999997</v>
      </c>
      <c r="U47" s="21">
        <v>0</v>
      </c>
      <c r="V47" s="13">
        <f t="shared" si="8"/>
        <v>0</v>
      </c>
      <c r="W47" s="49">
        <f t="shared" si="9"/>
        <v>315</v>
      </c>
      <c r="X47" s="50">
        <f t="shared" si="10"/>
        <v>7.9379999999999997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46</v>
      </c>
      <c r="C48" s="34">
        <v>77</v>
      </c>
      <c r="D48" s="35">
        <v>68</v>
      </c>
      <c r="E48" s="35">
        <v>8</v>
      </c>
      <c r="F48" s="19">
        <f t="shared" si="5"/>
        <v>4.1888000000000002E-2</v>
      </c>
      <c r="G48" s="23">
        <v>140</v>
      </c>
      <c r="H48" s="26">
        <f t="shared" si="6"/>
        <v>5.8643200000000002</v>
      </c>
      <c r="I48" s="21">
        <v>0</v>
      </c>
      <c r="J48" s="205">
        <f t="shared" si="0"/>
        <v>0</v>
      </c>
      <c r="K48" s="21">
        <v>0</v>
      </c>
      <c r="L48" s="10">
        <f t="shared" si="1"/>
        <v>0</v>
      </c>
      <c r="M48" s="21">
        <v>1</v>
      </c>
      <c r="N48" s="205">
        <f t="shared" si="2"/>
        <v>4.1888000000000002E-2</v>
      </c>
      <c r="O48" s="21">
        <v>0</v>
      </c>
      <c r="P48" s="10">
        <f t="shared" si="7"/>
        <v>0</v>
      </c>
      <c r="Q48" s="21">
        <v>0</v>
      </c>
      <c r="R48" s="205">
        <f t="shared" si="3"/>
        <v>0</v>
      </c>
      <c r="S48" s="39">
        <f t="shared" si="11"/>
        <v>139</v>
      </c>
      <c r="T48" s="38">
        <f t="shared" si="4"/>
        <v>5.8224320000000001</v>
      </c>
      <c r="U48" s="21">
        <v>0</v>
      </c>
      <c r="V48" s="13">
        <f t="shared" si="8"/>
        <v>0</v>
      </c>
      <c r="W48" s="49">
        <f t="shared" si="9"/>
        <v>139</v>
      </c>
      <c r="X48" s="50">
        <f t="shared" si="10"/>
        <v>5.8224320000000001</v>
      </c>
      <c r="Y48" s="238">
        <v>50</v>
      </c>
      <c r="Z48" s="101">
        <v>200</v>
      </c>
    </row>
    <row r="49" spans="1:26" x14ac:dyDescent="0.25">
      <c r="A49" s="264">
        <v>45</v>
      </c>
      <c r="B49" s="256" t="s">
        <v>47</v>
      </c>
      <c r="C49" s="34">
        <v>79</v>
      </c>
      <c r="D49" s="35">
        <v>79</v>
      </c>
      <c r="E49" s="35">
        <v>2</v>
      </c>
      <c r="F49" s="19">
        <f t="shared" si="5"/>
        <v>1.2482E-2</v>
      </c>
      <c r="G49" s="23">
        <f>'OCAK 2.HAFTA '!W49</f>
        <v>244</v>
      </c>
      <c r="H49" s="26">
        <f t="shared" si="6"/>
        <v>3.0456080000000001</v>
      </c>
      <c r="I49" s="21">
        <v>0</v>
      </c>
      <c r="J49" s="205">
        <f t="shared" si="0"/>
        <v>0</v>
      </c>
      <c r="K49" s="21">
        <v>0</v>
      </c>
      <c r="L49" s="10">
        <f t="shared" si="1"/>
        <v>0</v>
      </c>
      <c r="M49" s="21">
        <v>0</v>
      </c>
      <c r="N49" s="205">
        <f t="shared" si="2"/>
        <v>0</v>
      </c>
      <c r="O49" s="21">
        <v>0</v>
      </c>
      <c r="P49" s="10">
        <f t="shared" si="7"/>
        <v>0</v>
      </c>
      <c r="Q49" s="21">
        <v>0</v>
      </c>
      <c r="R49" s="205">
        <f t="shared" si="3"/>
        <v>0</v>
      </c>
      <c r="S49" s="39">
        <f t="shared" si="11"/>
        <v>244</v>
      </c>
      <c r="T49" s="38">
        <f t="shared" si="4"/>
        <v>3.0456080000000001</v>
      </c>
      <c r="U49" s="21">
        <v>0</v>
      </c>
      <c r="V49" s="13">
        <f t="shared" si="8"/>
        <v>0</v>
      </c>
      <c r="W49" s="49">
        <f t="shared" si="9"/>
        <v>244</v>
      </c>
      <c r="X49" s="50">
        <f t="shared" si="10"/>
        <v>3.0456080000000001</v>
      </c>
      <c r="Y49" s="238">
        <v>100</v>
      </c>
      <c r="Z49" s="101">
        <v>300</v>
      </c>
    </row>
    <row r="50" spans="1:26" x14ac:dyDescent="0.25">
      <c r="A50" s="264">
        <v>46</v>
      </c>
      <c r="B50" s="256" t="s">
        <v>48</v>
      </c>
      <c r="C50" s="34">
        <v>61</v>
      </c>
      <c r="D50" s="35">
        <v>56</v>
      </c>
      <c r="E50" s="35">
        <v>10</v>
      </c>
      <c r="F50" s="19">
        <f t="shared" si="5"/>
        <v>3.4160000000000003E-2</v>
      </c>
      <c r="G50" s="23">
        <f>'OCAK 2.HAFTA '!W50</f>
        <v>75</v>
      </c>
      <c r="H50" s="26">
        <f t="shared" si="6"/>
        <v>2.5620000000000003</v>
      </c>
      <c r="I50" s="21">
        <v>0</v>
      </c>
      <c r="J50" s="205">
        <f t="shared" si="0"/>
        <v>0</v>
      </c>
      <c r="K50" s="21">
        <v>0</v>
      </c>
      <c r="L50" s="10">
        <f t="shared" si="1"/>
        <v>0</v>
      </c>
      <c r="M50" s="21">
        <v>0</v>
      </c>
      <c r="N50" s="205">
        <f t="shared" si="2"/>
        <v>0</v>
      </c>
      <c r="O50" s="21">
        <v>0</v>
      </c>
      <c r="P50" s="10">
        <f t="shared" si="7"/>
        <v>0</v>
      </c>
      <c r="Q50" s="21">
        <v>0</v>
      </c>
      <c r="R50" s="205">
        <f t="shared" si="3"/>
        <v>0</v>
      </c>
      <c r="S50" s="39">
        <f t="shared" si="11"/>
        <v>75</v>
      </c>
      <c r="T50" s="38">
        <f t="shared" si="4"/>
        <v>2.5620000000000003</v>
      </c>
      <c r="U50" s="21">
        <v>0</v>
      </c>
      <c r="V50" s="13">
        <f t="shared" si="8"/>
        <v>0</v>
      </c>
      <c r="W50" s="49">
        <f t="shared" si="9"/>
        <v>75</v>
      </c>
      <c r="X50" s="50">
        <f t="shared" si="10"/>
        <v>2.5620000000000003</v>
      </c>
      <c r="Y50" s="238">
        <v>30</v>
      </c>
      <c r="Z50" s="101">
        <v>100</v>
      </c>
    </row>
    <row r="51" spans="1:26" x14ac:dyDescent="0.25">
      <c r="A51" s="264">
        <v>47</v>
      </c>
      <c r="B51" s="256" t="s">
        <v>49</v>
      </c>
      <c r="C51" s="34">
        <v>66</v>
      </c>
      <c r="D51" s="35">
        <v>61</v>
      </c>
      <c r="E51" s="35">
        <v>10</v>
      </c>
      <c r="F51" s="19">
        <f t="shared" si="5"/>
        <v>4.0259999999999997E-2</v>
      </c>
      <c r="G51" s="23">
        <f>'OCAK 2.HAFTA '!W51</f>
        <v>30</v>
      </c>
      <c r="H51" s="26">
        <f t="shared" si="6"/>
        <v>1.2078</v>
      </c>
      <c r="I51" s="21">
        <v>0</v>
      </c>
      <c r="J51" s="205">
        <f t="shared" si="0"/>
        <v>0</v>
      </c>
      <c r="K51" s="21">
        <v>0</v>
      </c>
      <c r="L51" s="10">
        <f t="shared" si="1"/>
        <v>0</v>
      </c>
      <c r="M51" s="21">
        <v>0</v>
      </c>
      <c r="N51" s="205">
        <f t="shared" si="2"/>
        <v>0</v>
      </c>
      <c r="O51" s="21">
        <v>0</v>
      </c>
      <c r="P51" s="10">
        <f t="shared" si="7"/>
        <v>0</v>
      </c>
      <c r="Q51" s="21">
        <v>0</v>
      </c>
      <c r="R51" s="205">
        <f t="shared" si="3"/>
        <v>0</v>
      </c>
      <c r="S51" s="39">
        <f t="shared" si="11"/>
        <v>30</v>
      </c>
      <c r="T51" s="38">
        <f t="shared" si="4"/>
        <v>1.2078</v>
      </c>
      <c r="U51" s="21">
        <v>0</v>
      </c>
      <c r="V51" s="13">
        <f t="shared" si="8"/>
        <v>0</v>
      </c>
      <c r="W51" s="49">
        <f t="shared" si="9"/>
        <v>30</v>
      </c>
      <c r="X51" s="50">
        <f t="shared" si="10"/>
        <v>1.2078</v>
      </c>
      <c r="Y51" s="238">
        <v>30</v>
      </c>
      <c r="Z51" s="101">
        <v>100</v>
      </c>
    </row>
    <row r="52" spans="1:26" x14ac:dyDescent="0.25">
      <c r="A52" s="264">
        <v>48</v>
      </c>
      <c r="B52" s="256" t="s">
        <v>50</v>
      </c>
      <c r="C52" s="34">
        <v>63</v>
      </c>
      <c r="D52" s="35">
        <v>61</v>
      </c>
      <c r="E52" s="35">
        <v>10</v>
      </c>
      <c r="F52" s="19">
        <f t="shared" si="5"/>
        <v>3.8429999999999999E-2</v>
      </c>
      <c r="G52" s="23">
        <f>'OCAK 2.HAFTA '!W52</f>
        <v>0</v>
      </c>
      <c r="H52" s="26">
        <f t="shared" si="6"/>
        <v>0</v>
      </c>
      <c r="I52" s="21">
        <v>0</v>
      </c>
      <c r="J52" s="205">
        <f t="shared" si="0"/>
        <v>0</v>
      </c>
      <c r="K52" s="21">
        <v>0</v>
      </c>
      <c r="L52" s="10">
        <f t="shared" si="1"/>
        <v>0</v>
      </c>
      <c r="M52" s="21">
        <v>0</v>
      </c>
      <c r="N52" s="205">
        <f t="shared" si="2"/>
        <v>0</v>
      </c>
      <c r="O52" s="21">
        <v>0</v>
      </c>
      <c r="P52" s="10">
        <f t="shared" si="7"/>
        <v>0</v>
      </c>
      <c r="Q52" s="21">
        <v>0</v>
      </c>
      <c r="R52" s="205">
        <f t="shared" si="3"/>
        <v>0</v>
      </c>
      <c r="S52" s="39">
        <f t="shared" si="11"/>
        <v>0</v>
      </c>
      <c r="T52" s="38">
        <f t="shared" si="4"/>
        <v>0</v>
      </c>
      <c r="U52" s="21">
        <v>0</v>
      </c>
      <c r="V52" s="13">
        <f t="shared" si="8"/>
        <v>0</v>
      </c>
      <c r="W52" s="49">
        <f t="shared" si="9"/>
        <v>0</v>
      </c>
      <c r="X52" s="50">
        <f t="shared" si="10"/>
        <v>0</v>
      </c>
      <c r="Y52" s="238">
        <v>30</v>
      </c>
      <c r="Z52" s="101">
        <v>100</v>
      </c>
    </row>
    <row r="53" spans="1:26" x14ac:dyDescent="0.25">
      <c r="A53" s="264">
        <v>49</v>
      </c>
      <c r="B53" s="256" t="s">
        <v>51</v>
      </c>
      <c r="C53" s="34">
        <v>58</v>
      </c>
      <c r="D53" s="35">
        <v>58</v>
      </c>
      <c r="E53" s="35">
        <v>2.2999999999999998</v>
      </c>
      <c r="F53" s="19">
        <f t="shared" si="5"/>
        <v>7.7371999999999996E-3</v>
      </c>
      <c r="G53" s="23">
        <f>'OCAK 2.HAFTA '!W53</f>
        <v>2919</v>
      </c>
      <c r="H53" s="26">
        <f t="shared" si="6"/>
        <v>22.5848868</v>
      </c>
      <c r="I53" s="21">
        <v>0</v>
      </c>
      <c r="J53" s="205">
        <f t="shared" si="0"/>
        <v>0</v>
      </c>
      <c r="K53" s="21">
        <v>0</v>
      </c>
      <c r="L53" s="10">
        <f t="shared" si="1"/>
        <v>0</v>
      </c>
      <c r="M53" s="21">
        <v>35</v>
      </c>
      <c r="N53" s="205">
        <f t="shared" si="2"/>
        <v>0.27080199999999999</v>
      </c>
      <c r="O53" s="21">
        <v>0</v>
      </c>
      <c r="P53" s="10">
        <f t="shared" si="7"/>
        <v>0</v>
      </c>
      <c r="Q53" s="21">
        <v>0</v>
      </c>
      <c r="R53" s="205">
        <f t="shared" si="3"/>
        <v>0</v>
      </c>
      <c r="S53" s="39">
        <f t="shared" si="11"/>
        <v>2884</v>
      </c>
      <c r="T53" s="38">
        <f t="shared" si="4"/>
        <v>22.3140848</v>
      </c>
      <c r="U53" s="21">
        <v>0</v>
      </c>
      <c r="V53" s="13">
        <f t="shared" si="8"/>
        <v>0</v>
      </c>
      <c r="W53" s="49">
        <f t="shared" si="9"/>
        <v>2884</v>
      </c>
      <c r="X53" s="50">
        <f t="shared" si="10"/>
        <v>22.3140848</v>
      </c>
      <c r="Y53" s="238">
        <v>200</v>
      </c>
      <c r="Z53" s="101">
        <v>500</v>
      </c>
    </row>
    <row r="54" spans="1:26" x14ac:dyDescent="0.25">
      <c r="A54" s="264">
        <v>50</v>
      </c>
      <c r="B54" s="256" t="s">
        <v>52</v>
      </c>
      <c r="C54" s="34">
        <v>79</v>
      </c>
      <c r="D54" s="35">
        <v>62</v>
      </c>
      <c r="E54" s="35">
        <v>2.2999999999999998</v>
      </c>
      <c r="F54" s="19">
        <f t="shared" si="5"/>
        <v>1.12654E-2</v>
      </c>
      <c r="G54" s="23">
        <f>'OCAK 2.HAFTA '!W54</f>
        <v>3122</v>
      </c>
      <c r="H54" s="26">
        <f t="shared" si="6"/>
        <v>35.170578800000001</v>
      </c>
      <c r="I54" s="21">
        <v>0</v>
      </c>
      <c r="J54" s="205">
        <f t="shared" si="0"/>
        <v>0</v>
      </c>
      <c r="K54" s="21">
        <v>0</v>
      </c>
      <c r="L54" s="10">
        <f t="shared" si="1"/>
        <v>0</v>
      </c>
      <c r="M54" s="21">
        <v>12</v>
      </c>
      <c r="N54" s="205">
        <f t="shared" si="2"/>
        <v>0.13518479999999999</v>
      </c>
      <c r="O54" s="21">
        <v>0</v>
      </c>
      <c r="P54" s="10">
        <f t="shared" si="7"/>
        <v>0</v>
      </c>
      <c r="Q54" s="21">
        <v>0</v>
      </c>
      <c r="R54" s="205">
        <f t="shared" si="3"/>
        <v>0</v>
      </c>
      <c r="S54" s="39">
        <f t="shared" si="11"/>
        <v>3110</v>
      </c>
      <c r="T54" s="38">
        <f t="shared" si="4"/>
        <v>35.035394000000004</v>
      </c>
      <c r="U54" s="21">
        <v>0</v>
      </c>
      <c r="V54" s="13">
        <f t="shared" si="8"/>
        <v>0</v>
      </c>
      <c r="W54" s="49">
        <f t="shared" si="9"/>
        <v>3110</v>
      </c>
      <c r="X54" s="50">
        <f t="shared" si="10"/>
        <v>35.035394000000004</v>
      </c>
      <c r="Y54" s="238">
        <v>100</v>
      </c>
      <c r="Z54" s="101">
        <v>300</v>
      </c>
    </row>
    <row r="55" spans="1:26" x14ac:dyDescent="0.25">
      <c r="A55" s="264">
        <v>51</v>
      </c>
      <c r="B55" s="256" t="s">
        <v>53</v>
      </c>
      <c r="C55" s="34">
        <v>200</v>
      </c>
      <c r="D55" s="35">
        <v>176</v>
      </c>
      <c r="E55" s="35">
        <v>2.2999999999999998</v>
      </c>
      <c r="F55" s="19">
        <f t="shared" si="5"/>
        <v>8.0960000000000004E-2</v>
      </c>
      <c r="G55" s="23">
        <f>'OCAK 2.HAFTA '!W55</f>
        <v>1</v>
      </c>
      <c r="H55" s="26">
        <f t="shared" si="6"/>
        <v>8.0960000000000004E-2</v>
      </c>
      <c r="I55" s="21">
        <v>0</v>
      </c>
      <c r="J55" s="205">
        <f t="shared" si="0"/>
        <v>0</v>
      </c>
      <c r="K55" s="21">
        <v>0</v>
      </c>
      <c r="L55" s="10">
        <f t="shared" si="1"/>
        <v>0</v>
      </c>
      <c r="M55" s="21">
        <v>0</v>
      </c>
      <c r="N55" s="205">
        <f t="shared" si="2"/>
        <v>0</v>
      </c>
      <c r="O55" s="21">
        <v>0</v>
      </c>
      <c r="P55" s="10">
        <f t="shared" si="7"/>
        <v>0</v>
      </c>
      <c r="Q55" s="21">
        <v>0</v>
      </c>
      <c r="R55" s="205">
        <f t="shared" si="3"/>
        <v>0</v>
      </c>
      <c r="S55" s="39">
        <f t="shared" si="11"/>
        <v>1</v>
      </c>
      <c r="T55" s="38">
        <f t="shared" si="4"/>
        <v>8.0960000000000004E-2</v>
      </c>
      <c r="U55" s="21">
        <v>0</v>
      </c>
      <c r="V55" s="13">
        <f t="shared" si="8"/>
        <v>0</v>
      </c>
      <c r="W55" s="49">
        <f t="shared" si="9"/>
        <v>1</v>
      </c>
      <c r="X55" s="50">
        <f t="shared" si="10"/>
        <v>8.0960000000000004E-2</v>
      </c>
      <c r="Y55" s="238">
        <v>0</v>
      </c>
      <c r="Z55" s="101">
        <v>0</v>
      </c>
    </row>
    <row r="56" spans="1:26" x14ac:dyDescent="0.25">
      <c r="A56" s="264">
        <v>52</v>
      </c>
      <c r="B56" s="256" t="s">
        <v>122</v>
      </c>
      <c r="C56" s="34">
        <v>79</v>
      </c>
      <c r="D56" s="35">
        <v>79</v>
      </c>
      <c r="E56" s="35">
        <v>2.2999999999999998</v>
      </c>
      <c r="F56" s="19">
        <f t="shared" si="5"/>
        <v>1.4354299999999999E-2</v>
      </c>
      <c r="G56" s="23">
        <f>'OCAK 2.HAFTA '!W56</f>
        <v>3564</v>
      </c>
      <c r="H56" s="26">
        <f t="shared" si="6"/>
        <v>51.158725199999992</v>
      </c>
      <c r="I56" s="21">
        <v>0</v>
      </c>
      <c r="J56" s="205">
        <f t="shared" si="0"/>
        <v>0</v>
      </c>
      <c r="K56" s="21">
        <v>0</v>
      </c>
      <c r="L56" s="10">
        <f t="shared" si="1"/>
        <v>0</v>
      </c>
      <c r="M56" s="21">
        <v>0</v>
      </c>
      <c r="N56" s="205">
        <f t="shared" si="2"/>
        <v>0</v>
      </c>
      <c r="O56" s="21">
        <v>0</v>
      </c>
      <c r="P56" s="10">
        <f t="shared" si="7"/>
        <v>0</v>
      </c>
      <c r="Q56" s="21">
        <v>0</v>
      </c>
      <c r="R56" s="205">
        <f t="shared" si="3"/>
        <v>0</v>
      </c>
      <c r="S56" s="39">
        <f t="shared" si="11"/>
        <v>3564</v>
      </c>
      <c r="T56" s="38">
        <f t="shared" si="4"/>
        <v>51.158725199999992</v>
      </c>
      <c r="U56" s="21">
        <v>0</v>
      </c>
      <c r="V56" s="13">
        <f t="shared" si="8"/>
        <v>0</v>
      </c>
      <c r="W56" s="49">
        <f t="shared" si="9"/>
        <v>3564</v>
      </c>
      <c r="X56" s="50">
        <f t="shared" si="10"/>
        <v>51.158725199999992</v>
      </c>
      <c r="Y56" s="238">
        <v>300</v>
      </c>
      <c r="Z56" s="101">
        <v>1000</v>
      </c>
    </row>
    <row r="57" spans="1:26" ht="15.75" x14ac:dyDescent="0.25">
      <c r="A57" s="264">
        <v>53</v>
      </c>
      <c r="B57" s="256" t="s">
        <v>55</v>
      </c>
      <c r="C57" s="111">
        <v>50</v>
      </c>
      <c r="D57" s="112">
        <v>45</v>
      </c>
      <c r="E57" s="112">
        <v>4</v>
      </c>
      <c r="F57" s="19">
        <f t="shared" si="5"/>
        <v>8.9999999999999993E-3</v>
      </c>
      <c r="G57" s="23">
        <f>'OCAK 2.HAFTA '!W57</f>
        <v>0</v>
      </c>
      <c r="H57" s="26">
        <f t="shared" si="6"/>
        <v>0</v>
      </c>
      <c r="I57" s="21">
        <v>0</v>
      </c>
      <c r="J57" s="205">
        <f t="shared" si="0"/>
        <v>0</v>
      </c>
      <c r="K57" s="21">
        <v>0</v>
      </c>
      <c r="L57" s="10">
        <f t="shared" si="1"/>
        <v>0</v>
      </c>
      <c r="M57" s="21">
        <v>0</v>
      </c>
      <c r="N57" s="205">
        <f t="shared" si="2"/>
        <v>0</v>
      </c>
      <c r="O57" s="21">
        <v>0</v>
      </c>
      <c r="P57" s="10">
        <f t="shared" si="7"/>
        <v>0</v>
      </c>
      <c r="Q57" s="21">
        <v>0</v>
      </c>
      <c r="R57" s="205">
        <f t="shared" si="3"/>
        <v>0</v>
      </c>
      <c r="S57" s="39">
        <f t="shared" si="11"/>
        <v>0</v>
      </c>
      <c r="T57" s="38">
        <f t="shared" si="4"/>
        <v>0</v>
      </c>
      <c r="U57" s="21">
        <v>0</v>
      </c>
      <c r="V57" s="13">
        <f t="shared" si="8"/>
        <v>0</v>
      </c>
      <c r="W57" s="49">
        <f t="shared" si="9"/>
        <v>0</v>
      </c>
      <c r="X57" s="50">
        <f t="shared" si="10"/>
        <v>0</v>
      </c>
      <c r="Y57" s="238">
        <v>300</v>
      </c>
      <c r="Z57" s="101">
        <v>1000</v>
      </c>
    </row>
    <row r="58" spans="1:26" ht="15.75" x14ac:dyDescent="0.25">
      <c r="A58" s="264">
        <v>54</v>
      </c>
      <c r="B58" s="256" t="s">
        <v>56</v>
      </c>
      <c r="C58" s="111">
        <v>50</v>
      </c>
      <c r="D58" s="112">
        <v>35</v>
      </c>
      <c r="E58" s="112">
        <v>4</v>
      </c>
      <c r="F58" s="19">
        <f t="shared" si="5"/>
        <v>7.0000000000000001E-3</v>
      </c>
      <c r="G58" s="23">
        <v>950</v>
      </c>
      <c r="H58" s="26">
        <f t="shared" si="6"/>
        <v>6.65</v>
      </c>
      <c r="I58" s="21">
        <v>0</v>
      </c>
      <c r="J58" s="205">
        <f t="shared" si="0"/>
        <v>0</v>
      </c>
      <c r="K58" s="21">
        <v>500</v>
      </c>
      <c r="L58" s="10">
        <f t="shared" si="1"/>
        <v>3.5</v>
      </c>
      <c r="M58" s="21">
        <v>15</v>
      </c>
      <c r="N58" s="205">
        <f t="shared" si="2"/>
        <v>0.105</v>
      </c>
      <c r="O58" s="21">
        <v>0</v>
      </c>
      <c r="P58" s="10">
        <f t="shared" si="7"/>
        <v>0</v>
      </c>
      <c r="Q58" s="21">
        <v>80</v>
      </c>
      <c r="R58" s="205">
        <f t="shared" si="3"/>
        <v>0.56000000000000005</v>
      </c>
      <c r="S58" s="39">
        <f t="shared" si="11"/>
        <v>355</v>
      </c>
      <c r="T58" s="38">
        <f t="shared" si="4"/>
        <v>2.4849999999999999</v>
      </c>
      <c r="U58" s="21">
        <v>0</v>
      </c>
      <c r="V58" s="13">
        <f t="shared" si="8"/>
        <v>0</v>
      </c>
      <c r="W58" s="49">
        <f t="shared" si="9"/>
        <v>355</v>
      </c>
      <c r="X58" s="50">
        <f t="shared" si="10"/>
        <v>2.4849999999999999</v>
      </c>
      <c r="Y58" s="238">
        <v>500</v>
      </c>
      <c r="Z58" s="101">
        <v>1500</v>
      </c>
    </row>
    <row r="59" spans="1:26" ht="15.75" x14ac:dyDescent="0.25">
      <c r="A59" s="264">
        <v>55</v>
      </c>
      <c r="B59" s="256" t="s">
        <v>57</v>
      </c>
      <c r="C59" s="111">
        <v>45</v>
      </c>
      <c r="D59" s="112">
        <v>50</v>
      </c>
      <c r="E59" s="112">
        <v>3</v>
      </c>
      <c r="F59" s="19">
        <f t="shared" si="5"/>
        <v>6.7499999999999999E-3</v>
      </c>
      <c r="G59" s="23">
        <f>'OCAK 2.HAFTA '!W59</f>
        <v>0</v>
      </c>
      <c r="H59" s="26">
        <f t="shared" si="6"/>
        <v>0</v>
      </c>
      <c r="I59" s="21">
        <v>0</v>
      </c>
      <c r="J59" s="205">
        <f t="shared" si="0"/>
        <v>0</v>
      </c>
      <c r="K59" s="21">
        <v>0</v>
      </c>
      <c r="L59" s="10">
        <f t="shared" si="1"/>
        <v>0</v>
      </c>
      <c r="M59" s="21">
        <v>0</v>
      </c>
      <c r="N59" s="205">
        <f t="shared" si="2"/>
        <v>0</v>
      </c>
      <c r="O59" s="21">
        <v>0</v>
      </c>
      <c r="P59" s="10">
        <f t="shared" si="7"/>
        <v>0</v>
      </c>
      <c r="Q59" s="21">
        <v>0</v>
      </c>
      <c r="R59" s="205">
        <f t="shared" si="3"/>
        <v>0</v>
      </c>
      <c r="S59" s="39">
        <f t="shared" si="11"/>
        <v>0</v>
      </c>
      <c r="T59" s="38">
        <f t="shared" si="4"/>
        <v>0</v>
      </c>
      <c r="U59" s="21">
        <v>0</v>
      </c>
      <c r="V59" s="13">
        <f t="shared" si="8"/>
        <v>0</v>
      </c>
      <c r="W59" s="49">
        <f t="shared" si="9"/>
        <v>0</v>
      </c>
      <c r="X59" s="50">
        <f t="shared" si="10"/>
        <v>0</v>
      </c>
      <c r="Y59" s="238">
        <v>500</v>
      </c>
      <c r="Z59" s="101">
        <v>1500</v>
      </c>
    </row>
    <row r="60" spans="1:26" ht="15.75" x14ac:dyDescent="0.25">
      <c r="A60" s="264">
        <v>56</v>
      </c>
      <c r="B60" s="256" t="s">
        <v>58</v>
      </c>
      <c r="C60" s="111">
        <v>50</v>
      </c>
      <c r="D60" s="112">
        <v>35</v>
      </c>
      <c r="E60" s="112">
        <v>3</v>
      </c>
      <c r="F60" s="19">
        <f t="shared" si="5"/>
        <v>5.2500000000000003E-3</v>
      </c>
      <c r="G60" s="23">
        <f>'OCAK 2.HAFTA '!W60</f>
        <v>0</v>
      </c>
      <c r="H60" s="26">
        <f t="shared" si="6"/>
        <v>0</v>
      </c>
      <c r="I60" s="21">
        <v>0</v>
      </c>
      <c r="J60" s="205">
        <f t="shared" si="0"/>
        <v>0</v>
      </c>
      <c r="K60" s="21">
        <v>0</v>
      </c>
      <c r="L60" s="10">
        <f t="shared" si="1"/>
        <v>0</v>
      </c>
      <c r="M60" s="21">
        <v>0</v>
      </c>
      <c r="N60" s="205">
        <f t="shared" si="2"/>
        <v>0</v>
      </c>
      <c r="O60" s="21">
        <v>0</v>
      </c>
      <c r="P60" s="10">
        <f t="shared" si="7"/>
        <v>0</v>
      </c>
      <c r="Q60" s="21">
        <v>0</v>
      </c>
      <c r="R60" s="205">
        <f t="shared" si="3"/>
        <v>0</v>
      </c>
      <c r="S60" s="39">
        <f t="shared" si="11"/>
        <v>0</v>
      </c>
      <c r="T60" s="38">
        <f t="shared" si="4"/>
        <v>0</v>
      </c>
      <c r="U60" s="21">
        <v>0</v>
      </c>
      <c r="V60" s="13">
        <f t="shared" si="8"/>
        <v>0</v>
      </c>
      <c r="W60" s="49">
        <f t="shared" si="9"/>
        <v>0</v>
      </c>
      <c r="X60" s="50">
        <f t="shared" si="10"/>
        <v>0</v>
      </c>
      <c r="Y60" s="238">
        <v>0</v>
      </c>
      <c r="Z60" s="101">
        <v>0</v>
      </c>
    </row>
    <row r="61" spans="1:26" ht="15.75" x14ac:dyDescent="0.25">
      <c r="A61" s="264">
        <v>57</v>
      </c>
      <c r="B61" s="256" t="s">
        <v>59</v>
      </c>
      <c r="C61" s="111">
        <v>42</v>
      </c>
      <c r="D61" s="112">
        <v>36</v>
      </c>
      <c r="E61" s="112">
        <v>4</v>
      </c>
      <c r="F61" s="19">
        <f t="shared" si="5"/>
        <v>6.0480000000000004E-3</v>
      </c>
      <c r="G61" s="23">
        <f>'OCAK 2.HAFTA '!W61</f>
        <v>0</v>
      </c>
      <c r="H61" s="26">
        <f t="shared" si="6"/>
        <v>0</v>
      </c>
      <c r="I61" s="21">
        <v>0</v>
      </c>
      <c r="J61" s="205">
        <f t="shared" si="0"/>
        <v>0</v>
      </c>
      <c r="K61" s="21">
        <v>0</v>
      </c>
      <c r="L61" s="10">
        <f t="shared" si="1"/>
        <v>0</v>
      </c>
      <c r="M61" s="21">
        <v>0</v>
      </c>
      <c r="N61" s="205">
        <f t="shared" si="2"/>
        <v>0</v>
      </c>
      <c r="O61" s="21">
        <v>0</v>
      </c>
      <c r="P61" s="10">
        <f t="shared" si="7"/>
        <v>0</v>
      </c>
      <c r="Q61" s="21">
        <v>0</v>
      </c>
      <c r="R61" s="205">
        <f t="shared" si="3"/>
        <v>0</v>
      </c>
      <c r="S61" s="97">
        <f t="shared" si="11"/>
        <v>0</v>
      </c>
      <c r="T61" s="38">
        <f t="shared" si="4"/>
        <v>0</v>
      </c>
      <c r="U61" s="21">
        <v>0</v>
      </c>
      <c r="V61" s="13">
        <f t="shared" si="8"/>
        <v>0</v>
      </c>
      <c r="W61" s="49">
        <f t="shared" si="9"/>
        <v>0</v>
      </c>
      <c r="X61" s="50">
        <f t="shared" si="10"/>
        <v>0</v>
      </c>
      <c r="Y61" s="238">
        <v>300</v>
      </c>
      <c r="Z61" s="101">
        <v>1000</v>
      </c>
    </row>
    <row r="62" spans="1:26" ht="15.75" x14ac:dyDescent="0.25">
      <c r="A62" s="264">
        <v>58</v>
      </c>
      <c r="B62" s="256" t="s">
        <v>60</v>
      </c>
      <c r="C62" s="111">
        <v>50</v>
      </c>
      <c r="D62" s="112">
        <v>35</v>
      </c>
      <c r="E62" s="112">
        <v>3</v>
      </c>
      <c r="F62" s="19">
        <f t="shared" si="5"/>
        <v>5.2500000000000003E-3</v>
      </c>
      <c r="G62" s="23">
        <f>'OCAK 2.HAFTA '!W62</f>
        <v>583</v>
      </c>
      <c r="H62" s="26">
        <f t="shared" si="6"/>
        <v>3.0607500000000001</v>
      </c>
      <c r="I62" s="21">
        <v>0</v>
      </c>
      <c r="J62" s="205">
        <f t="shared" si="0"/>
        <v>0</v>
      </c>
      <c r="K62" s="21">
        <v>0</v>
      </c>
      <c r="L62" s="10">
        <f t="shared" si="1"/>
        <v>0</v>
      </c>
      <c r="M62" s="21">
        <v>0</v>
      </c>
      <c r="N62" s="205">
        <f t="shared" si="2"/>
        <v>0</v>
      </c>
      <c r="O62" s="21">
        <v>0</v>
      </c>
      <c r="P62" s="10">
        <f t="shared" si="7"/>
        <v>0</v>
      </c>
      <c r="Q62" s="21">
        <v>0</v>
      </c>
      <c r="R62" s="205">
        <f t="shared" si="3"/>
        <v>0</v>
      </c>
      <c r="S62" s="97">
        <f t="shared" si="11"/>
        <v>583</v>
      </c>
      <c r="T62" s="38">
        <f t="shared" si="4"/>
        <v>3.0607500000000001</v>
      </c>
      <c r="U62" s="21">
        <v>0</v>
      </c>
      <c r="V62" s="13">
        <f t="shared" si="8"/>
        <v>0</v>
      </c>
      <c r="W62" s="49">
        <f t="shared" si="9"/>
        <v>583</v>
      </c>
      <c r="X62" s="50">
        <f t="shared" si="10"/>
        <v>3.0607500000000001</v>
      </c>
      <c r="Y62" s="238">
        <v>300</v>
      </c>
      <c r="Z62" s="101">
        <v>1000</v>
      </c>
    </row>
    <row r="63" spans="1:26" ht="15.75" x14ac:dyDescent="0.25">
      <c r="A63" s="264">
        <v>59</v>
      </c>
      <c r="B63" s="257" t="s">
        <v>61</v>
      </c>
      <c r="C63" s="111">
        <v>45</v>
      </c>
      <c r="D63" s="112">
        <v>50</v>
      </c>
      <c r="E63" s="112">
        <v>3</v>
      </c>
      <c r="F63" s="19">
        <f t="shared" si="5"/>
        <v>6.7499999999999999E-3</v>
      </c>
      <c r="G63" s="23">
        <f>'OCAK 2.HAFTA '!W63</f>
        <v>811</v>
      </c>
      <c r="H63" s="26">
        <f t="shared" si="6"/>
        <v>5.4742499999999996</v>
      </c>
      <c r="I63" s="21">
        <v>0</v>
      </c>
      <c r="J63" s="205">
        <f t="shared" si="0"/>
        <v>0</v>
      </c>
      <c r="K63" s="21">
        <v>0</v>
      </c>
      <c r="L63" s="10">
        <f t="shared" si="1"/>
        <v>0</v>
      </c>
      <c r="M63" s="21">
        <v>0</v>
      </c>
      <c r="N63" s="205">
        <f t="shared" si="2"/>
        <v>0</v>
      </c>
      <c r="O63" s="21">
        <v>0</v>
      </c>
      <c r="P63" s="10">
        <f t="shared" si="7"/>
        <v>0</v>
      </c>
      <c r="Q63" s="21">
        <v>0</v>
      </c>
      <c r="R63" s="205">
        <f t="shared" si="3"/>
        <v>0</v>
      </c>
      <c r="S63" s="97">
        <f t="shared" si="11"/>
        <v>811</v>
      </c>
      <c r="T63" s="38">
        <f t="shared" si="4"/>
        <v>5.4742499999999996</v>
      </c>
      <c r="U63" s="21">
        <v>0</v>
      </c>
      <c r="V63" s="13">
        <f t="shared" si="8"/>
        <v>0</v>
      </c>
      <c r="W63" s="49">
        <f t="shared" si="9"/>
        <v>811</v>
      </c>
      <c r="X63" s="50">
        <f t="shared" si="10"/>
        <v>5.4742499999999996</v>
      </c>
      <c r="Y63" s="238">
        <v>500</v>
      </c>
      <c r="Z63" s="101">
        <v>1500</v>
      </c>
    </row>
    <row r="64" spans="1:26" ht="15.75" thickBot="1" x14ac:dyDescent="0.3">
      <c r="A64" s="264">
        <v>60</v>
      </c>
      <c r="B64" s="258" t="s">
        <v>90</v>
      </c>
      <c r="C64" s="36">
        <v>140</v>
      </c>
      <c r="D64" s="37">
        <v>9.5</v>
      </c>
      <c r="E64" s="37">
        <v>6.5</v>
      </c>
      <c r="F64" s="20">
        <f t="shared" si="5"/>
        <v>8.6449999999999999E-3</v>
      </c>
      <c r="G64" s="23">
        <f>'OCAK 2.HAFTA '!W64</f>
        <v>3940</v>
      </c>
      <c r="H64" s="27">
        <f t="shared" si="6"/>
        <v>34.061300000000003</v>
      </c>
      <c r="I64" s="21">
        <v>0</v>
      </c>
      <c r="J64" s="205">
        <f t="shared" si="0"/>
        <v>0</v>
      </c>
      <c r="K64" s="21">
        <v>0</v>
      </c>
      <c r="L64" s="10">
        <f t="shared" si="1"/>
        <v>0</v>
      </c>
      <c r="M64" s="21">
        <v>0</v>
      </c>
      <c r="N64" s="205">
        <f t="shared" si="2"/>
        <v>0</v>
      </c>
      <c r="O64" s="21">
        <v>0</v>
      </c>
      <c r="P64" s="48">
        <f t="shared" si="7"/>
        <v>0</v>
      </c>
      <c r="Q64" s="21">
        <v>0</v>
      </c>
      <c r="R64" s="205">
        <f t="shared" si="3"/>
        <v>0</v>
      </c>
      <c r="S64" s="97">
        <f t="shared" si="11"/>
        <v>3940</v>
      </c>
      <c r="T64" s="41">
        <f t="shared" si="4"/>
        <v>34.061300000000003</v>
      </c>
      <c r="U64" s="21">
        <v>0</v>
      </c>
      <c r="V64" s="13">
        <f t="shared" si="8"/>
        <v>0</v>
      </c>
      <c r="W64" s="49">
        <f t="shared" si="9"/>
        <v>3940</v>
      </c>
      <c r="X64" s="50">
        <f t="shared" si="10"/>
        <v>34.061300000000003</v>
      </c>
      <c r="Y64" s="238">
        <v>100</v>
      </c>
      <c r="Z64" s="101">
        <v>300</v>
      </c>
    </row>
    <row r="65" spans="1:26" ht="15.75" x14ac:dyDescent="0.25">
      <c r="A65" s="264">
        <v>61</v>
      </c>
      <c r="B65" s="259" t="s">
        <v>79</v>
      </c>
      <c r="C65" s="112">
        <v>90</v>
      </c>
      <c r="D65" s="112">
        <v>83</v>
      </c>
      <c r="E65" s="112">
        <v>2</v>
      </c>
      <c r="F65" s="114">
        <f t="shared" si="5"/>
        <v>1.494E-2</v>
      </c>
      <c r="G65" s="23">
        <v>66</v>
      </c>
      <c r="H65" s="116">
        <f t="shared" si="6"/>
        <v>0.98604000000000003</v>
      </c>
      <c r="I65" s="21">
        <v>0</v>
      </c>
      <c r="J65" s="205">
        <f t="shared" si="0"/>
        <v>0</v>
      </c>
      <c r="K65" s="21">
        <v>0</v>
      </c>
      <c r="L65" s="10">
        <f t="shared" si="1"/>
        <v>0</v>
      </c>
      <c r="M65" s="21">
        <v>0</v>
      </c>
      <c r="N65" s="205">
        <f t="shared" si="2"/>
        <v>0</v>
      </c>
      <c r="O65" s="21">
        <v>0</v>
      </c>
      <c r="P65" s="121">
        <f t="shared" si="7"/>
        <v>0</v>
      </c>
      <c r="Q65" s="21">
        <v>0</v>
      </c>
      <c r="R65" s="205">
        <f t="shared" si="3"/>
        <v>0</v>
      </c>
      <c r="S65" s="140">
        <f t="shared" si="11"/>
        <v>66</v>
      </c>
      <c r="T65" s="123">
        <f t="shared" si="4"/>
        <v>0.98604000000000003</v>
      </c>
      <c r="U65" s="21">
        <v>0</v>
      </c>
      <c r="V65" s="139">
        <f t="shared" si="8"/>
        <v>0</v>
      </c>
      <c r="W65" s="141">
        <f t="shared" si="9"/>
        <v>66</v>
      </c>
      <c r="X65" s="50">
        <f t="shared" si="10"/>
        <v>0.98604000000000003</v>
      </c>
      <c r="Y65" s="238">
        <v>100</v>
      </c>
      <c r="Z65" s="101">
        <v>300</v>
      </c>
    </row>
    <row r="66" spans="1:26" ht="15.75" x14ac:dyDescent="0.25">
      <c r="A66" s="264">
        <v>62</v>
      </c>
      <c r="B66" s="260" t="s">
        <v>80</v>
      </c>
      <c r="C66" s="113">
        <v>92</v>
      </c>
      <c r="D66" s="113">
        <v>82</v>
      </c>
      <c r="E66" s="113">
        <v>2</v>
      </c>
      <c r="F66" s="124">
        <f t="shared" si="5"/>
        <v>1.5088000000000001E-2</v>
      </c>
      <c r="G66" s="23">
        <f>'OCAK 2.HAFTA '!W66</f>
        <v>166</v>
      </c>
      <c r="H66" s="125">
        <f t="shared" si="6"/>
        <v>2.5046080000000002</v>
      </c>
      <c r="I66" s="21">
        <v>0</v>
      </c>
      <c r="J66" s="205">
        <f t="shared" si="0"/>
        <v>0</v>
      </c>
      <c r="K66" s="21">
        <v>0</v>
      </c>
      <c r="L66" s="10">
        <f t="shared" si="1"/>
        <v>0</v>
      </c>
      <c r="M66" s="21">
        <v>68</v>
      </c>
      <c r="N66" s="205">
        <f t="shared" si="2"/>
        <v>1.025984</v>
      </c>
      <c r="O66" s="21">
        <v>0</v>
      </c>
      <c r="P66" s="121">
        <f t="shared" si="7"/>
        <v>0</v>
      </c>
      <c r="Q66" s="21">
        <v>0</v>
      </c>
      <c r="R66" s="205">
        <f t="shared" si="3"/>
        <v>0</v>
      </c>
      <c r="S66" s="140">
        <f t="shared" si="11"/>
        <v>98</v>
      </c>
      <c r="T66" s="123">
        <f t="shared" si="4"/>
        <v>1.4786240000000002</v>
      </c>
      <c r="U66" s="21">
        <v>0</v>
      </c>
      <c r="V66" s="139">
        <f t="shared" si="8"/>
        <v>0</v>
      </c>
      <c r="W66" s="141">
        <f t="shared" si="9"/>
        <v>98</v>
      </c>
      <c r="X66" s="107">
        <f t="shared" si="10"/>
        <v>1.4786240000000002</v>
      </c>
      <c r="Y66" s="238">
        <v>100</v>
      </c>
      <c r="Z66" s="101">
        <v>300</v>
      </c>
    </row>
    <row r="67" spans="1:26" x14ac:dyDescent="0.25">
      <c r="A67" s="264">
        <v>63</v>
      </c>
      <c r="B67" s="261" t="s">
        <v>82</v>
      </c>
      <c r="C67" s="35">
        <v>82</v>
      </c>
      <c r="D67" s="35">
        <v>80</v>
      </c>
      <c r="E67" s="35">
        <v>2</v>
      </c>
      <c r="F67" s="114">
        <f t="shared" si="5"/>
        <v>1.312E-2</v>
      </c>
      <c r="G67" s="23">
        <v>300</v>
      </c>
      <c r="H67" s="110">
        <f t="shared" si="6"/>
        <v>3.9359999999999999</v>
      </c>
      <c r="I67" s="21">
        <v>0</v>
      </c>
      <c r="J67" s="205">
        <f t="shared" si="0"/>
        <v>0</v>
      </c>
      <c r="K67" s="21">
        <v>0</v>
      </c>
      <c r="L67" s="10">
        <f t="shared" si="1"/>
        <v>0</v>
      </c>
      <c r="M67" s="21">
        <v>198</v>
      </c>
      <c r="N67" s="205">
        <f t="shared" si="2"/>
        <v>2.5977600000000001</v>
      </c>
      <c r="O67" s="21">
        <v>42</v>
      </c>
      <c r="P67" s="10">
        <f t="shared" si="7"/>
        <v>0.55103999999999997</v>
      </c>
      <c r="Q67" s="21">
        <v>0</v>
      </c>
      <c r="R67" s="205">
        <f t="shared" si="3"/>
        <v>0</v>
      </c>
      <c r="S67" s="97">
        <f t="shared" si="11"/>
        <v>60</v>
      </c>
      <c r="T67" s="87">
        <f t="shared" si="4"/>
        <v>0.78720000000000001</v>
      </c>
      <c r="U67" s="21">
        <v>0</v>
      </c>
      <c r="V67" s="139">
        <f t="shared" si="8"/>
        <v>0</v>
      </c>
      <c r="W67" s="141">
        <f t="shared" si="9"/>
        <v>60</v>
      </c>
      <c r="X67" s="107">
        <f t="shared" si="10"/>
        <v>0.78720000000000001</v>
      </c>
      <c r="Y67" s="238">
        <v>50</v>
      </c>
      <c r="Z67" s="101">
        <v>200</v>
      </c>
    </row>
    <row r="68" spans="1:26" x14ac:dyDescent="0.25">
      <c r="A68" s="264">
        <v>64</v>
      </c>
      <c r="B68" s="261" t="s">
        <v>83</v>
      </c>
      <c r="C68" s="35">
        <v>86</v>
      </c>
      <c r="D68" s="35">
        <v>77</v>
      </c>
      <c r="E68" s="35">
        <v>8</v>
      </c>
      <c r="F68" s="114">
        <f t="shared" si="5"/>
        <v>5.2976000000000002E-2</v>
      </c>
      <c r="G68" s="23">
        <v>115</v>
      </c>
      <c r="H68" s="110">
        <f t="shared" si="6"/>
        <v>6.0922400000000003</v>
      </c>
      <c r="I68" s="21">
        <v>0</v>
      </c>
      <c r="J68" s="205">
        <f t="shared" si="0"/>
        <v>0</v>
      </c>
      <c r="K68" s="21">
        <v>0</v>
      </c>
      <c r="L68" s="10">
        <f t="shared" si="1"/>
        <v>0</v>
      </c>
      <c r="M68" s="21">
        <v>8</v>
      </c>
      <c r="N68" s="205">
        <f t="shared" si="2"/>
        <v>0.42380800000000002</v>
      </c>
      <c r="O68" s="21">
        <v>0</v>
      </c>
      <c r="P68" s="10">
        <f t="shared" si="7"/>
        <v>0</v>
      </c>
      <c r="Q68" s="21">
        <v>0</v>
      </c>
      <c r="R68" s="205">
        <f t="shared" si="3"/>
        <v>0</v>
      </c>
      <c r="S68" s="97">
        <f t="shared" si="11"/>
        <v>107</v>
      </c>
      <c r="T68" s="87">
        <f t="shared" si="4"/>
        <v>5.6684320000000001</v>
      </c>
      <c r="U68" s="21">
        <v>0</v>
      </c>
      <c r="V68" s="139">
        <f t="shared" si="8"/>
        <v>0</v>
      </c>
      <c r="W68" s="141">
        <f t="shared" si="9"/>
        <v>107</v>
      </c>
      <c r="X68" s="107">
        <f t="shared" si="10"/>
        <v>5.6684320000000001</v>
      </c>
      <c r="Y68" s="238">
        <v>50</v>
      </c>
      <c r="Z68" s="101">
        <v>200</v>
      </c>
    </row>
    <row r="69" spans="1:26" x14ac:dyDescent="0.25">
      <c r="A69" s="264">
        <v>65</v>
      </c>
      <c r="B69" s="261" t="s">
        <v>84</v>
      </c>
      <c r="C69" s="35">
        <v>76</v>
      </c>
      <c r="D69" s="35">
        <v>75</v>
      </c>
      <c r="E69" s="35">
        <v>8</v>
      </c>
      <c r="F69" s="114">
        <f t="shared" si="5"/>
        <v>4.5600000000000002E-2</v>
      </c>
      <c r="G69" s="23">
        <v>260</v>
      </c>
      <c r="H69" s="110">
        <f t="shared" si="6"/>
        <v>11.856</v>
      </c>
      <c r="I69" s="21">
        <v>0</v>
      </c>
      <c r="J69" s="205">
        <f t="shared" ref="J69:J78" si="12">F69*I69</f>
        <v>0</v>
      </c>
      <c r="K69" s="21">
        <v>0</v>
      </c>
      <c r="L69" s="10">
        <f t="shared" ref="L69:L78" si="13">F69*K69</f>
        <v>0</v>
      </c>
      <c r="M69" s="21">
        <v>7</v>
      </c>
      <c r="N69" s="205">
        <f t="shared" ref="N69:N78" si="14">F69*M69</f>
        <v>0.31920000000000004</v>
      </c>
      <c r="O69" s="21">
        <v>4</v>
      </c>
      <c r="P69" s="10">
        <f t="shared" si="7"/>
        <v>0.18240000000000001</v>
      </c>
      <c r="Q69" s="21">
        <v>0</v>
      </c>
      <c r="R69" s="205">
        <f t="shared" ref="R69:R78" si="15">F69*Q69</f>
        <v>0</v>
      </c>
      <c r="S69" s="97">
        <f t="shared" si="11"/>
        <v>249</v>
      </c>
      <c r="T69" s="87">
        <f t="shared" ref="T69:T78" si="16">F69*S69</f>
        <v>11.3544</v>
      </c>
      <c r="U69" s="21">
        <v>0</v>
      </c>
      <c r="V69" s="139">
        <f t="shared" si="8"/>
        <v>0</v>
      </c>
      <c r="W69" s="141">
        <f t="shared" si="9"/>
        <v>249</v>
      </c>
      <c r="X69" s="107">
        <f t="shared" si="10"/>
        <v>11.3544</v>
      </c>
      <c r="Y69" s="238">
        <v>5</v>
      </c>
      <c r="Z69" s="101">
        <v>10</v>
      </c>
    </row>
    <row r="70" spans="1:26" x14ac:dyDescent="0.25">
      <c r="A70" s="264">
        <v>66</v>
      </c>
      <c r="B70" s="261" t="s">
        <v>85</v>
      </c>
      <c r="C70" s="35">
        <v>140</v>
      </c>
      <c r="D70" s="35">
        <v>240</v>
      </c>
      <c r="E70" s="35">
        <v>12</v>
      </c>
      <c r="F70" s="114">
        <f t="shared" ref="F70:F72" si="17">(C70*D70*E70)/1000000</f>
        <v>0.4032</v>
      </c>
      <c r="G70" s="23">
        <f>'OCAK 2.HAFTA '!W70</f>
        <v>0</v>
      </c>
      <c r="H70" s="110">
        <f t="shared" ref="H70:H78" si="18">F70*G70</f>
        <v>0</v>
      </c>
      <c r="I70" s="21">
        <v>0</v>
      </c>
      <c r="J70" s="205">
        <f t="shared" si="12"/>
        <v>0</v>
      </c>
      <c r="K70" s="21">
        <v>0</v>
      </c>
      <c r="L70" s="10">
        <f t="shared" si="13"/>
        <v>0</v>
      </c>
      <c r="M70" s="21">
        <v>0</v>
      </c>
      <c r="N70" s="205">
        <f t="shared" si="14"/>
        <v>0</v>
      </c>
      <c r="O70" s="21">
        <v>0</v>
      </c>
      <c r="P70" s="10">
        <f t="shared" ref="P70:P78" si="19">F70*O70</f>
        <v>0</v>
      </c>
      <c r="Q70" s="21">
        <v>0</v>
      </c>
      <c r="R70" s="205">
        <f t="shared" si="15"/>
        <v>0</v>
      </c>
      <c r="S70" s="97">
        <f t="shared" si="11"/>
        <v>0</v>
      </c>
      <c r="T70" s="87">
        <f t="shared" si="16"/>
        <v>0</v>
      </c>
      <c r="U70" s="21">
        <v>0</v>
      </c>
      <c r="V70" s="139">
        <f t="shared" ref="V70" si="20">R70*U70</f>
        <v>0</v>
      </c>
      <c r="W70" s="141">
        <f t="shared" ref="W70:W78" si="21">S70+U70</f>
        <v>0</v>
      </c>
      <c r="X70" s="107">
        <f t="shared" ref="X70:X78" si="22">F70*W70</f>
        <v>0</v>
      </c>
      <c r="Y70" s="238">
        <v>20</v>
      </c>
      <c r="Z70" s="101">
        <v>50</v>
      </c>
    </row>
    <row r="71" spans="1:26" x14ac:dyDescent="0.25">
      <c r="A71" s="264">
        <v>67</v>
      </c>
      <c r="B71" s="261" t="s">
        <v>96</v>
      </c>
      <c r="C71" s="130">
        <v>140</v>
      </c>
      <c r="D71" s="130">
        <v>240</v>
      </c>
      <c r="E71" s="130">
        <v>2</v>
      </c>
      <c r="F71" s="131">
        <f t="shared" si="17"/>
        <v>6.7199999999999996E-2</v>
      </c>
      <c r="G71" s="23">
        <f>'OCAK 2.HAFTA '!W71</f>
        <v>0</v>
      </c>
      <c r="H71" s="135">
        <f t="shared" si="18"/>
        <v>0</v>
      </c>
      <c r="I71" s="21">
        <v>0</v>
      </c>
      <c r="J71" s="205">
        <f t="shared" si="12"/>
        <v>0</v>
      </c>
      <c r="K71" s="21">
        <v>0</v>
      </c>
      <c r="L71" s="10">
        <f t="shared" si="13"/>
        <v>0</v>
      </c>
      <c r="M71" s="21">
        <v>0</v>
      </c>
      <c r="N71" s="205">
        <f t="shared" si="14"/>
        <v>0</v>
      </c>
      <c r="O71" s="21">
        <v>0</v>
      </c>
      <c r="P71" s="173">
        <f t="shared" si="19"/>
        <v>0</v>
      </c>
      <c r="Q71" s="21">
        <v>0</v>
      </c>
      <c r="R71" s="205">
        <f t="shared" si="15"/>
        <v>0</v>
      </c>
      <c r="S71" s="97">
        <f t="shared" ref="S71:S78" si="23">G71-I71-K71-M71-O71-Q71</f>
        <v>0</v>
      </c>
      <c r="T71" s="97">
        <f t="shared" si="16"/>
        <v>0</v>
      </c>
      <c r="U71" s="21">
        <v>0</v>
      </c>
      <c r="V71" s="139">
        <f t="shared" ref="V71:V78" si="24">F71*U71</f>
        <v>0</v>
      </c>
      <c r="W71" s="141">
        <f t="shared" si="21"/>
        <v>0</v>
      </c>
      <c r="X71" s="141">
        <f t="shared" si="22"/>
        <v>0</v>
      </c>
      <c r="Y71" s="238">
        <v>30</v>
      </c>
      <c r="Z71" s="101">
        <v>100</v>
      </c>
    </row>
    <row r="72" spans="1:26" x14ac:dyDescent="0.25">
      <c r="A72" s="264">
        <v>68</v>
      </c>
      <c r="B72" s="262" t="s">
        <v>95</v>
      </c>
      <c r="C72" s="130">
        <v>61</v>
      </c>
      <c r="D72" s="130">
        <v>61</v>
      </c>
      <c r="E72" s="130">
        <v>3</v>
      </c>
      <c r="F72" s="131">
        <f t="shared" si="17"/>
        <v>1.1162999999999999E-2</v>
      </c>
      <c r="G72" s="23">
        <f>'OCAK 2.HAFTA '!W72</f>
        <v>138</v>
      </c>
      <c r="H72" s="135">
        <f t="shared" si="18"/>
        <v>1.5404939999999998</v>
      </c>
      <c r="I72" s="21">
        <v>0</v>
      </c>
      <c r="J72" s="205">
        <f t="shared" si="12"/>
        <v>0</v>
      </c>
      <c r="K72" s="21">
        <v>0</v>
      </c>
      <c r="L72" s="10">
        <f t="shared" si="13"/>
        <v>0</v>
      </c>
      <c r="M72" s="21">
        <v>0</v>
      </c>
      <c r="N72" s="205">
        <f t="shared" si="14"/>
        <v>0</v>
      </c>
      <c r="O72" s="21">
        <v>0</v>
      </c>
      <c r="P72" s="173">
        <f t="shared" si="19"/>
        <v>0</v>
      </c>
      <c r="Q72" s="21">
        <v>0</v>
      </c>
      <c r="R72" s="205">
        <f t="shared" si="15"/>
        <v>0</v>
      </c>
      <c r="S72" s="97">
        <f t="shared" si="23"/>
        <v>138</v>
      </c>
      <c r="T72" s="97">
        <f t="shared" si="16"/>
        <v>1.5404939999999998</v>
      </c>
      <c r="U72" s="21">
        <v>0</v>
      </c>
      <c r="V72" s="252">
        <f t="shared" si="24"/>
        <v>0</v>
      </c>
      <c r="W72" s="253">
        <f t="shared" si="21"/>
        <v>138</v>
      </c>
      <c r="X72" s="253">
        <f t="shared" si="22"/>
        <v>1.5404939999999998</v>
      </c>
      <c r="Y72" s="238">
        <v>0</v>
      </c>
      <c r="Z72" s="101">
        <v>0</v>
      </c>
    </row>
    <row r="73" spans="1:26" x14ac:dyDescent="0.25">
      <c r="A73" s="264">
        <v>69</v>
      </c>
      <c r="B73" s="108" t="s">
        <v>106</v>
      </c>
      <c r="C73" s="96"/>
      <c r="D73" s="96"/>
      <c r="E73" s="96"/>
      <c r="F73" s="109"/>
      <c r="G73" s="23">
        <f>'OCAK 2.HAFTA '!W73</f>
        <v>20</v>
      </c>
      <c r="H73" s="135">
        <f t="shared" si="18"/>
        <v>0</v>
      </c>
      <c r="I73" s="21">
        <v>0</v>
      </c>
      <c r="J73" s="205">
        <f t="shared" si="12"/>
        <v>0</v>
      </c>
      <c r="K73" s="21">
        <v>0</v>
      </c>
      <c r="L73" s="10">
        <f t="shared" si="13"/>
        <v>0</v>
      </c>
      <c r="M73" s="21">
        <v>0</v>
      </c>
      <c r="N73" s="205">
        <f t="shared" si="14"/>
        <v>0</v>
      </c>
      <c r="O73" s="21">
        <v>0</v>
      </c>
      <c r="P73" s="250">
        <f t="shared" si="19"/>
        <v>0</v>
      </c>
      <c r="Q73" s="21">
        <v>0</v>
      </c>
      <c r="R73" s="205">
        <f t="shared" si="15"/>
        <v>0</v>
      </c>
      <c r="S73" s="97">
        <f t="shared" si="23"/>
        <v>20</v>
      </c>
      <c r="T73" s="97">
        <f t="shared" si="16"/>
        <v>0</v>
      </c>
      <c r="U73" s="21">
        <v>0</v>
      </c>
      <c r="V73" s="252">
        <f t="shared" si="24"/>
        <v>0</v>
      </c>
      <c r="W73" s="253">
        <f t="shared" si="21"/>
        <v>20</v>
      </c>
      <c r="X73" s="253">
        <f t="shared" si="22"/>
        <v>0</v>
      </c>
      <c r="Y73" s="101">
        <v>0</v>
      </c>
      <c r="Z73" s="101">
        <v>0</v>
      </c>
    </row>
    <row r="74" spans="1:26" x14ac:dyDescent="0.25">
      <c r="A74" s="105">
        <v>70</v>
      </c>
      <c r="B74" s="270" t="s">
        <v>107</v>
      </c>
      <c r="C74" s="105"/>
      <c r="D74" s="105"/>
      <c r="E74" s="271"/>
      <c r="F74" s="125"/>
      <c r="G74" s="23">
        <f>'OCAK 2.HAFTA '!W74</f>
        <v>20</v>
      </c>
      <c r="H74" s="135">
        <f t="shared" si="18"/>
        <v>0</v>
      </c>
      <c r="I74" s="21">
        <v>0</v>
      </c>
      <c r="J74" s="205">
        <f t="shared" si="12"/>
        <v>0</v>
      </c>
      <c r="K74" s="21">
        <v>0</v>
      </c>
      <c r="L74" s="10">
        <f t="shared" si="13"/>
        <v>0</v>
      </c>
      <c r="M74" s="21">
        <v>0</v>
      </c>
      <c r="N74" s="205">
        <f t="shared" si="14"/>
        <v>0</v>
      </c>
      <c r="O74" s="21">
        <v>0</v>
      </c>
      <c r="P74" s="250">
        <f t="shared" si="19"/>
        <v>0</v>
      </c>
      <c r="Q74" s="21">
        <v>0</v>
      </c>
      <c r="R74" s="205">
        <f t="shared" si="15"/>
        <v>0</v>
      </c>
      <c r="S74" s="97">
        <f t="shared" si="23"/>
        <v>20</v>
      </c>
      <c r="T74" s="97">
        <f t="shared" si="16"/>
        <v>0</v>
      </c>
      <c r="U74" s="21">
        <v>0</v>
      </c>
      <c r="V74" s="252">
        <f t="shared" si="24"/>
        <v>0</v>
      </c>
      <c r="W74" s="253">
        <f t="shared" si="21"/>
        <v>20</v>
      </c>
      <c r="X74" s="253">
        <f t="shared" si="22"/>
        <v>0</v>
      </c>
      <c r="Y74" s="106"/>
      <c r="Z74" s="106"/>
    </row>
    <row r="75" spans="1:26" x14ac:dyDescent="0.25">
      <c r="A75" s="96">
        <v>71</v>
      </c>
      <c r="B75" s="265" t="s">
        <v>108</v>
      </c>
      <c r="C75" s="96">
        <v>140</v>
      </c>
      <c r="D75" s="96">
        <v>240</v>
      </c>
      <c r="E75" s="109">
        <v>6</v>
      </c>
      <c r="F75" s="131">
        <f t="shared" ref="F75:F78" si="25">(C75*D75*E75)/1000000</f>
        <v>0.2016</v>
      </c>
      <c r="G75" s="23">
        <v>31</v>
      </c>
      <c r="H75" s="135">
        <f t="shared" si="18"/>
        <v>6.2496</v>
      </c>
      <c r="I75" s="21">
        <v>0</v>
      </c>
      <c r="J75" s="205">
        <f t="shared" si="12"/>
        <v>0</v>
      </c>
      <c r="K75" s="21">
        <v>0</v>
      </c>
      <c r="L75" s="96">
        <f t="shared" si="13"/>
        <v>0</v>
      </c>
      <c r="M75" s="21">
        <v>0</v>
      </c>
      <c r="N75" s="205">
        <f t="shared" si="14"/>
        <v>0</v>
      </c>
      <c r="O75" s="21">
        <v>0</v>
      </c>
      <c r="P75" s="250">
        <f t="shared" si="19"/>
        <v>0</v>
      </c>
      <c r="Q75" s="21">
        <v>0</v>
      </c>
      <c r="R75" s="174">
        <f t="shared" si="15"/>
        <v>0</v>
      </c>
      <c r="S75" s="281">
        <f t="shared" si="23"/>
        <v>31</v>
      </c>
      <c r="T75" s="97">
        <f t="shared" si="16"/>
        <v>6.2496</v>
      </c>
      <c r="U75" s="21">
        <v>0</v>
      </c>
      <c r="V75" s="252">
        <f t="shared" si="24"/>
        <v>0</v>
      </c>
      <c r="W75" s="253">
        <f t="shared" si="21"/>
        <v>31</v>
      </c>
      <c r="X75" s="253">
        <f t="shared" si="22"/>
        <v>6.2496</v>
      </c>
      <c r="Y75" s="106"/>
      <c r="Z75" s="106"/>
    </row>
    <row r="76" spans="1:26" x14ac:dyDescent="0.25">
      <c r="A76" s="277">
        <v>72</v>
      </c>
      <c r="B76" s="175" t="s">
        <v>113</v>
      </c>
      <c r="C76" s="2">
        <v>63</v>
      </c>
      <c r="D76" s="2">
        <v>60</v>
      </c>
      <c r="E76" s="2">
        <v>5</v>
      </c>
      <c r="F76" s="131">
        <f t="shared" si="25"/>
        <v>1.89E-2</v>
      </c>
      <c r="G76" s="23">
        <f>'OCAK 2.HAFTA '!W76</f>
        <v>119</v>
      </c>
      <c r="H76" s="135">
        <f t="shared" si="18"/>
        <v>2.2490999999999999</v>
      </c>
      <c r="I76" s="21">
        <v>0</v>
      </c>
      <c r="J76" s="205">
        <f t="shared" si="12"/>
        <v>0</v>
      </c>
      <c r="K76" s="21">
        <v>0</v>
      </c>
      <c r="L76" s="96">
        <f t="shared" si="13"/>
        <v>0</v>
      </c>
      <c r="M76" s="21">
        <v>0</v>
      </c>
      <c r="N76" s="205">
        <f t="shared" si="14"/>
        <v>0</v>
      </c>
      <c r="O76" s="21">
        <v>0</v>
      </c>
      <c r="P76" s="250">
        <f t="shared" si="19"/>
        <v>0</v>
      </c>
      <c r="Q76" s="21">
        <v>0</v>
      </c>
      <c r="R76" s="174">
        <f t="shared" si="15"/>
        <v>0</v>
      </c>
      <c r="S76" s="281">
        <f t="shared" si="23"/>
        <v>119</v>
      </c>
      <c r="T76" s="251">
        <f t="shared" si="16"/>
        <v>2.2490999999999999</v>
      </c>
      <c r="U76" s="21">
        <v>0</v>
      </c>
      <c r="V76" s="252">
        <f t="shared" si="24"/>
        <v>0</v>
      </c>
      <c r="W76" s="253">
        <f t="shared" si="21"/>
        <v>119</v>
      </c>
      <c r="X76" s="253">
        <f t="shared" si="22"/>
        <v>2.2490999999999999</v>
      </c>
      <c r="Y76" s="106"/>
      <c r="Z76" s="106"/>
    </row>
    <row r="77" spans="1:26" ht="15.75" thickBot="1" x14ac:dyDescent="0.3">
      <c r="A77" s="279">
        <v>73</v>
      </c>
      <c r="B77" s="280" t="s">
        <v>115</v>
      </c>
      <c r="C77" s="2">
        <v>90</v>
      </c>
      <c r="D77" s="2">
        <v>85</v>
      </c>
      <c r="E77" s="2">
        <v>5</v>
      </c>
      <c r="F77" s="131">
        <f t="shared" si="25"/>
        <v>3.8249999999999999E-2</v>
      </c>
      <c r="G77" s="23">
        <v>129</v>
      </c>
      <c r="H77" s="135">
        <f t="shared" si="18"/>
        <v>4.9342499999999996</v>
      </c>
      <c r="I77" s="21">
        <v>0</v>
      </c>
      <c r="J77" s="205">
        <f t="shared" si="12"/>
        <v>0</v>
      </c>
      <c r="K77" s="21">
        <v>0</v>
      </c>
      <c r="L77" s="96">
        <f t="shared" si="13"/>
        <v>0</v>
      </c>
      <c r="M77" s="21">
        <v>0</v>
      </c>
      <c r="N77" s="205">
        <f t="shared" si="14"/>
        <v>0</v>
      </c>
      <c r="O77" s="21">
        <v>8</v>
      </c>
      <c r="P77" s="250">
        <f t="shared" si="19"/>
        <v>0.30599999999999999</v>
      </c>
      <c r="Q77" s="21">
        <v>0</v>
      </c>
      <c r="R77" s="174">
        <f t="shared" si="15"/>
        <v>0</v>
      </c>
      <c r="S77" s="281">
        <f t="shared" si="23"/>
        <v>121</v>
      </c>
      <c r="T77" s="251">
        <f t="shared" si="16"/>
        <v>4.6282499999999995</v>
      </c>
      <c r="U77" s="21">
        <v>0</v>
      </c>
      <c r="V77" s="264">
        <f t="shared" si="24"/>
        <v>0</v>
      </c>
      <c r="W77" s="264">
        <f t="shared" si="21"/>
        <v>121</v>
      </c>
      <c r="X77" s="264">
        <f t="shared" si="22"/>
        <v>4.6282499999999995</v>
      </c>
      <c r="Y77" s="101"/>
      <c r="Z77" s="101"/>
    </row>
    <row r="78" spans="1:26" x14ac:dyDescent="0.25">
      <c r="A78" s="277">
        <v>74</v>
      </c>
      <c r="B78" s="151" t="s">
        <v>116</v>
      </c>
      <c r="C78" s="2">
        <v>100</v>
      </c>
      <c r="D78" s="2">
        <v>90</v>
      </c>
      <c r="E78" s="2">
        <v>3</v>
      </c>
      <c r="F78" s="131">
        <f t="shared" si="25"/>
        <v>2.7E-2</v>
      </c>
      <c r="G78" s="23">
        <f>'OCAK 2.HAFTA '!W78</f>
        <v>132</v>
      </c>
      <c r="H78" s="136">
        <f t="shared" si="18"/>
        <v>3.5640000000000001</v>
      </c>
      <c r="I78" s="21">
        <v>0</v>
      </c>
      <c r="J78" s="205">
        <f t="shared" si="12"/>
        <v>0</v>
      </c>
      <c r="K78" s="21">
        <v>0</v>
      </c>
      <c r="L78" s="96">
        <f t="shared" si="13"/>
        <v>0</v>
      </c>
      <c r="M78" s="21">
        <v>0</v>
      </c>
      <c r="N78" s="205">
        <f t="shared" si="14"/>
        <v>0</v>
      </c>
      <c r="O78" s="21">
        <v>0</v>
      </c>
      <c r="P78" s="174">
        <f t="shared" si="19"/>
        <v>0</v>
      </c>
      <c r="Q78" s="21">
        <v>0</v>
      </c>
      <c r="R78" s="174">
        <f t="shared" si="15"/>
        <v>0</v>
      </c>
      <c r="S78" s="282">
        <f t="shared" si="23"/>
        <v>132</v>
      </c>
      <c r="T78" s="97">
        <f t="shared" si="16"/>
        <v>3.5640000000000001</v>
      </c>
      <c r="U78" s="21">
        <v>0</v>
      </c>
      <c r="V78" s="264">
        <f t="shared" si="24"/>
        <v>0</v>
      </c>
      <c r="W78" s="264">
        <f t="shared" si="21"/>
        <v>132</v>
      </c>
      <c r="X78" s="264">
        <f t="shared" si="22"/>
        <v>3.5640000000000001</v>
      </c>
      <c r="Y78" s="101"/>
      <c r="Z78" s="101"/>
    </row>
  </sheetData>
  <mergeCells count="24">
    <mergeCell ref="C1:H1"/>
    <mergeCell ref="G2:H3"/>
    <mergeCell ref="I2:J2"/>
    <mergeCell ref="K2:L2"/>
    <mergeCell ref="M2:N2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S4:T4"/>
    <mergeCell ref="U4:V4"/>
    <mergeCell ref="W4:X4"/>
    <mergeCell ref="G4:H4"/>
    <mergeCell ref="I4:J4"/>
    <mergeCell ref="K4:L4"/>
    <mergeCell ref="M4:N4"/>
    <mergeCell ref="O4:P4"/>
    <mergeCell ref="Q4:R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78"/>
  <sheetViews>
    <sheetView workbookViewId="0">
      <selection activeCell="L20" sqref="L20"/>
    </sheetView>
  </sheetViews>
  <sheetFormatPr defaultRowHeight="15" x14ac:dyDescent="0.25"/>
  <cols>
    <col min="1" max="1" width="6.42578125" customWidth="1"/>
    <col min="2" max="2" width="23.85546875" style="3" customWidth="1"/>
    <col min="3" max="3" width="9.7109375" style="2" hidden="1" customWidth="1"/>
    <col min="4" max="4" width="9.42578125" style="2" hidden="1" customWidth="1"/>
    <col min="5" max="5" width="11.42578125" style="2" hidden="1" customWidth="1"/>
    <col min="6" max="6" width="10.140625" style="4" hidden="1" customWidth="1"/>
    <col min="7" max="8" width="9" style="5" customWidth="1"/>
    <col min="9" max="20" width="8.140625" style="2" customWidth="1"/>
    <col min="25" max="25" width="10.28515625" customWidth="1"/>
  </cols>
  <sheetData>
    <row r="1" spans="1:26" ht="15.75" thickBot="1" x14ac:dyDescent="0.3">
      <c r="B1" s="4" t="s">
        <v>18</v>
      </c>
      <c r="C1" s="320" t="s">
        <v>131</v>
      </c>
      <c r="D1" s="320"/>
      <c r="E1" s="320"/>
      <c r="F1" s="320"/>
      <c r="G1" s="320"/>
      <c r="H1" s="320"/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44949</v>
      </c>
      <c r="J2" s="326"/>
      <c r="K2" s="327">
        <v>44950</v>
      </c>
      <c r="L2" s="328"/>
      <c r="M2" s="325">
        <v>44951</v>
      </c>
      <c r="N2" s="329"/>
      <c r="O2" s="327">
        <v>44952</v>
      </c>
      <c r="P2" s="346"/>
      <c r="Q2" s="325">
        <v>44953</v>
      </c>
      <c r="R2" s="329"/>
      <c r="S2" s="330" t="s">
        <v>69</v>
      </c>
      <c r="T2" s="331"/>
      <c r="U2" s="334" t="s">
        <v>70</v>
      </c>
      <c r="V2" s="335"/>
      <c r="W2" s="338" t="s">
        <v>71</v>
      </c>
      <c r="X2" s="339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40"/>
      <c r="X3" s="341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51" t="s">
        <v>63</v>
      </c>
      <c r="X4" s="352"/>
      <c r="Y4" s="268" t="s">
        <v>99</v>
      </c>
      <c r="Z4" s="269" t="s">
        <v>100</v>
      </c>
    </row>
    <row r="5" spans="1:26" x14ac:dyDescent="0.25">
      <c r="A5" s="263">
        <v>1</v>
      </c>
      <c r="B5" s="256" t="s">
        <v>2</v>
      </c>
      <c r="C5" s="32">
        <v>140</v>
      </c>
      <c r="D5" s="33">
        <v>240</v>
      </c>
      <c r="E5" s="33">
        <v>1</v>
      </c>
      <c r="F5" s="15">
        <f>(C5*D5*E5)/1000000</f>
        <v>3.3599999999999998E-2</v>
      </c>
      <c r="G5" s="23">
        <f>'OCAK 3.HAFTA '!W5</f>
        <v>1350</v>
      </c>
      <c r="H5" s="24">
        <f>F5*G5</f>
        <v>45.36</v>
      </c>
      <c r="I5" s="21">
        <v>85</v>
      </c>
      <c r="J5" s="205">
        <f t="shared" ref="J5:J68" si="0">F5*I5</f>
        <v>2.8559999999999999</v>
      </c>
      <c r="K5" s="21">
        <v>2</v>
      </c>
      <c r="L5" s="10">
        <f t="shared" ref="L5:L68" si="1">F5*K5</f>
        <v>6.7199999999999996E-2</v>
      </c>
      <c r="M5" s="21">
        <v>26</v>
      </c>
      <c r="N5" s="205">
        <f t="shared" ref="N5:N68" si="2">F5*M5</f>
        <v>0.87359999999999993</v>
      </c>
      <c r="O5" s="21">
        <v>28</v>
      </c>
      <c r="P5" s="10">
        <f>F5*O5</f>
        <v>0.94079999999999997</v>
      </c>
      <c r="Q5" s="21">
        <v>8</v>
      </c>
      <c r="R5" s="205">
        <f t="shared" ref="R5:R68" si="3">F5*Q5</f>
        <v>0.26879999999999998</v>
      </c>
      <c r="S5" s="39">
        <f>G5-I5-K5-M5-O5-Q5</f>
        <v>1201</v>
      </c>
      <c r="T5" s="38">
        <f t="shared" ref="T5:T68" si="4">F5*S5</f>
        <v>40.3536</v>
      </c>
      <c r="U5" s="21">
        <v>20</v>
      </c>
      <c r="V5" s="13">
        <f>F5*U5</f>
        <v>0.67199999999999993</v>
      </c>
      <c r="W5" s="49">
        <f>S5+U5</f>
        <v>1221</v>
      </c>
      <c r="X5" s="50">
        <f>F5*W5</f>
        <v>41.025599999999997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3</v>
      </c>
      <c r="C6" s="34">
        <v>140</v>
      </c>
      <c r="D6" s="35">
        <v>240</v>
      </c>
      <c r="E6" s="35">
        <v>0.8</v>
      </c>
      <c r="F6" s="19">
        <f t="shared" ref="F6:F69" si="5">(C6*D6*E6)/1000000</f>
        <v>2.6880000000000001E-2</v>
      </c>
      <c r="G6" s="23">
        <f>'OCAK 3.HAFTA '!W6</f>
        <v>768</v>
      </c>
      <c r="H6" s="26">
        <f t="shared" ref="H6:H69" si="6">F6*G6</f>
        <v>20.643840000000001</v>
      </c>
      <c r="I6" s="21">
        <v>4</v>
      </c>
      <c r="J6" s="205">
        <f t="shared" si="0"/>
        <v>0.10752</v>
      </c>
      <c r="K6" s="21">
        <v>0</v>
      </c>
      <c r="L6" s="10">
        <f t="shared" si="1"/>
        <v>0</v>
      </c>
      <c r="M6" s="21">
        <v>0</v>
      </c>
      <c r="N6" s="205">
        <f t="shared" si="2"/>
        <v>0</v>
      </c>
      <c r="O6" s="21">
        <v>2</v>
      </c>
      <c r="P6" s="10">
        <f t="shared" ref="P6:P69" si="7">F6*O6</f>
        <v>5.3760000000000002E-2</v>
      </c>
      <c r="Q6" s="21">
        <v>0</v>
      </c>
      <c r="R6" s="205">
        <f t="shared" si="3"/>
        <v>0</v>
      </c>
      <c r="S6" s="39">
        <f>G6-I6-K6-M6-O6-Q6</f>
        <v>762</v>
      </c>
      <c r="T6" s="38">
        <f t="shared" si="4"/>
        <v>20.482559999999999</v>
      </c>
      <c r="U6" s="21">
        <v>0</v>
      </c>
      <c r="V6" s="13">
        <f t="shared" ref="V6:V69" si="8">F6*U6</f>
        <v>0</v>
      </c>
      <c r="W6" s="49">
        <f t="shared" ref="W6:W69" si="9">S6+U6</f>
        <v>762</v>
      </c>
      <c r="X6" s="50">
        <f t="shared" ref="X6:X69" si="10">F6*W6</f>
        <v>20.482559999999999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4</v>
      </c>
      <c r="C7" s="34">
        <v>140</v>
      </c>
      <c r="D7" s="35">
        <v>238</v>
      </c>
      <c r="E7" s="35">
        <v>1.4</v>
      </c>
      <c r="F7" s="19">
        <f t="shared" si="5"/>
        <v>4.6648000000000002E-2</v>
      </c>
      <c r="G7" s="23">
        <f>'OCAK 3.HAFTA '!W7</f>
        <v>612</v>
      </c>
      <c r="H7" s="26">
        <f t="shared" si="6"/>
        <v>28.548576000000001</v>
      </c>
      <c r="I7" s="21">
        <v>50</v>
      </c>
      <c r="J7" s="205">
        <f t="shared" si="0"/>
        <v>2.3324000000000003</v>
      </c>
      <c r="K7" s="21">
        <v>31</v>
      </c>
      <c r="L7" s="10">
        <f t="shared" si="1"/>
        <v>1.446088</v>
      </c>
      <c r="M7" s="21">
        <v>0</v>
      </c>
      <c r="N7" s="205">
        <f t="shared" si="2"/>
        <v>0</v>
      </c>
      <c r="O7" s="21">
        <v>0</v>
      </c>
      <c r="P7" s="10">
        <f t="shared" si="7"/>
        <v>0</v>
      </c>
      <c r="Q7" s="21">
        <v>20</v>
      </c>
      <c r="R7" s="205">
        <f t="shared" si="3"/>
        <v>0.93296000000000001</v>
      </c>
      <c r="S7" s="39">
        <f t="shared" ref="S7:S70" si="11">G7-I7-K7-M7-O7-Q7</f>
        <v>511</v>
      </c>
      <c r="T7" s="38">
        <f t="shared" si="4"/>
        <v>23.837128</v>
      </c>
      <c r="U7" s="21">
        <v>0</v>
      </c>
      <c r="V7" s="13">
        <f t="shared" si="8"/>
        <v>0</v>
      </c>
      <c r="W7" s="49">
        <f t="shared" si="9"/>
        <v>511</v>
      </c>
      <c r="X7" s="50">
        <f t="shared" si="10"/>
        <v>23.837128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114</v>
      </c>
      <c r="C8" s="34">
        <v>140</v>
      </c>
      <c r="D8" s="35">
        <v>240</v>
      </c>
      <c r="E8" s="35">
        <v>4</v>
      </c>
      <c r="F8" s="19">
        <f t="shared" si="5"/>
        <v>0.13439999999999999</v>
      </c>
      <c r="G8" s="23">
        <f>'OCAK 3.HAFTA '!W8</f>
        <v>0</v>
      </c>
      <c r="H8" s="26">
        <f t="shared" si="6"/>
        <v>0</v>
      </c>
      <c r="I8" s="21">
        <v>0</v>
      </c>
      <c r="J8" s="205">
        <f t="shared" si="0"/>
        <v>0</v>
      </c>
      <c r="K8" s="21">
        <v>0</v>
      </c>
      <c r="L8" s="10">
        <f t="shared" si="1"/>
        <v>0</v>
      </c>
      <c r="M8" s="21">
        <v>0</v>
      </c>
      <c r="N8" s="205">
        <f t="shared" si="2"/>
        <v>0</v>
      </c>
      <c r="O8" s="21">
        <v>0</v>
      </c>
      <c r="P8" s="10">
        <f t="shared" si="7"/>
        <v>0</v>
      </c>
      <c r="Q8" s="21">
        <v>0</v>
      </c>
      <c r="R8" s="205">
        <f t="shared" si="3"/>
        <v>0</v>
      </c>
      <c r="S8" s="39">
        <f t="shared" si="11"/>
        <v>0</v>
      </c>
      <c r="T8" s="38">
        <f t="shared" si="4"/>
        <v>0</v>
      </c>
      <c r="U8" s="21">
        <v>0</v>
      </c>
      <c r="V8" s="13">
        <f t="shared" si="8"/>
        <v>0</v>
      </c>
      <c r="W8" s="49">
        <f t="shared" si="9"/>
        <v>0</v>
      </c>
      <c r="X8" s="50">
        <f t="shared" si="10"/>
        <v>0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6</v>
      </c>
      <c r="C9" s="34">
        <v>140</v>
      </c>
      <c r="D9" s="35">
        <v>240</v>
      </c>
      <c r="E9" s="35">
        <v>2</v>
      </c>
      <c r="F9" s="19">
        <f t="shared" si="5"/>
        <v>6.7199999999999996E-2</v>
      </c>
      <c r="G9" s="23">
        <f>'OCAK 3.HAFTA '!W9</f>
        <v>426</v>
      </c>
      <c r="H9" s="26">
        <f t="shared" si="6"/>
        <v>28.627199999999998</v>
      </c>
      <c r="I9" s="21">
        <v>1</v>
      </c>
      <c r="J9" s="205">
        <f t="shared" si="0"/>
        <v>6.7199999999999996E-2</v>
      </c>
      <c r="K9" s="21">
        <v>5</v>
      </c>
      <c r="L9" s="10">
        <f t="shared" si="1"/>
        <v>0.33599999999999997</v>
      </c>
      <c r="M9" s="21">
        <v>0</v>
      </c>
      <c r="N9" s="205">
        <f t="shared" si="2"/>
        <v>0</v>
      </c>
      <c r="O9" s="21">
        <v>2</v>
      </c>
      <c r="P9" s="10">
        <f t="shared" si="7"/>
        <v>0.13439999999999999</v>
      </c>
      <c r="Q9" s="21">
        <v>1</v>
      </c>
      <c r="R9" s="205">
        <f t="shared" si="3"/>
        <v>6.7199999999999996E-2</v>
      </c>
      <c r="S9" s="39">
        <f t="shared" si="11"/>
        <v>417</v>
      </c>
      <c r="T9" s="38">
        <f t="shared" si="4"/>
        <v>28.022399999999998</v>
      </c>
      <c r="U9" s="21">
        <v>60</v>
      </c>
      <c r="V9" s="13">
        <f t="shared" si="8"/>
        <v>4.032</v>
      </c>
      <c r="W9" s="49">
        <f t="shared" si="9"/>
        <v>477</v>
      </c>
      <c r="X9" s="50">
        <f t="shared" si="10"/>
        <v>32.054400000000001</v>
      </c>
      <c r="Y9" s="238">
        <v>50</v>
      </c>
      <c r="Z9" s="101">
        <v>150</v>
      </c>
    </row>
    <row r="10" spans="1:26" x14ac:dyDescent="0.25">
      <c r="A10" s="264">
        <v>6</v>
      </c>
      <c r="B10" s="256" t="s">
        <v>7</v>
      </c>
      <c r="C10" s="34">
        <v>140</v>
      </c>
      <c r="D10" s="35">
        <v>240</v>
      </c>
      <c r="E10" s="35">
        <v>2</v>
      </c>
      <c r="F10" s="19">
        <f t="shared" si="5"/>
        <v>6.7199999999999996E-2</v>
      </c>
      <c r="G10" s="23">
        <f>'OCAK 3.HAFTA '!W10</f>
        <v>140</v>
      </c>
      <c r="H10" s="26">
        <f t="shared" si="6"/>
        <v>9.4079999999999995</v>
      </c>
      <c r="I10" s="21">
        <v>0</v>
      </c>
      <c r="J10" s="205">
        <f t="shared" si="0"/>
        <v>0</v>
      </c>
      <c r="K10" s="21">
        <v>22</v>
      </c>
      <c r="L10" s="10">
        <f t="shared" si="1"/>
        <v>1.4783999999999999</v>
      </c>
      <c r="M10" s="21">
        <v>41</v>
      </c>
      <c r="N10" s="205">
        <f t="shared" si="2"/>
        <v>2.7551999999999999</v>
      </c>
      <c r="O10" s="21">
        <v>0</v>
      </c>
      <c r="P10" s="10">
        <f t="shared" si="7"/>
        <v>0</v>
      </c>
      <c r="Q10" s="21">
        <v>7</v>
      </c>
      <c r="R10" s="205">
        <f t="shared" si="3"/>
        <v>0.47039999999999998</v>
      </c>
      <c r="S10" s="39">
        <f t="shared" si="11"/>
        <v>70</v>
      </c>
      <c r="T10" s="38">
        <f t="shared" si="4"/>
        <v>4.7039999999999997</v>
      </c>
      <c r="U10" s="21">
        <v>52</v>
      </c>
      <c r="V10" s="13">
        <f t="shared" si="8"/>
        <v>3.4943999999999997</v>
      </c>
      <c r="W10" s="49">
        <f t="shared" si="9"/>
        <v>122</v>
      </c>
      <c r="X10" s="50">
        <f t="shared" si="10"/>
        <v>8.1983999999999995</v>
      </c>
      <c r="Y10" s="238">
        <v>75</v>
      </c>
      <c r="Z10" s="101">
        <v>300</v>
      </c>
    </row>
    <row r="11" spans="1:26" x14ac:dyDescent="0.25">
      <c r="A11" s="264">
        <v>7</v>
      </c>
      <c r="B11" s="256" t="s">
        <v>8</v>
      </c>
      <c r="C11" s="34">
        <v>140</v>
      </c>
      <c r="D11" s="35">
        <v>240</v>
      </c>
      <c r="E11" s="35">
        <v>7</v>
      </c>
      <c r="F11" s="19">
        <f t="shared" si="5"/>
        <v>0.23519999999999999</v>
      </c>
      <c r="G11" s="23">
        <f>'OCAK 3.HAFTA '!W11</f>
        <v>13</v>
      </c>
      <c r="H11" s="26">
        <f t="shared" si="6"/>
        <v>3.0575999999999999</v>
      </c>
      <c r="I11" s="21">
        <v>13</v>
      </c>
      <c r="J11" s="205">
        <f t="shared" si="0"/>
        <v>3.0575999999999999</v>
      </c>
      <c r="K11" s="21">
        <v>3</v>
      </c>
      <c r="L11" s="10">
        <f t="shared" si="1"/>
        <v>0.7056</v>
      </c>
      <c r="M11" s="21">
        <v>0</v>
      </c>
      <c r="N11" s="205">
        <f t="shared" si="2"/>
        <v>0</v>
      </c>
      <c r="O11" s="21">
        <v>0</v>
      </c>
      <c r="P11" s="10">
        <f t="shared" si="7"/>
        <v>0</v>
      </c>
      <c r="Q11" s="21">
        <v>0</v>
      </c>
      <c r="R11" s="205">
        <f t="shared" si="3"/>
        <v>0</v>
      </c>
      <c r="S11" s="39">
        <f t="shared" si="11"/>
        <v>-3</v>
      </c>
      <c r="T11" s="38">
        <f t="shared" si="4"/>
        <v>-0.7056</v>
      </c>
      <c r="U11" s="21">
        <v>114</v>
      </c>
      <c r="V11" s="13">
        <f t="shared" si="8"/>
        <v>26.812799999999999</v>
      </c>
      <c r="W11" s="49">
        <f t="shared" si="9"/>
        <v>111</v>
      </c>
      <c r="X11" s="50">
        <f t="shared" si="10"/>
        <v>26.107199999999999</v>
      </c>
      <c r="Y11" s="238">
        <v>20</v>
      </c>
      <c r="Z11" s="101">
        <v>50</v>
      </c>
    </row>
    <row r="12" spans="1:26" x14ac:dyDescent="0.25">
      <c r="A12" s="264">
        <v>8</v>
      </c>
      <c r="B12" s="256" t="s">
        <v>9</v>
      </c>
      <c r="C12" s="34">
        <v>140</v>
      </c>
      <c r="D12" s="35">
        <v>240</v>
      </c>
      <c r="E12" s="35">
        <v>5</v>
      </c>
      <c r="F12" s="19">
        <f t="shared" si="5"/>
        <v>0.16800000000000001</v>
      </c>
      <c r="G12" s="23">
        <f>'OCAK 3.HAFTA '!W12</f>
        <v>159</v>
      </c>
      <c r="H12" s="26">
        <f t="shared" si="6"/>
        <v>26.712000000000003</v>
      </c>
      <c r="I12" s="21">
        <v>21</v>
      </c>
      <c r="J12" s="205">
        <f t="shared" si="0"/>
        <v>3.528</v>
      </c>
      <c r="K12" s="21">
        <v>0</v>
      </c>
      <c r="L12" s="10">
        <f t="shared" si="1"/>
        <v>0</v>
      </c>
      <c r="M12" s="21">
        <v>0</v>
      </c>
      <c r="N12" s="205">
        <f t="shared" si="2"/>
        <v>0</v>
      </c>
      <c r="O12" s="21">
        <v>0</v>
      </c>
      <c r="P12" s="10">
        <f t="shared" si="7"/>
        <v>0</v>
      </c>
      <c r="Q12" s="21">
        <v>0</v>
      </c>
      <c r="R12" s="205">
        <f t="shared" si="3"/>
        <v>0</v>
      </c>
      <c r="S12" s="39">
        <f t="shared" si="11"/>
        <v>138</v>
      </c>
      <c r="T12" s="38">
        <f t="shared" si="4"/>
        <v>23.184000000000001</v>
      </c>
      <c r="U12" s="21">
        <v>0</v>
      </c>
      <c r="V12" s="13">
        <f t="shared" si="8"/>
        <v>0</v>
      </c>
      <c r="W12" s="49">
        <f t="shared" si="9"/>
        <v>138</v>
      </c>
      <c r="X12" s="50">
        <f t="shared" si="10"/>
        <v>23.184000000000001</v>
      </c>
      <c r="Y12" s="238">
        <v>30</v>
      </c>
      <c r="Z12" s="101">
        <v>100</v>
      </c>
    </row>
    <row r="13" spans="1:26" x14ac:dyDescent="0.25">
      <c r="A13" s="264">
        <v>9</v>
      </c>
      <c r="B13" s="256" t="s">
        <v>10</v>
      </c>
      <c r="C13" s="34">
        <v>140</v>
      </c>
      <c r="D13" s="35">
        <v>240</v>
      </c>
      <c r="E13" s="35">
        <v>5</v>
      </c>
      <c r="F13" s="19">
        <f t="shared" si="5"/>
        <v>0.16800000000000001</v>
      </c>
      <c r="G13" s="23">
        <f>'OCAK 3.HAFTA '!W13</f>
        <v>71</v>
      </c>
      <c r="H13" s="26">
        <f t="shared" si="6"/>
        <v>11.928000000000001</v>
      </c>
      <c r="I13" s="21">
        <v>0</v>
      </c>
      <c r="J13" s="205">
        <f t="shared" si="0"/>
        <v>0</v>
      </c>
      <c r="K13" s="21">
        <v>0</v>
      </c>
      <c r="L13" s="10">
        <f t="shared" si="1"/>
        <v>0</v>
      </c>
      <c r="M13" s="21">
        <v>0</v>
      </c>
      <c r="N13" s="205">
        <f t="shared" si="2"/>
        <v>0</v>
      </c>
      <c r="O13" s="21">
        <v>0</v>
      </c>
      <c r="P13" s="10">
        <f t="shared" si="7"/>
        <v>0</v>
      </c>
      <c r="Q13" s="21">
        <v>0</v>
      </c>
      <c r="R13" s="205">
        <f t="shared" si="3"/>
        <v>0</v>
      </c>
      <c r="S13" s="39">
        <f t="shared" si="11"/>
        <v>71</v>
      </c>
      <c r="T13" s="38">
        <f t="shared" si="4"/>
        <v>11.928000000000001</v>
      </c>
      <c r="U13" s="21">
        <v>0</v>
      </c>
      <c r="V13" s="13">
        <f t="shared" si="8"/>
        <v>0</v>
      </c>
      <c r="W13" s="49">
        <f t="shared" si="9"/>
        <v>71</v>
      </c>
      <c r="X13" s="50">
        <f t="shared" si="10"/>
        <v>11.928000000000001</v>
      </c>
      <c r="Y13" s="238">
        <v>20</v>
      </c>
      <c r="Z13" s="101">
        <v>50</v>
      </c>
    </row>
    <row r="14" spans="1:26" x14ac:dyDescent="0.25">
      <c r="A14" s="264">
        <v>10</v>
      </c>
      <c r="B14" s="256" t="s">
        <v>11</v>
      </c>
      <c r="C14" s="34">
        <v>140</v>
      </c>
      <c r="D14" s="35">
        <v>240</v>
      </c>
      <c r="E14" s="35">
        <v>5</v>
      </c>
      <c r="F14" s="19">
        <f t="shared" si="5"/>
        <v>0.16800000000000001</v>
      </c>
      <c r="G14" s="23">
        <f>'OCAK 3.HAFTA '!W14</f>
        <v>225</v>
      </c>
      <c r="H14" s="26">
        <f t="shared" si="6"/>
        <v>37.800000000000004</v>
      </c>
      <c r="I14" s="21">
        <v>2</v>
      </c>
      <c r="J14" s="205">
        <f t="shared" si="0"/>
        <v>0.33600000000000002</v>
      </c>
      <c r="K14" s="21">
        <v>2</v>
      </c>
      <c r="L14" s="10">
        <f t="shared" si="1"/>
        <v>0.33600000000000002</v>
      </c>
      <c r="M14" s="21">
        <v>0</v>
      </c>
      <c r="N14" s="205">
        <f t="shared" si="2"/>
        <v>0</v>
      </c>
      <c r="O14" s="21">
        <v>3</v>
      </c>
      <c r="P14" s="10">
        <f t="shared" si="7"/>
        <v>0.504</v>
      </c>
      <c r="Q14" s="21">
        <v>0</v>
      </c>
      <c r="R14" s="205">
        <f t="shared" si="3"/>
        <v>0</v>
      </c>
      <c r="S14" s="39">
        <f t="shared" si="11"/>
        <v>218</v>
      </c>
      <c r="T14" s="38">
        <f t="shared" si="4"/>
        <v>36.624000000000002</v>
      </c>
      <c r="U14" s="21">
        <v>0</v>
      </c>
      <c r="V14" s="13">
        <f t="shared" si="8"/>
        <v>0</v>
      </c>
      <c r="W14" s="49">
        <f t="shared" si="9"/>
        <v>218</v>
      </c>
      <c r="X14" s="50">
        <f t="shared" si="10"/>
        <v>36.624000000000002</v>
      </c>
      <c r="Y14" s="238">
        <v>30</v>
      </c>
      <c r="Z14" s="101">
        <v>100</v>
      </c>
    </row>
    <row r="15" spans="1:26" x14ac:dyDescent="0.25">
      <c r="A15" s="264">
        <v>11</v>
      </c>
      <c r="B15" s="256" t="s">
        <v>12</v>
      </c>
      <c r="C15" s="34">
        <v>140</v>
      </c>
      <c r="D15" s="35">
        <v>240</v>
      </c>
      <c r="E15" s="35">
        <v>10</v>
      </c>
      <c r="F15" s="19">
        <f t="shared" si="5"/>
        <v>0.33600000000000002</v>
      </c>
      <c r="G15" s="23">
        <f>'OCAK 3.HAFTA '!W15</f>
        <v>18</v>
      </c>
      <c r="H15" s="26">
        <f t="shared" si="6"/>
        <v>6.048</v>
      </c>
      <c r="I15" s="21">
        <v>0</v>
      </c>
      <c r="J15" s="205">
        <f t="shared" si="0"/>
        <v>0</v>
      </c>
      <c r="K15" s="21">
        <v>1</v>
      </c>
      <c r="L15" s="10">
        <f t="shared" si="1"/>
        <v>0.33600000000000002</v>
      </c>
      <c r="M15" s="21">
        <v>0</v>
      </c>
      <c r="N15" s="205">
        <f t="shared" si="2"/>
        <v>0</v>
      </c>
      <c r="O15" s="21">
        <v>1</v>
      </c>
      <c r="P15" s="10">
        <f t="shared" si="7"/>
        <v>0.33600000000000002</v>
      </c>
      <c r="Q15" s="21">
        <v>0</v>
      </c>
      <c r="R15" s="205">
        <f t="shared" si="3"/>
        <v>0</v>
      </c>
      <c r="S15" s="39">
        <f t="shared" si="11"/>
        <v>16</v>
      </c>
      <c r="T15" s="38">
        <f t="shared" si="4"/>
        <v>5.3760000000000003</v>
      </c>
      <c r="U15" s="21">
        <v>0</v>
      </c>
      <c r="V15" s="13">
        <f t="shared" si="8"/>
        <v>0</v>
      </c>
      <c r="W15" s="49">
        <f t="shared" si="9"/>
        <v>16</v>
      </c>
      <c r="X15" s="50">
        <f t="shared" si="10"/>
        <v>5.3760000000000003</v>
      </c>
      <c r="Y15" s="238">
        <v>20</v>
      </c>
      <c r="Z15" s="101">
        <v>70</v>
      </c>
    </row>
    <row r="16" spans="1:26" x14ac:dyDescent="0.25">
      <c r="A16" s="264">
        <v>12</v>
      </c>
      <c r="B16" s="256" t="s">
        <v>13</v>
      </c>
      <c r="C16" s="34">
        <v>140</v>
      </c>
      <c r="D16" s="35">
        <v>240</v>
      </c>
      <c r="E16" s="35">
        <v>3</v>
      </c>
      <c r="F16" s="19">
        <f t="shared" si="5"/>
        <v>0.1008</v>
      </c>
      <c r="G16" s="23">
        <f>'OCAK 3.HAFTA '!W16</f>
        <v>61</v>
      </c>
      <c r="H16" s="26">
        <f t="shared" si="6"/>
        <v>6.1487999999999996</v>
      </c>
      <c r="I16" s="21">
        <v>0</v>
      </c>
      <c r="J16" s="205">
        <f t="shared" si="0"/>
        <v>0</v>
      </c>
      <c r="K16" s="21">
        <v>0</v>
      </c>
      <c r="L16" s="10">
        <f t="shared" si="1"/>
        <v>0</v>
      </c>
      <c r="M16" s="21">
        <v>0</v>
      </c>
      <c r="N16" s="205">
        <f t="shared" si="2"/>
        <v>0</v>
      </c>
      <c r="O16" s="21">
        <v>13</v>
      </c>
      <c r="P16" s="10">
        <f t="shared" si="7"/>
        <v>1.3104</v>
      </c>
      <c r="Q16" s="21">
        <v>22</v>
      </c>
      <c r="R16" s="205">
        <f t="shared" si="3"/>
        <v>2.2176</v>
      </c>
      <c r="S16" s="39">
        <f t="shared" si="11"/>
        <v>26</v>
      </c>
      <c r="T16" s="38">
        <f t="shared" si="4"/>
        <v>2.6208</v>
      </c>
      <c r="U16" s="21">
        <v>0</v>
      </c>
      <c r="V16" s="13">
        <f t="shared" si="8"/>
        <v>0</v>
      </c>
      <c r="W16" s="49">
        <f t="shared" si="9"/>
        <v>26</v>
      </c>
      <c r="X16" s="50">
        <f t="shared" si="10"/>
        <v>2.6208</v>
      </c>
      <c r="Y16" s="238">
        <v>50</v>
      </c>
      <c r="Z16" s="101">
        <v>150</v>
      </c>
    </row>
    <row r="17" spans="1:26" x14ac:dyDescent="0.25">
      <c r="A17" s="264">
        <v>13</v>
      </c>
      <c r="B17" s="256" t="s">
        <v>14</v>
      </c>
      <c r="C17" s="34">
        <v>140</v>
      </c>
      <c r="D17" s="35">
        <v>240</v>
      </c>
      <c r="E17" s="35">
        <v>5</v>
      </c>
      <c r="F17" s="19">
        <f t="shared" si="5"/>
        <v>0.16800000000000001</v>
      </c>
      <c r="G17" s="23">
        <f>'OCAK 3.HAFTA '!W17</f>
        <v>5</v>
      </c>
      <c r="H17" s="26">
        <f t="shared" si="6"/>
        <v>0.84000000000000008</v>
      </c>
      <c r="I17" s="21">
        <v>0</v>
      </c>
      <c r="J17" s="205">
        <f t="shared" si="0"/>
        <v>0</v>
      </c>
      <c r="K17" s="21">
        <v>5</v>
      </c>
      <c r="L17" s="10">
        <f t="shared" si="1"/>
        <v>0.84000000000000008</v>
      </c>
      <c r="M17" s="21">
        <v>0</v>
      </c>
      <c r="N17" s="205">
        <f t="shared" si="2"/>
        <v>0</v>
      </c>
      <c r="O17" s="21">
        <v>0</v>
      </c>
      <c r="P17" s="10">
        <f t="shared" si="7"/>
        <v>0</v>
      </c>
      <c r="Q17" s="21">
        <v>0</v>
      </c>
      <c r="R17" s="205">
        <f t="shared" si="3"/>
        <v>0</v>
      </c>
      <c r="S17" s="39">
        <f t="shared" si="11"/>
        <v>0</v>
      </c>
      <c r="T17" s="38">
        <f t="shared" si="4"/>
        <v>0</v>
      </c>
      <c r="U17" s="21">
        <v>0</v>
      </c>
      <c r="V17" s="13">
        <f t="shared" si="8"/>
        <v>0</v>
      </c>
      <c r="W17" s="49">
        <f t="shared" si="9"/>
        <v>0</v>
      </c>
      <c r="X17" s="50">
        <f t="shared" si="10"/>
        <v>0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15</v>
      </c>
      <c r="C18" s="34">
        <v>140</v>
      </c>
      <c r="D18" s="35">
        <v>240</v>
      </c>
      <c r="E18" s="35">
        <v>3</v>
      </c>
      <c r="F18" s="19">
        <f t="shared" si="5"/>
        <v>0.1008</v>
      </c>
      <c r="G18" s="23">
        <f>'OCAK 3.HAFTA '!W18</f>
        <v>73</v>
      </c>
      <c r="H18" s="26">
        <f t="shared" si="6"/>
        <v>7.3583999999999996</v>
      </c>
      <c r="I18" s="21">
        <v>0</v>
      </c>
      <c r="J18" s="205">
        <f t="shared" si="0"/>
        <v>0</v>
      </c>
      <c r="K18" s="21">
        <v>24</v>
      </c>
      <c r="L18" s="10">
        <f t="shared" si="1"/>
        <v>2.4192</v>
      </c>
      <c r="M18" s="21">
        <v>0</v>
      </c>
      <c r="N18" s="205">
        <f t="shared" si="2"/>
        <v>0</v>
      </c>
      <c r="O18" s="21">
        <v>0</v>
      </c>
      <c r="P18" s="10">
        <f t="shared" si="7"/>
        <v>0</v>
      </c>
      <c r="Q18" s="21">
        <v>0</v>
      </c>
      <c r="R18" s="205">
        <f t="shared" si="3"/>
        <v>0</v>
      </c>
      <c r="S18" s="39">
        <f t="shared" si="11"/>
        <v>49</v>
      </c>
      <c r="T18" s="38">
        <f t="shared" si="4"/>
        <v>4.9391999999999996</v>
      </c>
      <c r="U18" s="21">
        <v>0</v>
      </c>
      <c r="V18" s="13">
        <f t="shared" si="8"/>
        <v>0</v>
      </c>
      <c r="W18" s="49">
        <f t="shared" si="9"/>
        <v>49</v>
      </c>
      <c r="X18" s="50">
        <f t="shared" si="10"/>
        <v>4.9391999999999996</v>
      </c>
      <c r="Y18" s="238">
        <v>30</v>
      </c>
      <c r="Z18" s="101">
        <v>100</v>
      </c>
    </row>
    <row r="19" spans="1:26" x14ac:dyDescent="0.25">
      <c r="A19" s="264">
        <v>15</v>
      </c>
      <c r="B19" s="256" t="s">
        <v>16</v>
      </c>
      <c r="C19" s="34">
        <v>140</v>
      </c>
      <c r="D19" s="35">
        <v>240</v>
      </c>
      <c r="E19" s="35">
        <v>8</v>
      </c>
      <c r="F19" s="19">
        <f t="shared" si="5"/>
        <v>0.26879999999999998</v>
      </c>
      <c r="G19" s="23">
        <f>'OCAK 3.HAFTA '!W19</f>
        <v>0</v>
      </c>
      <c r="H19" s="26">
        <f t="shared" si="6"/>
        <v>0</v>
      </c>
      <c r="I19" s="21">
        <v>0</v>
      </c>
      <c r="J19" s="205">
        <f t="shared" si="0"/>
        <v>0</v>
      </c>
      <c r="K19" s="21">
        <v>0</v>
      </c>
      <c r="L19" s="10">
        <f t="shared" si="1"/>
        <v>0</v>
      </c>
      <c r="M19" s="21">
        <v>0</v>
      </c>
      <c r="N19" s="205">
        <f t="shared" si="2"/>
        <v>0</v>
      </c>
      <c r="O19" s="21">
        <v>0</v>
      </c>
      <c r="P19" s="10">
        <f t="shared" si="7"/>
        <v>0</v>
      </c>
      <c r="Q19" s="21">
        <v>0</v>
      </c>
      <c r="R19" s="205">
        <f t="shared" si="3"/>
        <v>0</v>
      </c>
      <c r="S19" s="39">
        <f t="shared" si="11"/>
        <v>0</v>
      </c>
      <c r="T19" s="38">
        <f t="shared" si="4"/>
        <v>0</v>
      </c>
      <c r="U19" s="21">
        <v>0</v>
      </c>
      <c r="V19" s="13">
        <f t="shared" si="8"/>
        <v>0</v>
      </c>
      <c r="W19" s="49">
        <f t="shared" si="9"/>
        <v>0</v>
      </c>
      <c r="X19" s="50">
        <f t="shared" si="10"/>
        <v>0</v>
      </c>
      <c r="Y19" s="238">
        <v>10</v>
      </c>
      <c r="Z19" s="101">
        <v>30</v>
      </c>
    </row>
    <row r="20" spans="1:26" x14ac:dyDescent="0.25">
      <c r="A20" s="264">
        <v>16</v>
      </c>
      <c r="B20" s="256" t="s">
        <v>17</v>
      </c>
      <c r="C20" s="34">
        <v>140</v>
      </c>
      <c r="D20" s="35">
        <v>240</v>
      </c>
      <c r="E20" s="35">
        <v>8</v>
      </c>
      <c r="F20" s="19">
        <f t="shared" si="5"/>
        <v>0.26879999999999998</v>
      </c>
      <c r="G20" s="23">
        <f>'OCAK 3.HAFTA '!W20</f>
        <v>0</v>
      </c>
      <c r="H20" s="26">
        <f t="shared" si="6"/>
        <v>0</v>
      </c>
      <c r="I20" s="21">
        <v>0</v>
      </c>
      <c r="J20" s="205">
        <f t="shared" si="0"/>
        <v>0</v>
      </c>
      <c r="K20" s="21">
        <v>0</v>
      </c>
      <c r="L20" s="10">
        <f t="shared" si="1"/>
        <v>0</v>
      </c>
      <c r="M20" s="21">
        <v>0</v>
      </c>
      <c r="N20" s="205">
        <f t="shared" si="2"/>
        <v>0</v>
      </c>
      <c r="O20" s="21">
        <v>0</v>
      </c>
      <c r="P20" s="10">
        <f t="shared" si="7"/>
        <v>0</v>
      </c>
      <c r="Q20" s="21">
        <v>0</v>
      </c>
      <c r="R20" s="205">
        <f t="shared" si="3"/>
        <v>0</v>
      </c>
      <c r="S20" s="39">
        <f t="shared" si="11"/>
        <v>0</v>
      </c>
      <c r="T20" s="38">
        <f t="shared" si="4"/>
        <v>0</v>
      </c>
      <c r="U20" s="21">
        <v>0</v>
      </c>
      <c r="V20" s="13">
        <f t="shared" si="8"/>
        <v>0</v>
      </c>
      <c r="W20" s="49">
        <f t="shared" si="9"/>
        <v>0</v>
      </c>
      <c r="X20" s="50">
        <f t="shared" si="10"/>
        <v>0</v>
      </c>
      <c r="Y20" s="238">
        <v>0</v>
      </c>
      <c r="Z20" s="101">
        <v>0</v>
      </c>
    </row>
    <row r="21" spans="1:26" x14ac:dyDescent="0.25">
      <c r="A21" s="264">
        <v>17</v>
      </c>
      <c r="B21" s="256" t="s">
        <v>19</v>
      </c>
      <c r="C21" s="34">
        <v>77</v>
      </c>
      <c r="D21" s="35">
        <v>55</v>
      </c>
      <c r="E21" s="35">
        <v>8</v>
      </c>
      <c r="F21" s="19">
        <f t="shared" si="5"/>
        <v>3.388E-2</v>
      </c>
      <c r="G21" s="23">
        <f>'OCAK 3.HAFTA '!W21</f>
        <v>0</v>
      </c>
      <c r="H21" s="26">
        <f t="shared" si="6"/>
        <v>0</v>
      </c>
      <c r="I21" s="21">
        <v>0</v>
      </c>
      <c r="J21" s="205">
        <f t="shared" si="0"/>
        <v>0</v>
      </c>
      <c r="K21" s="21">
        <v>0</v>
      </c>
      <c r="L21" s="10">
        <f t="shared" si="1"/>
        <v>0</v>
      </c>
      <c r="M21" s="21">
        <v>0</v>
      </c>
      <c r="N21" s="205">
        <f t="shared" si="2"/>
        <v>0</v>
      </c>
      <c r="O21" s="21">
        <v>0</v>
      </c>
      <c r="P21" s="10">
        <f t="shared" si="7"/>
        <v>0</v>
      </c>
      <c r="Q21" s="21">
        <v>0</v>
      </c>
      <c r="R21" s="205">
        <f t="shared" si="3"/>
        <v>0</v>
      </c>
      <c r="S21" s="39">
        <f t="shared" si="11"/>
        <v>0</v>
      </c>
      <c r="T21" s="38">
        <f t="shared" si="4"/>
        <v>0</v>
      </c>
      <c r="U21" s="21">
        <v>0</v>
      </c>
      <c r="V21" s="13">
        <f t="shared" si="8"/>
        <v>0</v>
      </c>
      <c r="W21" s="49">
        <f t="shared" si="9"/>
        <v>0</v>
      </c>
      <c r="X21" s="50">
        <f t="shared" si="10"/>
        <v>0</v>
      </c>
      <c r="Y21" s="238">
        <v>0</v>
      </c>
      <c r="Z21" s="101">
        <v>0</v>
      </c>
    </row>
    <row r="22" spans="1:26" x14ac:dyDescent="0.25">
      <c r="A22" s="264">
        <v>18</v>
      </c>
      <c r="B22" s="256" t="s">
        <v>20</v>
      </c>
      <c r="C22" s="34">
        <v>65</v>
      </c>
      <c r="D22" s="35">
        <v>50</v>
      </c>
      <c r="E22" s="35">
        <v>12</v>
      </c>
      <c r="F22" s="19">
        <f t="shared" si="5"/>
        <v>3.9E-2</v>
      </c>
      <c r="G22" s="23">
        <f>'OCAK 3.HAFTA '!W22</f>
        <v>26</v>
      </c>
      <c r="H22" s="26">
        <f t="shared" si="6"/>
        <v>1.014</v>
      </c>
      <c r="I22" s="21">
        <v>0</v>
      </c>
      <c r="J22" s="205">
        <f t="shared" si="0"/>
        <v>0</v>
      </c>
      <c r="K22" s="21">
        <v>0</v>
      </c>
      <c r="L22" s="10">
        <f t="shared" si="1"/>
        <v>0</v>
      </c>
      <c r="M22" s="21">
        <v>0</v>
      </c>
      <c r="N22" s="205">
        <f t="shared" si="2"/>
        <v>0</v>
      </c>
      <c r="O22" s="21">
        <v>0</v>
      </c>
      <c r="P22" s="10">
        <f t="shared" si="7"/>
        <v>0</v>
      </c>
      <c r="Q22" s="21">
        <v>0</v>
      </c>
      <c r="R22" s="205">
        <f t="shared" si="3"/>
        <v>0</v>
      </c>
      <c r="S22" s="39">
        <f t="shared" si="11"/>
        <v>26</v>
      </c>
      <c r="T22" s="38">
        <f t="shared" si="4"/>
        <v>1.014</v>
      </c>
      <c r="U22" s="21">
        <v>0</v>
      </c>
      <c r="V22" s="13">
        <f t="shared" si="8"/>
        <v>0</v>
      </c>
      <c r="W22" s="49">
        <f t="shared" si="9"/>
        <v>26</v>
      </c>
      <c r="X22" s="50">
        <f t="shared" si="10"/>
        <v>1.014</v>
      </c>
      <c r="Y22" s="238">
        <v>0</v>
      </c>
      <c r="Z22" s="101">
        <v>0</v>
      </c>
    </row>
    <row r="23" spans="1:26" x14ac:dyDescent="0.25">
      <c r="A23" s="264">
        <v>19</v>
      </c>
      <c r="B23" s="42" t="s">
        <v>103</v>
      </c>
      <c r="C23" s="34">
        <v>58</v>
      </c>
      <c r="D23" s="35">
        <v>58</v>
      </c>
      <c r="E23" s="35">
        <v>5</v>
      </c>
      <c r="F23" s="19">
        <f t="shared" si="5"/>
        <v>1.6820000000000002E-2</v>
      </c>
      <c r="G23" s="23">
        <f>'OCAK 3.HAFTA '!W23</f>
        <v>96</v>
      </c>
      <c r="H23" s="26">
        <f t="shared" si="6"/>
        <v>1.6147200000000002</v>
      </c>
      <c r="I23" s="21">
        <v>9</v>
      </c>
      <c r="J23" s="205">
        <f t="shared" si="0"/>
        <v>0.15138000000000001</v>
      </c>
      <c r="K23" s="21">
        <v>0</v>
      </c>
      <c r="L23" s="10">
        <f t="shared" si="1"/>
        <v>0</v>
      </c>
      <c r="M23" s="21">
        <v>0</v>
      </c>
      <c r="N23" s="205">
        <f t="shared" si="2"/>
        <v>0</v>
      </c>
      <c r="O23" s="21">
        <v>4</v>
      </c>
      <c r="P23" s="10">
        <f t="shared" si="7"/>
        <v>6.7280000000000006E-2</v>
      </c>
      <c r="Q23" s="21">
        <v>0</v>
      </c>
      <c r="R23" s="205">
        <f t="shared" si="3"/>
        <v>0</v>
      </c>
      <c r="S23" s="39">
        <f t="shared" si="11"/>
        <v>83</v>
      </c>
      <c r="T23" s="38">
        <f t="shared" si="4"/>
        <v>1.3960600000000001</v>
      </c>
      <c r="U23" s="21">
        <v>0</v>
      </c>
      <c r="V23" s="13">
        <f t="shared" si="8"/>
        <v>0</v>
      </c>
      <c r="W23" s="49">
        <f t="shared" si="9"/>
        <v>83</v>
      </c>
      <c r="X23" s="50">
        <f t="shared" si="10"/>
        <v>1.3960600000000001</v>
      </c>
      <c r="Y23" s="238">
        <v>0</v>
      </c>
      <c r="Z23" s="101">
        <v>0</v>
      </c>
    </row>
    <row r="24" spans="1:26" x14ac:dyDescent="0.25">
      <c r="A24" s="264">
        <v>20</v>
      </c>
      <c r="B24" s="256" t="s">
        <v>22</v>
      </c>
      <c r="C24" s="34">
        <v>66</v>
      </c>
      <c r="D24" s="35">
        <v>56</v>
      </c>
      <c r="E24" s="35">
        <v>12</v>
      </c>
      <c r="F24" s="19">
        <f t="shared" si="5"/>
        <v>4.4352000000000003E-2</v>
      </c>
      <c r="G24" s="23">
        <f>'OCAK 3.HAFTA '!W24</f>
        <v>0</v>
      </c>
      <c r="H24" s="26">
        <f t="shared" si="6"/>
        <v>0</v>
      </c>
      <c r="I24" s="21">
        <v>0</v>
      </c>
      <c r="J24" s="205">
        <f t="shared" si="0"/>
        <v>0</v>
      </c>
      <c r="K24" s="21">
        <v>0</v>
      </c>
      <c r="L24" s="10">
        <f t="shared" si="1"/>
        <v>0</v>
      </c>
      <c r="M24" s="21">
        <v>0</v>
      </c>
      <c r="N24" s="205">
        <f t="shared" si="2"/>
        <v>0</v>
      </c>
      <c r="O24" s="21">
        <v>0</v>
      </c>
      <c r="P24" s="10">
        <f t="shared" si="7"/>
        <v>0</v>
      </c>
      <c r="Q24" s="21">
        <v>0</v>
      </c>
      <c r="R24" s="205">
        <f t="shared" si="3"/>
        <v>0</v>
      </c>
      <c r="S24" s="39">
        <f t="shared" si="11"/>
        <v>0</v>
      </c>
      <c r="T24" s="38">
        <f t="shared" si="4"/>
        <v>0</v>
      </c>
      <c r="U24" s="21">
        <v>0</v>
      </c>
      <c r="V24" s="13">
        <f t="shared" si="8"/>
        <v>0</v>
      </c>
      <c r="W24" s="49">
        <f t="shared" si="9"/>
        <v>0</v>
      </c>
      <c r="X24" s="50">
        <f t="shared" si="10"/>
        <v>0</v>
      </c>
      <c r="Y24" s="238">
        <v>0</v>
      </c>
      <c r="Z24" s="101">
        <v>0</v>
      </c>
    </row>
    <row r="25" spans="1:26" x14ac:dyDescent="0.25">
      <c r="A25" s="264">
        <v>21</v>
      </c>
      <c r="B25" s="256" t="s">
        <v>102</v>
      </c>
      <c r="C25" s="34">
        <v>61</v>
      </c>
      <c r="D25" s="35">
        <v>61</v>
      </c>
      <c r="E25" s="35">
        <v>10</v>
      </c>
      <c r="F25" s="19">
        <f t="shared" si="5"/>
        <v>3.721E-2</v>
      </c>
      <c r="G25" s="23">
        <f>'OCAK 3.HAFTA '!W25</f>
        <v>73</v>
      </c>
      <c r="H25" s="26">
        <f t="shared" si="6"/>
        <v>2.7163300000000001</v>
      </c>
      <c r="I25" s="21">
        <v>0</v>
      </c>
      <c r="J25" s="205">
        <f t="shared" si="0"/>
        <v>0</v>
      </c>
      <c r="K25" s="21">
        <v>0</v>
      </c>
      <c r="L25" s="10">
        <f t="shared" si="1"/>
        <v>0</v>
      </c>
      <c r="M25" s="21">
        <v>0</v>
      </c>
      <c r="N25" s="205">
        <f t="shared" si="2"/>
        <v>0</v>
      </c>
      <c r="O25" s="21">
        <v>0</v>
      </c>
      <c r="P25" s="10">
        <f t="shared" si="7"/>
        <v>0</v>
      </c>
      <c r="Q25" s="21">
        <v>0</v>
      </c>
      <c r="R25" s="205">
        <f t="shared" si="3"/>
        <v>0</v>
      </c>
      <c r="S25" s="39">
        <f t="shared" si="11"/>
        <v>73</v>
      </c>
      <c r="T25" s="38">
        <f t="shared" si="4"/>
        <v>2.7163300000000001</v>
      </c>
      <c r="U25" s="21">
        <v>0</v>
      </c>
      <c r="V25" s="13">
        <f t="shared" si="8"/>
        <v>0</v>
      </c>
      <c r="W25" s="49">
        <f t="shared" si="9"/>
        <v>73</v>
      </c>
      <c r="X25" s="50">
        <f t="shared" si="10"/>
        <v>2.7163300000000001</v>
      </c>
      <c r="Y25" s="238">
        <v>30</v>
      </c>
      <c r="Z25" s="101">
        <v>100</v>
      </c>
    </row>
    <row r="26" spans="1:26" x14ac:dyDescent="0.25">
      <c r="A26" s="264">
        <v>22</v>
      </c>
      <c r="B26" s="256" t="s">
        <v>24</v>
      </c>
      <c r="C26" s="34">
        <v>82</v>
      </c>
      <c r="D26" s="35">
        <v>67</v>
      </c>
      <c r="E26" s="35">
        <v>5</v>
      </c>
      <c r="F26" s="19">
        <f t="shared" si="5"/>
        <v>2.7470000000000001E-2</v>
      </c>
      <c r="G26" s="23">
        <f>'OCAK 3.HAFTA '!W26</f>
        <v>30</v>
      </c>
      <c r="H26" s="26">
        <f t="shared" si="6"/>
        <v>0.82410000000000005</v>
      </c>
      <c r="I26" s="21">
        <v>0</v>
      </c>
      <c r="J26" s="205">
        <f t="shared" si="0"/>
        <v>0</v>
      </c>
      <c r="K26" s="21">
        <v>0</v>
      </c>
      <c r="L26" s="10">
        <f t="shared" si="1"/>
        <v>0</v>
      </c>
      <c r="M26" s="21">
        <v>0</v>
      </c>
      <c r="N26" s="205">
        <f t="shared" si="2"/>
        <v>0</v>
      </c>
      <c r="O26" s="21">
        <v>0</v>
      </c>
      <c r="P26" s="10">
        <f t="shared" si="7"/>
        <v>0</v>
      </c>
      <c r="Q26" s="21">
        <v>0</v>
      </c>
      <c r="R26" s="205">
        <f t="shared" si="3"/>
        <v>0</v>
      </c>
      <c r="S26" s="39">
        <f t="shared" si="11"/>
        <v>30</v>
      </c>
      <c r="T26" s="38">
        <f t="shared" si="4"/>
        <v>0.82410000000000005</v>
      </c>
      <c r="U26" s="21">
        <v>0</v>
      </c>
      <c r="V26" s="13">
        <f t="shared" si="8"/>
        <v>0</v>
      </c>
      <c r="W26" s="49">
        <f t="shared" si="9"/>
        <v>30</v>
      </c>
      <c r="X26" s="50">
        <f t="shared" si="10"/>
        <v>0.82410000000000005</v>
      </c>
      <c r="Y26" s="238">
        <v>0</v>
      </c>
      <c r="Z26" s="101">
        <v>0</v>
      </c>
    </row>
    <row r="27" spans="1:26" x14ac:dyDescent="0.25">
      <c r="A27" s="264">
        <v>23</v>
      </c>
      <c r="B27" s="256" t="s">
        <v>25</v>
      </c>
      <c r="C27" s="34">
        <v>80</v>
      </c>
      <c r="D27" s="35">
        <v>62</v>
      </c>
      <c r="E27" s="35">
        <v>2</v>
      </c>
      <c r="F27" s="19">
        <f t="shared" si="5"/>
        <v>9.92E-3</v>
      </c>
      <c r="G27" s="23">
        <f>'OCAK 3.HAFTA '!W27</f>
        <v>36</v>
      </c>
      <c r="H27" s="26">
        <f t="shared" si="6"/>
        <v>0.35711999999999999</v>
      </c>
      <c r="I27" s="21">
        <v>0</v>
      </c>
      <c r="J27" s="205">
        <f t="shared" si="0"/>
        <v>0</v>
      </c>
      <c r="K27" s="21">
        <v>0</v>
      </c>
      <c r="L27" s="10">
        <f t="shared" si="1"/>
        <v>0</v>
      </c>
      <c r="M27" s="21">
        <v>0</v>
      </c>
      <c r="N27" s="205">
        <f t="shared" si="2"/>
        <v>0</v>
      </c>
      <c r="O27" s="21">
        <v>0</v>
      </c>
      <c r="P27" s="10">
        <f t="shared" si="7"/>
        <v>0</v>
      </c>
      <c r="Q27" s="21">
        <v>0</v>
      </c>
      <c r="R27" s="205">
        <f t="shared" si="3"/>
        <v>0</v>
      </c>
      <c r="S27" s="39">
        <f t="shared" si="11"/>
        <v>36</v>
      </c>
      <c r="T27" s="38">
        <f t="shared" si="4"/>
        <v>0.35711999999999999</v>
      </c>
      <c r="U27" s="21">
        <v>0</v>
      </c>
      <c r="V27" s="13">
        <f t="shared" si="8"/>
        <v>0</v>
      </c>
      <c r="W27" s="49">
        <f t="shared" si="9"/>
        <v>36</v>
      </c>
      <c r="X27" s="50">
        <f t="shared" si="10"/>
        <v>0.35711999999999999</v>
      </c>
      <c r="Y27" s="238">
        <v>0</v>
      </c>
      <c r="Z27" s="101">
        <v>0</v>
      </c>
    </row>
    <row r="28" spans="1:26" x14ac:dyDescent="0.25">
      <c r="A28" s="264">
        <v>24</v>
      </c>
      <c r="B28" s="256" t="s">
        <v>26</v>
      </c>
      <c r="C28" s="34">
        <v>63</v>
      </c>
      <c r="D28" s="35">
        <v>55</v>
      </c>
      <c r="E28" s="35">
        <v>5</v>
      </c>
      <c r="F28" s="19">
        <f t="shared" si="5"/>
        <v>1.7325E-2</v>
      </c>
      <c r="G28" s="23">
        <f>'OCAK 3.HAFTA '!W28</f>
        <v>70</v>
      </c>
      <c r="H28" s="26">
        <f t="shared" si="6"/>
        <v>1.21275</v>
      </c>
      <c r="I28" s="21">
        <v>0</v>
      </c>
      <c r="J28" s="205">
        <f t="shared" si="0"/>
        <v>0</v>
      </c>
      <c r="K28" s="21">
        <v>0</v>
      </c>
      <c r="L28" s="10">
        <f t="shared" si="1"/>
        <v>0</v>
      </c>
      <c r="M28" s="21">
        <v>0</v>
      </c>
      <c r="N28" s="205">
        <f t="shared" si="2"/>
        <v>0</v>
      </c>
      <c r="O28" s="21">
        <v>0</v>
      </c>
      <c r="P28" s="10">
        <f t="shared" si="7"/>
        <v>0</v>
      </c>
      <c r="Q28" s="21">
        <v>0</v>
      </c>
      <c r="R28" s="205">
        <f t="shared" si="3"/>
        <v>0</v>
      </c>
      <c r="S28" s="39">
        <f t="shared" si="11"/>
        <v>70</v>
      </c>
      <c r="T28" s="38">
        <f t="shared" si="4"/>
        <v>1.21275</v>
      </c>
      <c r="U28" s="21">
        <v>0</v>
      </c>
      <c r="V28" s="13">
        <f t="shared" si="8"/>
        <v>0</v>
      </c>
      <c r="W28" s="49">
        <f t="shared" si="9"/>
        <v>70</v>
      </c>
      <c r="X28" s="50">
        <f t="shared" si="10"/>
        <v>1.21275</v>
      </c>
      <c r="Y28" s="238">
        <v>0</v>
      </c>
      <c r="Z28" s="101">
        <v>0</v>
      </c>
    </row>
    <row r="29" spans="1:26" x14ac:dyDescent="0.25">
      <c r="A29" s="264">
        <v>25</v>
      </c>
      <c r="B29" s="256" t="s">
        <v>132</v>
      </c>
      <c r="C29" s="34">
        <v>90</v>
      </c>
      <c r="D29" s="35">
        <v>90</v>
      </c>
      <c r="E29" s="35">
        <v>3</v>
      </c>
      <c r="F29" s="19">
        <f t="shared" si="5"/>
        <v>2.4299999999999999E-2</v>
      </c>
      <c r="G29" s="23">
        <f>'OCAK 3.HAFTA '!W29</f>
        <v>0</v>
      </c>
      <c r="H29" s="26">
        <f t="shared" si="6"/>
        <v>0</v>
      </c>
      <c r="I29" s="21">
        <v>0</v>
      </c>
      <c r="J29" s="205">
        <f t="shared" si="0"/>
        <v>0</v>
      </c>
      <c r="K29" s="21">
        <v>0</v>
      </c>
      <c r="L29" s="10">
        <f t="shared" si="1"/>
        <v>0</v>
      </c>
      <c r="M29" s="21">
        <v>0</v>
      </c>
      <c r="N29" s="205">
        <f t="shared" si="2"/>
        <v>0</v>
      </c>
      <c r="O29" s="21">
        <v>0</v>
      </c>
      <c r="P29" s="10">
        <f t="shared" si="7"/>
        <v>0</v>
      </c>
      <c r="Q29" s="21">
        <v>0</v>
      </c>
      <c r="R29" s="205">
        <f t="shared" si="3"/>
        <v>0</v>
      </c>
      <c r="S29" s="39">
        <f t="shared" si="11"/>
        <v>0</v>
      </c>
      <c r="T29" s="38">
        <f t="shared" si="4"/>
        <v>0</v>
      </c>
      <c r="U29" s="21">
        <v>100</v>
      </c>
      <c r="V29" s="13">
        <f t="shared" si="8"/>
        <v>2.4299999999999997</v>
      </c>
      <c r="W29" s="49">
        <f t="shared" si="9"/>
        <v>100</v>
      </c>
      <c r="X29" s="50">
        <f t="shared" si="10"/>
        <v>2.4299999999999997</v>
      </c>
      <c r="Y29" s="238">
        <v>0</v>
      </c>
      <c r="Z29" s="101">
        <v>0</v>
      </c>
    </row>
    <row r="30" spans="1:26" x14ac:dyDescent="0.25">
      <c r="A30" s="264">
        <v>26</v>
      </c>
      <c r="B30" s="256" t="s">
        <v>112</v>
      </c>
      <c r="C30" s="34">
        <v>140</v>
      </c>
      <c r="D30" s="35">
        <v>240</v>
      </c>
      <c r="E30" s="35">
        <v>10</v>
      </c>
      <c r="F30" s="19">
        <f t="shared" si="5"/>
        <v>0.33600000000000002</v>
      </c>
      <c r="G30" s="23">
        <f>'OCAK 3.HAFTA '!W30</f>
        <v>25</v>
      </c>
      <c r="H30" s="26">
        <f t="shared" si="6"/>
        <v>8.4</v>
      </c>
      <c r="I30" s="21">
        <v>0</v>
      </c>
      <c r="J30" s="205">
        <f t="shared" si="0"/>
        <v>0</v>
      </c>
      <c r="K30" s="21">
        <v>0</v>
      </c>
      <c r="L30" s="10">
        <f t="shared" si="1"/>
        <v>0</v>
      </c>
      <c r="M30" s="21">
        <v>0</v>
      </c>
      <c r="N30" s="205">
        <f t="shared" si="2"/>
        <v>0</v>
      </c>
      <c r="O30" s="21">
        <v>0</v>
      </c>
      <c r="P30" s="10">
        <f t="shared" si="7"/>
        <v>0</v>
      </c>
      <c r="Q30" s="21">
        <v>1</v>
      </c>
      <c r="R30" s="205">
        <f t="shared" si="3"/>
        <v>0.33600000000000002</v>
      </c>
      <c r="S30" s="39">
        <f t="shared" si="11"/>
        <v>24</v>
      </c>
      <c r="T30" s="38">
        <f t="shared" si="4"/>
        <v>8.0640000000000001</v>
      </c>
      <c r="U30" s="21">
        <v>0</v>
      </c>
      <c r="V30" s="13">
        <f t="shared" si="8"/>
        <v>0</v>
      </c>
      <c r="W30" s="49">
        <f t="shared" si="9"/>
        <v>24</v>
      </c>
      <c r="X30" s="50">
        <f t="shared" si="10"/>
        <v>8.0640000000000001</v>
      </c>
      <c r="Y30" s="238">
        <v>0</v>
      </c>
      <c r="Z30" s="101">
        <v>0</v>
      </c>
    </row>
    <row r="31" spans="1:26" x14ac:dyDescent="0.25">
      <c r="A31" s="264">
        <v>27</v>
      </c>
      <c r="B31" s="256" t="s">
        <v>29</v>
      </c>
      <c r="C31" s="34">
        <v>140</v>
      </c>
      <c r="D31" s="35">
        <v>240</v>
      </c>
      <c r="E31" s="35">
        <v>3</v>
      </c>
      <c r="F31" s="19">
        <f t="shared" si="5"/>
        <v>0.1008</v>
      </c>
      <c r="G31" s="23">
        <f>'OCAK 3.HAFTA '!W31</f>
        <v>0</v>
      </c>
      <c r="H31" s="26">
        <f t="shared" si="6"/>
        <v>0</v>
      </c>
      <c r="I31" s="21">
        <v>0</v>
      </c>
      <c r="J31" s="205">
        <f t="shared" si="0"/>
        <v>0</v>
      </c>
      <c r="K31" s="21">
        <v>0</v>
      </c>
      <c r="L31" s="10">
        <f t="shared" si="1"/>
        <v>0</v>
      </c>
      <c r="M31" s="21">
        <v>0</v>
      </c>
      <c r="N31" s="205">
        <f t="shared" si="2"/>
        <v>0</v>
      </c>
      <c r="O31" s="21">
        <v>0</v>
      </c>
      <c r="P31" s="10">
        <f t="shared" si="7"/>
        <v>0</v>
      </c>
      <c r="Q31" s="21">
        <v>0</v>
      </c>
      <c r="R31" s="205">
        <f t="shared" si="3"/>
        <v>0</v>
      </c>
      <c r="S31" s="39">
        <f t="shared" si="11"/>
        <v>0</v>
      </c>
      <c r="T31" s="38">
        <f t="shared" si="4"/>
        <v>0</v>
      </c>
      <c r="U31" s="21">
        <v>0</v>
      </c>
      <c r="V31" s="13">
        <f t="shared" si="8"/>
        <v>0</v>
      </c>
      <c r="W31" s="49">
        <f t="shared" si="9"/>
        <v>0</v>
      </c>
      <c r="X31" s="50">
        <f t="shared" si="10"/>
        <v>0</v>
      </c>
      <c r="Y31" s="238">
        <v>0</v>
      </c>
      <c r="Z31" s="101">
        <v>0</v>
      </c>
    </row>
    <row r="32" spans="1:26" x14ac:dyDescent="0.25">
      <c r="A32" s="264">
        <v>28</v>
      </c>
      <c r="B32" s="256" t="s">
        <v>129</v>
      </c>
      <c r="C32" s="34">
        <v>105</v>
      </c>
      <c r="D32" s="35">
        <v>55</v>
      </c>
      <c r="E32" s="35">
        <v>3</v>
      </c>
      <c r="F32" s="19">
        <f t="shared" si="5"/>
        <v>1.7325E-2</v>
      </c>
      <c r="G32" s="23">
        <f>'OCAK 3.HAFTA '!W32</f>
        <v>69</v>
      </c>
      <c r="H32" s="26">
        <f t="shared" si="6"/>
        <v>1.195425</v>
      </c>
      <c r="I32" s="21">
        <v>0</v>
      </c>
      <c r="J32" s="205">
        <f t="shared" si="0"/>
        <v>0</v>
      </c>
      <c r="K32" s="21">
        <v>0</v>
      </c>
      <c r="L32" s="10">
        <f t="shared" si="1"/>
        <v>0</v>
      </c>
      <c r="M32" s="21">
        <v>0</v>
      </c>
      <c r="N32" s="205">
        <f t="shared" si="2"/>
        <v>0</v>
      </c>
      <c r="O32" s="21">
        <v>0</v>
      </c>
      <c r="P32" s="10">
        <f t="shared" si="7"/>
        <v>0</v>
      </c>
      <c r="Q32" s="21">
        <v>0</v>
      </c>
      <c r="R32" s="205">
        <f t="shared" si="3"/>
        <v>0</v>
      </c>
      <c r="S32" s="39">
        <f t="shared" si="11"/>
        <v>69</v>
      </c>
      <c r="T32" s="38">
        <f t="shared" si="4"/>
        <v>1.195425</v>
      </c>
      <c r="U32" s="21">
        <v>0</v>
      </c>
      <c r="V32" s="13">
        <f t="shared" si="8"/>
        <v>0</v>
      </c>
      <c r="W32" s="49">
        <f t="shared" si="9"/>
        <v>69</v>
      </c>
      <c r="X32" s="50">
        <f t="shared" si="10"/>
        <v>1.195425</v>
      </c>
      <c r="Y32" s="238">
        <v>0</v>
      </c>
      <c r="Z32" s="101">
        <v>0</v>
      </c>
    </row>
    <row r="33" spans="1:26" x14ac:dyDescent="0.25">
      <c r="A33" s="264">
        <v>29</v>
      </c>
      <c r="B33" s="256" t="s">
        <v>31</v>
      </c>
      <c r="C33" s="34">
        <v>90</v>
      </c>
      <c r="D33" s="35">
        <v>80</v>
      </c>
      <c r="E33" s="35">
        <v>8</v>
      </c>
      <c r="F33" s="19">
        <f t="shared" si="5"/>
        <v>5.7599999999999998E-2</v>
      </c>
      <c r="G33" s="23">
        <f>'OCAK 3.HAFTA '!W33</f>
        <v>0</v>
      </c>
      <c r="H33" s="26">
        <f t="shared" si="6"/>
        <v>0</v>
      </c>
      <c r="I33" s="21">
        <v>0</v>
      </c>
      <c r="J33" s="205">
        <f t="shared" si="0"/>
        <v>0</v>
      </c>
      <c r="K33" s="21">
        <v>0</v>
      </c>
      <c r="L33" s="10">
        <f t="shared" si="1"/>
        <v>0</v>
      </c>
      <c r="M33" s="21">
        <v>0</v>
      </c>
      <c r="N33" s="205">
        <f t="shared" si="2"/>
        <v>0</v>
      </c>
      <c r="O33" s="21">
        <v>0</v>
      </c>
      <c r="P33" s="10">
        <f t="shared" si="7"/>
        <v>0</v>
      </c>
      <c r="Q33" s="21">
        <v>0</v>
      </c>
      <c r="R33" s="205">
        <f t="shared" si="3"/>
        <v>0</v>
      </c>
      <c r="S33" s="39">
        <f t="shared" si="11"/>
        <v>0</v>
      </c>
      <c r="T33" s="38">
        <f t="shared" si="4"/>
        <v>0</v>
      </c>
      <c r="U33" s="21">
        <v>0</v>
      </c>
      <c r="V33" s="13">
        <f t="shared" si="8"/>
        <v>0</v>
      </c>
      <c r="W33" s="49">
        <f t="shared" si="9"/>
        <v>0</v>
      </c>
      <c r="X33" s="50">
        <f t="shared" si="10"/>
        <v>0</v>
      </c>
      <c r="Y33" s="238">
        <v>0</v>
      </c>
      <c r="Z33" s="101">
        <v>0</v>
      </c>
    </row>
    <row r="34" spans="1:26" x14ac:dyDescent="0.25">
      <c r="A34" s="264">
        <v>30</v>
      </c>
      <c r="B34" s="256" t="s">
        <v>32</v>
      </c>
      <c r="C34" s="34"/>
      <c r="D34" s="35"/>
      <c r="E34" s="35"/>
      <c r="F34" s="19">
        <f t="shared" si="5"/>
        <v>0</v>
      </c>
      <c r="G34" s="23">
        <f>'OCAK 3.HAFTA '!W34</f>
        <v>300</v>
      </c>
      <c r="H34" s="26">
        <f t="shared" si="6"/>
        <v>0</v>
      </c>
      <c r="I34" s="21">
        <v>0</v>
      </c>
      <c r="J34" s="205">
        <f t="shared" si="0"/>
        <v>0</v>
      </c>
      <c r="K34" s="21">
        <v>0</v>
      </c>
      <c r="L34" s="10">
        <f t="shared" si="1"/>
        <v>0</v>
      </c>
      <c r="M34" s="21">
        <v>0</v>
      </c>
      <c r="N34" s="205">
        <f t="shared" si="2"/>
        <v>0</v>
      </c>
      <c r="O34" s="21">
        <v>0</v>
      </c>
      <c r="P34" s="10">
        <f t="shared" si="7"/>
        <v>0</v>
      </c>
      <c r="Q34" s="21">
        <v>0</v>
      </c>
      <c r="R34" s="205">
        <f t="shared" si="3"/>
        <v>0</v>
      </c>
      <c r="S34" s="39">
        <f t="shared" si="11"/>
        <v>300</v>
      </c>
      <c r="T34" s="38">
        <f t="shared" si="4"/>
        <v>0</v>
      </c>
      <c r="U34" s="21">
        <v>0</v>
      </c>
      <c r="V34" s="13">
        <f t="shared" si="8"/>
        <v>0</v>
      </c>
      <c r="W34" s="49">
        <f t="shared" si="9"/>
        <v>300</v>
      </c>
      <c r="X34" s="50">
        <f t="shared" si="10"/>
        <v>0</v>
      </c>
      <c r="Y34" s="238">
        <v>0</v>
      </c>
      <c r="Z34" s="101">
        <v>0</v>
      </c>
    </row>
    <row r="35" spans="1:26" x14ac:dyDescent="0.25">
      <c r="A35" s="264">
        <v>31</v>
      </c>
      <c r="B35" s="256" t="s">
        <v>33</v>
      </c>
      <c r="C35" s="34">
        <v>80</v>
      </c>
      <c r="D35" s="35">
        <v>66</v>
      </c>
      <c r="E35" s="35">
        <v>5</v>
      </c>
      <c r="F35" s="19">
        <f t="shared" si="5"/>
        <v>2.64E-2</v>
      </c>
      <c r="G35" s="23">
        <f>'OCAK 3.HAFTA '!W35</f>
        <v>56</v>
      </c>
      <c r="H35" s="26">
        <f t="shared" si="6"/>
        <v>1.4783999999999999</v>
      </c>
      <c r="I35" s="21">
        <v>0</v>
      </c>
      <c r="J35" s="205">
        <f t="shared" si="0"/>
        <v>0</v>
      </c>
      <c r="K35" s="21">
        <v>0</v>
      </c>
      <c r="L35" s="10">
        <f t="shared" si="1"/>
        <v>0</v>
      </c>
      <c r="M35" s="21">
        <v>0</v>
      </c>
      <c r="N35" s="205">
        <f t="shared" si="2"/>
        <v>0</v>
      </c>
      <c r="O35" s="21">
        <v>0</v>
      </c>
      <c r="P35" s="10">
        <f t="shared" si="7"/>
        <v>0</v>
      </c>
      <c r="Q35" s="21">
        <v>0</v>
      </c>
      <c r="R35" s="205">
        <f t="shared" si="3"/>
        <v>0</v>
      </c>
      <c r="S35" s="39">
        <f t="shared" si="11"/>
        <v>56</v>
      </c>
      <c r="T35" s="38">
        <f t="shared" si="4"/>
        <v>1.4783999999999999</v>
      </c>
      <c r="U35" s="21">
        <v>0</v>
      </c>
      <c r="V35" s="13">
        <f t="shared" si="8"/>
        <v>0</v>
      </c>
      <c r="W35" s="49">
        <f t="shared" si="9"/>
        <v>56</v>
      </c>
      <c r="X35" s="50">
        <f t="shared" si="10"/>
        <v>1.4783999999999999</v>
      </c>
      <c r="Y35" s="238">
        <v>0</v>
      </c>
      <c r="Z35" s="101">
        <v>0</v>
      </c>
    </row>
    <row r="36" spans="1:26" x14ac:dyDescent="0.25">
      <c r="A36" s="264">
        <v>32</v>
      </c>
      <c r="B36" s="256" t="s">
        <v>110</v>
      </c>
      <c r="C36" s="34">
        <v>60</v>
      </c>
      <c r="D36" s="35">
        <v>62</v>
      </c>
      <c r="E36" s="35">
        <v>5</v>
      </c>
      <c r="F36" s="19">
        <f t="shared" si="5"/>
        <v>1.8599999999999998E-2</v>
      </c>
      <c r="G36" s="23">
        <f>'OCAK 3.HAFTA '!W36</f>
        <v>0</v>
      </c>
      <c r="H36" s="26">
        <f t="shared" si="6"/>
        <v>0</v>
      </c>
      <c r="I36" s="21">
        <v>0</v>
      </c>
      <c r="J36" s="205">
        <f t="shared" si="0"/>
        <v>0</v>
      </c>
      <c r="K36" s="21">
        <v>0</v>
      </c>
      <c r="L36" s="10">
        <f t="shared" si="1"/>
        <v>0</v>
      </c>
      <c r="M36" s="21">
        <v>0</v>
      </c>
      <c r="N36" s="205">
        <f t="shared" si="2"/>
        <v>0</v>
      </c>
      <c r="O36" s="21">
        <v>0</v>
      </c>
      <c r="P36" s="10">
        <f t="shared" si="7"/>
        <v>0</v>
      </c>
      <c r="Q36" s="21">
        <v>0</v>
      </c>
      <c r="R36" s="205">
        <f t="shared" si="3"/>
        <v>0</v>
      </c>
      <c r="S36" s="39">
        <f t="shared" si="11"/>
        <v>0</v>
      </c>
      <c r="T36" s="38">
        <f t="shared" si="4"/>
        <v>0</v>
      </c>
      <c r="U36" s="21">
        <v>0</v>
      </c>
      <c r="V36" s="13">
        <f t="shared" si="8"/>
        <v>0</v>
      </c>
      <c r="W36" s="49">
        <f t="shared" si="9"/>
        <v>0</v>
      </c>
      <c r="X36" s="50">
        <f t="shared" si="10"/>
        <v>0</v>
      </c>
      <c r="Y36" s="238">
        <v>0</v>
      </c>
      <c r="Z36" s="101">
        <v>0</v>
      </c>
    </row>
    <row r="37" spans="1:26" x14ac:dyDescent="0.25">
      <c r="A37" s="264">
        <v>33</v>
      </c>
      <c r="B37" s="256" t="s">
        <v>41</v>
      </c>
      <c r="C37" s="34">
        <v>60</v>
      </c>
      <c r="D37" s="35">
        <v>67</v>
      </c>
      <c r="E37" s="35">
        <v>3</v>
      </c>
      <c r="F37" s="19">
        <f t="shared" si="5"/>
        <v>1.206E-2</v>
      </c>
      <c r="G37" s="23">
        <f>'OCAK 3.HAFTA '!W37</f>
        <v>12</v>
      </c>
      <c r="H37" s="26">
        <f t="shared" si="6"/>
        <v>0.14471999999999999</v>
      </c>
      <c r="I37" s="21">
        <v>0</v>
      </c>
      <c r="J37" s="205">
        <f t="shared" si="0"/>
        <v>0</v>
      </c>
      <c r="K37" s="21">
        <v>0</v>
      </c>
      <c r="L37" s="10">
        <f t="shared" si="1"/>
        <v>0</v>
      </c>
      <c r="M37" s="21">
        <v>0</v>
      </c>
      <c r="N37" s="205">
        <f t="shared" si="2"/>
        <v>0</v>
      </c>
      <c r="O37" s="21">
        <v>0</v>
      </c>
      <c r="P37" s="10">
        <f t="shared" si="7"/>
        <v>0</v>
      </c>
      <c r="Q37" s="21">
        <v>0</v>
      </c>
      <c r="R37" s="205">
        <f t="shared" si="3"/>
        <v>0</v>
      </c>
      <c r="S37" s="39">
        <f t="shared" si="11"/>
        <v>12</v>
      </c>
      <c r="T37" s="38">
        <f t="shared" si="4"/>
        <v>0.14471999999999999</v>
      </c>
      <c r="U37" s="21">
        <v>0</v>
      </c>
      <c r="V37" s="13">
        <f t="shared" si="8"/>
        <v>0</v>
      </c>
      <c r="W37" s="49">
        <f t="shared" si="9"/>
        <v>12</v>
      </c>
      <c r="X37" s="50">
        <f t="shared" si="10"/>
        <v>0.14471999999999999</v>
      </c>
      <c r="Y37" s="238">
        <v>0</v>
      </c>
      <c r="Z37" s="101">
        <v>0</v>
      </c>
    </row>
    <row r="38" spans="1:26" x14ac:dyDescent="0.25">
      <c r="A38" s="264">
        <v>34</v>
      </c>
      <c r="B38" s="256" t="s">
        <v>126</v>
      </c>
      <c r="C38" s="34">
        <v>75</v>
      </c>
      <c r="D38" s="35">
        <v>55</v>
      </c>
      <c r="E38" s="35">
        <v>3</v>
      </c>
      <c r="F38" s="19">
        <f t="shared" si="5"/>
        <v>1.2375000000000001E-2</v>
      </c>
      <c r="G38" s="23">
        <f>'OCAK 3.HAFTA '!W38</f>
        <v>38</v>
      </c>
      <c r="H38" s="26">
        <f t="shared" si="6"/>
        <v>0.47025</v>
      </c>
      <c r="I38" s="21">
        <v>0</v>
      </c>
      <c r="J38" s="205">
        <f t="shared" si="0"/>
        <v>0</v>
      </c>
      <c r="K38" s="21">
        <v>0</v>
      </c>
      <c r="L38" s="10">
        <f t="shared" si="1"/>
        <v>0</v>
      </c>
      <c r="M38" s="21">
        <v>0</v>
      </c>
      <c r="N38" s="205">
        <f t="shared" si="2"/>
        <v>0</v>
      </c>
      <c r="O38" s="21">
        <v>0</v>
      </c>
      <c r="P38" s="10">
        <f t="shared" si="7"/>
        <v>0</v>
      </c>
      <c r="Q38" s="21">
        <v>0</v>
      </c>
      <c r="R38" s="205">
        <f t="shared" si="3"/>
        <v>0</v>
      </c>
      <c r="S38" s="39">
        <f t="shared" si="11"/>
        <v>38</v>
      </c>
      <c r="T38" s="38">
        <f t="shared" si="4"/>
        <v>0.47025</v>
      </c>
      <c r="U38" s="21">
        <v>0</v>
      </c>
      <c r="V38" s="13">
        <f t="shared" si="8"/>
        <v>0</v>
      </c>
      <c r="W38" s="49">
        <f t="shared" si="9"/>
        <v>38</v>
      </c>
      <c r="X38" s="50">
        <f t="shared" si="10"/>
        <v>0.47025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127</v>
      </c>
      <c r="C39" s="34">
        <v>84</v>
      </c>
      <c r="D39" s="35">
        <v>55</v>
      </c>
      <c r="E39" s="35">
        <v>3</v>
      </c>
      <c r="F39" s="19">
        <f t="shared" si="5"/>
        <v>1.3860000000000001E-2</v>
      </c>
      <c r="G39" s="23">
        <f>'OCAK 3.HAFTA '!W39</f>
        <v>82</v>
      </c>
      <c r="H39" s="26">
        <f t="shared" si="6"/>
        <v>1.13652</v>
      </c>
      <c r="I39" s="21">
        <v>0</v>
      </c>
      <c r="J39" s="205">
        <f t="shared" si="0"/>
        <v>0</v>
      </c>
      <c r="K39" s="21">
        <v>0</v>
      </c>
      <c r="L39" s="10">
        <f t="shared" si="1"/>
        <v>0</v>
      </c>
      <c r="M39" s="21">
        <v>0</v>
      </c>
      <c r="N39" s="205">
        <f t="shared" si="2"/>
        <v>0</v>
      </c>
      <c r="O39" s="21">
        <v>0</v>
      </c>
      <c r="P39" s="10">
        <f t="shared" si="7"/>
        <v>0</v>
      </c>
      <c r="Q39" s="21">
        <v>0</v>
      </c>
      <c r="R39" s="205">
        <f t="shared" si="3"/>
        <v>0</v>
      </c>
      <c r="S39" s="39">
        <f t="shared" si="11"/>
        <v>82</v>
      </c>
      <c r="T39" s="38">
        <f t="shared" si="4"/>
        <v>1.13652</v>
      </c>
      <c r="U39" s="21">
        <v>0</v>
      </c>
      <c r="V39" s="13">
        <f t="shared" si="8"/>
        <v>0</v>
      </c>
      <c r="W39" s="49">
        <f t="shared" si="9"/>
        <v>82</v>
      </c>
      <c r="X39" s="50">
        <f t="shared" si="10"/>
        <v>1.13652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128</v>
      </c>
      <c r="C40" s="34">
        <v>105</v>
      </c>
      <c r="D40" s="35">
        <v>65</v>
      </c>
      <c r="E40" s="35">
        <v>3</v>
      </c>
      <c r="F40" s="19">
        <f t="shared" si="5"/>
        <v>2.0475E-2</v>
      </c>
      <c r="G40" s="23">
        <f>'OCAK 3.HAFTA '!W40</f>
        <v>66</v>
      </c>
      <c r="H40" s="26">
        <f t="shared" si="6"/>
        <v>1.3513500000000001</v>
      </c>
      <c r="I40" s="21">
        <v>0</v>
      </c>
      <c r="J40" s="205">
        <f t="shared" si="0"/>
        <v>0</v>
      </c>
      <c r="K40" s="21">
        <v>0</v>
      </c>
      <c r="L40" s="10">
        <f t="shared" si="1"/>
        <v>0</v>
      </c>
      <c r="M40" s="21">
        <v>0</v>
      </c>
      <c r="N40" s="205">
        <f t="shared" si="2"/>
        <v>0</v>
      </c>
      <c r="O40" s="21">
        <v>22</v>
      </c>
      <c r="P40" s="10">
        <f t="shared" si="7"/>
        <v>0.45045000000000002</v>
      </c>
      <c r="Q40" s="21">
        <v>22</v>
      </c>
      <c r="R40" s="205">
        <f t="shared" si="3"/>
        <v>0.45045000000000002</v>
      </c>
      <c r="S40" s="39">
        <f t="shared" si="11"/>
        <v>22</v>
      </c>
      <c r="T40" s="38">
        <f t="shared" si="4"/>
        <v>0.45045000000000002</v>
      </c>
      <c r="U40" s="21">
        <v>0</v>
      </c>
      <c r="V40" s="13">
        <f t="shared" si="8"/>
        <v>0</v>
      </c>
      <c r="W40" s="49">
        <f t="shared" si="9"/>
        <v>22</v>
      </c>
      <c r="X40" s="50">
        <f t="shared" si="10"/>
        <v>0.45045000000000002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38</v>
      </c>
      <c r="C41" s="34">
        <v>63</v>
      </c>
      <c r="D41" s="35">
        <v>55</v>
      </c>
      <c r="E41" s="35">
        <v>5</v>
      </c>
      <c r="F41" s="19">
        <f t="shared" si="5"/>
        <v>1.7325E-2</v>
      </c>
      <c r="G41" s="23">
        <f>'OCAK 3.HAFTA '!W41</f>
        <v>10</v>
      </c>
      <c r="H41" s="26">
        <f t="shared" si="6"/>
        <v>0.17325000000000002</v>
      </c>
      <c r="I41" s="21">
        <v>0</v>
      </c>
      <c r="J41" s="205">
        <f t="shared" si="0"/>
        <v>0</v>
      </c>
      <c r="K41" s="21">
        <v>0</v>
      </c>
      <c r="L41" s="10">
        <f t="shared" si="1"/>
        <v>0</v>
      </c>
      <c r="M41" s="21">
        <v>0</v>
      </c>
      <c r="N41" s="205">
        <f t="shared" si="2"/>
        <v>0</v>
      </c>
      <c r="O41" s="21">
        <v>0</v>
      </c>
      <c r="P41" s="10">
        <f t="shared" si="7"/>
        <v>0</v>
      </c>
      <c r="Q41" s="21">
        <v>0</v>
      </c>
      <c r="R41" s="205">
        <f t="shared" si="3"/>
        <v>0</v>
      </c>
      <c r="S41" s="39">
        <f t="shared" si="11"/>
        <v>10</v>
      </c>
      <c r="T41" s="38">
        <f t="shared" si="4"/>
        <v>0.17325000000000002</v>
      </c>
      <c r="U41" s="21">
        <v>0</v>
      </c>
      <c r="V41" s="13">
        <f t="shared" si="8"/>
        <v>0</v>
      </c>
      <c r="W41" s="49">
        <f t="shared" si="9"/>
        <v>10</v>
      </c>
      <c r="X41" s="50">
        <f t="shared" si="10"/>
        <v>0.17325000000000002</v>
      </c>
      <c r="Y41" s="238">
        <v>0</v>
      </c>
      <c r="Z41" s="101">
        <v>0</v>
      </c>
    </row>
    <row r="42" spans="1:26" x14ac:dyDescent="0.25">
      <c r="A42" s="264">
        <v>38</v>
      </c>
      <c r="B42" s="256" t="s">
        <v>120</v>
      </c>
      <c r="C42" s="34">
        <v>52</v>
      </c>
      <c r="D42" s="35">
        <v>52</v>
      </c>
      <c r="E42" s="35">
        <v>5</v>
      </c>
      <c r="F42" s="19">
        <f t="shared" si="5"/>
        <v>1.3520000000000001E-2</v>
      </c>
      <c r="G42" s="23">
        <f>'OCAK 3.HAFTA '!W42</f>
        <v>45</v>
      </c>
      <c r="H42" s="26">
        <f t="shared" si="6"/>
        <v>0.60840000000000005</v>
      </c>
      <c r="I42" s="21">
        <v>0</v>
      </c>
      <c r="J42" s="205">
        <f t="shared" si="0"/>
        <v>0</v>
      </c>
      <c r="K42" s="21">
        <v>0</v>
      </c>
      <c r="L42" s="10">
        <f t="shared" si="1"/>
        <v>0</v>
      </c>
      <c r="M42" s="21">
        <v>0</v>
      </c>
      <c r="N42" s="205">
        <f t="shared" si="2"/>
        <v>0</v>
      </c>
      <c r="O42" s="21">
        <v>0</v>
      </c>
      <c r="P42" s="10">
        <f t="shared" si="7"/>
        <v>0</v>
      </c>
      <c r="Q42" s="21">
        <v>0</v>
      </c>
      <c r="R42" s="205">
        <f t="shared" si="3"/>
        <v>0</v>
      </c>
      <c r="S42" s="39">
        <f t="shared" si="11"/>
        <v>45</v>
      </c>
      <c r="T42" s="38">
        <f t="shared" si="4"/>
        <v>0.60840000000000005</v>
      </c>
      <c r="U42" s="21">
        <v>0</v>
      </c>
      <c r="V42" s="13">
        <f t="shared" si="8"/>
        <v>0</v>
      </c>
      <c r="W42" s="49">
        <f t="shared" si="9"/>
        <v>45</v>
      </c>
      <c r="X42" s="50">
        <f t="shared" si="10"/>
        <v>0.60840000000000005</v>
      </c>
      <c r="Y42" s="238">
        <v>0</v>
      </c>
      <c r="Z42" s="101">
        <v>0</v>
      </c>
    </row>
    <row r="43" spans="1:26" x14ac:dyDescent="0.25">
      <c r="A43" s="264">
        <v>39</v>
      </c>
      <c r="B43" s="256" t="s">
        <v>40</v>
      </c>
      <c r="C43" s="34">
        <v>80</v>
      </c>
      <c r="D43" s="35">
        <v>70</v>
      </c>
      <c r="E43" s="35">
        <v>8</v>
      </c>
      <c r="F43" s="19">
        <f t="shared" si="5"/>
        <v>4.48E-2</v>
      </c>
      <c r="G43" s="23">
        <f>'OCAK 3.HAFTA '!W43</f>
        <v>429</v>
      </c>
      <c r="H43" s="26">
        <f t="shared" si="6"/>
        <v>19.219200000000001</v>
      </c>
      <c r="I43" s="21">
        <v>38</v>
      </c>
      <c r="J43" s="205">
        <f t="shared" si="0"/>
        <v>1.7023999999999999</v>
      </c>
      <c r="K43" s="21">
        <v>3</v>
      </c>
      <c r="L43" s="10">
        <f t="shared" si="1"/>
        <v>0.13439999999999999</v>
      </c>
      <c r="M43" s="21">
        <v>0</v>
      </c>
      <c r="N43" s="205">
        <f t="shared" si="2"/>
        <v>0</v>
      </c>
      <c r="O43" s="21">
        <v>2</v>
      </c>
      <c r="P43" s="10">
        <f t="shared" si="7"/>
        <v>8.9599999999999999E-2</v>
      </c>
      <c r="Q43" s="21">
        <v>0</v>
      </c>
      <c r="R43" s="205">
        <f t="shared" si="3"/>
        <v>0</v>
      </c>
      <c r="S43" s="39">
        <f t="shared" si="11"/>
        <v>386</v>
      </c>
      <c r="T43" s="38">
        <f t="shared" si="4"/>
        <v>17.2928</v>
      </c>
      <c r="U43" s="21">
        <v>0</v>
      </c>
      <c r="V43" s="13">
        <f t="shared" si="8"/>
        <v>0</v>
      </c>
      <c r="W43" s="49">
        <f t="shared" si="9"/>
        <v>386</v>
      </c>
      <c r="X43" s="50">
        <f t="shared" si="10"/>
        <v>17.2928</v>
      </c>
      <c r="Y43" s="238">
        <v>50</v>
      </c>
      <c r="Z43" s="101">
        <v>200</v>
      </c>
    </row>
    <row r="44" spans="1:26" x14ac:dyDescent="0.25">
      <c r="A44" s="264">
        <v>40</v>
      </c>
      <c r="B44" s="256" t="s">
        <v>42</v>
      </c>
      <c r="C44" s="34">
        <v>70</v>
      </c>
      <c r="D44" s="35">
        <v>64</v>
      </c>
      <c r="E44" s="35">
        <v>8</v>
      </c>
      <c r="F44" s="19">
        <f t="shared" si="5"/>
        <v>3.5839999999999997E-2</v>
      </c>
      <c r="G44" s="23">
        <f>'OCAK 3.HAFTA '!W44</f>
        <v>537</v>
      </c>
      <c r="H44" s="26">
        <f t="shared" si="6"/>
        <v>19.246079999999999</v>
      </c>
      <c r="I44" s="21">
        <v>30</v>
      </c>
      <c r="J44" s="205">
        <f t="shared" si="0"/>
        <v>1.0751999999999999</v>
      </c>
      <c r="K44" s="21">
        <v>0</v>
      </c>
      <c r="L44" s="10">
        <f t="shared" si="1"/>
        <v>0</v>
      </c>
      <c r="M44" s="21">
        <v>0</v>
      </c>
      <c r="N44" s="205">
        <f t="shared" si="2"/>
        <v>0</v>
      </c>
      <c r="O44" s="21">
        <v>0</v>
      </c>
      <c r="P44" s="10">
        <f t="shared" si="7"/>
        <v>0</v>
      </c>
      <c r="Q44" s="21">
        <v>0</v>
      </c>
      <c r="R44" s="205">
        <f t="shared" si="3"/>
        <v>0</v>
      </c>
      <c r="S44" s="39">
        <f t="shared" si="11"/>
        <v>507</v>
      </c>
      <c r="T44" s="38">
        <f t="shared" si="4"/>
        <v>18.170879999999997</v>
      </c>
      <c r="U44" s="21">
        <v>0</v>
      </c>
      <c r="V44" s="13">
        <f t="shared" si="8"/>
        <v>0</v>
      </c>
      <c r="W44" s="49">
        <f t="shared" si="9"/>
        <v>507</v>
      </c>
      <c r="X44" s="50">
        <f t="shared" si="10"/>
        <v>18.170879999999997</v>
      </c>
      <c r="Y44" s="238">
        <v>50</v>
      </c>
      <c r="Z44" s="101">
        <v>200</v>
      </c>
    </row>
    <row r="45" spans="1:26" x14ac:dyDescent="0.25">
      <c r="A45" s="264">
        <v>41</v>
      </c>
      <c r="B45" s="256" t="s">
        <v>43</v>
      </c>
      <c r="C45" s="34">
        <v>75</v>
      </c>
      <c r="D45" s="35">
        <v>70</v>
      </c>
      <c r="E45" s="35">
        <v>8</v>
      </c>
      <c r="F45" s="19">
        <f t="shared" si="5"/>
        <v>4.2000000000000003E-2</v>
      </c>
      <c r="G45" s="23">
        <f>'OCAK 3.HAFTA '!W45</f>
        <v>218</v>
      </c>
      <c r="H45" s="26">
        <f t="shared" si="6"/>
        <v>9.1560000000000006</v>
      </c>
      <c r="I45" s="21">
        <v>60</v>
      </c>
      <c r="J45" s="205">
        <f t="shared" si="0"/>
        <v>2.52</v>
      </c>
      <c r="K45" s="21">
        <v>0</v>
      </c>
      <c r="L45" s="10">
        <f t="shared" si="1"/>
        <v>0</v>
      </c>
      <c r="M45" s="21">
        <v>0</v>
      </c>
      <c r="N45" s="205">
        <f t="shared" si="2"/>
        <v>0</v>
      </c>
      <c r="O45" s="21">
        <v>0</v>
      </c>
      <c r="P45" s="10">
        <f t="shared" si="7"/>
        <v>0</v>
      </c>
      <c r="Q45" s="21">
        <v>0</v>
      </c>
      <c r="R45" s="205">
        <f t="shared" si="3"/>
        <v>0</v>
      </c>
      <c r="S45" s="39">
        <f t="shared" si="11"/>
        <v>158</v>
      </c>
      <c r="T45" s="38">
        <f t="shared" si="4"/>
        <v>6.6360000000000001</v>
      </c>
      <c r="U45" s="21">
        <v>0</v>
      </c>
      <c r="V45" s="13">
        <f t="shared" si="8"/>
        <v>0</v>
      </c>
      <c r="W45" s="49">
        <f t="shared" si="9"/>
        <v>158</v>
      </c>
      <c r="X45" s="50">
        <f t="shared" si="10"/>
        <v>6.6360000000000001</v>
      </c>
      <c r="Y45" s="238">
        <v>50</v>
      </c>
      <c r="Z45" s="101">
        <v>200</v>
      </c>
    </row>
    <row r="46" spans="1:26" x14ac:dyDescent="0.25">
      <c r="A46" s="264">
        <v>42</v>
      </c>
      <c r="B46" s="256" t="s">
        <v>119</v>
      </c>
      <c r="C46" s="34">
        <v>143</v>
      </c>
      <c r="D46" s="35">
        <v>66</v>
      </c>
      <c r="E46" s="35">
        <v>5</v>
      </c>
      <c r="F46" s="19">
        <f t="shared" si="5"/>
        <v>4.7190000000000003E-2</v>
      </c>
      <c r="G46" s="23">
        <f>'OCAK 3.HAFTA '!W46</f>
        <v>228</v>
      </c>
      <c r="H46" s="26">
        <f t="shared" si="6"/>
        <v>10.759320000000001</v>
      </c>
      <c r="I46" s="21">
        <v>12</v>
      </c>
      <c r="J46" s="205">
        <f t="shared" si="0"/>
        <v>0.56628000000000001</v>
      </c>
      <c r="K46" s="21">
        <v>0</v>
      </c>
      <c r="L46" s="10">
        <f t="shared" si="1"/>
        <v>0</v>
      </c>
      <c r="M46" s="21">
        <v>0</v>
      </c>
      <c r="N46" s="205">
        <f t="shared" si="2"/>
        <v>0</v>
      </c>
      <c r="O46" s="21">
        <v>0</v>
      </c>
      <c r="P46" s="10">
        <f t="shared" si="7"/>
        <v>0</v>
      </c>
      <c r="Q46" s="21">
        <v>0</v>
      </c>
      <c r="R46" s="205">
        <f t="shared" si="3"/>
        <v>0</v>
      </c>
      <c r="S46" s="39">
        <f t="shared" si="11"/>
        <v>216</v>
      </c>
      <c r="T46" s="38">
        <f t="shared" si="4"/>
        <v>10.19304</v>
      </c>
      <c r="U46" s="21">
        <v>0</v>
      </c>
      <c r="V46" s="13">
        <f t="shared" si="8"/>
        <v>0</v>
      </c>
      <c r="W46" s="49">
        <f t="shared" si="9"/>
        <v>216</v>
      </c>
      <c r="X46" s="50">
        <f t="shared" si="10"/>
        <v>10.19304</v>
      </c>
      <c r="Y46" s="238">
        <v>50</v>
      </c>
      <c r="Z46" s="101">
        <v>100</v>
      </c>
    </row>
    <row r="47" spans="1:26" x14ac:dyDescent="0.25">
      <c r="A47" s="264">
        <v>43</v>
      </c>
      <c r="B47" s="256" t="s">
        <v>45</v>
      </c>
      <c r="C47" s="34">
        <v>80</v>
      </c>
      <c r="D47" s="35">
        <v>63</v>
      </c>
      <c r="E47" s="35">
        <v>5</v>
      </c>
      <c r="F47" s="19">
        <f t="shared" si="5"/>
        <v>2.52E-2</v>
      </c>
      <c r="G47" s="23">
        <f>'OCAK 3.HAFTA '!W47</f>
        <v>315</v>
      </c>
      <c r="H47" s="26">
        <f t="shared" si="6"/>
        <v>7.9379999999999997</v>
      </c>
      <c r="I47" s="21">
        <v>0</v>
      </c>
      <c r="J47" s="205">
        <f t="shared" si="0"/>
        <v>0</v>
      </c>
      <c r="K47" s="21">
        <v>0</v>
      </c>
      <c r="L47" s="10">
        <f t="shared" si="1"/>
        <v>0</v>
      </c>
      <c r="M47" s="21">
        <v>0</v>
      </c>
      <c r="N47" s="205">
        <f t="shared" si="2"/>
        <v>0</v>
      </c>
      <c r="O47" s="21">
        <v>0</v>
      </c>
      <c r="P47" s="10">
        <f t="shared" si="7"/>
        <v>0</v>
      </c>
      <c r="Q47" s="21">
        <v>0</v>
      </c>
      <c r="R47" s="205">
        <f t="shared" si="3"/>
        <v>0</v>
      </c>
      <c r="S47" s="39">
        <f t="shared" si="11"/>
        <v>315</v>
      </c>
      <c r="T47" s="38">
        <f t="shared" si="4"/>
        <v>7.9379999999999997</v>
      </c>
      <c r="U47" s="21">
        <v>0</v>
      </c>
      <c r="V47" s="13">
        <f t="shared" si="8"/>
        <v>0</v>
      </c>
      <c r="W47" s="49">
        <f t="shared" si="9"/>
        <v>315</v>
      </c>
      <c r="X47" s="50">
        <f t="shared" si="10"/>
        <v>7.9379999999999997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46</v>
      </c>
      <c r="C48" s="34">
        <v>77</v>
      </c>
      <c r="D48" s="35">
        <v>68</v>
      </c>
      <c r="E48" s="35">
        <v>8</v>
      </c>
      <c r="F48" s="19">
        <f t="shared" si="5"/>
        <v>4.1888000000000002E-2</v>
      </c>
      <c r="G48" s="23">
        <f>'OCAK 3.HAFTA '!W48</f>
        <v>139</v>
      </c>
      <c r="H48" s="26">
        <f t="shared" si="6"/>
        <v>5.8224320000000001</v>
      </c>
      <c r="I48" s="21">
        <v>30</v>
      </c>
      <c r="J48" s="205">
        <f t="shared" si="0"/>
        <v>1.25664</v>
      </c>
      <c r="K48" s="21">
        <v>0</v>
      </c>
      <c r="L48" s="10">
        <f t="shared" si="1"/>
        <v>0</v>
      </c>
      <c r="M48" s="21">
        <v>0</v>
      </c>
      <c r="N48" s="205">
        <f t="shared" si="2"/>
        <v>0</v>
      </c>
      <c r="O48" s="21">
        <v>0</v>
      </c>
      <c r="P48" s="10">
        <f t="shared" si="7"/>
        <v>0</v>
      </c>
      <c r="Q48" s="21">
        <v>0</v>
      </c>
      <c r="R48" s="205">
        <f t="shared" si="3"/>
        <v>0</v>
      </c>
      <c r="S48" s="39">
        <f t="shared" si="11"/>
        <v>109</v>
      </c>
      <c r="T48" s="38">
        <f t="shared" si="4"/>
        <v>4.5657920000000001</v>
      </c>
      <c r="U48" s="21">
        <v>0</v>
      </c>
      <c r="V48" s="13">
        <f t="shared" si="8"/>
        <v>0</v>
      </c>
      <c r="W48" s="49">
        <f t="shared" si="9"/>
        <v>109</v>
      </c>
      <c r="X48" s="50">
        <f t="shared" si="10"/>
        <v>4.5657920000000001</v>
      </c>
      <c r="Y48" s="238">
        <v>50</v>
      </c>
      <c r="Z48" s="101">
        <v>200</v>
      </c>
    </row>
    <row r="49" spans="1:26" x14ac:dyDescent="0.25">
      <c r="A49" s="264">
        <v>45</v>
      </c>
      <c r="B49" s="256" t="s">
        <v>47</v>
      </c>
      <c r="C49" s="34">
        <v>79</v>
      </c>
      <c r="D49" s="35">
        <v>79</v>
      </c>
      <c r="E49" s="35">
        <v>2</v>
      </c>
      <c r="F49" s="19">
        <f t="shared" si="5"/>
        <v>1.2482E-2</v>
      </c>
      <c r="G49" s="23">
        <f>'OCAK 3.HAFTA '!W49</f>
        <v>244</v>
      </c>
      <c r="H49" s="26">
        <f t="shared" si="6"/>
        <v>3.0456080000000001</v>
      </c>
      <c r="I49" s="21">
        <v>0</v>
      </c>
      <c r="J49" s="205">
        <f t="shared" si="0"/>
        <v>0</v>
      </c>
      <c r="K49" s="21">
        <v>0</v>
      </c>
      <c r="L49" s="10">
        <f t="shared" si="1"/>
        <v>0</v>
      </c>
      <c r="M49" s="21">
        <v>0</v>
      </c>
      <c r="N49" s="205">
        <f t="shared" si="2"/>
        <v>0</v>
      </c>
      <c r="O49" s="21">
        <v>2</v>
      </c>
      <c r="P49" s="10">
        <f t="shared" si="7"/>
        <v>2.4964E-2</v>
      </c>
      <c r="Q49" s="21">
        <v>0</v>
      </c>
      <c r="R49" s="205">
        <f t="shared" si="3"/>
        <v>0</v>
      </c>
      <c r="S49" s="39">
        <f t="shared" si="11"/>
        <v>242</v>
      </c>
      <c r="T49" s="38">
        <f t="shared" si="4"/>
        <v>3.0206439999999999</v>
      </c>
      <c r="U49" s="21">
        <v>0</v>
      </c>
      <c r="V49" s="13">
        <f t="shared" si="8"/>
        <v>0</v>
      </c>
      <c r="W49" s="49">
        <f t="shared" si="9"/>
        <v>242</v>
      </c>
      <c r="X49" s="50">
        <f t="shared" si="10"/>
        <v>3.0206439999999999</v>
      </c>
      <c r="Y49" s="238">
        <v>100</v>
      </c>
      <c r="Z49" s="101">
        <v>300</v>
      </c>
    </row>
    <row r="50" spans="1:26" x14ac:dyDescent="0.25">
      <c r="A50" s="264">
        <v>46</v>
      </c>
      <c r="B50" s="256" t="s">
        <v>48</v>
      </c>
      <c r="C50" s="34">
        <v>61</v>
      </c>
      <c r="D50" s="35">
        <v>56</v>
      </c>
      <c r="E50" s="35">
        <v>10</v>
      </c>
      <c r="F50" s="19">
        <f t="shared" si="5"/>
        <v>3.4160000000000003E-2</v>
      </c>
      <c r="G50" s="23">
        <f>'OCAK 3.HAFTA '!W50</f>
        <v>75</v>
      </c>
      <c r="H50" s="26">
        <f t="shared" si="6"/>
        <v>2.5620000000000003</v>
      </c>
      <c r="I50" s="21">
        <v>0</v>
      </c>
      <c r="J50" s="205">
        <f t="shared" si="0"/>
        <v>0</v>
      </c>
      <c r="K50" s="21">
        <v>0</v>
      </c>
      <c r="L50" s="10">
        <f t="shared" si="1"/>
        <v>0</v>
      </c>
      <c r="M50" s="21">
        <v>0</v>
      </c>
      <c r="N50" s="205">
        <f t="shared" si="2"/>
        <v>0</v>
      </c>
      <c r="O50" s="21">
        <v>0</v>
      </c>
      <c r="P50" s="10">
        <f t="shared" si="7"/>
        <v>0</v>
      </c>
      <c r="Q50" s="21">
        <v>0</v>
      </c>
      <c r="R50" s="205">
        <f t="shared" si="3"/>
        <v>0</v>
      </c>
      <c r="S50" s="39">
        <f t="shared" si="11"/>
        <v>75</v>
      </c>
      <c r="T50" s="38">
        <f t="shared" si="4"/>
        <v>2.5620000000000003</v>
      </c>
      <c r="U50" s="21">
        <v>50</v>
      </c>
      <c r="V50" s="13">
        <f t="shared" si="8"/>
        <v>1.7080000000000002</v>
      </c>
      <c r="W50" s="49">
        <f t="shared" si="9"/>
        <v>125</v>
      </c>
      <c r="X50" s="50">
        <f t="shared" si="10"/>
        <v>4.2700000000000005</v>
      </c>
      <c r="Y50" s="238">
        <v>30</v>
      </c>
      <c r="Z50" s="101">
        <v>100</v>
      </c>
    </row>
    <row r="51" spans="1:26" x14ac:dyDescent="0.25">
      <c r="A51" s="264">
        <v>47</v>
      </c>
      <c r="B51" s="256" t="s">
        <v>49</v>
      </c>
      <c r="C51" s="34">
        <v>66</v>
      </c>
      <c r="D51" s="35">
        <v>61</v>
      </c>
      <c r="E51" s="35">
        <v>10</v>
      </c>
      <c r="F51" s="19">
        <f t="shared" si="5"/>
        <v>4.0259999999999997E-2</v>
      </c>
      <c r="G51" s="23">
        <f>'OCAK 3.HAFTA '!W51</f>
        <v>30</v>
      </c>
      <c r="H51" s="26">
        <f t="shared" si="6"/>
        <v>1.2078</v>
      </c>
      <c r="I51" s="21">
        <v>0</v>
      </c>
      <c r="J51" s="205">
        <f t="shared" si="0"/>
        <v>0</v>
      </c>
      <c r="K51" s="21">
        <v>0</v>
      </c>
      <c r="L51" s="10">
        <f t="shared" si="1"/>
        <v>0</v>
      </c>
      <c r="M51" s="21">
        <v>0</v>
      </c>
      <c r="N51" s="205">
        <f t="shared" si="2"/>
        <v>0</v>
      </c>
      <c r="O51" s="21">
        <v>0</v>
      </c>
      <c r="P51" s="10">
        <f t="shared" si="7"/>
        <v>0</v>
      </c>
      <c r="Q51" s="21">
        <v>0</v>
      </c>
      <c r="R51" s="205">
        <f t="shared" si="3"/>
        <v>0</v>
      </c>
      <c r="S51" s="39">
        <f t="shared" si="11"/>
        <v>30</v>
      </c>
      <c r="T51" s="38">
        <f t="shared" si="4"/>
        <v>1.2078</v>
      </c>
      <c r="U51" s="21">
        <v>156</v>
      </c>
      <c r="V51" s="13">
        <f t="shared" si="8"/>
        <v>6.2805599999999995</v>
      </c>
      <c r="W51" s="49">
        <f t="shared" si="9"/>
        <v>186</v>
      </c>
      <c r="X51" s="50">
        <f t="shared" si="10"/>
        <v>7.4883599999999992</v>
      </c>
      <c r="Y51" s="238">
        <v>30</v>
      </c>
      <c r="Z51" s="101">
        <v>100</v>
      </c>
    </row>
    <row r="52" spans="1:26" x14ac:dyDescent="0.25">
      <c r="A52" s="264">
        <v>48</v>
      </c>
      <c r="B52" s="256" t="s">
        <v>50</v>
      </c>
      <c r="C52" s="34">
        <v>63</v>
      </c>
      <c r="D52" s="35">
        <v>61</v>
      </c>
      <c r="E52" s="35">
        <v>10</v>
      </c>
      <c r="F52" s="19">
        <f t="shared" si="5"/>
        <v>3.8429999999999999E-2</v>
      </c>
      <c r="G52" s="23">
        <f>'OCAK 3.HAFTA '!W52</f>
        <v>0</v>
      </c>
      <c r="H52" s="26">
        <f t="shared" si="6"/>
        <v>0</v>
      </c>
      <c r="I52" s="21">
        <v>0</v>
      </c>
      <c r="J52" s="205">
        <f t="shared" si="0"/>
        <v>0</v>
      </c>
      <c r="K52" s="21">
        <v>0</v>
      </c>
      <c r="L52" s="10">
        <f t="shared" si="1"/>
        <v>0</v>
      </c>
      <c r="M52" s="21">
        <v>0</v>
      </c>
      <c r="N52" s="205">
        <f t="shared" si="2"/>
        <v>0</v>
      </c>
      <c r="O52" s="21">
        <v>0</v>
      </c>
      <c r="P52" s="10">
        <f t="shared" si="7"/>
        <v>0</v>
      </c>
      <c r="Q52" s="21">
        <v>0</v>
      </c>
      <c r="R52" s="205">
        <f t="shared" si="3"/>
        <v>0</v>
      </c>
      <c r="S52" s="39">
        <f t="shared" si="11"/>
        <v>0</v>
      </c>
      <c r="T52" s="38">
        <f t="shared" si="4"/>
        <v>0</v>
      </c>
      <c r="U52" s="21">
        <v>0</v>
      </c>
      <c r="V52" s="13">
        <f t="shared" si="8"/>
        <v>0</v>
      </c>
      <c r="W52" s="49">
        <f t="shared" si="9"/>
        <v>0</v>
      </c>
      <c r="X52" s="50">
        <f t="shared" si="10"/>
        <v>0</v>
      </c>
      <c r="Y52" s="238">
        <v>30</v>
      </c>
      <c r="Z52" s="101">
        <v>100</v>
      </c>
    </row>
    <row r="53" spans="1:26" x14ac:dyDescent="0.25">
      <c r="A53" s="264">
        <v>49</v>
      </c>
      <c r="B53" s="256" t="s">
        <v>51</v>
      </c>
      <c r="C53" s="34">
        <v>58</v>
      </c>
      <c r="D53" s="35">
        <v>58</v>
      </c>
      <c r="E53" s="35">
        <v>2.2999999999999998</v>
      </c>
      <c r="F53" s="19">
        <f t="shared" si="5"/>
        <v>7.7371999999999996E-3</v>
      </c>
      <c r="G53" s="23">
        <f>'OCAK 3.HAFTA '!W53</f>
        <v>2884</v>
      </c>
      <c r="H53" s="26">
        <f t="shared" si="6"/>
        <v>22.3140848</v>
      </c>
      <c r="I53" s="21">
        <v>60</v>
      </c>
      <c r="J53" s="205">
        <f t="shared" si="0"/>
        <v>0.46423199999999998</v>
      </c>
      <c r="K53" s="21">
        <v>0</v>
      </c>
      <c r="L53" s="10">
        <f t="shared" si="1"/>
        <v>0</v>
      </c>
      <c r="M53" s="21">
        <v>0</v>
      </c>
      <c r="N53" s="205">
        <f t="shared" si="2"/>
        <v>0</v>
      </c>
      <c r="O53" s="21">
        <v>0</v>
      </c>
      <c r="P53" s="10">
        <f t="shared" si="7"/>
        <v>0</v>
      </c>
      <c r="Q53" s="21">
        <v>0</v>
      </c>
      <c r="R53" s="205">
        <f t="shared" si="3"/>
        <v>0</v>
      </c>
      <c r="S53" s="39">
        <f t="shared" si="11"/>
        <v>2824</v>
      </c>
      <c r="T53" s="38">
        <f t="shared" si="4"/>
        <v>21.849852800000001</v>
      </c>
      <c r="U53" s="21">
        <v>0</v>
      </c>
      <c r="V53" s="13">
        <f t="shared" si="8"/>
        <v>0</v>
      </c>
      <c r="W53" s="49">
        <f t="shared" si="9"/>
        <v>2824</v>
      </c>
      <c r="X53" s="50">
        <f t="shared" si="10"/>
        <v>21.849852800000001</v>
      </c>
      <c r="Y53" s="238">
        <v>200</v>
      </c>
      <c r="Z53" s="101">
        <v>500</v>
      </c>
    </row>
    <row r="54" spans="1:26" x14ac:dyDescent="0.25">
      <c r="A54" s="264">
        <v>50</v>
      </c>
      <c r="B54" s="256" t="s">
        <v>52</v>
      </c>
      <c r="C54" s="34">
        <v>79</v>
      </c>
      <c r="D54" s="35">
        <v>62</v>
      </c>
      <c r="E54" s="35">
        <v>2.2999999999999998</v>
      </c>
      <c r="F54" s="19">
        <f t="shared" si="5"/>
        <v>1.12654E-2</v>
      </c>
      <c r="G54" s="23">
        <f>'OCAK 3.HAFTA '!W54</f>
        <v>3110</v>
      </c>
      <c r="H54" s="26">
        <f t="shared" si="6"/>
        <v>35.035394000000004</v>
      </c>
      <c r="I54" s="21">
        <v>0</v>
      </c>
      <c r="J54" s="205">
        <f t="shared" si="0"/>
        <v>0</v>
      </c>
      <c r="K54" s="21">
        <v>0</v>
      </c>
      <c r="L54" s="10">
        <f t="shared" si="1"/>
        <v>0</v>
      </c>
      <c r="M54" s="21">
        <v>0</v>
      </c>
      <c r="N54" s="205">
        <f t="shared" si="2"/>
        <v>0</v>
      </c>
      <c r="O54" s="21">
        <v>0</v>
      </c>
      <c r="P54" s="10">
        <f t="shared" si="7"/>
        <v>0</v>
      </c>
      <c r="Q54" s="21">
        <v>0</v>
      </c>
      <c r="R54" s="205">
        <f t="shared" si="3"/>
        <v>0</v>
      </c>
      <c r="S54" s="39">
        <f t="shared" si="11"/>
        <v>3110</v>
      </c>
      <c r="T54" s="38">
        <f t="shared" si="4"/>
        <v>35.035394000000004</v>
      </c>
      <c r="U54" s="21">
        <v>0</v>
      </c>
      <c r="V54" s="13">
        <f t="shared" si="8"/>
        <v>0</v>
      </c>
      <c r="W54" s="49">
        <f t="shared" si="9"/>
        <v>3110</v>
      </c>
      <c r="X54" s="50">
        <f t="shared" si="10"/>
        <v>35.035394000000004</v>
      </c>
      <c r="Y54" s="238">
        <v>100</v>
      </c>
      <c r="Z54" s="101">
        <v>300</v>
      </c>
    </row>
    <row r="55" spans="1:26" x14ac:dyDescent="0.25">
      <c r="A55" s="264">
        <v>51</v>
      </c>
      <c r="B55" s="256" t="s">
        <v>53</v>
      </c>
      <c r="C55" s="34">
        <v>200</v>
      </c>
      <c r="D55" s="35">
        <v>176</v>
      </c>
      <c r="E55" s="35">
        <v>2.2999999999999998</v>
      </c>
      <c r="F55" s="19">
        <f t="shared" si="5"/>
        <v>8.0960000000000004E-2</v>
      </c>
      <c r="G55" s="23">
        <f>'OCAK 3.HAFTA '!W55</f>
        <v>1</v>
      </c>
      <c r="H55" s="26">
        <f t="shared" si="6"/>
        <v>8.0960000000000004E-2</v>
      </c>
      <c r="I55" s="21">
        <v>0</v>
      </c>
      <c r="J55" s="205">
        <f t="shared" si="0"/>
        <v>0</v>
      </c>
      <c r="K55" s="21">
        <v>0</v>
      </c>
      <c r="L55" s="10">
        <f t="shared" si="1"/>
        <v>0</v>
      </c>
      <c r="M55" s="21">
        <v>0</v>
      </c>
      <c r="N55" s="205">
        <f t="shared" si="2"/>
        <v>0</v>
      </c>
      <c r="O55" s="21">
        <v>0</v>
      </c>
      <c r="P55" s="10">
        <f t="shared" si="7"/>
        <v>0</v>
      </c>
      <c r="Q55" s="21">
        <v>0</v>
      </c>
      <c r="R55" s="205">
        <f t="shared" si="3"/>
        <v>0</v>
      </c>
      <c r="S55" s="39">
        <f t="shared" si="11"/>
        <v>1</v>
      </c>
      <c r="T55" s="38">
        <f t="shared" si="4"/>
        <v>8.0960000000000004E-2</v>
      </c>
      <c r="U55" s="21">
        <v>0</v>
      </c>
      <c r="V55" s="13">
        <f t="shared" si="8"/>
        <v>0</v>
      </c>
      <c r="W55" s="49">
        <f t="shared" si="9"/>
        <v>1</v>
      </c>
      <c r="X55" s="50">
        <f t="shared" si="10"/>
        <v>8.0960000000000004E-2</v>
      </c>
      <c r="Y55" s="238">
        <v>0</v>
      </c>
      <c r="Z55" s="101">
        <v>0</v>
      </c>
    </row>
    <row r="56" spans="1:26" x14ac:dyDescent="0.25">
      <c r="A56" s="264">
        <v>52</v>
      </c>
      <c r="B56" s="256" t="s">
        <v>122</v>
      </c>
      <c r="C56" s="34">
        <v>79</v>
      </c>
      <c r="D56" s="35">
        <v>79</v>
      </c>
      <c r="E56" s="35">
        <v>2.2999999999999998</v>
      </c>
      <c r="F56" s="19">
        <f t="shared" si="5"/>
        <v>1.4354299999999999E-2</v>
      </c>
      <c r="G56" s="23">
        <f>'OCAK 3.HAFTA '!W56</f>
        <v>3564</v>
      </c>
      <c r="H56" s="26">
        <f t="shared" si="6"/>
        <v>51.158725199999992</v>
      </c>
      <c r="I56" s="21">
        <v>0</v>
      </c>
      <c r="J56" s="205">
        <f t="shared" si="0"/>
        <v>0</v>
      </c>
      <c r="K56" s="21">
        <v>0</v>
      </c>
      <c r="L56" s="10">
        <f t="shared" si="1"/>
        <v>0</v>
      </c>
      <c r="M56" s="21">
        <v>0</v>
      </c>
      <c r="N56" s="205">
        <f t="shared" si="2"/>
        <v>0</v>
      </c>
      <c r="O56" s="21">
        <v>0</v>
      </c>
      <c r="P56" s="10">
        <f t="shared" si="7"/>
        <v>0</v>
      </c>
      <c r="Q56" s="21">
        <v>0</v>
      </c>
      <c r="R56" s="205">
        <f t="shared" si="3"/>
        <v>0</v>
      </c>
      <c r="S56" s="39">
        <f t="shared" si="11"/>
        <v>3564</v>
      </c>
      <c r="T56" s="38">
        <f t="shared" si="4"/>
        <v>51.158725199999992</v>
      </c>
      <c r="U56" s="21">
        <v>0</v>
      </c>
      <c r="V56" s="13">
        <f t="shared" si="8"/>
        <v>0</v>
      </c>
      <c r="W56" s="49">
        <f t="shared" si="9"/>
        <v>3564</v>
      </c>
      <c r="X56" s="50">
        <f t="shared" si="10"/>
        <v>51.158725199999992</v>
      </c>
      <c r="Y56" s="238">
        <v>300</v>
      </c>
      <c r="Z56" s="101">
        <v>1000</v>
      </c>
    </row>
    <row r="57" spans="1:26" ht="15.75" x14ac:dyDescent="0.25">
      <c r="A57" s="264">
        <v>53</v>
      </c>
      <c r="B57" s="256" t="s">
        <v>55</v>
      </c>
      <c r="C57" s="111">
        <v>50</v>
      </c>
      <c r="D57" s="112">
        <v>45</v>
      </c>
      <c r="E57" s="112">
        <v>4</v>
      </c>
      <c r="F57" s="19">
        <f t="shared" si="5"/>
        <v>8.9999999999999993E-3</v>
      </c>
      <c r="G57" s="23">
        <f>'OCAK 3.HAFTA '!W57</f>
        <v>0</v>
      </c>
      <c r="H57" s="26">
        <f t="shared" si="6"/>
        <v>0</v>
      </c>
      <c r="I57" s="21">
        <v>0</v>
      </c>
      <c r="J57" s="205">
        <f t="shared" si="0"/>
        <v>0</v>
      </c>
      <c r="K57" s="21">
        <v>0</v>
      </c>
      <c r="L57" s="10">
        <f t="shared" si="1"/>
        <v>0</v>
      </c>
      <c r="M57" s="21">
        <v>0</v>
      </c>
      <c r="N57" s="205">
        <f t="shared" si="2"/>
        <v>0</v>
      </c>
      <c r="O57" s="21">
        <v>0</v>
      </c>
      <c r="P57" s="10">
        <f t="shared" si="7"/>
        <v>0</v>
      </c>
      <c r="Q57" s="21">
        <v>0</v>
      </c>
      <c r="R57" s="205">
        <f t="shared" si="3"/>
        <v>0</v>
      </c>
      <c r="S57" s="39">
        <f t="shared" si="11"/>
        <v>0</v>
      </c>
      <c r="T57" s="38">
        <f t="shared" si="4"/>
        <v>0</v>
      </c>
      <c r="U57" s="21">
        <v>1040</v>
      </c>
      <c r="V57" s="13">
        <f t="shared" si="8"/>
        <v>9.36</v>
      </c>
      <c r="W57" s="49">
        <f t="shared" si="9"/>
        <v>1040</v>
      </c>
      <c r="X57" s="50">
        <f t="shared" si="10"/>
        <v>9.36</v>
      </c>
      <c r="Y57" s="238">
        <v>300</v>
      </c>
      <c r="Z57" s="101">
        <v>1000</v>
      </c>
    </row>
    <row r="58" spans="1:26" ht="15.75" x14ac:dyDescent="0.25">
      <c r="A58" s="264">
        <v>54</v>
      </c>
      <c r="B58" s="256" t="s">
        <v>56</v>
      </c>
      <c r="C58" s="111">
        <v>50</v>
      </c>
      <c r="D58" s="112">
        <v>35</v>
      </c>
      <c r="E58" s="112">
        <v>4</v>
      </c>
      <c r="F58" s="19">
        <f t="shared" si="5"/>
        <v>7.0000000000000001E-3</v>
      </c>
      <c r="G58" s="23">
        <f>'OCAK 3.HAFTA '!W58</f>
        <v>355</v>
      </c>
      <c r="H58" s="26">
        <f t="shared" si="6"/>
        <v>2.4849999999999999</v>
      </c>
      <c r="I58" s="21">
        <v>0</v>
      </c>
      <c r="J58" s="205">
        <f t="shared" si="0"/>
        <v>0</v>
      </c>
      <c r="K58" s="21">
        <v>20</v>
      </c>
      <c r="L58" s="10">
        <f t="shared" si="1"/>
        <v>0.14000000000000001</v>
      </c>
      <c r="M58" s="21">
        <v>0</v>
      </c>
      <c r="N58" s="205">
        <f t="shared" si="2"/>
        <v>0</v>
      </c>
      <c r="O58" s="21">
        <v>0</v>
      </c>
      <c r="P58" s="10">
        <f t="shared" si="7"/>
        <v>0</v>
      </c>
      <c r="Q58" s="21">
        <v>0</v>
      </c>
      <c r="R58" s="205">
        <f t="shared" si="3"/>
        <v>0</v>
      </c>
      <c r="S58" s="39">
        <f t="shared" si="11"/>
        <v>335</v>
      </c>
      <c r="T58" s="38">
        <f t="shared" si="4"/>
        <v>2.3450000000000002</v>
      </c>
      <c r="U58" s="21">
        <v>1026</v>
      </c>
      <c r="V58" s="13">
        <f t="shared" si="8"/>
        <v>7.1820000000000004</v>
      </c>
      <c r="W58" s="49">
        <f t="shared" si="9"/>
        <v>1361</v>
      </c>
      <c r="X58" s="50">
        <f t="shared" si="10"/>
        <v>9.527000000000001</v>
      </c>
      <c r="Y58" s="238">
        <v>500</v>
      </c>
      <c r="Z58" s="101">
        <v>1500</v>
      </c>
    </row>
    <row r="59" spans="1:26" ht="15.75" x14ac:dyDescent="0.25">
      <c r="A59" s="264">
        <v>55</v>
      </c>
      <c r="B59" s="256" t="s">
        <v>57</v>
      </c>
      <c r="C59" s="111">
        <v>45</v>
      </c>
      <c r="D59" s="112">
        <v>50</v>
      </c>
      <c r="E59" s="112">
        <v>3</v>
      </c>
      <c r="F59" s="19">
        <f t="shared" si="5"/>
        <v>6.7499999999999999E-3</v>
      </c>
      <c r="G59" s="23">
        <f>'OCAK 3.HAFTA '!W59</f>
        <v>0</v>
      </c>
      <c r="H59" s="26">
        <f t="shared" si="6"/>
        <v>0</v>
      </c>
      <c r="I59" s="21">
        <v>0</v>
      </c>
      <c r="J59" s="205">
        <f t="shared" si="0"/>
        <v>0</v>
      </c>
      <c r="K59" s="21">
        <v>0</v>
      </c>
      <c r="L59" s="10">
        <f t="shared" si="1"/>
        <v>0</v>
      </c>
      <c r="M59" s="21">
        <v>0</v>
      </c>
      <c r="N59" s="205">
        <f t="shared" si="2"/>
        <v>0</v>
      </c>
      <c r="O59" s="21">
        <v>40</v>
      </c>
      <c r="P59" s="10">
        <f t="shared" si="7"/>
        <v>0.27</v>
      </c>
      <c r="Q59" s="21">
        <v>0</v>
      </c>
      <c r="R59" s="205">
        <f t="shared" si="3"/>
        <v>0</v>
      </c>
      <c r="S59" s="39">
        <f t="shared" si="11"/>
        <v>-40</v>
      </c>
      <c r="T59" s="38">
        <f t="shared" si="4"/>
        <v>-0.27</v>
      </c>
      <c r="U59" s="21">
        <v>1018</v>
      </c>
      <c r="V59" s="13">
        <f t="shared" si="8"/>
        <v>6.8715000000000002</v>
      </c>
      <c r="W59" s="49">
        <f t="shared" si="9"/>
        <v>978</v>
      </c>
      <c r="X59" s="50">
        <f t="shared" si="10"/>
        <v>6.6014999999999997</v>
      </c>
      <c r="Y59" s="238">
        <v>500</v>
      </c>
      <c r="Z59" s="101">
        <v>1500</v>
      </c>
    </row>
    <row r="60" spans="1:26" ht="15.75" x14ac:dyDescent="0.25">
      <c r="A60" s="264">
        <v>56</v>
      </c>
      <c r="B60" s="256" t="s">
        <v>58</v>
      </c>
      <c r="C60" s="111">
        <v>50</v>
      </c>
      <c r="D60" s="112">
        <v>35</v>
      </c>
      <c r="E60" s="112">
        <v>3</v>
      </c>
      <c r="F60" s="19">
        <f t="shared" si="5"/>
        <v>5.2500000000000003E-3</v>
      </c>
      <c r="G60" s="23">
        <f>'OCAK 3.HAFTA '!W60</f>
        <v>0</v>
      </c>
      <c r="H60" s="26">
        <f t="shared" si="6"/>
        <v>0</v>
      </c>
      <c r="I60" s="21">
        <v>0</v>
      </c>
      <c r="J60" s="205">
        <f t="shared" si="0"/>
        <v>0</v>
      </c>
      <c r="K60" s="21">
        <v>0</v>
      </c>
      <c r="L60" s="10">
        <f t="shared" si="1"/>
        <v>0</v>
      </c>
      <c r="M60" s="21">
        <v>0</v>
      </c>
      <c r="N60" s="205">
        <f t="shared" si="2"/>
        <v>0</v>
      </c>
      <c r="O60" s="21">
        <v>40</v>
      </c>
      <c r="P60" s="10">
        <f t="shared" si="7"/>
        <v>0.21000000000000002</v>
      </c>
      <c r="Q60" s="21">
        <v>0</v>
      </c>
      <c r="R60" s="205">
        <f t="shared" si="3"/>
        <v>0</v>
      </c>
      <c r="S60" s="39">
        <f t="shared" si="11"/>
        <v>-40</v>
      </c>
      <c r="T60" s="38">
        <f t="shared" si="4"/>
        <v>-0.21000000000000002</v>
      </c>
      <c r="U60" s="21">
        <v>884</v>
      </c>
      <c r="V60" s="13">
        <f t="shared" si="8"/>
        <v>4.641</v>
      </c>
      <c r="W60" s="49">
        <f t="shared" si="9"/>
        <v>844</v>
      </c>
      <c r="X60" s="50">
        <f t="shared" si="10"/>
        <v>4.431</v>
      </c>
      <c r="Y60" s="238">
        <v>0</v>
      </c>
      <c r="Z60" s="101">
        <v>0</v>
      </c>
    </row>
    <row r="61" spans="1:26" ht="15.75" x14ac:dyDescent="0.25">
      <c r="A61" s="264">
        <v>57</v>
      </c>
      <c r="B61" s="256" t="s">
        <v>59</v>
      </c>
      <c r="C61" s="111">
        <v>42</v>
      </c>
      <c r="D61" s="112">
        <v>36</v>
      </c>
      <c r="E61" s="112">
        <v>4</v>
      </c>
      <c r="F61" s="19">
        <f t="shared" si="5"/>
        <v>6.0480000000000004E-3</v>
      </c>
      <c r="G61" s="23">
        <f>'OCAK 3.HAFTA '!W61</f>
        <v>0</v>
      </c>
      <c r="H61" s="26">
        <f t="shared" si="6"/>
        <v>0</v>
      </c>
      <c r="I61" s="21">
        <v>0</v>
      </c>
      <c r="J61" s="205">
        <f t="shared" si="0"/>
        <v>0</v>
      </c>
      <c r="K61" s="21">
        <v>0</v>
      </c>
      <c r="L61" s="10">
        <f t="shared" si="1"/>
        <v>0</v>
      </c>
      <c r="M61" s="21">
        <v>0</v>
      </c>
      <c r="N61" s="205">
        <f t="shared" si="2"/>
        <v>0</v>
      </c>
      <c r="O61" s="21">
        <v>0</v>
      </c>
      <c r="P61" s="10">
        <f t="shared" si="7"/>
        <v>0</v>
      </c>
      <c r="Q61" s="21">
        <v>0</v>
      </c>
      <c r="R61" s="205">
        <f t="shared" si="3"/>
        <v>0</v>
      </c>
      <c r="S61" s="97">
        <f t="shared" si="11"/>
        <v>0</v>
      </c>
      <c r="T61" s="38">
        <f t="shared" si="4"/>
        <v>0</v>
      </c>
      <c r="U61" s="21">
        <v>0</v>
      </c>
      <c r="V61" s="13">
        <f t="shared" si="8"/>
        <v>0</v>
      </c>
      <c r="W61" s="49">
        <f t="shared" si="9"/>
        <v>0</v>
      </c>
      <c r="X61" s="50">
        <f t="shared" si="10"/>
        <v>0</v>
      </c>
      <c r="Y61" s="238">
        <v>300</v>
      </c>
      <c r="Z61" s="101">
        <v>1000</v>
      </c>
    </row>
    <row r="62" spans="1:26" ht="15.75" x14ac:dyDescent="0.25">
      <c r="A62" s="264">
        <v>58</v>
      </c>
      <c r="B62" s="256" t="s">
        <v>60</v>
      </c>
      <c r="C62" s="111">
        <v>50</v>
      </c>
      <c r="D62" s="112">
        <v>35</v>
      </c>
      <c r="E62" s="112">
        <v>3</v>
      </c>
      <c r="F62" s="19">
        <f t="shared" si="5"/>
        <v>5.2500000000000003E-3</v>
      </c>
      <c r="G62" s="23">
        <f>'OCAK 3.HAFTA '!W62</f>
        <v>583</v>
      </c>
      <c r="H62" s="26">
        <f t="shared" si="6"/>
        <v>3.0607500000000001</v>
      </c>
      <c r="I62" s="21">
        <v>0</v>
      </c>
      <c r="J62" s="205">
        <f t="shared" si="0"/>
        <v>0</v>
      </c>
      <c r="K62" s="21">
        <v>0</v>
      </c>
      <c r="L62" s="10">
        <f t="shared" si="1"/>
        <v>0</v>
      </c>
      <c r="M62" s="21">
        <v>0</v>
      </c>
      <c r="N62" s="205">
        <f t="shared" si="2"/>
        <v>0</v>
      </c>
      <c r="O62" s="21">
        <v>0</v>
      </c>
      <c r="P62" s="10">
        <f t="shared" si="7"/>
        <v>0</v>
      </c>
      <c r="Q62" s="21">
        <v>0</v>
      </c>
      <c r="R62" s="205">
        <f t="shared" si="3"/>
        <v>0</v>
      </c>
      <c r="S62" s="97">
        <f t="shared" si="11"/>
        <v>583</v>
      </c>
      <c r="T62" s="38">
        <f t="shared" si="4"/>
        <v>3.0607500000000001</v>
      </c>
      <c r="U62" s="21">
        <v>0</v>
      </c>
      <c r="V62" s="13">
        <f t="shared" si="8"/>
        <v>0</v>
      </c>
      <c r="W62" s="49">
        <f t="shared" si="9"/>
        <v>583</v>
      </c>
      <c r="X62" s="50">
        <f t="shared" si="10"/>
        <v>3.0607500000000001</v>
      </c>
      <c r="Y62" s="238">
        <v>300</v>
      </c>
      <c r="Z62" s="101">
        <v>1000</v>
      </c>
    </row>
    <row r="63" spans="1:26" ht="15.75" x14ac:dyDescent="0.25">
      <c r="A63" s="264">
        <v>59</v>
      </c>
      <c r="B63" s="257" t="s">
        <v>61</v>
      </c>
      <c r="C63" s="111">
        <v>45</v>
      </c>
      <c r="D63" s="112">
        <v>50</v>
      </c>
      <c r="E63" s="112">
        <v>3</v>
      </c>
      <c r="F63" s="19">
        <f t="shared" si="5"/>
        <v>6.7499999999999999E-3</v>
      </c>
      <c r="G63" s="23">
        <f>'OCAK 3.HAFTA '!W63</f>
        <v>811</v>
      </c>
      <c r="H63" s="26">
        <f t="shared" si="6"/>
        <v>5.4742499999999996</v>
      </c>
      <c r="I63" s="21">
        <v>0</v>
      </c>
      <c r="J63" s="205">
        <f t="shared" si="0"/>
        <v>0</v>
      </c>
      <c r="K63" s="21">
        <v>0</v>
      </c>
      <c r="L63" s="10">
        <f t="shared" si="1"/>
        <v>0</v>
      </c>
      <c r="M63" s="21">
        <v>0</v>
      </c>
      <c r="N63" s="205">
        <f t="shared" si="2"/>
        <v>0</v>
      </c>
      <c r="O63" s="21">
        <v>0</v>
      </c>
      <c r="P63" s="10">
        <f t="shared" si="7"/>
        <v>0</v>
      </c>
      <c r="Q63" s="21">
        <v>0</v>
      </c>
      <c r="R63" s="205">
        <f t="shared" si="3"/>
        <v>0</v>
      </c>
      <c r="S63" s="97">
        <f t="shared" si="11"/>
        <v>811</v>
      </c>
      <c r="T63" s="38">
        <f t="shared" si="4"/>
        <v>5.4742499999999996</v>
      </c>
      <c r="U63" s="21">
        <v>0</v>
      </c>
      <c r="V63" s="13">
        <f t="shared" si="8"/>
        <v>0</v>
      </c>
      <c r="W63" s="49">
        <f t="shared" si="9"/>
        <v>811</v>
      </c>
      <c r="X63" s="50">
        <f t="shared" si="10"/>
        <v>5.4742499999999996</v>
      </c>
      <c r="Y63" s="238">
        <v>500</v>
      </c>
      <c r="Z63" s="101">
        <v>1500</v>
      </c>
    </row>
    <row r="64" spans="1:26" ht="15.75" thickBot="1" x14ac:dyDescent="0.3">
      <c r="A64" s="264">
        <v>60</v>
      </c>
      <c r="B64" s="258" t="s">
        <v>90</v>
      </c>
      <c r="C64" s="36">
        <v>140</v>
      </c>
      <c r="D64" s="37">
        <v>9.5</v>
      </c>
      <c r="E64" s="37">
        <v>6.5</v>
      </c>
      <c r="F64" s="20">
        <f t="shared" si="5"/>
        <v>8.6449999999999999E-3</v>
      </c>
      <c r="G64" s="23">
        <f>'OCAK 3.HAFTA '!W64</f>
        <v>3940</v>
      </c>
      <c r="H64" s="27">
        <f t="shared" si="6"/>
        <v>34.061300000000003</v>
      </c>
      <c r="I64" s="21">
        <v>120</v>
      </c>
      <c r="J64" s="205">
        <f t="shared" si="0"/>
        <v>1.0373999999999999</v>
      </c>
      <c r="K64" s="21">
        <v>0</v>
      </c>
      <c r="L64" s="10">
        <f t="shared" si="1"/>
        <v>0</v>
      </c>
      <c r="M64" s="21">
        <v>0</v>
      </c>
      <c r="N64" s="205">
        <f t="shared" si="2"/>
        <v>0</v>
      </c>
      <c r="O64" s="21">
        <v>0</v>
      </c>
      <c r="P64" s="48">
        <f t="shared" si="7"/>
        <v>0</v>
      </c>
      <c r="Q64" s="21">
        <v>0</v>
      </c>
      <c r="R64" s="205">
        <f t="shared" si="3"/>
        <v>0</v>
      </c>
      <c r="S64" s="97">
        <f t="shared" si="11"/>
        <v>3820</v>
      </c>
      <c r="T64" s="41">
        <f t="shared" si="4"/>
        <v>33.023899999999998</v>
      </c>
      <c r="U64" s="21">
        <v>0</v>
      </c>
      <c r="V64" s="13">
        <f t="shared" si="8"/>
        <v>0</v>
      </c>
      <c r="W64" s="49">
        <f t="shared" si="9"/>
        <v>3820</v>
      </c>
      <c r="X64" s="50">
        <f t="shared" si="10"/>
        <v>33.023899999999998</v>
      </c>
      <c r="Y64" s="238">
        <v>100</v>
      </c>
      <c r="Z64" s="101">
        <v>300</v>
      </c>
    </row>
    <row r="65" spans="1:26" ht="15.75" x14ac:dyDescent="0.25">
      <c r="A65" s="264">
        <v>61</v>
      </c>
      <c r="B65" s="259" t="s">
        <v>79</v>
      </c>
      <c r="C65" s="112">
        <v>90</v>
      </c>
      <c r="D65" s="112">
        <v>83</v>
      </c>
      <c r="E65" s="112">
        <v>2</v>
      </c>
      <c r="F65" s="114">
        <f t="shared" si="5"/>
        <v>1.494E-2</v>
      </c>
      <c r="G65" s="23">
        <f>'OCAK 3.HAFTA '!W65</f>
        <v>66</v>
      </c>
      <c r="H65" s="116">
        <f t="shared" si="6"/>
        <v>0.98604000000000003</v>
      </c>
      <c r="I65" s="21">
        <v>0</v>
      </c>
      <c r="J65" s="205">
        <f t="shared" si="0"/>
        <v>0</v>
      </c>
      <c r="K65" s="21">
        <v>0</v>
      </c>
      <c r="L65" s="10">
        <f t="shared" si="1"/>
        <v>0</v>
      </c>
      <c r="M65" s="21">
        <v>0</v>
      </c>
      <c r="N65" s="205">
        <f t="shared" si="2"/>
        <v>0</v>
      </c>
      <c r="O65" s="21">
        <v>168</v>
      </c>
      <c r="P65" s="121">
        <f t="shared" si="7"/>
        <v>2.5099200000000002</v>
      </c>
      <c r="Q65" s="21">
        <v>0</v>
      </c>
      <c r="R65" s="205">
        <f t="shared" si="3"/>
        <v>0</v>
      </c>
      <c r="S65" s="140">
        <f t="shared" si="11"/>
        <v>-102</v>
      </c>
      <c r="T65" s="123">
        <f t="shared" si="4"/>
        <v>-1.5238800000000001</v>
      </c>
      <c r="U65" s="21">
        <v>199</v>
      </c>
      <c r="V65" s="139">
        <f t="shared" si="8"/>
        <v>2.9730599999999998</v>
      </c>
      <c r="W65" s="141">
        <f t="shared" si="9"/>
        <v>97</v>
      </c>
      <c r="X65" s="50">
        <f t="shared" si="10"/>
        <v>1.4491799999999999</v>
      </c>
      <c r="Y65" s="238">
        <v>100</v>
      </c>
      <c r="Z65" s="101">
        <v>300</v>
      </c>
    </row>
    <row r="66" spans="1:26" ht="15.75" x14ac:dyDescent="0.25">
      <c r="A66" s="264">
        <v>62</v>
      </c>
      <c r="B66" s="260" t="s">
        <v>80</v>
      </c>
      <c r="C66" s="113">
        <v>92</v>
      </c>
      <c r="D66" s="113">
        <v>82</v>
      </c>
      <c r="E66" s="113">
        <v>2</v>
      </c>
      <c r="F66" s="124">
        <f t="shared" si="5"/>
        <v>1.5088000000000001E-2</v>
      </c>
      <c r="G66" s="23">
        <f>'OCAK 3.HAFTA '!W66</f>
        <v>98</v>
      </c>
      <c r="H66" s="125">
        <f t="shared" si="6"/>
        <v>1.4786240000000002</v>
      </c>
      <c r="I66" s="21">
        <v>0</v>
      </c>
      <c r="J66" s="205">
        <f t="shared" si="0"/>
        <v>0</v>
      </c>
      <c r="K66" s="21">
        <v>0</v>
      </c>
      <c r="L66" s="10">
        <f t="shared" si="1"/>
        <v>0</v>
      </c>
      <c r="M66" s="21">
        <v>0</v>
      </c>
      <c r="N66" s="205">
        <f t="shared" si="2"/>
        <v>0</v>
      </c>
      <c r="O66" s="21">
        <v>34</v>
      </c>
      <c r="P66" s="121">
        <f t="shared" si="7"/>
        <v>0.512992</v>
      </c>
      <c r="Q66" s="21">
        <v>0</v>
      </c>
      <c r="R66" s="205">
        <f t="shared" si="3"/>
        <v>0</v>
      </c>
      <c r="S66" s="140">
        <f t="shared" si="11"/>
        <v>64</v>
      </c>
      <c r="T66" s="123">
        <f t="shared" si="4"/>
        <v>0.96563200000000005</v>
      </c>
      <c r="U66" s="21">
        <v>0</v>
      </c>
      <c r="V66" s="139">
        <f t="shared" si="8"/>
        <v>0</v>
      </c>
      <c r="W66" s="141">
        <f t="shared" si="9"/>
        <v>64</v>
      </c>
      <c r="X66" s="107">
        <f t="shared" si="10"/>
        <v>0.96563200000000005</v>
      </c>
      <c r="Y66" s="238">
        <v>100</v>
      </c>
      <c r="Z66" s="101">
        <v>300</v>
      </c>
    </row>
    <row r="67" spans="1:26" x14ac:dyDescent="0.25">
      <c r="A67" s="264">
        <v>63</v>
      </c>
      <c r="B67" s="261" t="s">
        <v>82</v>
      </c>
      <c r="C67" s="35">
        <v>82</v>
      </c>
      <c r="D67" s="35">
        <v>80</v>
      </c>
      <c r="E67" s="35">
        <v>2</v>
      </c>
      <c r="F67" s="114">
        <f t="shared" si="5"/>
        <v>1.312E-2</v>
      </c>
      <c r="G67" s="23">
        <f>'OCAK 3.HAFTA '!W67</f>
        <v>60</v>
      </c>
      <c r="H67" s="110">
        <f t="shared" si="6"/>
        <v>0.78720000000000001</v>
      </c>
      <c r="I67" s="21">
        <v>40</v>
      </c>
      <c r="J67" s="205">
        <f t="shared" si="0"/>
        <v>0.52479999999999993</v>
      </c>
      <c r="K67" s="21">
        <v>0</v>
      </c>
      <c r="L67" s="10">
        <f t="shared" si="1"/>
        <v>0</v>
      </c>
      <c r="M67" s="21">
        <v>0</v>
      </c>
      <c r="N67" s="205">
        <f t="shared" si="2"/>
        <v>0</v>
      </c>
      <c r="O67" s="21">
        <v>120</v>
      </c>
      <c r="P67" s="10">
        <f t="shared" si="7"/>
        <v>1.5744</v>
      </c>
      <c r="Q67" s="21">
        <v>0</v>
      </c>
      <c r="R67" s="205">
        <f t="shared" si="3"/>
        <v>0</v>
      </c>
      <c r="S67" s="97">
        <f t="shared" si="11"/>
        <v>-100</v>
      </c>
      <c r="T67" s="87">
        <f t="shared" si="4"/>
        <v>-1.3120000000000001</v>
      </c>
      <c r="U67" s="21">
        <v>100</v>
      </c>
      <c r="V67" s="139">
        <f t="shared" si="8"/>
        <v>1.3120000000000001</v>
      </c>
      <c r="W67" s="141">
        <f t="shared" si="9"/>
        <v>0</v>
      </c>
      <c r="X67" s="107">
        <f t="shared" si="10"/>
        <v>0</v>
      </c>
      <c r="Y67" s="238">
        <v>50</v>
      </c>
      <c r="Z67" s="101">
        <v>200</v>
      </c>
    </row>
    <row r="68" spans="1:26" x14ac:dyDescent="0.25">
      <c r="A68" s="264">
        <v>64</v>
      </c>
      <c r="B68" s="261" t="s">
        <v>83</v>
      </c>
      <c r="C68" s="35">
        <v>86</v>
      </c>
      <c r="D68" s="35">
        <v>77</v>
      </c>
      <c r="E68" s="35">
        <v>8</v>
      </c>
      <c r="F68" s="114">
        <f t="shared" si="5"/>
        <v>5.2976000000000002E-2</v>
      </c>
      <c r="G68" s="23">
        <f>'OCAK 3.HAFTA '!W68</f>
        <v>107</v>
      </c>
      <c r="H68" s="110">
        <f t="shared" si="6"/>
        <v>5.6684320000000001</v>
      </c>
      <c r="I68" s="21">
        <v>38</v>
      </c>
      <c r="J68" s="205">
        <f t="shared" si="0"/>
        <v>2.0130880000000002</v>
      </c>
      <c r="K68" s="21">
        <v>3</v>
      </c>
      <c r="L68" s="10">
        <f t="shared" si="1"/>
        <v>0.15892800000000001</v>
      </c>
      <c r="M68" s="21">
        <v>0</v>
      </c>
      <c r="N68" s="205">
        <f t="shared" si="2"/>
        <v>0</v>
      </c>
      <c r="O68" s="21">
        <v>0</v>
      </c>
      <c r="P68" s="10">
        <f t="shared" si="7"/>
        <v>0</v>
      </c>
      <c r="Q68" s="21">
        <v>0</v>
      </c>
      <c r="R68" s="205">
        <f t="shared" si="3"/>
        <v>0</v>
      </c>
      <c r="S68" s="97">
        <f t="shared" si="11"/>
        <v>66</v>
      </c>
      <c r="T68" s="87">
        <f t="shared" si="4"/>
        <v>3.496416</v>
      </c>
      <c r="U68" s="21">
        <v>0</v>
      </c>
      <c r="V68" s="139">
        <f t="shared" si="8"/>
        <v>0</v>
      </c>
      <c r="W68" s="141">
        <f t="shared" si="9"/>
        <v>66</v>
      </c>
      <c r="X68" s="107">
        <f t="shared" si="10"/>
        <v>3.496416</v>
      </c>
      <c r="Y68" s="238">
        <v>50</v>
      </c>
      <c r="Z68" s="101">
        <v>200</v>
      </c>
    </row>
    <row r="69" spans="1:26" x14ac:dyDescent="0.25">
      <c r="A69" s="264">
        <v>65</v>
      </c>
      <c r="B69" s="261" t="s">
        <v>84</v>
      </c>
      <c r="C69" s="35">
        <v>76</v>
      </c>
      <c r="D69" s="35">
        <v>75</v>
      </c>
      <c r="E69" s="35">
        <v>8</v>
      </c>
      <c r="F69" s="114">
        <f t="shared" si="5"/>
        <v>4.5600000000000002E-2</v>
      </c>
      <c r="G69" s="23">
        <f>'OCAK 3.HAFTA '!W69</f>
        <v>249</v>
      </c>
      <c r="H69" s="110">
        <f t="shared" si="6"/>
        <v>11.3544</v>
      </c>
      <c r="I69" s="21">
        <v>60</v>
      </c>
      <c r="J69" s="205">
        <f t="shared" ref="J69:J78" si="12">F69*I69</f>
        <v>2.7360000000000002</v>
      </c>
      <c r="K69" s="21">
        <v>0</v>
      </c>
      <c r="L69" s="10">
        <f t="shared" ref="L69:L78" si="13">F69*K69</f>
        <v>0</v>
      </c>
      <c r="M69" s="21">
        <v>0</v>
      </c>
      <c r="N69" s="205">
        <f t="shared" ref="N69:N78" si="14">F69*M69</f>
        <v>0</v>
      </c>
      <c r="O69" s="21">
        <v>0</v>
      </c>
      <c r="P69" s="10">
        <f t="shared" si="7"/>
        <v>0</v>
      </c>
      <c r="Q69" s="21">
        <v>0</v>
      </c>
      <c r="R69" s="205">
        <f t="shared" ref="R69:R78" si="15">F69*Q69</f>
        <v>0</v>
      </c>
      <c r="S69" s="97">
        <f t="shared" si="11"/>
        <v>189</v>
      </c>
      <c r="T69" s="87">
        <f t="shared" ref="T69:T78" si="16">F69*S69</f>
        <v>8.6184000000000012</v>
      </c>
      <c r="U69" s="21">
        <v>0</v>
      </c>
      <c r="V69" s="139">
        <f t="shared" si="8"/>
        <v>0</v>
      </c>
      <c r="W69" s="141">
        <f t="shared" si="9"/>
        <v>189</v>
      </c>
      <c r="X69" s="107">
        <f t="shared" si="10"/>
        <v>8.6184000000000012</v>
      </c>
      <c r="Y69" s="238">
        <v>5</v>
      </c>
      <c r="Z69" s="101">
        <v>10</v>
      </c>
    </row>
    <row r="70" spans="1:26" x14ac:dyDescent="0.25">
      <c r="A70" s="264">
        <v>66</v>
      </c>
      <c r="B70" s="261" t="s">
        <v>85</v>
      </c>
      <c r="C70" s="35">
        <v>140</v>
      </c>
      <c r="D70" s="35">
        <v>240</v>
      </c>
      <c r="E70" s="35">
        <v>12</v>
      </c>
      <c r="F70" s="114">
        <f t="shared" ref="F70:F72" si="17">(C70*D70*E70)/1000000</f>
        <v>0.4032</v>
      </c>
      <c r="G70" s="23">
        <f>'OCAK 3.HAFTA '!W70</f>
        <v>0</v>
      </c>
      <c r="H70" s="110">
        <f t="shared" ref="H70:H78" si="18">F70*G70</f>
        <v>0</v>
      </c>
      <c r="I70" s="21">
        <v>0</v>
      </c>
      <c r="J70" s="205">
        <f t="shared" si="12"/>
        <v>0</v>
      </c>
      <c r="K70" s="21">
        <v>0</v>
      </c>
      <c r="L70" s="10">
        <f t="shared" si="13"/>
        <v>0</v>
      </c>
      <c r="M70" s="21">
        <v>0</v>
      </c>
      <c r="N70" s="205">
        <f t="shared" si="14"/>
        <v>0</v>
      </c>
      <c r="O70" s="21">
        <v>0</v>
      </c>
      <c r="P70" s="10">
        <f t="shared" ref="P70:P78" si="19">F70*O70</f>
        <v>0</v>
      </c>
      <c r="Q70" s="21">
        <v>0</v>
      </c>
      <c r="R70" s="205">
        <f t="shared" si="15"/>
        <v>0</v>
      </c>
      <c r="S70" s="97">
        <f t="shared" si="11"/>
        <v>0</v>
      </c>
      <c r="T70" s="87">
        <f t="shared" si="16"/>
        <v>0</v>
      </c>
      <c r="U70" s="21">
        <v>0</v>
      </c>
      <c r="V70" s="139">
        <f t="shared" ref="V70" si="20">R70*U70</f>
        <v>0</v>
      </c>
      <c r="W70" s="141">
        <f t="shared" ref="W70:W78" si="21">S70+U70</f>
        <v>0</v>
      </c>
      <c r="X70" s="107">
        <f t="shared" ref="X70:X78" si="22">F70*W70</f>
        <v>0</v>
      </c>
      <c r="Y70" s="238">
        <v>20</v>
      </c>
      <c r="Z70" s="101">
        <v>50</v>
      </c>
    </row>
    <row r="71" spans="1:26" x14ac:dyDescent="0.25">
      <c r="A71" s="264">
        <v>67</v>
      </c>
      <c r="B71" s="261" t="s">
        <v>96</v>
      </c>
      <c r="C71" s="130">
        <v>140</v>
      </c>
      <c r="D71" s="130">
        <v>240</v>
      </c>
      <c r="E71" s="130">
        <v>2</v>
      </c>
      <c r="F71" s="131">
        <f t="shared" si="17"/>
        <v>6.7199999999999996E-2</v>
      </c>
      <c r="G71" s="23">
        <f>'OCAK 3.HAFTA '!W71</f>
        <v>0</v>
      </c>
      <c r="H71" s="135">
        <f t="shared" si="18"/>
        <v>0</v>
      </c>
      <c r="I71" s="21">
        <v>0</v>
      </c>
      <c r="J71" s="205">
        <f t="shared" si="12"/>
        <v>0</v>
      </c>
      <c r="K71" s="21">
        <v>0</v>
      </c>
      <c r="L71" s="10">
        <f t="shared" si="13"/>
        <v>0</v>
      </c>
      <c r="M71" s="21">
        <v>0</v>
      </c>
      <c r="N71" s="205">
        <f t="shared" si="14"/>
        <v>0</v>
      </c>
      <c r="O71" s="21">
        <v>0</v>
      </c>
      <c r="P71" s="173">
        <f t="shared" si="19"/>
        <v>0</v>
      </c>
      <c r="Q71" s="21">
        <v>0</v>
      </c>
      <c r="R71" s="205">
        <f t="shared" si="15"/>
        <v>0</v>
      </c>
      <c r="S71" s="97">
        <f t="shared" ref="S71:S78" si="23">G71-I71-K71-M71-O71-Q71</f>
        <v>0</v>
      </c>
      <c r="T71" s="97">
        <f t="shared" si="16"/>
        <v>0</v>
      </c>
      <c r="U71" s="21">
        <v>0</v>
      </c>
      <c r="V71" s="139">
        <f t="shared" ref="V71:V78" si="24">F71*U71</f>
        <v>0</v>
      </c>
      <c r="W71" s="141">
        <f t="shared" si="21"/>
        <v>0</v>
      </c>
      <c r="X71" s="141">
        <f t="shared" si="22"/>
        <v>0</v>
      </c>
      <c r="Y71" s="238">
        <v>30</v>
      </c>
      <c r="Z71" s="101">
        <v>100</v>
      </c>
    </row>
    <row r="72" spans="1:26" x14ac:dyDescent="0.25">
      <c r="A72" s="264">
        <v>68</v>
      </c>
      <c r="B72" s="262" t="s">
        <v>95</v>
      </c>
      <c r="C72" s="130">
        <v>61</v>
      </c>
      <c r="D72" s="130">
        <v>61</v>
      </c>
      <c r="E72" s="130">
        <v>3</v>
      </c>
      <c r="F72" s="131">
        <f t="shared" si="17"/>
        <v>1.1162999999999999E-2</v>
      </c>
      <c r="G72" s="23">
        <f>'OCAK 3.HAFTA '!W72</f>
        <v>138</v>
      </c>
      <c r="H72" s="135">
        <f t="shared" si="18"/>
        <v>1.5404939999999998</v>
      </c>
      <c r="I72" s="21">
        <v>0</v>
      </c>
      <c r="J72" s="205">
        <f t="shared" si="12"/>
        <v>0</v>
      </c>
      <c r="K72" s="21">
        <v>0</v>
      </c>
      <c r="L72" s="10">
        <f t="shared" si="13"/>
        <v>0</v>
      </c>
      <c r="M72" s="21">
        <v>0</v>
      </c>
      <c r="N72" s="205">
        <f t="shared" si="14"/>
        <v>0</v>
      </c>
      <c r="O72" s="21">
        <v>0</v>
      </c>
      <c r="P72" s="173">
        <f t="shared" si="19"/>
        <v>0</v>
      </c>
      <c r="Q72" s="21">
        <v>0</v>
      </c>
      <c r="R72" s="205">
        <f t="shared" si="15"/>
        <v>0</v>
      </c>
      <c r="S72" s="97">
        <f t="shared" si="23"/>
        <v>138</v>
      </c>
      <c r="T72" s="97">
        <f t="shared" si="16"/>
        <v>1.5404939999999998</v>
      </c>
      <c r="U72" s="21">
        <v>0</v>
      </c>
      <c r="V72" s="252">
        <f t="shared" si="24"/>
        <v>0</v>
      </c>
      <c r="W72" s="253">
        <f t="shared" si="21"/>
        <v>138</v>
      </c>
      <c r="X72" s="253">
        <f t="shared" si="22"/>
        <v>1.5404939999999998</v>
      </c>
      <c r="Y72" s="238">
        <v>0</v>
      </c>
      <c r="Z72" s="101">
        <v>0</v>
      </c>
    </row>
    <row r="73" spans="1:26" x14ac:dyDescent="0.25">
      <c r="A73" s="264">
        <v>69</v>
      </c>
      <c r="B73" s="108" t="s">
        <v>106</v>
      </c>
      <c r="C73" s="96"/>
      <c r="D73" s="96"/>
      <c r="E73" s="96"/>
      <c r="F73" s="109"/>
      <c r="G73" s="23">
        <f>'OCAK 3.HAFTA '!W73</f>
        <v>20</v>
      </c>
      <c r="H73" s="135">
        <f t="shared" si="18"/>
        <v>0</v>
      </c>
      <c r="I73" s="21">
        <v>0</v>
      </c>
      <c r="J73" s="205">
        <f t="shared" si="12"/>
        <v>0</v>
      </c>
      <c r="K73" s="21">
        <v>0</v>
      </c>
      <c r="L73" s="10">
        <f t="shared" si="13"/>
        <v>0</v>
      </c>
      <c r="M73" s="21">
        <v>0</v>
      </c>
      <c r="N73" s="205">
        <f t="shared" si="14"/>
        <v>0</v>
      </c>
      <c r="O73" s="21">
        <v>0</v>
      </c>
      <c r="P73" s="250">
        <f t="shared" si="19"/>
        <v>0</v>
      </c>
      <c r="Q73" s="21">
        <v>0</v>
      </c>
      <c r="R73" s="205">
        <f t="shared" si="15"/>
        <v>0</v>
      </c>
      <c r="S73" s="97">
        <f t="shared" si="23"/>
        <v>20</v>
      </c>
      <c r="T73" s="97">
        <f t="shared" si="16"/>
        <v>0</v>
      </c>
      <c r="U73" s="21">
        <v>0</v>
      </c>
      <c r="V73" s="252">
        <f t="shared" si="24"/>
        <v>0</v>
      </c>
      <c r="W73" s="253">
        <f t="shared" si="21"/>
        <v>20</v>
      </c>
      <c r="X73" s="253">
        <f t="shared" si="22"/>
        <v>0</v>
      </c>
      <c r="Y73" s="101">
        <v>0</v>
      </c>
      <c r="Z73" s="101">
        <v>0</v>
      </c>
    </row>
    <row r="74" spans="1:26" x14ac:dyDescent="0.25">
      <c r="A74" s="105">
        <v>70</v>
      </c>
      <c r="B74" s="270" t="s">
        <v>107</v>
      </c>
      <c r="C74" s="105"/>
      <c r="D74" s="105"/>
      <c r="E74" s="271"/>
      <c r="F74" s="125"/>
      <c r="G74" s="23">
        <f>'OCAK 3.HAFTA '!W74</f>
        <v>20</v>
      </c>
      <c r="H74" s="135">
        <f t="shared" si="18"/>
        <v>0</v>
      </c>
      <c r="I74" s="21">
        <v>0</v>
      </c>
      <c r="J74" s="205">
        <f t="shared" si="12"/>
        <v>0</v>
      </c>
      <c r="K74" s="21">
        <v>0</v>
      </c>
      <c r="L74" s="10">
        <f t="shared" si="13"/>
        <v>0</v>
      </c>
      <c r="M74" s="21">
        <v>0</v>
      </c>
      <c r="N74" s="205">
        <f t="shared" si="14"/>
        <v>0</v>
      </c>
      <c r="O74" s="21">
        <v>0</v>
      </c>
      <c r="P74" s="250">
        <f t="shared" si="19"/>
        <v>0</v>
      </c>
      <c r="Q74" s="21">
        <v>0</v>
      </c>
      <c r="R74" s="205">
        <f t="shared" si="15"/>
        <v>0</v>
      </c>
      <c r="S74" s="97">
        <f t="shared" si="23"/>
        <v>20</v>
      </c>
      <c r="T74" s="97">
        <f t="shared" si="16"/>
        <v>0</v>
      </c>
      <c r="U74" s="21">
        <v>0</v>
      </c>
      <c r="V74" s="252">
        <f t="shared" si="24"/>
        <v>0</v>
      </c>
      <c r="W74" s="253">
        <f t="shared" si="21"/>
        <v>20</v>
      </c>
      <c r="X74" s="253">
        <f t="shared" si="22"/>
        <v>0</v>
      </c>
      <c r="Y74" s="106"/>
      <c r="Z74" s="106"/>
    </row>
    <row r="75" spans="1:26" x14ac:dyDescent="0.25">
      <c r="A75" s="96">
        <v>71</v>
      </c>
      <c r="B75" s="265" t="s">
        <v>108</v>
      </c>
      <c r="C75" s="96">
        <v>140</v>
      </c>
      <c r="D75" s="96">
        <v>240</v>
      </c>
      <c r="E75" s="109">
        <v>6</v>
      </c>
      <c r="F75" s="131">
        <f t="shared" ref="F75:F78" si="25">(C75*D75*E75)/1000000</f>
        <v>0.2016</v>
      </c>
      <c r="G75" s="23">
        <f>'OCAK 3.HAFTA '!W75</f>
        <v>31</v>
      </c>
      <c r="H75" s="135">
        <f t="shared" si="18"/>
        <v>6.2496</v>
      </c>
      <c r="I75" s="21">
        <v>0</v>
      </c>
      <c r="J75" s="205">
        <f t="shared" si="12"/>
        <v>0</v>
      </c>
      <c r="K75" s="21">
        <v>0</v>
      </c>
      <c r="L75" s="96">
        <f t="shared" si="13"/>
        <v>0</v>
      </c>
      <c r="M75" s="21">
        <v>0</v>
      </c>
      <c r="N75" s="205">
        <f t="shared" si="14"/>
        <v>0</v>
      </c>
      <c r="O75" s="21">
        <v>0</v>
      </c>
      <c r="P75" s="250">
        <f t="shared" si="19"/>
        <v>0</v>
      </c>
      <c r="Q75" s="21">
        <v>0</v>
      </c>
      <c r="R75" s="174">
        <f t="shared" si="15"/>
        <v>0</v>
      </c>
      <c r="S75" s="281">
        <f t="shared" si="23"/>
        <v>31</v>
      </c>
      <c r="T75" s="97">
        <f t="shared" si="16"/>
        <v>6.2496</v>
      </c>
      <c r="U75" s="21">
        <v>0</v>
      </c>
      <c r="V75" s="252">
        <f t="shared" si="24"/>
        <v>0</v>
      </c>
      <c r="W75" s="253">
        <f t="shared" si="21"/>
        <v>31</v>
      </c>
      <c r="X75" s="253">
        <f t="shared" si="22"/>
        <v>6.2496</v>
      </c>
      <c r="Y75" s="106"/>
      <c r="Z75" s="106"/>
    </row>
    <row r="76" spans="1:26" x14ac:dyDescent="0.25">
      <c r="A76" s="277">
        <v>72</v>
      </c>
      <c r="B76" s="175" t="s">
        <v>113</v>
      </c>
      <c r="C76" s="2">
        <v>63</v>
      </c>
      <c r="D76" s="2">
        <v>60</v>
      </c>
      <c r="E76" s="2">
        <v>5</v>
      </c>
      <c r="F76" s="131">
        <f t="shared" si="25"/>
        <v>1.89E-2</v>
      </c>
      <c r="G76" s="23">
        <f>'OCAK 3.HAFTA '!W76</f>
        <v>119</v>
      </c>
      <c r="H76" s="135">
        <f t="shared" si="18"/>
        <v>2.2490999999999999</v>
      </c>
      <c r="I76" s="21">
        <v>7</v>
      </c>
      <c r="J76" s="205">
        <f t="shared" si="12"/>
        <v>0.1323</v>
      </c>
      <c r="K76" s="21">
        <v>0</v>
      </c>
      <c r="L76" s="96">
        <f t="shared" si="13"/>
        <v>0</v>
      </c>
      <c r="M76" s="21">
        <v>0</v>
      </c>
      <c r="N76" s="205">
        <f t="shared" si="14"/>
        <v>0</v>
      </c>
      <c r="O76" s="21">
        <v>5</v>
      </c>
      <c r="P76" s="250">
        <f t="shared" si="19"/>
        <v>9.4500000000000001E-2</v>
      </c>
      <c r="Q76" s="21">
        <v>0</v>
      </c>
      <c r="R76" s="174">
        <f t="shared" si="15"/>
        <v>0</v>
      </c>
      <c r="S76" s="281">
        <f t="shared" si="23"/>
        <v>107</v>
      </c>
      <c r="T76" s="251">
        <f t="shared" si="16"/>
        <v>2.0223</v>
      </c>
      <c r="U76" s="21">
        <v>0</v>
      </c>
      <c r="V76" s="252">
        <f t="shared" si="24"/>
        <v>0</v>
      </c>
      <c r="W76" s="253">
        <f t="shared" si="21"/>
        <v>107</v>
      </c>
      <c r="X76" s="253">
        <f t="shared" si="22"/>
        <v>2.0223</v>
      </c>
      <c r="Y76" s="106"/>
      <c r="Z76" s="106"/>
    </row>
    <row r="77" spans="1:26" ht="15.75" thickBot="1" x14ac:dyDescent="0.3">
      <c r="A77" s="279">
        <v>73</v>
      </c>
      <c r="B77" s="280" t="s">
        <v>115</v>
      </c>
      <c r="C77" s="2">
        <v>90</v>
      </c>
      <c r="D77" s="2">
        <v>85</v>
      </c>
      <c r="E77" s="2">
        <v>5</v>
      </c>
      <c r="F77" s="131">
        <f t="shared" si="25"/>
        <v>3.8249999999999999E-2</v>
      </c>
      <c r="G77" s="23">
        <f>'OCAK 3.HAFTA '!W77</f>
        <v>121</v>
      </c>
      <c r="H77" s="135">
        <f t="shared" si="18"/>
        <v>4.6282499999999995</v>
      </c>
      <c r="I77" s="21">
        <v>0</v>
      </c>
      <c r="J77" s="205">
        <f t="shared" si="12"/>
        <v>0</v>
      </c>
      <c r="K77" s="21">
        <v>0</v>
      </c>
      <c r="L77" s="96">
        <f t="shared" si="13"/>
        <v>0</v>
      </c>
      <c r="M77" s="21">
        <v>0</v>
      </c>
      <c r="N77" s="205">
        <f t="shared" si="14"/>
        <v>0</v>
      </c>
      <c r="O77" s="21">
        <v>0</v>
      </c>
      <c r="P77" s="250">
        <f t="shared" si="19"/>
        <v>0</v>
      </c>
      <c r="Q77" s="21">
        <v>14</v>
      </c>
      <c r="R77" s="174">
        <f t="shared" si="15"/>
        <v>0.53549999999999998</v>
      </c>
      <c r="S77" s="281">
        <f t="shared" si="23"/>
        <v>107</v>
      </c>
      <c r="T77" s="251">
        <f t="shared" si="16"/>
        <v>4.0927499999999997</v>
      </c>
      <c r="U77" s="21">
        <v>0</v>
      </c>
      <c r="V77" s="264">
        <f t="shared" si="24"/>
        <v>0</v>
      </c>
      <c r="W77" s="264">
        <f t="shared" si="21"/>
        <v>107</v>
      </c>
      <c r="X77" s="264">
        <f t="shared" si="22"/>
        <v>4.0927499999999997</v>
      </c>
      <c r="Y77" s="101"/>
      <c r="Z77" s="101"/>
    </row>
    <row r="78" spans="1:26" x14ac:dyDescent="0.25">
      <c r="A78" s="277">
        <v>74</v>
      </c>
      <c r="B78" s="151" t="s">
        <v>116</v>
      </c>
      <c r="C78" s="2">
        <v>100</v>
      </c>
      <c r="D78" s="2">
        <v>90</v>
      </c>
      <c r="E78" s="2">
        <v>3</v>
      </c>
      <c r="F78" s="131">
        <f t="shared" si="25"/>
        <v>2.7E-2</v>
      </c>
      <c r="G78" s="23">
        <f>'OCAK 3.HAFTA '!W78</f>
        <v>132</v>
      </c>
      <c r="H78" s="136">
        <f t="shared" si="18"/>
        <v>3.5640000000000001</v>
      </c>
      <c r="I78" s="21">
        <v>0</v>
      </c>
      <c r="J78" s="205">
        <f t="shared" si="12"/>
        <v>0</v>
      </c>
      <c r="K78" s="21">
        <v>0</v>
      </c>
      <c r="L78" s="96">
        <f t="shared" si="13"/>
        <v>0</v>
      </c>
      <c r="M78" s="21">
        <v>0</v>
      </c>
      <c r="N78" s="205">
        <f t="shared" si="14"/>
        <v>0</v>
      </c>
      <c r="O78" s="21">
        <v>0</v>
      </c>
      <c r="P78" s="174">
        <f t="shared" si="19"/>
        <v>0</v>
      </c>
      <c r="Q78" s="21">
        <v>0</v>
      </c>
      <c r="R78" s="174">
        <f t="shared" si="15"/>
        <v>0</v>
      </c>
      <c r="S78" s="282">
        <f t="shared" si="23"/>
        <v>132</v>
      </c>
      <c r="T78" s="97">
        <f t="shared" si="16"/>
        <v>3.5640000000000001</v>
      </c>
      <c r="U78" s="21">
        <v>0</v>
      </c>
      <c r="V78" s="264">
        <f t="shared" si="24"/>
        <v>0</v>
      </c>
      <c r="W78" s="264">
        <f t="shared" si="21"/>
        <v>132</v>
      </c>
      <c r="X78" s="264">
        <f t="shared" si="22"/>
        <v>3.5640000000000001</v>
      </c>
      <c r="Y78" s="101"/>
      <c r="Z78" s="101"/>
    </row>
  </sheetData>
  <mergeCells count="24">
    <mergeCell ref="S4:T4"/>
    <mergeCell ref="U4:V4"/>
    <mergeCell ref="W4:X4"/>
    <mergeCell ref="G4:H4"/>
    <mergeCell ref="I4:J4"/>
    <mergeCell ref="K4:L4"/>
    <mergeCell ref="M4:N4"/>
    <mergeCell ref="O4:P4"/>
    <mergeCell ref="Q4:R4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C1:H1"/>
    <mergeCell ref="G2:H3"/>
    <mergeCell ref="I2:J2"/>
    <mergeCell ref="K2:L2"/>
    <mergeCell ref="M2:N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78"/>
  <sheetViews>
    <sheetView topLeftCell="A2" workbookViewId="0">
      <selection activeCell="J11" sqref="J11"/>
    </sheetView>
  </sheetViews>
  <sheetFormatPr defaultRowHeight="15" x14ac:dyDescent="0.25"/>
  <cols>
    <col min="1" max="1" width="6.42578125" customWidth="1"/>
    <col min="2" max="2" width="20.140625" style="3" customWidth="1"/>
    <col min="3" max="3" width="9.7109375" style="2" hidden="1" customWidth="1"/>
    <col min="4" max="4" width="9.42578125" style="2" hidden="1" customWidth="1"/>
    <col min="5" max="5" width="11.42578125" style="2" hidden="1" customWidth="1"/>
    <col min="6" max="6" width="10.140625" style="4" hidden="1" customWidth="1"/>
    <col min="7" max="7" width="8.7109375" style="5" customWidth="1"/>
    <col min="8" max="8" width="9" style="5" customWidth="1"/>
    <col min="9" max="20" width="8.140625" style="2" customWidth="1"/>
    <col min="25" max="25" width="10.28515625" customWidth="1"/>
  </cols>
  <sheetData>
    <row r="1" spans="1:26" ht="15.75" thickBot="1" x14ac:dyDescent="0.3">
      <c r="B1" s="4" t="s">
        <v>18</v>
      </c>
      <c r="C1" s="320" t="s">
        <v>133</v>
      </c>
      <c r="D1" s="320"/>
      <c r="E1" s="320"/>
      <c r="F1" s="320"/>
      <c r="G1" s="320"/>
      <c r="H1" s="320"/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44956</v>
      </c>
      <c r="J2" s="326"/>
      <c r="K2" s="327">
        <v>44957</v>
      </c>
      <c r="L2" s="328"/>
      <c r="M2" s="325">
        <v>44958</v>
      </c>
      <c r="N2" s="329"/>
      <c r="O2" s="327">
        <v>44959</v>
      </c>
      <c r="P2" s="346"/>
      <c r="Q2" s="325">
        <v>44960</v>
      </c>
      <c r="R2" s="329"/>
      <c r="S2" s="330" t="s">
        <v>69</v>
      </c>
      <c r="T2" s="331"/>
      <c r="U2" s="334" t="s">
        <v>70</v>
      </c>
      <c r="V2" s="335"/>
      <c r="W2" s="338" t="s">
        <v>71</v>
      </c>
      <c r="X2" s="339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40"/>
      <c r="X3" s="341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51" t="s">
        <v>63</v>
      </c>
      <c r="X4" s="352"/>
      <c r="Y4" s="268" t="s">
        <v>99</v>
      </c>
      <c r="Z4" s="269" t="s">
        <v>100</v>
      </c>
    </row>
    <row r="5" spans="1:26" x14ac:dyDescent="0.25">
      <c r="A5" s="263">
        <v>1</v>
      </c>
      <c r="B5" s="256" t="s">
        <v>2</v>
      </c>
      <c r="C5" s="32">
        <v>140</v>
      </c>
      <c r="D5" s="33">
        <v>240</v>
      </c>
      <c r="E5" s="33">
        <v>1</v>
      </c>
      <c r="F5" s="15">
        <f>(C5*D5*E5)/1000000</f>
        <v>3.3599999999999998E-2</v>
      </c>
      <c r="G5" s="23">
        <f>'OCAK 4.HAFTA'!W5</f>
        <v>1221</v>
      </c>
      <c r="H5" s="24">
        <f>F5*G5</f>
        <v>41.025599999999997</v>
      </c>
      <c r="I5" s="21">
        <v>61</v>
      </c>
      <c r="J5" s="205">
        <f t="shared" ref="J5" si="0">F5*I5</f>
        <v>2.0495999999999999</v>
      </c>
      <c r="K5" s="21">
        <v>1</v>
      </c>
      <c r="L5" s="10">
        <f t="shared" ref="L5:L68" si="1">F5*K5</f>
        <v>3.3599999999999998E-2</v>
      </c>
      <c r="M5" s="21">
        <v>199</v>
      </c>
      <c r="N5" s="205">
        <f t="shared" ref="N5:N68" si="2">F5*M5</f>
        <v>6.6863999999999999</v>
      </c>
      <c r="O5" s="21">
        <v>62</v>
      </c>
      <c r="P5" s="10">
        <f>F5*O5</f>
        <v>2.0831999999999997</v>
      </c>
      <c r="Q5" s="21">
        <v>15</v>
      </c>
      <c r="R5" s="205">
        <f t="shared" ref="R5:R68" si="3">F5*Q5</f>
        <v>0.504</v>
      </c>
      <c r="S5" s="39">
        <f>G5-I5-K5-M5-O5-Q5</f>
        <v>883</v>
      </c>
      <c r="T5" s="38">
        <f t="shared" ref="T5:T68" si="4">F5*S5</f>
        <v>29.668799999999997</v>
      </c>
      <c r="U5" s="21">
        <v>0</v>
      </c>
      <c r="V5" s="13">
        <f>F5*U5</f>
        <v>0</v>
      </c>
      <c r="W5" s="49">
        <f>'HAZ-TEM 2023'!G5</f>
        <v>621</v>
      </c>
      <c r="X5" s="50">
        <f>F5*W5</f>
        <v>20.865599999999997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3</v>
      </c>
      <c r="C6" s="34">
        <v>140</v>
      </c>
      <c r="D6" s="35">
        <v>240</v>
      </c>
      <c r="E6" s="35">
        <v>0.8</v>
      </c>
      <c r="F6" s="19">
        <f t="shared" ref="F6:F69" si="5">(C6*D6*E6)/1000000</f>
        <v>2.6880000000000001E-2</v>
      </c>
      <c r="G6" s="23">
        <f>'OCAK 4.HAFTA'!W6</f>
        <v>762</v>
      </c>
      <c r="H6" s="26">
        <f t="shared" ref="H6:H69" si="6">F6*G6</f>
        <v>20.482559999999999</v>
      </c>
      <c r="I6" s="21">
        <v>6</v>
      </c>
      <c r="J6" s="205">
        <f t="shared" ref="J6:J68" si="7">F6*I6</f>
        <v>0.16128000000000001</v>
      </c>
      <c r="K6" s="21">
        <v>8</v>
      </c>
      <c r="L6" s="10">
        <f t="shared" si="1"/>
        <v>0.21504000000000001</v>
      </c>
      <c r="M6" s="21">
        <v>0</v>
      </c>
      <c r="N6" s="205">
        <f t="shared" si="2"/>
        <v>0</v>
      </c>
      <c r="O6" s="21">
        <v>13</v>
      </c>
      <c r="P6" s="10">
        <f t="shared" ref="P6:P69" si="8">F6*O6</f>
        <v>0.34944000000000003</v>
      </c>
      <c r="Q6" s="21">
        <v>12</v>
      </c>
      <c r="R6" s="205">
        <f t="shared" si="3"/>
        <v>0.32256000000000001</v>
      </c>
      <c r="S6" s="39">
        <f>G6-I6-K6-M6-O6-Q6</f>
        <v>723</v>
      </c>
      <c r="T6" s="38">
        <f t="shared" si="4"/>
        <v>19.434239999999999</v>
      </c>
      <c r="U6" s="21">
        <v>0</v>
      </c>
      <c r="V6" s="13">
        <f t="shared" ref="V6:V69" si="9">F6*U6</f>
        <v>0</v>
      </c>
      <c r="W6" s="49">
        <f t="shared" ref="W6:W69" si="10">S6+U6</f>
        <v>723</v>
      </c>
      <c r="X6" s="50">
        <f t="shared" ref="X6:X69" si="11">F6*W6</f>
        <v>19.434239999999999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4</v>
      </c>
      <c r="C7" s="34">
        <v>140</v>
      </c>
      <c r="D7" s="35">
        <v>238</v>
      </c>
      <c r="E7" s="35">
        <v>1.4</v>
      </c>
      <c r="F7" s="19">
        <f t="shared" si="5"/>
        <v>4.6648000000000002E-2</v>
      </c>
      <c r="G7" s="23">
        <f>'OCAK 4.HAFTA'!W7</f>
        <v>511</v>
      </c>
      <c r="H7" s="26">
        <f t="shared" si="6"/>
        <v>23.837128</v>
      </c>
      <c r="I7" s="21">
        <v>0</v>
      </c>
      <c r="J7" s="205">
        <f t="shared" si="7"/>
        <v>0</v>
      </c>
      <c r="K7" s="21">
        <v>20</v>
      </c>
      <c r="L7" s="10">
        <f t="shared" si="1"/>
        <v>0.93296000000000001</v>
      </c>
      <c r="M7" s="21">
        <v>7</v>
      </c>
      <c r="N7" s="205">
        <f t="shared" si="2"/>
        <v>0.32653599999999999</v>
      </c>
      <c r="O7" s="21">
        <v>9</v>
      </c>
      <c r="P7" s="10">
        <f t="shared" si="8"/>
        <v>0.41983200000000004</v>
      </c>
      <c r="Q7" s="21">
        <v>25</v>
      </c>
      <c r="R7" s="205">
        <f t="shared" si="3"/>
        <v>1.1662000000000001</v>
      </c>
      <c r="S7" s="39">
        <f t="shared" ref="S7:S70" si="12">G7-I7-K7-M7-O7-Q7</f>
        <v>450</v>
      </c>
      <c r="T7" s="38">
        <f t="shared" si="4"/>
        <v>20.991600000000002</v>
      </c>
      <c r="U7" s="21">
        <v>0</v>
      </c>
      <c r="V7" s="13">
        <f t="shared" si="9"/>
        <v>0</v>
      </c>
      <c r="W7" s="49">
        <f t="shared" si="10"/>
        <v>450</v>
      </c>
      <c r="X7" s="50">
        <f t="shared" si="11"/>
        <v>20.991600000000002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114</v>
      </c>
      <c r="C8" s="34">
        <v>140</v>
      </c>
      <c r="D8" s="35">
        <v>240</v>
      </c>
      <c r="E8" s="35">
        <v>4</v>
      </c>
      <c r="F8" s="19">
        <f t="shared" si="5"/>
        <v>0.13439999999999999</v>
      </c>
      <c r="G8" s="23">
        <f>'OCAK 4.HAFTA'!W8</f>
        <v>0</v>
      </c>
      <c r="H8" s="26">
        <f t="shared" si="6"/>
        <v>0</v>
      </c>
      <c r="I8" s="21">
        <v>0</v>
      </c>
      <c r="J8" s="205">
        <f t="shared" si="7"/>
        <v>0</v>
      </c>
      <c r="K8" s="21">
        <v>0</v>
      </c>
      <c r="L8" s="10">
        <f t="shared" si="1"/>
        <v>0</v>
      </c>
      <c r="M8" s="21">
        <v>0</v>
      </c>
      <c r="N8" s="205">
        <f t="shared" si="2"/>
        <v>0</v>
      </c>
      <c r="O8" s="21">
        <v>0</v>
      </c>
      <c r="P8" s="10">
        <f t="shared" si="8"/>
        <v>0</v>
      </c>
      <c r="Q8" s="21">
        <v>0</v>
      </c>
      <c r="R8" s="205">
        <f t="shared" si="3"/>
        <v>0</v>
      </c>
      <c r="S8" s="39">
        <f t="shared" si="12"/>
        <v>0</v>
      </c>
      <c r="T8" s="38">
        <f t="shared" si="4"/>
        <v>0</v>
      </c>
      <c r="U8" s="21">
        <v>0</v>
      </c>
      <c r="V8" s="13">
        <f t="shared" si="9"/>
        <v>0</v>
      </c>
      <c r="W8" s="49">
        <f t="shared" si="10"/>
        <v>0</v>
      </c>
      <c r="X8" s="50">
        <f t="shared" si="11"/>
        <v>0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6</v>
      </c>
      <c r="C9" s="34">
        <v>140</v>
      </c>
      <c r="D9" s="35">
        <v>240</v>
      </c>
      <c r="E9" s="35">
        <v>2</v>
      </c>
      <c r="F9" s="19">
        <f t="shared" si="5"/>
        <v>6.7199999999999996E-2</v>
      </c>
      <c r="G9" s="23">
        <f>'OCAK 4.HAFTA'!W9</f>
        <v>477</v>
      </c>
      <c r="H9" s="26">
        <f t="shared" si="6"/>
        <v>32.054400000000001</v>
      </c>
      <c r="I9" s="21">
        <v>5</v>
      </c>
      <c r="J9" s="205">
        <f t="shared" si="7"/>
        <v>0.33599999999999997</v>
      </c>
      <c r="K9" s="21">
        <v>1</v>
      </c>
      <c r="L9" s="10">
        <f t="shared" si="1"/>
        <v>6.7199999999999996E-2</v>
      </c>
      <c r="M9" s="21">
        <v>10</v>
      </c>
      <c r="N9" s="205">
        <f t="shared" si="2"/>
        <v>0.67199999999999993</v>
      </c>
      <c r="O9" s="21">
        <v>0</v>
      </c>
      <c r="P9" s="10">
        <f t="shared" si="8"/>
        <v>0</v>
      </c>
      <c r="Q9" s="21">
        <v>2</v>
      </c>
      <c r="R9" s="205">
        <f t="shared" si="3"/>
        <v>0.13439999999999999</v>
      </c>
      <c r="S9" s="39">
        <f t="shared" si="12"/>
        <v>459</v>
      </c>
      <c r="T9" s="38">
        <f t="shared" si="4"/>
        <v>30.844799999999999</v>
      </c>
      <c r="U9" s="21">
        <v>0</v>
      </c>
      <c r="V9" s="13">
        <f t="shared" si="9"/>
        <v>0</v>
      </c>
      <c r="W9" s="49">
        <f t="shared" si="10"/>
        <v>459</v>
      </c>
      <c r="X9" s="50">
        <f t="shared" si="11"/>
        <v>30.844799999999999</v>
      </c>
      <c r="Y9" s="238">
        <v>50</v>
      </c>
      <c r="Z9" s="101">
        <v>150</v>
      </c>
    </row>
    <row r="10" spans="1:26" x14ac:dyDescent="0.25">
      <c r="A10" s="264">
        <v>6</v>
      </c>
      <c r="B10" s="256" t="s">
        <v>7</v>
      </c>
      <c r="C10" s="34">
        <v>140</v>
      </c>
      <c r="D10" s="35">
        <v>240</v>
      </c>
      <c r="E10" s="35">
        <v>2</v>
      </c>
      <c r="F10" s="19">
        <f t="shared" si="5"/>
        <v>6.7199999999999996E-2</v>
      </c>
      <c r="G10" s="23">
        <f>'OCAK 4.HAFTA'!W10</f>
        <v>122</v>
      </c>
      <c r="H10" s="26">
        <f t="shared" si="6"/>
        <v>8.1983999999999995</v>
      </c>
      <c r="I10" s="21">
        <v>5</v>
      </c>
      <c r="J10" s="205">
        <f t="shared" si="7"/>
        <v>0.33599999999999997</v>
      </c>
      <c r="K10" s="21">
        <v>27</v>
      </c>
      <c r="L10" s="10">
        <f t="shared" si="1"/>
        <v>1.8143999999999998</v>
      </c>
      <c r="M10" s="21">
        <v>0</v>
      </c>
      <c r="N10" s="205">
        <f t="shared" si="2"/>
        <v>0</v>
      </c>
      <c r="O10" s="21">
        <v>13</v>
      </c>
      <c r="P10" s="10">
        <f t="shared" si="8"/>
        <v>0.87359999999999993</v>
      </c>
      <c r="Q10" s="21">
        <v>28</v>
      </c>
      <c r="R10" s="205">
        <f t="shared" si="3"/>
        <v>1.8815999999999999</v>
      </c>
      <c r="S10" s="39">
        <f t="shared" si="12"/>
        <v>49</v>
      </c>
      <c r="T10" s="38">
        <f t="shared" si="4"/>
        <v>3.2927999999999997</v>
      </c>
      <c r="U10" s="21">
        <v>0</v>
      </c>
      <c r="V10" s="13">
        <f t="shared" si="9"/>
        <v>0</v>
      </c>
      <c r="W10" s="49">
        <f t="shared" si="10"/>
        <v>49</v>
      </c>
      <c r="X10" s="50">
        <f t="shared" si="11"/>
        <v>3.2927999999999997</v>
      </c>
      <c r="Y10" s="238">
        <v>75</v>
      </c>
      <c r="Z10" s="101">
        <v>300</v>
      </c>
    </row>
    <row r="11" spans="1:26" x14ac:dyDescent="0.25">
      <c r="A11" s="264">
        <v>7</v>
      </c>
      <c r="B11" s="256" t="s">
        <v>8</v>
      </c>
      <c r="C11" s="34">
        <v>140</v>
      </c>
      <c r="D11" s="35">
        <v>240</v>
      </c>
      <c r="E11" s="35">
        <v>7</v>
      </c>
      <c r="F11" s="19">
        <f t="shared" si="5"/>
        <v>0.23519999999999999</v>
      </c>
      <c r="G11" s="23">
        <f>'OCAK 4.HAFTA'!W11</f>
        <v>111</v>
      </c>
      <c r="H11" s="26">
        <f t="shared" si="6"/>
        <v>26.107199999999999</v>
      </c>
      <c r="I11" s="21">
        <v>0</v>
      </c>
      <c r="J11" s="205">
        <f t="shared" si="7"/>
        <v>0</v>
      </c>
      <c r="K11" s="21">
        <v>3</v>
      </c>
      <c r="L11" s="10">
        <f t="shared" si="1"/>
        <v>0.7056</v>
      </c>
      <c r="M11" s="21">
        <v>0</v>
      </c>
      <c r="N11" s="205">
        <f t="shared" si="2"/>
        <v>0</v>
      </c>
      <c r="O11" s="21">
        <v>0</v>
      </c>
      <c r="P11" s="10">
        <f t="shared" si="8"/>
        <v>0</v>
      </c>
      <c r="Q11" s="21">
        <v>0</v>
      </c>
      <c r="R11" s="205">
        <f t="shared" si="3"/>
        <v>0</v>
      </c>
      <c r="S11" s="39">
        <f t="shared" si="12"/>
        <v>108</v>
      </c>
      <c r="T11" s="38">
        <f t="shared" si="4"/>
        <v>25.401599999999998</v>
      </c>
      <c r="U11" s="21">
        <v>0</v>
      </c>
      <c r="V11" s="13">
        <f t="shared" si="9"/>
        <v>0</v>
      </c>
      <c r="W11" s="49">
        <f t="shared" si="10"/>
        <v>108</v>
      </c>
      <c r="X11" s="50">
        <f t="shared" si="11"/>
        <v>25.401599999999998</v>
      </c>
      <c r="Y11" s="238">
        <v>20</v>
      </c>
      <c r="Z11" s="101">
        <v>50</v>
      </c>
    </row>
    <row r="12" spans="1:26" x14ac:dyDescent="0.25">
      <c r="A12" s="264">
        <v>8</v>
      </c>
      <c r="B12" s="256" t="s">
        <v>9</v>
      </c>
      <c r="C12" s="34">
        <v>140</v>
      </c>
      <c r="D12" s="35">
        <v>240</v>
      </c>
      <c r="E12" s="35">
        <v>5</v>
      </c>
      <c r="F12" s="19">
        <f t="shared" si="5"/>
        <v>0.16800000000000001</v>
      </c>
      <c r="G12" s="23">
        <f>'OCAK 4.HAFTA'!W12</f>
        <v>138</v>
      </c>
      <c r="H12" s="26">
        <f t="shared" si="6"/>
        <v>23.184000000000001</v>
      </c>
      <c r="I12" s="21">
        <v>6</v>
      </c>
      <c r="J12" s="205">
        <f t="shared" si="7"/>
        <v>1.008</v>
      </c>
      <c r="K12" s="21">
        <v>0</v>
      </c>
      <c r="L12" s="10">
        <f t="shared" si="1"/>
        <v>0</v>
      </c>
      <c r="M12" s="21">
        <v>14</v>
      </c>
      <c r="N12" s="205">
        <f t="shared" si="2"/>
        <v>2.3520000000000003</v>
      </c>
      <c r="O12" s="21">
        <v>0</v>
      </c>
      <c r="P12" s="10">
        <f t="shared" si="8"/>
        <v>0</v>
      </c>
      <c r="Q12" s="21">
        <v>16</v>
      </c>
      <c r="R12" s="205">
        <f t="shared" si="3"/>
        <v>2.6880000000000002</v>
      </c>
      <c r="S12" s="39">
        <f t="shared" si="12"/>
        <v>102</v>
      </c>
      <c r="T12" s="38">
        <f t="shared" si="4"/>
        <v>17.136000000000003</v>
      </c>
      <c r="U12" s="21">
        <v>0</v>
      </c>
      <c r="V12" s="13">
        <f t="shared" si="9"/>
        <v>0</v>
      </c>
      <c r="W12" s="49">
        <f t="shared" si="10"/>
        <v>102</v>
      </c>
      <c r="X12" s="50">
        <f t="shared" si="11"/>
        <v>17.136000000000003</v>
      </c>
      <c r="Y12" s="238">
        <v>30</v>
      </c>
      <c r="Z12" s="101">
        <v>100</v>
      </c>
    </row>
    <row r="13" spans="1:26" x14ac:dyDescent="0.25">
      <c r="A13" s="264">
        <v>9</v>
      </c>
      <c r="B13" s="256" t="s">
        <v>10</v>
      </c>
      <c r="C13" s="34">
        <v>140</v>
      </c>
      <c r="D13" s="35">
        <v>240</v>
      </c>
      <c r="E13" s="35">
        <v>5</v>
      </c>
      <c r="F13" s="19">
        <f t="shared" si="5"/>
        <v>0.16800000000000001</v>
      </c>
      <c r="G13" s="23">
        <f>'OCAK 4.HAFTA'!W13</f>
        <v>71</v>
      </c>
      <c r="H13" s="26">
        <f t="shared" si="6"/>
        <v>11.928000000000001</v>
      </c>
      <c r="I13" s="21">
        <v>0</v>
      </c>
      <c r="J13" s="205">
        <f t="shared" si="7"/>
        <v>0</v>
      </c>
      <c r="K13" s="21">
        <v>1</v>
      </c>
      <c r="L13" s="10">
        <f t="shared" si="1"/>
        <v>0.16800000000000001</v>
      </c>
      <c r="M13" s="21">
        <v>0</v>
      </c>
      <c r="N13" s="205">
        <f t="shared" si="2"/>
        <v>0</v>
      </c>
      <c r="O13" s="21">
        <v>3</v>
      </c>
      <c r="P13" s="10">
        <f t="shared" si="8"/>
        <v>0.504</v>
      </c>
      <c r="Q13" s="21">
        <v>2</v>
      </c>
      <c r="R13" s="205">
        <f t="shared" si="3"/>
        <v>0.33600000000000002</v>
      </c>
      <c r="S13" s="39">
        <f t="shared" si="12"/>
        <v>65</v>
      </c>
      <c r="T13" s="38">
        <f t="shared" si="4"/>
        <v>10.92</v>
      </c>
      <c r="U13" s="21">
        <v>0</v>
      </c>
      <c r="V13" s="13">
        <f t="shared" si="9"/>
        <v>0</v>
      </c>
      <c r="W13" s="49">
        <f t="shared" si="10"/>
        <v>65</v>
      </c>
      <c r="X13" s="50">
        <f t="shared" si="11"/>
        <v>10.92</v>
      </c>
      <c r="Y13" s="238">
        <v>20</v>
      </c>
      <c r="Z13" s="101">
        <v>50</v>
      </c>
    </row>
    <row r="14" spans="1:26" x14ac:dyDescent="0.25">
      <c r="A14" s="264">
        <v>10</v>
      </c>
      <c r="B14" s="256" t="s">
        <v>11</v>
      </c>
      <c r="C14" s="34">
        <v>140</v>
      </c>
      <c r="D14" s="35">
        <v>240</v>
      </c>
      <c r="E14" s="35">
        <v>5</v>
      </c>
      <c r="F14" s="19">
        <f t="shared" si="5"/>
        <v>0.16800000000000001</v>
      </c>
      <c r="G14" s="23">
        <f>'OCAK 4.HAFTA'!W14</f>
        <v>218</v>
      </c>
      <c r="H14" s="26">
        <f t="shared" si="6"/>
        <v>36.624000000000002</v>
      </c>
      <c r="I14" s="21">
        <v>1</v>
      </c>
      <c r="J14" s="205">
        <f t="shared" si="7"/>
        <v>0.16800000000000001</v>
      </c>
      <c r="K14" s="21">
        <v>2</v>
      </c>
      <c r="L14" s="10">
        <f t="shared" si="1"/>
        <v>0.33600000000000002</v>
      </c>
      <c r="M14" s="21">
        <v>0</v>
      </c>
      <c r="N14" s="205">
        <f t="shared" si="2"/>
        <v>0</v>
      </c>
      <c r="O14" s="21">
        <v>0</v>
      </c>
      <c r="P14" s="10">
        <f t="shared" si="8"/>
        <v>0</v>
      </c>
      <c r="Q14" s="21">
        <v>0</v>
      </c>
      <c r="R14" s="205">
        <f t="shared" si="3"/>
        <v>0</v>
      </c>
      <c r="S14" s="39">
        <f t="shared" si="12"/>
        <v>215</v>
      </c>
      <c r="T14" s="38">
        <f t="shared" si="4"/>
        <v>36.120000000000005</v>
      </c>
      <c r="U14" s="21">
        <v>0</v>
      </c>
      <c r="V14" s="13">
        <f t="shared" si="9"/>
        <v>0</v>
      </c>
      <c r="W14" s="49">
        <f t="shared" si="10"/>
        <v>215</v>
      </c>
      <c r="X14" s="50">
        <f t="shared" si="11"/>
        <v>36.120000000000005</v>
      </c>
      <c r="Y14" s="238">
        <v>30</v>
      </c>
      <c r="Z14" s="101">
        <v>100</v>
      </c>
    </row>
    <row r="15" spans="1:26" x14ac:dyDescent="0.25">
      <c r="A15" s="264">
        <v>11</v>
      </c>
      <c r="B15" s="256" t="s">
        <v>12</v>
      </c>
      <c r="C15" s="34">
        <v>140</v>
      </c>
      <c r="D15" s="35">
        <v>240</v>
      </c>
      <c r="E15" s="35">
        <v>10</v>
      </c>
      <c r="F15" s="19">
        <f t="shared" si="5"/>
        <v>0.33600000000000002</v>
      </c>
      <c r="G15" s="23">
        <f>'OCAK 4.HAFTA'!W15</f>
        <v>16</v>
      </c>
      <c r="H15" s="26">
        <f t="shared" si="6"/>
        <v>5.3760000000000003</v>
      </c>
      <c r="I15" s="21">
        <v>1</v>
      </c>
      <c r="J15" s="205">
        <f t="shared" si="7"/>
        <v>0.33600000000000002</v>
      </c>
      <c r="K15" s="21">
        <v>1</v>
      </c>
      <c r="L15" s="10">
        <f t="shared" si="1"/>
        <v>0.33600000000000002</v>
      </c>
      <c r="M15" s="21">
        <v>0</v>
      </c>
      <c r="N15" s="205">
        <f t="shared" si="2"/>
        <v>0</v>
      </c>
      <c r="O15" s="21">
        <v>0</v>
      </c>
      <c r="P15" s="10">
        <f t="shared" si="8"/>
        <v>0</v>
      </c>
      <c r="Q15" s="21">
        <v>0</v>
      </c>
      <c r="R15" s="205">
        <f t="shared" si="3"/>
        <v>0</v>
      </c>
      <c r="S15" s="39">
        <f t="shared" si="12"/>
        <v>14</v>
      </c>
      <c r="T15" s="38">
        <f t="shared" si="4"/>
        <v>4.7040000000000006</v>
      </c>
      <c r="U15" s="21">
        <v>0</v>
      </c>
      <c r="V15" s="13">
        <f t="shared" si="9"/>
        <v>0</v>
      </c>
      <c r="W15" s="49">
        <f t="shared" si="10"/>
        <v>14</v>
      </c>
      <c r="X15" s="50">
        <f t="shared" si="11"/>
        <v>4.7040000000000006</v>
      </c>
      <c r="Y15" s="238">
        <v>20</v>
      </c>
      <c r="Z15" s="101">
        <v>70</v>
      </c>
    </row>
    <row r="16" spans="1:26" x14ac:dyDescent="0.25">
      <c r="A16" s="264">
        <v>12</v>
      </c>
      <c r="B16" s="256" t="s">
        <v>13</v>
      </c>
      <c r="C16" s="34">
        <v>140</v>
      </c>
      <c r="D16" s="35">
        <v>240</v>
      </c>
      <c r="E16" s="35">
        <v>3</v>
      </c>
      <c r="F16" s="19">
        <f t="shared" si="5"/>
        <v>0.1008</v>
      </c>
      <c r="G16" s="23">
        <f>'OCAK 4.HAFTA'!W16</f>
        <v>26</v>
      </c>
      <c r="H16" s="26">
        <f t="shared" si="6"/>
        <v>2.6208</v>
      </c>
      <c r="I16" s="21">
        <v>7</v>
      </c>
      <c r="J16" s="205">
        <f t="shared" si="7"/>
        <v>0.7056</v>
      </c>
      <c r="K16" s="21">
        <v>0</v>
      </c>
      <c r="L16" s="10">
        <f t="shared" si="1"/>
        <v>0</v>
      </c>
      <c r="M16" s="21">
        <v>0</v>
      </c>
      <c r="N16" s="205">
        <f t="shared" si="2"/>
        <v>0</v>
      </c>
      <c r="O16" s="21">
        <v>0</v>
      </c>
      <c r="P16" s="10">
        <f t="shared" si="8"/>
        <v>0</v>
      </c>
      <c r="Q16" s="21">
        <v>0</v>
      </c>
      <c r="R16" s="205">
        <f t="shared" si="3"/>
        <v>0</v>
      </c>
      <c r="S16" s="39">
        <f t="shared" si="12"/>
        <v>19</v>
      </c>
      <c r="T16" s="38">
        <f t="shared" si="4"/>
        <v>1.9152</v>
      </c>
      <c r="U16" s="21">
        <v>0</v>
      </c>
      <c r="V16" s="13">
        <f t="shared" si="9"/>
        <v>0</v>
      </c>
      <c r="W16" s="49">
        <f t="shared" si="10"/>
        <v>19</v>
      </c>
      <c r="X16" s="50">
        <f t="shared" si="11"/>
        <v>1.9152</v>
      </c>
      <c r="Y16" s="238">
        <v>50</v>
      </c>
      <c r="Z16" s="101">
        <v>150</v>
      </c>
    </row>
    <row r="17" spans="1:26" x14ac:dyDescent="0.25">
      <c r="A17" s="264">
        <v>13</v>
      </c>
      <c r="B17" s="256" t="s">
        <v>14</v>
      </c>
      <c r="C17" s="34">
        <v>140</v>
      </c>
      <c r="D17" s="35">
        <v>240</v>
      </c>
      <c r="E17" s="35">
        <v>5</v>
      </c>
      <c r="F17" s="19">
        <f t="shared" si="5"/>
        <v>0.16800000000000001</v>
      </c>
      <c r="G17" s="23">
        <f>'OCAK 4.HAFTA'!W17</f>
        <v>0</v>
      </c>
      <c r="H17" s="26">
        <f t="shared" si="6"/>
        <v>0</v>
      </c>
      <c r="I17" s="21">
        <v>0</v>
      </c>
      <c r="J17" s="205">
        <f t="shared" si="7"/>
        <v>0</v>
      </c>
      <c r="K17" s="21">
        <v>0</v>
      </c>
      <c r="L17" s="10">
        <f t="shared" si="1"/>
        <v>0</v>
      </c>
      <c r="M17" s="21">
        <v>0</v>
      </c>
      <c r="N17" s="205">
        <f t="shared" si="2"/>
        <v>0</v>
      </c>
      <c r="O17" s="21">
        <v>0</v>
      </c>
      <c r="P17" s="10">
        <f t="shared" si="8"/>
        <v>0</v>
      </c>
      <c r="Q17" s="21">
        <v>0</v>
      </c>
      <c r="R17" s="205">
        <f t="shared" si="3"/>
        <v>0</v>
      </c>
      <c r="S17" s="39">
        <f t="shared" si="12"/>
        <v>0</v>
      </c>
      <c r="T17" s="38">
        <f t="shared" si="4"/>
        <v>0</v>
      </c>
      <c r="U17" s="21">
        <v>0</v>
      </c>
      <c r="V17" s="13">
        <f t="shared" si="9"/>
        <v>0</v>
      </c>
      <c r="W17" s="49">
        <f t="shared" si="10"/>
        <v>0</v>
      </c>
      <c r="X17" s="50">
        <f t="shared" si="11"/>
        <v>0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15</v>
      </c>
      <c r="C18" s="34">
        <v>140</v>
      </c>
      <c r="D18" s="35">
        <v>240</v>
      </c>
      <c r="E18" s="35">
        <v>3</v>
      </c>
      <c r="F18" s="19">
        <f t="shared" si="5"/>
        <v>0.1008</v>
      </c>
      <c r="G18" s="23">
        <f>'OCAK 4.HAFTA'!W18</f>
        <v>49</v>
      </c>
      <c r="H18" s="26">
        <f t="shared" si="6"/>
        <v>4.9391999999999996</v>
      </c>
      <c r="I18" s="21">
        <v>3</v>
      </c>
      <c r="J18" s="205">
        <f t="shared" si="7"/>
        <v>0.3024</v>
      </c>
      <c r="K18" s="21">
        <v>18</v>
      </c>
      <c r="L18" s="10">
        <f t="shared" si="1"/>
        <v>1.8144</v>
      </c>
      <c r="M18" s="21">
        <v>3</v>
      </c>
      <c r="N18" s="205">
        <f t="shared" si="2"/>
        <v>0.3024</v>
      </c>
      <c r="O18" s="21">
        <v>2</v>
      </c>
      <c r="P18" s="10">
        <f t="shared" si="8"/>
        <v>0.2016</v>
      </c>
      <c r="Q18" s="21">
        <v>11</v>
      </c>
      <c r="R18" s="205">
        <f t="shared" si="3"/>
        <v>1.1088</v>
      </c>
      <c r="S18" s="39">
        <f t="shared" si="12"/>
        <v>12</v>
      </c>
      <c r="T18" s="38">
        <f t="shared" si="4"/>
        <v>1.2096</v>
      </c>
      <c r="U18" s="21">
        <v>0</v>
      </c>
      <c r="V18" s="13">
        <f t="shared" si="9"/>
        <v>0</v>
      </c>
      <c r="W18" s="49">
        <f t="shared" si="10"/>
        <v>12</v>
      </c>
      <c r="X18" s="50">
        <f t="shared" si="11"/>
        <v>1.2096</v>
      </c>
      <c r="Y18" s="238">
        <v>30</v>
      </c>
      <c r="Z18" s="101">
        <v>100</v>
      </c>
    </row>
    <row r="19" spans="1:26" x14ac:dyDescent="0.25">
      <c r="A19" s="264">
        <v>15</v>
      </c>
      <c r="B19" s="256" t="s">
        <v>16</v>
      </c>
      <c r="C19" s="34">
        <v>140</v>
      </c>
      <c r="D19" s="35">
        <v>240</v>
      </c>
      <c r="E19" s="35">
        <v>8</v>
      </c>
      <c r="F19" s="19">
        <f t="shared" si="5"/>
        <v>0.26879999999999998</v>
      </c>
      <c r="G19" s="23">
        <f>'OCAK 4.HAFTA'!W19</f>
        <v>0</v>
      </c>
      <c r="H19" s="26">
        <f t="shared" si="6"/>
        <v>0</v>
      </c>
      <c r="I19" s="21">
        <v>0</v>
      </c>
      <c r="J19" s="205">
        <f t="shared" si="7"/>
        <v>0</v>
      </c>
      <c r="K19" s="21">
        <v>0</v>
      </c>
      <c r="L19" s="10">
        <f t="shared" si="1"/>
        <v>0</v>
      </c>
      <c r="M19" s="21">
        <v>0</v>
      </c>
      <c r="N19" s="205">
        <f t="shared" si="2"/>
        <v>0</v>
      </c>
      <c r="O19" s="21">
        <v>0</v>
      </c>
      <c r="P19" s="10">
        <f t="shared" si="8"/>
        <v>0</v>
      </c>
      <c r="Q19" s="21">
        <v>0</v>
      </c>
      <c r="R19" s="205">
        <f t="shared" si="3"/>
        <v>0</v>
      </c>
      <c r="S19" s="39">
        <f t="shared" si="12"/>
        <v>0</v>
      </c>
      <c r="T19" s="38">
        <f t="shared" si="4"/>
        <v>0</v>
      </c>
      <c r="U19" s="21">
        <v>0</v>
      </c>
      <c r="V19" s="13">
        <f t="shared" si="9"/>
        <v>0</v>
      </c>
      <c r="W19" s="49">
        <f t="shared" si="10"/>
        <v>0</v>
      </c>
      <c r="X19" s="50">
        <f t="shared" si="11"/>
        <v>0</v>
      </c>
      <c r="Y19" s="238">
        <v>10</v>
      </c>
      <c r="Z19" s="101">
        <v>30</v>
      </c>
    </row>
    <row r="20" spans="1:26" x14ac:dyDescent="0.25">
      <c r="A20" s="264">
        <v>16</v>
      </c>
      <c r="B20" s="256" t="s">
        <v>17</v>
      </c>
      <c r="C20" s="34">
        <v>140</v>
      </c>
      <c r="D20" s="35">
        <v>240</v>
      </c>
      <c r="E20" s="35">
        <v>8</v>
      </c>
      <c r="F20" s="19">
        <f t="shared" si="5"/>
        <v>0.26879999999999998</v>
      </c>
      <c r="G20" s="23">
        <f>'OCAK 4.HAFTA'!W20</f>
        <v>0</v>
      </c>
      <c r="H20" s="26">
        <f t="shared" si="6"/>
        <v>0</v>
      </c>
      <c r="I20" s="21">
        <v>0</v>
      </c>
      <c r="J20" s="205">
        <f t="shared" si="7"/>
        <v>0</v>
      </c>
      <c r="K20" s="21">
        <v>0</v>
      </c>
      <c r="L20" s="10">
        <f t="shared" si="1"/>
        <v>0</v>
      </c>
      <c r="M20" s="21">
        <v>0</v>
      </c>
      <c r="N20" s="205">
        <f t="shared" si="2"/>
        <v>0</v>
      </c>
      <c r="O20" s="21">
        <v>0</v>
      </c>
      <c r="P20" s="10">
        <f t="shared" si="8"/>
        <v>0</v>
      </c>
      <c r="Q20" s="21">
        <v>0</v>
      </c>
      <c r="R20" s="205">
        <f t="shared" si="3"/>
        <v>0</v>
      </c>
      <c r="S20" s="39">
        <f t="shared" si="12"/>
        <v>0</v>
      </c>
      <c r="T20" s="38">
        <f t="shared" si="4"/>
        <v>0</v>
      </c>
      <c r="U20" s="21">
        <v>0</v>
      </c>
      <c r="V20" s="13">
        <f t="shared" si="9"/>
        <v>0</v>
      </c>
      <c r="W20" s="49">
        <f t="shared" si="10"/>
        <v>0</v>
      </c>
      <c r="X20" s="50">
        <f t="shared" si="11"/>
        <v>0</v>
      </c>
      <c r="Y20" s="238">
        <v>0</v>
      </c>
      <c r="Z20" s="101">
        <v>0</v>
      </c>
    </row>
    <row r="21" spans="1:26" x14ac:dyDescent="0.25">
      <c r="A21" s="264">
        <v>17</v>
      </c>
      <c r="B21" s="256" t="s">
        <v>19</v>
      </c>
      <c r="C21" s="34">
        <v>77</v>
      </c>
      <c r="D21" s="35">
        <v>55</v>
      </c>
      <c r="E21" s="35">
        <v>8</v>
      </c>
      <c r="F21" s="19">
        <f t="shared" si="5"/>
        <v>3.388E-2</v>
      </c>
      <c r="G21" s="23">
        <f>'OCAK 4.HAFTA'!W21</f>
        <v>0</v>
      </c>
      <c r="H21" s="26">
        <f t="shared" si="6"/>
        <v>0</v>
      </c>
      <c r="I21" s="21">
        <v>0</v>
      </c>
      <c r="J21" s="205">
        <f t="shared" si="7"/>
        <v>0</v>
      </c>
      <c r="K21" s="21">
        <v>0</v>
      </c>
      <c r="L21" s="10">
        <f t="shared" si="1"/>
        <v>0</v>
      </c>
      <c r="M21" s="21">
        <v>0</v>
      </c>
      <c r="N21" s="205">
        <f t="shared" si="2"/>
        <v>0</v>
      </c>
      <c r="O21" s="21">
        <v>0</v>
      </c>
      <c r="P21" s="10">
        <f t="shared" si="8"/>
        <v>0</v>
      </c>
      <c r="Q21" s="21">
        <v>0</v>
      </c>
      <c r="R21" s="205">
        <f t="shared" si="3"/>
        <v>0</v>
      </c>
      <c r="S21" s="39">
        <f t="shared" si="12"/>
        <v>0</v>
      </c>
      <c r="T21" s="38">
        <f t="shared" si="4"/>
        <v>0</v>
      </c>
      <c r="U21" s="21">
        <v>0</v>
      </c>
      <c r="V21" s="13">
        <f t="shared" si="9"/>
        <v>0</v>
      </c>
      <c r="W21" s="49">
        <f t="shared" si="10"/>
        <v>0</v>
      </c>
      <c r="X21" s="50">
        <f t="shared" si="11"/>
        <v>0</v>
      </c>
      <c r="Y21" s="238">
        <v>0</v>
      </c>
      <c r="Z21" s="101">
        <v>0</v>
      </c>
    </row>
    <row r="22" spans="1:26" x14ac:dyDescent="0.25">
      <c r="A22" s="264">
        <v>18</v>
      </c>
      <c r="B22" s="256" t="s">
        <v>20</v>
      </c>
      <c r="C22" s="34">
        <v>65</v>
      </c>
      <c r="D22" s="35">
        <v>50</v>
      </c>
      <c r="E22" s="35">
        <v>12</v>
      </c>
      <c r="F22" s="19">
        <f t="shared" si="5"/>
        <v>3.9E-2</v>
      </c>
      <c r="G22" s="23">
        <f>'OCAK 4.HAFTA'!W22</f>
        <v>26</v>
      </c>
      <c r="H22" s="26">
        <f t="shared" si="6"/>
        <v>1.014</v>
      </c>
      <c r="I22" s="21">
        <v>0</v>
      </c>
      <c r="J22" s="205">
        <f t="shared" si="7"/>
        <v>0</v>
      </c>
      <c r="K22" s="21">
        <v>0</v>
      </c>
      <c r="L22" s="10">
        <f t="shared" si="1"/>
        <v>0</v>
      </c>
      <c r="M22" s="21">
        <v>0</v>
      </c>
      <c r="N22" s="205">
        <f t="shared" si="2"/>
        <v>0</v>
      </c>
      <c r="O22" s="21">
        <v>0</v>
      </c>
      <c r="P22" s="10">
        <f t="shared" si="8"/>
        <v>0</v>
      </c>
      <c r="Q22" s="21">
        <v>0</v>
      </c>
      <c r="R22" s="205">
        <f t="shared" si="3"/>
        <v>0</v>
      </c>
      <c r="S22" s="39">
        <f t="shared" si="12"/>
        <v>26</v>
      </c>
      <c r="T22" s="38">
        <f t="shared" si="4"/>
        <v>1.014</v>
      </c>
      <c r="U22" s="21">
        <v>0</v>
      </c>
      <c r="V22" s="13">
        <f t="shared" si="9"/>
        <v>0</v>
      </c>
      <c r="W22" s="49">
        <f t="shared" si="10"/>
        <v>26</v>
      </c>
      <c r="X22" s="50">
        <f t="shared" si="11"/>
        <v>1.014</v>
      </c>
      <c r="Y22" s="238">
        <v>0</v>
      </c>
      <c r="Z22" s="101">
        <v>0</v>
      </c>
    </row>
    <row r="23" spans="1:26" x14ac:dyDescent="0.25">
      <c r="A23" s="264">
        <v>19</v>
      </c>
      <c r="B23" s="42" t="s">
        <v>103</v>
      </c>
      <c r="C23" s="34">
        <v>58</v>
      </c>
      <c r="D23" s="35">
        <v>58</v>
      </c>
      <c r="E23" s="35">
        <v>5</v>
      </c>
      <c r="F23" s="19">
        <f t="shared" si="5"/>
        <v>1.6820000000000002E-2</v>
      </c>
      <c r="G23" s="23">
        <f>'OCAK 4.HAFTA'!W23</f>
        <v>83</v>
      </c>
      <c r="H23" s="26">
        <f t="shared" si="6"/>
        <v>1.3960600000000001</v>
      </c>
      <c r="I23" s="21">
        <v>14</v>
      </c>
      <c r="J23" s="205">
        <f t="shared" si="7"/>
        <v>0.23548000000000002</v>
      </c>
      <c r="K23" s="21">
        <v>0</v>
      </c>
      <c r="L23" s="10">
        <f t="shared" si="1"/>
        <v>0</v>
      </c>
      <c r="M23" s="21">
        <v>0</v>
      </c>
      <c r="N23" s="205">
        <f t="shared" si="2"/>
        <v>0</v>
      </c>
      <c r="O23" s="21">
        <v>0</v>
      </c>
      <c r="P23" s="10">
        <f t="shared" si="8"/>
        <v>0</v>
      </c>
      <c r="Q23" s="21">
        <v>0</v>
      </c>
      <c r="R23" s="205">
        <f t="shared" si="3"/>
        <v>0</v>
      </c>
      <c r="S23" s="39">
        <f t="shared" si="12"/>
        <v>69</v>
      </c>
      <c r="T23" s="38">
        <f t="shared" si="4"/>
        <v>1.1605800000000002</v>
      </c>
      <c r="U23" s="21">
        <v>0</v>
      </c>
      <c r="V23" s="13">
        <f t="shared" si="9"/>
        <v>0</v>
      </c>
      <c r="W23" s="49">
        <f t="shared" si="10"/>
        <v>69</v>
      </c>
      <c r="X23" s="50">
        <f t="shared" si="11"/>
        <v>1.1605800000000002</v>
      </c>
      <c r="Y23" s="238">
        <v>0</v>
      </c>
      <c r="Z23" s="101">
        <v>0</v>
      </c>
    </row>
    <row r="24" spans="1:26" x14ac:dyDescent="0.25">
      <c r="A24" s="264">
        <v>20</v>
      </c>
      <c r="B24" s="256" t="s">
        <v>22</v>
      </c>
      <c r="C24" s="34">
        <v>66</v>
      </c>
      <c r="D24" s="35">
        <v>56</v>
      </c>
      <c r="E24" s="35">
        <v>12</v>
      </c>
      <c r="F24" s="19">
        <f t="shared" si="5"/>
        <v>4.4352000000000003E-2</v>
      </c>
      <c r="G24" s="23">
        <f>'OCAK 4.HAFTA'!W24</f>
        <v>0</v>
      </c>
      <c r="H24" s="26">
        <f t="shared" si="6"/>
        <v>0</v>
      </c>
      <c r="I24" s="21">
        <v>0</v>
      </c>
      <c r="J24" s="205">
        <f t="shared" si="7"/>
        <v>0</v>
      </c>
      <c r="K24" s="21">
        <v>0</v>
      </c>
      <c r="L24" s="10">
        <f t="shared" si="1"/>
        <v>0</v>
      </c>
      <c r="M24" s="21">
        <v>0</v>
      </c>
      <c r="N24" s="205">
        <f t="shared" si="2"/>
        <v>0</v>
      </c>
      <c r="O24" s="21">
        <v>0</v>
      </c>
      <c r="P24" s="10">
        <f t="shared" si="8"/>
        <v>0</v>
      </c>
      <c r="Q24" s="21">
        <v>0</v>
      </c>
      <c r="R24" s="205">
        <f t="shared" si="3"/>
        <v>0</v>
      </c>
      <c r="S24" s="39">
        <f t="shared" si="12"/>
        <v>0</v>
      </c>
      <c r="T24" s="38">
        <f t="shared" si="4"/>
        <v>0</v>
      </c>
      <c r="U24" s="21">
        <v>0</v>
      </c>
      <c r="V24" s="13">
        <f t="shared" si="9"/>
        <v>0</v>
      </c>
      <c r="W24" s="49">
        <f t="shared" si="10"/>
        <v>0</v>
      </c>
      <c r="X24" s="50">
        <f t="shared" si="11"/>
        <v>0</v>
      </c>
      <c r="Y24" s="238">
        <v>0</v>
      </c>
      <c r="Z24" s="101">
        <v>0</v>
      </c>
    </row>
    <row r="25" spans="1:26" x14ac:dyDescent="0.25">
      <c r="A25" s="264">
        <v>21</v>
      </c>
      <c r="B25" s="256" t="s">
        <v>102</v>
      </c>
      <c r="C25" s="34">
        <v>61</v>
      </c>
      <c r="D25" s="35">
        <v>61</v>
      </c>
      <c r="E25" s="35">
        <v>10</v>
      </c>
      <c r="F25" s="19">
        <f t="shared" si="5"/>
        <v>3.721E-2</v>
      </c>
      <c r="G25" s="23">
        <f>'OCAK 4.HAFTA'!W25</f>
        <v>73</v>
      </c>
      <c r="H25" s="26">
        <f t="shared" si="6"/>
        <v>2.7163300000000001</v>
      </c>
      <c r="I25" s="21">
        <v>0</v>
      </c>
      <c r="J25" s="205">
        <f t="shared" si="7"/>
        <v>0</v>
      </c>
      <c r="K25" s="21">
        <v>0</v>
      </c>
      <c r="L25" s="10">
        <f t="shared" si="1"/>
        <v>0</v>
      </c>
      <c r="M25" s="21">
        <v>0</v>
      </c>
      <c r="N25" s="205">
        <f t="shared" si="2"/>
        <v>0</v>
      </c>
      <c r="O25" s="21">
        <v>0</v>
      </c>
      <c r="P25" s="10">
        <f t="shared" si="8"/>
        <v>0</v>
      </c>
      <c r="Q25" s="21">
        <v>0</v>
      </c>
      <c r="R25" s="205">
        <f t="shared" si="3"/>
        <v>0</v>
      </c>
      <c r="S25" s="39">
        <f t="shared" si="12"/>
        <v>73</v>
      </c>
      <c r="T25" s="38">
        <f t="shared" si="4"/>
        <v>2.7163300000000001</v>
      </c>
      <c r="U25" s="21">
        <v>0</v>
      </c>
      <c r="V25" s="13">
        <f t="shared" si="9"/>
        <v>0</v>
      </c>
      <c r="W25" s="49">
        <f t="shared" si="10"/>
        <v>73</v>
      </c>
      <c r="X25" s="50">
        <f t="shared" si="11"/>
        <v>2.7163300000000001</v>
      </c>
      <c r="Y25" s="238">
        <v>30</v>
      </c>
      <c r="Z25" s="101">
        <v>100</v>
      </c>
    </row>
    <row r="26" spans="1:26" x14ac:dyDescent="0.25">
      <c r="A26" s="264">
        <v>22</v>
      </c>
      <c r="B26" s="256" t="s">
        <v>24</v>
      </c>
      <c r="C26" s="34">
        <v>82</v>
      </c>
      <c r="D26" s="35">
        <v>67</v>
      </c>
      <c r="E26" s="35">
        <v>5</v>
      </c>
      <c r="F26" s="19">
        <f t="shared" si="5"/>
        <v>2.7470000000000001E-2</v>
      </c>
      <c r="G26" s="23">
        <f>'OCAK 4.HAFTA'!W26</f>
        <v>30</v>
      </c>
      <c r="H26" s="26">
        <f t="shared" si="6"/>
        <v>0.82410000000000005</v>
      </c>
      <c r="I26" s="21">
        <v>0</v>
      </c>
      <c r="J26" s="205">
        <f t="shared" si="7"/>
        <v>0</v>
      </c>
      <c r="K26" s="21">
        <v>0</v>
      </c>
      <c r="L26" s="10">
        <f t="shared" si="1"/>
        <v>0</v>
      </c>
      <c r="M26" s="21">
        <v>0</v>
      </c>
      <c r="N26" s="205">
        <f t="shared" si="2"/>
        <v>0</v>
      </c>
      <c r="O26" s="21">
        <v>0</v>
      </c>
      <c r="P26" s="10">
        <f t="shared" si="8"/>
        <v>0</v>
      </c>
      <c r="Q26" s="21">
        <v>0</v>
      </c>
      <c r="R26" s="205">
        <f t="shared" si="3"/>
        <v>0</v>
      </c>
      <c r="S26" s="39">
        <f t="shared" si="12"/>
        <v>30</v>
      </c>
      <c r="T26" s="38">
        <f t="shared" si="4"/>
        <v>0.82410000000000005</v>
      </c>
      <c r="U26" s="21">
        <v>0</v>
      </c>
      <c r="V26" s="13">
        <f t="shared" si="9"/>
        <v>0</v>
      </c>
      <c r="W26" s="49">
        <f t="shared" si="10"/>
        <v>30</v>
      </c>
      <c r="X26" s="50">
        <f t="shared" si="11"/>
        <v>0.82410000000000005</v>
      </c>
      <c r="Y26" s="238">
        <v>0</v>
      </c>
      <c r="Z26" s="101">
        <v>0</v>
      </c>
    </row>
    <row r="27" spans="1:26" x14ac:dyDescent="0.25">
      <c r="A27" s="264">
        <v>23</v>
      </c>
      <c r="B27" s="256" t="s">
        <v>25</v>
      </c>
      <c r="C27" s="34">
        <v>80</v>
      </c>
      <c r="D27" s="35">
        <v>62</v>
      </c>
      <c r="E27" s="35">
        <v>2</v>
      </c>
      <c r="F27" s="19">
        <f t="shared" si="5"/>
        <v>9.92E-3</v>
      </c>
      <c r="G27" s="23">
        <f>'OCAK 4.HAFTA'!W27</f>
        <v>36</v>
      </c>
      <c r="H27" s="26">
        <f t="shared" si="6"/>
        <v>0.35711999999999999</v>
      </c>
      <c r="I27" s="21">
        <v>0</v>
      </c>
      <c r="J27" s="205">
        <f t="shared" si="7"/>
        <v>0</v>
      </c>
      <c r="K27" s="21">
        <v>0</v>
      </c>
      <c r="L27" s="10">
        <f t="shared" si="1"/>
        <v>0</v>
      </c>
      <c r="M27" s="21">
        <v>0</v>
      </c>
      <c r="N27" s="205">
        <f t="shared" si="2"/>
        <v>0</v>
      </c>
      <c r="O27" s="21">
        <v>0</v>
      </c>
      <c r="P27" s="10">
        <f t="shared" si="8"/>
        <v>0</v>
      </c>
      <c r="Q27" s="21">
        <v>0</v>
      </c>
      <c r="R27" s="205">
        <f t="shared" si="3"/>
        <v>0</v>
      </c>
      <c r="S27" s="39">
        <f t="shared" si="12"/>
        <v>36</v>
      </c>
      <c r="T27" s="38">
        <f t="shared" si="4"/>
        <v>0.35711999999999999</v>
      </c>
      <c r="U27" s="21">
        <v>0</v>
      </c>
      <c r="V27" s="13">
        <f t="shared" si="9"/>
        <v>0</v>
      </c>
      <c r="W27" s="49">
        <f t="shared" si="10"/>
        <v>36</v>
      </c>
      <c r="X27" s="50">
        <f t="shared" si="11"/>
        <v>0.35711999999999999</v>
      </c>
      <c r="Y27" s="238">
        <v>0</v>
      </c>
      <c r="Z27" s="101">
        <v>0</v>
      </c>
    </row>
    <row r="28" spans="1:26" x14ac:dyDescent="0.25">
      <c r="A28" s="264">
        <v>24</v>
      </c>
      <c r="B28" s="256" t="s">
        <v>26</v>
      </c>
      <c r="C28" s="34">
        <v>63</v>
      </c>
      <c r="D28" s="35">
        <v>55</v>
      </c>
      <c r="E28" s="35">
        <v>5</v>
      </c>
      <c r="F28" s="19">
        <f t="shared" si="5"/>
        <v>1.7325E-2</v>
      </c>
      <c r="G28" s="23">
        <f>'OCAK 4.HAFTA'!W28</f>
        <v>70</v>
      </c>
      <c r="H28" s="26">
        <f t="shared" si="6"/>
        <v>1.21275</v>
      </c>
      <c r="I28" s="21">
        <v>0</v>
      </c>
      <c r="J28" s="205">
        <f t="shared" si="7"/>
        <v>0</v>
      </c>
      <c r="K28" s="21">
        <v>0</v>
      </c>
      <c r="L28" s="10">
        <f t="shared" si="1"/>
        <v>0</v>
      </c>
      <c r="M28" s="21">
        <v>0</v>
      </c>
      <c r="N28" s="205">
        <f t="shared" si="2"/>
        <v>0</v>
      </c>
      <c r="O28" s="21">
        <v>0</v>
      </c>
      <c r="P28" s="10">
        <f t="shared" si="8"/>
        <v>0</v>
      </c>
      <c r="Q28" s="21">
        <v>0</v>
      </c>
      <c r="R28" s="205">
        <f t="shared" si="3"/>
        <v>0</v>
      </c>
      <c r="S28" s="39">
        <f t="shared" si="12"/>
        <v>70</v>
      </c>
      <c r="T28" s="38">
        <f t="shared" si="4"/>
        <v>1.21275</v>
      </c>
      <c r="U28" s="21">
        <v>0</v>
      </c>
      <c r="V28" s="13">
        <f t="shared" si="9"/>
        <v>0</v>
      </c>
      <c r="W28" s="49">
        <f t="shared" si="10"/>
        <v>70</v>
      </c>
      <c r="X28" s="50">
        <f t="shared" si="11"/>
        <v>1.21275</v>
      </c>
      <c r="Y28" s="238">
        <v>0</v>
      </c>
      <c r="Z28" s="101">
        <v>0</v>
      </c>
    </row>
    <row r="29" spans="1:26" x14ac:dyDescent="0.25">
      <c r="A29" s="264">
        <v>25</v>
      </c>
      <c r="B29" s="256" t="s">
        <v>132</v>
      </c>
      <c r="C29" s="34">
        <v>90</v>
      </c>
      <c r="D29" s="35">
        <v>90</v>
      </c>
      <c r="E29" s="35">
        <v>3</v>
      </c>
      <c r="F29" s="19">
        <f t="shared" si="5"/>
        <v>2.4299999999999999E-2</v>
      </c>
      <c r="G29" s="23">
        <f>'OCAK 4.HAFTA'!W29</f>
        <v>100</v>
      </c>
      <c r="H29" s="26">
        <f t="shared" si="6"/>
        <v>2.4299999999999997</v>
      </c>
      <c r="I29" s="21">
        <v>0</v>
      </c>
      <c r="J29" s="205">
        <f t="shared" si="7"/>
        <v>0</v>
      </c>
      <c r="K29" s="21">
        <v>0</v>
      </c>
      <c r="L29" s="10">
        <f t="shared" si="1"/>
        <v>0</v>
      </c>
      <c r="M29" s="21">
        <v>0</v>
      </c>
      <c r="N29" s="205">
        <f t="shared" si="2"/>
        <v>0</v>
      </c>
      <c r="O29" s="21">
        <v>0</v>
      </c>
      <c r="P29" s="10">
        <f t="shared" si="8"/>
        <v>0</v>
      </c>
      <c r="Q29" s="21">
        <v>0</v>
      </c>
      <c r="R29" s="205">
        <f t="shared" si="3"/>
        <v>0</v>
      </c>
      <c r="S29" s="39">
        <f t="shared" si="12"/>
        <v>100</v>
      </c>
      <c r="T29" s="38">
        <f t="shared" si="4"/>
        <v>2.4299999999999997</v>
      </c>
      <c r="U29" s="21">
        <v>0</v>
      </c>
      <c r="V29" s="13">
        <f t="shared" si="9"/>
        <v>0</v>
      </c>
      <c r="W29" s="49">
        <f t="shared" si="10"/>
        <v>100</v>
      </c>
      <c r="X29" s="50">
        <f t="shared" si="11"/>
        <v>2.4299999999999997</v>
      </c>
      <c r="Y29" s="238">
        <v>0</v>
      </c>
      <c r="Z29" s="101">
        <v>0</v>
      </c>
    </row>
    <row r="30" spans="1:26" x14ac:dyDescent="0.25">
      <c r="A30" s="264">
        <v>26</v>
      </c>
      <c r="B30" s="256" t="s">
        <v>112</v>
      </c>
      <c r="C30" s="34">
        <v>140</v>
      </c>
      <c r="D30" s="35">
        <v>240</v>
      </c>
      <c r="E30" s="35">
        <v>10</v>
      </c>
      <c r="F30" s="19">
        <f t="shared" si="5"/>
        <v>0.33600000000000002</v>
      </c>
      <c r="G30" s="23">
        <f>'OCAK 4.HAFTA'!W30</f>
        <v>24</v>
      </c>
      <c r="H30" s="26">
        <f t="shared" si="6"/>
        <v>8.0640000000000001</v>
      </c>
      <c r="I30" s="21">
        <v>0</v>
      </c>
      <c r="J30" s="205">
        <f t="shared" si="7"/>
        <v>0</v>
      </c>
      <c r="K30" s="21">
        <v>0</v>
      </c>
      <c r="L30" s="10">
        <f t="shared" si="1"/>
        <v>0</v>
      </c>
      <c r="M30" s="21">
        <v>0</v>
      </c>
      <c r="N30" s="205">
        <f t="shared" si="2"/>
        <v>0</v>
      </c>
      <c r="O30" s="21">
        <v>0</v>
      </c>
      <c r="P30" s="10">
        <f t="shared" si="8"/>
        <v>0</v>
      </c>
      <c r="Q30" s="21">
        <v>1</v>
      </c>
      <c r="R30" s="205">
        <f t="shared" si="3"/>
        <v>0.33600000000000002</v>
      </c>
      <c r="S30" s="39">
        <f t="shared" si="12"/>
        <v>23</v>
      </c>
      <c r="T30" s="38">
        <f t="shared" si="4"/>
        <v>7.7280000000000006</v>
      </c>
      <c r="U30" s="21">
        <v>0</v>
      </c>
      <c r="V30" s="13">
        <f t="shared" si="9"/>
        <v>0</v>
      </c>
      <c r="W30" s="49">
        <f t="shared" si="10"/>
        <v>23</v>
      </c>
      <c r="X30" s="50">
        <f t="shared" si="11"/>
        <v>7.7280000000000006</v>
      </c>
      <c r="Y30" s="238">
        <v>0</v>
      </c>
      <c r="Z30" s="101">
        <v>0</v>
      </c>
    </row>
    <row r="31" spans="1:26" x14ac:dyDescent="0.25">
      <c r="A31" s="264">
        <v>27</v>
      </c>
      <c r="B31" s="256" t="s">
        <v>29</v>
      </c>
      <c r="C31" s="34">
        <v>140</v>
      </c>
      <c r="D31" s="35">
        <v>240</v>
      </c>
      <c r="E31" s="35">
        <v>3</v>
      </c>
      <c r="F31" s="19">
        <f t="shared" si="5"/>
        <v>0.1008</v>
      </c>
      <c r="G31" s="23">
        <f>'OCAK 4.HAFTA'!W31</f>
        <v>0</v>
      </c>
      <c r="H31" s="26">
        <f t="shared" si="6"/>
        <v>0</v>
      </c>
      <c r="I31" s="21">
        <v>0</v>
      </c>
      <c r="J31" s="205">
        <f t="shared" si="7"/>
        <v>0</v>
      </c>
      <c r="K31" s="21">
        <v>0</v>
      </c>
      <c r="L31" s="10">
        <f t="shared" si="1"/>
        <v>0</v>
      </c>
      <c r="M31" s="21">
        <v>0</v>
      </c>
      <c r="N31" s="205">
        <f t="shared" si="2"/>
        <v>0</v>
      </c>
      <c r="O31" s="21">
        <v>0</v>
      </c>
      <c r="P31" s="10">
        <f t="shared" si="8"/>
        <v>0</v>
      </c>
      <c r="Q31" s="21">
        <v>0</v>
      </c>
      <c r="R31" s="205">
        <f t="shared" si="3"/>
        <v>0</v>
      </c>
      <c r="S31" s="39">
        <f t="shared" si="12"/>
        <v>0</v>
      </c>
      <c r="T31" s="38">
        <f t="shared" si="4"/>
        <v>0</v>
      </c>
      <c r="U31" s="21">
        <v>0</v>
      </c>
      <c r="V31" s="13">
        <f t="shared" si="9"/>
        <v>0</v>
      </c>
      <c r="W31" s="49">
        <f t="shared" si="10"/>
        <v>0</v>
      </c>
      <c r="X31" s="50">
        <f t="shared" si="11"/>
        <v>0</v>
      </c>
      <c r="Y31" s="238">
        <v>0</v>
      </c>
      <c r="Z31" s="101">
        <v>0</v>
      </c>
    </row>
    <row r="32" spans="1:26" x14ac:dyDescent="0.25">
      <c r="A32" s="264">
        <v>28</v>
      </c>
      <c r="B32" s="256" t="s">
        <v>129</v>
      </c>
      <c r="C32" s="34">
        <v>105</v>
      </c>
      <c r="D32" s="35">
        <v>55</v>
      </c>
      <c r="E32" s="35">
        <v>3</v>
      </c>
      <c r="F32" s="19">
        <f t="shared" si="5"/>
        <v>1.7325E-2</v>
      </c>
      <c r="G32" s="23">
        <f>'OCAK 4.HAFTA'!W32</f>
        <v>69</v>
      </c>
      <c r="H32" s="26">
        <f t="shared" si="6"/>
        <v>1.195425</v>
      </c>
      <c r="I32" s="21">
        <v>0</v>
      </c>
      <c r="J32" s="205">
        <f t="shared" si="7"/>
        <v>0</v>
      </c>
      <c r="K32" s="21">
        <v>0</v>
      </c>
      <c r="L32" s="10">
        <f t="shared" si="1"/>
        <v>0</v>
      </c>
      <c r="M32" s="21">
        <v>0</v>
      </c>
      <c r="N32" s="205">
        <f t="shared" si="2"/>
        <v>0</v>
      </c>
      <c r="O32" s="21">
        <v>0</v>
      </c>
      <c r="P32" s="10">
        <f t="shared" si="8"/>
        <v>0</v>
      </c>
      <c r="Q32" s="21">
        <v>0</v>
      </c>
      <c r="R32" s="205">
        <f t="shared" si="3"/>
        <v>0</v>
      </c>
      <c r="S32" s="39">
        <f t="shared" si="12"/>
        <v>69</v>
      </c>
      <c r="T32" s="38">
        <f t="shared" si="4"/>
        <v>1.195425</v>
      </c>
      <c r="U32" s="21">
        <v>0</v>
      </c>
      <c r="V32" s="13">
        <f t="shared" si="9"/>
        <v>0</v>
      </c>
      <c r="W32" s="49">
        <f t="shared" si="10"/>
        <v>69</v>
      </c>
      <c r="X32" s="50">
        <f t="shared" si="11"/>
        <v>1.195425</v>
      </c>
      <c r="Y32" s="238">
        <v>0</v>
      </c>
      <c r="Z32" s="101">
        <v>0</v>
      </c>
    </row>
    <row r="33" spans="1:26" x14ac:dyDescent="0.25">
      <c r="A33" s="264">
        <v>29</v>
      </c>
      <c r="B33" s="256" t="s">
        <v>31</v>
      </c>
      <c r="C33" s="34">
        <v>90</v>
      </c>
      <c r="D33" s="35">
        <v>80</v>
      </c>
      <c r="E33" s="35">
        <v>8</v>
      </c>
      <c r="F33" s="19">
        <f t="shared" si="5"/>
        <v>5.7599999999999998E-2</v>
      </c>
      <c r="G33" s="23">
        <f>'OCAK 4.HAFTA'!W33</f>
        <v>0</v>
      </c>
      <c r="H33" s="26">
        <f t="shared" si="6"/>
        <v>0</v>
      </c>
      <c r="I33" s="21">
        <v>0</v>
      </c>
      <c r="J33" s="205">
        <f t="shared" si="7"/>
        <v>0</v>
      </c>
      <c r="K33" s="21">
        <v>0</v>
      </c>
      <c r="L33" s="10">
        <f t="shared" si="1"/>
        <v>0</v>
      </c>
      <c r="M33" s="21">
        <v>0</v>
      </c>
      <c r="N33" s="205">
        <f t="shared" si="2"/>
        <v>0</v>
      </c>
      <c r="O33" s="21">
        <v>0</v>
      </c>
      <c r="P33" s="10">
        <f t="shared" si="8"/>
        <v>0</v>
      </c>
      <c r="Q33" s="21">
        <v>0</v>
      </c>
      <c r="R33" s="205">
        <f t="shared" si="3"/>
        <v>0</v>
      </c>
      <c r="S33" s="39">
        <f t="shared" si="12"/>
        <v>0</v>
      </c>
      <c r="T33" s="38">
        <f t="shared" si="4"/>
        <v>0</v>
      </c>
      <c r="U33" s="21">
        <v>0</v>
      </c>
      <c r="V33" s="13">
        <f t="shared" si="9"/>
        <v>0</v>
      </c>
      <c r="W33" s="49">
        <f t="shared" si="10"/>
        <v>0</v>
      </c>
      <c r="X33" s="50">
        <f t="shared" si="11"/>
        <v>0</v>
      </c>
      <c r="Y33" s="238">
        <v>0</v>
      </c>
      <c r="Z33" s="101">
        <v>0</v>
      </c>
    </row>
    <row r="34" spans="1:26" x14ac:dyDescent="0.25">
      <c r="A34" s="264">
        <v>30</v>
      </c>
      <c r="B34" s="256" t="s">
        <v>32</v>
      </c>
      <c r="C34" s="34"/>
      <c r="D34" s="35"/>
      <c r="E34" s="35"/>
      <c r="F34" s="19">
        <f t="shared" si="5"/>
        <v>0</v>
      </c>
      <c r="G34" s="23">
        <f>'OCAK 4.HAFTA'!W34</f>
        <v>300</v>
      </c>
      <c r="H34" s="26">
        <f t="shared" si="6"/>
        <v>0</v>
      </c>
      <c r="I34" s="21">
        <v>0</v>
      </c>
      <c r="J34" s="205">
        <f t="shared" si="7"/>
        <v>0</v>
      </c>
      <c r="K34" s="21">
        <v>0</v>
      </c>
      <c r="L34" s="10">
        <f t="shared" si="1"/>
        <v>0</v>
      </c>
      <c r="M34" s="21">
        <v>0</v>
      </c>
      <c r="N34" s="205">
        <f t="shared" si="2"/>
        <v>0</v>
      </c>
      <c r="O34" s="21">
        <v>0</v>
      </c>
      <c r="P34" s="10">
        <f t="shared" si="8"/>
        <v>0</v>
      </c>
      <c r="Q34" s="21">
        <v>0</v>
      </c>
      <c r="R34" s="205">
        <f t="shared" si="3"/>
        <v>0</v>
      </c>
      <c r="S34" s="39">
        <f t="shared" si="12"/>
        <v>300</v>
      </c>
      <c r="T34" s="38">
        <f t="shared" si="4"/>
        <v>0</v>
      </c>
      <c r="U34" s="21">
        <v>0</v>
      </c>
      <c r="V34" s="13">
        <f t="shared" si="9"/>
        <v>0</v>
      </c>
      <c r="W34" s="49">
        <f t="shared" si="10"/>
        <v>300</v>
      </c>
      <c r="X34" s="50">
        <f t="shared" si="11"/>
        <v>0</v>
      </c>
      <c r="Y34" s="238">
        <v>0</v>
      </c>
      <c r="Z34" s="101">
        <v>0</v>
      </c>
    </row>
    <row r="35" spans="1:26" x14ac:dyDescent="0.25">
      <c r="A35" s="264">
        <v>31</v>
      </c>
      <c r="B35" s="256" t="s">
        <v>33</v>
      </c>
      <c r="C35" s="34">
        <v>80</v>
      </c>
      <c r="D35" s="35">
        <v>66</v>
      </c>
      <c r="E35" s="35">
        <v>5</v>
      </c>
      <c r="F35" s="19">
        <f t="shared" si="5"/>
        <v>2.64E-2</v>
      </c>
      <c r="G35" s="23">
        <f>'OCAK 4.HAFTA'!W35</f>
        <v>56</v>
      </c>
      <c r="H35" s="26">
        <f t="shared" si="6"/>
        <v>1.4783999999999999</v>
      </c>
      <c r="I35" s="21">
        <v>0</v>
      </c>
      <c r="J35" s="205">
        <f t="shared" si="7"/>
        <v>0</v>
      </c>
      <c r="K35" s="21">
        <v>0</v>
      </c>
      <c r="L35" s="10">
        <f t="shared" si="1"/>
        <v>0</v>
      </c>
      <c r="M35" s="21">
        <v>0</v>
      </c>
      <c r="N35" s="205">
        <f t="shared" si="2"/>
        <v>0</v>
      </c>
      <c r="O35" s="21">
        <v>0</v>
      </c>
      <c r="P35" s="10">
        <f t="shared" si="8"/>
        <v>0</v>
      </c>
      <c r="Q35" s="21">
        <v>0</v>
      </c>
      <c r="R35" s="205">
        <f t="shared" si="3"/>
        <v>0</v>
      </c>
      <c r="S35" s="39">
        <f t="shared" si="12"/>
        <v>56</v>
      </c>
      <c r="T35" s="38">
        <f t="shared" si="4"/>
        <v>1.4783999999999999</v>
      </c>
      <c r="U35" s="21">
        <v>0</v>
      </c>
      <c r="V35" s="13">
        <f t="shared" si="9"/>
        <v>0</v>
      </c>
      <c r="W35" s="49">
        <f t="shared" si="10"/>
        <v>56</v>
      </c>
      <c r="X35" s="50">
        <f t="shared" si="11"/>
        <v>1.4783999999999999</v>
      </c>
      <c r="Y35" s="238">
        <v>0</v>
      </c>
      <c r="Z35" s="101">
        <v>0</v>
      </c>
    </row>
    <row r="36" spans="1:26" x14ac:dyDescent="0.25">
      <c r="A36" s="264">
        <v>32</v>
      </c>
      <c r="B36" s="256" t="s">
        <v>110</v>
      </c>
      <c r="C36" s="34">
        <v>60</v>
      </c>
      <c r="D36" s="35">
        <v>62</v>
      </c>
      <c r="E36" s="35">
        <v>5</v>
      </c>
      <c r="F36" s="19">
        <f t="shared" si="5"/>
        <v>1.8599999999999998E-2</v>
      </c>
      <c r="G36" s="23">
        <f>'OCAK 4.HAFTA'!W36</f>
        <v>0</v>
      </c>
      <c r="H36" s="26">
        <f t="shared" si="6"/>
        <v>0</v>
      </c>
      <c r="I36" s="21">
        <v>0</v>
      </c>
      <c r="J36" s="205">
        <f t="shared" si="7"/>
        <v>0</v>
      </c>
      <c r="K36" s="21">
        <v>0</v>
      </c>
      <c r="L36" s="10">
        <f t="shared" si="1"/>
        <v>0</v>
      </c>
      <c r="M36" s="21">
        <v>0</v>
      </c>
      <c r="N36" s="205">
        <f t="shared" si="2"/>
        <v>0</v>
      </c>
      <c r="O36" s="21">
        <v>0</v>
      </c>
      <c r="P36" s="10">
        <f t="shared" si="8"/>
        <v>0</v>
      </c>
      <c r="Q36" s="21">
        <v>0</v>
      </c>
      <c r="R36" s="205">
        <f t="shared" si="3"/>
        <v>0</v>
      </c>
      <c r="S36" s="39">
        <f t="shared" si="12"/>
        <v>0</v>
      </c>
      <c r="T36" s="38">
        <f t="shared" si="4"/>
        <v>0</v>
      </c>
      <c r="U36" s="21">
        <v>0</v>
      </c>
      <c r="V36" s="13">
        <f t="shared" si="9"/>
        <v>0</v>
      </c>
      <c r="W36" s="49">
        <f t="shared" si="10"/>
        <v>0</v>
      </c>
      <c r="X36" s="50">
        <f t="shared" si="11"/>
        <v>0</v>
      </c>
      <c r="Y36" s="238">
        <v>0</v>
      </c>
      <c r="Z36" s="101">
        <v>0</v>
      </c>
    </row>
    <row r="37" spans="1:26" x14ac:dyDescent="0.25">
      <c r="A37" s="264">
        <v>33</v>
      </c>
      <c r="B37" s="256" t="s">
        <v>41</v>
      </c>
      <c r="C37" s="34">
        <v>60</v>
      </c>
      <c r="D37" s="35">
        <v>67</v>
      </c>
      <c r="E37" s="35">
        <v>3</v>
      </c>
      <c r="F37" s="19">
        <f t="shared" si="5"/>
        <v>1.206E-2</v>
      </c>
      <c r="G37" s="23">
        <f>'OCAK 4.HAFTA'!W37</f>
        <v>12</v>
      </c>
      <c r="H37" s="26">
        <f t="shared" si="6"/>
        <v>0.14471999999999999</v>
      </c>
      <c r="I37" s="21">
        <v>0</v>
      </c>
      <c r="J37" s="205">
        <f t="shared" si="7"/>
        <v>0</v>
      </c>
      <c r="K37" s="21">
        <v>0</v>
      </c>
      <c r="L37" s="10">
        <f t="shared" si="1"/>
        <v>0</v>
      </c>
      <c r="M37" s="21">
        <v>0</v>
      </c>
      <c r="N37" s="205">
        <f t="shared" si="2"/>
        <v>0</v>
      </c>
      <c r="O37" s="21">
        <v>0</v>
      </c>
      <c r="P37" s="10">
        <f t="shared" si="8"/>
        <v>0</v>
      </c>
      <c r="Q37" s="21">
        <v>0</v>
      </c>
      <c r="R37" s="205">
        <f t="shared" si="3"/>
        <v>0</v>
      </c>
      <c r="S37" s="39">
        <f t="shared" si="12"/>
        <v>12</v>
      </c>
      <c r="T37" s="38">
        <f t="shared" si="4"/>
        <v>0.14471999999999999</v>
      </c>
      <c r="U37" s="21">
        <v>0</v>
      </c>
      <c r="V37" s="13">
        <f t="shared" si="9"/>
        <v>0</v>
      </c>
      <c r="W37" s="49">
        <f t="shared" si="10"/>
        <v>12</v>
      </c>
      <c r="X37" s="50">
        <f t="shared" si="11"/>
        <v>0.14471999999999999</v>
      </c>
      <c r="Y37" s="238">
        <v>0</v>
      </c>
      <c r="Z37" s="101">
        <v>0</v>
      </c>
    </row>
    <row r="38" spans="1:26" x14ac:dyDescent="0.25">
      <c r="A38" s="264">
        <v>34</v>
      </c>
      <c r="B38" s="256" t="s">
        <v>126</v>
      </c>
      <c r="C38" s="34">
        <v>75</v>
      </c>
      <c r="D38" s="35">
        <v>55</v>
      </c>
      <c r="E38" s="35">
        <v>3</v>
      </c>
      <c r="F38" s="19">
        <f t="shared" si="5"/>
        <v>1.2375000000000001E-2</v>
      </c>
      <c r="G38" s="23">
        <f>'OCAK 4.HAFTA'!W38</f>
        <v>38</v>
      </c>
      <c r="H38" s="26">
        <f t="shared" si="6"/>
        <v>0.47025</v>
      </c>
      <c r="I38" s="21">
        <v>0</v>
      </c>
      <c r="J38" s="205">
        <f t="shared" si="7"/>
        <v>0</v>
      </c>
      <c r="K38" s="21">
        <v>0</v>
      </c>
      <c r="L38" s="10">
        <f t="shared" si="1"/>
        <v>0</v>
      </c>
      <c r="M38" s="21">
        <v>0</v>
      </c>
      <c r="N38" s="205">
        <f t="shared" si="2"/>
        <v>0</v>
      </c>
      <c r="O38" s="21">
        <v>0</v>
      </c>
      <c r="P38" s="10">
        <f t="shared" si="8"/>
        <v>0</v>
      </c>
      <c r="Q38" s="21">
        <v>0</v>
      </c>
      <c r="R38" s="205">
        <f t="shared" si="3"/>
        <v>0</v>
      </c>
      <c r="S38" s="39">
        <f t="shared" si="12"/>
        <v>38</v>
      </c>
      <c r="T38" s="38">
        <f t="shared" si="4"/>
        <v>0.47025</v>
      </c>
      <c r="U38" s="21">
        <v>0</v>
      </c>
      <c r="V38" s="13">
        <f t="shared" si="9"/>
        <v>0</v>
      </c>
      <c r="W38" s="49">
        <f t="shared" si="10"/>
        <v>38</v>
      </c>
      <c r="X38" s="50">
        <f t="shared" si="11"/>
        <v>0.47025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127</v>
      </c>
      <c r="C39" s="34">
        <v>84</v>
      </c>
      <c r="D39" s="35">
        <v>55</v>
      </c>
      <c r="E39" s="35">
        <v>3</v>
      </c>
      <c r="F39" s="19">
        <f t="shared" si="5"/>
        <v>1.3860000000000001E-2</v>
      </c>
      <c r="G39" s="23">
        <f>'OCAK 4.HAFTA'!W39</f>
        <v>82</v>
      </c>
      <c r="H39" s="26">
        <f t="shared" si="6"/>
        <v>1.13652</v>
      </c>
      <c r="I39" s="21">
        <v>0</v>
      </c>
      <c r="J39" s="205">
        <f t="shared" si="7"/>
        <v>0</v>
      </c>
      <c r="K39" s="21">
        <v>0</v>
      </c>
      <c r="L39" s="10">
        <f t="shared" si="1"/>
        <v>0</v>
      </c>
      <c r="M39" s="21">
        <v>0</v>
      </c>
      <c r="N39" s="205">
        <f t="shared" si="2"/>
        <v>0</v>
      </c>
      <c r="O39" s="21">
        <v>0</v>
      </c>
      <c r="P39" s="10">
        <f t="shared" si="8"/>
        <v>0</v>
      </c>
      <c r="Q39" s="21">
        <v>45</v>
      </c>
      <c r="R39" s="205">
        <f t="shared" si="3"/>
        <v>0.62370000000000003</v>
      </c>
      <c r="S39" s="39">
        <f t="shared" si="12"/>
        <v>37</v>
      </c>
      <c r="T39" s="38">
        <f t="shared" si="4"/>
        <v>0.51282000000000005</v>
      </c>
      <c r="U39" s="21">
        <v>0</v>
      </c>
      <c r="V39" s="13">
        <f t="shared" si="9"/>
        <v>0</v>
      </c>
      <c r="W39" s="49">
        <f t="shared" si="10"/>
        <v>37</v>
      </c>
      <c r="X39" s="50">
        <f t="shared" si="11"/>
        <v>0.51282000000000005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128</v>
      </c>
      <c r="C40" s="34">
        <v>105</v>
      </c>
      <c r="D40" s="35">
        <v>65</v>
      </c>
      <c r="E40" s="35">
        <v>3</v>
      </c>
      <c r="F40" s="19">
        <f t="shared" si="5"/>
        <v>2.0475E-2</v>
      </c>
      <c r="G40" s="23">
        <f>'OCAK 4.HAFTA'!W40</f>
        <v>22</v>
      </c>
      <c r="H40" s="26">
        <f t="shared" si="6"/>
        <v>0.45045000000000002</v>
      </c>
      <c r="I40" s="21">
        <v>0</v>
      </c>
      <c r="J40" s="205">
        <f t="shared" si="7"/>
        <v>0</v>
      </c>
      <c r="K40" s="21">
        <v>0</v>
      </c>
      <c r="L40" s="10">
        <f t="shared" si="1"/>
        <v>0</v>
      </c>
      <c r="M40" s="21">
        <v>0</v>
      </c>
      <c r="N40" s="205">
        <f t="shared" si="2"/>
        <v>0</v>
      </c>
      <c r="O40" s="21">
        <v>0</v>
      </c>
      <c r="P40" s="10">
        <f t="shared" si="8"/>
        <v>0</v>
      </c>
      <c r="Q40" s="21">
        <v>0</v>
      </c>
      <c r="R40" s="205">
        <f t="shared" si="3"/>
        <v>0</v>
      </c>
      <c r="S40" s="39">
        <f t="shared" si="12"/>
        <v>22</v>
      </c>
      <c r="T40" s="38">
        <f t="shared" si="4"/>
        <v>0.45045000000000002</v>
      </c>
      <c r="U40" s="21">
        <v>0</v>
      </c>
      <c r="V40" s="13">
        <f t="shared" si="9"/>
        <v>0</v>
      </c>
      <c r="W40" s="49">
        <f t="shared" si="10"/>
        <v>22</v>
      </c>
      <c r="X40" s="50">
        <f t="shared" si="11"/>
        <v>0.45045000000000002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38</v>
      </c>
      <c r="C41" s="34">
        <v>63</v>
      </c>
      <c r="D41" s="35">
        <v>55</v>
      </c>
      <c r="E41" s="35">
        <v>5</v>
      </c>
      <c r="F41" s="19">
        <f t="shared" si="5"/>
        <v>1.7325E-2</v>
      </c>
      <c r="G41" s="23">
        <f>'OCAK 4.HAFTA'!W41</f>
        <v>10</v>
      </c>
      <c r="H41" s="26">
        <f t="shared" si="6"/>
        <v>0.17325000000000002</v>
      </c>
      <c r="I41" s="21">
        <v>0</v>
      </c>
      <c r="J41" s="205">
        <f t="shared" si="7"/>
        <v>0</v>
      </c>
      <c r="K41" s="21">
        <v>0</v>
      </c>
      <c r="L41" s="10">
        <f t="shared" si="1"/>
        <v>0</v>
      </c>
      <c r="M41" s="21">
        <v>0</v>
      </c>
      <c r="N41" s="205">
        <f t="shared" si="2"/>
        <v>0</v>
      </c>
      <c r="O41" s="21">
        <v>0</v>
      </c>
      <c r="P41" s="10">
        <f t="shared" si="8"/>
        <v>0</v>
      </c>
      <c r="Q41" s="21">
        <v>10</v>
      </c>
      <c r="R41" s="205">
        <f t="shared" si="3"/>
        <v>0.17325000000000002</v>
      </c>
      <c r="S41" s="39">
        <f t="shared" si="12"/>
        <v>0</v>
      </c>
      <c r="T41" s="38">
        <f t="shared" si="4"/>
        <v>0</v>
      </c>
      <c r="U41" s="21">
        <v>0</v>
      </c>
      <c r="V41" s="13">
        <f t="shared" si="9"/>
        <v>0</v>
      </c>
      <c r="W41" s="49">
        <f t="shared" si="10"/>
        <v>0</v>
      </c>
      <c r="X41" s="50">
        <f t="shared" si="11"/>
        <v>0</v>
      </c>
      <c r="Y41" s="238">
        <v>0</v>
      </c>
      <c r="Z41" s="101">
        <v>0</v>
      </c>
    </row>
    <row r="42" spans="1:26" x14ac:dyDescent="0.25">
      <c r="A42" s="264">
        <v>38</v>
      </c>
      <c r="B42" s="256" t="s">
        <v>120</v>
      </c>
      <c r="C42" s="34">
        <v>52</v>
      </c>
      <c r="D42" s="35">
        <v>52</v>
      </c>
      <c r="E42" s="35">
        <v>5</v>
      </c>
      <c r="F42" s="19">
        <f t="shared" si="5"/>
        <v>1.3520000000000001E-2</v>
      </c>
      <c r="G42" s="23">
        <f>'OCAK 4.HAFTA'!W42</f>
        <v>45</v>
      </c>
      <c r="H42" s="26">
        <f t="shared" si="6"/>
        <v>0.60840000000000005</v>
      </c>
      <c r="I42" s="21">
        <v>0</v>
      </c>
      <c r="J42" s="205">
        <f t="shared" si="7"/>
        <v>0</v>
      </c>
      <c r="K42" s="21">
        <v>0</v>
      </c>
      <c r="L42" s="10">
        <f t="shared" si="1"/>
        <v>0</v>
      </c>
      <c r="M42" s="21">
        <v>0</v>
      </c>
      <c r="N42" s="205">
        <f t="shared" si="2"/>
        <v>0</v>
      </c>
      <c r="O42" s="21">
        <v>16</v>
      </c>
      <c r="P42" s="10">
        <f t="shared" si="8"/>
        <v>0.21632000000000001</v>
      </c>
      <c r="Q42" s="21">
        <v>0</v>
      </c>
      <c r="R42" s="205">
        <f t="shared" si="3"/>
        <v>0</v>
      </c>
      <c r="S42" s="39">
        <f t="shared" si="12"/>
        <v>29</v>
      </c>
      <c r="T42" s="38">
        <f t="shared" si="4"/>
        <v>0.39208000000000004</v>
      </c>
      <c r="U42" s="21">
        <v>0</v>
      </c>
      <c r="V42" s="13">
        <f t="shared" si="9"/>
        <v>0</v>
      </c>
      <c r="W42" s="49">
        <f t="shared" si="10"/>
        <v>29</v>
      </c>
      <c r="X42" s="50">
        <f t="shared" si="11"/>
        <v>0.39208000000000004</v>
      </c>
      <c r="Y42" s="238">
        <v>0</v>
      </c>
      <c r="Z42" s="101">
        <v>0</v>
      </c>
    </row>
    <row r="43" spans="1:26" x14ac:dyDescent="0.25">
      <c r="A43" s="264">
        <v>39</v>
      </c>
      <c r="B43" s="256" t="s">
        <v>40</v>
      </c>
      <c r="C43" s="34">
        <v>80</v>
      </c>
      <c r="D43" s="35">
        <v>70</v>
      </c>
      <c r="E43" s="35">
        <v>8</v>
      </c>
      <c r="F43" s="19">
        <f t="shared" si="5"/>
        <v>4.48E-2</v>
      </c>
      <c r="G43" s="23">
        <f>'OCAK 4.HAFTA'!W43</f>
        <v>386</v>
      </c>
      <c r="H43" s="26">
        <f t="shared" si="6"/>
        <v>17.2928</v>
      </c>
      <c r="I43" s="21">
        <v>5</v>
      </c>
      <c r="J43" s="205">
        <f t="shared" si="7"/>
        <v>0.224</v>
      </c>
      <c r="K43" s="21">
        <v>41</v>
      </c>
      <c r="L43" s="10">
        <f t="shared" si="1"/>
        <v>1.8368</v>
      </c>
      <c r="M43" s="21">
        <v>0</v>
      </c>
      <c r="N43" s="205">
        <f t="shared" si="2"/>
        <v>0</v>
      </c>
      <c r="O43" s="21">
        <v>17</v>
      </c>
      <c r="P43" s="10">
        <f t="shared" si="8"/>
        <v>0.76159999999999994</v>
      </c>
      <c r="Q43" s="21">
        <v>0</v>
      </c>
      <c r="R43" s="205">
        <f t="shared" si="3"/>
        <v>0</v>
      </c>
      <c r="S43" s="39">
        <f t="shared" si="12"/>
        <v>323</v>
      </c>
      <c r="T43" s="38">
        <f t="shared" si="4"/>
        <v>14.4704</v>
      </c>
      <c r="U43" s="21">
        <v>0</v>
      </c>
      <c r="V43" s="13">
        <f t="shared" si="9"/>
        <v>0</v>
      </c>
      <c r="W43" s="49">
        <f t="shared" si="10"/>
        <v>323</v>
      </c>
      <c r="X43" s="50">
        <f t="shared" si="11"/>
        <v>14.4704</v>
      </c>
      <c r="Y43" s="238">
        <v>50</v>
      </c>
      <c r="Z43" s="101">
        <v>200</v>
      </c>
    </row>
    <row r="44" spans="1:26" x14ac:dyDescent="0.25">
      <c r="A44" s="264">
        <v>40</v>
      </c>
      <c r="B44" s="256" t="s">
        <v>42</v>
      </c>
      <c r="C44" s="34">
        <v>70</v>
      </c>
      <c r="D44" s="35">
        <v>64</v>
      </c>
      <c r="E44" s="35">
        <v>8</v>
      </c>
      <c r="F44" s="19">
        <f t="shared" si="5"/>
        <v>3.5839999999999997E-2</v>
      </c>
      <c r="G44" s="23">
        <f>'OCAK 4.HAFTA'!W44</f>
        <v>507</v>
      </c>
      <c r="H44" s="26">
        <f t="shared" si="6"/>
        <v>18.170879999999997</v>
      </c>
      <c r="I44" s="21">
        <v>0</v>
      </c>
      <c r="J44" s="205">
        <f t="shared" si="7"/>
        <v>0</v>
      </c>
      <c r="K44" s="21">
        <v>38</v>
      </c>
      <c r="L44" s="10">
        <f t="shared" si="1"/>
        <v>1.3619199999999998</v>
      </c>
      <c r="M44" s="21">
        <v>0</v>
      </c>
      <c r="N44" s="205">
        <f t="shared" si="2"/>
        <v>0</v>
      </c>
      <c r="O44" s="21">
        <v>4</v>
      </c>
      <c r="P44" s="10">
        <f t="shared" si="8"/>
        <v>0.14335999999999999</v>
      </c>
      <c r="Q44" s="21">
        <v>0</v>
      </c>
      <c r="R44" s="205">
        <f t="shared" si="3"/>
        <v>0</v>
      </c>
      <c r="S44" s="39">
        <f t="shared" si="12"/>
        <v>465</v>
      </c>
      <c r="T44" s="38">
        <f t="shared" si="4"/>
        <v>16.665599999999998</v>
      </c>
      <c r="U44" s="21">
        <v>0</v>
      </c>
      <c r="V44" s="13">
        <f t="shared" si="9"/>
        <v>0</v>
      </c>
      <c r="W44" s="49">
        <f t="shared" si="10"/>
        <v>465</v>
      </c>
      <c r="X44" s="50">
        <f t="shared" si="11"/>
        <v>16.665599999999998</v>
      </c>
      <c r="Y44" s="238">
        <v>50</v>
      </c>
      <c r="Z44" s="101">
        <v>200</v>
      </c>
    </row>
    <row r="45" spans="1:26" x14ac:dyDescent="0.25">
      <c r="A45" s="264">
        <v>41</v>
      </c>
      <c r="B45" s="256" t="s">
        <v>43</v>
      </c>
      <c r="C45" s="34">
        <v>75</v>
      </c>
      <c r="D45" s="35">
        <v>70</v>
      </c>
      <c r="E45" s="35">
        <v>8</v>
      </c>
      <c r="F45" s="19">
        <f t="shared" si="5"/>
        <v>4.2000000000000003E-2</v>
      </c>
      <c r="G45" s="23">
        <f>'OCAK 4.HAFTA'!W45</f>
        <v>158</v>
      </c>
      <c r="H45" s="26">
        <f t="shared" si="6"/>
        <v>6.6360000000000001</v>
      </c>
      <c r="I45" s="21">
        <v>0</v>
      </c>
      <c r="J45" s="205">
        <f t="shared" si="7"/>
        <v>0</v>
      </c>
      <c r="K45" s="21">
        <v>76</v>
      </c>
      <c r="L45" s="10">
        <f t="shared" si="1"/>
        <v>3.1920000000000002</v>
      </c>
      <c r="M45" s="21">
        <v>0</v>
      </c>
      <c r="N45" s="205">
        <f t="shared" si="2"/>
        <v>0</v>
      </c>
      <c r="O45" s="21">
        <v>0</v>
      </c>
      <c r="P45" s="10">
        <f t="shared" si="8"/>
        <v>0</v>
      </c>
      <c r="Q45" s="21">
        <v>0</v>
      </c>
      <c r="R45" s="205">
        <f t="shared" si="3"/>
        <v>0</v>
      </c>
      <c r="S45" s="39">
        <f t="shared" si="12"/>
        <v>82</v>
      </c>
      <c r="T45" s="38">
        <f t="shared" si="4"/>
        <v>3.4440000000000004</v>
      </c>
      <c r="U45" s="21">
        <v>0</v>
      </c>
      <c r="V45" s="13">
        <f t="shared" si="9"/>
        <v>0</v>
      </c>
      <c r="W45" s="49">
        <f t="shared" si="10"/>
        <v>82</v>
      </c>
      <c r="X45" s="50">
        <f t="shared" si="11"/>
        <v>3.4440000000000004</v>
      </c>
      <c r="Y45" s="238">
        <v>50</v>
      </c>
      <c r="Z45" s="101">
        <v>200</v>
      </c>
    </row>
    <row r="46" spans="1:26" x14ac:dyDescent="0.25">
      <c r="A46" s="264">
        <v>42</v>
      </c>
      <c r="B46" s="256" t="s">
        <v>119</v>
      </c>
      <c r="C46" s="34">
        <v>143</v>
      </c>
      <c r="D46" s="35">
        <v>66</v>
      </c>
      <c r="E46" s="35">
        <v>5</v>
      </c>
      <c r="F46" s="19">
        <f t="shared" si="5"/>
        <v>4.7190000000000003E-2</v>
      </c>
      <c r="G46" s="23">
        <f>'OCAK 4.HAFTA'!W46</f>
        <v>216</v>
      </c>
      <c r="H46" s="26">
        <f t="shared" si="6"/>
        <v>10.19304</v>
      </c>
      <c r="I46" s="21">
        <v>16</v>
      </c>
      <c r="J46" s="205">
        <f t="shared" si="7"/>
        <v>0.75504000000000004</v>
      </c>
      <c r="K46" s="21">
        <v>18</v>
      </c>
      <c r="L46" s="10">
        <f t="shared" si="1"/>
        <v>0.84942000000000006</v>
      </c>
      <c r="M46" s="21">
        <v>16</v>
      </c>
      <c r="N46" s="205">
        <f t="shared" si="2"/>
        <v>0.75504000000000004</v>
      </c>
      <c r="O46" s="21">
        <v>0</v>
      </c>
      <c r="P46" s="10">
        <f t="shared" si="8"/>
        <v>0</v>
      </c>
      <c r="Q46" s="21">
        <v>0</v>
      </c>
      <c r="R46" s="205">
        <f t="shared" si="3"/>
        <v>0</v>
      </c>
      <c r="S46" s="39">
        <f t="shared" si="12"/>
        <v>166</v>
      </c>
      <c r="T46" s="38">
        <f t="shared" si="4"/>
        <v>7.8335400000000002</v>
      </c>
      <c r="U46" s="21">
        <v>0</v>
      </c>
      <c r="V46" s="13">
        <f t="shared" si="9"/>
        <v>0</v>
      </c>
      <c r="W46" s="49">
        <f t="shared" si="10"/>
        <v>166</v>
      </c>
      <c r="X46" s="50">
        <f t="shared" si="11"/>
        <v>7.8335400000000002</v>
      </c>
      <c r="Y46" s="238">
        <v>50</v>
      </c>
      <c r="Z46" s="101">
        <v>100</v>
      </c>
    </row>
    <row r="47" spans="1:26" x14ac:dyDescent="0.25">
      <c r="A47" s="264">
        <v>43</v>
      </c>
      <c r="B47" s="256" t="s">
        <v>45</v>
      </c>
      <c r="C47" s="34">
        <v>80</v>
      </c>
      <c r="D47" s="35">
        <v>63</v>
      </c>
      <c r="E47" s="35">
        <v>5</v>
      </c>
      <c r="F47" s="19">
        <f t="shared" si="5"/>
        <v>2.52E-2</v>
      </c>
      <c r="G47" s="23">
        <f>'OCAK 4.HAFTA'!W47</f>
        <v>315</v>
      </c>
      <c r="H47" s="26">
        <f t="shared" si="6"/>
        <v>7.9379999999999997</v>
      </c>
      <c r="I47" s="21">
        <v>0</v>
      </c>
      <c r="J47" s="205">
        <f t="shared" si="7"/>
        <v>0</v>
      </c>
      <c r="K47" s="21">
        <v>0</v>
      </c>
      <c r="L47" s="10">
        <f t="shared" si="1"/>
        <v>0</v>
      </c>
      <c r="M47" s="21">
        <v>0</v>
      </c>
      <c r="N47" s="205">
        <f t="shared" si="2"/>
        <v>0</v>
      </c>
      <c r="O47" s="21">
        <v>0</v>
      </c>
      <c r="P47" s="10">
        <f t="shared" si="8"/>
        <v>0</v>
      </c>
      <c r="Q47" s="21">
        <v>0</v>
      </c>
      <c r="R47" s="205">
        <f t="shared" si="3"/>
        <v>0</v>
      </c>
      <c r="S47" s="39">
        <f t="shared" si="12"/>
        <v>315</v>
      </c>
      <c r="T47" s="38">
        <f t="shared" si="4"/>
        <v>7.9379999999999997</v>
      </c>
      <c r="U47" s="21">
        <v>0</v>
      </c>
      <c r="V47" s="13">
        <f t="shared" si="9"/>
        <v>0</v>
      </c>
      <c r="W47" s="49">
        <f t="shared" si="10"/>
        <v>315</v>
      </c>
      <c r="X47" s="50">
        <f t="shared" si="11"/>
        <v>7.9379999999999997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46</v>
      </c>
      <c r="C48" s="34">
        <v>77</v>
      </c>
      <c r="D48" s="35">
        <v>68</v>
      </c>
      <c r="E48" s="35">
        <v>8</v>
      </c>
      <c r="F48" s="19">
        <f t="shared" si="5"/>
        <v>4.1888000000000002E-2</v>
      </c>
      <c r="G48" s="23">
        <f>'OCAK 4.HAFTA'!W48</f>
        <v>109</v>
      </c>
      <c r="H48" s="26">
        <f t="shared" si="6"/>
        <v>4.5657920000000001</v>
      </c>
      <c r="I48" s="21">
        <v>0</v>
      </c>
      <c r="J48" s="205">
        <f t="shared" si="7"/>
        <v>0</v>
      </c>
      <c r="K48" s="21">
        <v>38</v>
      </c>
      <c r="L48" s="10">
        <f t="shared" si="1"/>
        <v>1.591744</v>
      </c>
      <c r="M48" s="21">
        <v>0</v>
      </c>
      <c r="N48" s="205">
        <f t="shared" si="2"/>
        <v>0</v>
      </c>
      <c r="O48" s="21">
        <v>4</v>
      </c>
      <c r="P48" s="10">
        <f t="shared" si="8"/>
        <v>0.16755200000000001</v>
      </c>
      <c r="Q48" s="21">
        <v>0</v>
      </c>
      <c r="R48" s="205">
        <f t="shared" si="3"/>
        <v>0</v>
      </c>
      <c r="S48" s="39">
        <f t="shared" si="12"/>
        <v>67</v>
      </c>
      <c r="T48" s="38">
        <f t="shared" si="4"/>
        <v>2.8064960000000001</v>
      </c>
      <c r="U48" s="21">
        <v>0</v>
      </c>
      <c r="V48" s="13">
        <f t="shared" si="9"/>
        <v>0</v>
      </c>
      <c r="W48" s="49">
        <f t="shared" si="10"/>
        <v>67</v>
      </c>
      <c r="X48" s="50">
        <f t="shared" si="11"/>
        <v>2.8064960000000001</v>
      </c>
      <c r="Y48" s="238">
        <v>50</v>
      </c>
      <c r="Z48" s="101">
        <v>200</v>
      </c>
    </row>
    <row r="49" spans="1:26" x14ac:dyDescent="0.25">
      <c r="A49" s="264">
        <v>45</v>
      </c>
      <c r="B49" s="256" t="s">
        <v>47</v>
      </c>
      <c r="C49" s="34">
        <v>79</v>
      </c>
      <c r="D49" s="35">
        <v>79</v>
      </c>
      <c r="E49" s="35">
        <v>2</v>
      </c>
      <c r="F49" s="19">
        <f t="shared" si="5"/>
        <v>1.2482E-2</v>
      </c>
      <c r="G49" s="23">
        <f>'OCAK 4.HAFTA'!W49</f>
        <v>242</v>
      </c>
      <c r="H49" s="26">
        <f t="shared" si="6"/>
        <v>3.0206439999999999</v>
      </c>
      <c r="I49" s="21">
        <v>0</v>
      </c>
      <c r="J49" s="205">
        <f t="shared" si="7"/>
        <v>0</v>
      </c>
      <c r="K49" s="21">
        <v>0</v>
      </c>
      <c r="L49" s="10">
        <f t="shared" si="1"/>
        <v>0</v>
      </c>
      <c r="M49" s="21">
        <v>0</v>
      </c>
      <c r="N49" s="205">
        <f t="shared" si="2"/>
        <v>0</v>
      </c>
      <c r="O49" s="21">
        <v>0</v>
      </c>
      <c r="P49" s="10">
        <f t="shared" si="8"/>
        <v>0</v>
      </c>
      <c r="Q49" s="21">
        <v>0</v>
      </c>
      <c r="R49" s="205">
        <f t="shared" si="3"/>
        <v>0</v>
      </c>
      <c r="S49" s="39">
        <f t="shared" si="12"/>
        <v>242</v>
      </c>
      <c r="T49" s="38">
        <f t="shared" si="4"/>
        <v>3.0206439999999999</v>
      </c>
      <c r="U49" s="21">
        <v>0</v>
      </c>
      <c r="V49" s="13">
        <f t="shared" si="9"/>
        <v>0</v>
      </c>
      <c r="W49" s="49">
        <f t="shared" si="10"/>
        <v>242</v>
      </c>
      <c r="X49" s="50">
        <f t="shared" si="11"/>
        <v>3.0206439999999999</v>
      </c>
      <c r="Y49" s="238">
        <v>100</v>
      </c>
      <c r="Z49" s="101">
        <v>300</v>
      </c>
    </row>
    <row r="50" spans="1:26" x14ac:dyDescent="0.25">
      <c r="A50" s="264">
        <v>46</v>
      </c>
      <c r="B50" s="256" t="s">
        <v>48</v>
      </c>
      <c r="C50" s="34">
        <v>61</v>
      </c>
      <c r="D50" s="35">
        <v>56</v>
      </c>
      <c r="E50" s="35">
        <v>10</v>
      </c>
      <c r="F50" s="19">
        <f t="shared" si="5"/>
        <v>3.4160000000000003E-2</v>
      </c>
      <c r="G50" s="23">
        <f>'OCAK 4.HAFTA'!W50</f>
        <v>125</v>
      </c>
      <c r="H50" s="26">
        <f t="shared" si="6"/>
        <v>4.2700000000000005</v>
      </c>
      <c r="I50" s="21">
        <v>0</v>
      </c>
      <c r="J50" s="205">
        <f t="shared" si="7"/>
        <v>0</v>
      </c>
      <c r="K50" s="21">
        <v>0</v>
      </c>
      <c r="L50" s="10">
        <f t="shared" si="1"/>
        <v>0</v>
      </c>
      <c r="M50" s="21">
        <v>0</v>
      </c>
      <c r="N50" s="205">
        <f t="shared" si="2"/>
        <v>0</v>
      </c>
      <c r="O50" s="21">
        <v>0</v>
      </c>
      <c r="P50" s="10">
        <f t="shared" si="8"/>
        <v>0</v>
      </c>
      <c r="Q50" s="21">
        <v>0</v>
      </c>
      <c r="R50" s="205">
        <f t="shared" si="3"/>
        <v>0</v>
      </c>
      <c r="S50" s="39">
        <f t="shared" si="12"/>
        <v>125</v>
      </c>
      <c r="T50" s="38">
        <f t="shared" si="4"/>
        <v>4.2700000000000005</v>
      </c>
      <c r="U50" s="21">
        <v>0</v>
      </c>
      <c r="V50" s="13">
        <f t="shared" si="9"/>
        <v>0</v>
      </c>
      <c r="W50" s="49">
        <f t="shared" si="10"/>
        <v>125</v>
      </c>
      <c r="X50" s="50">
        <f t="shared" si="11"/>
        <v>4.2700000000000005</v>
      </c>
      <c r="Y50" s="238">
        <v>30</v>
      </c>
      <c r="Z50" s="101">
        <v>100</v>
      </c>
    </row>
    <row r="51" spans="1:26" x14ac:dyDescent="0.25">
      <c r="A51" s="264">
        <v>47</v>
      </c>
      <c r="B51" s="256" t="s">
        <v>49</v>
      </c>
      <c r="C51" s="34">
        <v>66</v>
      </c>
      <c r="D51" s="35">
        <v>61</v>
      </c>
      <c r="E51" s="35">
        <v>10</v>
      </c>
      <c r="F51" s="19">
        <f t="shared" si="5"/>
        <v>4.0259999999999997E-2</v>
      </c>
      <c r="G51" s="23">
        <f>'OCAK 4.HAFTA'!W51</f>
        <v>186</v>
      </c>
      <c r="H51" s="26">
        <f t="shared" si="6"/>
        <v>7.4883599999999992</v>
      </c>
      <c r="I51" s="21">
        <v>0</v>
      </c>
      <c r="J51" s="205">
        <f t="shared" si="7"/>
        <v>0</v>
      </c>
      <c r="K51" s="21">
        <v>0</v>
      </c>
      <c r="L51" s="10">
        <f t="shared" si="1"/>
        <v>0</v>
      </c>
      <c r="M51" s="21">
        <v>0</v>
      </c>
      <c r="N51" s="205">
        <f t="shared" si="2"/>
        <v>0</v>
      </c>
      <c r="O51" s="21">
        <v>0</v>
      </c>
      <c r="P51" s="10">
        <f t="shared" si="8"/>
        <v>0</v>
      </c>
      <c r="Q51" s="21">
        <v>0</v>
      </c>
      <c r="R51" s="205">
        <f t="shared" si="3"/>
        <v>0</v>
      </c>
      <c r="S51" s="39">
        <f t="shared" si="12"/>
        <v>186</v>
      </c>
      <c r="T51" s="38">
        <f t="shared" si="4"/>
        <v>7.4883599999999992</v>
      </c>
      <c r="U51" s="21">
        <v>0</v>
      </c>
      <c r="V51" s="13">
        <f t="shared" si="9"/>
        <v>0</v>
      </c>
      <c r="W51" s="49">
        <f t="shared" si="10"/>
        <v>186</v>
      </c>
      <c r="X51" s="50">
        <f t="shared" si="11"/>
        <v>7.4883599999999992</v>
      </c>
      <c r="Y51" s="238">
        <v>30</v>
      </c>
      <c r="Z51" s="101">
        <v>100</v>
      </c>
    </row>
    <row r="52" spans="1:26" x14ac:dyDescent="0.25">
      <c r="A52" s="264">
        <v>48</v>
      </c>
      <c r="B52" s="256" t="s">
        <v>50</v>
      </c>
      <c r="C52" s="34">
        <v>63</v>
      </c>
      <c r="D52" s="35">
        <v>61</v>
      </c>
      <c r="E52" s="35">
        <v>10</v>
      </c>
      <c r="F52" s="19">
        <f t="shared" si="5"/>
        <v>3.8429999999999999E-2</v>
      </c>
      <c r="G52" s="23">
        <f>'OCAK 4.HAFTA'!W52</f>
        <v>0</v>
      </c>
      <c r="H52" s="26">
        <f t="shared" si="6"/>
        <v>0</v>
      </c>
      <c r="I52" s="21">
        <v>0</v>
      </c>
      <c r="J52" s="205">
        <f t="shared" si="7"/>
        <v>0</v>
      </c>
      <c r="K52" s="21">
        <v>0</v>
      </c>
      <c r="L52" s="10">
        <f t="shared" si="1"/>
        <v>0</v>
      </c>
      <c r="M52" s="21">
        <v>0</v>
      </c>
      <c r="N52" s="205">
        <f t="shared" si="2"/>
        <v>0</v>
      </c>
      <c r="O52" s="21">
        <v>0</v>
      </c>
      <c r="P52" s="10">
        <f t="shared" si="8"/>
        <v>0</v>
      </c>
      <c r="Q52" s="21">
        <v>0</v>
      </c>
      <c r="R52" s="205">
        <f t="shared" si="3"/>
        <v>0</v>
      </c>
      <c r="S52" s="39">
        <f t="shared" si="12"/>
        <v>0</v>
      </c>
      <c r="T52" s="38">
        <f t="shared" si="4"/>
        <v>0</v>
      </c>
      <c r="U52" s="21">
        <v>0</v>
      </c>
      <c r="V52" s="13">
        <f t="shared" si="9"/>
        <v>0</v>
      </c>
      <c r="W52" s="49">
        <f t="shared" si="10"/>
        <v>0</v>
      </c>
      <c r="X52" s="50">
        <f t="shared" si="11"/>
        <v>0</v>
      </c>
      <c r="Y52" s="238">
        <v>30</v>
      </c>
      <c r="Z52" s="101">
        <v>100</v>
      </c>
    </row>
    <row r="53" spans="1:26" x14ac:dyDescent="0.25">
      <c r="A53" s="264">
        <v>49</v>
      </c>
      <c r="B53" s="256" t="s">
        <v>51</v>
      </c>
      <c r="C53" s="34">
        <v>58</v>
      </c>
      <c r="D53" s="35">
        <v>58</v>
      </c>
      <c r="E53" s="35">
        <v>2.2999999999999998</v>
      </c>
      <c r="F53" s="19">
        <f t="shared" si="5"/>
        <v>7.7371999999999996E-3</v>
      </c>
      <c r="G53" s="23">
        <f>'OCAK 4.HAFTA'!W53</f>
        <v>2824</v>
      </c>
      <c r="H53" s="26">
        <f t="shared" si="6"/>
        <v>21.849852800000001</v>
      </c>
      <c r="I53" s="21">
        <v>0</v>
      </c>
      <c r="J53" s="205">
        <f t="shared" si="7"/>
        <v>0</v>
      </c>
      <c r="K53" s="21">
        <v>0</v>
      </c>
      <c r="L53" s="10">
        <f t="shared" si="1"/>
        <v>0</v>
      </c>
      <c r="M53" s="21">
        <v>0</v>
      </c>
      <c r="N53" s="205">
        <f t="shared" si="2"/>
        <v>0</v>
      </c>
      <c r="O53" s="21">
        <v>0</v>
      </c>
      <c r="P53" s="10">
        <f t="shared" si="8"/>
        <v>0</v>
      </c>
      <c r="Q53" s="21">
        <v>30</v>
      </c>
      <c r="R53" s="205">
        <f t="shared" si="3"/>
        <v>0.23211599999999999</v>
      </c>
      <c r="S53" s="39">
        <f t="shared" si="12"/>
        <v>2794</v>
      </c>
      <c r="T53" s="38">
        <f t="shared" si="4"/>
        <v>21.617736799999999</v>
      </c>
      <c r="U53" s="21">
        <v>0</v>
      </c>
      <c r="V53" s="13">
        <f t="shared" si="9"/>
        <v>0</v>
      </c>
      <c r="W53" s="49">
        <f t="shared" si="10"/>
        <v>2794</v>
      </c>
      <c r="X53" s="50">
        <f t="shared" si="11"/>
        <v>21.617736799999999</v>
      </c>
      <c r="Y53" s="238">
        <v>200</v>
      </c>
      <c r="Z53" s="101">
        <v>500</v>
      </c>
    </row>
    <row r="54" spans="1:26" x14ac:dyDescent="0.25">
      <c r="A54" s="264">
        <v>50</v>
      </c>
      <c r="B54" s="256" t="s">
        <v>52</v>
      </c>
      <c r="C54" s="34">
        <v>79</v>
      </c>
      <c r="D54" s="35">
        <v>62</v>
      </c>
      <c r="E54" s="35">
        <v>2.2999999999999998</v>
      </c>
      <c r="F54" s="19">
        <f t="shared" si="5"/>
        <v>1.12654E-2</v>
      </c>
      <c r="G54" s="23">
        <f>'OCAK 4.HAFTA'!W54</f>
        <v>3110</v>
      </c>
      <c r="H54" s="26">
        <f t="shared" si="6"/>
        <v>35.035394000000004</v>
      </c>
      <c r="I54" s="21">
        <v>0</v>
      </c>
      <c r="J54" s="205">
        <f t="shared" si="7"/>
        <v>0</v>
      </c>
      <c r="K54" s="21">
        <v>0</v>
      </c>
      <c r="L54" s="10">
        <f t="shared" si="1"/>
        <v>0</v>
      </c>
      <c r="M54" s="21">
        <v>0</v>
      </c>
      <c r="N54" s="205">
        <f t="shared" si="2"/>
        <v>0</v>
      </c>
      <c r="O54" s="21">
        <v>0</v>
      </c>
      <c r="P54" s="10">
        <f t="shared" si="8"/>
        <v>0</v>
      </c>
      <c r="Q54" s="21">
        <v>30</v>
      </c>
      <c r="R54" s="205">
        <f t="shared" si="3"/>
        <v>0.33796199999999998</v>
      </c>
      <c r="S54" s="39">
        <f t="shared" si="12"/>
        <v>3080</v>
      </c>
      <c r="T54" s="38">
        <f t="shared" si="4"/>
        <v>34.697431999999999</v>
      </c>
      <c r="U54" s="21">
        <v>0</v>
      </c>
      <c r="V54" s="13">
        <f t="shared" si="9"/>
        <v>0</v>
      </c>
      <c r="W54" s="49">
        <f t="shared" si="10"/>
        <v>3080</v>
      </c>
      <c r="X54" s="50">
        <f t="shared" si="11"/>
        <v>34.697431999999999</v>
      </c>
      <c r="Y54" s="238">
        <v>100</v>
      </c>
      <c r="Z54" s="101">
        <v>300</v>
      </c>
    </row>
    <row r="55" spans="1:26" x14ac:dyDescent="0.25">
      <c r="A55" s="264">
        <v>51</v>
      </c>
      <c r="B55" s="256" t="s">
        <v>53</v>
      </c>
      <c r="C55" s="34">
        <v>200</v>
      </c>
      <c r="D55" s="35">
        <v>176</v>
      </c>
      <c r="E55" s="35">
        <v>2.2999999999999998</v>
      </c>
      <c r="F55" s="19">
        <f t="shared" si="5"/>
        <v>8.0960000000000004E-2</v>
      </c>
      <c r="G55" s="23">
        <f>'OCAK 4.HAFTA'!W55</f>
        <v>1</v>
      </c>
      <c r="H55" s="26">
        <f t="shared" si="6"/>
        <v>8.0960000000000004E-2</v>
      </c>
      <c r="I55" s="21">
        <v>0</v>
      </c>
      <c r="J55" s="205">
        <f t="shared" si="7"/>
        <v>0</v>
      </c>
      <c r="K55" s="21">
        <v>0</v>
      </c>
      <c r="L55" s="10">
        <f t="shared" si="1"/>
        <v>0</v>
      </c>
      <c r="M55" s="21">
        <v>0</v>
      </c>
      <c r="N55" s="205">
        <f t="shared" si="2"/>
        <v>0</v>
      </c>
      <c r="O55" s="21">
        <v>0</v>
      </c>
      <c r="P55" s="10">
        <f t="shared" si="8"/>
        <v>0</v>
      </c>
      <c r="Q55" s="21">
        <v>0</v>
      </c>
      <c r="R55" s="205">
        <f t="shared" si="3"/>
        <v>0</v>
      </c>
      <c r="S55" s="39">
        <f t="shared" si="12"/>
        <v>1</v>
      </c>
      <c r="T55" s="38">
        <f t="shared" si="4"/>
        <v>8.0960000000000004E-2</v>
      </c>
      <c r="U55" s="21">
        <v>0</v>
      </c>
      <c r="V55" s="13">
        <f t="shared" si="9"/>
        <v>0</v>
      </c>
      <c r="W55" s="49">
        <f t="shared" si="10"/>
        <v>1</v>
      </c>
      <c r="X55" s="50">
        <f t="shared" si="11"/>
        <v>8.0960000000000004E-2</v>
      </c>
      <c r="Y55" s="238">
        <v>0</v>
      </c>
      <c r="Z55" s="101">
        <v>0</v>
      </c>
    </row>
    <row r="56" spans="1:26" x14ac:dyDescent="0.25">
      <c r="A56" s="264">
        <v>52</v>
      </c>
      <c r="B56" s="256" t="s">
        <v>122</v>
      </c>
      <c r="C56" s="34">
        <v>79</v>
      </c>
      <c r="D56" s="35">
        <v>79</v>
      </c>
      <c r="E56" s="35">
        <v>2.2999999999999998</v>
      </c>
      <c r="F56" s="19">
        <f t="shared" si="5"/>
        <v>1.4354299999999999E-2</v>
      </c>
      <c r="G56" s="23">
        <f>'OCAK 4.HAFTA'!W56</f>
        <v>3564</v>
      </c>
      <c r="H56" s="26">
        <f t="shared" si="6"/>
        <v>51.158725199999992</v>
      </c>
      <c r="I56" s="21">
        <v>0</v>
      </c>
      <c r="J56" s="205">
        <f t="shared" si="7"/>
        <v>0</v>
      </c>
      <c r="K56" s="21">
        <v>0</v>
      </c>
      <c r="L56" s="10">
        <f t="shared" si="1"/>
        <v>0</v>
      </c>
      <c r="M56" s="21">
        <v>0</v>
      </c>
      <c r="N56" s="205">
        <f t="shared" si="2"/>
        <v>0</v>
      </c>
      <c r="O56" s="21">
        <v>0</v>
      </c>
      <c r="P56" s="10">
        <f t="shared" si="8"/>
        <v>0</v>
      </c>
      <c r="Q56" s="21">
        <v>0</v>
      </c>
      <c r="R56" s="205">
        <f t="shared" si="3"/>
        <v>0</v>
      </c>
      <c r="S56" s="39">
        <f t="shared" si="12"/>
        <v>3564</v>
      </c>
      <c r="T56" s="38">
        <f t="shared" si="4"/>
        <v>51.158725199999992</v>
      </c>
      <c r="U56" s="21">
        <v>0</v>
      </c>
      <c r="V56" s="13">
        <f t="shared" si="9"/>
        <v>0</v>
      </c>
      <c r="W56" s="49">
        <f t="shared" si="10"/>
        <v>3564</v>
      </c>
      <c r="X56" s="50">
        <f t="shared" si="11"/>
        <v>51.158725199999992</v>
      </c>
      <c r="Y56" s="238">
        <v>300</v>
      </c>
      <c r="Z56" s="101">
        <v>1000</v>
      </c>
    </row>
    <row r="57" spans="1:26" ht="15.75" x14ac:dyDescent="0.25">
      <c r="A57" s="264">
        <v>53</v>
      </c>
      <c r="B57" s="256" t="s">
        <v>55</v>
      </c>
      <c r="C57" s="111">
        <v>50</v>
      </c>
      <c r="D57" s="112">
        <v>45</v>
      </c>
      <c r="E57" s="112">
        <v>4</v>
      </c>
      <c r="F57" s="19">
        <f t="shared" si="5"/>
        <v>8.9999999999999993E-3</v>
      </c>
      <c r="G57" s="23">
        <f>'OCAK 4.HAFTA'!W57</f>
        <v>1040</v>
      </c>
      <c r="H57" s="26">
        <f t="shared" si="6"/>
        <v>9.36</v>
      </c>
      <c r="I57" s="21">
        <v>0</v>
      </c>
      <c r="J57" s="205">
        <f t="shared" si="7"/>
        <v>0</v>
      </c>
      <c r="K57" s="21">
        <v>0</v>
      </c>
      <c r="L57" s="10">
        <f t="shared" si="1"/>
        <v>0</v>
      </c>
      <c r="M57" s="21">
        <v>0</v>
      </c>
      <c r="N57" s="205">
        <f t="shared" si="2"/>
        <v>0</v>
      </c>
      <c r="O57" s="21">
        <v>0</v>
      </c>
      <c r="P57" s="10">
        <f t="shared" si="8"/>
        <v>0</v>
      </c>
      <c r="Q57" s="21">
        <v>0</v>
      </c>
      <c r="R57" s="205">
        <f t="shared" si="3"/>
        <v>0</v>
      </c>
      <c r="S57" s="39">
        <f t="shared" si="12"/>
        <v>1040</v>
      </c>
      <c r="T57" s="38">
        <f t="shared" si="4"/>
        <v>9.36</v>
      </c>
      <c r="U57" s="21">
        <v>0</v>
      </c>
      <c r="V57" s="13">
        <f t="shared" si="9"/>
        <v>0</v>
      </c>
      <c r="W57" s="49">
        <f t="shared" si="10"/>
        <v>1040</v>
      </c>
      <c r="X57" s="50">
        <f t="shared" si="11"/>
        <v>9.36</v>
      </c>
      <c r="Y57" s="238">
        <v>300</v>
      </c>
      <c r="Z57" s="101">
        <v>1000</v>
      </c>
    </row>
    <row r="58" spans="1:26" ht="15.75" x14ac:dyDescent="0.25">
      <c r="A58" s="264">
        <v>54</v>
      </c>
      <c r="B58" s="256" t="s">
        <v>56</v>
      </c>
      <c r="C58" s="111">
        <v>50</v>
      </c>
      <c r="D58" s="112">
        <v>35</v>
      </c>
      <c r="E58" s="112">
        <v>4</v>
      </c>
      <c r="F58" s="19">
        <f t="shared" si="5"/>
        <v>7.0000000000000001E-3</v>
      </c>
      <c r="G58" s="23">
        <f>'OCAK 4.HAFTA'!W58</f>
        <v>1361</v>
      </c>
      <c r="H58" s="26">
        <f t="shared" si="6"/>
        <v>9.527000000000001</v>
      </c>
      <c r="I58" s="21">
        <v>0</v>
      </c>
      <c r="J58" s="205">
        <f t="shared" si="7"/>
        <v>0</v>
      </c>
      <c r="K58" s="21">
        <v>0</v>
      </c>
      <c r="L58" s="10">
        <f t="shared" si="1"/>
        <v>0</v>
      </c>
      <c r="M58" s="21">
        <v>0</v>
      </c>
      <c r="N58" s="205">
        <f t="shared" si="2"/>
        <v>0</v>
      </c>
      <c r="O58" s="21">
        <v>0</v>
      </c>
      <c r="P58" s="10">
        <f t="shared" si="8"/>
        <v>0</v>
      </c>
      <c r="Q58" s="21">
        <v>0</v>
      </c>
      <c r="R58" s="205">
        <f t="shared" si="3"/>
        <v>0</v>
      </c>
      <c r="S58" s="39">
        <f t="shared" si="12"/>
        <v>1361</v>
      </c>
      <c r="T58" s="38">
        <f t="shared" si="4"/>
        <v>9.527000000000001</v>
      </c>
      <c r="U58" s="21">
        <v>0</v>
      </c>
      <c r="V58" s="13">
        <f t="shared" si="9"/>
        <v>0</v>
      </c>
      <c r="W58" s="49">
        <f t="shared" si="10"/>
        <v>1361</v>
      </c>
      <c r="X58" s="50">
        <f t="shared" si="11"/>
        <v>9.527000000000001</v>
      </c>
      <c r="Y58" s="238">
        <v>500</v>
      </c>
      <c r="Z58" s="101">
        <v>1500</v>
      </c>
    </row>
    <row r="59" spans="1:26" ht="15.75" x14ac:dyDescent="0.25">
      <c r="A59" s="264">
        <v>55</v>
      </c>
      <c r="B59" s="256" t="s">
        <v>57</v>
      </c>
      <c r="C59" s="111">
        <v>45</v>
      </c>
      <c r="D59" s="112">
        <v>50</v>
      </c>
      <c r="E59" s="112">
        <v>3</v>
      </c>
      <c r="F59" s="19">
        <f t="shared" si="5"/>
        <v>6.7499999999999999E-3</v>
      </c>
      <c r="G59" s="23">
        <f>'OCAK 4.HAFTA'!W59</f>
        <v>978</v>
      </c>
      <c r="H59" s="26">
        <f t="shared" si="6"/>
        <v>6.6014999999999997</v>
      </c>
      <c r="I59" s="21">
        <v>0</v>
      </c>
      <c r="J59" s="205">
        <f t="shared" si="7"/>
        <v>0</v>
      </c>
      <c r="K59" s="21">
        <v>0</v>
      </c>
      <c r="L59" s="10">
        <f t="shared" si="1"/>
        <v>0</v>
      </c>
      <c r="M59" s="21">
        <v>0</v>
      </c>
      <c r="N59" s="205">
        <f t="shared" si="2"/>
        <v>0</v>
      </c>
      <c r="O59" s="21">
        <v>0</v>
      </c>
      <c r="P59" s="10">
        <f t="shared" si="8"/>
        <v>0</v>
      </c>
      <c r="Q59" s="21">
        <v>15</v>
      </c>
      <c r="R59" s="205">
        <f t="shared" si="3"/>
        <v>0.10124999999999999</v>
      </c>
      <c r="S59" s="39">
        <f t="shared" si="12"/>
        <v>963</v>
      </c>
      <c r="T59" s="38">
        <f t="shared" si="4"/>
        <v>6.5002500000000003</v>
      </c>
      <c r="U59" s="21">
        <v>0</v>
      </c>
      <c r="V59" s="13">
        <f t="shared" si="9"/>
        <v>0</v>
      </c>
      <c r="W59" s="49">
        <f t="shared" si="10"/>
        <v>963</v>
      </c>
      <c r="X59" s="50">
        <f t="shared" si="11"/>
        <v>6.5002500000000003</v>
      </c>
      <c r="Y59" s="238">
        <v>500</v>
      </c>
      <c r="Z59" s="101">
        <v>1500</v>
      </c>
    </row>
    <row r="60" spans="1:26" ht="15.75" x14ac:dyDescent="0.25">
      <c r="A60" s="264">
        <v>56</v>
      </c>
      <c r="B60" s="256" t="s">
        <v>58</v>
      </c>
      <c r="C60" s="111">
        <v>50</v>
      </c>
      <c r="D60" s="112">
        <v>35</v>
      </c>
      <c r="E60" s="112">
        <v>3</v>
      </c>
      <c r="F60" s="19">
        <f t="shared" si="5"/>
        <v>5.2500000000000003E-3</v>
      </c>
      <c r="G60" s="23">
        <f>'OCAK 4.HAFTA'!W60</f>
        <v>844</v>
      </c>
      <c r="H60" s="26">
        <f t="shared" si="6"/>
        <v>4.431</v>
      </c>
      <c r="I60" s="21">
        <v>15</v>
      </c>
      <c r="J60" s="205">
        <f t="shared" si="7"/>
        <v>7.8750000000000001E-2</v>
      </c>
      <c r="K60" s="21">
        <v>0</v>
      </c>
      <c r="L60" s="10">
        <f t="shared" si="1"/>
        <v>0</v>
      </c>
      <c r="M60" s="21">
        <v>0</v>
      </c>
      <c r="N60" s="205">
        <f t="shared" si="2"/>
        <v>0</v>
      </c>
      <c r="O60" s="21">
        <v>0</v>
      </c>
      <c r="P60" s="10">
        <f t="shared" si="8"/>
        <v>0</v>
      </c>
      <c r="Q60" s="21">
        <v>5</v>
      </c>
      <c r="R60" s="205">
        <f t="shared" si="3"/>
        <v>2.6250000000000002E-2</v>
      </c>
      <c r="S60" s="39">
        <f t="shared" si="12"/>
        <v>824</v>
      </c>
      <c r="T60" s="38">
        <f t="shared" si="4"/>
        <v>4.3260000000000005</v>
      </c>
      <c r="U60" s="21">
        <v>0</v>
      </c>
      <c r="V60" s="13">
        <f t="shared" si="9"/>
        <v>0</v>
      </c>
      <c r="W60" s="49">
        <f t="shared" si="10"/>
        <v>824</v>
      </c>
      <c r="X60" s="50">
        <f t="shared" si="11"/>
        <v>4.3260000000000005</v>
      </c>
      <c r="Y60" s="238">
        <v>0</v>
      </c>
      <c r="Z60" s="101">
        <v>0</v>
      </c>
    </row>
    <row r="61" spans="1:26" ht="15.75" x14ac:dyDescent="0.25">
      <c r="A61" s="264">
        <v>57</v>
      </c>
      <c r="B61" s="256" t="s">
        <v>59</v>
      </c>
      <c r="C61" s="111">
        <v>42</v>
      </c>
      <c r="D61" s="112">
        <v>36</v>
      </c>
      <c r="E61" s="112">
        <v>4</v>
      </c>
      <c r="F61" s="19">
        <f t="shared" si="5"/>
        <v>6.0480000000000004E-3</v>
      </c>
      <c r="G61" s="23">
        <f>'OCAK 4.HAFTA'!W61</f>
        <v>0</v>
      </c>
      <c r="H61" s="26">
        <f t="shared" si="6"/>
        <v>0</v>
      </c>
      <c r="I61" s="21">
        <v>0</v>
      </c>
      <c r="J61" s="205">
        <f t="shared" si="7"/>
        <v>0</v>
      </c>
      <c r="K61" s="21">
        <v>0</v>
      </c>
      <c r="L61" s="10">
        <f t="shared" si="1"/>
        <v>0</v>
      </c>
      <c r="M61" s="21">
        <v>0</v>
      </c>
      <c r="N61" s="205">
        <f t="shared" si="2"/>
        <v>0</v>
      </c>
      <c r="O61" s="21">
        <v>0</v>
      </c>
      <c r="P61" s="10">
        <f t="shared" si="8"/>
        <v>0</v>
      </c>
      <c r="Q61" s="21">
        <v>0</v>
      </c>
      <c r="R61" s="205">
        <f t="shared" si="3"/>
        <v>0</v>
      </c>
      <c r="S61" s="97">
        <f t="shared" si="12"/>
        <v>0</v>
      </c>
      <c r="T61" s="38">
        <f t="shared" si="4"/>
        <v>0</v>
      </c>
      <c r="U61" s="21">
        <v>0</v>
      </c>
      <c r="V61" s="13">
        <f t="shared" si="9"/>
        <v>0</v>
      </c>
      <c r="W61" s="49">
        <f t="shared" si="10"/>
        <v>0</v>
      </c>
      <c r="X61" s="50">
        <f t="shared" si="11"/>
        <v>0</v>
      </c>
      <c r="Y61" s="238">
        <v>300</v>
      </c>
      <c r="Z61" s="101">
        <v>1000</v>
      </c>
    </row>
    <row r="62" spans="1:26" ht="15.75" x14ac:dyDescent="0.25">
      <c r="A62" s="264">
        <v>58</v>
      </c>
      <c r="B62" s="256" t="s">
        <v>60</v>
      </c>
      <c r="C62" s="111">
        <v>50</v>
      </c>
      <c r="D62" s="112">
        <v>35</v>
      </c>
      <c r="E62" s="112">
        <v>3</v>
      </c>
      <c r="F62" s="19">
        <f t="shared" si="5"/>
        <v>5.2500000000000003E-3</v>
      </c>
      <c r="G62" s="23">
        <f>'OCAK 4.HAFTA'!W62</f>
        <v>583</v>
      </c>
      <c r="H62" s="26">
        <f t="shared" si="6"/>
        <v>3.0607500000000001</v>
      </c>
      <c r="I62" s="21">
        <v>0</v>
      </c>
      <c r="J62" s="205">
        <f t="shared" si="7"/>
        <v>0</v>
      </c>
      <c r="K62" s="21">
        <v>0</v>
      </c>
      <c r="L62" s="10">
        <f t="shared" si="1"/>
        <v>0</v>
      </c>
      <c r="M62" s="21">
        <v>0</v>
      </c>
      <c r="N62" s="205">
        <f t="shared" si="2"/>
        <v>0</v>
      </c>
      <c r="O62" s="21">
        <v>0</v>
      </c>
      <c r="P62" s="10">
        <f t="shared" si="8"/>
        <v>0</v>
      </c>
      <c r="Q62" s="21">
        <v>0</v>
      </c>
      <c r="R62" s="205">
        <f t="shared" si="3"/>
        <v>0</v>
      </c>
      <c r="S62" s="97">
        <f t="shared" si="12"/>
        <v>583</v>
      </c>
      <c r="T62" s="38">
        <f t="shared" si="4"/>
        <v>3.0607500000000001</v>
      </c>
      <c r="U62" s="21">
        <v>0</v>
      </c>
      <c r="V62" s="13">
        <f t="shared" si="9"/>
        <v>0</v>
      </c>
      <c r="W62" s="49">
        <f t="shared" si="10"/>
        <v>583</v>
      </c>
      <c r="X62" s="50">
        <f t="shared" si="11"/>
        <v>3.0607500000000001</v>
      </c>
      <c r="Y62" s="238">
        <v>300</v>
      </c>
      <c r="Z62" s="101">
        <v>1000</v>
      </c>
    </row>
    <row r="63" spans="1:26" ht="15.75" x14ac:dyDescent="0.25">
      <c r="A63" s="264">
        <v>59</v>
      </c>
      <c r="B63" s="257" t="s">
        <v>61</v>
      </c>
      <c r="C63" s="111">
        <v>45</v>
      </c>
      <c r="D63" s="112">
        <v>50</v>
      </c>
      <c r="E63" s="112">
        <v>3</v>
      </c>
      <c r="F63" s="19">
        <f t="shared" si="5"/>
        <v>6.7499999999999999E-3</v>
      </c>
      <c r="G63" s="23">
        <f>'OCAK 4.HAFTA'!W63</f>
        <v>811</v>
      </c>
      <c r="H63" s="26">
        <f t="shared" si="6"/>
        <v>5.4742499999999996</v>
      </c>
      <c r="I63" s="21">
        <v>0</v>
      </c>
      <c r="J63" s="205">
        <f t="shared" si="7"/>
        <v>0</v>
      </c>
      <c r="K63" s="21">
        <v>0</v>
      </c>
      <c r="L63" s="10">
        <f t="shared" si="1"/>
        <v>0</v>
      </c>
      <c r="M63" s="21">
        <v>0</v>
      </c>
      <c r="N63" s="205">
        <f t="shared" si="2"/>
        <v>0</v>
      </c>
      <c r="O63" s="21">
        <v>0</v>
      </c>
      <c r="P63" s="10">
        <f t="shared" si="8"/>
        <v>0</v>
      </c>
      <c r="Q63" s="21">
        <v>0</v>
      </c>
      <c r="R63" s="205">
        <f t="shared" si="3"/>
        <v>0</v>
      </c>
      <c r="S63" s="97">
        <f t="shared" si="12"/>
        <v>811</v>
      </c>
      <c r="T63" s="38">
        <f t="shared" si="4"/>
        <v>5.4742499999999996</v>
      </c>
      <c r="U63" s="21">
        <v>0</v>
      </c>
      <c r="V63" s="13">
        <f t="shared" si="9"/>
        <v>0</v>
      </c>
      <c r="W63" s="49">
        <f t="shared" si="10"/>
        <v>811</v>
      </c>
      <c r="X63" s="50">
        <f t="shared" si="11"/>
        <v>5.4742499999999996</v>
      </c>
      <c r="Y63" s="238">
        <v>500</v>
      </c>
      <c r="Z63" s="101">
        <v>1500</v>
      </c>
    </row>
    <row r="64" spans="1:26" ht="15.75" thickBot="1" x14ac:dyDescent="0.3">
      <c r="A64" s="264">
        <v>60</v>
      </c>
      <c r="B64" s="258" t="s">
        <v>90</v>
      </c>
      <c r="C64" s="36">
        <v>140</v>
      </c>
      <c r="D64" s="37">
        <v>9.5</v>
      </c>
      <c r="E64" s="37">
        <v>6.5</v>
      </c>
      <c r="F64" s="20">
        <f t="shared" si="5"/>
        <v>8.6449999999999999E-3</v>
      </c>
      <c r="G64" s="23">
        <f>'OCAK 4.HAFTA'!W64</f>
        <v>3820</v>
      </c>
      <c r="H64" s="27">
        <f t="shared" si="6"/>
        <v>33.023899999999998</v>
      </c>
      <c r="I64" s="21">
        <v>0</v>
      </c>
      <c r="J64" s="205">
        <f t="shared" si="7"/>
        <v>0</v>
      </c>
      <c r="K64" s="21">
        <v>70</v>
      </c>
      <c r="L64" s="10">
        <f t="shared" si="1"/>
        <v>0.60514999999999997</v>
      </c>
      <c r="M64" s="21">
        <v>0</v>
      </c>
      <c r="N64" s="205">
        <f t="shared" si="2"/>
        <v>0</v>
      </c>
      <c r="O64" s="21">
        <v>0</v>
      </c>
      <c r="P64" s="48">
        <f t="shared" si="8"/>
        <v>0</v>
      </c>
      <c r="Q64" s="21">
        <v>0</v>
      </c>
      <c r="R64" s="205">
        <f t="shared" si="3"/>
        <v>0</v>
      </c>
      <c r="S64" s="97">
        <f t="shared" si="12"/>
        <v>3750</v>
      </c>
      <c r="T64" s="41">
        <f t="shared" si="4"/>
        <v>32.418750000000003</v>
      </c>
      <c r="U64" s="21">
        <v>0</v>
      </c>
      <c r="V64" s="13">
        <f t="shared" si="9"/>
        <v>0</v>
      </c>
      <c r="W64" s="49">
        <f t="shared" si="10"/>
        <v>3750</v>
      </c>
      <c r="X64" s="50">
        <f t="shared" si="11"/>
        <v>32.418750000000003</v>
      </c>
      <c r="Y64" s="238">
        <v>100</v>
      </c>
      <c r="Z64" s="101">
        <v>300</v>
      </c>
    </row>
    <row r="65" spans="1:26" ht="15.75" x14ac:dyDescent="0.25">
      <c r="A65" s="264">
        <v>61</v>
      </c>
      <c r="B65" s="259" t="s">
        <v>79</v>
      </c>
      <c r="C65" s="112">
        <v>90</v>
      </c>
      <c r="D65" s="112">
        <v>83</v>
      </c>
      <c r="E65" s="112">
        <v>2</v>
      </c>
      <c r="F65" s="114">
        <f t="shared" si="5"/>
        <v>1.494E-2</v>
      </c>
      <c r="G65" s="23">
        <f>'OCAK 4.HAFTA'!W65</f>
        <v>97</v>
      </c>
      <c r="H65" s="116">
        <f t="shared" si="6"/>
        <v>1.4491799999999999</v>
      </c>
      <c r="I65" s="21">
        <v>0</v>
      </c>
      <c r="J65" s="205">
        <f t="shared" si="7"/>
        <v>0</v>
      </c>
      <c r="K65" s="21">
        <v>0</v>
      </c>
      <c r="L65" s="10">
        <f t="shared" si="1"/>
        <v>0</v>
      </c>
      <c r="M65" s="21">
        <v>0</v>
      </c>
      <c r="N65" s="205">
        <f t="shared" si="2"/>
        <v>0</v>
      </c>
      <c r="O65" s="21">
        <v>0</v>
      </c>
      <c r="P65" s="121">
        <f t="shared" si="8"/>
        <v>0</v>
      </c>
      <c r="Q65" s="21">
        <v>0</v>
      </c>
      <c r="R65" s="205">
        <f t="shared" si="3"/>
        <v>0</v>
      </c>
      <c r="S65" s="140">
        <f t="shared" si="12"/>
        <v>97</v>
      </c>
      <c r="T65" s="123">
        <f t="shared" si="4"/>
        <v>1.4491799999999999</v>
      </c>
      <c r="U65" s="21">
        <v>0</v>
      </c>
      <c r="V65" s="139">
        <f t="shared" si="9"/>
        <v>0</v>
      </c>
      <c r="W65" s="141">
        <f t="shared" si="10"/>
        <v>97</v>
      </c>
      <c r="X65" s="50">
        <f t="shared" si="11"/>
        <v>1.4491799999999999</v>
      </c>
      <c r="Y65" s="238">
        <v>100</v>
      </c>
      <c r="Z65" s="101">
        <v>300</v>
      </c>
    </row>
    <row r="66" spans="1:26" ht="15.75" x14ac:dyDescent="0.25">
      <c r="A66" s="264">
        <v>62</v>
      </c>
      <c r="B66" s="260" t="s">
        <v>80</v>
      </c>
      <c r="C66" s="113">
        <v>92</v>
      </c>
      <c r="D66" s="113">
        <v>82</v>
      </c>
      <c r="E66" s="113">
        <v>2</v>
      </c>
      <c r="F66" s="124">
        <f t="shared" si="5"/>
        <v>1.5088000000000001E-2</v>
      </c>
      <c r="G66" s="23">
        <f>'OCAK 4.HAFTA'!W66</f>
        <v>64</v>
      </c>
      <c r="H66" s="125">
        <f t="shared" si="6"/>
        <v>0.96563200000000005</v>
      </c>
      <c r="I66" s="21">
        <v>54</v>
      </c>
      <c r="J66" s="205">
        <f t="shared" si="7"/>
        <v>0.81475200000000003</v>
      </c>
      <c r="K66" s="21">
        <v>0</v>
      </c>
      <c r="L66" s="10">
        <f t="shared" si="1"/>
        <v>0</v>
      </c>
      <c r="M66" s="21">
        <v>0</v>
      </c>
      <c r="N66" s="205">
        <f t="shared" si="2"/>
        <v>0</v>
      </c>
      <c r="O66" s="21">
        <v>0</v>
      </c>
      <c r="P66" s="121">
        <f t="shared" si="8"/>
        <v>0</v>
      </c>
      <c r="Q66" s="21">
        <v>0</v>
      </c>
      <c r="R66" s="205">
        <f t="shared" si="3"/>
        <v>0</v>
      </c>
      <c r="S66" s="140">
        <f t="shared" si="12"/>
        <v>10</v>
      </c>
      <c r="T66" s="123">
        <f t="shared" si="4"/>
        <v>0.15088000000000001</v>
      </c>
      <c r="U66" s="21">
        <v>0</v>
      </c>
      <c r="V66" s="139">
        <f t="shared" si="9"/>
        <v>0</v>
      </c>
      <c r="W66" s="141">
        <f t="shared" si="10"/>
        <v>10</v>
      </c>
      <c r="X66" s="107">
        <f t="shared" si="11"/>
        <v>0.15088000000000001</v>
      </c>
      <c r="Y66" s="238">
        <v>100</v>
      </c>
      <c r="Z66" s="101">
        <v>300</v>
      </c>
    </row>
    <row r="67" spans="1:26" x14ac:dyDescent="0.25">
      <c r="A67" s="264">
        <v>63</v>
      </c>
      <c r="B67" s="261" t="s">
        <v>82</v>
      </c>
      <c r="C67" s="35">
        <v>82</v>
      </c>
      <c r="D67" s="35">
        <v>80</v>
      </c>
      <c r="E67" s="35">
        <v>2</v>
      </c>
      <c r="F67" s="114">
        <f t="shared" si="5"/>
        <v>1.312E-2</v>
      </c>
      <c r="G67" s="23">
        <f>'OCAK 4.HAFTA'!W67</f>
        <v>0</v>
      </c>
      <c r="H67" s="110">
        <f t="shared" si="6"/>
        <v>0</v>
      </c>
      <c r="I67" s="21">
        <v>0</v>
      </c>
      <c r="J67" s="205">
        <f t="shared" si="7"/>
        <v>0</v>
      </c>
      <c r="K67" s="21">
        <v>0</v>
      </c>
      <c r="L67" s="10">
        <f t="shared" si="1"/>
        <v>0</v>
      </c>
      <c r="M67" s="21">
        <v>0</v>
      </c>
      <c r="N67" s="205">
        <f t="shared" si="2"/>
        <v>0</v>
      </c>
      <c r="O67" s="21">
        <v>0</v>
      </c>
      <c r="P67" s="10">
        <f t="shared" si="8"/>
        <v>0</v>
      </c>
      <c r="Q67" s="21">
        <v>0</v>
      </c>
      <c r="R67" s="205">
        <f t="shared" si="3"/>
        <v>0</v>
      </c>
      <c r="S67" s="97">
        <f t="shared" si="12"/>
        <v>0</v>
      </c>
      <c r="T67" s="87">
        <f t="shared" si="4"/>
        <v>0</v>
      </c>
      <c r="U67" s="21">
        <v>0</v>
      </c>
      <c r="V67" s="139">
        <f t="shared" si="9"/>
        <v>0</v>
      </c>
      <c r="W67" s="141">
        <f t="shared" si="10"/>
        <v>0</v>
      </c>
      <c r="X67" s="107">
        <f t="shared" si="11"/>
        <v>0</v>
      </c>
      <c r="Y67" s="238">
        <v>50</v>
      </c>
      <c r="Z67" s="101">
        <v>200</v>
      </c>
    </row>
    <row r="68" spans="1:26" x14ac:dyDescent="0.25">
      <c r="A68" s="264">
        <v>64</v>
      </c>
      <c r="B68" s="261" t="s">
        <v>83</v>
      </c>
      <c r="C68" s="35">
        <v>86</v>
      </c>
      <c r="D68" s="35">
        <v>77</v>
      </c>
      <c r="E68" s="35">
        <v>8</v>
      </c>
      <c r="F68" s="114">
        <f t="shared" si="5"/>
        <v>5.2976000000000002E-2</v>
      </c>
      <c r="G68" s="23">
        <f>'OCAK 4.HAFTA'!W68</f>
        <v>66</v>
      </c>
      <c r="H68" s="110">
        <f t="shared" si="6"/>
        <v>3.496416</v>
      </c>
      <c r="I68" s="21">
        <v>0</v>
      </c>
      <c r="J68" s="205">
        <f t="shared" si="7"/>
        <v>0</v>
      </c>
      <c r="K68" s="21">
        <v>60</v>
      </c>
      <c r="L68" s="10">
        <f t="shared" si="1"/>
        <v>3.1785600000000001</v>
      </c>
      <c r="M68" s="21">
        <v>0</v>
      </c>
      <c r="N68" s="205">
        <f t="shared" si="2"/>
        <v>0</v>
      </c>
      <c r="O68" s="21">
        <v>3</v>
      </c>
      <c r="P68" s="10">
        <f t="shared" si="8"/>
        <v>0.15892800000000001</v>
      </c>
      <c r="Q68" s="21">
        <v>0</v>
      </c>
      <c r="R68" s="205">
        <f t="shared" si="3"/>
        <v>0</v>
      </c>
      <c r="S68" s="97">
        <f t="shared" si="12"/>
        <v>3</v>
      </c>
      <c r="T68" s="87">
        <f t="shared" si="4"/>
        <v>0.15892800000000001</v>
      </c>
      <c r="U68" s="21">
        <v>0</v>
      </c>
      <c r="V68" s="139">
        <f t="shared" si="9"/>
        <v>0</v>
      </c>
      <c r="W68" s="141">
        <f t="shared" si="10"/>
        <v>3</v>
      </c>
      <c r="X68" s="107">
        <f t="shared" si="11"/>
        <v>0.15892800000000001</v>
      </c>
      <c r="Y68" s="238">
        <v>50</v>
      </c>
      <c r="Z68" s="101">
        <v>200</v>
      </c>
    </row>
    <row r="69" spans="1:26" x14ac:dyDescent="0.25">
      <c r="A69" s="264">
        <v>65</v>
      </c>
      <c r="B69" s="261" t="s">
        <v>84</v>
      </c>
      <c r="C69" s="35">
        <v>76</v>
      </c>
      <c r="D69" s="35">
        <v>75</v>
      </c>
      <c r="E69" s="35">
        <v>8</v>
      </c>
      <c r="F69" s="114">
        <f t="shared" si="5"/>
        <v>4.5600000000000002E-2</v>
      </c>
      <c r="G69" s="23">
        <f>'OCAK 4.HAFTA'!W69</f>
        <v>189</v>
      </c>
      <c r="H69" s="110">
        <f t="shared" si="6"/>
        <v>8.6184000000000012</v>
      </c>
      <c r="I69" s="21">
        <v>0</v>
      </c>
      <c r="J69" s="205">
        <f t="shared" ref="J69:J78" si="13">F69*I69</f>
        <v>0</v>
      </c>
      <c r="K69" s="21">
        <v>76</v>
      </c>
      <c r="L69" s="10">
        <f t="shared" ref="L69:L78" si="14">F69*K69</f>
        <v>3.4656000000000002</v>
      </c>
      <c r="M69" s="21">
        <v>0</v>
      </c>
      <c r="N69" s="205">
        <f t="shared" ref="N69:N78" si="15">F69*M69</f>
        <v>0</v>
      </c>
      <c r="O69" s="21">
        <v>8</v>
      </c>
      <c r="P69" s="10">
        <f t="shared" si="8"/>
        <v>0.36480000000000001</v>
      </c>
      <c r="Q69" s="21">
        <v>0</v>
      </c>
      <c r="R69" s="205">
        <f t="shared" ref="R69:R78" si="16">F69*Q69</f>
        <v>0</v>
      </c>
      <c r="S69" s="97">
        <f t="shared" si="12"/>
        <v>105</v>
      </c>
      <c r="T69" s="87">
        <f t="shared" ref="T69:T78" si="17">F69*S69</f>
        <v>4.7880000000000003</v>
      </c>
      <c r="U69" s="21">
        <v>0</v>
      </c>
      <c r="V69" s="139">
        <f t="shared" si="9"/>
        <v>0</v>
      </c>
      <c r="W69" s="141">
        <f t="shared" si="10"/>
        <v>105</v>
      </c>
      <c r="X69" s="107">
        <f t="shared" si="11"/>
        <v>4.7880000000000003</v>
      </c>
      <c r="Y69" s="238">
        <v>5</v>
      </c>
      <c r="Z69" s="101">
        <v>10</v>
      </c>
    </row>
    <row r="70" spans="1:26" x14ac:dyDescent="0.25">
      <c r="A70" s="264">
        <v>66</v>
      </c>
      <c r="B70" s="261" t="s">
        <v>85</v>
      </c>
      <c r="C70" s="35">
        <v>140</v>
      </c>
      <c r="D70" s="35">
        <v>240</v>
      </c>
      <c r="E70" s="35">
        <v>12</v>
      </c>
      <c r="F70" s="114">
        <f t="shared" ref="F70:F72" si="18">(C70*D70*E70)/1000000</f>
        <v>0.4032</v>
      </c>
      <c r="G70" s="23">
        <f>'OCAK 4.HAFTA'!W70</f>
        <v>0</v>
      </c>
      <c r="H70" s="110">
        <f t="shared" ref="H70:H78" si="19">F70*G70</f>
        <v>0</v>
      </c>
      <c r="I70" s="21">
        <v>0</v>
      </c>
      <c r="J70" s="205">
        <f t="shared" si="13"/>
        <v>0</v>
      </c>
      <c r="K70" s="21">
        <v>0</v>
      </c>
      <c r="L70" s="10">
        <f t="shared" si="14"/>
        <v>0</v>
      </c>
      <c r="M70" s="21">
        <v>0</v>
      </c>
      <c r="N70" s="205">
        <f t="shared" si="15"/>
        <v>0</v>
      </c>
      <c r="O70" s="21">
        <v>0</v>
      </c>
      <c r="P70" s="10">
        <f t="shared" ref="P70:P78" si="20">F70*O70</f>
        <v>0</v>
      </c>
      <c r="Q70" s="21">
        <v>0</v>
      </c>
      <c r="R70" s="205">
        <f t="shared" si="16"/>
        <v>0</v>
      </c>
      <c r="S70" s="97">
        <f t="shared" si="12"/>
        <v>0</v>
      </c>
      <c r="T70" s="87">
        <f t="shared" si="17"/>
        <v>0</v>
      </c>
      <c r="U70" s="21">
        <v>0</v>
      </c>
      <c r="V70" s="139">
        <f t="shared" ref="V70" si="21">R70*U70</f>
        <v>0</v>
      </c>
      <c r="W70" s="141">
        <f t="shared" ref="W70:W78" si="22">S70+U70</f>
        <v>0</v>
      </c>
      <c r="X70" s="107">
        <f t="shared" ref="X70:X78" si="23">F70*W70</f>
        <v>0</v>
      </c>
      <c r="Y70" s="238">
        <v>20</v>
      </c>
      <c r="Z70" s="101">
        <v>50</v>
      </c>
    </row>
    <row r="71" spans="1:26" x14ac:dyDescent="0.25">
      <c r="A71" s="264">
        <v>67</v>
      </c>
      <c r="B71" s="261" t="s">
        <v>96</v>
      </c>
      <c r="C71" s="130">
        <v>140</v>
      </c>
      <c r="D71" s="130">
        <v>240</v>
      </c>
      <c r="E71" s="130">
        <v>2</v>
      </c>
      <c r="F71" s="131">
        <f t="shared" si="18"/>
        <v>6.7199999999999996E-2</v>
      </c>
      <c r="G71" s="23">
        <f>'OCAK 4.HAFTA'!W71</f>
        <v>0</v>
      </c>
      <c r="H71" s="135">
        <f t="shared" si="19"/>
        <v>0</v>
      </c>
      <c r="I71" s="21">
        <v>0</v>
      </c>
      <c r="J71" s="205">
        <f t="shared" si="13"/>
        <v>0</v>
      </c>
      <c r="K71" s="21">
        <v>0</v>
      </c>
      <c r="L71" s="10">
        <f t="shared" si="14"/>
        <v>0</v>
      </c>
      <c r="M71" s="21">
        <v>0</v>
      </c>
      <c r="N71" s="205">
        <f t="shared" si="15"/>
        <v>0</v>
      </c>
      <c r="O71" s="21">
        <v>0</v>
      </c>
      <c r="P71" s="173">
        <f t="shared" si="20"/>
        <v>0</v>
      </c>
      <c r="Q71" s="21">
        <v>0</v>
      </c>
      <c r="R71" s="205">
        <f t="shared" si="16"/>
        <v>0</v>
      </c>
      <c r="S71" s="97">
        <f t="shared" ref="S71:S78" si="24">G71-I71-K71-M71-O71-Q71</f>
        <v>0</v>
      </c>
      <c r="T71" s="97">
        <f t="shared" si="17"/>
        <v>0</v>
      </c>
      <c r="U71" s="21">
        <v>0</v>
      </c>
      <c r="V71" s="139">
        <f t="shared" ref="V71:V78" si="25">F71*U71</f>
        <v>0</v>
      </c>
      <c r="W71" s="141">
        <f t="shared" si="22"/>
        <v>0</v>
      </c>
      <c r="X71" s="141">
        <f t="shared" si="23"/>
        <v>0</v>
      </c>
      <c r="Y71" s="238">
        <v>30</v>
      </c>
      <c r="Z71" s="101">
        <v>100</v>
      </c>
    </row>
    <row r="72" spans="1:26" x14ac:dyDescent="0.25">
      <c r="A72" s="264">
        <v>68</v>
      </c>
      <c r="B72" s="262" t="s">
        <v>95</v>
      </c>
      <c r="C72" s="130">
        <v>61</v>
      </c>
      <c r="D72" s="130">
        <v>61</v>
      </c>
      <c r="E72" s="130">
        <v>3</v>
      </c>
      <c r="F72" s="131">
        <f t="shared" si="18"/>
        <v>1.1162999999999999E-2</v>
      </c>
      <c r="G72" s="23">
        <f>'OCAK 4.HAFTA'!W72</f>
        <v>138</v>
      </c>
      <c r="H72" s="135">
        <f t="shared" si="19"/>
        <v>1.5404939999999998</v>
      </c>
      <c r="I72" s="21">
        <v>0</v>
      </c>
      <c r="J72" s="205">
        <f t="shared" si="13"/>
        <v>0</v>
      </c>
      <c r="K72" s="21">
        <v>0</v>
      </c>
      <c r="L72" s="10">
        <f t="shared" si="14"/>
        <v>0</v>
      </c>
      <c r="M72" s="21">
        <v>0</v>
      </c>
      <c r="N72" s="205">
        <f t="shared" si="15"/>
        <v>0</v>
      </c>
      <c r="O72" s="21">
        <v>0</v>
      </c>
      <c r="P72" s="173">
        <f t="shared" si="20"/>
        <v>0</v>
      </c>
      <c r="Q72" s="21">
        <v>0</v>
      </c>
      <c r="R72" s="205">
        <f t="shared" si="16"/>
        <v>0</v>
      </c>
      <c r="S72" s="97">
        <f t="shared" si="24"/>
        <v>138</v>
      </c>
      <c r="T72" s="97">
        <f t="shared" si="17"/>
        <v>1.5404939999999998</v>
      </c>
      <c r="U72" s="21">
        <v>0</v>
      </c>
      <c r="V72" s="252">
        <f t="shared" si="25"/>
        <v>0</v>
      </c>
      <c r="W72" s="253">
        <f t="shared" si="22"/>
        <v>138</v>
      </c>
      <c r="X72" s="253">
        <f t="shared" si="23"/>
        <v>1.5404939999999998</v>
      </c>
      <c r="Y72" s="238">
        <v>0</v>
      </c>
      <c r="Z72" s="101">
        <v>0</v>
      </c>
    </row>
    <row r="73" spans="1:26" x14ac:dyDescent="0.25">
      <c r="A73" s="264">
        <v>69</v>
      </c>
      <c r="B73" s="108" t="s">
        <v>106</v>
      </c>
      <c r="C73" s="96"/>
      <c r="D73" s="96"/>
      <c r="E73" s="96"/>
      <c r="F73" s="109"/>
      <c r="G73" s="23">
        <f>'OCAK 4.HAFTA'!W73</f>
        <v>20</v>
      </c>
      <c r="H73" s="135">
        <f t="shared" si="19"/>
        <v>0</v>
      </c>
      <c r="I73" s="21">
        <v>0</v>
      </c>
      <c r="J73" s="205">
        <f t="shared" si="13"/>
        <v>0</v>
      </c>
      <c r="K73" s="21">
        <v>0</v>
      </c>
      <c r="L73" s="10">
        <f t="shared" si="14"/>
        <v>0</v>
      </c>
      <c r="M73" s="21">
        <v>0</v>
      </c>
      <c r="N73" s="205">
        <f t="shared" si="15"/>
        <v>0</v>
      </c>
      <c r="O73" s="21">
        <v>0</v>
      </c>
      <c r="P73" s="250">
        <f t="shared" si="20"/>
        <v>0</v>
      </c>
      <c r="Q73" s="21">
        <v>0</v>
      </c>
      <c r="R73" s="205">
        <f t="shared" si="16"/>
        <v>0</v>
      </c>
      <c r="S73" s="97">
        <f t="shared" si="24"/>
        <v>20</v>
      </c>
      <c r="T73" s="97">
        <f t="shared" si="17"/>
        <v>0</v>
      </c>
      <c r="U73" s="21">
        <v>0</v>
      </c>
      <c r="V73" s="252">
        <f t="shared" si="25"/>
        <v>0</v>
      </c>
      <c r="W73" s="253">
        <f t="shared" si="22"/>
        <v>20</v>
      </c>
      <c r="X73" s="253">
        <f t="shared" si="23"/>
        <v>0</v>
      </c>
      <c r="Y73" s="101">
        <v>0</v>
      </c>
      <c r="Z73" s="101">
        <v>0</v>
      </c>
    </row>
    <row r="74" spans="1:26" x14ac:dyDescent="0.25">
      <c r="A74" s="105">
        <v>70</v>
      </c>
      <c r="B74" s="270" t="s">
        <v>107</v>
      </c>
      <c r="C74" s="105"/>
      <c r="D74" s="105"/>
      <c r="E74" s="271"/>
      <c r="F74" s="125"/>
      <c r="G74" s="23">
        <f>'OCAK 4.HAFTA'!W74</f>
        <v>20</v>
      </c>
      <c r="H74" s="135">
        <f t="shared" si="19"/>
        <v>0</v>
      </c>
      <c r="I74" s="21">
        <v>0</v>
      </c>
      <c r="J74" s="205">
        <f t="shared" si="13"/>
        <v>0</v>
      </c>
      <c r="K74" s="21">
        <v>0</v>
      </c>
      <c r="L74" s="10">
        <f t="shared" si="14"/>
        <v>0</v>
      </c>
      <c r="M74" s="21">
        <v>0</v>
      </c>
      <c r="N74" s="205">
        <f t="shared" si="15"/>
        <v>0</v>
      </c>
      <c r="O74" s="21">
        <v>0</v>
      </c>
      <c r="P74" s="250">
        <f t="shared" si="20"/>
        <v>0</v>
      </c>
      <c r="Q74" s="21">
        <v>0</v>
      </c>
      <c r="R74" s="205">
        <f t="shared" si="16"/>
        <v>0</v>
      </c>
      <c r="S74" s="97">
        <f t="shared" si="24"/>
        <v>20</v>
      </c>
      <c r="T74" s="97">
        <f t="shared" si="17"/>
        <v>0</v>
      </c>
      <c r="U74" s="21">
        <v>0</v>
      </c>
      <c r="V74" s="252">
        <f t="shared" si="25"/>
        <v>0</v>
      </c>
      <c r="W74" s="253">
        <f t="shared" si="22"/>
        <v>20</v>
      </c>
      <c r="X74" s="253">
        <f t="shared" si="23"/>
        <v>0</v>
      </c>
      <c r="Y74" s="106"/>
      <c r="Z74" s="106"/>
    </row>
    <row r="75" spans="1:26" x14ac:dyDescent="0.25">
      <c r="A75" s="96">
        <v>71</v>
      </c>
      <c r="B75" s="265" t="s">
        <v>108</v>
      </c>
      <c r="C75" s="96">
        <v>140</v>
      </c>
      <c r="D75" s="96">
        <v>240</v>
      </c>
      <c r="E75" s="109">
        <v>6</v>
      </c>
      <c r="F75" s="131">
        <f t="shared" ref="F75:F78" si="26">(C75*D75*E75)/1000000</f>
        <v>0.2016</v>
      </c>
      <c r="G75" s="23">
        <f>'OCAK 4.HAFTA'!W75</f>
        <v>31</v>
      </c>
      <c r="H75" s="135">
        <f t="shared" si="19"/>
        <v>6.2496</v>
      </c>
      <c r="I75" s="21">
        <v>0</v>
      </c>
      <c r="J75" s="205">
        <f t="shared" si="13"/>
        <v>0</v>
      </c>
      <c r="K75" s="21">
        <v>0</v>
      </c>
      <c r="L75" s="96">
        <f t="shared" si="14"/>
        <v>0</v>
      </c>
      <c r="M75" s="21">
        <v>0</v>
      </c>
      <c r="N75" s="205">
        <f t="shared" si="15"/>
        <v>0</v>
      </c>
      <c r="O75" s="21">
        <v>0</v>
      </c>
      <c r="P75" s="250">
        <f t="shared" si="20"/>
        <v>0</v>
      </c>
      <c r="Q75" s="21">
        <v>0</v>
      </c>
      <c r="R75" s="174">
        <f t="shared" si="16"/>
        <v>0</v>
      </c>
      <c r="S75" s="281">
        <f t="shared" si="24"/>
        <v>31</v>
      </c>
      <c r="T75" s="97">
        <f t="shared" si="17"/>
        <v>6.2496</v>
      </c>
      <c r="U75" s="21">
        <v>0</v>
      </c>
      <c r="V75" s="252">
        <f t="shared" si="25"/>
        <v>0</v>
      </c>
      <c r="W75" s="253">
        <f t="shared" si="22"/>
        <v>31</v>
      </c>
      <c r="X75" s="253">
        <f t="shared" si="23"/>
        <v>6.2496</v>
      </c>
      <c r="Y75" s="106"/>
      <c r="Z75" s="106"/>
    </row>
    <row r="76" spans="1:26" x14ac:dyDescent="0.25">
      <c r="A76" s="277">
        <v>72</v>
      </c>
      <c r="B76" s="175" t="s">
        <v>113</v>
      </c>
      <c r="C76" s="2">
        <v>63</v>
      </c>
      <c r="D76" s="2">
        <v>60</v>
      </c>
      <c r="E76" s="2">
        <v>5</v>
      </c>
      <c r="F76" s="131">
        <f t="shared" si="26"/>
        <v>1.89E-2</v>
      </c>
      <c r="G76" s="23">
        <f>'OCAK 4.HAFTA'!W76</f>
        <v>107</v>
      </c>
      <c r="H76" s="135">
        <f t="shared" si="19"/>
        <v>2.0223</v>
      </c>
      <c r="I76" s="21">
        <v>0</v>
      </c>
      <c r="J76" s="205">
        <f t="shared" si="13"/>
        <v>0</v>
      </c>
      <c r="K76" s="21">
        <v>0</v>
      </c>
      <c r="L76" s="96">
        <f t="shared" si="14"/>
        <v>0</v>
      </c>
      <c r="M76" s="21">
        <v>0</v>
      </c>
      <c r="N76" s="205">
        <f t="shared" si="15"/>
        <v>0</v>
      </c>
      <c r="O76" s="21">
        <v>0</v>
      </c>
      <c r="P76" s="250">
        <f t="shared" si="20"/>
        <v>0</v>
      </c>
      <c r="Q76" s="21">
        <v>0</v>
      </c>
      <c r="R76" s="174">
        <f t="shared" si="16"/>
        <v>0</v>
      </c>
      <c r="S76" s="281">
        <f t="shared" si="24"/>
        <v>107</v>
      </c>
      <c r="T76" s="251">
        <f t="shared" si="17"/>
        <v>2.0223</v>
      </c>
      <c r="U76" s="21">
        <v>0</v>
      </c>
      <c r="V76" s="252">
        <f t="shared" si="25"/>
        <v>0</v>
      </c>
      <c r="W76" s="253">
        <f t="shared" si="22"/>
        <v>107</v>
      </c>
      <c r="X76" s="253">
        <f t="shared" si="23"/>
        <v>2.0223</v>
      </c>
      <c r="Y76" s="106"/>
      <c r="Z76" s="106"/>
    </row>
    <row r="77" spans="1:26" ht="15.75" thickBot="1" x14ac:dyDescent="0.3">
      <c r="A77" s="279">
        <v>73</v>
      </c>
      <c r="B77" s="280" t="s">
        <v>115</v>
      </c>
      <c r="C77" s="2">
        <v>90</v>
      </c>
      <c r="D77" s="2">
        <v>85</v>
      </c>
      <c r="E77" s="2">
        <v>5</v>
      </c>
      <c r="F77" s="131">
        <f t="shared" si="26"/>
        <v>3.8249999999999999E-2</v>
      </c>
      <c r="G77" s="23">
        <f>'OCAK 4.HAFTA'!W77</f>
        <v>107</v>
      </c>
      <c r="H77" s="135">
        <f t="shared" si="19"/>
        <v>4.0927499999999997</v>
      </c>
      <c r="I77" s="21">
        <v>0</v>
      </c>
      <c r="J77" s="205">
        <f t="shared" si="13"/>
        <v>0</v>
      </c>
      <c r="K77" s="21">
        <v>0</v>
      </c>
      <c r="L77" s="96">
        <f t="shared" si="14"/>
        <v>0</v>
      </c>
      <c r="M77" s="21">
        <v>0</v>
      </c>
      <c r="N77" s="205">
        <f t="shared" si="15"/>
        <v>0</v>
      </c>
      <c r="O77" s="21">
        <v>0</v>
      </c>
      <c r="P77" s="250">
        <f t="shared" si="20"/>
        <v>0</v>
      </c>
      <c r="Q77" s="21">
        <v>0</v>
      </c>
      <c r="R77" s="174">
        <f t="shared" si="16"/>
        <v>0</v>
      </c>
      <c r="S77" s="281">
        <f t="shared" si="24"/>
        <v>107</v>
      </c>
      <c r="T77" s="251">
        <f t="shared" si="17"/>
        <v>4.0927499999999997</v>
      </c>
      <c r="U77" s="21">
        <v>0</v>
      </c>
      <c r="V77" s="264">
        <f t="shared" si="25"/>
        <v>0</v>
      </c>
      <c r="W77" s="264">
        <f t="shared" si="22"/>
        <v>107</v>
      </c>
      <c r="X77" s="264">
        <f t="shared" si="23"/>
        <v>4.0927499999999997</v>
      </c>
      <c r="Y77" s="101"/>
      <c r="Z77" s="101"/>
    </row>
    <row r="78" spans="1:26" x14ac:dyDescent="0.25">
      <c r="A78" s="277">
        <v>74</v>
      </c>
      <c r="B78" s="151" t="s">
        <v>116</v>
      </c>
      <c r="C78" s="2">
        <v>100</v>
      </c>
      <c r="D78" s="2">
        <v>90</v>
      </c>
      <c r="E78" s="2">
        <v>3</v>
      </c>
      <c r="F78" s="131">
        <f t="shared" si="26"/>
        <v>2.7E-2</v>
      </c>
      <c r="G78" s="23">
        <f>'OCAK 4.HAFTA'!W78</f>
        <v>132</v>
      </c>
      <c r="H78" s="136">
        <f t="shared" si="19"/>
        <v>3.5640000000000001</v>
      </c>
      <c r="I78" s="21">
        <v>0</v>
      </c>
      <c r="J78" s="205">
        <f t="shared" si="13"/>
        <v>0</v>
      </c>
      <c r="K78" s="21">
        <v>0</v>
      </c>
      <c r="L78" s="96">
        <f t="shared" si="14"/>
        <v>0</v>
      </c>
      <c r="M78" s="21">
        <v>0</v>
      </c>
      <c r="N78" s="205">
        <f t="shared" si="15"/>
        <v>0</v>
      </c>
      <c r="O78" s="21">
        <v>0</v>
      </c>
      <c r="P78" s="174">
        <f t="shared" si="20"/>
        <v>0</v>
      </c>
      <c r="Q78" s="21">
        <v>0</v>
      </c>
      <c r="R78" s="174">
        <f t="shared" si="16"/>
        <v>0</v>
      </c>
      <c r="S78" s="282">
        <f t="shared" si="24"/>
        <v>132</v>
      </c>
      <c r="T78" s="97">
        <f t="shared" si="17"/>
        <v>3.5640000000000001</v>
      </c>
      <c r="U78" s="21">
        <v>0</v>
      </c>
      <c r="V78" s="264">
        <f t="shared" si="25"/>
        <v>0</v>
      </c>
      <c r="W78" s="264">
        <f t="shared" si="22"/>
        <v>132</v>
      </c>
      <c r="X78" s="264">
        <f t="shared" si="23"/>
        <v>3.5640000000000001</v>
      </c>
      <c r="Y78" s="101"/>
      <c r="Z78" s="101"/>
    </row>
  </sheetData>
  <mergeCells count="24">
    <mergeCell ref="C1:H1"/>
    <mergeCell ref="G2:H3"/>
    <mergeCell ref="I2:J2"/>
    <mergeCell ref="K2:L2"/>
    <mergeCell ref="M2:N2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S4:T4"/>
    <mergeCell ref="U4:V4"/>
    <mergeCell ref="W4:X4"/>
    <mergeCell ref="G4:H4"/>
    <mergeCell ref="I4:J4"/>
    <mergeCell ref="K4:L4"/>
    <mergeCell ref="M4:N4"/>
    <mergeCell ref="O4:P4"/>
    <mergeCell ref="Q4:R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78"/>
  <sheetViews>
    <sheetView workbookViewId="0">
      <selection activeCell="G5" sqref="G5"/>
    </sheetView>
  </sheetViews>
  <sheetFormatPr defaultRowHeight="15" x14ac:dyDescent="0.25"/>
  <cols>
    <col min="1" max="1" width="6.42578125" customWidth="1"/>
    <col min="2" max="2" width="30.140625" style="3" customWidth="1"/>
    <col min="3" max="3" width="0.140625" style="2" hidden="1" customWidth="1"/>
    <col min="4" max="4" width="13.85546875" style="2" hidden="1" customWidth="1"/>
    <col min="5" max="5" width="12" style="2" hidden="1" customWidth="1"/>
    <col min="6" max="6" width="13.5703125" style="4" hidden="1" customWidth="1"/>
    <col min="7" max="7" width="8.7109375" style="5" customWidth="1"/>
    <col min="8" max="8" width="9" style="5" customWidth="1"/>
    <col min="9" max="20" width="8.140625" style="2" customWidth="1"/>
    <col min="25" max="25" width="10.28515625" customWidth="1"/>
  </cols>
  <sheetData>
    <row r="1" spans="1:26" ht="15.75" thickBot="1" x14ac:dyDescent="0.3">
      <c r="B1" s="4" t="s">
        <v>18</v>
      </c>
      <c r="C1" s="384">
        <v>45078</v>
      </c>
      <c r="D1" s="320"/>
      <c r="E1" s="320"/>
      <c r="F1" s="320"/>
      <c r="G1" s="320"/>
      <c r="H1" s="320"/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45083</v>
      </c>
      <c r="J2" s="326"/>
      <c r="K2" s="327">
        <v>45096</v>
      </c>
      <c r="L2" s="328"/>
      <c r="M2" s="325">
        <v>45100</v>
      </c>
      <c r="N2" s="329"/>
      <c r="O2" s="327">
        <v>45114</v>
      </c>
      <c r="P2" s="346"/>
      <c r="Q2" s="325">
        <v>45122</v>
      </c>
      <c r="R2" s="329"/>
      <c r="S2" s="330" t="s">
        <v>69</v>
      </c>
      <c r="T2" s="331"/>
      <c r="U2" s="334" t="s">
        <v>70</v>
      </c>
      <c r="V2" s="335"/>
      <c r="W2" s="338" t="s">
        <v>71</v>
      </c>
      <c r="X2" s="339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40"/>
      <c r="X3" s="341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51" t="s">
        <v>63</v>
      </c>
      <c r="X4" s="352"/>
      <c r="Y4" s="268" t="s">
        <v>99</v>
      </c>
      <c r="Z4" s="269" t="s">
        <v>100</v>
      </c>
    </row>
    <row r="5" spans="1:26" x14ac:dyDescent="0.25">
      <c r="A5" s="263">
        <v>1</v>
      </c>
      <c r="B5" s="256" t="s">
        <v>134</v>
      </c>
      <c r="C5" s="32">
        <v>70</v>
      </c>
      <c r="D5" s="33">
        <v>64</v>
      </c>
      <c r="E5" s="33">
        <v>8</v>
      </c>
      <c r="F5" s="15">
        <f>(C5*D5*E5)/1000000</f>
        <v>3.5839999999999997E-2</v>
      </c>
      <c r="G5" s="23">
        <v>621</v>
      </c>
      <c r="H5" s="24">
        <f>F5*G5</f>
        <v>22.256639999999997</v>
      </c>
      <c r="I5" s="21">
        <v>7</v>
      </c>
      <c r="J5" s="205">
        <f t="shared" ref="J5:N54" si="0">F5*I5</f>
        <v>0.25087999999999999</v>
      </c>
      <c r="K5" s="21">
        <v>1</v>
      </c>
      <c r="L5" s="205">
        <f t="shared" si="0"/>
        <v>22.256639999999997</v>
      </c>
      <c r="M5" s="21">
        <v>3</v>
      </c>
      <c r="N5" s="21">
        <v>0</v>
      </c>
      <c r="O5" s="21">
        <v>20</v>
      </c>
      <c r="P5" s="21">
        <v>0</v>
      </c>
      <c r="Q5" s="21">
        <v>42</v>
      </c>
      <c r="R5" s="21">
        <v>0</v>
      </c>
      <c r="S5" s="39">
        <f>G5-I5-K5-M5-O5-Q5</f>
        <v>548</v>
      </c>
      <c r="T5" s="38">
        <f t="shared" ref="T5:T54" si="1">F5*S5</f>
        <v>19.640319999999999</v>
      </c>
      <c r="U5" s="21">
        <v>0</v>
      </c>
      <c r="V5" s="13">
        <f>F5*U5</f>
        <v>0</v>
      </c>
      <c r="W5" s="49">
        <f>S5+U5</f>
        <v>548</v>
      </c>
      <c r="X5" s="50">
        <f>F5*W5</f>
        <v>19.640319999999999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135</v>
      </c>
      <c r="C6" s="34">
        <v>70</v>
      </c>
      <c r="D6" s="35">
        <v>80</v>
      </c>
      <c r="E6" s="35">
        <v>8</v>
      </c>
      <c r="F6" s="19">
        <f t="shared" ref="F6:F44" si="2">(C6*D6*E6)/1000000</f>
        <v>4.48E-2</v>
      </c>
      <c r="G6" s="23">
        <v>348</v>
      </c>
      <c r="H6" s="26">
        <f t="shared" ref="H6:H54" si="3">F6*G6</f>
        <v>15.590400000000001</v>
      </c>
      <c r="I6" s="21">
        <v>14</v>
      </c>
      <c r="J6" s="205">
        <f t="shared" si="0"/>
        <v>0.62719999999999998</v>
      </c>
      <c r="K6" s="21">
        <v>0</v>
      </c>
      <c r="L6" s="205">
        <f t="shared" si="0"/>
        <v>0</v>
      </c>
      <c r="M6" s="21">
        <v>10</v>
      </c>
      <c r="N6" s="21">
        <v>0</v>
      </c>
      <c r="O6" s="21">
        <v>72</v>
      </c>
      <c r="P6" s="21">
        <v>0</v>
      </c>
      <c r="Q6" s="21">
        <v>42</v>
      </c>
      <c r="R6" s="21">
        <v>0</v>
      </c>
      <c r="S6" s="39">
        <f>G6-I6-K6-M6-O6-Q6</f>
        <v>210</v>
      </c>
      <c r="T6" s="38">
        <f t="shared" si="1"/>
        <v>9.4079999999999995</v>
      </c>
      <c r="U6" s="21">
        <v>87</v>
      </c>
      <c r="V6" s="13">
        <f t="shared" ref="V6:V54" si="4">F6*U6</f>
        <v>3.8976000000000002</v>
      </c>
      <c r="W6" s="49">
        <f t="shared" ref="W6:W54" si="5">S6+U6</f>
        <v>297</v>
      </c>
      <c r="X6" s="50">
        <f t="shared" ref="X6:X54" si="6">F6*W6</f>
        <v>13.3056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136</v>
      </c>
      <c r="C7" s="34">
        <v>70</v>
      </c>
      <c r="D7" s="35">
        <v>74</v>
      </c>
      <c r="E7" s="35">
        <v>8</v>
      </c>
      <c r="F7" s="19">
        <f t="shared" si="2"/>
        <v>4.1439999999999998E-2</v>
      </c>
      <c r="G7" s="23">
        <v>59</v>
      </c>
      <c r="H7" s="26">
        <f t="shared" si="3"/>
        <v>2.44496</v>
      </c>
      <c r="I7" s="21">
        <v>14</v>
      </c>
      <c r="J7" s="205">
        <f t="shared" si="0"/>
        <v>0.58016000000000001</v>
      </c>
      <c r="K7" s="21">
        <v>0</v>
      </c>
      <c r="L7" s="205">
        <f t="shared" si="0"/>
        <v>0</v>
      </c>
      <c r="M7" s="21">
        <v>0</v>
      </c>
      <c r="N7" s="21">
        <v>0</v>
      </c>
      <c r="O7" s="21">
        <v>0</v>
      </c>
      <c r="P7" s="21">
        <v>0</v>
      </c>
      <c r="Q7" s="21">
        <v>105</v>
      </c>
      <c r="R7" s="21">
        <v>0</v>
      </c>
      <c r="S7" s="39">
        <f t="shared" ref="S7:S54" si="7">G7-I7-K7-M7-O7-Q7</f>
        <v>-60</v>
      </c>
      <c r="T7" s="38">
        <f t="shared" si="1"/>
        <v>-2.4863999999999997</v>
      </c>
      <c r="U7" s="21">
        <v>99</v>
      </c>
      <c r="V7" s="13">
        <f t="shared" si="4"/>
        <v>4.1025599999999995</v>
      </c>
      <c r="W7" s="49">
        <f t="shared" si="5"/>
        <v>39</v>
      </c>
      <c r="X7" s="50">
        <f t="shared" si="6"/>
        <v>1.6161599999999998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137</v>
      </c>
      <c r="C8" s="34">
        <v>80</v>
      </c>
      <c r="D8" s="35">
        <v>64</v>
      </c>
      <c r="E8" s="35">
        <v>5</v>
      </c>
      <c r="F8" s="19">
        <f t="shared" si="2"/>
        <v>2.5600000000000001E-2</v>
      </c>
      <c r="G8" s="23">
        <v>399</v>
      </c>
      <c r="H8" s="26">
        <f t="shared" si="3"/>
        <v>10.214400000000001</v>
      </c>
      <c r="I8" s="21">
        <v>0</v>
      </c>
      <c r="J8" s="205">
        <f t="shared" si="0"/>
        <v>0</v>
      </c>
      <c r="K8" s="21">
        <v>0</v>
      </c>
      <c r="L8" s="205">
        <f t="shared" si="0"/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39">
        <f t="shared" si="7"/>
        <v>399</v>
      </c>
      <c r="T8" s="38">
        <f t="shared" si="1"/>
        <v>10.214400000000001</v>
      </c>
      <c r="U8" s="21">
        <v>0</v>
      </c>
      <c r="V8" s="13">
        <f t="shared" si="4"/>
        <v>0</v>
      </c>
      <c r="W8" s="49">
        <f t="shared" si="5"/>
        <v>399</v>
      </c>
      <c r="X8" s="50">
        <f t="shared" si="6"/>
        <v>10.214400000000001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138</v>
      </c>
      <c r="C9" s="34">
        <v>140</v>
      </c>
      <c r="D9" s="35">
        <v>240</v>
      </c>
      <c r="E9" s="35">
        <v>5</v>
      </c>
      <c r="F9" s="19">
        <f t="shared" si="2"/>
        <v>0.16800000000000001</v>
      </c>
      <c r="G9" s="23">
        <v>200</v>
      </c>
      <c r="H9" s="26">
        <f t="shared" si="3"/>
        <v>33.6</v>
      </c>
      <c r="I9" s="21">
        <v>0</v>
      </c>
      <c r="J9" s="205">
        <f t="shared" si="0"/>
        <v>0</v>
      </c>
      <c r="K9" s="21">
        <v>0</v>
      </c>
      <c r="L9" s="205">
        <f t="shared" si="0"/>
        <v>0</v>
      </c>
      <c r="M9" s="21">
        <v>5</v>
      </c>
      <c r="N9" s="205">
        <f t="shared" si="0"/>
        <v>0</v>
      </c>
      <c r="O9" s="21">
        <v>30</v>
      </c>
      <c r="P9" s="21">
        <v>0</v>
      </c>
      <c r="Q9" s="21">
        <v>5</v>
      </c>
      <c r="R9" s="21">
        <v>0</v>
      </c>
      <c r="S9" s="39">
        <f t="shared" si="7"/>
        <v>160</v>
      </c>
      <c r="T9" s="38">
        <f t="shared" si="1"/>
        <v>26.880000000000003</v>
      </c>
      <c r="U9" s="21">
        <v>0</v>
      </c>
      <c r="V9" s="13">
        <f t="shared" si="4"/>
        <v>0</v>
      </c>
      <c r="W9" s="49">
        <f t="shared" si="5"/>
        <v>160</v>
      </c>
      <c r="X9" s="50">
        <f t="shared" si="6"/>
        <v>26.880000000000003</v>
      </c>
      <c r="Y9" s="238">
        <v>50</v>
      </c>
      <c r="Z9" s="101">
        <v>150</v>
      </c>
    </row>
    <row r="10" spans="1:26" x14ac:dyDescent="0.25">
      <c r="A10" s="264">
        <v>6</v>
      </c>
      <c r="B10" s="256" t="s">
        <v>139</v>
      </c>
      <c r="C10" s="34">
        <v>142</v>
      </c>
      <c r="D10" s="35">
        <v>67</v>
      </c>
      <c r="E10" s="35">
        <v>5</v>
      </c>
      <c r="F10" s="19">
        <f t="shared" si="2"/>
        <v>4.7570000000000001E-2</v>
      </c>
      <c r="G10" s="23">
        <v>160</v>
      </c>
      <c r="H10" s="26">
        <f t="shared" si="3"/>
        <v>7.6112000000000002</v>
      </c>
      <c r="I10" s="21">
        <v>0</v>
      </c>
      <c r="J10" s="205">
        <f t="shared" si="0"/>
        <v>0</v>
      </c>
      <c r="K10" s="21">
        <v>0</v>
      </c>
      <c r="L10" s="205">
        <f t="shared" si="0"/>
        <v>0</v>
      </c>
      <c r="M10" s="21">
        <v>0</v>
      </c>
      <c r="N10" s="21">
        <v>0</v>
      </c>
      <c r="O10" s="21">
        <v>0</v>
      </c>
      <c r="P10" s="21">
        <v>0</v>
      </c>
      <c r="Q10" s="21">
        <v>51</v>
      </c>
      <c r="R10" s="21">
        <v>0</v>
      </c>
      <c r="S10" s="39">
        <f t="shared" si="7"/>
        <v>109</v>
      </c>
      <c r="T10" s="38">
        <f t="shared" si="1"/>
        <v>5.18513</v>
      </c>
      <c r="U10" s="21">
        <v>0</v>
      </c>
      <c r="V10" s="13">
        <f t="shared" si="4"/>
        <v>0</v>
      </c>
      <c r="W10" s="49">
        <f t="shared" si="5"/>
        <v>109</v>
      </c>
      <c r="X10" s="50">
        <f t="shared" si="6"/>
        <v>5.18513</v>
      </c>
      <c r="Y10" s="238">
        <v>75</v>
      </c>
      <c r="Z10" s="101">
        <v>300</v>
      </c>
    </row>
    <row r="11" spans="1:26" x14ac:dyDescent="0.25">
      <c r="A11" s="264">
        <v>7</v>
      </c>
      <c r="B11" s="256" t="s">
        <v>140</v>
      </c>
      <c r="C11" s="34">
        <v>63</v>
      </c>
      <c r="D11" s="35">
        <v>60</v>
      </c>
      <c r="E11" s="35">
        <v>5</v>
      </c>
      <c r="F11" s="19">
        <f t="shared" si="2"/>
        <v>1.89E-2</v>
      </c>
      <c r="G11" s="23">
        <v>230</v>
      </c>
      <c r="H11" s="26">
        <f t="shared" si="3"/>
        <v>4.3470000000000004</v>
      </c>
      <c r="I11" s="21">
        <v>0</v>
      </c>
      <c r="J11" s="205">
        <f t="shared" si="0"/>
        <v>0</v>
      </c>
      <c r="K11" s="21">
        <v>0</v>
      </c>
      <c r="L11" s="205">
        <f t="shared" si="0"/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39">
        <f t="shared" si="7"/>
        <v>230</v>
      </c>
      <c r="T11" s="38">
        <f t="shared" si="1"/>
        <v>4.3470000000000004</v>
      </c>
      <c r="U11" s="21">
        <v>0</v>
      </c>
      <c r="V11" s="13">
        <f t="shared" si="4"/>
        <v>0</v>
      </c>
      <c r="W11" s="49">
        <f t="shared" si="5"/>
        <v>230</v>
      </c>
      <c r="X11" s="50">
        <f t="shared" si="6"/>
        <v>4.3470000000000004</v>
      </c>
      <c r="Y11" s="238">
        <v>20</v>
      </c>
      <c r="Z11" s="101">
        <v>50</v>
      </c>
    </row>
    <row r="12" spans="1:26" x14ac:dyDescent="0.25">
      <c r="A12" s="264">
        <v>8</v>
      </c>
      <c r="B12" s="256" t="s">
        <v>141</v>
      </c>
      <c r="C12" s="34">
        <v>52</v>
      </c>
      <c r="D12" s="35">
        <v>52</v>
      </c>
      <c r="E12" s="35">
        <v>5</v>
      </c>
      <c r="F12" s="19">
        <f t="shared" si="2"/>
        <v>1.3520000000000001E-2</v>
      </c>
      <c r="G12" s="23">
        <v>42</v>
      </c>
      <c r="H12" s="26">
        <f t="shared" si="3"/>
        <v>0.56784000000000001</v>
      </c>
      <c r="I12" s="21">
        <v>0</v>
      </c>
      <c r="J12" s="205">
        <f t="shared" si="0"/>
        <v>0</v>
      </c>
      <c r="K12" s="21">
        <v>0</v>
      </c>
      <c r="L12" s="205">
        <f t="shared" si="0"/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39">
        <f t="shared" si="7"/>
        <v>42</v>
      </c>
      <c r="T12" s="38">
        <f t="shared" si="1"/>
        <v>0.56784000000000001</v>
      </c>
      <c r="U12" s="21">
        <v>0</v>
      </c>
      <c r="V12" s="13">
        <f t="shared" si="4"/>
        <v>0</v>
      </c>
      <c r="W12" s="49">
        <f t="shared" si="5"/>
        <v>42</v>
      </c>
      <c r="X12" s="50">
        <f t="shared" si="6"/>
        <v>0.56784000000000001</v>
      </c>
      <c r="Y12" s="238">
        <v>30</v>
      </c>
      <c r="Z12" s="101">
        <v>100</v>
      </c>
    </row>
    <row r="13" spans="1:26" x14ac:dyDescent="0.25">
      <c r="A13" s="264">
        <v>9</v>
      </c>
      <c r="B13" s="256" t="s">
        <v>142</v>
      </c>
      <c r="C13" s="34">
        <v>140</v>
      </c>
      <c r="D13" s="35">
        <v>240</v>
      </c>
      <c r="E13" s="35">
        <v>5</v>
      </c>
      <c r="F13" s="19">
        <f t="shared" si="2"/>
        <v>0.16800000000000001</v>
      </c>
      <c r="G13" s="23">
        <v>130</v>
      </c>
      <c r="H13" s="26">
        <f t="shared" si="3"/>
        <v>21.84</v>
      </c>
      <c r="I13" s="21">
        <v>0</v>
      </c>
      <c r="J13" s="205">
        <f t="shared" si="0"/>
        <v>0</v>
      </c>
      <c r="K13" s="21">
        <v>0</v>
      </c>
      <c r="L13" s="205">
        <f t="shared" si="0"/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39">
        <f t="shared" si="7"/>
        <v>130</v>
      </c>
      <c r="T13" s="38">
        <f t="shared" si="1"/>
        <v>21.84</v>
      </c>
      <c r="U13" s="21">
        <v>0</v>
      </c>
      <c r="V13" s="13">
        <f t="shared" si="4"/>
        <v>0</v>
      </c>
      <c r="W13" s="49">
        <f t="shared" si="5"/>
        <v>130</v>
      </c>
      <c r="X13" s="50">
        <f t="shared" si="6"/>
        <v>21.84</v>
      </c>
      <c r="Y13" s="238">
        <v>20</v>
      </c>
      <c r="Z13" s="101">
        <v>50</v>
      </c>
    </row>
    <row r="14" spans="1:26" x14ac:dyDescent="0.25">
      <c r="A14" s="264">
        <v>10</v>
      </c>
      <c r="B14" s="256" t="s">
        <v>143</v>
      </c>
      <c r="C14" s="34">
        <v>90</v>
      </c>
      <c r="D14" s="35">
        <v>85</v>
      </c>
      <c r="E14" s="35">
        <v>5</v>
      </c>
      <c r="F14" s="19">
        <f t="shared" si="2"/>
        <v>3.8249999999999999E-2</v>
      </c>
      <c r="G14" s="23">
        <v>99</v>
      </c>
      <c r="H14" s="26">
        <f t="shared" si="3"/>
        <v>3.7867500000000001</v>
      </c>
      <c r="I14" s="21">
        <v>0</v>
      </c>
      <c r="J14" s="205">
        <f t="shared" si="0"/>
        <v>0</v>
      </c>
      <c r="K14" s="21">
        <v>0</v>
      </c>
      <c r="L14" s="205">
        <f t="shared" si="0"/>
        <v>0</v>
      </c>
      <c r="M14" s="21">
        <v>0</v>
      </c>
      <c r="N14" s="21">
        <v>0</v>
      </c>
      <c r="O14" s="21">
        <v>0</v>
      </c>
      <c r="P14" s="21">
        <v>0</v>
      </c>
      <c r="Q14" s="21">
        <v>14</v>
      </c>
      <c r="R14" s="21">
        <v>0</v>
      </c>
      <c r="S14" s="39">
        <f t="shared" si="7"/>
        <v>85</v>
      </c>
      <c r="T14" s="38">
        <f t="shared" si="1"/>
        <v>3.2512499999999998</v>
      </c>
      <c r="U14" s="21">
        <v>0</v>
      </c>
      <c r="V14" s="13">
        <f t="shared" si="4"/>
        <v>0</v>
      </c>
      <c r="W14" s="49">
        <f t="shared" si="5"/>
        <v>85</v>
      </c>
      <c r="X14" s="50">
        <f t="shared" si="6"/>
        <v>3.2512499999999998</v>
      </c>
      <c r="Y14" s="238">
        <v>30</v>
      </c>
      <c r="Z14" s="101">
        <v>100</v>
      </c>
    </row>
    <row r="15" spans="1:26" x14ac:dyDescent="0.25">
      <c r="A15" s="264">
        <v>11</v>
      </c>
      <c r="B15" s="256" t="s">
        <v>144</v>
      </c>
      <c r="C15" s="34">
        <v>140</v>
      </c>
      <c r="D15" s="35">
        <v>240</v>
      </c>
      <c r="E15" s="35">
        <v>5</v>
      </c>
      <c r="F15" s="19">
        <f t="shared" si="2"/>
        <v>0.16800000000000001</v>
      </c>
      <c r="G15" s="23">
        <v>25</v>
      </c>
      <c r="H15" s="26">
        <f t="shared" si="3"/>
        <v>4.2</v>
      </c>
      <c r="I15" s="21">
        <v>0</v>
      </c>
      <c r="J15" s="205">
        <f t="shared" si="0"/>
        <v>0</v>
      </c>
      <c r="K15" s="21">
        <v>0</v>
      </c>
      <c r="L15" s="205">
        <f t="shared" si="0"/>
        <v>0</v>
      </c>
      <c r="M15" s="21">
        <v>0</v>
      </c>
      <c r="N15" s="21">
        <v>0</v>
      </c>
      <c r="O15" s="21">
        <v>6</v>
      </c>
      <c r="P15" s="21">
        <v>0</v>
      </c>
      <c r="Q15" s="21">
        <v>2</v>
      </c>
      <c r="R15" s="21">
        <v>0</v>
      </c>
      <c r="S15" s="39">
        <f t="shared" si="7"/>
        <v>17</v>
      </c>
      <c r="T15" s="38">
        <f t="shared" si="1"/>
        <v>2.8560000000000003</v>
      </c>
      <c r="U15" s="21">
        <v>15</v>
      </c>
      <c r="V15" s="13">
        <f t="shared" si="4"/>
        <v>2.52</v>
      </c>
      <c r="W15" s="49">
        <f t="shared" si="5"/>
        <v>32</v>
      </c>
      <c r="X15" s="50">
        <f t="shared" si="6"/>
        <v>5.3760000000000003</v>
      </c>
      <c r="Y15" s="238">
        <v>20</v>
      </c>
      <c r="Z15" s="101">
        <v>70</v>
      </c>
    </row>
    <row r="16" spans="1:26" x14ac:dyDescent="0.25">
      <c r="A16" s="264">
        <v>12</v>
      </c>
      <c r="B16" s="256" t="s">
        <v>145</v>
      </c>
      <c r="C16" s="34">
        <v>140</v>
      </c>
      <c r="D16" s="35">
        <v>240</v>
      </c>
      <c r="E16" s="35">
        <v>5</v>
      </c>
      <c r="F16" s="19">
        <f t="shared" si="2"/>
        <v>0.16800000000000001</v>
      </c>
      <c r="G16" s="23">
        <v>106</v>
      </c>
      <c r="H16" s="26">
        <f t="shared" si="3"/>
        <v>17.808</v>
      </c>
      <c r="I16" s="21">
        <v>32</v>
      </c>
      <c r="J16" s="205">
        <f t="shared" si="0"/>
        <v>5.3760000000000003</v>
      </c>
      <c r="K16" s="21">
        <v>24</v>
      </c>
      <c r="L16" s="205">
        <v>4.032</v>
      </c>
      <c r="M16" s="21">
        <v>48</v>
      </c>
      <c r="N16" s="21">
        <v>0</v>
      </c>
      <c r="O16" s="21">
        <v>10</v>
      </c>
      <c r="P16" s="21">
        <v>0</v>
      </c>
      <c r="Q16" s="21">
        <v>24</v>
      </c>
      <c r="R16" s="21">
        <v>0</v>
      </c>
      <c r="S16" s="39">
        <f t="shared" si="7"/>
        <v>-32</v>
      </c>
      <c r="T16" s="38">
        <f t="shared" si="1"/>
        <v>-5.3760000000000003</v>
      </c>
      <c r="U16" s="21">
        <v>0</v>
      </c>
      <c r="V16" s="13">
        <v>97</v>
      </c>
      <c r="W16" s="49">
        <f t="shared" si="5"/>
        <v>-32</v>
      </c>
      <c r="X16" s="50">
        <f t="shared" si="6"/>
        <v>-5.3760000000000003</v>
      </c>
      <c r="Y16" s="238">
        <v>50</v>
      </c>
      <c r="Z16" s="101">
        <v>150</v>
      </c>
    </row>
    <row r="17" spans="1:26" x14ac:dyDescent="0.25">
      <c r="A17" s="264">
        <v>13</v>
      </c>
      <c r="B17" s="256" t="s">
        <v>146</v>
      </c>
      <c r="C17" s="34">
        <v>140</v>
      </c>
      <c r="D17" s="35">
        <v>240</v>
      </c>
      <c r="E17" s="35">
        <v>8</v>
      </c>
      <c r="F17" s="19">
        <f t="shared" si="2"/>
        <v>0.26879999999999998</v>
      </c>
      <c r="G17" s="23">
        <v>27</v>
      </c>
      <c r="H17" s="26">
        <f t="shared" si="3"/>
        <v>7.2575999999999992</v>
      </c>
      <c r="I17" s="21">
        <v>0</v>
      </c>
      <c r="J17" s="205">
        <f t="shared" si="0"/>
        <v>0</v>
      </c>
      <c r="K17" s="21">
        <v>0</v>
      </c>
      <c r="L17" s="205">
        <f t="shared" si="0"/>
        <v>0</v>
      </c>
      <c r="M17" s="21">
        <v>0</v>
      </c>
      <c r="N17" s="21">
        <v>0</v>
      </c>
      <c r="O17" s="21">
        <v>3</v>
      </c>
      <c r="P17" s="21">
        <v>0</v>
      </c>
      <c r="Q17" s="21">
        <v>0</v>
      </c>
      <c r="R17" s="21">
        <v>0</v>
      </c>
      <c r="S17" s="39">
        <f t="shared" si="7"/>
        <v>24</v>
      </c>
      <c r="T17" s="38">
        <f t="shared" si="1"/>
        <v>6.4512</v>
      </c>
      <c r="U17" s="21">
        <v>10</v>
      </c>
      <c r="V17" s="13">
        <f t="shared" si="4"/>
        <v>2.6879999999999997</v>
      </c>
      <c r="W17" s="49">
        <f t="shared" si="5"/>
        <v>34</v>
      </c>
      <c r="X17" s="50">
        <f t="shared" si="6"/>
        <v>9.1391999999999989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147</v>
      </c>
      <c r="C18" s="34">
        <v>77</v>
      </c>
      <c r="D18" s="35">
        <v>86</v>
      </c>
      <c r="E18" s="35">
        <v>8</v>
      </c>
      <c r="F18" s="19">
        <f t="shared" si="2"/>
        <v>5.2976000000000002E-2</v>
      </c>
      <c r="G18" s="23">
        <v>201</v>
      </c>
      <c r="H18" s="26">
        <f t="shared" si="3"/>
        <v>10.648176000000001</v>
      </c>
      <c r="I18" s="21">
        <v>0</v>
      </c>
      <c r="J18" s="205">
        <f t="shared" si="0"/>
        <v>0</v>
      </c>
      <c r="K18" s="21">
        <v>0</v>
      </c>
      <c r="L18" s="205">
        <f t="shared" si="0"/>
        <v>0</v>
      </c>
      <c r="M18" s="21">
        <v>34</v>
      </c>
      <c r="N18" s="21">
        <v>0</v>
      </c>
      <c r="O18" s="21">
        <v>42</v>
      </c>
      <c r="P18" s="21">
        <v>0</v>
      </c>
      <c r="Q18" s="21">
        <v>42</v>
      </c>
      <c r="R18" s="21">
        <v>0</v>
      </c>
      <c r="S18" s="39">
        <f t="shared" si="7"/>
        <v>83</v>
      </c>
      <c r="T18" s="38">
        <f t="shared" si="1"/>
        <v>4.3970080000000005</v>
      </c>
      <c r="U18" s="21">
        <v>0</v>
      </c>
      <c r="V18" s="13">
        <f t="shared" si="4"/>
        <v>0</v>
      </c>
      <c r="W18" s="49">
        <f t="shared" si="5"/>
        <v>83</v>
      </c>
      <c r="X18" s="50">
        <f t="shared" si="6"/>
        <v>4.3970080000000005</v>
      </c>
      <c r="Y18" s="238">
        <v>30</v>
      </c>
      <c r="Z18" s="101">
        <v>100</v>
      </c>
    </row>
    <row r="19" spans="1:26" x14ac:dyDescent="0.25">
      <c r="A19" s="264">
        <v>15</v>
      </c>
      <c r="B19" s="256" t="s">
        <v>148</v>
      </c>
      <c r="C19" s="34">
        <v>77</v>
      </c>
      <c r="D19" s="35">
        <v>68</v>
      </c>
      <c r="E19" s="35">
        <v>8</v>
      </c>
      <c r="F19" s="19">
        <f t="shared" si="2"/>
        <v>4.1888000000000002E-2</v>
      </c>
      <c r="G19" s="23">
        <v>77</v>
      </c>
      <c r="H19" s="26">
        <f t="shared" si="3"/>
        <v>3.2253760000000002</v>
      </c>
      <c r="I19" s="21">
        <v>0</v>
      </c>
      <c r="J19" s="205">
        <f t="shared" si="0"/>
        <v>0</v>
      </c>
      <c r="K19" s="21">
        <v>0</v>
      </c>
      <c r="L19" s="205">
        <f t="shared" si="0"/>
        <v>0</v>
      </c>
      <c r="M19" s="21">
        <v>3</v>
      </c>
      <c r="N19" s="21">
        <v>0</v>
      </c>
      <c r="O19" s="21">
        <v>16</v>
      </c>
      <c r="P19" s="21">
        <v>0</v>
      </c>
      <c r="Q19" s="21">
        <v>42</v>
      </c>
      <c r="R19" s="21">
        <v>0</v>
      </c>
      <c r="S19" s="39">
        <f t="shared" si="7"/>
        <v>16</v>
      </c>
      <c r="T19" s="38">
        <f t="shared" si="1"/>
        <v>0.67020800000000003</v>
      </c>
      <c r="U19" s="21">
        <v>121</v>
      </c>
      <c r="V19" s="13">
        <f t="shared" si="4"/>
        <v>5.0684480000000001</v>
      </c>
      <c r="W19" s="49">
        <f t="shared" si="5"/>
        <v>137</v>
      </c>
      <c r="X19" s="50">
        <f t="shared" si="6"/>
        <v>5.7386560000000006</v>
      </c>
      <c r="Y19" s="238">
        <v>10</v>
      </c>
      <c r="Z19" s="101">
        <v>30</v>
      </c>
    </row>
    <row r="20" spans="1:26" x14ac:dyDescent="0.25">
      <c r="A20" s="264">
        <v>16</v>
      </c>
      <c r="B20" s="256" t="s">
        <v>149</v>
      </c>
      <c r="C20" s="34">
        <v>76</v>
      </c>
      <c r="D20" s="35">
        <v>75</v>
      </c>
      <c r="E20" s="35">
        <v>8</v>
      </c>
      <c r="F20" s="19">
        <f t="shared" si="2"/>
        <v>4.5600000000000002E-2</v>
      </c>
      <c r="G20" s="23">
        <v>196</v>
      </c>
      <c r="H20" s="26">
        <f t="shared" si="3"/>
        <v>8.9375999999999998</v>
      </c>
      <c r="I20" s="21">
        <v>0</v>
      </c>
      <c r="J20" s="205">
        <f t="shared" si="0"/>
        <v>0</v>
      </c>
      <c r="K20" s="21">
        <v>0</v>
      </c>
      <c r="L20" s="205">
        <f t="shared" si="0"/>
        <v>0</v>
      </c>
      <c r="M20" s="21">
        <v>31</v>
      </c>
      <c r="N20" s="21">
        <v>0</v>
      </c>
      <c r="O20" s="21">
        <v>16</v>
      </c>
      <c r="P20" s="21">
        <v>0</v>
      </c>
      <c r="Q20" s="21">
        <v>84</v>
      </c>
      <c r="R20" s="21">
        <v>0</v>
      </c>
      <c r="S20" s="39">
        <f t="shared" si="7"/>
        <v>65</v>
      </c>
      <c r="T20" s="38">
        <f t="shared" si="1"/>
        <v>2.964</v>
      </c>
      <c r="U20" s="21">
        <v>0</v>
      </c>
      <c r="V20" s="13">
        <f t="shared" si="4"/>
        <v>0</v>
      </c>
      <c r="W20" s="49">
        <f t="shared" si="5"/>
        <v>65</v>
      </c>
      <c r="X20" s="50">
        <f t="shared" si="6"/>
        <v>2.964</v>
      </c>
      <c r="Y20" s="238">
        <v>0</v>
      </c>
      <c r="Z20" s="101">
        <v>0</v>
      </c>
    </row>
    <row r="21" spans="1:26" x14ac:dyDescent="0.25">
      <c r="A21" s="264">
        <v>17</v>
      </c>
      <c r="B21" s="256" t="s">
        <v>150</v>
      </c>
      <c r="C21" s="34">
        <v>60</v>
      </c>
      <c r="D21" s="35">
        <v>63</v>
      </c>
      <c r="E21" s="35">
        <v>10</v>
      </c>
      <c r="F21" s="19">
        <f t="shared" si="2"/>
        <v>3.78E-2</v>
      </c>
      <c r="G21" s="23">
        <v>352</v>
      </c>
      <c r="H21" s="26">
        <f t="shared" si="3"/>
        <v>13.3056</v>
      </c>
      <c r="I21" s="21">
        <v>0</v>
      </c>
      <c r="J21" s="205">
        <f t="shared" si="0"/>
        <v>0</v>
      </c>
      <c r="K21" s="21">
        <v>0</v>
      </c>
      <c r="L21" s="205">
        <f t="shared" si="0"/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39">
        <f t="shared" si="7"/>
        <v>352</v>
      </c>
      <c r="T21" s="38">
        <f t="shared" si="1"/>
        <v>13.3056</v>
      </c>
      <c r="U21" s="21">
        <v>0</v>
      </c>
      <c r="V21" s="13">
        <f t="shared" si="4"/>
        <v>0</v>
      </c>
      <c r="W21" s="49">
        <f t="shared" si="5"/>
        <v>352</v>
      </c>
      <c r="X21" s="50">
        <f t="shared" si="6"/>
        <v>13.3056</v>
      </c>
      <c r="Y21" s="238">
        <v>0</v>
      </c>
      <c r="Z21" s="101">
        <v>0</v>
      </c>
    </row>
    <row r="22" spans="1:26" x14ac:dyDescent="0.25">
      <c r="A22" s="264">
        <v>18</v>
      </c>
      <c r="B22" s="256" t="s">
        <v>151</v>
      </c>
      <c r="C22" s="34">
        <v>63</v>
      </c>
      <c r="D22" s="35">
        <v>60</v>
      </c>
      <c r="E22" s="35">
        <v>3</v>
      </c>
      <c r="F22" s="19">
        <f t="shared" si="2"/>
        <v>1.1339999999999999E-2</v>
      </c>
      <c r="G22" s="23">
        <v>109</v>
      </c>
      <c r="H22" s="26">
        <f t="shared" si="3"/>
        <v>1.2360599999999999</v>
      </c>
      <c r="I22" s="21">
        <v>0</v>
      </c>
      <c r="J22" s="205">
        <f t="shared" si="0"/>
        <v>0</v>
      </c>
      <c r="K22" s="21">
        <v>0</v>
      </c>
      <c r="L22" s="205">
        <f t="shared" si="0"/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39">
        <f t="shared" si="7"/>
        <v>109</v>
      </c>
      <c r="T22" s="38">
        <f t="shared" si="1"/>
        <v>1.2360599999999999</v>
      </c>
      <c r="U22" s="21">
        <v>0</v>
      </c>
      <c r="V22" s="13">
        <f t="shared" si="4"/>
        <v>0</v>
      </c>
      <c r="W22" s="49">
        <f t="shared" si="5"/>
        <v>109</v>
      </c>
      <c r="X22" s="50">
        <f t="shared" si="6"/>
        <v>1.2360599999999999</v>
      </c>
      <c r="Y22" s="238">
        <v>0</v>
      </c>
      <c r="Z22" s="101">
        <v>0</v>
      </c>
    </row>
    <row r="23" spans="1:26" x14ac:dyDescent="0.25">
      <c r="A23" s="264">
        <v>19</v>
      </c>
      <c r="B23" s="42" t="s">
        <v>152</v>
      </c>
      <c r="C23" s="34">
        <v>140</v>
      </c>
      <c r="D23" s="35">
        <v>240</v>
      </c>
      <c r="E23" s="35">
        <v>1.4</v>
      </c>
      <c r="F23" s="19">
        <f t="shared" si="2"/>
        <v>4.7039999999999998E-2</v>
      </c>
      <c r="G23" s="23">
        <v>551</v>
      </c>
      <c r="H23" s="26">
        <f t="shared" si="3"/>
        <v>25.919039999999999</v>
      </c>
      <c r="I23" s="21">
        <v>30</v>
      </c>
      <c r="J23" s="205">
        <f t="shared" si="0"/>
        <v>1.4112</v>
      </c>
      <c r="K23" s="21">
        <v>96</v>
      </c>
      <c r="L23" s="205">
        <v>4.516</v>
      </c>
      <c r="M23" s="21">
        <v>120</v>
      </c>
      <c r="N23" s="21">
        <v>0</v>
      </c>
      <c r="O23" s="21">
        <v>0</v>
      </c>
      <c r="P23" s="21">
        <v>0</v>
      </c>
      <c r="Q23" s="21">
        <v>50</v>
      </c>
      <c r="R23" s="21">
        <v>0</v>
      </c>
      <c r="S23" s="39">
        <f t="shared" si="7"/>
        <v>255</v>
      </c>
      <c r="T23" s="38">
        <f t="shared" si="1"/>
        <v>11.995199999999999</v>
      </c>
      <c r="U23" s="21">
        <v>0</v>
      </c>
      <c r="V23" s="13">
        <f t="shared" si="4"/>
        <v>0</v>
      </c>
      <c r="W23" s="49">
        <f t="shared" si="5"/>
        <v>255</v>
      </c>
      <c r="X23" s="50">
        <f t="shared" si="6"/>
        <v>11.995199999999999</v>
      </c>
      <c r="Y23" s="238">
        <v>0</v>
      </c>
      <c r="Z23" s="101">
        <v>0</v>
      </c>
    </row>
    <row r="24" spans="1:26" x14ac:dyDescent="0.25">
      <c r="A24" s="264">
        <v>20</v>
      </c>
      <c r="B24" s="256" t="s">
        <v>3</v>
      </c>
      <c r="C24" s="34">
        <v>140</v>
      </c>
      <c r="D24" s="35">
        <v>240</v>
      </c>
      <c r="E24" s="35">
        <v>0.8</v>
      </c>
      <c r="F24" s="19">
        <f t="shared" si="2"/>
        <v>2.6880000000000001E-2</v>
      </c>
      <c r="G24" s="23">
        <v>343</v>
      </c>
      <c r="H24" s="26">
        <f t="shared" si="3"/>
        <v>9.2198399999999996</v>
      </c>
      <c r="I24" s="21">
        <v>0</v>
      </c>
      <c r="J24" s="205">
        <f t="shared" si="0"/>
        <v>0</v>
      </c>
      <c r="K24" s="21">
        <v>50</v>
      </c>
      <c r="L24" s="205">
        <v>1.3440000000000001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39">
        <f t="shared" si="7"/>
        <v>293</v>
      </c>
      <c r="T24" s="38">
        <f t="shared" si="1"/>
        <v>7.8758400000000002</v>
      </c>
      <c r="U24" s="21">
        <v>0</v>
      </c>
      <c r="V24" s="13">
        <f t="shared" si="4"/>
        <v>0</v>
      </c>
      <c r="W24" s="49">
        <f t="shared" si="5"/>
        <v>293</v>
      </c>
      <c r="X24" s="50">
        <f t="shared" si="6"/>
        <v>7.8758400000000002</v>
      </c>
      <c r="Y24" s="238">
        <v>0</v>
      </c>
      <c r="Z24" s="101">
        <v>0</v>
      </c>
    </row>
    <row r="25" spans="1:26" x14ac:dyDescent="0.25">
      <c r="A25" s="264">
        <v>21</v>
      </c>
      <c r="B25" s="256" t="s">
        <v>153</v>
      </c>
      <c r="C25" s="34">
        <v>58</v>
      </c>
      <c r="D25" s="35">
        <v>58</v>
      </c>
      <c r="E25" s="35">
        <v>2.2999999999999998</v>
      </c>
      <c r="F25" s="19">
        <f t="shared" si="2"/>
        <v>7.7371999999999996E-3</v>
      </c>
      <c r="G25" s="23">
        <v>1750</v>
      </c>
      <c r="H25" s="26">
        <f t="shared" si="3"/>
        <v>13.540099999999999</v>
      </c>
      <c r="I25" s="21">
        <v>256</v>
      </c>
      <c r="J25" s="205">
        <f t="shared" si="0"/>
        <v>1.9807231999999999</v>
      </c>
      <c r="K25" s="21">
        <v>0</v>
      </c>
      <c r="L25" s="205">
        <f t="shared" si="0"/>
        <v>0</v>
      </c>
      <c r="M25" s="21">
        <v>0</v>
      </c>
      <c r="N25" s="21">
        <v>0</v>
      </c>
      <c r="O25" s="21">
        <v>480</v>
      </c>
      <c r="P25" s="21">
        <v>0</v>
      </c>
      <c r="Q25" s="21">
        <v>0</v>
      </c>
      <c r="R25" s="21">
        <v>0</v>
      </c>
      <c r="S25" s="39">
        <f t="shared" si="7"/>
        <v>1014</v>
      </c>
      <c r="T25" s="38">
        <f t="shared" si="1"/>
        <v>7.8455207999999992</v>
      </c>
      <c r="U25" s="21">
        <v>0</v>
      </c>
      <c r="V25" s="13">
        <f t="shared" si="4"/>
        <v>0</v>
      </c>
      <c r="W25" s="49">
        <f t="shared" si="5"/>
        <v>1014</v>
      </c>
      <c r="X25" s="50">
        <f t="shared" si="6"/>
        <v>7.8455207999999992</v>
      </c>
      <c r="Y25" s="238">
        <v>30</v>
      </c>
      <c r="Z25" s="101">
        <v>100</v>
      </c>
    </row>
    <row r="26" spans="1:26" x14ac:dyDescent="0.25">
      <c r="A26" s="264">
        <v>22</v>
      </c>
      <c r="B26" s="256" t="s">
        <v>154</v>
      </c>
      <c r="C26" s="34">
        <v>140</v>
      </c>
      <c r="D26" s="35">
        <v>240</v>
      </c>
      <c r="E26" s="35">
        <v>7</v>
      </c>
      <c r="F26" s="19">
        <f t="shared" si="2"/>
        <v>0.23519999999999999</v>
      </c>
      <c r="G26" s="23">
        <v>133</v>
      </c>
      <c r="H26" s="26">
        <f t="shared" si="3"/>
        <v>31.281599999999997</v>
      </c>
      <c r="I26" s="21">
        <v>3</v>
      </c>
      <c r="J26" s="205">
        <f t="shared" ref="J26" si="8">F26*I26</f>
        <v>0.7056</v>
      </c>
      <c r="K26" s="21">
        <v>5</v>
      </c>
      <c r="L26" s="205">
        <v>1.1759999999999999</v>
      </c>
      <c r="M26" s="21">
        <v>11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39">
        <f t="shared" si="7"/>
        <v>114</v>
      </c>
      <c r="T26" s="38">
        <f t="shared" si="1"/>
        <v>26.812799999999999</v>
      </c>
      <c r="U26" s="21">
        <v>0</v>
      </c>
      <c r="V26" s="13">
        <f t="shared" si="4"/>
        <v>0</v>
      </c>
      <c r="W26" s="49">
        <f t="shared" si="5"/>
        <v>114</v>
      </c>
      <c r="X26" s="50">
        <f t="shared" si="6"/>
        <v>26.812799999999999</v>
      </c>
      <c r="Y26" s="238">
        <v>0</v>
      </c>
      <c r="Z26" s="101">
        <v>0</v>
      </c>
    </row>
    <row r="27" spans="1:26" ht="15.75" x14ac:dyDescent="0.25">
      <c r="A27" s="264">
        <v>23</v>
      </c>
      <c r="B27" s="256" t="s">
        <v>55</v>
      </c>
      <c r="C27" s="111">
        <v>50</v>
      </c>
      <c r="D27" s="112">
        <v>45</v>
      </c>
      <c r="E27" s="112">
        <v>4</v>
      </c>
      <c r="F27" s="19">
        <f t="shared" si="2"/>
        <v>8.9999999999999993E-3</v>
      </c>
      <c r="G27" s="23">
        <v>500</v>
      </c>
      <c r="H27" s="26">
        <f t="shared" si="3"/>
        <v>4.5</v>
      </c>
      <c r="I27" s="21">
        <v>0</v>
      </c>
      <c r="J27" s="205">
        <f t="shared" si="0"/>
        <v>0</v>
      </c>
      <c r="K27" s="21">
        <v>0</v>
      </c>
      <c r="L27" s="205">
        <f t="shared" si="0"/>
        <v>0</v>
      </c>
      <c r="M27" s="21">
        <v>0</v>
      </c>
      <c r="N27" s="21">
        <v>0</v>
      </c>
      <c r="O27" s="21">
        <v>200</v>
      </c>
      <c r="P27" s="21">
        <v>0</v>
      </c>
      <c r="Q27" s="21">
        <v>19</v>
      </c>
      <c r="R27" s="21">
        <v>0</v>
      </c>
      <c r="S27" s="39">
        <f t="shared" si="7"/>
        <v>281</v>
      </c>
      <c r="T27" s="38">
        <f t="shared" si="1"/>
        <v>2.5289999999999999</v>
      </c>
      <c r="U27" s="21">
        <v>0</v>
      </c>
      <c r="V27" s="13">
        <f t="shared" si="4"/>
        <v>0</v>
      </c>
      <c r="W27" s="49">
        <f t="shared" si="5"/>
        <v>281</v>
      </c>
      <c r="X27" s="50">
        <f t="shared" si="6"/>
        <v>2.5289999999999999</v>
      </c>
      <c r="Y27" s="238">
        <v>0</v>
      </c>
      <c r="Z27" s="101">
        <v>0</v>
      </c>
    </row>
    <row r="28" spans="1:26" ht="15.75" x14ac:dyDescent="0.25">
      <c r="A28" s="264">
        <v>24</v>
      </c>
      <c r="B28" s="256" t="s">
        <v>56</v>
      </c>
      <c r="C28" s="111">
        <v>50</v>
      </c>
      <c r="D28" s="112">
        <v>35</v>
      </c>
      <c r="E28" s="112">
        <v>4</v>
      </c>
      <c r="F28" s="19">
        <f t="shared" si="2"/>
        <v>7.0000000000000001E-3</v>
      </c>
      <c r="G28" s="23">
        <v>1080</v>
      </c>
      <c r="H28" s="26">
        <f t="shared" si="3"/>
        <v>7.5600000000000005</v>
      </c>
      <c r="I28" s="21">
        <v>0</v>
      </c>
      <c r="J28" s="205">
        <f t="shared" si="0"/>
        <v>0</v>
      </c>
      <c r="K28" s="21">
        <v>0</v>
      </c>
      <c r="L28" s="205">
        <f t="shared" si="0"/>
        <v>0</v>
      </c>
      <c r="M28" s="21">
        <v>0</v>
      </c>
      <c r="N28" s="21">
        <v>0</v>
      </c>
      <c r="O28" s="21">
        <v>200</v>
      </c>
      <c r="P28" s="21">
        <v>0</v>
      </c>
      <c r="Q28" s="21">
        <v>42</v>
      </c>
      <c r="R28" s="21">
        <v>0</v>
      </c>
      <c r="S28" s="39">
        <f t="shared" si="7"/>
        <v>838</v>
      </c>
      <c r="T28" s="38">
        <f t="shared" si="1"/>
        <v>5.8660000000000005</v>
      </c>
      <c r="U28" s="21">
        <v>0</v>
      </c>
      <c r="V28" s="13">
        <f t="shared" si="4"/>
        <v>0</v>
      </c>
      <c r="W28" s="49">
        <f t="shared" si="5"/>
        <v>838</v>
      </c>
      <c r="X28" s="50">
        <f t="shared" si="6"/>
        <v>5.8660000000000005</v>
      </c>
      <c r="Y28" s="238">
        <v>0</v>
      </c>
      <c r="Z28" s="101">
        <v>0</v>
      </c>
    </row>
    <row r="29" spans="1:26" ht="15.75" x14ac:dyDescent="0.25">
      <c r="A29" s="264">
        <v>25</v>
      </c>
      <c r="B29" s="256" t="s">
        <v>57</v>
      </c>
      <c r="C29" s="111">
        <v>45</v>
      </c>
      <c r="D29" s="112">
        <v>50</v>
      </c>
      <c r="E29" s="112">
        <v>3</v>
      </c>
      <c r="F29" s="19">
        <f t="shared" si="2"/>
        <v>6.7499999999999999E-3</v>
      </c>
      <c r="G29" s="23">
        <v>1550</v>
      </c>
      <c r="H29" s="26">
        <f t="shared" si="3"/>
        <v>10.4625</v>
      </c>
      <c r="I29" s="21">
        <v>0</v>
      </c>
      <c r="J29" s="205">
        <f t="shared" si="0"/>
        <v>0</v>
      </c>
      <c r="K29" s="21">
        <v>910</v>
      </c>
      <c r="L29" s="205">
        <f t="shared" si="0"/>
        <v>9520.875</v>
      </c>
      <c r="M29" s="21">
        <v>350</v>
      </c>
      <c r="N29" s="21">
        <v>0</v>
      </c>
      <c r="O29" s="21">
        <v>200</v>
      </c>
      <c r="P29" s="21">
        <v>0</v>
      </c>
      <c r="Q29" s="21">
        <v>0</v>
      </c>
      <c r="R29" s="21">
        <v>0</v>
      </c>
      <c r="S29" s="39">
        <f t="shared" si="7"/>
        <v>90</v>
      </c>
      <c r="T29" s="38">
        <f t="shared" si="1"/>
        <v>0.60750000000000004</v>
      </c>
      <c r="U29" s="21">
        <v>0</v>
      </c>
      <c r="V29" s="13">
        <f t="shared" si="4"/>
        <v>0</v>
      </c>
      <c r="W29" s="49">
        <f t="shared" si="5"/>
        <v>90</v>
      </c>
      <c r="X29" s="50">
        <f t="shared" si="6"/>
        <v>0.60750000000000004</v>
      </c>
      <c r="Y29" s="238">
        <v>0</v>
      </c>
      <c r="Z29" s="101">
        <v>0</v>
      </c>
    </row>
    <row r="30" spans="1:26" ht="15.75" x14ac:dyDescent="0.25">
      <c r="A30" s="264">
        <v>26</v>
      </c>
      <c r="B30" s="256" t="s">
        <v>58</v>
      </c>
      <c r="C30" s="111">
        <v>50</v>
      </c>
      <c r="D30" s="112">
        <v>35</v>
      </c>
      <c r="E30" s="112">
        <v>3</v>
      </c>
      <c r="F30" s="19">
        <f t="shared" si="2"/>
        <v>5.2500000000000003E-3</v>
      </c>
      <c r="G30" s="23">
        <v>1425</v>
      </c>
      <c r="H30" s="26">
        <f t="shared" si="3"/>
        <v>7.4812500000000002</v>
      </c>
      <c r="I30" s="21">
        <v>0</v>
      </c>
      <c r="J30" s="205">
        <f t="shared" si="0"/>
        <v>0</v>
      </c>
      <c r="K30" s="21">
        <v>810</v>
      </c>
      <c r="L30" s="205">
        <v>0</v>
      </c>
      <c r="M30" s="21">
        <v>350</v>
      </c>
      <c r="N30" s="21">
        <v>0</v>
      </c>
      <c r="O30" s="21">
        <v>200</v>
      </c>
      <c r="P30" s="21">
        <v>0</v>
      </c>
      <c r="Q30" s="21">
        <v>0</v>
      </c>
      <c r="R30" s="21">
        <v>0</v>
      </c>
      <c r="S30" s="39">
        <f t="shared" si="7"/>
        <v>65</v>
      </c>
      <c r="T30" s="38">
        <f t="shared" si="1"/>
        <v>0.34125</v>
      </c>
      <c r="U30" s="21">
        <v>0</v>
      </c>
      <c r="V30" s="13">
        <f t="shared" si="4"/>
        <v>0</v>
      </c>
      <c r="W30" s="49">
        <f t="shared" si="5"/>
        <v>65</v>
      </c>
      <c r="X30" s="50">
        <f t="shared" si="6"/>
        <v>0.34125</v>
      </c>
      <c r="Y30" s="238">
        <v>0</v>
      </c>
      <c r="Z30" s="101">
        <v>0</v>
      </c>
    </row>
    <row r="31" spans="1:26" x14ac:dyDescent="0.25">
      <c r="A31" s="264">
        <v>27</v>
      </c>
      <c r="B31" s="256" t="s">
        <v>155</v>
      </c>
      <c r="C31" s="34">
        <v>140</v>
      </c>
      <c r="D31" s="35">
        <v>9.5</v>
      </c>
      <c r="E31" s="35">
        <v>6.5</v>
      </c>
      <c r="F31" s="19">
        <f t="shared" si="2"/>
        <v>8.6449999999999999E-3</v>
      </c>
      <c r="G31" s="23">
        <v>1250</v>
      </c>
      <c r="H31" s="26">
        <f t="shared" si="3"/>
        <v>10.80625</v>
      </c>
      <c r="I31" s="21">
        <v>0</v>
      </c>
      <c r="J31" s="205">
        <f t="shared" si="0"/>
        <v>0</v>
      </c>
      <c r="K31" s="21">
        <v>0</v>
      </c>
      <c r="L31" s="205">
        <f t="shared" si="0"/>
        <v>0</v>
      </c>
      <c r="M31" s="21">
        <v>270</v>
      </c>
      <c r="N31" s="21">
        <v>0</v>
      </c>
      <c r="O31" s="21">
        <v>250</v>
      </c>
      <c r="P31" s="21">
        <v>0</v>
      </c>
      <c r="Q31" s="21">
        <v>0</v>
      </c>
      <c r="R31" s="21">
        <v>0</v>
      </c>
      <c r="S31" s="39">
        <f t="shared" si="7"/>
        <v>730</v>
      </c>
      <c r="T31" s="38">
        <f t="shared" si="1"/>
        <v>6.3108500000000003</v>
      </c>
      <c r="U31" s="21">
        <v>0</v>
      </c>
      <c r="V31" s="13">
        <f t="shared" si="4"/>
        <v>0</v>
      </c>
      <c r="W31" s="49">
        <f t="shared" si="5"/>
        <v>730</v>
      </c>
      <c r="X31" s="50">
        <f t="shared" si="6"/>
        <v>6.3108500000000003</v>
      </c>
      <c r="Y31" s="238">
        <v>0</v>
      </c>
      <c r="Z31" s="101">
        <v>0</v>
      </c>
    </row>
    <row r="32" spans="1:26" x14ac:dyDescent="0.25">
      <c r="A32" s="264">
        <v>28</v>
      </c>
      <c r="B32" s="256" t="s">
        <v>156</v>
      </c>
      <c r="C32" s="34">
        <v>140</v>
      </c>
      <c r="D32" s="35">
        <v>240</v>
      </c>
      <c r="E32" s="35">
        <v>1</v>
      </c>
      <c r="F32" s="19">
        <f t="shared" si="2"/>
        <v>3.3599999999999998E-2</v>
      </c>
      <c r="G32" s="23">
        <v>405</v>
      </c>
      <c r="H32" s="26">
        <f t="shared" si="3"/>
        <v>13.607999999999999</v>
      </c>
      <c r="I32" s="21">
        <v>110</v>
      </c>
      <c r="J32" s="205">
        <f t="shared" si="0"/>
        <v>3.6959999999999997</v>
      </c>
      <c r="K32" s="21">
        <v>76</v>
      </c>
      <c r="L32" s="205">
        <v>2.5535999999999999</v>
      </c>
      <c r="M32" s="21">
        <v>200</v>
      </c>
      <c r="N32" s="21">
        <v>0</v>
      </c>
      <c r="O32" s="21">
        <v>90</v>
      </c>
      <c r="P32" s="21">
        <v>0</v>
      </c>
      <c r="Q32" s="21">
        <v>246</v>
      </c>
      <c r="R32" s="21">
        <v>0</v>
      </c>
      <c r="S32" s="39">
        <f t="shared" si="7"/>
        <v>-317</v>
      </c>
      <c r="T32" s="38">
        <f t="shared" si="1"/>
        <v>-10.651199999999999</v>
      </c>
      <c r="U32" s="21">
        <v>330</v>
      </c>
      <c r="V32" s="13">
        <v>0</v>
      </c>
      <c r="W32" s="49">
        <f t="shared" si="5"/>
        <v>13</v>
      </c>
      <c r="X32" s="50">
        <f t="shared" si="6"/>
        <v>0.43679999999999997</v>
      </c>
      <c r="Y32" s="238">
        <v>0</v>
      </c>
      <c r="Z32" s="101">
        <v>0</v>
      </c>
    </row>
    <row r="33" spans="1:26" x14ac:dyDescent="0.25">
      <c r="A33" s="264">
        <v>29</v>
      </c>
      <c r="B33" s="256" t="s">
        <v>157</v>
      </c>
      <c r="C33" s="34">
        <v>140</v>
      </c>
      <c r="D33" s="35">
        <v>240</v>
      </c>
      <c r="E33" s="35">
        <v>2</v>
      </c>
      <c r="F33" s="19">
        <f t="shared" si="2"/>
        <v>6.7199999999999996E-2</v>
      </c>
      <c r="G33" s="23">
        <v>591</v>
      </c>
      <c r="H33" s="26">
        <f t="shared" si="3"/>
        <v>39.715199999999996</v>
      </c>
      <c r="I33" s="21">
        <v>17</v>
      </c>
      <c r="J33" s="205">
        <f t="shared" si="0"/>
        <v>1.1423999999999999</v>
      </c>
      <c r="K33" s="21">
        <v>30</v>
      </c>
      <c r="L33" s="205">
        <v>2.016</v>
      </c>
      <c r="M33" s="21">
        <v>20</v>
      </c>
      <c r="N33" s="21">
        <v>0</v>
      </c>
      <c r="O33" s="21">
        <v>0</v>
      </c>
      <c r="P33" s="21">
        <v>0</v>
      </c>
      <c r="Q33" s="21">
        <v>70</v>
      </c>
      <c r="R33" s="21">
        <v>0</v>
      </c>
      <c r="S33" s="39">
        <f t="shared" si="7"/>
        <v>454</v>
      </c>
      <c r="T33" s="38">
        <f t="shared" si="1"/>
        <v>30.508799999999997</v>
      </c>
      <c r="U33" s="21">
        <v>0</v>
      </c>
      <c r="V33" s="13">
        <f t="shared" si="4"/>
        <v>0</v>
      </c>
      <c r="W33" s="49">
        <f t="shared" si="5"/>
        <v>454</v>
      </c>
      <c r="X33" s="50">
        <f t="shared" si="6"/>
        <v>30.508799999999997</v>
      </c>
      <c r="Y33" s="238">
        <v>0</v>
      </c>
      <c r="Z33" s="101">
        <v>0</v>
      </c>
    </row>
    <row r="34" spans="1:26" x14ac:dyDescent="0.25">
      <c r="A34" s="264">
        <v>30</v>
      </c>
      <c r="B34" s="256" t="s">
        <v>158</v>
      </c>
      <c r="C34" s="34">
        <v>140</v>
      </c>
      <c r="D34" s="35">
        <v>240</v>
      </c>
      <c r="E34" s="35">
        <v>3</v>
      </c>
      <c r="F34" s="19">
        <f t="shared" si="2"/>
        <v>0.1008</v>
      </c>
      <c r="G34" s="23">
        <v>177</v>
      </c>
      <c r="H34" s="26">
        <f t="shared" si="3"/>
        <v>17.8416</v>
      </c>
      <c r="I34" s="21">
        <v>0</v>
      </c>
      <c r="J34" s="205">
        <f t="shared" si="0"/>
        <v>0</v>
      </c>
      <c r="K34" s="21">
        <v>0</v>
      </c>
      <c r="L34" s="205">
        <f t="shared" si="0"/>
        <v>0</v>
      </c>
      <c r="M34" s="21">
        <v>5</v>
      </c>
      <c r="N34" s="21">
        <v>0</v>
      </c>
      <c r="O34" s="21">
        <v>10</v>
      </c>
      <c r="P34" s="21">
        <v>0</v>
      </c>
      <c r="Q34" s="21">
        <v>0</v>
      </c>
      <c r="R34" s="21">
        <v>0</v>
      </c>
      <c r="S34" s="39">
        <f t="shared" si="7"/>
        <v>162</v>
      </c>
      <c r="T34" s="38">
        <f t="shared" si="1"/>
        <v>16.329599999999999</v>
      </c>
      <c r="U34" s="21">
        <v>0</v>
      </c>
      <c r="V34" s="13">
        <f t="shared" si="4"/>
        <v>0</v>
      </c>
      <c r="W34" s="49">
        <f t="shared" si="5"/>
        <v>162</v>
      </c>
      <c r="X34" s="50">
        <f t="shared" si="6"/>
        <v>16.329599999999999</v>
      </c>
      <c r="Y34" s="238">
        <v>0</v>
      </c>
      <c r="Z34" s="101">
        <v>0</v>
      </c>
    </row>
    <row r="35" spans="1:26" x14ac:dyDescent="0.25">
      <c r="A35" s="264">
        <v>31</v>
      </c>
      <c r="B35" s="256" t="s">
        <v>159</v>
      </c>
      <c r="C35" s="34">
        <v>140</v>
      </c>
      <c r="D35" s="35">
        <v>240</v>
      </c>
      <c r="E35" s="35">
        <v>4</v>
      </c>
      <c r="F35" s="19">
        <f t="shared" si="2"/>
        <v>0.13439999999999999</v>
      </c>
      <c r="G35" s="23">
        <v>50</v>
      </c>
      <c r="H35" s="26">
        <f t="shared" si="3"/>
        <v>6.72</v>
      </c>
      <c r="I35" s="21">
        <v>0</v>
      </c>
      <c r="J35" s="205">
        <f t="shared" si="0"/>
        <v>0</v>
      </c>
      <c r="K35" s="21">
        <v>0</v>
      </c>
      <c r="L35" s="205">
        <f t="shared" si="0"/>
        <v>0</v>
      </c>
      <c r="M35" s="21">
        <v>0</v>
      </c>
      <c r="N35" s="21">
        <v>0</v>
      </c>
      <c r="O35" s="21">
        <v>8</v>
      </c>
      <c r="P35" s="21">
        <v>0</v>
      </c>
      <c r="Q35" s="21">
        <v>3</v>
      </c>
      <c r="R35" s="21">
        <v>0</v>
      </c>
      <c r="S35" s="39">
        <f t="shared" si="7"/>
        <v>39</v>
      </c>
      <c r="T35" s="38">
        <f t="shared" si="1"/>
        <v>5.2416</v>
      </c>
      <c r="U35" s="21">
        <v>0</v>
      </c>
      <c r="V35" s="13">
        <f t="shared" si="4"/>
        <v>0</v>
      </c>
      <c r="W35" s="49">
        <f t="shared" si="5"/>
        <v>39</v>
      </c>
      <c r="X35" s="50">
        <f t="shared" si="6"/>
        <v>5.2416</v>
      </c>
      <c r="Y35" s="238">
        <v>0</v>
      </c>
      <c r="Z35" s="101">
        <v>0</v>
      </c>
    </row>
    <row r="36" spans="1:26" x14ac:dyDescent="0.25">
      <c r="A36" s="264">
        <v>32</v>
      </c>
      <c r="B36" s="256" t="s">
        <v>160</v>
      </c>
      <c r="C36" s="34">
        <v>140</v>
      </c>
      <c r="D36" s="35">
        <v>240</v>
      </c>
      <c r="E36" s="35">
        <v>2</v>
      </c>
      <c r="F36" s="19">
        <f t="shared" si="2"/>
        <v>6.7199999999999996E-2</v>
      </c>
      <c r="G36" s="23">
        <v>187</v>
      </c>
      <c r="H36" s="26">
        <f t="shared" si="3"/>
        <v>12.5664</v>
      </c>
      <c r="I36" s="21">
        <v>63</v>
      </c>
      <c r="J36" s="205">
        <f t="shared" si="0"/>
        <v>4.2336</v>
      </c>
      <c r="K36" s="21">
        <v>33</v>
      </c>
      <c r="L36" s="205">
        <v>2.218</v>
      </c>
      <c r="M36" s="21">
        <v>91</v>
      </c>
      <c r="N36" s="21">
        <v>0</v>
      </c>
      <c r="O36" s="21">
        <v>0</v>
      </c>
      <c r="P36" s="21">
        <v>0</v>
      </c>
      <c r="Q36" s="21">
        <v>49</v>
      </c>
      <c r="R36" s="21">
        <v>0</v>
      </c>
      <c r="S36" s="39">
        <f t="shared" si="7"/>
        <v>-49</v>
      </c>
      <c r="T36" s="38">
        <f t="shared" si="1"/>
        <v>-3.2927999999999997</v>
      </c>
      <c r="U36" s="21">
        <v>211</v>
      </c>
      <c r="V36" s="13">
        <v>0</v>
      </c>
      <c r="W36" s="49">
        <f t="shared" si="5"/>
        <v>162</v>
      </c>
      <c r="X36" s="50">
        <f t="shared" si="6"/>
        <v>10.8864</v>
      </c>
      <c r="Y36" s="238">
        <v>0</v>
      </c>
      <c r="Z36" s="101">
        <v>0</v>
      </c>
    </row>
    <row r="37" spans="1:26" x14ac:dyDescent="0.25">
      <c r="A37" s="264">
        <v>33</v>
      </c>
      <c r="B37" s="256" t="s">
        <v>161</v>
      </c>
      <c r="C37" s="34">
        <v>140</v>
      </c>
      <c r="D37" s="35">
        <v>240</v>
      </c>
      <c r="E37" s="35">
        <v>6</v>
      </c>
      <c r="F37" s="19">
        <f t="shared" si="2"/>
        <v>0.2016</v>
      </c>
      <c r="G37" s="23">
        <v>32</v>
      </c>
      <c r="H37" s="26">
        <f t="shared" si="3"/>
        <v>6.4512</v>
      </c>
      <c r="I37" s="21">
        <v>0</v>
      </c>
      <c r="J37" s="205">
        <f t="shared" si="0"/>
        <v>0</v>
      </c>
      <c r="K37" s="21">
        <v>0</v>
      </c>
      <c r="L37" s="205">
        <f t="shared" si="0"/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39">
        <f t="shared" si="7"/>
        <v>32</v>
      </c>
      <c r="T37" s="38">
        <f t="shared" si="1"/>
        <v>6.4512</v>
      </c>
      <c r="U37" s="21">
        <v>0</v>
      </c>
      <c r="V37" s="13">
        <f t="shared" si="4"/>
        <v>0</v>
      </c>
      <c r="W37" s="49">
        <f t="shared" si="5"/>
        <v>32</v>
      </c>
      <c r="X37" s="50">
        <f t="shared" si="6"/>
        <v>6.4512</v>
      </c>
      <c r="Y37" s="238">
        <v>0</v>
      </c>
      <c r="Z37" s="101">
        <v>0</v>
      </c>
    </row>
    <row r="38" spans="1:26" x14ac:dyDescent="0.25">
      <c r="A38" s="264">
        <v>34</v>
      </c>
      <c r="B38" s="256" t="s">
        <v>162</v>
      </c>
      <c r="C38" s="34">
        <v>84</v>
      </c>
      <c r="D38" s="35">
        <v>55</v>
      </c>
      <c r="E38" s="35">
        <v>3</v>
      </c>
      <c r="F38" s="19">
        <f t="shared" si="2"/>
        <v>1.3860000000000001E-2</v>
      </c>
      <c r="G38" s="23">
        <v>124</v>
      </c>
      <c r="H38" s="26">
        <f t="shared" si="3"/>
        <v>1.7186400000000002</v>
      </c>
      <c r="I38" s="21">
        <v>0</v>
      </c>
      <c r="J38" s="205">
        <f t="shared" si="0"/>
        <v>0</v>
      </c>
      <c r="K38" s="21">
        <v>0</v>
      </c>
      <c r="L38" s="205">
        <f t="shared" si="0"/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39">
        <f t="shared" si="7"/>
        <v>124</v>
      </c>
      <c r="T38" s="38">
        <f t="shared" si="1"/>
        <v>1.7186400000000002</v>
      </c>
      <c r="U38" s="21">
        <v>0</v>
      </c>
      <c r="V38" s="13">
        <f t="shared" si="4"/>
        <v>0</v>
      </c>
      <c r="W38" s="49">
        <f t="shared" si="5"/>
        <v>124</v>
      </c>
      <c r="X38" s="50">
        <f t="shared" si="6"/>
        <v>1.7186400000000002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163</v>
      </c>
      <c r="C39" s="34">
        <v>90</v>
      </c>
      <c r="D39" s="35">
        <v>90</v>
      </c>
      <c r="E39" s="35">
        <v>3</v>
      </c>
      <c r="F39" s="19">
        <f t="shared" si="2"/>
        <v>2.4299999999999999E-2</v>
      </c>
      <c r="G39" s="23">
        <v>91</v>
      </c>
      <c r="H39" s="26">
        <f t="shared" si="3"/>
        <v>2.2113</v>
      </c>
      <c r="I39" s="21">
        <v>0</v>
      </c>
      <c r="J39" s="205">
        <f t="shared" si="0"/>
        <v>0</v>
      </c>
      <c r="K39" s="21">
        <v>0</v>
      </c>
      <c r="L39" s="205">
        <f t="shared" si="0"/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39">
        <f t="shared" si="7"/>
        <v>91</v>
      </c>
      <c r="T39" s="38">
        <f t="shared" si="1"/>
        <v>2.2113</v>
      </c>
      <c r="U39" s="21">
        <v>0</v>
      </c>
      <c r="V39" s="13">
        <f t="shared" si="4"/>
        <v>0</v>
      </c>
      <c r="W39" s="49">
        <f t="shared" si="5"/>
        <v>91</v>
      </c>
      <c r="X39" s="50">
        <f t="shared" si="6"/>
        <v>2.2113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164</v>
      </c>
      <c r="C40" s="34">
        <v>140</v>
      </c>
      <c r="D40" s="35">
        <v>240</v>
      </c>
      <c r="E40" s="35">
        <v>10</v>
      </c>
      <c r="F40" s="19">
        <f t="shared" si="2"/>
        <v>0.33600000000000002</v>
      </c>
      <c r="G40" s="23">
        <f>'OCAK 5.ŞUBAT 1HAFTA '!S40</f>
        <v>22</v>
      </c>
      <c r="H40" s="26">
        <f t="shared" si="3"/>
        <v>7.3920000000000003</v>
      </c>
      <c r="I40" s="21">
        <v>0</v>
      </c>
      <c r="J40" s="205">
        <f t="shared" si="0"/>
        <v>0</v>
      </c>
      <c r="K40" s="21">
        <v>0</v>
      </c>
      <c r="L40" s="205">
        <f t="shared" si="0"/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39">
        <f t="shared" si="7"/>
        <v>22</v>
      </c>
      <c r="T40" s="38">
        <f t="shared" si="1"/>
        <v>7.3920000000000003</v>
      </c>
      <c r="U40" s="21">
        <v>0</v>
      </c>
      <c r="V40" s="13">
        <f t="shared" si="4"/>
        <v>0</v>
      </c>
      <c r="W40" s="49">
        <f t="shared" si="5"/>
        <v>22</v>
      </c>
      <c r="X40" s="50">
        <f t="shared" si="6"/>
        <v>7.3920000000000003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165</v>
      </c>
      <c r="C41" s="34">
        <v>140</v>
      </c>
      <c r="D41" s="35">
        <v>240</v>
      </c>
      <c r="E41" s="35">
        <v>10</v>
      </c>
      <c r="F41" s="19">
        <f t="shared" si="2"/>
        <v>0.33600000000000002</v>
      </c>
      <c r="G41" s="23">
        <v>78</v>
      </c>
      <c r="H41" s="26">
        <f t="shared" si="3"/>
        <v>26.208000000000002</v>
      </c>
      <c r="I41" s="21">
        <v>0</v>
      </c>
      <c r="J41" s="205">
        <f t="shared" si="0"/>
        <v>0</v>
      </c>
      <c r="K41" s="21">
        <v>1</v>
      </c>
      <c r="L41" s="205">
        <v>0.33600000000000002</v>
      </c>
      <c r="M41" s="21">
        <v>0</v>
      </c>
      <c r="N41" s="21">
        <v>0</v>
      </c>
      <c r="O41" s="21">
        <v>3</v>
      </c>
      <c r="P41" s="21">
        <v>0</v>
      </c>
      <c r="Q41" s="21">
        <v>0</v>
      </c>
      <c r="R41" s="21">
        <v>0</v>
      </c>
      <c r="S41" s="39">
        <f t="shared" si="7"/>
        <v>74</v>
      </c>
      <c r="T41" s="38">
        <f t="shared" si="1"/>
        <v>24.864000000000001</v>
      </c>
      <c r="U41" s="21">
        <v>0</v>
      </c>
      <c r="V41" s="13">
        <f t="shared" si="4"/>
        <v>0</v>
      </c>
      <c r="W41" s="49">
        <f t="shared" si="5"/>
        <v>74</v>
      </c>
      <c r="X41" s="50">
        <f t="shared" si="6"/>
        <v>24.864000000000001</v>
      </c>
      <c r="Y41" s="238">
        <v>0</v>
      </c>
      <c r="Z41" s="101">
        <v>0</v>
      </c>
    </row>
    <row r="42" spans="1:26" x14ac:dyDescent="0.25">
      <c r="A42" s="264">
        <v>38</v>
      </c>
      <c r="B42" s="256" t="s">
        <v>166</v>
      </c>
      <c r="C42" s="34">
        <v>92</v>
      </c>
      <c r="D42" s="35">
        <v>82</v>
      </c>
      <c r="E42" s="35">
        <v>2</v>
      </c>
      <c r="F42" s="19">
        <f t="shared" si="2"/>
        <v>1.5088000000000001E-2</v>
      </c>
      <c r="G42" s="23">
        <v>28</v>
      </c>
      <c r="H42" s="26">
        <f t="shared" si="3"/>
        <v>0.42246400000000001</v>
      </c>
      <c r="I42" s="21">
        <v>0</v>
      </c>
      <c r="J42" s="205">
        <f t="shared" si="0"/>
        <v>0</v>
      </c>
      <c r="K42" s="21">
        <v>0</v>
      </c>
      <c r="L42" s="205">
        <f t="shared" si="0"/>
        <v>0</v>
      </c>
      <c r="M42" s="21">
        <v>0</v>
      </c>
      <c r="N42" s="21">
        <v>0</v>
      </c>
      <c r="O42" s="21">
        <v>0</v>
      </c>
      <c r="P42" s="21">
        <v>0</v>
      </c>
      <c r="Q42" s="21">
        <v>219</v>
      </c>
      <c r="R42" s="21">
        <v>0</v>
      </c>
      <c r="S42" s="39">
        <f t="shared" si="7"/>
        <v>-191</v>
      </c>
      <c r="T42" s="38">
        <f t="shared" si="1"/>
        <v>-2.8818079999999999</v>
      </c>
      <c r="U42" s="21">
        <v>267</v>
      </c>
      <c r="V42" s="13">
        <f t="shared" si="4"/>
        <v>4.0284960000000005</v>
      </c>
      <c r="W42" s="49">
        <f t="shared" si="5"/>
        <v>76</v>
      </c>
      <c r="X42" s="50">
        <f t="shared" si="6"/>
        <v>1.1466880000000002</v>
      </c>
      <c r="Y42" s="238">
        <v>0</v>
      </c>
      <c r="Z42" s="101">
        <v>0</v>
      </c>
    </row>
    <row r="43" spans="1:26" x14ac:dyDescent="0.25">
      <c r="A43" s="264">
        <v>39</v>
      </c>
      <c r="B43" s="256" t="s">
        <v>167</v>
      </c>
      <c r="C43" s="34">
        <v>75</v>
      </c>
      <c r="D43" s="35">
        <v>55</v>
      </c>
      <c r="E43" s="35">
        <v>3</v>
      </c>
      <c r="F43" s="19">
        <f t="shared" si="2"/>
        <v>1.2375000000000001E-2</v>
      </c>
      <c r="G43" s="23">
        <v>45</v>
      </c>
      <c r="H43" s="26">
        <f t="shared" si="3"/>
        <v>0.55687500000000001</v>
      </c>
      <c r="I43" s="21">
        <v>0</v>
      </c>
      <c r="J43" s="205">
        <f t="shared" si="0"/>
        <v>0</v>
      </c>
      <c r="K43" s="21">
        <v>0</v>
      </c>
      <c r="L43" s="205">
        <f t="shared" si="0"/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39">
        <f t="shared" si="7"/>
        <v>45</v>
      </c>
      <c r="T43" s="38">
        <f t="shared" si="1"/>
        <v>0.55687500000000001</v>
      </c>
      <c r="U43" s="21">
        <v>0</v>
      </c>
      <c r="V43" s="13">
        <f t="shared" si="4"/>
        <v>0</v>
      </c>
      <c r="W43" s="49">
        <f t="shared" si="5"/>
        <v>45</v>
      </c>
      <c r="X43" s="50">
        <f t="shared" si="6"/>
        <v>0.55687500000000001</v>
      </c>
      <c r="Y43" s="238">
        <v>50</v>
      </c>
      <c r="Z43" s="101">
        <v>200</v>
      </c>
    </row>
    <row r="44" spans="1:26" x14ac:dyDescent="0.25">
      <c r="A44" s="264">
        <v>40</v>
      </c>
      <c r="B44" s="256" t="s">
        <v>168</v>
      </c>
      <c r="C44" s="34">
        <v>140</v>
      </c>
      <c r="D44" s="35">
        <v>240</v>
      </c>
      <c r="E44" s="35">
        <v>3</v>
      </c>
      <c r="F44" s="19">
        <f t="shared" si="2"/>
        <v>0.1008</v>
      </c>
      <c r="G44" s="23">
        <v>76</v>
      </c>
      <c r="H44" s="26">
        <f t="shared" si="3"/>
        <v>7.6608000000000001</v>
      </c>
      <c r="I44" s="21">
        <v>0</v>
      </c>
      <c r="J44" s="205">
        <f t="shared" si="0"/>
        <v>0</v>
      </c>
      <c r="K44" s="21">
        <v>4</v>
      </c>
      <c r="L44" s="205">
        <v>0.4032</v>
      </c>
      <c r="M44" s="21">
        <v>6</v>
      </c>
      <c r="N44" s="21">
        <v>0</v>
      </c>
      <c r="O44" s="21">
        <v>0</v>
      </c>
      <c r="P44" s="21">
        <v>0</v>
      </c>
      <c r="Q44" s="21">
        <v>17</v>
      </c>
      <c r="R44" s="21">
        <v>0</v>
      </c>
      <c r="S44" s="39">
        <f t="shared" si="7"/>
        <v>49</v>
      </c>
      <c r="T44" s="38">
        <f t="shared" si="1"/>
        <v>4.9391999999999996</v>
      </c>
      <c r="U44" s="21">
        <v>23</v>
      </c>
      <c r="V44" s="13">
        <f t="shared" si="4"/>
        <v>2.3184</v>
      </c>
      <c r="W44" s="49">
        <f t="shared" si="5"/>
        <v>72</v>
      </c>
      <c r="X44" s="50">
        <f t="shared" si="6"/>
        <v>7.2576000000000001</v>
      </c>
      <c r="Y44" s="238">
        <v>50</v>
      </c>
      <c r="Z44" s="101">
        <v>200</v>
      </c>
    </row>
    <row r="45" spans="1:26" x14ac:dyDescent="0.25">
      <c r="A45" s="264">
        <v>41</v>
      </c>
      <c r="B45" s="256" t="s">
        <v>169</v>
      </c>
      <c r="C45" s="34">
        <v>0</v>
      </c>
      <c r="D45" s="34">
        <v>0</v>
      </c>
      <c r="E45" s="34">
        <v>0</v>
      </c>
      <c r="F45" s="34">
        <v>0</v>
      </c>
      <c r="G45" s="34">
        <v>0</v>
      </c>
      <c r="H45" s="26">
        <f t="shared" si="3"/>
        <v>0</v>
      </c>
      <c r="I45" s="21">
        <v>0</v>
      </c>
      <c r="J45" s="205">
        <f t="shared" si="0"/>
        <v>0</v>
      </c>
      <c r="K45" s="21">
        <v>0</v>
      </c>
      <c r="L45" s="205">
        <f t="shared" si="0"/>
        <v>0</v>
      </c>
      <c r="M45" s="21">
        <v>0</v>
      </c>
      <c r="N45" s="21">
        <v>0</v>
      </c>
      <c r="O45" s="21">
        <v>0</v>
      </c>
      <c r="P45" s="21">
        <v>0</v>
      </c>
      <c r="Q45" s="21">
        <v>238</v>
      </c>
      <c r="R45" s="21">
        <v>0</v>
      </c>
      <c r="S45" s="39">
        <f t="shared" si="7"/>
        <v>-238</v>
      </c>
      <c r="T45" s="38">
        <f t="shared" si="1"/>
        <v>0</v>
      </c>
      <c r="U45" s="21">
        <v>288</v>
      </c>
      <c r="V45" s="13">
        <f t="shared" si="4"/>
        <v>0</v>
      </c>
      <c r="W45" s="49">
        <f t="shared" si="5"/>
        <v>50</v>
      </c>
      <c r="X45" s="50">
        <f t="shared" si="6"/>
        <v>0</v>
      </c>
      <c r="Y45" s="238">
        <v>50</v>
      </c>
      <c r="Z45" s="101">
        <v>200</v>
      </c>
    </row>
    <row r="46" spans="1:26" x14ac:dyDescent="0.25">
      <c r="A46" s="264">
        <v>42</v>
      </c>
      <c r="B46" s="256" t="s">
        <v>170</v>
      </c>
      <c r="C46" s="34">
        <v>0</v>
      </c>
      <c r="D46" s="34">
        <v>0</v>
      </c>
      <c r="E46" s="34">
        <v>0</v>
      </c>
      <c r="F46" s="34">
        <v>0</v>
      </c>
      <c r="G46" s="34">
        <v>0</v>
      </c>
      <c r="H46" s="26">
        <f t="shared" si="3"/>
        <v>0</v>
      </c>
      <c r="I46" s="21">
        <v>0</v>
      </c>
      <c r="J46" s="205">
        <f t="shared" si="0"/>
        <v>0</v>
      </c>
      <c r="K46" s="21">
        <v>0</v>
      </c>
      <c r="L46" s="205">
        <f t="shared" si="0"/>
        <v>0</v>
      </c>
      <c r="M46" s="21">
        <v>0</v>
      </c>
      <c r="N46" s="21">
        <v>0</v>
      </c>
      <c r="O46" s="21">
        <v>0</v>
      </c>
      <c r="P46" s="21">
        <v>0</v>
      </c>
      <c r="Q46" s="21">
        <v>163</v>
      </c>
      <c r="R46" s="21">
        <v>0</v>
      </c>
      <c r="S46" s="39">
        <f t="shared" si="7"/>
        <v>-163</v>
      </c>
      <c r="T46" s="38">
        <f t="shared" si="1"/>
        <v>0</v>
      </c>
      <c r="U46" s="21">
        <v>216</v>
      </c>
      <c r="V46" s="13">
        <f t="shared" si="4"/>
        <v>0</v>
      </c>
      <c r="W46" s="49">
        <f t="shared" si="5"/>
        <v>53</v>
      </c>
      <c r="X46" s="50">
        <f t="shared" si="6"/>
        <v>0</v>
      </c>
      <c r="Y46" s="238">
        <v>50</v>
      </c>
      <c r="Z46" s="101">
        <v>100</v>
      </c>
    </row>
    <row r="47" spans="1:26" x14ac:dyDescent="0.25">
      <c r="A47" s="264">
        <v>43</v>
      </c>
      <c r="B47" s="256" t="s">
        <v>171</v>
      </c>
      <c r="C47" s="34">
        <v>0</v>
      </c>
      <c r="D47" s="34">
        <v>0</v>
      </c>
      <c r="E47" s="34">
        <v>0</v>
      </c>
      <c r="F47" s="34">
        <v>0</v>
      </c>
      <c r="G47" s="34">
        <v>150</v>
      </c>
      <c r="H47" s="26">
        <f t="shared" si="3"/>
        <v>0</v>
      </c>
      <c r="I47" s="21">
        <v>0</v>
      </c>
      <c r="J47" s="205">
        <f t="shared" si="0"/>
        <v>0</v>
      </c>
      <c r="K47" s="21">
        <v>0</v>
      </c>
      <c r="L47" s="205">
        <f t="shared" si="0"/>
        <v>0</v>
      </c>
      <c r="M47" s="21">
        <v>0</v>
      </c>
      <c r="N47" s="21">
        <v>0</v>
      </c>
      <c r="O47" s="21">
        <v>0</v>
      </c>
      <c r="P47" s="21">
        <v>0</v>
      </c>
      <c r="Q47" s="21">
        <v>33</v>
      </c>
      <c r="R47" s="21">
        <v>0</v>
      </c>
      <c r="S47" s="39">
        <f t="shared" si="7"/>
        <v>117</v>
      </c>
      <c r="T47" s="38">
        <f t="shared" si="1"/>
        <v>0</v>
      </c>
      <c r="U47" s="21">
        <v>0</v>
      </c>
      <c r="V47" s="13">
        <f t="shared" si="4"/>
        <v>0</v>
      </c>
      <c r="W47" s="49">
        <f t="shared" si="5"/>
        <v>117</v>
      </c>
      <c r="X47" s="50">
        <f t="shared" si="6"/>
        <v>0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87</v>
      </c>
      <c r="C48" s="34">
        <v>0</v>
      </c>
      <c r="D48" s="34">
        <v>0</v>
      </c>
      <c r="E48" s="34">
        <v>0</v>
      </c>
      <c r="F48" s="34">
        <v>0</v>
      </c>
      <c r="G48" s="34">
        <v>0</v>
      </c>
      <c r="H48" s="26">
        <f t="shared" si="3"/>
        <v>0</v>
      </c>
      <c r="I48" s="21">
        <v>0</v>
      </c>
      <c r="J48" s="205">
        <f t="shared" si="0"/>
        <v>0</v>
      </c>
      <c r="K48" s="21">
        <v>0</v>
      </c>
      <c r="L48" s="205">
        <f t="shared" si="0"/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39">
        <f t="shared" si="7"/>
        <v>0</v>
      </c>
      <c r="T48" s="38">
        <f t="shared" si="1"/>
        <v>0</v>
      </c>
      <c r="U48" s="21">
        <v>0</v>
      </c>
      <c r="V48" s="13">
        <f t="shared" si="4"/>
        <v>0</v>
      </c>
      <c r="W48" s="49">
        <f t="shared" si="5"/>
        <v>0</v>
      </c>
      <c r="X48" s="50">
        <f t="shared" si="6"/>
        <v>0</v>
      </c>
      <c r="Y48" s="238">
        <v>50</v>
      </c>
      <c r="Z48" s="101">
        <v>200</v>
      </c>
    </row>
    <row r="49" spans="1:26" x14ac:dyDescent="0.25">
      <c r="A49" s="264">
        <v>45</v>
      </c>
      <c r="B49" s="256" t="s">
        <v>87</v>
      </c>
      <c r="C49" s="34">
        <v>0</v>
      </c>
      <c r="D49" s="34">
        <v>0</v>
      </c>
      <c r="E49" s="34">
        <v>0</v>
      </c>
      <c r="F49" s="34">
        <v>0</v>
      </c>
      <c r="G49" s="34">
        <v>0</v>
      </c>
      <c r="H49" s="26">
        <f t="shared" si="3"/>
        <v>0</v>
      </c>
      <c r="I49" s="21">
        <v>0</v>
      </c>
      <c r="J49" s="205">
        <f t="shared" si="0"/>
        <v>0</v>
      </c>
      <c r="K49" s="21">
        <v>0</v>
      </c>
      <c r="L49" s="205">
        <f t="shared" si="0"/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39">
        <f t="shared" si="7"/>
        <v>0</v>
      </c>
      <c r="T49" s="38">
        <f t="shared" si="1"/>
        <v>0</v>
      </c>
      <c r="U49" s="21">
        <v>0</v>
      </c>
      <c r="V49" s="13">
        <f t="shared" si="4"/>
        <v>0</v>
      </c>
      <c r="W49" s="49">
        <f t="shared" si="5"/>
        <v>0</v>
      </c>
      <c r="X49" s="50">
        <f t="shared" si="6"/>
        <v>0</v>
      </c>
      <c r="Y49" s="238">
        <v>100</v>
      </c>
      <c r="Z49" s="101">
        <v>300</v>
      </c>
    </row>
    <row r="50" spans="1:26" x14ac:dyDescent="0.25">
      <c r="A50" s="264">
        <v>46</v>
      </c>
      <c r="B50" s="256" t="s">
        <v>87</v>
      </c>
      <c r="C50" s="34">
        <v>0</v>
      </c>
      <c r="D50" s="34">
        <v>0</v>
      </c>
      <c r="E50" s="34">
        <v>0</v>
      </c>
      <c r="F50" s="34">
        <v>0</v>
      </c>
      <c r="G50" s="34">
        <v>0</v>
      </c>
      <c r="H50" s="26">
        <f t="shared" si="3"/>
        <v>0</v>
      </c>
      <c r="I50" s="21">
        <v>0</v>
      </c>
      <c r="J50" s="205">
        <f t="shared" si="0"/>
        <v>0</v>
      </c>
      <c r="K50" s="21">
        <v>0</v>
      </c>
      <c r="L50" s="205">
        <f t="shared" si="0"/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39">
        <f t="shared" si="7"/>
        <v>0</v>
      </c>
      <c r="T50" s="38">
        <f t="shared" si="1"/>
        <v>0</v>
      </c>
      <c r="U50" s="21">
        <v>0</v>
      </c>
      <c r="V50" s="13">
        <f t="shared" si="4"/>
        <v>0</v>
      </c>
      <c r="W50" s="49">
        <f t="shared" si="5"/>
        <v>0</v>
      </c>
      <c r="X50" s="50">
        <f t="shared" si="6"/>
        <v>0</v>
      </c>
      <c r="Y50" s="238">
        <v>30</v>
      </c>
      <c r="Z50" s="101">
        <v>100</v>
      </c>
    </row>
    <row r="51" spans="1:26" x14ac:dyDescent="0.25">
      <c r="A51" s="264">
        <v>47</v>
      </c>
      <c r="B51" s="256" t="s">
        <v>87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26">
        <f t="shared" si="3"/>
        <v>0</v>
      </c>
      <c r="I51" s="21">
        <v>0</v>
      </c>
      <c r="J51" s="205">
        <f t="shared" si="0"/>
        <v>0</v>
      </c>
      <c r="K51" s="21">
        <v>0</v>
      </c>
      <c r="L51" s="205">
        <f t="shared" si="0"/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39">
        <f t="shared" si="7"/>
        <v>0</v>
      </c>
      <c r="T51" s="38">
        <f t="shared" si="1"/>
        <v>0</v>
      </c>
      <c r="U51" s="21">
        <v>0</v>
      </c>
      <c r="V51" s="13">
        <f t="shared" si="4"/>
        <v>0</v>
      </c>
      <c r="W51" s="49">
        <f t="shared" si="5"/>
        <v>0</v>
      </c>
      <c r="X51" s="50">
        <f t="shared" si="6"/>
        <v>0</v>
      </c>
      <c r="Y51" s="238">
        <v>30</v>
      </c>
      <c r="Z51" s="101">
        <v>100</v>
      </c>
    </row>
    <row r="52" spans="1:26" x14ac:dyDescent="0.25">
      <c r="A52" s="264">
        <v>48</v>
      </c>
      <c r="B52" s="256" t="s">
        <v>87</v>
      </c>
      <c r="C52" s="34">
        <v>0</v>
      </c>
      <c r="D52" s="34">
        <v>0</v>
      </c>
      <c r="E52" s="34">
        <v>0</v>
      </c>
      <c r="F52" s="34">
        <v>0</v>
      </c>
      <c r="G52" s="34">
        <v>0</v>
      </c>
      <c r="H52" s="26">
        <f t="shared" si="3"/>
        <v>0</v>
      </c>
      <c r="I52" s="21">
        <v>0</v>
      </c>
      <c r="J52" s="205">
        <f t="shared" si="0"/>
        <v>0</v>
      </c>
      <c r="K52" s="21">
        <v>0</v>
      </c>
      <c r="L52" s="205">
        <f t="shared" si="0"/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39">
        <f t="shared" si="7"/>
        <v>0</v>
      </c>
      <c r="T52" s="38">
        <f t="shared" si="1"/>
        <v>0</v>
      </c>
      <c r="U52" s="21">
        <v>0</v>
      </c>
      <c r="V52" s="13">
        <f t="shared" si="4"/>
        <v>0</v>
      </c>
      <c r="W52" s="49">
        <f t="shared" si="5"/>
        <v>0</v>
      </c>
      <c r="X52" s="50">
        <f t="shared" si="6"/>
        <v>0</v>
      </c>
      <c r="Y52" s="238">
        <v>30</v>
      </c>
      <c r="Z52" s="101">
        <v>100</v>
      </c>
    </row>
    <row r="53" spans="1:26" x14ac:dyDescent="0.25">
      <c r="A53" s="264">
        <v>49</v>
      </c>
      <c r="B53" s="256" t="s">
        <v>87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26">
        <f t="shared" si="3"/>
        <v>0</v>
      </c>
      <c r="I53" s="21">
        <v>0</v>
      </c>
      <c r="J53" s="205">
        <f t="shared" si="0"/>
        <v>0</v>
      </c>
      <c r="K53" s="21">
        <v>0</v>
      </c>
      <c r="L53" s="205">
        <f t="shared" si="0"/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39">
        <f t="shared" si="7"/>
        <v>0</v>
      </c>
      <c r="T53" s="38">
        <f t="shared" si="1"/>
        <v>0</v>
      </c>
      <c r="U53" s="21">
        <v>0</v>
      </c>
      <c r="V53" s="13">
        <f t="shared" si="4"/>
        <v>0</v>
      </c>
      <c r="W53" s="49">
        <f t="shared" si="5"/>
        <v>0</v>
      </c>
      <c r="X53" s="50">
        <f t="shared" si="6"/>
        <v>0</v>
      </c>
      <c r="Y53" s="238">
        <v>200</v>
      </c>
      <c r="Z53" s="101">
        <v>500</v>
      </c>
    </row>
    <row r="54" spans="1:26" x14ac:dyDescent="0.25">
      <c r="A54" s="264">
        <v>50</v>
      </c>
      <c r="B54" s="256" t="s">
        <v>87</v>
      </c>
      <c r="C54" s="34">
        <v>0</v>
      </c>
      <c r="D54" s="34">
        <v>0</v>
      </c>
      <c r="E54" s="34">
        <v>0</v>
      </c>
      <c r="F54" s="34">
        <v>0</v>
      </c>
      <c r="G54" s="34">
        <v>0</v>
      </c>
      <c r="H54" s="26">
        <f t="shared" si="3"/>
        <v>0</v>
      </c>
      <c r="I54" s="21">
        <v>0</v>
      </c>
      <c r="J54" s="205">
        <f t="shared" si="0"/>
        <v>0</v>
      </c>
      <c r="K54" s="21">
        <v>0</v>
      </c>
      <c r="L54" s="205">
        <f t="shared" si="0"/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39">
        <f t="shared" si="7"/>
        <v>0</v>
      </c>
      <c r="T54" s="38">
        <f t="shared" si="1"/>
        <v>0</v>
      </c>
      <c r="U54" s="21">
        <v>0</v>
      </c>
      <c r="V54" s="13">
        <f t="shared" si="4"/>
        <v>0</v>
      </c>
      <c r="W54" s="49">
        <f t="shared" si="5"/>
        <v>0</v>
      </c>
      <c r="X54" s="50">
        <f t="shared" si="6"/>
        <v>0</v>
      </c>
      <c r="Y54" s="238">
        <v>100</v>
      </c>
      <c r="Z54" s="101">
        <v>300</v>
      </c>
    </row>
    <row r="55" spans="1:26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6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6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6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6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6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6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6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6" x14ac:dyDescent="0.2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6" x14ac:dyDescent="0.2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</sheetData>
  <mergeCells count="24">
    <mergeCell ref="S4:T4"/>
    <mergeCell ref="U4:V4"/>
    <mergeCell ref="W4:X4"/>
    <mergeCell ref="G4:H4"/>
    <mergeCell ref="I4:J4"/>
    <mergeCell ref="K4:L4"/>
    <mergeCell ref="M4:N4"/>
    <mergeCell ref="O4:P4"/>
    <mergeCell ref="Q4:R4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C1:H1"/>
    <mergeCell ref="G2:H3"/>
    <mergeCell ref="I2:J2"/>
    <mergeCell ref="K2:L2"/>
    <mergeCell ref="M2:N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78"/>
  <sheetViews>
    <sheetView topLeftCell="G1" workbookViewId="0">
      <selection activeCell="W5" sqref="W5"/>
    </sheetView>
  </sheetViews>
  <sheetFormatPr defaultRowHeight="15" x14ac:dyDescent="0.25"/>
  <cols>
    <col min="1" max="1" width="6.42578125" customWidth="1"/>
    <col min="2" max="2" width="30.140625" style="3" customWidth="1"/>
    <col min="3" max="3" width="0.140625" style="2" hidden="1" customWidth="1"/>
    <col min="4" max="4" width="13.85546875" style="2" hidden="1" customWidth="1"/>
    <col min="5" max="5" width="12" style="2" hidden="1" customWidth="1"/>
    <col min="6" max="6" width="13.5703125" style="4" hidden="1" customWidth="1"/>
    <col min="7" max="7" width="8.7109375" style="5" customWidth="1"/>
    <col min="8" max="8" width="9" style="5" customWidth="1"/>
    <col min="9" max="20" width="8.140625" style="2" customWidth="1"/>
    <col min="25" max="25" width="10.28515625" customWidth="1"/>
  </cols>
  <sheetData>
    <row r="1" spans="1:26" ht="15.75" thickBot="1" x14ac:dyDescent="0.3">
      <c r="B1" s="4" t="s">
        <v>18</v>
      </c>
      <c r="C1" s="384">
        <v>45108</v>
      </c>
      <c r="D1" s="320"/>
      <c r="E1" s="320"/>
      <c r="F1" s="320"/>
      <c r="G1" s="320"/>
      <c r="H1" s="320"/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45128</v>
      </c>
      <c r="J2" s="326"/>
      <c r="K2" s="327">
        <v>45128</v>
      </c>
      <c r="L2" s="328"/>
      <c r="M2" s="325">
        <v>45133</v>
      </c>
      <c r="N2" s="329"/>
      <c r="O2" s="327">
        <v>45132</v>
      </c>
      <c r="P2" s="346"/>
      <c r="Q2" s="325">
        <v>45138</v>
      </c>
      <c r="R2" s="329"/>
      <c r="S2" s="330" t="s">
        <v>69</v>
      </c>
      <c r="T2" s="331"/>
      <c r="U2" s="334" t="s">
        <v>70</v>
      </c>
      <c r="V2" s="335"/>
      <c r="W2" s="338" t="s">
        <v>71</v>
      </c>
      <c r="X2" s="339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40"/>
      <c r="X3" s="341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51" t="s">
        <v>63</v>
      </c>
      <c r="X4" s="352"/>
      <c r="Y4" s="268" t="s">
        <v>99</v>
      </c>
      <c r="Z4" s="269" t="s">
        <v>100</v>
      </c>
    </row>
    <row r="5" spans="1:26" x14ac:dyDescent="0.25">
      <c r="A5" s="263">
        <v>1</v>
      </c>
      <c r="B5" s="256" t="s">
        <v>134</v>
      </c>
      <c r="C5" s="32">
        <v>70</v>
      </c>
      <c r="D5" s="33">
        <v>64</v>
      </c>
      <c r="E5" s="33">
        <v>8</v>
      </c>
      <c r="F5" s="15">
        <f>(C5*D5*E5)/1000000</f>
        <v>3.5839999999999997E-2</v>
      </c>
      <c r="G5" s="23">
        <v>548</v>
      </c>
      <c r="H5" s="24">
        <f>F5*G5</f>
        <v>19.640319999999999</v>
      </c>
      <c r="I5" s="21">
        <v>38</v>
      </c>
      <c r="J5" s="205">
        <f t="shared" ref="J5:N54" si="0">F5*I5</f>
        <v>1.3619199999999998</v>
      </c>
      <c r="K5" s="21">
        <v>0</v>
      </c>
      <c r="L5" s="205">
        <f t="shared" si="0"/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39">
        <f>G5-I5-K5-M5-O5-Q5</f>
        <v>510</v>
      </c>
      <c r="T5" s="38">
        <f t="shared" ref="T5:T54" si="1">F5*S5</f>
        <v>18.278399999999998</v>
      </c>
      <c r="U5" s="21">
        <v>0</v>
      </c>
      <c r="V5" s="13">
        <f>F5*U5</f>
        <v>0</v>
      </c>
      <c r="W5" s="49">
        <f>S5+U5</f>
        <v>510</v>
      </c>
      <c r="X5" s="50">
        <f>F5*W5</f>
        <v>18.278399999999998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135</v>
      </c>
      <c r="C6" s="34">
        <v>70</v>
      </c>
      <c r="D6" s="35">
        <v>80</v>
      </c>
      <c r="E6" s="35">
        <v>8</v>
      </c>
      <c r="F6" s="19">
        <f t="shared" ref="F6:F44" si="2">(C6*D6*E6)/1000000</f>
        <v>4.48E-2</v>
      </c>
      <c r="G6" s="23">
        <v>297</v>
      </c>
      <c r="H6" s="26">
        <f t="shared" ref="H6:H54" si="3">F6*G6</f>
        <v>13.3056</v>
      </c>
      <c r="I6" s="21">
        <v>38</v>
      </c>
      <c r="J6" s="205">
        <f t="shared" si="0"/>
        <v>1.7023999999999999</v>
      </c>
      <c r="K6" s="21">
        <v>0</v>
      </c>
      <c r="L6" s="205">
        <f t="shared" si="0"/>
        <v>0</v>
      </c>
      <c r="M6" s="21">
        <v>10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39">
        <f>G6-I6-K6-M6-O6-Q6</f>
        <v>249</v>
      </c>
      <c r="T6" s="38">
        <f t="shared" si="1"/>
        <v>11.155200000000001</v>
      </c>
      <c r="U6" s="21">
        <v>0</v>
      </c>
      <c r="V6" s="13">
        <f t="shared" ref="V6:V54" si="4">F6*U6</f>
        <v>0</v>
      </c>
      <c r="W6" s="49">
        <f t="shared" ref="W6:W54" si="5">S6+U6</f>
        <v>249</v>
      </c>
      <c r="X6" s="50">
        <f t="shared" ref="X6:X54" si="6">F6*W6</f>
        <v>11.155200000000001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136</v>
      </c>
      <c r="C7" s="34">
        <v>70</v>
      </c>
      <c r="D7" s="35">
        <v>74</v>
      </c>
      <c r="E7" s="35">
        <v>8</v>
      </c>
      <c r="F7" s="19">
        <f t="shared" si="2"/>
        <v>4.1439999999999998E-2</v>
      </c>
      <c r="G7" s="23">
        <v>76</v>
      </c>
      <c r="H7" s="26">
        <f t="shared" si="3"/>
        <v>3.1494399999999998</v>
      </c>
      <c r="I7" s="21">
        <v>76</v>
      </c>
      <c r="J7" s="205">
        <f t="shared" si="0"/>
        <v>3.1494399999999998</v>
      </c>
      <c r="K7" s="21">
        <v>0</v>
      </c>
      <c r="L7" s="205">
        <f t="shared" si="0"/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39">
        <f t="shared" ref="S7:S54" si="7">G7-I7-K7-M7-O7-Q7</f>
        <v>0</v>
      </c>
      <c r="T7" s="38">
        <f t="shared" si="1"/>
        <v>0</v>
      </c>
      <c r="U7" s="21">
        <v>0</v>
      </c>
      <c r="V7" s="13">
        <f t="shared" si="4"/>
        <v>0</v>
      </c>
      <c r="W7" s="49">
        <f t="shared" si="5"/>
        <v>0</v>
      </c>
      <c r="X7" s="50">
        <f t="shared" si="6"/>
        <v>0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137</v>
      </c>
      <c r="C8" s="34">
        <v>80</v>
      </c>
      <c r="D8" s="35">
        <v>64</v>
      </c>
      <c r="E8" s="35">
        <v>5</v>
      </c>
      <c r="F8" s="19">
        <f t="shared" si="2"/>
        <v>2.5600000000000001E-2</v>
      </c>
      <c r="G8" s="23">
        <v>399</v>
      </c>
      <c r="H8" s="26">
        <f t="shared" si="3"/>
        <v>10.214400000000001</v>
      </c>
      <c r="I8" s="21">
        <v>0</v>
      </c>
      <c r="J8" s="205">
        <f t="shared" si="0"/>
        <v>0</v>
      </c>
      <c r="K8" s="21">
        <v>0</v>
      </c>
      <c r="L8" s="205">
        <f t="shared" si="0"/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39">
        <f t="shared" si="7"/>
        <v>399</v>
      </c>
      <c r="T8" s="38">
        <f t="shared" si="1"/>
        <v>10.214400000000001</v>
      </c>
      <c r="U8" s="21">
        <v>0</v>
      </c>
      <c r="V8" s="13">
        <f t="shared" si="4"/>
        <v>0</v>
      </c>
      <c r="W8" s="49">
        <f t="shared" si="5"/>
        <v>399</v>
      </c>
      <c r="X8" s="50">
        <f t="shared" si="6"/>
        <v>10.214400000000001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138</v>
      </c>
      <c r="C9" s="34">
        <v>140</v>
      </c>
      <c r="D9" s="35">
        <v>240</v>
      </c>
      <c r="E9" s="35">
        <v>5</v>
      </c>
      <c r="F9" s="19">
        <f t="shared" si="2"/>
        <v>0.16800000000000001</v>
      </c>
      <c r="G9" s="23">
        <v>160</v>
      </c>
      <c r="H9" s="26">
        <f t="shared" si="3"/>
        <v>26.880000000000003</v>
      </c>
      <c r="I9" s="21">
        <v>0</v>
      </c>
      <c r="J9" s="205">
        <f t="shared" si="0"/>
        <v>0</v>
      </c>
      <c r="K9" s="21">
        <v>0</v>
      </c>
      <c r="L9" s="205">
        <f t="shared" si="0"/>
        <v>0</v>
      </c>
      <c r="M9" s="21">
        <v>0</v>
      </c>
      <c r="N9" s="205">
        <f t="shared" si="0"/>
        <v>0</v>
      </c>
      <c r="O9" s="21">
        <v>0</v>
      </c>
      <c r="P9" s="21">
        <v>0</v>
      </c>
      <c r="Q9" s="21">
        <v>0</v>
      </c>
      <c r="R9" s="21">
        <v>0</v>
      </c>
      <c r="S9" s="39">
        <f t="shared" si="7"/>
        <v>160</v>
      </c>
      <c r="T9" s="38">
        <f t="shared" si="1"/>
        <v>26.880000000000003</v>
      </c>
      <c r="U9" s="21">
        <v>0</v>
      </c>
      <c r="V9" s="13">
        <f t="shared" si="4"/>
        <v>0</v>
      </c>
      <c r="W9" s="49">
        <f t="shared" si="5"/>
        <v>160</v>
      </c>
      <c r="X9" s="50">
        <f t="shared" si="6"/>
        <v>26.880000000000003</v>
      </c>
      <c r="Y9" s="238">
        <v>50</v>
      </c>
      <c r="Z9" s="101">
        <v>150</v>
      </c>
    </row>
    <row r="10" spans="1:26" x14ac:dyDescent="0.25">
      <c r="A10" s="264">
        <v>6</v>
      </c>
      <c r="B10" s="256" t="s">
        <v>139</v>
      </c>
      <c r="C10" s="34">
        <v>142</v>
      </c>
      <c r="D10" s="35">
        <v>67</v>
      </c>
      <c r="E10" s="35">
        <v>5</v>
      </c>
      <c r="F10" s="19">
        <f t="shared" si="2"/>
        <v>4.7570000000000001E-2</v>
      </c>
      <c r="G10" s="23">
        <v>109</v>
      </c>
      <c r="H10" s="26">
        <f t="shared" si="3"/>
        <v>5.18513</v>
      </c>
      <c r="I10" s="21">
        <v>24</v>
      </c>
      <c r="J10" s="205">
        <f t="shared" si="0"/>
        <v>1.14168</v>
      </c>
      <c r="K10" s="21">
        <v>0</v>
      </c>
      <c r="L10" s="205">
        <f t="shared" si="0"/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39">
        <f t="shared" si="7"/>
        <v>85</v>
      </c>
      <c r="T10" s="38">
        <f t="shared" si="1"/>
        <v>4.04345</v>
      </c>
      <c r="U10" s="21">
        <v>0</v>
      </c>
      <c r="V10" s="13">
        <f t="shared" si="4"/>
        <v>0</v>
      </c>
      <c r="W10" s="49">
        <f t="shared" si="5"/>
        <v>85</v>
      </c>
      <c r="X10" s="50">
        <f t="shared" si="6"/>
        <v>4.04345</v>
      </c>
      <c r="Y10" s="238">
        <v>75</v>
      </c>
      <c r="Z10" s="101">
        <v>300</v>
      </c>
    </row>
    <row r="11" spans="1:26" x14ac:dyDescent="0.25">
      <c r="A11" s="264">
        <v>7</v>
      </c>
      <c r="B11" s="256" t="s">
        <v>140</v>
      </c>
      <c r="C11" s="34">
        <v>63</v>
      </c>
      <c r="D11" s="35">
        <v>60</v>
      </c>
      <c r="E11" s="35">
        <v>5</v>
      </c>
      <c r="F11" s="19">
        <f t="shared" si="2"/>
        <v>1.89E-2</v>
      </c>
      <c r="G11" s="23">
        <v>230</v>
      </c>
      <c r="H11" s="26">
        <f t="shared" si="3"/>
        <v>4.3470000000000004</v>
      </c>
      <c r="I11" s="21">
        <v>0</v>
      </c>
      <c r="J11" s="205">
        <f t="shared" si="0"/>
        <v>0</v>
      </c>
      <c r="K11" s="21">
        <v>0</v>
      </c>
      <c r="L11" s="205">
        <f t="shared" si="0"/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39">
        <f t="shared" si="7"/>
        <v>230</v>
      </c>
      <c r="T11" s="38">
        <f t="shared" si="1"/>
        <v>4.3470000000000004</v>
      </c>
      <c r="U11" s="21">
        <v>0</v>
      </c>
      <c r="V11" s="13">
        <f t="shared" si="4"/>
        <v>0</v>
      </c>
      <c r="W11" s="49">
        <f t="shared" si="5"/>
        <v>230</v>
      </c>
      <c r="X11" s="50">
        <f t="shared" si="6"/>
        <v>4.3470000000000004</v>
      </c>
      <c r="Y11" s="238">
        <v>20</v>
      </c>
      <c r="Z11" s="101">
        <v>50</v>
      </c>
    </row>
    <row r="12" spans="1:26" x14ac:dyDescent="0.25">
      <c r="A12" s="264">
        <v>8</v>
      </c>
      <c r="B12" s="256" t="s">
        <v>141</v>
      </c>
      <c r="C12" s="34">
        <v>52</v>
      </c>
      <c r="D12" s="35">
        <v>52</v>
      </c>
      <c r="E12" s="35">
        <v>5</v>
      </c>
      <c r="F12" s="19">
        <f t="shared" si="2"/>
        <v>1.3520000000000001E-2</v>
      </c>
      <c r="G12" s="23">
        <v>42</v>
      </c>
      <c r="H12" s="26">
        <f t="shared" si="3"/>
        <v>0.56784000000000001</v>
      </c>
      <c r="I12" s="21">
        <v>0</v>
      </c>
      <c r="J12" s="205">
        <f t="shared" si="0"/>
        <v>0</v>
      </c>
      <c r="K12" s="21">
        <v>0</v>
      </c>
      <c r="L12" s="205">
        <f t="shared" si="0"/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39">
        <f t="shared" si="7"/>
        <v>42</v>
      </c>
      <c r="T12" s="38">
        <f t="shared" si="1"/>
        <v>0.56784000000000001</v>
      </c>
      <c r="U12" s="21">
        <v>0</v>
      </c>
      <c r="V12" s="13">
        <f t="shared" si="4"/>
        <v>0</v>
      </c>
      <c r="W12" s="49">
        <f t="shared" si="5"/>
        <v>42</v>
      </c>
      <c r="X12" s="50">
        <f t="shared" si="6"/>
        <v>0.56784000000000001</v>
      </c>
      <c r="Y12" s="238">
        <v>30</v>
      </c>
      <c r="Z12" s="101">
        <v>100</v>
      </c>
    </row>
    <row r="13" spans="1:26" x14ac:dyDescent="0.25">
      <c r="A13" s="264">
        <v>9</v>
      </c>
      <c r="B13" s="256" t="s">
        <v>142</v>
      </c>
      <c r="C13" s="34">
        <v>140</v>
      </c>
      <c r="D13" s="35">
        <v>240</v>
      </c>
      <c r="E13" s="35">
        <v>5</v>
      </c>
      <c r="F13" s="19">
        <f t="shared" si="2"/>
        <v>0.16800000000000001</v>
      </c>
      <c r="G13" s="23">
        <v>120</v>
      </c>
      <c r="H13" s="26">
        <f t="shared" si="3"/>
        <v>20.16</v>
      </c>
      <c r="I13" s="21">
        <v>2</v>
      </c>
      <c r="J13" s="205">
        <f t="shared" si="0"/>
        <v>0.33600000000000002</v>
      </c>
      <c r="K13" s="21">
        <v>0</v>
      </c>
      <c r="L13" s="205">
        <f t="shared" si="0"/>
        <v>0</v>
      </c>
      <c r="M13" s="21">
        <v>16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39">
        <f t="shared" si="7"/>
        <v>102</v>
      </c>
      <c r="T13" s="38">
        <f t="shared" si="1"/>
        <v>17.136000000000003</v>
      </c>
      <c r="U13" s="21">
        <v>0</v>
      </c>
      <c r="V13" s="13">
        <f t="shared" si="4"/>
        <v>0</v>
      </c>
      <c r="W13" s="49">
        <f t="shared" si="5"/>
        <v>102</v>
      </c>
      <c r="X13" s="50">
        <f t="shared" si="6"/>
        <v>17.136000000000003</v>
      </c>
      <c r="Y13" s="238">
        <v>20</v>
      </c>
      <c r="Z13" s="101">
        <v>50</v>
      </c>
    </row>
    <row r="14" spans="1:26" x14ac:dyDescent="0.25">
      <c r="A14" s="264">
        <v>10</v>
      </c>
      <c r="B14" s="256" t="s">
        <v>143</v>
      </c>
      <c r="C14" s="34">
        <v>90</v>
      </c>
      <c r="D14" s="35">
        <v>85</v>
      </c>
      <c r="E14" s="35">
        <v>5</v>
      </c>
      <c r="F14" s="19">
        <f t="shared" si="2"/>
        <v>3.8249999999999999E-2</v>
      </c>
      <c r="G14" s="23">
        <v>85</v>
      </c>
      <c r="H14" s="26">
        <f t="shared" si="3"/>
        <v>3.2512499999999998</v>
      </c>
      <c r="I14" s="21">
        <v>12</v>
      </c>
      <c r="J14" s="205">
        <f t="shared" si="0"/>
        <v>0.45899999999999996</v>
      </c>
      <c r="K14" s="21">
        <v>0</v>
      </c>
      <c r="L14" s="205">
        <f t="shared" si="0"/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39">
        <f t="shared" si="7"/>
        <v>73</v>
      </c>
      <c r="T14" s="38">
        <f t="shared" si="1"/>
        <v>2.7922500000000001</v>
      </c>
      <c r="U14" s="21">
        <v>0</v>
      </c>
      <c r="V14" s="13">
        <f t="shared" si="4"/>
        <v>0</v>
      </c>
      <c r="W14" s="49">
        <f t="shared" si="5"/>
        <v>73</v>
      </c>
      <c r="X14" s="50">
        <f t="shared" si="6"/>
        <v>2.7922500000000001</v>
      </c>
      <c r="Y14" s="238">
        <v>30</v>
      </c>
      <c r="Z14" s="101">
        <v>100</v>
      </c>
    </row>
    <row r="15" spans="1:26" x14ac:dyDescent="0.25">
      <c r="A15" s="264">
        <v>11</v>
      </c>
      <c r="B15" s="256" t="s">
        <v>144</v>
      </c>
      <c r="C15" s="34">
        <v>140</v>
      </c>
      <c r="D15" s="35">
        <v>240</v>
      </c>
      <c r="E15" s="35">
        <v>5</v>
      </c>
      <c r="F15" s="19">
        <f t="shared" si="2"/>
        <v>0.16800000000000001</v>
      </c>
      <c r="G15" s="23">
        <v>32</v>
      </c>
      <c r="H15" s="26">
        <f t="shared" si="3"/>
        <v>5.3760000000000003</v>
      </c>
      <c r="I15" s="21">
        <v>0</v>
      </c>
      <c r="J15" s="205">
        <f t="shared" si="0"/>
        <v>0</v>
      </c>
      <c r="K15" s="21">
        <v>0</v>
      </c>
      <c r="L15" s="205">
        <f t="shared" si="0"/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39">
        <f t="shared" si="7"/>
        <v>32</v>
      </c>
      <c r="T15" s="38">
        <f t="shared" si="1"/>
        <v>5.3760000000000003</v>
      </c>
      <c r="U15" s="21">
        <v>0</v>
      </c>
      <c r="V15" s="13">
        <f t="shared" si="4"/>
        <v>0</v>
      </c>
      <c r="W15" s="49">
        <f t="shared" si="5"/>
        <v>32</v>
      </c>
      <c r="X15" s="50">
        <f t="shared" si="6"/>
        <v>5.3760000000000003</v>
      </c>
      <c r="Y15" s="238">
        <v>20</v>
      </c>
      <c r="Z15" s="101">
        <v>70</v>
      </c>
    </row>
    <row r="16" spans="1:26" x14ac:dyDescent="0.25">
      <c r="A16" s="264">
        <v>12</v>
      </c>
      <c r="B16" s="256" t="s">
        <v>145</v>
      </c>
      <c r="C16" s="34">
        <v>140</v>
      </c>
      <c r="D16" s="35">
        <v>240</v>
      </c>
      <c r="E16" s="35">
        <v>5</v>
      </c>
      <c r="F16" s="19">
        <f t="shared" si="2"/>
        <v>0.16800000000000001</v>
      </c>
      <c r="G16" s="23">
        <v>97</v>
      </c>
      <c r="H16" s="26">
        <f t="shared" si="3"/>
        <v>16.295999999999999</v>
      </c>
      <c r="I16" s="21">
        <v>7</v>
      </c>
      <c r="J16" s="205">
        <f t="shared" si="0"/>
        <v>1.1760000000000002</v>
      </c>
      <c r="K16" s="21">
        <v>0</v>
      </c>
      <c r="L16" s="205">
        <v>0</v>
      </c>
      <c r="M16" s="21">
        <v>18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39">
        <f t="shared" si="7"/>
        <v>72</v>
      </c>
      <c r="T16" s="38">
        <f t="shared" si="1"/>
        <v>12.096</v>
      </c>
      <c r="U16" s="21">
        <v>8</v>
      </c>
      <c r="V16" s="13">
        <v>0</v>
      </c>
      <c r="W16" s="49">
        <f t="shared" si="5"/>
        <v>80</v>
      </c>
      <c r="X16" s="50">
        <f t="shared" si="6"/>
        <v>13.440000000000001</v>
      </c>
      <c r="Y16" s="238">
        <v>50</v>
      </c>
      <c r="Z16" s="101">
        <v>150</v>
      </c>
    </row>
    <row r="17" spans="1:26" x14ac:dyDescent="0.25">
      <c r="A17" s="264">
        <v>13</v>
      </c>
      <c r="B17" s="256" t="s">
        <v>146</v>
      </c>
      <c r="C17" s="34">
        <v>140</v>
      </c>
      <c r="D17" s="35">
        <v>240</v>
      </c>
      <c r="E17" s="35">
        <v>8</v>
      </c>
      <c r="F17" s="19">
        <f t="shared" si="2"/>
        <v>0.26879999999999998</v>
      </c>
      <c r="G17" s="23">
        <v>34</v>
      </c>
      <c r="H17" s="26">
        <f t="shared" si="3"/>
        <v>9.1391999999999989</v>
      </c>
      <c r="I17" s="21">
        <v>0</v>
      </c>
      <c r="J17" s="205">
        <f t="shared" si="0"/>
        <v>0</v>
      </c>
      <c r="K17" s="21">
        <v>0</v>
      </c>
      <c r="L17" s="205">
        <f t="shared" si="0"/>
        <v>0</v>
      </c>
      <c r="M17" s="21">
        <v>8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39">
        <f t="shared" si="7"/>
        <v>26</v>
      </c>
      <c r="T17" s="38">
        <f t="shared" si="1"/>
        <v>6.9887999999999995</v>
      </c>
      <c r="U17" s="21">
        <v>0</v>
      </c>
      <c r="V17" s="13">
        <f t="shared" si="4"/>
        <v>0</v>
      </c>
      <c r="W17" s="49">
        <f t="shared" si="5"/>
        <v>26</v>
      </c>
      <c r="X17" s="50">
        <f t="shared" si="6"/>
        <v>6.9887999999999995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147</v>
      </c>
      <c r="C18" s="34">
        <v>77</v>
      </c>
      <c r="D18" s="35">
        <v>86</v>
      </c>
      <c r="E18" s="35">
        <v>8</v>
      </c>
      <c r="F18" s="19">
        <f t="shared" si="2"/>
        <v>5.2976000000000002E-2</v>
      </c>
      <c r="G18" s="23">
        <v>83</v>
      </c>
      <c r="H18" s="26">
        <f t="shared" si="3"/>
        <v>4.3970080000000005</v>
      </c>
      <c r="I18" s="21">
        <v>38</v>
      </c>
      <c r="J18" s="205">
        <f t="shared" si="0"/>
        <v>2.0130880000000002</v>
      </c>
      <c r="K18" s="21">
        <v>0</v>
      </c>
      <c r="L18" s="205">
        <f t="shared" si="0"/>
        <v>0</v>
      </c>
      <c r="M18" s="21">
        <v>10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39">
        <f t="shared" si="7"/>
        <v>35</v>
      </c>
      <c r="T18" s="38">
        <f t="shared" si="1"/>
        <v>1.85416</v>
      </c>
      <c r="U18" s="21">
        <v>0</v>
      </c>
      <c r="V18" s="13">
        <f t="shared" si="4"/>
        <v>0</v>
      </c>
      <c r="W18" s="49">
        <f t="shared" si="5"/>
        <v>35</v>
      </c>
      <c r="X18" s="50">
        <f t="shared" si="6"/>
        <v>1.85416</v>
      </c>
      <c r="Y18" s="238">
        <v>30</v>
      </c>
      <c r="Z18" s="101">
        <v>100</v>
      </c>
    </row>
    <row r="19" spans="1:26" x14ac:dyDescent="0.25">
      <c r="A19" s="264">
        <v>15</v>
      </c>
      <c r="B19" s="256" t="s">
        <v>148</v>
      </c>
      <c r="C19" s="34">
        <v>77</v>
      </c>
      <c r="D19" s="35">
        <v>68</v>
      </c>
      <c r="E19" s="35">
        <v>8</v>
      </c>
      <c r="F19" s="19">
        <f t="shared" si="2"/>
        <v>4.1888000000000002E-2</v>
      </c>
      <c r="G19" s="23">
        <v>137</v>
      </c>
      <c r="H19" s="26">
        <f t="shared" si="3"/>
        <v>5.7386560000000006</v>
      </c>
      <c r="I19" s="21">
        <v>58</v>
      </c>
      <c r="J19" s="205">
        <f t="shared" si="0"/>
        <v>2.4295040000000001</v>
      </c>
      <c r="K19" s="21">
        <v>0</v>
      </c>
      <c r="L19" s="205">
        <f t="shared" si="0"/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39">
        <f t="shared" si="7"/>
        <v>79</v>
      </c>
      <c r="T19" s="38">
        <f t="shared" si="1"/>
        <v>3.3091520000000001</v>
      </c>
      <c r="U19" s="21">
        <v>0</v>
      </c>
      <c r="V19" s="13">
        <f t="shared" si="4"/>
        <v>0</v>
      </c>
      <c r="W19" s="49">
        <f t="shared" si="5"/>
        <v>79</v>
      </c>
      <c r="X19" s="50">
        <f t="shared" si="6"/>
        <v>3.3091520000000001</v>
      </c>
      <c r="Y19" s="238">
        <v>10</v>
      </c>
      <c r="Z19" s="101">
        <v>30</v>
      </c>
    </row>
    <row r="20" spans="1:26" x14ac:dyDescent="0.25">
      <c r="A20" s="264">
        <v>16</v>
      </c>
      <c r="B20" s="256" t="s">
        <v>149</v>
      </c>
      <c r="C20" s="34">
        <v>76</v>
      </c>
      <c r="D20" s="35">
        <v>75</v>
      </c>
      <c r="E20" s="35">
        <v>8</v>
      </c>
      <c r="F20" s="19">
        <f t="shared" si="2"/>
        <v>4.5600000000000002E-2</v>
      </c>
      <c r="G20" s="23">
        <v>65</v>
      </c>
      <c r="H20" s="26">
        <f t="shared" si="3"/>
        <v>2.964</v>
      </c>
      <c r="I20" s="21">
        <v>58</v>
      </c>
      <c r="J20" s="205">
        <f t="shared" si="0"/>
        <v>2.6448</v>
      </c>
      <c r="K20" s="21">
        <v>0</v>
      </c>
      <c r="L20" s="205">
        <f t="shared" si="0"/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39">
        <f t="shared" si="7"/>
        <v>7</v>
      </c>
      <c r="T20" s="38">
        <f t="shared" si="1"/>
        <v>0.31920000000000004</v>
      </c>
      <c r="U20" s="21">
        <v>0</v>
      </c>
      <c r="V20" s="13">
        <f t="shared" si="4"/>
        <v>0</v>
      </c>
      <c r="W20" s="49">
        <f t="shared" si="5"/>
        <v>7</v>
      </c>
      <c r="X20" s="50">
        <f t="shared" si="6"/>
        <v>0.31920000000000004</v>
      </c>
      <c r="Y20" s="238">
        <v>0</v>
      </c>
      <c r="Z20" s="101">
        <v>0</v>
      </c>
    </row>
    <row r="21" spans="1:26" x14ac:dyDescent="0.25">
      <c r="A21" s="264">
        <v>17</v>
      </c>
      <c r="B21" s="256" t="s">
        <v>150</v>
      </c>
      <c r="C21" s="34">
        <v>60</v>
      </c>
      <c r="D21" s="35">
        <v>63</v>
      </c>
      <c r="E21" s="35">
        <v>10</v>
      </c>
      <c r="F21" s="19">
        <f t="shared" si="2"/>
        <v>3.78E-2</v>
      </c>
      <c r="G21" s="23">
        <v>352</v>
      </c>
      <c r="H21" s="26">
        <f t="shared" si="3"/>
        <v>13.3056</v>
      </c>
      <c r="I21" s="21">
        <v>0</v>
      </c>
      <c r="J21" s="205">
        <f t="shared" si="0"/>
        <v>0</v>
      </c>
      <c r="K21" s="21">
        <v>0</v>
      </c>
      <c r="L21" s="205">
        <f t="shared" si="0"/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39">
        <f t="shared" si="7"/>
        <v>352</v>
      </c>
      <c r="T21" s="38">
        <f t="shared" si="1"/>
        <v>13.3056</v>
      </c>
      <c r="U21" s="21">
        <v>0</v>
      </c>
      <c r="V21" s="13">
        <f t="shared" si="4"/>
        <v>0</v>
      </c>
      <c r="W21" s="49">
        <f t="shared" si="5"/>
        <v>352</v>
      </c>
      <c r="X21" s="50">
        <f t="shared" si="6"/>
        <v>13.3056</v>
      </c>
      <c r="Y21" s="238">
        <v>0</v>
      </c>
      <c r="Z21" s="101">
        <v>0</v>
      </c>
    </row>
    <row r="22" spans="1:26" x14ac:dyDescent="0.25">
      <c r="A22" s="264">
        <v>18</v>
      </c>
      <c r="B22" s="256" t="s">
        <v>151</v>
      </c>
      <c r="C22" s="34">
        <v>63</v>
      </c>
      <c r="D22" s="35">
        <v>60</v>
      </c>
      <c r="E22" s="35">
        <v>3</v>
      </c>
      <c r="F22" s="19">
        <f t="shared" si="2"/>
        <v>1.1339999999999999E-2</v>
      </c>
      <c r="G22" s="23">
        <v>109</v>
      </c>
      <c r="H22" s="26">
        <f t="shared" si="3"/>
        <v>1.2360599999999999</v>
      </c>
      <c r="I22" s="21">
        <v>0</v>
      </c>
      <c r="J22" s="205">
        <f t="shared" si="0"/>
        <v>0</v>
      </c>
      <c r="K22" s="21">
        <v>0</v>
      </c>
      <c r="L22" s="205">
        <f t="shared" si="0"/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39">
        <f t="shared" si="7"/>
        <v>109</v>
      </c>
      <c r="T22" s="38">
        <f t="shared" si="1"/>
        <v>1.2360599999999999</v>
      </c>
      <c r="U22" s="21">
        <v>0</v>
      </c>
      <c r="V22" s="13">
        <f t="shared" si="4"/>
        <v>0</v>
      </c>
      <c r="W22" s="49">
        <f t="shared" si="5"/>
        <v>109</v>
      </c>
      <c r="X22" s="50">
        <f t="shared" si="6"/>
        <v>1.2360599999999999</v>
      </c>
      <c r="Y22" s="238">
        <v>0</v>
      </c>
      <c r="Z22" s="101">
        <v>0</v>
      </c>
    </row>
    <row r="23" spans="1:26" x14ac:dyDescent="0.25">
      <c r="A23" s="264">
        <v>19</v>
      </c>
      <c r="B23" s="42" t="s">
        <v>152</v>
      </c>
      <c r="C23" s="34">
        <v>140</v>
      </c>
      <c r="D23" s="35">
        <v>240</v>
      </c>
      <c r="E23" s="35">
        <v>1.4</v>
      </c>
      <c r="F23" s="19">
        <f t="shared" si="2"/>
        <v>4.7039999999999998E-2</v>
      </c>
      <c r="G23" s="23">
        <v>255</v>
      </c>
      <c r="H23" s="26">
        <f t="shared" si="3"/>
        <v>11.995199999999999</v>
      </c>
      <c r="I23" s="21">
        <v>80</v>
      </c>
      <c r="J23" s="205">
        <f t="shared" si="0"/>
        <v>3.7631999999999999</v>
      </c>
      <c r="K23" s="21">
        <v>0</v>
      </c>
      <c r="L23" s="205">
        <v>0</v>
      </c>
      <c r="M23" s="21">
        <v>40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39">
        <f t="shared" si="7"/>
        <v>135</v>
      </c>
      <c r="T23" s="38">
        <f t="shared" si="1"/>
        <v>6.3503999999999996</v>
      </c>
      <c r="U23" s="21">
        <v>0</v>
      </c>
      <c r="V23" s="13">
        <f t="shared" si="4"/>
        <v>0</v>
      </c>
      <c r="W23" s="49">
        <f t="shared" si="5"/>
        <v>135</v>
      </c>
      <c r="X23" s="50">
        <f t="shared" si="6"/>
        <v>6.3503999999999996</v>
      </c>
      <c r="Y23" s="238">
        <v>0</v>
      </c>
      <c r="Z23" s="101">
        <v>0</v>
      </c>
    </row>
    <row r="24" spans="1:26" x14ac:dyDescent="0.25">
      <c r="A24" s="264">
        <v>20</v>
      </c>
      <c r="B24" s="256" t="s">
        <v>3</v>
      </c>
      <c r="C24" s="34">
        <v>140</v>
      </c>
      <c r="D24" s="35">
        <v>240</v>
      </c>
      <c r="E24" s="35">
        <v>0.8</v>
      </c>
      <c r="F24" s="19">
        <f t="shared" si="2"/>
        <v>2.6880000000000001E-2</v>
      </c>
      <c r="G24" s="23">
        <v>293</v>
      </c>
      <c r="H24" s="26">
        <f t="shared" si="3"/>
        <v>7.8758400000000002</v>
      </c>
      <c r="I24" s="21">
        <v>60</v>
      </c>
      <c r="J24" s="205">
        <f t="shared" si="0"/>
        <v>1.6128</v>
      </c>
      <c r="K24" s="21">
        <v>0</v>
      </c>
      <c r="L24" s="205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39">
        <f t="shared" si="7"/>
        <v>233</v>
      </c>
      <c r="T24" s="38">
        <f t="shared" si="1"/>
        <v>6.2630400000000002</v>
      </c>
      <c r="U24" s="21">
        <v>0</v>
      </c>
      <c r="V24" s="13">
        <f t="shared" si="4"/>
        <v>0</v>
      </c>
      <c r="W24" s="49">
        <f t="shared" si="5"/>
        <v>233</v>
      </c>
      <c r="X24" s="50">
        <f t="shared" si="6"/>
        <v>6.2630400000000002</v>
      </c>
      <c r="Y24" s="238">
        <v>0</v>
      </c>
      <c r="Z24" s="101">
        <v>0</v>
      </c>
    </row>
    <row r="25" spans="1:26" x14ac:dyDescent="0.25">
      <c r="A25" s="264">
        <v>21</v>
      </c>
      <c r="B25" s="256" t="s">
        <v>153</v>
      </c>
      <c r="C25" s="34">
        <v>58</v>
      </c>
      <c r="D25" s="35">
        <v>58</v>
      </c>
      <c r="E25" s="35">
        <v>2.2999999999999998</v>
      </c>
      <c r="F25" s="19">
        <f t="shared" si="2"/>
        <v>7.7371999999999996E-3</v>
      </c>
      <c r="G25" s="23">
        <v>1014</v>
      </c>
      <c r="H25" s="26">
        <f t="shared" si="3"/>
        <v>7.8455207999999992</v>
      </c>
      <c r="I25" s="21">
        <v>0</v>
      </c>
      <c r="J25" s="205">
        <f t="shared" si="0"/>
        <v>0</v>
      </c>
      <c r="K25" s="21">
        <v>0</v>
      </c>
      <c r="L25" s="205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39">
        <f t="shared" si="7"/>
        <v>1014</v>
      </c>
      <c r="T25" s="38">
        <f t="shared" si="1"/>
        <v>7.8455207999999992</v>
      </c>
      <c r="U25" s="21">
        <v>0</v>
      </c>
      <c r="V25" s="13">
        <f t="shared" si="4"/>
        <v>0</v>
      </c>
      <c r="W25" s="49">
        <f t="shared" si="5"/>
        <v>1014</v>
      </c>
      <c r="X25" s="50">
        <f t="shared" si="6"/>
        <v>7.8455207999999992</v>
      </c>
      <c r="Y25" s="238">
        <v>30</v>
      </c>
      <c r="Z25" s="101">
        <v>100</v>
      </c>
    </row>
    <row r="26" spans="1:26" x14ac:dyDescent="0.25">
      <c r="A26" s="264">
        <v>22</v>
      </c>
      <c r="B26" s="256" t="s">
        <v>154</v>
      </c>
      <c r="C26" s="34">
        <v>140</v>
      </c>
      <c r="D26" s="35">
        <v>240</v>
      </c>
      <c r="E26" s="35">
        <v>7</v>
      </c>
      <c r="F26" s="19">
        <f t="shared" si="2"/>
        <v>0.23519999999999999</v>
      </c>
      <c r="G26" s="23">
        <v>114</v>
      </c>
      <c r="H26" s="26">
        <f t="shared" si="3"/>
        <v>26.812799999999999</v>
      </c>
      <c r="I26" s="21">
        <v>12</v>
      </c>
      <c r="J26" s="205">
        <f t="shared" si="0"/>
        <v>2.8224</v>
      </c>
      <c r="K26" s="21">
        <v>0</v>
      </c>
      <c r="L26" s="205">
        <v>0</v>
      </c>
      <c r="M26" s="21">
        <v>14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39">
        <f t="shared" si="7"/>
        <v>88</v>
      </c>
      <c r="T26" s="38">
        <f t="shared" si="1"/>
        <v>20.697599999999998</v>
      </c>
      <c r="U26" s="21">
        <v>45</v>
      </c>
      <c r="V26" s="13">
        <f t="shared" si="4"/>
        <v>10.584</v>
      </c>
      <c r="W26" s="49">
        <f t="shared" si="5"/>
        <v>133</v>
      </c>
      <c r="X26" s="50">
        <f t="shared" si="6"/>
        <v>31.281599999999997</v>
      </c>
      <c r="Y26" s="238">
        <v>0</v>
      </c>
      <c r="Z26" s="101">
        <v>0</v>
      </c>
    </row>
    <row r="27" spans="1:26" ht="15.75" x14ac:dyDescent="0.25">
      <c r="A27" s="264">
        <v>23</v>
      </c>
      <c r="B27" s="256" t="s">
        <v>55</v>
      </c>
      <c r="C27" s="111">
        <v>50</v>
      </c>
      <c r="D27" s="112">
        <v>45</v>
      </c>
      <c r="E27" s="112">
        <v>4</v>
      </c>
      <c r="F27" s="19">
        <f t="shared" si="2"/>
        <v>8.9999999999999993E-3</v>
      </c>
      <c r="G27" s="23">
        <v>281</v>
      </c>
      <c r="H27" s="26">
        <f t="shared" si="3"/>
        <v>2.5289999999999999</v>
      </c>
      <c r="I27" s="21">
        <v>0</v>
      </c>
      <c r="J27" s="205">
        <f t="shared" si="0"/>
        <v>0</v>
      </c>
      <c r="K27" s="21">
        <v>0</v>
      </c>
      <c r="L27" s="205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39">
        <f t="shared" si="7"/>
        <v>281</v>
      </c>
      <c r="T27" s="38">
        <f t="shared" si="1"/>
        <v>2.5289999999999999</v>
      </c>
      <c r="U27" s="21">
        <v>0</v>
      </c>
      <c r="V27" s="13">
        <f t="shared" si="4"/>
        <v>0</v>
      </c>
      <c r="W27" s="49">
        <f t="shared" si="5"/>
        <v>281</v>
      </c>
      <c r="X27" s="50">
        <f t="shared" si="6"/>
        <v>2.5289999999999999</v>
      </c>
      <c r="Y27" s="238">
        <v>0</v>
      </c>
      <c r="Z27" s="101">
        <v>0</v>
      </c>
    </row>
    <row r="28" spans="1:26" ht="15.75" x14ac:dyDescent="0.25">
      <c r="A28" s="264">
        <v>24</v>
      </c>
      <c r="B28" s="256" t="s">
        <v>56</v>
      </c>
      <c r="C28" s="111">
        <v>50</v>
      </c>
      <c r="D28" s="112">
        <v>35</v>
      </c>
      <c r="E28" s="112">
        <v>4</v>
      </c>
      <c r="F28" s="19">
        <f t="shared" si="2"/>
        <v>7.0000000000000001E-3</v>
      </c>
      <c r="G28" s="23">
        <v>838</v>
      </c>
      <c r="H28" s="26">
        <f t="shared" si="3"/>
        <v>5.8660000000000005</v>
      </c>
      <c r="I28" s="21">
        <v>0</v>
      </c>
      <c r="J28" s="205">
        <f t="shared" si="0"/>
        <v>0</v>
      </c>
      <c r="K28" s="21">
        <v>0</v>
      </c>
      <c r="L28" s="205">
        <f t="shared" si="0"/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39">
        <f t="shared" si="7"/>
        <v>838</v>
      </c>
      <c r="T28" s="38">
        <f t="shared" si="1"/>
        <v>5.8660000000000005</v>
      </c>
      <c r="U28" s="21">
        <v>0</v>
      </c>
      <c r="V28" s="13">
        <f t="shared" si="4"/>
        <v>0</v>
      </c>
      <c r="W28" s="49">
        <f t="shared" si="5"/>
        <v>838</v>
      </c>
      <c r="X28" s="50">
        <f t="shared" si="6"/>
        <v>5.8660000000000005</v>
      </c>
      <c r="Y28" s="238">
        <v>0</v>
      </c>
      <c r="Z28" s="101">
        <v>0</v>
      </c>
    </row>
    <row r="29" spans="1:26" ht="15.75" x14ac:dyDescent="0.25">
      <c r="A29" s="264">
        <v>25</v>
      </c>
      <c r="B29" s="256" t="s">
        <v>57</v>
      </c>
      <c r="C29" s="111">
        <v>45</v>
      </c>
      <c r="D29" s="112">
        <v>50</v>
      </c>
      <c r="E29" s="112">
        <v>3</v>
      </c>
      <c r="F29" s="19">
        <f t="shared" si="2"/>
        <v>6.7499999999999999E-3</v>
      </c>
      <c r="G29" s="23">
        <v>90</v>
      </c>
      <c r="H29" s="26">
        <f t="shared" si="3"/>
        <v>0.60750000000000004</v>
      </c>
      <c r="I29" s="21">
        <v>0</v>
      </c>
      <c r="J29" s="205">
        <f t="shared" si="0"/>
        <v>0</v>
      </c>
      <c r="K29" s="21">
        <v>0</v>
      </c>
      <c r="L29" s="205">
        <f t="shared" si="0"/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39">
        <f t="shared" si="7"/>
        <v>90</v>
      </c>
      <c r="T29" s="38">
        <f t="shared" si="1"/>
        <v>0.60750000000000004</v>
      </c>
      <c r="U29" s="21">
        <v>1020</v>
      </c>
      <c r="V29" s="13">
        <f t="shared" si="4"/>
        <v>6.8849999999999998</v>
      </c>
      <c r="W29" s="49">
        <f t="shared" si="5"/>
        <v>1110</v>
      </c>
      <c r="X29" s="50">
        <f t="shared" si="6"/>
        <v>7.4924999999999997</v>
      </c>
      <c r="Y29" s="238">
        <v>0</v>
      </c>
      <c r="Z29" s="101">
        <v>0</v>
      </c>
    </row>
    <row r="30" spans="1:26" ht="15.75" x14ac:dyDescent="0.25">
      <c r="A30" s="264">
        <v>26</v>
      </c>
      <c r="B30" s="256" t="s">
        <v>58</v>
      </c>
      <c r="C30" s="111">
        <v>50</v>
      </c>
      <c r="D30" s="112">
        <v>35</v>
      </c>
      <c r="E30" s="112">
        <v>3</v>
      </c>
      <c r="F30" s="19">
        <f t="shared" si="2"/>
        <v>5.2500000000000003E-3</v>
      </c>
      <c r="G30" s="23">
        <v>65</v>
      </c>
      <c r="H30" s="26">
        <f t="shared" si="3"/>
        <v>0.34125</v>
      </c>
      <c r="I30" s="21">
        <v>0</v>
      </c>
      <c r="J30" s="205">
        <f t="shared" si="0"/>
        <v>0</v>
      </c>
      <c r="K30" s="21">
        <v>0</v>
      </c>
      <c r="L30" s="205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39">
        <f t="shared" si="7"/>
        <v>65</v>
      </c>
      <c r="T30" s="38">
        <f t="shared" si="1"/>
        <v>0.34125</v>
      </c>
      <c r="U30" s="21">
        <v>1120</v>
      </c>
      <c r="V30" s="13">
        <f t="shared" si="4"/>
        <v>5.8800000000000008</v>
      </c>
      <c r="W30" s="49">
        <f t="shared" si="5"/>
        <v>1185</v>
      </c>
      <c r="X30" s="50">
        <f t="shared" si="6"/>
        <v>6.2212500000000004</v>
      </c>
      <c r="Y30" s="238">
        <v>0</v>
      </c>
      <c r="Z30" s="101">
        <v>0</v>
      </c>
    </row>
    <row r="31" spans="1:26" x14ac:dyDescent="0.25">
      <c r="A31" s="264">
        <v>27</v>
      </c>
      <c r="B31" s="256" t="s">
        <v>155</v>
      </c>
      <c r="C31" s="34">
        <v>140</v>
      </c>
      <c r="D31" s="35">
        <v>9.5</v>
      </c>
      <c r="E31" s="35">
        <v>6.5</v>
      </c>
      <c r="F31" s="19">
        <f t="shared" si="2"/>
        <v>8.6449999999999999E-3</v>
      </c>
      <c r="G31" s="23">
        <v>730</v>
      </c>
      <c r="H31" s="26">
        <f t="shared" si="3"/>
        <v>6.3108500000000003</v>
      </c>
      <c r="I31" s="21">
        <v>300</v>
      </c>
      <c r="J31" s="205">
        <f t="shared" si="0"/>
        <v>2.5935000000000001</v>
      </c>
      <c r="K31" s="21">
        <v>0</v>
      </c>
      <c r="L31" s="205">
        <f t="shared" si="0"/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39">
        <f t="shared" si="7"/>
        <v>430</v>
      </c>
      <c r="T31" s="38">
        <f t="shared" si="1"/>
        <v>3.7173500000000002</v>
      </c>
      <c r="U31" s="21">
        <v>0</v>
      </c>
      <c r="V31" s="13">
        <f t="shared" si="4"/>
        <v>0</v>
      </c>
      <c r="W31" s="49">
        <f t="shared" si="5"/>
        <v>430</v>
      </c>
      <c r="X31" s="50">
        <f t="shared" si="6"/>
        <v>3.7173500000000002</v>
      </c>
      <c r="Y31" s="238">
        <v>0</v>
      </c>
      <c r="Z31" s="101">
        <v>0</v>
      </c>
    </row>
    <row r="32" spans="1:26" x14ac:dyDescent="0.25">
      <c r="A32" s="264">
        <v>28</v>
      </c>
      <c r="B32" s="256" t="s">
        <v>156</v>
      </c>
      <c r="C32" s="34">
        <v>140</v>
      </c>
      <c r="D32" s="35">
        <v>240</v>
      </c>
      <c r="E32" s="35">
        <v>1</v>
      </c>
      <c r="F32" s="19">
        <f t="shared" si="2"/>
        <v>3.3599999999999998E-2</v>
      </c>
      <c r="G32" s="23">
        <v>313</v>
      </c>
      <c r="H32" s="26">
        <f t="shared" si="3"/>
        <v>10.5168</v>
      </c>
      <c r="I32" s="21">
        <v>146</v>
      </c>
      <c r="J32" s="205">
        <f t="shared" si="0"/>
        <v>4.9055999999999997</v>
      </c>
      <c r="K32" s="21">
        <v>0</v>
      </c>
      <c r="L32" s="205">
        <v>0</v>
      </c>
      <c r="M32" s="21">
        <v>95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39">
        <f t="shared" si="7"/>
        <v>72</v>
      </c>
      <c r="T32" s="38">
        <f t="shared" si="1"/>
        <v>2.4192</v>
      </c>
      <c r="U32" s="21">
        <v>511</v>
      </c>
      <c r="V32" s="13">
        <v>0</v>
      </c>
      <c r="W32" s="49">
        <f t="shared" si="5"/>
        <v>583</v>
      </c>
      <c r="X32" s="50">
        <f t="shared" si="6"/>
        <v>19.588799999999999</v>
      </c>
      <c r="Y32" s="238">
        <v>0</v>
      </c>
      <c r="Z32" s="101">
        <v>0</v>
      </c>
    </row>
    <row r="33" spans="1:26" x14ac:dyDescent="0.25">
      <c r="A33" s="264">
        <v>29</v>
      </c>
      <c r="B33" s="256" t="s">
        <v>157</v>
      </c>
      <c r="C33" s="34">
        <v>140</v>
      </c>
      <c r="D33" s="35">
        <v>240</v>
      </c>
      <c r="E33" s="35">
        <v>2</v>
      </c>
      <c r="F33" s="19">
        <f t="shared" si="2"/>
        <v>6.7199999999999996E-2</v>
      </c>
      <c r="G33" s="23">
        <v>454</v>
      </c>
      <c r="H33" s="26">
        <f t="shared" si="3"/>
        <v>30.508799999999997</v>
      </c>
      <c r="I33" s="21">
        <v>6</v>
      </c>
      <c r="J33" s="205">
        <f t="shared" si="0"/>
        <v>0.4032</v>
      </c>
      <c r="K33" s="21">
        <v>0</v>
      </c>
      <c r="L33" s="205">
        <v>0</v>
      </c>
      <c r="M33" s="21">
        <v>10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39">
        <f t="shared" si="7"/>
        <v>438</v>
      </c>
      <c r="T33" s="38">
        <f t="shared" si="1"/>
        <v>29.433599999999998</v>
      </c>
      <c r="U33" s="21">
        <v>0</v>
      </c>
      <c r="V33" s="13">
        <f t="shared" si="4"/>
        <v>0</v>
      </c>
      <c r="W33" s="49">
        <f t="shared" si="5"/>
        <v>438</v>
      </c>
      <c r="X33" s="50">
        <f t="shared" si="6"/>
        <v>29.433599999999998</v>
      </c>
      <c r="Y33" s="238">
        <v>0</v>
      </c>
      <c r="Z33" s="101">
        <v>0</v>
      </c>
    </row>
    <row r="34" spans="1:26" x14ac:dyDescent="0.25">
      <c r="A34" s="264">
        <v>30</v>
      </c>
      <c r="B34" s="256" t="s">
        <v>158</v>
      </c>
      <c r="C34" s="34">
        <v>140</v>
      </c>
      <c r="D34" s="35">
        <v>240</v>
      </c>
      <c r="E34" s="35">
        <v>3</v>
      </c>
      <c r="F34" s="19">
        <f t="shared" si="2"/>
        <v>0.1008</v>
      </c>
      <c r="G34" s="23">
        <v>162</v>
      </c>
      <c r="H34" s="26">
        <f t="shared" si="3"/>
        <v>16.329599999999999</v>
      </c>
      <c r="I34" s="21">
        <v>10</v>
      </c>
      <c r="J34" s="205">
        <f t="shared" si="0"/>
        <v>1.008</v>
      </c>
      <c r="K34" s="21">
        <v>0</v>
      </c>
      <c r="L34" s="205">
        <f t="shared" si="0"/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39">
        <f t="shared" si="7"/>
        <v>152</v>
      </c>
      <c r="T34" s="38">
        <f t="shared" si="1"/>
        <v>15.3216</v>
      </c>
      <c r="U34" s="21">
        <v>0</v>
      </c>
      <c r="V34" s="13">
        <f t="shared" si="4"/>
        <v>0</v>
      </c>
      <c r="W34" s="49">
        <f t="shared" si="5"/>
        <v>152</v>
      </c>
      <c r="X34" s="50">
        <f t="shared" si="6"/>
        <v>15.3216</v>
      </c>
      <c r="Y34" s="238">
        <v>0</v>
      </c>
      <c r="Z34" s="101">
        <v>0</v>
      </c>
    </row>
    <row r="35" spans="1:26" x14ac:dyDescent="0.25">
      <c r="A35" s="264">
        <v>31</v>
      </c>
      <c r="B35" s="256" t="s">
        <v>159</v>
      </c>
      <c r="C35" s="34">
        <v>140</v>
      </c>
      <c r="D35" s="35">
        <v>240</v>
      </c>
      <c r="E35" s="35">
        <v>4</v>
      </c>
      <c r="F35" s="19">
        <f t="shared" si="2"/>
        <v>0.13439999999999999</v>
      </c>
      <c r="G35" s="23">
        <v>39</v>
      </c>
      <c r="H35" s="26">
        <f t="shared" si="3"/>
        <v>5.2416</v>
      </c>
      <c r="I35" s="21">
        <v>20</v>
      </c>
      <c r="J35" s="205">
        <f t="shared" si="0"/>
        <v>2.6879999999999997</v>
      </c>
      <c r="K35" s="21">
        <v>0</v>
      </c>
      <c r="L35" s="205">
        <f t="shared" si="0"/>
        <v>0</v>
      </c>
      <c r="M35" s="21">
        <v>4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39">
        <f t="shared" si="7"/>
        <v>15</v>
      </c>
      <c r="T35" s="38">
        <f t="shared" si="1"/>
        <v>2.016</v>
      </c>
      <c r="U35" s="21">
        <v>0</v>
      </c>
      <c r="V35" s="13">
        <f t="shared" si="4"/>
        <v>0</v>
      </c>
      <c r="W35" s="49">
        <f t="shared" si="5"/>
        <v>15</v>
      </c>
      <c r="X35" s="50">
        <f t="shared" si="6"/>
        <v>2.016</v>
      </c>
      <c r="Y35" s="238">
        <v>0</v>
      </c>
      <c r="Z35" s="101">
        <v>0</v>
      </c>
    </row>
    <row r="36" spans="1:26" x14ac:dyDescent="0.25">
      <c r="A36" s="264">
        <v>32</v>
      </c>
      <c r="B36" s="256" t="s">
        <v>160</v>
      </c>
      <c r="C36" s="34">
        <v>140</v>
      </c>
      <c r="D36" s="35">
        <v>240</v>
      </c>
      <c r="E36" s="35">
        <v>2</v>
      </c>
      <c r="F36" s="19">
        <f t="shared" si="2"/>
        <v>6.7199999999999996E-2</v>
      </c>
      <c r="G36" s="23">
        <v>162</v>
      </c>
      <c r="H36" s="26">
        <f t="shared" si="3"/>
        <v>10.8864</v>
      </c>
      <c r="I36" s="21">
        <v>26</v>
      </c>
      <c r="J36" s="205">
        <f t="shared" si="0"/>
        <v>1.7471999999999999</v>
      </c>
      <c r="K36" s="21">
        <v>0</v>
      </c>
      <c r="L36" s="205">
        <v>0</v>
      </c>
      <c r="M36" s="21">
        <v>90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39">
        <f t="shared" si="7"/>
        <v>46</v>
      </c>
      <c r="T36" s="38">
        <f t="shared" si="1"/>
        <v>3.0911999999999997</v>
      </c>
      <c r="U36" s="21">
        <v>30</v>
      </c>
      <c r="V36" s="13">
        <v>0</v>
      </c>
      <c r="W36" s="49">
        <f t="shared" si="5"/>
        <v>76</v>
      </c>
      <c r="X36" s="50">
        <f t="shared" si="6"/>
        <v>5.1071999999999997</v>
      </c>
      <c r="Y36" s="238">
        <v>0</v>
      </c>
      <c r="Z36" s="101">
        <v>0</v>
      </c>
    </row>
    <row r="37" spans="1:26" x14ac:dyDescent="0.25">
      <c r="A37" s="264">
        <v>33</v>
      </c>
      <c r="B37" s="256" t="s">
        <v>161</v>
      </c>
      <c r="C37" s="34">
        <v>140</v>
      </c>
      <c r="D37" s="35">
        <v>240</v>
      </c>
      <c r="E37" s="35">
        <v>6</v>
      </c>
      <c r="F37" s="19">
        <f t="shared" si="2"/>
        <v>0.2016</v>
      </c>
      <c r="G37" s="23">
        <v>32</v>
      </c>
      <c r="H37" s="26">
        <f t="shared" si="3"/>
        <v>6.4512</v>
      </c>
      <c r="I37" s="21">
        <v>0</v>
      </c>
      <c r="J37" s="205">
        <f t="shared" si="0"/>
        <v>0</v>
      </c>
      <c r="K37" s="21">
        <v>0</v>
      </c>
      <c r="L37" s="205">
        <f t="shared" si="0"/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39">
        <f t="shared" si="7"/>
        <v>32</v>
      </c>
      <c r="T37" s="38">
        <f t="shared" si="1"/>
        <v>6.4512</v>
      </c>
      <c r="U37" s="21">
        <v>0</v>
      </c>
      <c r="V37" s="13">
        <f t="shared" si="4"/>
        <v>0</v>
      </c>
      <c r="W37" s="49">
        <f t="shared" si="5"/>
        <v>32</v>
      </c>
      <c r="X37" s="50">
        <f t="shared" si="6"/>
        <v>6.4512</v>
      </c>
      <c r="Y37" s="238">
        <v>0</v>
      </c>
      <c r="Z37" s="101">
        <v>0</v>
      </c>
    </row>
    <row r="38" spans="1:26" x14ac:dyDescent="0.25">
      <c r="A38" s="264">
        <v>34</v>
      </c>
      <c r="B38" s="256" t="s">
        <v>162</v>
      </c>
      <c r="C38" s="34">
        <v>84</v>
      </c>
      <c r="D38" s="35">
        <v>55</v>
      </c>
      <c r="E38" s="35">
        <v>3</v>
      </c>
      <c r="F38" s="19">
        <f t="shared" si="2"/>
        <v>1.3860000000000001E-2</v>
      </c>
      <c r="G38" s="23">
        <v>124</v>
      </c>
      <c r="H38" s="26">
        <f t="shared" si="3"/>
        <v>1.7186400000000002</v>
      </c>
      <c r="I38" s="21">
        <v>0</v>
      </c>
      <c r="J38" s="205">
        <f t="shared" si="0"/>
        <v>0</v>
      </c>
      <c r="K38" s="21">
        <v>0</v>
      </c>
      <c r="L38" s="205">
        <f t="shared" si="0"/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39">
        <f t="shared" si="7"/>
        <v>124</v>
      </c>
      <c r="T38" s="38">
        <f t="shared" si="1"/>
        <v>1.7186400000000002</v>
      </c>
      <c r="U38" s="21">
        <v>0</v>
      </c>
      <c r="V38" s="13">
        <f t="shared" si="4"/>
        <v>0</v>
      </c>
      <c r="W38" s="49">
        <f t="shared" si="5"/>
        <v>124</v>
      </c>
      <c r="X38" s="50">
        <f t="shared" si="6"/>
        <v>1.7186400000000002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163</v>
      </c>
      <c r="C39" s="34">
        <v>90</v>
      </c>
      <c r="D39" s="35">
        <v>90</v>
      </c>
      <c r="E39" s="35">
        <v>3</v>
      </c>
      <c r="F39" s="19">
        <f t="shared" si="2"/>
        <v>2.4299999999999999E-2</v>
      </c>
      <c r="G39" s="23">
        <v>91</v>
      </c>
      <c r="H39" s="26">
        <f t="shared" si="3"/>
        <v>2.2113</v>
      </c>
      <c r="I39" s="21">
        <v>0</v>
      </c>
      <c r="J39" s="205">
        <f t="shared" si="0"/>
        <v>0</v>
      </c>
      <c r="K39" s="21">
        <v>0</v>
      </c>
      <c r="L39" s="205">
        <f t="shared" si="0"/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39">
        <f t="shared" si="7"/>
        <v>91</v>
      </c>
      <c r="T39" s="38">
        <f t="shared" si="1"/>
        <v>2.2113</v>
      </c>
      <c r="U39" s="21">
        <v>0</v>
      </c>
      <c r="V39" s="13">
        <f t="shared" si="4"/>
        <v>0</v>
      </c>
      <c r="W39" s="49">
        <f t="shared" si="5"/>
        <v>91</v>
      </c>
      <c r="X39" s="50">
        <f t="shared" si="6"/>
        <v>2.2113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164</v>
      </c>
      <c r="C40" s="34">
        <v>140</v>
      </c>
      <c r="D40" s="35">
        <v>240</v>
      </c>
      <c r="E40" s="35">
        <v>10</v>
      </c>
      <c r="F40" s="19">
        <f t="shared" si="2"/>
        <v>0.33600000000000002</v>
      </c>
      <c r="G40" s="23">
        <v>21</v>
      </c>
      <c r="H40" s="26">
        <f t="shared" si="3"/>
        <v>7.056</v>
      </c>
      <c r="I40" s="21">
        <v>0</v>
      </c>
      <c r="J40" s="205">
        <f t="shared" si="0"/>
        <v>0</v>
      </c>
      <c r="K40" s="21">
        <v>0</v>
      </c>
      <c r="L40" s="205">
        <f t="shared" si="0"/>
        <v>0</v>
      </c>
      <c r="M40" s="21">
        <v>2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39">
        <f t="shared" si="7"/>
        <v>19</v>
      </c>
      <c r="T40" s="38">
        <f t="shared" si="1"/>
        <v>6.3840000000000003</v>
      </c>
      <c r="U40" s="21">
        <v>0</v>
      </c>
      <c r="V40" s="13">
        <f t="shared" si="4"/>
        <v>0</v>
      </c>
      <c r="W40" s="49">
        <f t="shared" si="5"/>
        <v>19</v>
      </c>
      <c r="X40" s="50">
        <f t="shared" si="6"/>
        <v>6.3840000000000003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165</v>
      </c>
      <c r="C41" s="34">
        <v>140</v>
      </c>
      <c r="D41" s="35">
        <v>240</v>
      </c>
      <c r="E41" s="35">
        <v>10</v>
      </c>
      <c r="F41" s="19">
        <f t="shared" si="2"/>
        <v>0.33600000000000002</v>
      </c>
      <c r="G41" s="23">
        <v>74</v>
      </c>
      <c r="H41" s="26">
        <f t="shared" si="3"/>
        <v>24.864000000000001</v>
      </c>
      <c r="I41" s="21">
        <v>0</v>
      </c>
      <c r="J41" s="205">
        <f t="shared" si="0"/>
        <v>0</v>
      </c>
      <c r="K41" s="21">
        <v>0</v>
      </c>
      <c r="L41" s="205">
        <v>0</v>
      </c>
      <c r="M41" s="21">
        <v>3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39">
        <f t="shared" si="7"/>
        <v>71</v>
      </c>
      <c r="T41" s="38">
        <f t="shared" si="1"/>
        <v>23.856000000000002</v>
      </c>
      <c r="U41" s="21">
        <v>0</v>
      </c>
      <c r="V41" s="13">
        <f t="shared" si="4"/>
        <v>0</v>
      </c>
      <c r="W41" s="49">
        <f t="shared" si="5"/>
        <v>71</v>
      </c>
      <c r="X41" s="50">
        <f t="shared" si="6"/>
        <v>23.856000000000002</v>
      </c>
      <c r="Y41" s="238">
        <v>0</v>
      </c>
      <c r="Z41" s="101">
        <v>0</v>
      </c>
    </row>
    <row r="42" spans="1:26" x14ac:dyDescent="0.25">
      <c r="A42" s="264">
        <v>38</v>
      </c>
      <c r="B42" s="256" t="s">
        <v>166</v>
      </c>
      <c r="C42" s="34">
        <v>92</v>
      </c>
      <c r="D42" s="35">
        <v>82</v>
      </c>
      <c r="E42" s="35">
        <v>2</v>
      </c>
      <c r="F42" s="19">
        <f t="shared" si="2"/>
        <v>1.5088000000000001E-2</v>
      </c>
      <c r="G42" s="23">
        <v>0</v>
      </c>
      <c r="H42" s="26">
        <f t="shared" si="3"/>
        <v>0</v>
      </c>
      <c r="I42" s="21">
        <v>0</v>
      </c>
      <c r="J42" s="205">
        <f t="shared" si="0"/>
        <v>0</v>
      </c>
      <c r="K42" s="21">
        <v>0</v>
      </c>
      <c r="L42" s="205">
        <f t="shared" si="0"/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39">
        <f t="shared" si="7"/>
        <v>0</v>
      </c>
      <c r="T42" s="38">
        <f t="shared" si="1"/>
        <v>0</v>
      </c>
      <c r="U42" s="21">
        <v>102</v>
      </c>
      <c r="V42" s="13">
        <f t="shared" si="4"/>
        <v>1.5389760000000001</v>
      </c>
      <c r="W42" s="49">
        <f t="shared" si="5"/>
        <v>102</v>
      </c>
      <c r="X42" s="50">
        <f t="shared" si="6"/>
        <v>1.5389760000000001</v>
      </c>
      <c r="Y42" s="238">
        <v>0</v>
      </c>
      <c r="Z42" s="101">
        <v>0</v>
      </c>
    </row>
    <row r="43" spans="1:26" x14ac:dyDescent="0.25">
      <c r="A43" s="264">
        <v>39</v>
      </c>
      <c r="B43" s="256" t="s">
        <v>167</v>
      </c>
      <c r="C43" s="34">
        <v>75</v>
      </c>
      <c r="D43" s="35">
        <v>55</v>
      </c>
      <c r="E43" s="35">
        <v>3</v>
      </c>
      <c r="F43" s="19">
        <f t="shared" si="2"/>
        <v>1.2375000000000001E-2</v>
      </c>
      <c r="G43" s="23">
        <v>45</v>
      </c>
      <c r="H43" s="26">
        <f t="shared" si="3"/>
        <v>0.55687500000000001</v>
      </c>
      <c r="I43" s="21">
        <v>0</v>
      </c>
      <c r="J43" s="205">
        <f t="shared" si="0"/>
        <v>0</v>
      </c>
      <c r="K43" s="21">
        <v>0</v>
      </c>
      <c r="L43" s="205">
        <f t="shared" si="0"/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39">
        <f t="shared" si="7"/>
        <v>45</v>
      </c>
      <c r="T43" s="38">
        <f t="shared" si="1"/>
        <v>0.55687500000000001</v>
      </c>
      <c r="U43" s="21">
        <v>0</v>
      </c>
      <c r="V43" s="13">
        <f t="shared" si="4"/>
        <v>0</v>
      </c>
      <c r="W43" s="49">
        <f t="shared" si="5"/>
        <v>45</v>
      </c>
      <c r="X43" s="50">
        <f t="shared" si="6"/>
        <v>0.55687500000000001</v>
      </c>
      <c r="Y43" s="238">
        <v>50</v>
      </c>
      <c r="Z43" s="101">
        <v>200</v>
      </c>
    </row>
    <row r="44" spans="1:26" x14ac:dyDescent="0.25">
      <c r="A44" s="264">
        <v>40</v>
      </c>
      <c r="B44" s="256" t="s">
        <v>168</v>
      </c>
      <c r="C44" s="34">
        <v>140</v>
      </c>
      <c r="D44" s="35">
        <v>240</v>
      </c>
      <c r="E44" s="35">
        <v>3</v>
      </c>
      <c r="F44" s="19">
        <f t="shared" si="2"/>
        <v>0.1008</v>
      </c>
      <c r="G44" s="23">
        <v>72</v>
      </c>
      <c r="H44" s="26">
        <f t="shared" si="3"/>
        <v>7.2576000000000001</v>
      </c>
      <c r="I44" s="21">
        <v>10</v>
      </c>
      <c r="J44" s="205">
        <f t="shared" si="0"/>
        <v>1.008</v>
      </c>
      <c r="K44" s="21">
        <v>0</v>
      </c>
      <c r="L44" s="205">
        <v>0</v>
      </c>
      <c r="M44" s="21">
        <v>7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39">
        <f t="shared" si="7"/>
        <v>55</v>
      </c>
      <c r="T44" s="38">
        <f t="shared" si="1"/>
        <v>5.5440000000000005</v>
      </c>
      <c r="U44" s="21">
        <v>0</v>
      </c>
      <c r="V44" s="13">
        <f t="shared" si="4"/>
        <v>0</v>
      </c>
      <c r="W44" s="49">
        <f t="shared" si="5"/>
        <v>55</v>
      </c>
      <c r="X44" s="50">
        <f t="shared" si="6"/>
        <v>5.5440000000000005</v>
      </c>
      <c r="Y44" s="238">
        <v>50</v>
      </c>
      <c r="Z44" s="101">
        <v>200</v>
      </c>
    </row>
    <row r="45" spans="1:26" x14ac:dyDescent="0.25">
      <c r="A45" s="264">
        <v>41</v>
      </c>
      <c r="B45" s="256" t="s">
        <v>169</v>
      </c>
      <c r="C45" s="34">
        <v>0</v>
      </c>
      <c r="D45" s="34">
        <v>0</v>
      </c>
      <c r="E45" s="34">
        <v>0</v>
      </c>
      <c r="F45" s="34">
        <v>0</v>
      </c>
      <c r="G45" s="34">
        <v>0</v>
      </c>
      <c r="H45" s="26">
        <f t="shared" si="3"/>
        <v>0</v>
      </c>
      <c r="I45" s="21">
        <v>0</v>
      </c>
      <c r="J45" s="205">
        <f t="shared" si="0"/>
        <v>0</v>
      </c>
      <c r="K45" s="21">
        <v>0</v>
      </c>
      <c r="L45" s="205">
        <f t="shared" si="0"/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39">
        <f t="shared" si="7"/>
        <v>0</v>
      </c>
      <c r="T45" s="38">
        <f t="shared" si="1"/>
        <v>0</v>
      </c>
      <c r="U45" s="21">
        <v>13</v>
      </c>
      <c r="V45" s="13">
        <f t="shared" si="4"/>
        <v>0</v>
      </c>
      <c r="W45" s="49">
        <f t="shared" si="5"/>
        <v>13</v>
      </c>
      <c r="X45" s="50">
        <f t="shared" si="6"/>
        <v>0</v>
      </c>
      <c r="Y45" s="238">
        <v>50</v>
      </c>
      <c r="Z45" s="101">
        <v>200</v>
      </c>
    </row>
    <row r="46" spans="1:26" x14ac:dyDescent="0.25">
      <c r="A46" s="264">
        <v>42</v>
      </c>
      <c r="B46" s="256" t="s">
        <v>170</v>
      </c>
      <c r="C46" s="34">
        <v>0</v>
      </c>
      <c r="D46" s="34">
        <v>0</v>
      </c>
      <c r="E46" s="34">
        <v>0</v>
      </c>
      <c r="F46" s="34">
        <v>0</v>
      </c>
      <c r="G46" s="34">
        <v>0</v>
      </c>
      <c r="H46" s="26">
        <f t="shared" si="3"/>
        <v>0</v>
      </c>
      <c r="I46" s="21">
        <v>0</v>
      </c>
      <c r="J46" s="205">
        <f t="shared" si="0"/>
        <v>0</v>
      </c>
      <c r="K46" s="21">
        <v>0</v>
      </c>
      <c r="L46" s="205">
        <f t="shared" si="0"/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39">
        <f t="shared" si="7"/>
        <v>0</v>
      </c>
      <c r="T46" s="38">
        <f t="shared" si="1"/>
        <v>0</v>
      </c>
      <c r="U46" s="21">
        <v>34</v>
      </c>
      <c r="V46" s="13">
        <f t="shared" si="4"/>
        <v>0</v>
      </c>
      <c r="W46" s="49">
        <f t="shared" si="5"/>
        <v>34</v>
      </c>
      <c r="X46" s="50">
        <f t="shared" si="6"/>
        <v>0</v>
      </c>
      <c r="Y46" s="238">
        <v>50</v>
      </c>
      <c r="Z46" s="101">
        <v>100</v>
      </c>
    </row>
    <row r="47" spans="1:26" x14ac:dyDescent="0.25">
      <c r="A47" s="264">
        <v>43</v>
      </c>
      <c r="B47" s="256" t="s">
        <v>171</v>
      </c>
      <c r="C47" s="34">
        <v>0</v>
      </c>
      <c r="D47" s="34">
        <v>0</v>
      </c>
      <c r="E47" s="34">
        <v>0</v>
      </c>
      <c r="F47" s="34">
        <v>0</v>
      </c>
      <c r="G47" s="34">
        <v>0</v>
      </c>
      <c r="H47" s="26">
        <f t="shared" si="3"/>
        <v>0</v>
      </c>
      <c r="I47" s="21">
        <v>0</v>
      </c>
      <c r="J47" s="205">
        <f t="shared" si="0"/>
        <v>0</v>
      </c>
      <c r="K47" s="21">
        <v>0</v>
      </c>
      <c r="L47" s="205">
        <f t="shared" si="0"/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39">
        <f t="shared" si="7"/>
        <v>0</v>
      </c>
      <c r="T47" s="38">
        <f t="shared" si="1"/>
        <v>0</v>
      </c>
      <c r="U47" s="21">
        <v>0</v>
      </c>
      <c r="V47" s="13">
        <f t="shared" si="4"/>
        <v>0</v>
      </c>
      <c r="W47" s="49">
        <f t="shared" si="5"/>
        <v>0</v>
      </c>
      <c r="X47" s="50">
        <f t="shared" si="6"/>
        <v>0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87</v>
      </c>
      <c r="C48" s="34">
        <v>0</v>
      </c>
      <c r="D48" s="34">
        <v>0</v>
      </c>
      <c r="E48" s="34">
        <v>0</v>
      </c>
      <c r="F48" s="34">
        <v>0</v>
      </c>
      <c r="G48" s="34">
        <v>0</v>
      </c>
      <c r="H48" s="26">
        <f t="shared" si="3"/>
        <v>0</v>
      </c>
      <c r="I48" s="21">
        <v>0</v>
      </c>
      <c r="J48" s="205">
        <f t="shared" si="0"/>
        <v>0</v>
      </c>
      <c r="K48" s="21">
        <v>0</v>
      </c>
      <c r="L48" s="205">
        <f t="shared" si="0"/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39">
        <f t="shared" si="7"/>
        <v>0</v>
      </c>
      <c r="T48" s="38">
        <f t="shared" si="1"/>
        <v>0</v>
      </c>
      <c r="U48" s="21">
        <v>0</v>
      </c>
      <c r="V48" s="13">
        <f t="shared" si="4"/>
        <v>0</v>
      </c>
      <c r="W48" s="49">
        <f t="shared" si="5"/>
        <v>0</v>
      </c>
      <c r="X48" s="50">
        <f t="shared" si="6"/>
        <v>0</v>
      </c>
      <c r="Y48" s="238">
        <v>50</v>
      </c>
      <c r="Z48" s="101">
        <v>200</v>
      </c>
    </row>
    <row r="49" spans="1:26" x14ac:dyDescent="0.25">
      <c r="A49" s="264">
        <v>45</v>
      </c>
      <c r="B49" s="256" t="s">
        <v>87</v>
      </c>
      <c r="C49" s="34">
        <v>0</v>
      </c>
      <c r="D49" s="34">
        <v>0</v>
      </c>
      <c r="E49" s="34">
        <v>0</v>
      </c>
      <c r="F49" s="34">
        <v>0</v>
      </c>
      <c r="G49" s="34">
        <v>0</v>
      </c>
      <c r="H49" s="26">
        <f t="shared" si="3"/>
        <v>0</v>
      </c>
      <c r="I49" s="21">
        <v>0</v>
      </c>
      <c r="J49" s="205">
        <f t="shared" si="0"/>
        <v>0</v>
      </c>
      <c r="K49" s="21">
        <v>0</v>
      </c>
      <c r="L49" s="205">
        <f t="shared" si="0"/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39">
        <f t="shared" si="7"/>
        <v>0</v>
      </c>
      <c r="T49" s="38">
        <f t="shared" si="1"/>
        <v>0</v>
      </c>
      <c r="U49" s="21">
        <v>0</v>
      </c>
      <c r="V49" s="13">
        <f t="shared" si="4"/>
        <v>0</v>
      </c>
      <c r="W49" s="49">
        <f t="shared" si="5"/>
        <v>0</v>
      </c>
      <c r="X49" s="50">
        <f t="shared" si="6"/>
        <v>0</v>
      </c>
      <c r="Y49" s="238">
        <v>100</v>
      </c>
      <c r="Z49" s="101">
        <v>300</v>
      </c>
    </row>
    <row r="50" spans="1:26" x14ac:dyDescent="0.25">
      <c r="A50" s="264">
        <v>46</v>
      </c>
      <c r="B50" s="256" t="s">
        <v>87</v>
      </c>
      <c r="C50" s="34">
        <v>0</v>
      </c>
      <c r="D50" s="34">
        <v>0</v>
      </c>
      <c r="E50" s="34">
        <v>0</v>
      </c>
      <c r="F50" s="34">
        <v>0</v>
      </c>
      <c r="G50" s="34">
        <v>0</v>
      </c>
      <c r="H50" s="26">
        <f t="shared" si="3"/>
        <v>0</v>
      </c>
      <c r="I50" s="21">
        <v>0</v>
      </c>
      <c r="J50" s="205">
        <f t="shared" si="0"/>
        <v>0</v>
      </c>
      <c r="K50" s="21">
        <v>0</v>
      </c>
      <c r="L50" s="205">
        <f t="shared" si="0"/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39">
        <f t="shared" si="7"/>
        <v>0</v>
      </c>
      <c r="T50" s="38">
        <f t="shared" si="1"/>
        <v>0</v>
      </c>
      <c r="U50" s="21">
        <v>0</v>
      </c>
      <c r="V50" s="13">
        <f t="shared" si="4"/>
        <v>0</v>
      </c>
      <c r="W50" s="49">
        <f t="shared" si="5"/>
        <v>0</v>
      </c>
      <c r="X50" s="50">
        <f t="shared" si="6"/>
        <v>0</v>
      </c>
      <c r="Y50" s="238">
        <v>30</v>
      </c>
      <c r="Z50" s="101">
        <v>100</v>
      </c>
    </row>
    <row r="51" spans="1:26" x14ac:dyDescent="0.25">
      <c r="A51" s="264">
        <v>47</v>
      </c>
      <c r="B51" s="256" t="s">
        <v>87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26">
        <f t="shared" si="3"/>
        <v>0</v>
      </c>
      <c r="I51" s="21">
        <v>0</v>
      </c>
      <c r="J51" s="205">
        <f t="shared" si="0"/>
        <v>0</v>
      </c>
      <c r="K51" s="21">
        <v>0</v>
      </c>
      <c r="L51" s="205">
        <f t="shared" si="0"/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39">
        <f t="shared" si="7"/>
        <v>0</v>
      </c>
      <c r="T51" s="38">
        <f t="shared" si="1"/>
        <v>0</v>
      </c>
      <c r="U51" s="21">
        <v>0</v>
      </c>
      <c r="V51" s="13">
        <f t="shared" si="4"/>
        <v>0</v>
      </c>
      <c r="W51" s="49">
        <f t="shared" si="5"/>
        <v>0</v>
      </c>
      <c r="X51" s="50">
        <f t="shared" si="6"/>
        <v>0</v>
      </c>
      <c r="Y51" s="238">
        <v>30</v>
      </c>
      <c r="Z51" s="101">
        <v>100</v>
      </c>
    </row>
    <row r="52" spans="1:26" x14ac:dyDescent="0.25">
      <c r="A52" s="264">
        <v>48</v>
      </c>
      <c r="B52" s="256" t="s">
        <v>87</v>
      </c>
      <c r="C52" s="34">
        <v>0</v>
      </c>
      <c r="D52" s="34">
        <v>0</v>
      </c>
      <c r="E52" s="34">
        <v>0</v>
      </c>
      <c r="F52" s="34">
        <v>0</v>
      </c>
      <c r="G52" s="34">
        <v>0</v>
      </c>
      <c r="H52" s="26">
        <f t="shared" si="3"/>
        <v>0</v>
      </c>
      <c r="I52" s="21">
        <v>0</v>
      </c>
      <c r="J52" s="205">
        <f t="shared" si="0"/>
        <v>0</v>
      </c>
      <c r="K52" s="21">
        <v>0</v>
      </c>
      <c r="L52" s="205">
        <f t="shared" si="0"/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39">
        <f t="shared" si="7"/>
        <v>0</v>
      </c>
      <c r="T52" s="38">
        <f t="shared" si="1"/>
        <v>0</v>
      </c>
      <c r="U52" s="21">
        <v>0</v>
      </c>
      <c r="V52" s="13">
        <f t="shared" si="4"/>
        <v>0</v>
      </c>
      <c r="W52" s="49">
        <f t="shared" si="5"/>
        <v>0</v>
      </c>
      <c r="X52" s="50">
        <f t="shared" si="6"/>
        <v>0</v>
      </c>
      <c r="Y52" s="238">
        <v>30</v>
      </c>
      <c r="Z52" s="101">
        <v>100</v>
      </c>
    </row>
    <row r="53" spans="1:26" x14ac:dyDescent="0.25">
      <c r="A53" s="264">
        <v>49</v>
      </c>
      <c r="B53" s="256" t="s">
        <v>87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26">
        <f t="shared" si="3"/>
        <v>0</v>
      </c>
      <c r="I53" s="21">
        <v>0</v>
      </c>
      <c r="J53" s="205">
        <f t="shared" si="0"/>
        <v>0</v>
      </c>
      <c r="K53" s="21">
        <v>0</v>
      </c>
      <c r="L53" s="205">
        <f t="shared" si="0"/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39">
        <f t="shared" si="7"/>
        <v>0</v>
      </c>
      <c r="T53" s="38">
        <f t="shared" si="1"/>
        <v>0</v>
      </c>
      <c r="U53" s="21">
        <v>0</v>
      </c>
      <c r="V53" s="13">
        <f t="shared" si="4"/>
        <v>0</v>
      </c>
      <c r="W53" s="49">
        <f t="shared" si="5"/>
        <v>0</v>
      </c>
      <c r="X53" s="50">
        <f t="shared" si="6"/>
        <v>0</v>
      </c>
      <c r="Y53" s="238">
        <v>200</v>
      </c>
      <c r="Z53" s="101">
        <v>500</v>
      </c>
    </row>
    <row r="54" spans="1:26" x14ac:dyDescent="0.25">
      <c r="A54" s="264">
        <v>50</v>
      </c>
      <c r="B54" s="256" t="s">
        <v>87</v>
      </c>
      <c r="C54" s="34">
        <v>0</v>
      </c>
      <c r="D54" s="34">
        <v>0</v>
      </c>
      <c r="E54" s="34">
        <v>0</v>
      </c>
      <c r="F54" s="34">
        <v>0</v>
      </c>
      <c r="G54" s="34">
        <v>0</v>
      </c>
      <c r="H54" s="26">
        <f t="shared" si="3"/>
        <v>0</v>
      </c>
      <c r="I54" s="21">
        <v>0</v>
      </c>
      <c r="J54" s="205">
        <f t="shared" si="0"/>
        <v>0</v>
      </c>
      <c r="K54" s="21">
        <v>0</v>
      </c>
      <c r="L54" s="205">
        <f t="shared" si="0"/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39">
        <f t="shared" si="7"/>
        <v>0</v>
      </c>
      <c r="T54" s="38">
        <f t="shared" si="1"/>
        <v>0</v>
      </c>
      <c r="U54" s="21">
        <v>0</v>
      </c>
      <c r="V54" s="13">
        <f t="shared" si="4"/>
        <v>0</v>
      </c>
      <c r="W54" s="49">
        <f t="shared" si="5"/>
        <v>0</v>
      </c>
      <c r="X54" s="50">
        <f t="shared" si="6"/>
        <v>0</v>
      </c>
      <c r="Y54" s="238">
        <v>100</v>
      </c>
      <c r="Z54" s="101">
        <v>300</v>
      </c>
    </row>
    <row r="55" spans="1:26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6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6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6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6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6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6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6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6" x14ac:dyDescent="0.2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6" x14ac:dyDescent="0.2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</sheetData>
  <mergeCells count="24">
    <mergeCell ref="S4:T4"/>
    <mergeCell ref="U4:V4"/>
    <mergeCell ref="W4:X4"/>
    <mergeCell ref="G4:H4"/>
    <mergeCell ref="I4:J4"/>
    <mergeCell ref="K4:L4"/>
    <mergeCell ref="M4:N4"/>
    <mergeCell ref="O4:P4"/>
    <mergeCell ref="Q4:R4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C1:H1"/>
    <mergeCell ref="G2:H3"/>
    <mergeCell ref="I2:J2"/>
    <mergeCell ref="K2:L2"/>
    <mergeCell ref="M2:N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Z78"/>
  <sheetViews>
    <sheetView topLeftCell="A15" workbookViewId="0">
      <selection activeCell="W29" sqref="W29"/>
    </sheetView>
  </sheetViews>
  <sheetFormatPr defaultRowHeight="15" x14ac:dyDescent="0.25"/>
  <cols>
    <col min="1" max="1" width="6.42578125" customWidth="1"/>
    <col min="2" max="2" width="30.140625" style="3" customWidth="1"/>
    <col min="3" max="3" width="0.140625" style="2" hidden="1" customWidth="1"/>
    <col min="4" max="4" width="13.85546875" style="2" hidden="1" customWidth="1"/>
    <col min="5" max="5" width="12" style="2" hidden="1" customWidth="1"/>
    <col min="6" max="6" width="13.5703125" style="4" hidden="1" customWidth="1"/>
    <col min="7" max="7" width="8.7109375" style="5" customWidth="1"/>
    <col min="8" max="8" width="9" style="5" customWidth="1"/>
    <col min="9" max="18" width="8.140625" style="2" customWidth="1"/>
    <col min="19" max="19" width="0.140625" style="2" customWidth="1"/>
    <col min="20" max="20" width="8.140625" style="2" hidden="1" customWidth="1"/>
    <col min="21" max="21" width="9.42578125" customWidth="1"/>
    <col min="22" max="22" width="11.7109375" customWidth="1"/>
    <col min="25" max="25" width="10.28515625" customWidth="1"/>
  </cols>
  <sheetData>
    <row r="1" spans="1:26" ht="15.75" thickBot="1" x14ac:dyDescent="0.3">
      <c r="B1" s="4" t="s">
        <v>18</v>
      </c>
      <c r="C1" s="384" t="s">
        <v>172</v>
      </c>
      <c r="D1" s="320"/>
      <c r="E1" s="320"/>
      <c r="F1" s="320"/>
      <c r="G1" s="320"/>
      <c r="H1" s="320"/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45145</v>
      </c>
      <c r="J2" s="326"/>
      <c r="K2" s="327">
        <v>45152</v>
      </c>
      <c r="L2" s="328"/>
      <c r="M2" s="325">
        <v>45159</v>
      </c>
      <c r="N2" s="329"/>
      <c r="O2" s="327">
        <v>45162</v>
      </c>
      <c r="P2" s="346"/>
      <c r="Q2" s="325">
        <v>45169</v>
      </c>
      <c r="R2" s="329"/>
      <c r="S2" s="330" t="s">
        <v>69</v>
      </c>
      <c r="T2" s="331"/>
      <c r="U2" s="334" t="s">
        <v>70</v>
      </c>
      <c r="V2" s="335"/>
      <c r="W2" s="338" t="s">
        <v>71</v>
      </c>
      <c r="X2" s="339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40"/>
      <c r="X3" s="341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51" t="s">
        <v>63</v>
      </c>
      <c r="X4" s="352"/>
      <c r="Y4" s="268" t="s">
        <v>99</v>
      </c>
      <c r="Z4" s="269" t="s">
        <v>100</v>
      </c>
    </row>
    <row r="5" spans="1:26" x14ac:dyDescent="0.25">
      <c r="A5" s="263">
        <v>1</v>
      </c>
      <c r="B5" s="256" t="s">
        <v>134</v>
      </c>
      <c r="C5" s="32">
        <v>70</v>
      </c>
      <c r="D5" s="33">
        <v>64</v>
      </c>
      <c r="E5" s="33">
        <v>8</v>
      </c>
      <c r="F5" s="15">
        <f>(C5*D5*E5)/1000000</f>
        <v>3.5839999999999997E-2</v>
      </c>
      <c r="G5" s="23">
        <v>510</v>
      </c>
      <c r="H5" s="24">
        <f>F5*G5</f>
        <v>18.278399999999998</v>
      </c>
      <c r="I5" s="21">
        <v>30</v>
      </c>
      <c r="J5" s="205">
        <f t="shared" ref="J5:N54" si="0">F5*I5</f>
        <v>1.0751999999999999</v>
      </c>
      <c r="K5" s="21">
        <v>0</v>
      </c>
      <c r="L5" s="205">
        <f t="shared" si="0"/>
        <v>0</v>
      </c>
      <c r="M5" s="21">
        <v>33</v>
      </c>
      <c r="N5" s="21">
        <v>0</v>
      </c>
      <c r="O5" s="21">
        <v>213</v>
      </c>
      <c r="P5" s="21">
        <v>0</v>
      </c>
      <c r="Q5" s="21">
        <v>45</v>
      </c>
      <c r="R5" s="21">
        <v>0</v>
      </c>
      <c r="S5" s="39">
        <f>G5-I5-K5-M5-O5-Q5</f>
        <v>189</v>
      </c>
      <c r="T5" s="38">
        <f t="shared" ref="T5:T54" si="1">F5*S5</f>
        <v>6.7737599999999993</v>
      </c>
      <c r="U5" s="21">
        <v>402</v>
      </c>
      <c r="V5" s="13">
        <f>F5*U5</f>
        <v>14.407679999999999</v>
      </c>
      <c r="W5" s="49">
        <f>S5+U5</f>
        <v>591</v>
      </c>
      <c r="X5" s="50">
        <f>F5*W5</f>
        <v>21.181439999999998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135</v>
      </c>
      <c r="C6" s="34">
        <v>70</v>
      </c>
      <c r="D6" s="35">
        <v>80</v>
      </c>
      <c r="E6" s="35">
        <v>8</v>
      </c>
      <c r="F6" s="19">
        <f t="shared" ref="F6:F44" si="2">(C6*D6*E6)/1000000</f>
        <v>4.48E-2</v>
      </c>
      <c r="G6" s="23">
        <v>249</v>
      </c>
      <c r="H6" s="26">
        <f t="shared" ref="H6:H54" si="3">F6*G6</f>
        <v>11.155200000000001</v>
      </c>
      <c r="I6" s="21">
        <v>87</v>
      </c>
      <c r="J6" s="205">
        <f t="shared" si="0"/>
        <v>3.8976000000000002</v>
      </c>
      <c r="K6" s="21">
        <v>0</v>
      </c>
      <c r="L6" s="205">
        <f t="shared" si="0"/>
        <v>0</v>
      </c>
      <c r="M6" s="21">
        <v>57</v>
      </c>
      <c r="N6" s="21">
        <v>0</v>
      </c>
      <c r="O6" s="21">
        <v>105</v>
      </c>
      <c r="P6" s="21">
        <v>0</v>
      </c>
      <c r="Q6" s="21">
        <v>44</v>
      </c>
      <c r="R6" s="21">
        <v>0</v>
      </c>
      <c r="S6" s="39">
        <f>G6-I6-K6-M6-O6-Q6</f>
        <v>-44</v>
      </c>
      <c r="T6" s="38">
        <f t="shared" si="1"/>
        <v>-1.9712000000000001</v>
      </c>
      <c r="U6" s="21">
        <v>384</v>
      </c>
      <c r="V6" s="13">
        <f t="shared" ref="V6:V54" si="4">F6*U6</f>
        <v>17.203199999999999</v>
      </c>
      <c r="W6" s="49">
        <f t="shared" ref="W6:W54" si="5">S6+U6</f>
        <v>340</v>
      </c>
      <c r="X6" s="50">
        <f t="shared" ref="X6:X54" si="6">F6*W6</f>
        <v>15.231999999999999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136</v>
      </c>
      <c r="C7" s="34">
        <v>70</v>
      </c>
      <c r="D7" s="35">
        <v>74</v>
      </c>
      <c r="E7" s="35">
        <v>8</v>
      </c>
      <c r="F7" s="19">
        <f t="shared" si="2"/>
        <v>4.1439999999999998E-2</v>
      </c>
      <c r="G7" s="23">
        <v>0</v>
      </c>
      <c r="H7" s="26">
        <f t="shared" si="3"/>
        <v>0</v>
      </c>
      <c r="I7" s="21">
        <v>0</v>
      </c>
      <c r="J7" s="205">
        <f t="shared" si="0"/>
        <v>0</v>
      </c>
      <c r="K7" s="21">
        <v>0</v>
      </c>
      <c r="L7" s="205">
        <f t="shared" si="0"/>
        <v>0</v>
      </c>
      <c r="M7" s="21">
        <v>0</v>
      </c>
      <c r="N7" s="21">
        <v>0</v>
      </c>
      <c r="O7" s="21">
        <v>0</v>
      </c>
      <c r="P7" s="21">
        <v>0</v>
      </c>
      <c r="Q7" s="21">
        <v>8</v>
      </c>
      <c r="R7" s="21">
        <v>0</v>
      </c>
      <c r="S7" s="39">
        <f t="shared" ref="S7:S54" si="7">G7-I7-K7-M7-O7-Q7</f>
        <v>-8</v>
      </c>
      <c r="T7" s="38">
        <f t="shared" si="1"/>
        <v>-0.33151999999999998</v>
      </c>
      <c r="U7" s="21">
        <v>431</v>
      </c>
      <c r="V7" s="13">
        <f t="shared" si="4"/>
        <v>17.86064</v>
      </c>
      <c r="W7" s="49">
        <f t="shared" si="5"/>
        <v>423</v>
      </c>
      <c r="X7" s="50">
        <f t="shared" si="6"/>
        <v>17.529119999999999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137</v>
      </c>
      <c r="C8" s="34">
        <v>80</v>
      </c>
      <c r="D8" s="35">
        <v>64</v>
      </c>
      <c r="E8" s="35">
        <v>5</v>
      </c>
      <c r="F8" s="19">
        <f t="shared" si="2"/>
        <v>2.5600000000000001E-2</v>
      </c>
      <c r="G8" s="23">
        <v>399</v>
      </c>
      <c r="H8" s="26">
        <f t="shared" si="3"/>
        <v>10.214400000000001</v>
      </c>
      <c r="I8" s="21">
        <v>0</v>
      </c>
      <c r="J8" s="205">
        <f t="shared" si="0"/>
        <v>0</v>
      </c>
      <c r="K8" s="21">
        <v>0</v>
      </c>
      <c r="L8" s="205">
        <f t="shared" si="0"/>
        <v>0</v>
      </c>
      <c r="M8" s="21">
        <v>0</v>
      </c>
      <c r="N8" s="21">
        <v>0</v>
      </c>
      <c r="O8" s="21">
        <v>73</v>
      </c>
      <c r="P8" s="21">
        <v>0</v>
      </c>
      <c r="Q8" s="21">
        <v>0</v>
      </c>
      <c r="R8" s="21">
        <v>0</v>
      </c>
      <c r="S8" s="39">
        <f t="shared" si="7"/>
        <v>326</v>
      </c>
      <c r="T8" s="38">
        <f t="shared" si="1"/>
        <v>8.345600000000001</v>
      </c>
      <c r="U8" s="21">
        <v>0</v>
      </c>
      <c r="V8" s="13">
        <f t="shared" si="4"/>
        <v>0</v>
      </c>
      <c r="W8" s="49">
        <f t="shared" si="5"/>
        <v>326</v>
      </c>
      <c r="X8" s="50">
        <f t="shared" si="6"/>
        <v>8.345600000000001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138</v>
      </c>
      <c r="C9" s="34">
        <v>140</v>
      </c>
      <c r="D9" s="35">
        <v>240</v>
      </c>
      <c r="E9" s="35">
        <v>5</v>
      </c>
      <c r="F9" s="19">
        <f t="shared" si="2"/>
        <v>0.16800000000000001</v>
      </c>
      <c r="G9" s="23">
        <v>160</v>
      </c>
      <c r="H9" s="26">
        <f t="shared" si="3"/>
        <v>26.880000000000003</v>
      </c>
      <c r="I9" s="21">
        <v>7</v>
      </c>
      <c r="J9" s="205">
        <f t="shared" si="0"/>
        <v>1.1760000000000002</v>
      </c>
      <c r="K9" s="21">
        <v>78</v>
      </c>
      <c r="L9" s="205">
        <f t="shared" si="0"/>
        <v>2096.6400000000003</v>
      </c>
      <c r="M9" s="21">
        <v>6</v>
      </c>
      <c r="N9" s="205">
        <f t="shared" si="0"/>
        <v>7.0560000000000009</v>
      </c>
      <c r="O9" s="21">
        <v>29</v>
      </c>
      <c r="P9" s="21">
        <v>0</v>
      </c>
      <c r="Q9" s="21">
        <v>40</v>
      </c>
      <c r="R9" s="21">
        <v>0</v>
      </c>
      <c r="S9" s="39">
        <f t="shared" si="7"/>
        <v>0</v>
      </c>
      <c r="T9" s="38">
        <f t="shared" si="1"/>
        <v>0</v>
      </c>
      <c r="U9" s="21">
        <v>0</v>
      </c>
      <c r="V9" s="13">
        <f t="shared" si="4"/>
        <v>0</v>
      </c>
      <c r="W9" s="49">
        <f t="shared" si="5"/>
        <v>0</v>
      </c>
      <c r="X9" s="50">
        <f t="shared" si="6"/>
        <v>0</v>
      </c>
      <c r="Y9" s="238">
        <v>50</v>
      </c>
      <c r="Z9" s="101">
        <v>150</v>
      </c>
    </row>
    <row r="10" spans="1:26" x14ac:dyDescent="0.25">
      <c r="A10" s="264">
        <v>6</v>
      </c>
      <c r="B10" s="256" t="s">
        <v>139</v>
      </c>
      <c r="C10" s="34">
        <v>142</v>
      </c>
      <c r="D10" s="35">
        <v>67</v>
      </c>
      <c r="E10" s="35">
        <v>5</v>
      </c>
      <c r="F10" s="19">
        <f t="shared" si="2"/>
        <v>4.7570000000000001E-2</v>
      </c>
      <c r="G10" s="23">
        <v>85</v>
      </c>
      <c r="H10" s="26">
        <f t="shared" si="3"/>
        <v>4.04345</v>
      </c>
      <c r="I10" s="21">
        <v>0</v>
      </c>
      <c r="J10" s="205">
        <f t="shared" si="0"/>
        <v>0</v>
      </c>
      <c r="K10" s="21">
        <v>0</v>
      </c>
      <c r="L10" s="205">
        <f t="shared" si="0"/>
        <v>0</v>
      </c>
      <c r="M10" s="21">
        <v>0</v>
      </c>
      <c r="N10" s="21">
        <v>0</v>
      </c>
      <c r="O10" s="21">
        <v>10</v>
      </c>
      <c r="P10" s="21">
        <v>0</v>
      </c>
      <c r="Q10" s="21">
        <v>57</v>
      </c>
      <c r="R10" s="21">
        <v>0</v>
      </c>
      <c r="S10" s="39">
        <f t="shared" si="7"/>
        <v>18</v>
      </c>
      <c r="T10" s="38">
        <f t="shared" si="1"/>
        <v>0.85626000000000002</v>
      </c>
      <c r="U10" s="21">
        <v>0</v>
      </c>
      <c r="V10" s="13">
        <f t="shared" si="4"/>
        <v>0</v>
      </c>
      <c r="W10" s="49">
        <f t="shared" si="5"/>
        <v>18</v>
      </c>
      <c r="X10" s="50">
        <f t="shared" si="6"/>
        <v>0.85626000000000002</v>
      </c>
      <c r="Y10" s="238">
        <v>75</v>
      </c>
      <c r="Z10" s="101">
        <v>300</v>
      </c>
    </row>
    <row r="11" spans="1:26" x14ac:dyDescent="0.25">
      <c r="A11" s="264">
        <v>7</v>
      </c>
      <c r="B11" s="256" t="s">
        <v>140</v>
      </c>
      <c r="C11" s="34">
        <v>63</v>
      </c>
      <c r="D11" s="35">
        <v>60</v>
      </c>
      <c r="E11" s="35">
        <v>5</v>
      </c>
      <c r="F11" s="19">
        <f t="shared" si="2"/>
        <v>1.89E-2</v>
      </c>
      <c r="G11" s="23">
        <v>230</v>
      </c>
      <c r="H11" s="26">
        <f t="shared" si="3"/>
        <v>4.3470000000000004</v>
      </c>
      <c r="I11" s="21">
        <v>0</v>
      </c>
      <c r="J11" s="205">
        <f t="shared" si="0"/>
        <v>0</v>
      </c>
      <c r="K11" s="21">
        <v>0</v>
      </c>
      <c r="L11" s="205">
        <f t="shared" si="0"/>
        <v>0</v>
      </c>
      <c r="M11" s="21">
        <v>0</v>
      </c>
      <c r="N11" s="21">
        <v>0</v>
      </c>
      <c r="O11" s="21">
        <v>230</v>
      </c>
      <c r="P11" s="21">
        <v>0</v>
      </c>
      <c r="Q11" s="21">
        <v>0</v>
      </c>
      <c r="R11" s="21">
        <v>0</v>
      </c>
      <c r="S11" s="39">
        <f t="shared" si="7"/>
        <v>0</v>
      </c>
      <c r="T11" s="38">
        <f t="shared" si="1"/>
        <v>0</v>
      </c>
      <c r="U11" s="21">
        <v>0</v>
      </c>
      <c r="V11" s="13">
        <f t="shared" si="4"/>
        <v>0</v>
      </c>
      <c r="W11" s="49">
        <f t="shared" si="5"/>
        <v>0</v>
      </c>
      <c r="X11" s="50">
        <f t="shared" si="6"/>
        <v>0</v>
      </c>
      <c r="Y11" s="238">
        <v>20</v>
      </c>
      <c r="Z11" s="101">
        <v>50</v>
      </c>
    </row>
    <row r="12" spans="1:26" x14ac:dyDescent="0.25">
      <c r="A12" s="264">
        <v>8</v>
      </c>
      <c r="B12" s="256" t="s">
        <v>141</v>
      </c>
      <c r="C12" s="34">
        <v>52</v>
      </c>
      <c r="D12" s="35">
        <v>52</v>
      </c>
      <c r="E12" s="35">
        <v>5</v>
      </c>
      <c r="F12" s="19">
        <f t="shared" si="2"/>
        <v>1.3520000000000001E-2</v>
      </c>
      <c r="G12" s="23">
        <v>42</v>
      </c>
      <c r="H12" s="26">
        <f t="shared" si="3"/>
        <v>0.56784000000000001</v>
      </c>
      <c r="I12" s="21">
        <v>0</v>
      </c>
      <c r="J12" s="205">
        <f t="shared" si="0"/>
        <v>0</v>
      </c>
      <c r="K12" s="21">
        <v>0</v>
      </c>
      <c r="L12" s="205">
        <f t="shared" si="0"/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39">
        <f t="shared" si="7"/>
        <v>42</v>
      </c>
      <c r="T12" s="38">
        <f t="shared" si="1"/>
        <v>0.56784000000000001</v>
      </c>
      <c r="U12" s="21">
        <v>0</v>
      </c>
      <c r="V12" s="13">
        <f t="shared" si="4"/>
        <v>0</v>
      </c>
      <c r="W12" s="49">
        <f t="shared" si="5"/>
        <v>42</v>
      </c>
      <c r="X12" s="50">
        <f t="shared" si="6"/>
        <v>0.56784000000000001</v>
      </c>
      <c r="Y12" s="238">
        <v>30</v>
      </c>
      <c r="Z12" s="101">
        <v>100</v>
      </c>
    </row>
    <row r="13" spans="1:26" x14ac:dyDescent="0.25">
      <c r="A13" s="264">
        <v>9</v>
      </c>
      <c r="B13" s="256" t="s">
        <v>142</v>
      </c>
      <c r="C13" s="34">
        <v>140</v>
      </c>
      <c r="D13" s="35">
        <v>240</v>
      </c>
      <c r="E13" s="35">
        <v>5</v>
      </c>
      <c r="F13" s="19">
        <f t="shared" si="2"/>
        <v>0.16800000000000001</v>
      </c>
      <c r="G13" s="23">
        <v>182</v>
      </c>
      <c r="H13" s="26">
        <f t="shared" si="3"/>
        <v>30.576000000000001</v>
      </c>
      <c r="I13" s="21">
        <v>12</v>
      </c>
      <c r="J13" s="205">
        <f t="shared" si="0"/>
        <v>2.016</v>
      </c>
      <c r="K13" s="21">
        <v>0</v>
      </c>
      <c r="L13" s="205">
        <f t="shared" si="0"/>
        <v>0</v>
      </c>
      <c r="M13" s="21">
        <v>0</v>
      </c>
      <c r="N13" s="21">
        <v>0</v>
      </c>
      <c r="O13" s="21">
        <v>9</v>
      </c>
      <c r="P13" s="21">
        <v>0</v>
      </c>
      <c r="Q13" s="21">
        <v>15</v>
      </c>
      <c r="R13" s="21">
        <v>0</v>
      </c>
      <c r="S13" s="39">
        <f t="shared" si="7"/>
        <v>146</v>
      </c>
      <c r="T13" s="38">
        <f t="shared" si="1"/>
        <v>24.528000000000002</v>
      </c>
      <c r="U13" s="21">
        <v>0</v>
      </c>
      <c r="V13" s="13">
        <f t="shared" si="4"/>
        <v>0</v>
      </c>
      <c r="W13" s="49">
        <f t="shared" si="5"/>
        <v>146</v>
      </c>
      <c r="X13" s="50">
        <f t="shared" si="6"/>
        <v>24.528000000000002</v>
      </c>
      <c r="Y13" s="238">
        <v>20</v>
      </c>
      <c r="Z13" s="101">
        <v>50</v>
      </c>
    </row>
    <row r="14" spans="1:26" x14ac:dyDescent="0.25">
      <c r="A14" s="264">
        <v>10</v>
      </c>
      <c r="B14" s="256" t="s">
        <v>143</v>
      </c>
      <c r="C14" s="34">
        <v>90</v>
      </c>
      <c r="D14" s="35">
        <v>85</v>
      </c>
      <c r="E14" s="35">
        <v>5</v>
      </c>
      <c r="F14" s="19">
        <f t="shared" si="2"/>
        <v>3.8249999999999999E-2</v>
      </c>
      <c r="G14" s="23">
        <v>73</v>
      </c>
      <c r="H14" s="26">
        <f t="shared" si="3"/>
        <v>2.7922500000000001</v>
      </c>
      <c r="I14" s="21">
        <v>0</v>
      </c>
      <c r="J14" s="205">
        <f t="shared" si="0"/>
        <v>0</v>
      </c>
      <c r="K14" s="21">
        <v>0</v>
      </c>
      <c r="L14" s="205">
        <f t="shared" si="0"/>
        <v>0</v>
      </c>
      <c r="M14" s="21">
        <v>0</v>
      </c>
      <c r="N14" s="21">
        <v>0</v>
      </c>
      <c r="O14" s="21">
        <v>17</v>
      </c>
      <c r="P14" s="21">
        <v>0</v>
      </c>
      <c r="Q14" s="21">
        <v>0</v>
      </c>
      <c r="R14" s="21">
        <v>0</v>
      </c>
      <c r="S14" s="39">
        <f t="shared" si="7"/>
        <v>56</v>
      </c>
      <c r="T14" s="38">
        <f t="shared" si="1"/>
        <v>2.1419999999999999</v>
      </c>
      <c r="U14" s="21">
        <v>0</v>
      </c>
      <c r="V14" s="13">
        <f t="shared" si="4"/>
        <v>0</v>
      </c>
      <c r="W14" s="49">
        <f t="shared" si="5"/>
        <v>56</v>
      </c>
      <c r="X14" s="50">
        <f t="shared" si="6"/>
        <v>2.1419999999999999</v>
      </c>
      <c r="Y14" s="238">
        <v>30</v>
      </c>
      <c r="Z14" s="101">
        <v>100</v>
      </c>
    </row>
    <row r="15" spans="1:26" x14ac:dyDescent="0.25">
      <c r="A15" s="264">
        <v>11</v>
      </c>
      <c r="B15" s="256" t="s">
        <v>144</v>
      </c>
      <c r="C15" s="34">
        <v>140</v>
      </c>
      <c r="D15" s="35">
        <v>240</v>
      </c>
      <c r="E15" s="35">
        <v>5</v>
      </c>
      <c r="F15" s="19">
        <f t="shared" si="2"/>
        <v>0.16800000000000001</v>
      </c>
      <c r="G15" s="23">
        <v>216</v>
      </c>
      <c r="H15" s="26">
        <f t="shared" si="3"/>
        <v>36.288000000000004</v>
      </c>
      <c r="I15" s="21">
        <v>0</v>
      </c>
      <c r="J15" s="205">
        <f t="shared" si="0"/>
        <v>0</v>
      </c>
      <c r="K15" s="21">
        <v>0</v>
      </c>
      <c r="L15" s="205">
        <f t="shared" si="0"/>
        <v>0</v>
      </c>
      <c r="M15" s="21">
        <v>12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39">
        <f t="shared" si="7"/>
        <v>204</v>
      </c>
      <c r="T15" s="38">
        <f t="shared" si="1"/>
        <v>34.272000000000006</v>
      </c>
      <c r="U15" s="21">
        <v>0</v>
      </c>
      <c r="V15" s="13">
        <f t="shared" si="4"/>
        <v>0</v>
      </c>
      <c r="W15" s="49">
        <f t="shared" si="5"/>
        <v>204</v>
      </c>
      <c r="X15" s="50">
        <f t="shared" si="6"/>
        <v>34.272000000000006</v>
      </c>
      <c r="Y15" s="238">
        <v>20</v>
      </c>
      <c r="Z15" s="101">
        <v>70</v>
      </c>
    </row>
    <row r="16" spans="1:26" x14ac:dyDescent="0.25">
      <c r="A16" s="264">
        <v>12</v>
      </c>
      <c r="B16" s="256" t="s">
        <v>145</v>
      </c>
      <c r="C16" s="34">
        <v>140</v>
      </c>
      <c r="D16" s="35">
        <v>240</v>
      </c>
      <c r="E16" s="35">
        <v>5</v>
      </c>
      <c r="F16" s="19">
        <f t="shared" si="2"/>
        <v>0.16800000000000001</v>
      </c>
      <c r="G16" s="23">
        <v>95</v>
      </c>
      <c r="H16" s="26">
        <f t="shared" si="3"/>
        <v>15.96</v>
      </c>
      <c r="I16" s="21">
        <v>10</v>
      </c>
      <c r="J16" s="205">
        <f t="shared" si="0"/>
        <v>1.6800000000000002</v>
      </c>
      <c r="K16" s="21">
        <v>11</v>
      </c>
      <c r="L16" s="205">
        <v>0</v>
      </c>
      <c r="M16" s="21">
        <v>5</v>
      </c>
      <c r="N16" s="21">
        <v>0</v>
      </c>
      <c r="O16" s="21">
        <v>0</v>
      </c>
      <c r="P16" s="21">
        <v>0</v>
      </c>
      <c r="Q16" s="21">
        <v>10</v>
      </c>
      <c r="R16" s="21">
        <v>0</v>
      </c>
      <c r="S16" s="39">
        <f t="shared" si="7"/>
        <v>59</v>
      </c>
      <c r="T16" s="38">
        <f t="shared" si="1"/>
        <v>9.9120000000000008</v>
      </c>
      <c r="U16" s="21">
        <v>0</v>
      </c>
      <c r="V16" s="13">
        <v>0</v>
      </c>
      <c r="W16" s="49">
        <f t="shared" si="5"/>
        <v>59</v>
      </c>
      <c r="X16" s="50">
        <f t="shared" si="6"/>
        <v>9.9120000000000008</v>
      </c>
      <c r="Y16" s="238">
        <v>50</v>
      </c>
      <c r="Z16" s="101">
        <v>150</v>
      </c>
    </row>
    <row r="17" spans="1:26" x14ac:dyDescent="0.25">
      <c r="A17" s="264">
        <v>13</v>
      </c>
      <c r="B17" s="256" t="s">
        <v>146</v>
      </c>
      <c r="C17" s="34">
        <v>140</v>
      </c>
      <c r="D17" s="35">
        <v>240</v>
      </c>
      <c r="E17" s="35">
        <v>8</v>
      </c>
      <c r="F17" s="19">
        <f t="shared" si="2"/>
        <v>0.26879999999999998</v>
      </c>
      <c r="G17" s="23">
        <v>36</v>
      </c>
      <c r="H17" s="26">
        <f t="shared" si="3"/>
        <v>9.6768000000000001</v>
      </c>
      <c r="I17" s="21">
        <v>26</v>
      </c>
      <c r="J17" s="205">
        <f t="shared" si="0"/>
        <v>6.9887999999999995</v>
      </c>
      <c r="K17" s="21">
        <v>13</v>
      </c>
      <c r="L17" s="205">
        <f t="shared" si="0"/>
        <v>125.7984</v>
      </c>
      <c r="M17" s="21">
        <v>0</v>
      </c>
      <c r="N17" s="21">
        <v>0</v>
      </c>
      <c r="O17" s="21">
        <v>11</v>
      </c>
      <c r="P17" s="21">
        <v>0</v>
      </c>
      <c r="Q17" s="21">
        <v>3</v>
      </c>
      <c r="R17" s="21">
        <v>0</v>
      </c>
      <c r="S17" s="39">
        <f t="shared" si="7"/>
        <v>-17</v>
      </c>
      <c r="T17" s="38">
        <f t="shared" si="1"/>
        <v>-4.5695999999999994</v>
      </c>
      <c r="U17" s="21">
        <v>46</v>
      </c>
      <c r="V17" s="13">
        <f t="shared" si="4"/>
        <v>12.364799999999999</v>
      </c>
      <c r="W17" s="49">
        <f t="shared" si="5"/>
        <v>29</v>
      </c>
      <c r="X17" s="50">
        <f t="shared" si="6"/>
        <v>7.7951999999999995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147</v>
      </c>
      <c r="C18" s="34">
        <v>77</v>
      </c>
      <c r="D18" s="35">
        <v>86</v>
      </c>
      <c r="E18" s="35">
        <v>8</v>
      </c>
      <c r="F18" s="19">
        <f t="shared" si="2"/>
        <v>5.2976000000000002E-2</v>
      </c>
      <c r="G18" s="23">
        <v>35</v>
      </c>
      <c r="H18" s="26">
        <f t="shared" si="3"/>
        <v>1.85416</v>
      </c>
      <c r="I18" s="21">
        <v>20</v>
      </c>
      <c r="J18" s="205">
        <f t="shared" si="0"/>
        <v>1.05952</v>
      </c>
      <c r="K18" s="21">
        <v>0</v>
      </c>
      <c r="L18" s="205">
        <f t="shared" si="0"/>
        <v>0</v>
      </c>
      <c r="M18" s="21">
        <v>80</v>
      </c>
      <c r="N18" s="21">
        <v>0</v>
      </c>
      <c r="O18" s="21">
        <v>25</v>
      </c>
      <c r="P18" s="21">
        <v>0</v>
      </c>
      <c r="Q18" s="21">
        <v>70</v>
      </c>
      <c r="R18" s="21">
        <v>0</v>
      </c>
      <c r="S18" s="39">
        <f t="shared" si="7"/>
        <v>-160</v>
      </c>
      <c r="T18" s="38">
        <f t="shared" si="1"/>
        <v>-8.4761600000000001</v>
      </c>
      <c r="U18" s="21">
        <v>394</v>
      </c>
      <c r="V18" s="13">
        <f t="shared" si="4"/>
        <v>20.872544000000001</v>
      </c>
      <c r="W18" s="49">
        <f t="shared" si="5"/>
        <v>234</v>
      </c>
      <c r="X18" s="50">
        <f t="shared" si="6"/>
        <v>12.396384000000001</v>
      </c>
      <c r="Y18" s="238">
        <v>30</v>
      </c>
      <c r="Z18" s="101">
        <v>100</v>
      </c>
    </row>
    <row r="19" spans="1:26" x14ac:dyDescent="0.25">
      <c r="A19" s="264">
        <v>15</v>
      </c>
      <c r="B19" s="256" t="s">
        <v>148</v>
      </c>
      <c r="C19" s="34">
        <v>77</v>
      </c>
      <c r="D19" s="35">
        <v>68</v>
      </c>
      <c r="E19" s="35">
        <v>8</v>
      </c>
      <c r="F19" s="19">
        <f t="shared" si="2"/>
        <v>4.1888000000000002E-2</v>
      </c>
      <c r="G19" s="23">
        <v>79</v>
      </c>
      <c r="H19" s="26">
        <f t="shared" si="3"/>
        <v>3.3091520000000001</v>
      </c>
      <c r="I19" s="21">
        <v>30</v>
      </c>
      <c r="J19" s="205">
        <f t="shared" si="0"/>
        <v>1.25664</v>
      </c>
      <c r="K19" s="21">
        <v>0</v>
      </c>
      <c r="L19" s="205">
        <f t="shared" si="0"/>
        <v>0</v>
      </c>
      <c r="M19" s="21">
        <v>0</v>
      </c>
      <c r="N19" s="21">
        <v>0</v>
      </c>
      <c r="O19" s="21">
        <v>57</v>
      </c>
      <c r="P19" s="21">
        <v>0</v>
      </c>
      <c r="Q19" s="21">
        <v>12</v>
      </c>
      <c r="R19" s="21">
        <v>0</v>
      </c>
      <c r="S19" s="39">
        <f t="shared" si="7"/>
        <v>-20</v>
      </c>
      <c r="T19" s="38">
        <f t="shared" si="1"/>
        <v>-0.83776000000000006</v>
      </c>
      <c r="U19" s="21">
        <v>392</v>
      </c>
      <c r="V19" s="13">
        <f t="shared" si="4"/>
        <v>16.420096000000001</v>
      </c>
      <c r="W19" s="49">
        <f t="shared" si="5"/>
        <v>372</v>
      </c>
      <c r="X19" s="50">
        <f t="shared" si="6"/>
        <v>15.582336</v>
      </c>
      <c r="Y19" s="238">
        <v>10</v>
      </c>
      <c r="Z19" s="101">
        <v>30</v>
      </c>
    </row>
    <row r="20" spans="1:26" x14ac:dyDescent="0.25">
      <c r="A20" s="264">
        <v>16</v>
      </c>
      <c r="B20" s="256" t="s">
        <v>149</v>
      </c>
      <c r="C20" s="34">
        <v>76</v>
      </c>
      <c r="D20" s="35">
        <v>75</v>
      </c>
      <c r="E20" s="35">
        <v>8</v>
      </c>
      <c r="F20" s="19">
        <f t="shared" si="2"/>
        <v>4.5600000000000002E-2</v>
      </c>
      <c r="G20" s="23">
        <v>7</v>
      </c>
      <c r="H20" s="26">
        <f t="shared" si="3"/>
        <v>0.31920000000000004</v>
      </c>
      <c r="I20" s="21">
        <v>0</v>
      </c>
      <c r="J20" s="205">
        <f t="shared" si="0"/>
        <v>0</v>
      </c>
      <c r="K20" s="21">
        <v>0</v>
      </c>
      <c r="L20" s="205">
        <f t="shared" si="0"/>
        <v>0</v>
      </c>
      <c r="M20" s="21">
        <v>0</v>
      </c>
      <c r="N20" s="21">
        <v>0</v>
      </c>
      <c r="O20" s="21">
        <v>31</v>
      </c>
      <c r="P20" s="21">
        <v>0</v>
      </c>
      <c r="Q20" s="21">
        <v>0</v>
      </c>
      <c r="R20" s="21">
        <v>0</v>
      </c>
      <c r="S20" s="39">
        <f t="shared" si="7"/>
        <v>-24</v>
      </c>
      <c r="T20" s="38">
        <f t="shared" si="1"/>
        <v>-1.0944</v>
      </c>
      <c r="U20" s="21">
        <v>402</v>
      </c>
      <c r="V20" s="13">
        <f t="shared" si="4"/>
        <v>18.331199999999999</v>
      </c>
      <c r="W20" s="49">
        <f t="shared" si="5"/>
        <v>378</v>
      </c>
      <c r="X20" s="50">
        <f t="shared" si="6"/>
        <v>17.236800000000002</v>
      </c>
      <c r="Y20" s="238">
        <v>0</v>
      </c>
      <c r="Z20" s="101">
        <v>0</v>
      </c>
    </row>
    <row r="21" spans="1:26" x14ac:dyDescent="0.25">
      <c r="A21" s="264">
        <v>17</v>
      </c>
      <c r="B21" s="256" t="s">
        <v>150</v>
      </c>
      <c r="C21" s="34">
        <v>60</v>
      </c>
      <c r="D21" s="35">
        <v>63</v>
      </c>
      <c r="E21" s="35">
        <v>10</v>
      </c>
      <c r="F21" s="19">
        <f t="shared" si="2"/>
        <v>3.78E-2</v>
      </c>
      <c r="G21" s="23">
        <v>413</v>
      </c>
      <c r="H21" s="26">
        <f t="shared" si="3"/>
        <v>15.6114</v>
      </c>
      <c r="I21" s="21">
        <v>0</v>
      </c>
      <c r="J21" s="205">
        <f t="shared" si="0"/>
        <v>0</v>
      </c>
      <c r="K21" s="21">
        <v>0</v>
      </c>
      <c r="L21" s="205">
        <f t="shared" si="0"/>
        <v>0</v>
      </c>
      <c r="M21" s="21">
        <v>0</v>
      </c>
      <c r="N21" s="21">
        <v>0</v>
      </c>
      <c r="O21" s="21">
        <v>0</v>
      </c>
      <c r="P21" s="21">
        <v>0</v>
      </c>
      <c r="Q21" s="21">
        <v>150</v>
      </c>
      <c r="R21" s="21">
        <v>0</v>
      </c>
      <c r="S21" s="39">
        <f t="shared" si="7"/>
        <v>263</v>
      </c>
      <c r="T21" s="38">
        <f t="shared" si="1"/>
        <v>9.9413999999999998</v>
      </c>
      <c r="U21" s="21">
        <v>0</v>
      </c>
      <c r="V21" s="13">
        <f t="shared" si="4"/>
        <v>0</v>
      </c>
      <c r="W21" s="49">
        <f t="shared" si="5"/>
        <v>263</v>
      </c>
      <c r="X21" s="50">
        <f t="shared" si="6"/>
        <v>9.9413999999999998</v>
      </c>
      <c r="Y21" s="238">
        <v>0</v>
      </c>
      <c r="Z21" s="101">
        <v>0</v>
      </c>
    </row>
    <row r="22" spans="1:26" x14ac:dyDescent="0.25">
      <c r="A22" s="264">
        <v>18</v>
      </c>
      <c r="B22" s="256" t="s">
        <v>151</v>
      </c>
      <c r="C22" s="34">
        <v>63</v>
      </c>
      <c r="D22" s="35">
        <v>60</v>
      </c>
      <c r="E22" s="35">
        <v>3</v>
      </c>
      <c r="F22" s="19">
        <f t="shared" si="2"/>
        <v>1.1339999999999999E-2</v>
      </c>
      <c r="G22" s="23">
        <v>66</v>
      </c>
      <c r="H22" s="26">
        <f t="shared" si="3"/>
        <v>0.74843999999999999</v>
      </c>
      <c r="I22" s="21">
        <v>0</v>
      </c>
      <c r="J22" s="205">
        <f t="shared" si="0"/>
        <v>0</v>
      </c>
      <c r="K22" s="21">
        <v>0</v>
      </c>
      <c r="L22" s="205">
        <f t="shared" si="0"/>
        <v>0</v>
      </c>
      <c r="M22" s="21">
        <v>0</v>
      </c>
      <c r="N22" s="21">
        <v>0</v>
      </c>
      <c r="O22" s="21">
        <v>0</v>
      </c>
      <c r="P22" s="21">
        <v>0</v>
      </c>
      <c r="Q22" s="21">
        <v>50</v>
      </c>
      <c r="R22" s="21">
        <v>0</v>
      </c>
      <c r="S22" s="39">
        <f t="shared" si="7"/>
        <v>16</v>
      </c>
      <c r="T22" s="38">
        <f t="shared" si="1"/>
        <v>0.18143999999999999</v>
      </c>
      <c r="U22" s="21">
        <v>0</v>
      </c>
      <c r="V22" s="13">
        <f t="shared" si="4"/>
        <v>0</v>
      </c>
      <c r="W22" s="49">
        <f t="shared" si="5"/>
        <v>16</v>
      </c>
      <c r="X22" s="50">
        <f t="shared" si="6"/>
        <v>0.18143999999999999</v>
      </c>
      <c r="Y22" s="238">
        <v>0</v>
      </c>
      <c r="Z22" s="101">
        <v>0</v>
      </c>
    </row>
    <row r="23" spans="1:26" x14ac:dyDescent="0.25">
      <c r="A23" s="264">
        <v>19</v>
      </c>
      <c r="B23" s="42" t="s">
        <v>152</v>
      </c>
      <c r="C23" s="34">
        <v>140</v>
      </c>
      <c r="D23" s="35">
        <v>240</v>
      </c>
      <c r="E23" s="35">
        <v>1.4</v>
      </c>
      <c r="F23" s="19">
        <f t="shared" si="2"/>
        <v>4.7039999999999998E-2</v>
      </c>
      <c r="G23" s="23">
        <v>471</v>
      </c>
      <c r="H23" s="26">
        <f t="shared" si="3"/>
        <v>22.155839999999998</v>
      </c>
      <c r="I23" s="21">
        <v>40</v>
      </c>
      <c r="J23" s="205">
        <f t="shared" si="0"/>
        <v>1.8815999999999999</v>
      </c>
      <c r="K23" s="21">
        <v>105</v>
      </c>
      <c r="L23" s="205">
        <v>0</v>
      </c>
      <c r="M23" s="21">
        <v>52</v>
      </c>
      <c r="N23" s="21">
        <v>0</v>
      </c>
      <c r="O23" s="21">
        <v>0</v>
      </c>
      <c r="P23" s="21">
        <v>0</v>
      </c>
      <c r="Q23" s="21">
        <v>183</v>
      </c>
      <c r="R23" s="21">
        <v>0</v>
      </c>
      <c r="S23" s="39">
        <f t="shared" si="7"/>
        <v>91</v>
      </c>
      <c r="T23" s="38">
        <f t="shared" si="1"/>
        <v>4.28064</v>
      </c>
      <c r="U23" s="21">
        <v>0</v>
      </c>
      <c r="V23" s="13">
        <f t="shared" si="4"/>
        <v>0</v>
      </c>
      <c r="W23" s="49">
        <f t="shared" si="5"/>
        <v>91</v>
      </c>
      <c r="X23" s="50">
        <f t="shared" si="6"/>
        <v>4.28064</v>
      </c>
      <c r="Y23" s="238">
        <v>0</v>
      </c>
      <c r="Z23" s="101">
        <v>0</v>
      </c>
    </row>
    <row r="24" spans="1:26" x14ac:dyDescent="0.25">
      <c r="A24" s="264">
        <v>20</v>
      </c>
      <c r="B24" s="256" t="s">
        <v>3</v>
      </c>
      <c r="C24" s="34">
        <v>140</v>
      </c>
      <c r="D24" s="35">
        <v>240</v>
      </c>
      <c r="E24" s="35">
        <v>0.8</v>
      </c>
      <c r="F24" s="19">
        <f t="shared" si="2"/>
        <v>2.6880000000000001E-2</v>
      </c>
      <c r="G24" s="23">
        <v>386</v>
      </c>
      <c r="H24" s="26">
        <f t="shared" si="3"/>
        <v>10.375680000000001</v>
      </c>
      <c r="I24" s="21">
        <v>0</v>
      </c>
      <c r="J24" s="205">
        <f t="shared" si="0"/>
        <v>0</v>
      </c>
      <c r="K24" s="21">
        <v>0</v>
      </c>
      <c r="L24" s="205">
        <v>0</v>
      </c>
      <c r="M24" s="21">
        <v>25</v>
      </c>
      <c r="N24" s="21">
        <v>0</v>
      </c>
      <c r="O24" s="21">
        <v>0</v>
      </c>
      <c r="P24" s="21">
        <v>0</v>
      </c>
      <c r="Q24" s="21">
        <v>23</v>
      </c>
      <c r="R24" s="21">
        <v>0</v>
      </c>
      <c r="S24" s="39">
        <f t="shared" si="7"/>
        <v>338</v>
      </c>
      <c r="T24" s="38">
        <f t="shared" si="1"/>
        <v>9.0854400000000002</v>
      </c>
      <c r="U24" s="21">
        <v>0</v>
      </c>
      <c r="V24" s="13">
        <f t="shared" si="4"/>
        <v>0</v>
      </c>
      <c r="W24" s="49">
        <f t="shared" si="5"/>
        <v>338</v>
      </c>
      <c r="X24" s="50">
        <f t="shared" si="6"/>
        <v>9.0854400000000002</v>
      </c>
      <c r="Y24" s="238">
        <v>0</v>
      </c>
      <c r="Z24" s="101">
        <v>0</v>
      </c>
    </row>
    <row r="25" spans="1:26" x14ac:dyDescent="0.25">
      <c r="A25" s="264">
        <v>21</v>
      </c>
      <c r="B25" s="256" t="s">
        <v>153</v>
      </c>
      <c r="C25" s="34">
        <v>58</v>
      </c>
      <c r="D25" s="35">
        <v>58</v>
      </c>
      <c r="E25" s="35">
        <v>2.2999999999999998</v>
      </c>
      <c r="F25" s="19">
        <f t="shared" si="2"/>
        <v>7.7371999999999996E-3</v>
      </c>
      <c r="G25" s="23">
        <v>2580</v>
      </c>
      <c r="H25" s="26">
        <f t="shared" si="3"/>
        <v>19.961976</v>
      </c>
      <c r="I25" s="21">
        <v>200</v>
      </c>
      <c r="J25" s="205">
        <f t="shared" si="0"/>
        <v>1.5474399999999999</v>
      </c>
      <c r="K25" s="21">
        <v>0</v>
      </c>
      <c r="L25" s="205">
        <v>0</v>
      </c>
      <c r="M25" s="21">
        <v>200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39">
        <f t="shared" si="7"/>
        <v>2180</v>
      </c>
      <c r="T25" s="38">
        <f t="shared" si="1"/>
        <v>16.867096</v>
      </c>
      <c r="U25" s="21">
        <v>0</v>
      </c>
      <c r="V25" s="13">
        <f t="shared" si="4"/>
        <v>0</v>
      </c>
      <c r="W25" s="49">
        <f t="shared" si="5"/>
        <v>2180</v>
      </c>
      <c r="X25" s="50">
        <f t="shared" si="6"/>
        <v>16.867096</v>
      </c>
      <c r="Y25" s="238">
        <v>30</v>
      </c>
      <c r="Z25" s="101">
        <v>100</v>
      </c>
    </row>
    <row r="26" spans="1:26" x14ac:dyDescent="0.25">
      <c r="A26" s="264">
        <v>22</v>
      </c>
      <c r="B26" s="256" t="s">
        <v>154</v>
      </c>
      <c r="C26" s="34">
        <v>140</v>
      </c>
      <c r="D26" s="35">
        <v>240</v>
      </c>
      <c r="E26" s="35">
        <v>7</v>
      </c>
      <c r="F26" s="19">
        <f t="shared" si="2"/>
        <v>0.23519999999999999</v>
      </c>
      <c r="G26" s="23">
        <v>133</v>
      </c>
      <c r="H26" s="26">
        <f t="shared" si="3"/>
        <v>31.281599999999997</v>
      </c>
      <c r="I26" s="21">
        <v>12</v>
      </c>
      <c r="J26" s="205">
        <f t="shared" si="0"/>
        <v>2.8224</v>
      </c>
      <c r="K26" s="21">
        <v>8</v>
      </c>
      <c r="L26" s="205">
        <v>0</v>
      </c>
      <c r="M26" s="21">
        <v>9</v>
      </c>
      <c r="N26" s="21">
        <v>0</v>
      </c>
      <c r="O26" s="21">
        <v>21</v>
      </c>
      <c r="P26" s="21">
        <v>0</v>
      </c>
      <c r="Q26" s="21">
        <v>19</v>
      </c>
      <c r="R26" s="21">
        <v>0</v>
      </c>
      <c r="S26" s="39">
        <f t="shared" si="7"/>
        <v>64</v>
      </c>
      <c r="T26" s="38">
        <f t="shared" si="1"/>
        <v>15.0528</v>
      </c>
      <c r="U26" s="21">
        <v>0</v>
      </c>
      <c r="V26" s="13">
        <f t="shared" si="4"/>
        <v>0</v>
      </c>
      <c r="W26" s="49">
        <f t="shared" si="5"/>
        <v>64</v>
      </c>
      <c r="X26" s="50">
        <f t="shared" si="6"/>
        <v>15.0528</v>
      </c>
      <c r="Y26" s="238">
        <v>0</v>
      </c>
      <c r="Z26" s="101">
        <v>0</v>
      </c>
    </row>
    <row r="27" spans="1:26" ht="15.75" x14ac:dyDescent="0.25">
      <c r="A27" s="264">
        <v>23</v>
      </c>
      <c r="B27" s="256" t="s">
        <v>55</v>
      </c>
      <c r="C27" s="111">
        <v>50</v>
      </c>
      <c r="D27" s="112">
        <v>45</v>
      </c>
      <c r="E27" s="112">
        <v>4</v>
      </c>
      <c r="F27" s="19">
        <f t="shared" si="2"/>
        <v>8.9999999999999993E-3</v>
      </c>
      <c r="G27" s="23">
        <v>581</v>
      </c>
      <c r="H27" s="26">
        <f t="shared" si="3"/>
        <v>5.2289999999999992</v>
      </c>
      <c r="I27" s="21">
        <v>0</v>
      </c>
      <c r="J27" s="205">
        <f t="shared" si="0"/>
        <v>0</v>
      </c>
      <c r="K27" s="21">
        <v>0</v>
      </c>
      <c r="L27" s="205">
        <v>0</v>
      </c>
      <c r="M27" s="21">
        <v>300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39">
        <f t="shared" si="7"/>
        <v>281</v>
      </c>
      <c r="T27" s="38">
        <f t="shared" si="1"/>
        <v>2.5289999999999999</v>
      </c>
      <c r="U27" s="21">
        <v>0</v>
      </c>
      <c r="V27" s="13">
        <f t="shared" si="4"/>
        <v>0</v>
      </c>
      <c r="W27" s="49">
        <f t="shared" si="5"/>
        <v>281</v>
      </c>
      <c r="X27" s="50">
        <f t="shared" si="6"/>
        <v>2.5289999999999999</v>
      </c>
      <c r="Y27" s="238">
        <v>0</v>
      </c>
      <c r="Z27" s="101">
        <v>0</v>
      </c>
    </row>
    <row r="28" spans="1:26" ht="15.75" x14ac:dyDescent="0.25">
      <c r="A28" s="264">
        <v>24</v>
      </c>
      <c r="B28" s="256" t="s">
        <v>56</v>
      </c>
      <c r="C28" s="111">
        <v>50</v>
      </c>
      <c r="D28" s="112">
        <v>35</v>
      </c>
      <c r="E28" s="112">
        <v>4</v>
      </c>
      <c r="F28" s="19">
        <f t="shared" si="2"/>
        <v>7.0000000000000001E-3</v>
      </c>
      <c r="G28" s="23">
        <v>838</v>
      </c>
      <c r="H28" s="26">
        <f t="shared" si="3"/>
        <v>5.8660000000000005</v>
      </c>
      <c r="I28" s="21">
        <v>0</v>
      </c>
      <c r="J28" s="205">
        <f t="shared" si="0"/>
        <v>0</v>
      </c>
      <c r="K28" s="21">
        <v>0</v>
      </c>
      <c r="L28" s="205">
        <f t="shared" si="0"/>
        <v>0</v>
      </c>
      <c r="M28" s="21">
        <v>300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39">
        <f t="shared" si="7"/>
        <v>538</v>
      </c>
      <c r="T28" s="38">
        <f t="shared" si="1"/>
        <v>3.766</v>
      </c>
      <c r="U28" s="21">
        <v>0</v>
      </c>
      <c r="V28" s="13">
        <f t="shared" si="4"/>
        <v>0</v>
      </c>
      <c r="W28" s="49">
        <f t="shared" si="5"/>
        <v>538</v>
      </c>
      <c r="X28" s="50">
        <f t="shared" si="6"/>
        <v>3.766</v>
      </c>
      <c r="Y28" s="238">
        <v>0</v>
      </c>
      <c r="Z28" s="101">
        <v>0</v>
      </c>
    </row>
    <row r="29" spans="1:26" ht="15.75" x14ac:dyDescent="0.25">
      <c r="A29" s="264">
        <v>25</v>
      </c>
      <c r="B29" s="256" t="s">
        <v>57</v>
      </c>
      <c r="C29" s="111">
        <v>45</v>
      </c>
      <c r="D29" s="112">
        <v>50</v>
      </c>
      <c r="E29" s="112">
        <v>3</v>
      </c>
      <c r="F29" s="19">
        <f t="shared" si="2"/>
        <v>6.7499999999999999E-3</v>
      </c>
      <c r="G29" s="23">
        <v>1680</v>
      </c>
      <c r="H29" s="26">
        <f t="shared" si="3"/>
        <v>11.34</v>
      </c>
      <c r="I29" s="21">
        <v>0</v>
      </c>
      <c r="J29" s="205">
        <f t="shared" si="0"/>
        <v>0</v>
      </c>
      <c r="K29" s="21">
        <v>0</v>
      </c>
      <c r="L29" s="205">
        <f t="shared" si="0"/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39">
        <f t="shared" si="7"/>
        <v>1680</v>
      </c>
      <c r="T29" s="38">
        <f t="shared" si="1"/>
        <v>11.34</v>
      </c>
      <c r="U29" s="21">
        <v>0</v>
      </c>
      <c r="V29" s="13">
        <f t="shared" si="4"/>
        <v>0</v>
      </c>
      <c r="W29" s="49">
        <f t="shared" si="5"/>
        <v>1680</v>
      </c>
      <c r="X29" s="50">
        <f t="shared" si="6"/>
        <v>11.34</v>
      </c>
      <c r="Y29" s="238">
        <v>0</v>
      </c>
      <c r="Z29" s="101">
        <v>0</v>
      </c>
    </row>
    <row r="30" spans="1:26" ht="15.75" x14ac:dyDescent="0.25">
      <c r="A30" s="264">
        <v>26</v>
      </c>
      <c r="B30" s="256" t="s">
        <v>58</v>
      </c>
      <c r="C30" s="111">
        <v>50</v>
      </c>
      <c r="D30" s="112">
        <v>35</v>
      </c>
      <c r="E30" s="112">
        <v>3</v>
      </c>
      <c r="F30" s="19">
        <f t="shared" si="2"/>
        <v>5.2500000000000003E-3</v>
      </c>
      <c r="G30" s="23">
        <v>1355</v>
      </c>
      <c r="H30" s="26">
        <f t="shared" si="3"/>
        <v>7.1137500000000005</v>
      </c>
      <c r="I30" s="21">
        <v>0</v>
      </c>
      <c r="J30" s="205">
        <f t="shared" si="0"/>
        <v>0</v>
      </c>
      <c r="K30" s="21">
        <v>0</v>
      </c>
      <c r="L30" s="205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39">
        <f t="shared" si="7"/>
        <v>1355</v>
      </c>
      <c r="T30" s="38">
        <f t="shared" si="1"/>
        <v>7.1137500000000005</v>
      </c>
      <c r="U30" s="21">
        <v>0</v>
      </c>
      <c r="V30" s="13">
        <f t="shared" si="4"/>
        <v>0</v>
      </c>
      <c r="W30" s="49">
        <f t="shared" si="5"/>
        <v>1355</v>
      </c>
      <c r="X30" s="50">
        <f t="shared" si="6"/>
        <v>7.1137500000000005</v>
      </c>
      <c r="Y30" s="238">
        <v>0</v>
      </c>
      <c r="Z30" s="101">
        <v>0</v>
      </c>
    </row>
    <row r="31" spans="1:26" x14ac:dyDescent="0.25">
      <c r="A31" s="264">
        <v>27</v>
      </c>
      <c r="B31" s="256" t="s">
        <v>155</v>
      </c>
      <c r="C31" s="34">
        <v>140</v>
      </c>
      <c r="D31" s="35">
        <v>9.5</v>
      </c>
      <c r="E31" s="35">
        <v>6.5</v>
      </c>
      <c r="F31" s="19">
        <f t="shared" si="2"/>
        <v>8.6449999999999999E-3</v>
      </c>
      <c r="G31" s="23">
        <v>901</v>
      </c>
      <c r="H31" s="26">
        <f t="shared" si="3"/>
        <v>7.7891449999999995</v>
      </c>
      <c r="I31" s="21">
        <v>0</v>
      </c>
      <c r="J31" s="205">
        <f t="shared" si="0"/>
        <v>0</v>
      </c>
      <c r="K31" s="21">
        <v>25</v>
      </c>
      <c r="L31" s="205">
        <f t="shared" si="0"/>
        <v>194.72862499999999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39">
        <f t="shared" si="7"/>
        <v>876</v>
      </c>
      <c r="T31" s="38">
        <f t="shared" si="1"/>
        <v>7.5730199999999996</v>
      </c>
      <c r="U31" s="21">
        <v>0</v>
      </c>
      <c r="V31" s="13">
        <f t="shared" si="4"/>
        <v>0</v>
      </c>
      <c r="W31" s="49">
        <f t="shared" si="5"/>
        <v>876</v>
      </c>
      <c r="X31" s="50">
        <f t="shared" si="6"/>
        <v>7.5730199999999996</v>
      </c>
      <c r="Y31" s="238">
        <v>0</v>
      </c>
      <c r="Z31" s="101">
        <v>0</v>
      </c>
    </row>
    <row r="32" spans="1:26" x14ac:dyDescent="0.25">
      <c r="A32" s="264">
        <v>28</v>
      </c>
      <c r="B32" s="256" t="s">
        <v>156</v>
      </c>
      <c r="C32" s="34">
        <v>140</v>
      </c>
      <c r="D32" s="35">
        <v>240</v>
      </c>
      <c r="E32" s="35">
        <v>1</v>
      </c>
      <c r="F32" s="19">
        <f t="shared" si="2"/>
        <v>3.3599999999999998E-2</v>
      </c>
      <c r="G32" s="23">
        <v>583</v>
      </c>
      <c r="H32" s="26">
        <f t="shared" si="3"/>
        <v>19.588799999999999</v>
      </c>
      <c r="I32" s="21">
        <v>190</v>
      </c>
      <c r="J32" s="205">
        <f t="shared" si="0"/>
        <v>6.3839999999999995</v>
      </c>
      <c r="K32" s="21">
        <v>90</v>
      </c>
      <c r="L32" s="205">
        <v>0</v>
      </c>
      <c r="M32" s="21">
        <v>240</v>
      </c>
      <c r="N32" s="21">
        <v>0</v>
      </c>
      <c r="O32" s="21">
        <v>0</v>
      </c>
      <c r="P32" s="21">
        <v>0</v>
      </c>
      <c r="Q32" s="21">
        <v>273</v>
      </c>
      <c r="R32" s="21">
        <v>0</v>
      </c>
      <c r="S32" s="39">
        <f t="shared" si="7"/>
        <v>-210</v>
      </c>
      <c r="T32" s="38">
        <f t="shared" si="1"/>
        <v>-7.0559999999999992</v>
      </c>
      <c r="U32" s="21">
        <v>210</v>
      </c>
      <c r="V32" s="13">
        <v>0</v>
      </c>
      <c r="W32" s="49">
        <f t="shared" si="5"/>
        <v>0</v>
      </c>
      <c r="X32" s="50">
        <f t="shared" si="6"/>
        <v>0</v>
      </c>
      <c r="Y32" s="238">
        <v>0</v>
      </c>
      <c r="Z32" s="101">
        <v>0</v>
      </c>
    </row>
    <row r="33" spans="1:26" x14ac:dyDescent="0.25">
      <c r="A33" s="264">
        <v>29</v>
      </c>
      <c r="B33" s="256" t="s">
        <v>157</v>
      </c>
      <c r="C33" s="34">
        <v>140</v>
      </c>
      <c r="D33" s="35">
        <v>240</v>
      </c>
      <c r="E33" s="35">
        <v>2</v>
      </c>
      <c r="F33" s="19">
        <f t="shared" si="2"/>
        <v>6.7199999999999996E-2</v>
      </c>
      <c r="G33" s="23">
        <v>438</v>
      </c>
      <c r="H33" s="26">
        <f t="shared" si="3"/>
        <v>29.433599999999998</v>
      </c>
      <c r="I33" s="21">
        <v>8</v>
      </c>
      <c r="J33" s="205">
        <f t="shared" si="0"/>
        <v>0.53759999999999997</v>
      </c>
      <c r="K33" s="21">
        <v>0</v>
      </c>
      <c r="L33" s="205">
        <v>0</v>
      </c>
      <c r="M33" s="21">
        <v>8</v>
      </c>
      <c r="N33" s="21">
        <v>0</v>
      </c>
      <c r="O33" s="21">
        <v>84</v>
      </c>
      <c r="P33" s="21">
        <v>0</v>
      </c>
      <c r="Q33" s="21">
        <v>47</v>
      </c>
      <c r="R33" s="21">
        <v>0</v>
      </c>
      <c r="S33" s="39">
        <f t="shared" si="7"/>
        <v>291</v>
      </c>
      <c r="T33" s="38">
        <f t="shared" si="1"/>
        <v>19.555199999999999</v>
      </c>
      <c r="U33" s="21">
        <v>0</v>
      </c>
      <c r="V33" s="13">
        <f t="shared" si="4"/>
        <v>0</v>
      </c>
      <c r="W33" s="49">
        <f t="shared" si="5"/>
        <v>291</v>
      </c>
      <c r="X33" s="50">
        <f t="shared" si="6"/>
        <v>19.555199999999999</v>
      </c>
      <c r="Y33" s="238">
        <v>0</v>
      </c>
      <c r="Z33" s="101">
        <v>0</v>
      </c>
    </row>
    <row r="34" spans="1:26" x14ac:dyDescent="0.25">
      <c r="A34" s="264">
        <v>30</v>
      </c>
      <c r="B34" s="256" t="s">
        <v>158</v>
      </c>
      <c r="C34" s="34">
        <v>140</v>
      </c>
      <c r="D34" s="35">
        <v>240</v>
      </c>
      <c r="E34" s="35">
        <v>3</v>
      </c>
      <c r="F34" s="19">
        <f t="shared" si="2"/>
        <v>0.1008</v>
      </c>
      <c r="G34" s="23">
        <v>152</v>
      </c>
      <c r="H34" s="26">
        <f t="shared" si="3"/>
        <v>15.3216</v>
      </c>
      <c r="I34" s="21">
        <v>14</v>
      </c>
      <c r="J34" s="205">
        <f t="shared" si="0"/>
        <v>1.4112</v>
      </c>
      <c r="K34" s="21">
        <v>34</v>
      </c>
      <c r="L34" s="205">
        <f t="shared" si="0"/>
        <v>520.93439999999998</v>
      </c>
      <c r="M34" s="21">
        <v>18</v>
      </c>
      <c r="N34" s="21">
        <v>0</v>
      </c>
      <c r="O34" s="21">
        <v>40</v>
      </c>
      <c r="P34" s="21">
        <v>0</v>
      </c>
      <c r="Q34" s="21">
        <v>32</v>
      </c>
      <c r="R34" s="21">
        <v>0</v>
      </c>
      <c r="S34" s="39">
        <f t="shared" si="7"/>
        <v>14</v>
      </c>
      <c r="T34" s="38">
        <f t="shared" si="1"/>
        <v>1.4112</v>
      </c>
      <c r="U34" s="21">
        <v>0</v>
      </c>
      <c r="V34" s="13">
        <f t="shared" si="4"/>
        <v>0</v>
      </c>
      <c r="W34" s="49">
        <f t="shared" si="5"/>
        <v>14</v>
      </c>
      <c r="X34" s="50">
        <f t="shared" si="6"/>
        <v>1.4112</v>
      </c>
      <c r="Y34" s="238">
        <v>0</v>
      </c>
      <c r="Z34" s="101">
        <v>0</v>
      </c>
    </row>
    <row r="35" spans="1:26" x14ac:dyDescent="0.25">
      <c r="A35" s="264">
        <v>31</v>
      </c>
      <c r="B35" s="256" t="s">
        <v>159</v>
      </c>
      <c r="C35" s="34">
        <v>140</v>
      </c>
      <c r="D35" s="35">
        <v>240</v>
      </c>
      <c r="E35" s="35">
        <v>4</v>
      </c>
      <c r="F35" s="19">
        <f t="shared" si="2"/>
        <v>0.13439999999999999</v>
      </c>
      <c r="G35" s="23">
        <v>17</v>
      </c>
      <c r="H35" s="26">
        <f t="shared" si="3"/>
        <v>2.2847999999999997</v>
      </c>
      <c r="I35" s="21">
        <v>0</v>
      </c>
      <c r="J35" s="205">
        <f t="shared" si="0"/>
        <v>0</v>
      </c>
      <c r="K35" s="21">
        <v>0</v>
      </c>
      <c r="L35" s="205">
        <f t="shared" si="0"/>
        <v>0</v>
      </c>
      <c r="M35" s="21">
        <v>2</v>
      </c>
      <c r="N35" s="21">
        <v>0</v>
      </c>
      <c r="O35" s="21">
        <v>0</v>
      </c>
      <c r="P35" s="21">
        <v>0</v>
      </c>
      <c r="Q35" s="21">
        <v>7</v>
      </c>
      <c r="R35" s="21">
        <v>0</v>
      </c>
      <c r="S35" s="39">
        <f t="shared" si="7"/>
        <v>8</v>
      </c>
      <c r="T35" s="38">
        <f t="shared" si="1"/>
        <v>1.0751999999999999</v>
      </c>
      <c r="U35" s="21">
        <v>0</v>
      </c>
      <c r="V35" s="13">
        <f t="shared" si="4"/>
        <v>0</v>
      </c>
      <c r="W35" s="49">
        <f t="shared" si="5"/>
        <v>8</v>
      </c>
      <c r="X35" s="50">
        <f t="shared" si="6"/>
        <v>1.0751999999999999</v>
      </c>
      <c r="Y35" s="238">
        <v>0</v>
      </c>
      <c r="Z35" s="101">
        <v>0</v>
      </c>
    </row>
    <row r="36" spans="1:26" x14ac:dyDescent="0.25">
      <c r="A36" s="264">
        <v>32</v>
      </c>
      <c r="B36" s="256" t="s">
        <v>160</v>
      </c>
      <c r="C36" s="34">
        <v>140</v>
      </c>
      <c r="D36" s="35">
        <v>240</v>
      </c>
      <c r="E36" s="35">
        <v>2</v>
      </c>
      <c r="F36" s="19">
        <f t="shared" si="2"/>
        <v>6.7199999999999996E-2</v>
      </c>
      <c r="G36" s="23">
        <v>76</v>
      </c>
      <c r="H36" s="26">
        <f t="shared" si="3"/>
        <v>5.1071999999999997</v>
      </c>
      <c r="I36" s="21">
        <v>76</v>
      </c>
      <c r="J36" s="205">
        <f t="shared" si="0"/>
        <v>5.1071999999999997</v>
      </c>
      <c r="K36" s="21">
        <v>45</v>
      </c>
      <c r="L36" s="205">
        <v>0</v>
      </c>
      <c r="M36" s="21">
        <v>60</v>
      </c>
      <c r="N36" s="21">
        <v>0</v>
      </c>
      <c r="O36" s="21">
        <v>25</v>
      </c>
      <c r="P36" s="21">
        <v>0</v>
      </c>
      <c r="Q36" s="21">
        <v>141</v>
      </c>
      <c r="R36" s="21">
        <v>0</v>
      </c>
      <c r="S36" s="39">
        <f t="shared" si="7"/>
        <v>-271</v>
      </c>
      <c r="T36" s="38">
        <f t="shared" si="1"/>
        <v>-18.211199999999998</v>
      </c>
      <c r="U36" s="21">
        <v>1086</v>
      </c>
      <c r="V36" s="13">
        <v>0</v>
      </c>
      <c r="W36" s="49">
        <f t="shared" si="5"/>
        <v>815</v>
      </c>
      <c r="X36" s="50">
        <f t="shared" si="6"/>
        <v>54.767999999999994</v>
      </c>
      <c r="Y36" s="238">
        <v>0</v>
      </c>
      <c r="Z36" s="101">
        <v>0</v>
      </c>
    </row>
    <row r="37" spans="1:26" x14ac:dyDescent="0.25">
      <c r="A37" s="264">
        <v>33</v>
      </c>
      <c r="B37" s="256" t="s">
        <v>161</v>
      </c>
      <c r="C37" s="34">
        <v>140</v>
      </c>
      <c r="D37" s="35">
        <v>240</v>
      </c>
      <c r="E37" s="35">
        <v>6</v>
      </c>
      <c r="F37" s="19">
        <f t="shared" si="2"/>
        <v>0.2016</v>
      </c>
      <c r="G37" s="23">
        <v>34</v>
      </c>
      <c r="H37" s="26">
        <f t="shared" si="3"/>
        <v>6.8544</v>
      </c>
      <c r="I37" s="21">
        <v>0</v>
      </c>
      <c r="J37" s="205">
        <f t="shared" si="0"/>
        <v>0</v>
      </c>
      <c r="K37" s="21">
        <v>0</v>
      </c>
      <c r="L37" s="205">
        <f t="shared" si="0"/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39">
        <f t="shared" si="7"/>
        <v>34</v>
      </c>
      <c r="T37" s="38">
        <f t="shared" si="1"/>
        <v>6.8544</v>
      </c>
      <c r="U37" s="21">
        <v>0</v>
      </c>
      <c r="V37" s="13">
        <f t="shared" si="4"/>
        <v>0</v>
      </c>
      <c r="W37" s="49">
        <f t="shared" si="5"/>
        <v>34</v>
      </c>
      <c r="X37" s="50">
        <f t="shared" si="6"/>
        <v>6.8544</v>
      </c>
      <c r="Y37" s="238">
        <v>0</v>
      </c>
      <c r="Z37" s="101">
        <v>0</v>
      </c>
    </row>
    <row r="38" spans="1:26" x14ac:dyDescent="0.25">
      <c r="A38" s="264">
        <v>34</v>
      </c>
      <c r="B38" s="256" t="s">
        <v>162</v>
      </c>
      <c r="C38" s="34">
        <v>84</v>
      </c>
      <c r="D38" s="35">
        <v>55</v>
      </c>
      <c r="E38" s="35">
        <v>3</v>
      </c>
      <c r="F38" s="19">
        <f t="shared" si="2"/>
        <v>1.3860000000000001E-2</v>
      </c>
      <c r="G38" s="23">
        <v>0</v>
      </c>
      <c r="H38" s="26">
        <f t="shared" si="3"/>
        <v>0</v>
      </c>
      <c r="I38" s="21">
        <v>0</v>
      </c>
      <c r="J38" s="205">
        <f t="shared" si="0"/>
        <v>0</v>
      </c>
      <c r="K38" s="21">
        <v>0</v>
      </c>
      <c r="L38" s="205">
        <f t="shared" si="0"/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39">
        <f t="shared" si="7"/>
        <v>0</v>
      </c>
      <c r="T38" s="38">
        <f t="shared" si="1"/>
        <v>0</v>
      </c>
      <c r="U38" s="21">
        <v>0</v>
      </c>
      <c r="V38" s="13">
        <f t="shared" si="4"/>
        <v>0</v>
      </c>
      <c r="W38" s="49">
        <f t="shared" si="5"/>
        <v>0</v>
      </c>
      <c r="X38" s="50">
        <f t="shared" si="6"/>
        <v>0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163</v>
      </c>
      <c r="C39" s="34">
        <v>90</v>
      </c>
      <c r="D39" s="35">
        <v>90</v>
      </c>
      <c r="E39" s="35">
        <v>3</v>
      </c>
      <c r="F39" s="19">
        <f t="shared" si="2"/>
        <v>2.4299999999999999E-2</v>
      </c>
      <c r="G39" s="23">
        <v>27</v>
      </c>
      <c r="H39" s="26">
        <f t="shared" si="3"/>
        <v>0.65610000000000002</v>
      </c>
      <c r="I39" s="21">
        <v>0</v>
      </c>
      <c r="J39" s="205">
        <f t="shared" si="0"/>
        <v>0</v>
      </c>
      <c r="K39" s="21">
        <v>0</v>
      </c>
      <c r="L39" s="205">
        <f t="shared" si="0"/>
        <v>0</v>
      </c>
      <c r="M39" s="21">
        <v>0</v>
      </c>
      <c r="N39" s="21">
        <v>0</v>
      </c>
      <c r="O39" s="21">
        <v>0</v>
      </c>
      <c r="P39" s="21">
        <v>0</v>
      </c>
      <c r="Q39" s="21">
        <v>10</v>
      </c>
      <c r="R39" s="21">
        <v>0</v>
      </c>
      <c r="S39" s="39">
        <f t="shared" si="7"/>
        <v>17</v>
      </c>
      <c r="T39" s="38">
        <f t="shared" si="1"/>
        <v>0.41309999999999997</v>
      </c>
      <c r="U39" s="21">
        <v>0</v>
      </c>
      <c r="V39" s="13">
        <f t="shared" si="4"/>
        <v>0</v>
      </c>
      <c r="W39" s="49">
        <f t="shared" si="5"/>
        <v>17</v>
      </c>
      <c r="X39" s="50">
        <f t="shared" si="6"/>
        <v>0.41309999999999997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164</v>
      </c>
      <c r="C40" s="34">
        <v>140</v>
      </c>
      <c r="D40" s="35">
        <v>240</v>
      </c>
      <c r="E40" s="35">
        <v>10</v>
      </c>
      <c r="F40" s="19">
        <f t="shared" si="2"/>
        <v>0.33600000000000002</v>
      </c>
      <c r="G40" s="23">
        <v>19</v>
      </c>
      <c r="H40" s="26">
        <f t="shared" si="3"/>
        <v>6.3840000000000003</v>
      </c>
      <c r="I40" s="21">
        <v>0</v>
      </c>
      <c r="J40" s="205">
        <f t="shared" si="0"/>
        <v>0</v>
      </c>
      <c r="K40" s="21">
        <v>0</v>
      </c>
      <c r="L40" s="205">
        <f t="shared" si="0"/>
        <v>0</v>
      </c>
      <c r="M40" s="21">
        <v>0</v>
      </c>
      <c r="N40" s="21">
        <v>0</v>
      </c>
      <c r="O40" s="21">
        <v>9</v>
      </c>
      <c r="P40" s="21">
        <v>0</v>
      </c>
      <c r="Q40" s="21">
        <v>2</v>
      </c>
      <c r="R40" s="21">
        <v>0</v>
      </c>
      <c r="S40" s="39">
        <f t="shared" si="7"/>
        <v>8</v>
      </c>
      <c r="T40" s="38">
        <f t="shared" si="1"/>
        <v>2.6880000000000002</v>
      </c>
      <c r="U40" s="21">
        <v>0</v>
      </c>
      <c r="V40" s="13">
        <f t="shared" si="4"/>
        <v>0</v>
      </c>
      <c r="W40" s="49">
        <f t="shared" si="5"/>
        <v>8</v>
      </c>
      <c r="X40" s="50">
        <f t="shared" si="6"/>
        <v>2.6880000000000002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165</v>
      </c>
      <c r="C41" s="34">
        <v>140</v>
      </c>
      <c r="D41" s="35">
        <v>240</v>
      </c>
      <c r="E41" s="35">
        <v>10</v>
      </c>
      <c r="F41" s="19">
        <f t="shared" si="2"/>
        <v>0.33600000000000002</v>
      </c>
      <c r="G41" s="23">
        <v>71</v>
      </c>
      <c r="H41" s="26">
        <f t="shared" si="3"/>
        <v>23.856000000000002</v>
      </c>
      <c r="I41" s="21">
        <v>1</v>
      </c>
      <c r="J41" s="205">
        <f t="shared" si="0"/>
        <v>0.33600000000000002</v>
      </c>
      <c r="K41" s="21">
        <v>18</v>
      </c>
      <c r="L41" s="205">
        <v>0</v>
      </c>
      <c r="M41" s="21">
        <v>0</v>
      </c>
      <c r="N41" s="21">
        <v>0</v>
      </c>
      <c r="O41" s="21">
        <v>25</v>
      </c>
      <c r="P41" s="21">
        <v>0</v>
      </c>
      <c r="Q41" s="21">
        <v>2</v>
      </c>
      <c r="R41" s="21">
        <v>0</v>
      </c>
      <c r="S41" s="39">
        <f t="shared" si="7"/>
        <v>25</v>
      </c>
      <c r="T41" s="38">
        <f t="shared" si="1"/>
        <v>8.4</v>
      </c>
      <c r="U41" s="21">
        <v>0</v>
      </c>
      <c r="V41" s="13">
        <f t="shared" si="4"/>
        <v>0</v>
      </c>
      <c r="W41" s="49">
        <f t="shared" si="5"/>
        <v>25</v>
      </c>
      <c r="X41" s="50">
        <f t="shared" si="6"/>
        <v>8.4</v>
      </c>
      <c r="Y41" s="238">
        <v>0</v>
      </c>
      <c r="Z41" s="101">
        <v>0</v>
      </c>
    </row>
    <row r="42" spans="1:26" x14ac:dyDescent="0.25">
      <c r="A42" s="264">
        <v>38</v>
      </c>
      <c r="B42" s="256" t="s">
        <v>166</v>
      </c>
      <c r="C42" s="34">
        <v>92</v>
      </c>
      <c r="D42" s="35">
        <v>82</v>
      </c>
      <c r="E42" s="35">
        <v>2</v>
      </c>
      <c r="F42" s="19">
        <f t="shared" si="2"/>
        <v>1.5088000000000001E-2</v>
      </c>
      <c r="G42" s="23">
        <v>120</v>
      </c>
      <c r="H42" s="26">
        <f t="shared" si="3"/>
        <v>1.8105600000000002</v>
      </c>
      <c r="I42" s="21">
        <v>58</v>
      </c>
      <c r="J42" s="205">
        <f t="shared" si="0"/>
        <v>0.87510399999999999</v>
      </c>
      <c r="K42" s="21">
        <v>34</v>
      </c>
      <c r="L42" s="205">
        <f t="shared" si="0"/>
        <v>61.559040000000003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39">
        <f t="shared" si="7"/>
        <v>28</v>
      </c>
      <c r="T42" s="38">
        <f t="shared" si="1"/>
        <v>0.42246400000000001</v>
      </c>
      <c r="U42" s="21">
        <v>0</v>
      </c>
      <c r="V42" s="13">
        <f t="shared" si="4"/>
        <v>0</v>
      </c>
      <c r="W42" s="49">
        <f t="shared" si="5"/>
        <v>28</v>
      </c>
      <c r="X42" s="50">
        <f t="shared" si="6"/>
        <v>0.42246400000000001</v>
      </c>
      <c r="Y42" s="238">
        <v>0</v>
      </c>
      <c r="Z42" s="101">
        <v>0</v>
      </c>
    </row>
    <row r="43" spans="1:26" x14ac:dyDescent="0.25">
      <c r="A43" s="264">
        <v>39</v>
      </c>
      <c r="B43" s="256" t="s">
        <v>167</v>
      </c>
      <c r="C43" s="34">
        <v>75</v>
      </c>
      <c r="D43" s="35">
        <v>55</v>
      </c>
      <c r="E43" s="35">
        <v>3</v>
      </c>
      <c r="F43" s="19">
        <f t="shared" si="2"/>
        <v>1.2375000000000001E-2</v>
      </c>
      <c r="G43" s="23">
        <v>59</v>
      </c>
      <c r="H43" s="26">
        <f t="shared" si="3"/>
        <v>0.73012500000000002</v>
      </c>
      <c r="I43" s="21">
        <v>0</v>
      </c>
      <c r="J43" s="205">
        <f t="shared" si="0"/>
        <v>0</v>
      </c>
      <c r="K43" s="21">
        <v>0</v>
      </c>
      <c r="L43" s="205">
        <f t="shared" si="0"/>
        <v>0</v>
      </c>
      <c r="M43" s="21">
        <v>0</v>
      </c>
      <c r="N43" s="21">
        <v>0</v>
      </c>
      <c r="O43" s="21">
        <v>0</v>
      </c>
      <c r="P43" s="21">
        <v>0</v>
      </c>
      <c r="Q43" s="21">
        <v>7</v>
      </c>
      <c r="R43" s="21">
        <v>0</v>
      </c>
      <c r="S43" s="39">
        <f t="shared" si="7"/>
        <v>52</v>
      </c>
      <c r="T43" s="38">
        <f t="shared" si="1"/>
        <v>0.64350000000000007</v>
      </c>
      <c r="U43" s="21">
        <v>0</v>
      </c>
      <c r="V43" s="13">
        <f t="shared" si="4"/>
        <v>0</v>
      </c>
      <c r="W43" s="49">
        <f t="shared" si="5"/>
        <v>52</v>
      </c>
      <c r="X43" s="50">
        <f t="shared" si="6"/>
        <v>0.64350000000000007</v>
      </c>
      <c r="Y43" s="238">
        <v>50</v>
      </c>
      <c r="Z43" s="101">
        <v>200</v>
      </c>
    </row>
    <row r="44" spans="1:26" x14ac:dyDescent="0.25">
      <c r="A44" s="264">
        <v>40</v>
      </c>
      <c r="B44" s="256" t="s">
        <v>168</v>
      </c>
      <c r="C44" s="34">
        <v>140</v>
      </c>
      <c r="D44" s="35">
        <v>240</v>
      </c>
      <c r="E44" s="35">
        <v>3</v>
      </c>
      <c r="F44" s="19">
        <f t="shared" si="2"/>
        <v>0.1008</v>
      </c>
      <c r="G44" s="23">
        <v>0</v>
      </c>
      <c r="H44" s="26">
        <f t="shared" si="3"/>
        <v>0</v>
      </c>
      <c r="I44" s="21">
        <v>0</v>
      </c>
      <c r="J44" s="205">
        <f t="shared" si="0"/>
        <v>0</v>
      </c>
      <c r="K44" s="21">
        <v>0</v>
      </c>
      <c r="L44" s="205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39">
        <f t="shared" si="7"/>
        <v>0</v>
      </c>
      <c r="T44" s="38">
        <f t="shared" si="1"/>
        <v>0</v>
      </c>
      <c r="U44" s="21">
        <v>0</v>
      </c>
      <c r="V44" s="13">
        <f t="shared" si="4"/>
        <v>0</v>
      </c>
      <c r="W44" s="49">
        <f t="shared" si="5"/>
        <v>0</v>
      </c>
      <c r="X44" s="50">
        <f t="shared" si="6"/>
        <v>0</v>
      </c>
      <c r="Y44" s="238">
        <v>50</v>
      </c>
      <c r="Z44" s="101">
        <v>200</v>
      </c>
    </row>
    <row r="45" spans="1:26" x14ac:dyDescent="0.25">
      <c r="A45" s="264">
        <v>41</v>
      </c>
      <c r="B45" s="256" t="s">
        <v>169</v>
      </c>
      <c r="C45" s="34">
        <v>0</v>
      </c>
      <c r="D45" s="34">
        <v>0</v>
      </c>
      <c r="E45" s="34">
        <v>0</v>
      </c>
      <c r="F45" s="34">
        <v>0</v>
      </c>
      <c r="G45" s="34">
        <v>0</v>
      </c>
      <c r="H45" s="26">
        <f t="shared" si="3"/>
        <v>0</v>
      </c>
      <c r="I45" s="21">
        <v>0</v>
      </c>
      <c r="J45" s="205">
        <f t="shared" si="0"/>
        <v>0</v>
      </c>
      <c r="K45" s="21">
        <v>0</v>
      </c>
      <c r="L45" s="205">
        <f t="shared" si="0"/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39">
        <f t="shared" si="7"/>
        <v>0</v>
      </c>
      <c r="T45" s="38">
        <f t="shared" si="1"/>
        <v>0</v>
      </c>
      <c r="U45" s="21">
        <v>0</v>
      </c>
      <c r="V45" s="13">
        <f t="shared" si="4"/>
        <v>0</v>
      </c>
      <c r="W45" s="49">
        <f t="shared" si="5"/>
        <v>0</v>
      </c>
      <c r="X45" s="50">
        <f t="shared" si="6"/>
        <v>0</v>
      </c>
      <c r="Y45" s="238">
        <v>50</v>
      </c>
      <c r="Z45" s="101">
        <v>200</v>
      </c>
    </row>
    <row r="46" spans="1:26" x14ac:dyDescent="0.25">
      <c r="A46" s="264">
        <v>42</v>
      </c>
      <c r="B46" s="256" t="s">
        <v>170</v>
      </c>
      <c r="C46" s="34">
        <v>0</v>
      </c>
      <c r="D46" s="34">
        <v>0</v>
      </c>
      <c r="E46" s="34">
        <v>0</v>
      </c>
      <c r="F46" s="34">
        <v>0</v>
      </c>
      <c r="G46" s="34">
        <v>0</v>
      </c>
      <c r="H46" s="26">
        <f t="shared" si="3"/>
        <v>0</v>
      </c>
      <c r="I46" s="21">
        <v>0</v>
      </c>
      <c r="J46" s="205">
        <f t="shared" si="0"/>
        <v>0</v>
      </c>
      <c r="K46" s="21">
        <v>0</v>
      </c>
      <c r="L46" s="205">
        <f t="shared" si="0"/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39">
        <f t="shared" si="7"/>
        <v>0</v>
      </c>
      <c r="T46" s="38">
        <f t="shared" si="1"/>
        <v>0</v>
      </c>
      <c r="U46" s="21">
        <v>0</v>
      </c>
      <c r="V46" s="13">
        <f t="shared" si="4"/>
        <v>0</v>
      </c>
      <c r="W46" s="49">
        <f t="shared" si="5"/>
        <v>0</v>
      </c>
      <c r="X46" s="50">
        <f t="shared" si="6"/>
        <v>0</v>
      </c>
      <c r="Y46" s="238">
        <v>50</v>
      </c>
      <c r="Z46" s="101">
        <v>100</v>
      </c>
    </row>
    <row r="47" spans="1:26" x14ac:dyDescent="0.25">
      <c r="A47" s="264">
        <v>43</v>
      </c>
      <c r="B47" s="256" t="s">
        <v>171</v>
      </c>
      <c r="C47" s="34">
        <v>0</v>
      </c>
      <c r="D47" s="34">
        <v>0</v>
      </c>
      <c r="E47" s="34">
        <v>0</v>
      </c>
      <c r="F47" s="34">
        <v>0</v>
      </c>
      <c r="G47" s="34">
        <v>39</v>
      </c>
      <c r="H47" s="26">
        <f t="shared" si="3"/>
        <v>0</v>
      </c>
      <c r="I47" s="21">
        <v>0</v>
      </c>
      <c r="J47" s="205">
        <f t="shared" si="0"/>
        <v>0</v>
      </c>
      <c r="K47" s="21">
        <v>0</v>
      </c>
      <c r="L47" s="205">
        <f t="shared" si="0"/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39">
        <f t="shared" si="7"/>
        <v>39</v>
      </c>
      <c r="T47" s="38">
        <f t="shared" si="1"/>
        <v>0</v>
      </c>
      <c r="U47" s="21">
        <v>0</v>
      </c>
      <c r="V47" s="13">
        <f t="shared" si="4"/>
        <v>0</v>
      </c>
      <c r="W47" s="49">
        <f t="shared" si="5"/>
        <v>39</v>
      </c>
      <c r="X47" s="50">
        <f t="shared" si="6"/>
        <v>0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173</v>
      </c>
      <c r="C48" s="34">
        <v>0</v>
      </c>
      <c r="D48" s="34">
        <v>0</v>
      </c>
      <c r="E48" s="34">
        <v>0</v>
      </c>
      <c r="F48" s="34">
        <v>0</v>
      </c>
      <c r="G48" s="34">
        <v>0</v>
      </c>
      <c r="H48" s="26">
        <f t="shared" si="3"/>
        <v>0</v>
      </c>
      <c r="I48" s="21">
        <v>0</v>
      </c>
      <c r="J48" s="205">
        <f t="shared" si="0"/>
        <v>0</v>
      </c>
      <c r="K48" s="21">
        <v>0</v>
      </c>
      <c r="L48" s="205">
        <f t="shared" si="0"/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39">
        <f t="shared" si="7"/>
        <v>0</v>
      </c>
      <c r="T48" s="38">
        <f t="shared" si="1"/>
        <v>0</v>
      </c>
      <c r="U48" s="21">
        <v>0</v>
      </c>
      <c r="V48" s="13">
        <f t="shared" si="4"/>
        <v>0</v>
      </c>
      <c r="W48" s="49">
        <f t="shared" si="5"/>
        <v>0</v>
      </c>
      <c r="X48" s="50">
        <f t="shared" si="6"/>
        <v>0</v>
      </c>
      <c r="Y48" s="238">
        <v>50</v>
      </c>
      <c r="Z48" s="101">
        <v>200</v>
      </c>
    </row>
    <row r="49" spans="1:26" x14ac:dyDescent="0.25">
      <c r="A49" s="264">
        <v>45</v>
      </c>
      <c r="B49" s="256" t="s">
        <v>87</v>
      </c>
      <c r="C49" s="34">
        <v>0</v>
      </c>
      <c r="D49" s="34">
        <v>0</v>
      </c>
      <c r="E49" s="34">
        <v>0</v>
      </c>
      <c r="F49" s="34">
        <v>0</v>
      </c>
      <c r="G49" s="34">
        <v>0</v>
      </c>
      <c r="H49" s="26">
        <f t="shared" si="3"/>
        <v>0</v>
      </c>
      <c r="I49" s="21">
        <v>0</v>
      </c>
      <c r="J49" s="205">
        <f t="shared" si="0"/>
        <v>0</v>
      </c>
      <c r="K49" s="21">
        <v>0</v>
      </c>
      <c r="L49" s="205">
        <f t="shared" si="0"/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39">
        <f t="shared" si="7"/>
        <v>0</v>
      </c>
      <c r="T49" s="38">
        <f t="shared" si="1"/>
        <v>0</v>
      </c>
      <c r="U49" s="21">
        <v>0</v>
      </c>
      <c r="V49" s="13">
        <f t="shared" si="4"/>
        <v>0</v>
      </c>
      <c r="W49" s="49">
        <f t="shared" si="5"/>
        <v>0</v>
      </c>
      <c r="X49" s="50">
        <f t="shared" si="6"/>
        <v>0</v>
      </c>
      <c r="Y49" s="238">
        <v>100</v>
      </c>
      <c r="Z49" s="101">
        <v>300</v>
      </c>
    </row>
    <row r="50" spans="1:26" x14ac:dyDescent="0.25">
      <c r="A50" s="264">
        <v>46</v>
      </c>
      <c r="B50" s="256" t="s">
        <v>87</v>
      </c>
      <c r="C50" s="34">
        <v>0</v>
      </c>
      <c r="D50" s="34">
        <v>0</v>
      </c>
      <c r="E50" s="34">
        <v>0</v>
      </c>
      <c r="F50" s="34">
        <v>0</v>
      </c>
      <c r="G50" s="34">
        <v>0</v>
      </c>
      <c r="H50" s="26">
        <f t="shared" si="3"/>
        <v>0</v>
      </c>
      <c r="I50" s="21">
        <v>0</v>
      </c>
      <c r="J50" s="205">
        <f t="shared" si="0"/>
        <v>0</v>
      </c>
      <c r="K50" s="21">
        <v>0</v>
      </c>
      <c r="L50" s="205">
        <f t="shared" si="0"/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39">
        <f t="shared" si="7"/>
        <v>0</v>
      </c>
      <c r="T50" s="38">
        <f t="shared" si="1"/>
        <v>0</v>
      </c>
      <c r="U50" s="21">
        <v>0</v>
      </c>
      <c r="V50" s="13">
        <f t="shared" si="4"/>
        <v>0</v>
      </c>
      <c r="W50" s="49">
        <f t="shared" si="5"/>
        <v>0</v>
      </c>
      <c r="X50" s="50">
        <f t="shared" si="6"/>
        <v>0</v>
      </c>
      <c r="Y50" s="238">
        <v>30</v>
      </c>
      <c r="Z50" s="101">
        <v>100</v>
      </c>
    </row>
    <row r="51" spans="1:26" x14ac:dyDescent="0.25">
      <c r="A51" s="264">
        <v>47</v>
      </c>
      <c r="B51" s="256" t="s">
        <v>87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26">
        <f t="shared" si="3"/>
        <v>0</v>
      </c>
      <c r="I51" s="21">
        <v>0</v>
      </c>
      <c r="J51" s="205">
        <f t="shared" si="0"/>
        <v>0</v>
      </c>
      <c r="K51" s="21">
        <v>0</v>
      </c>
      <c r="L51" s="205">
        <f t="shared" si="0"/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39">
        <f t="shared" si="7"/>
        <v>0</v>
      </c>
      <c r="T51" s="38">
        <f t="shared" si="1"/>
        <v>0</v>
      </c>
      <c r="U51" s="21">
        <v>0</v>
      </c>
      <c r="V51" s="13">
        <f t="shared" si="4"/>
        <v>0</v>
      </c>
      <c r="W51" s="49">
        <f t="shared" si="5"/>
        <v>0</v>
      </c>
      <c r="X51" s="50">
        <f t="shared" si="6"/>
        <v>0</v>
      </c>
      <c r="Y51" s="238">
        <v>30</v>
      </c>
      <c r="Z51" s="101">
        <v>100</v>
      </c>
    </row>
    <row r="52" spans="1:26" x14ac:dyDescent="0.25">
      <c r="A52" s="264">
        <v>48</v>
      </c>
      <c r="B52" s="256" t="s">
        <v>87</v>
      </c>
      <c r="C52" s="34">
        <v>0</v>
      </c>
      <c r="D52" s="34">
        <v>0</v>
      </c>
      <c r="E52" s="34">
        <v>0</v>
      </c>
      <c r="F52" s="34">
        <v>0</v>
      </c>
      <c r="G52" s="34">
        <v>0</v>
      </c>
      <c r="H52" s="26">
        <f t="shared" si="3"/>
        <v>0</v>
      </c>
      <c r="I52" s="21">
        <v>0</v>
      </c>
      <c r="J52" s="205">
        <f t="shared" si="0"/>
        <v>0</v>
      </c>
      <c r="K52" s="21">
        <v>0</v>
      </c>
      <c r="L52" s="205">
        <f t="shared" si="0"/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39">
        <f t="shared" si="7"/>
        <v>0</v>
      </c>
      <c r="T52" s="38">
        <f t="shared" si="1"/>
        <v>0</v>
      </c>
      <c r="U52" s="21">
        <v>0</v>
      </c>
      <c r="V52" s="13">
        <f t="shared" si="4"/>
        <v>0</v>
      </c>
      <c r="W52" s="49">
        <f t="shared" si="5"/>
        <v>0</v>
      </c>
      <c r="X52" s="50">
        <f t="shared" si="6"/>
        <v>0</v>
      </c>
      <c r="Y52" s="238">
        <v>30</v>
      </c>
      <c r="Z52" s="101">
        <v>100</v>
      </c>
    </row>
    <row r="53" spans="1:26" x14ac:dyDescent="0.25">
      <c r="A53" s="264">
        <v>49</v>
      </c>
      <c r="B53" s="256" t="s">
        <v>87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26">
        <f t="shared" si="3"/>
        <v>0</v>
      </c>
      <c r="I53" s="21">
        <v>0</v>
      </c>
      <c r="J53" s="205">
        <f t="shared" si="0"/>
        <v>0</v>
      </c>
      <c r="K53" s="21">
        <v>0</v>
      </c>
      <c r="L53" s="205">
        <f t="shared" si="0"/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39">
        <f t="shared" si="7"/>
        <v>0</v>
      </c>
      <c r="T53" s="38">
        <f t="shared" si="1"/>
        <v>0</v>
      </c>
      <c r="U53" s="21">
        <v>0</v>
      </c>
      <c r="V53" s="13">
        <f t="shared" si="4"/>
        <v>0</v>
      </c>
      <c r="W53" s="49">
        <f t="shared" si="5"/>
        <v>0</v>
      </c>
      <c r="X53" s="50">
        <f t="shared" si="6"/>
        <v>0</v>
      </c>
      <c r="Y53" s="238">
        <v>200</v>
      </c>
      <c r="Z53" s="101">
        <v>500</v>
      </c>
    </row>
    <row r="54" spans="1:26" x14ac:dyDescent="0.25">
      <c r="A54" s="264">
        <v>50</v>
      </c>
      <c r="B54" s="256" t="s">
        <v>87</v>
      </c>
      <c r="C54" s="34">
        <v>0</v>
      </c>
      <c r="D54" s="34">
        <v>0</v>
      </c>
      <c r="E54" s="34">
        <v>0</v>
      </c>
      <c r="F54" s="34">
        <v>0</v>
      </c>
      <c r="G54" s="34">
        <v>0</v>
      </c>
      <c r="H54" s="26">
        <f t="shared" si="3"/>
        <v>0</v>
      </c>
      <c r="I54" s="21">
        <v>0</v>
      </c>
      <c r="J54" s="205">
        <f t="shared" si="0"/>
        <v>0</v>
      </c>
      <c r="K54" s="21">
        <v>0</v>
      </c>
      <c r="L54" s="205">
        <f t="shared" si="0"/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39">
        <f t="shared" si="7"/>
        <v>0</v>
      </c>
      <c r="T54" s="38">
        <f t="shared" si="1"/>
        <v>0</v>
      </c>
      <c r="U54" s="21">
        <v>0</v>
      </c>
      <c r="V54" s="13">
        <f t="shared" si="4"/>
        <v>0</v>
      </c>
      <c r="W54" s="49">
        <f t="shared" si="5"/>
        <v>0</v>
      </c>
      <c r="X54" s="50">
        <f t="shared" si="6"/>
        <v>0</v>
      </c>
      <c r="Y54" s="238">
        <v>100</v>
      </c>
      <c r="Z54" s="101">
        <v>300</v>
      </c>
    </row>
    <row r="55" spans="1:26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6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6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6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6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6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6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6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6" x14ac:dyDescent="0.2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6" x14ac:dyDescent="0.2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</sheetData>
  <mergeCells count="24">
    <mergeCell ref="C1:H1"/>
    <mergeCell ref="G2:H3"/>
    <mergeCell ref="I2:J2"/>
    <mergeCell ref="K2:L2"/>
    <mergeCell ref="M2:N2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S4:T4"/>
    <mergeCell ref="U4:V4"/>
    <mergeCell ref="W4:X4"/>
    <mergeCell ref="G4:H4"/>
    <mergeCell ref="I4:J4"/>
    <mergeCell ref="K4:L4"/>
    <mergeCell ref="M4:N4"/>
    <mergeCell ref="O4:P4"/>
    <mergeCell ref="Q4:R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78"/>
  <sheetViews>
    <sheetView workbookViewId="0">
      <selection activeCell="J29" sqref="J29"/>
    </sheetView>
  </sheetViews>
  <sheetFormatPr defaultRowHeight="15" x14ac:dyDescent="0.25"/>
  <cols>
    <col min="1" max="1" width="6.42578125" customWidth="1"/>
    <col min="2" max="2" width="30.140625" style="3" customWidth="1"/>
    <col min="3" max="3" width="0.140625" style="2" hidden="1" customWidth="1"/>
    <col min="4" max="4" width="13.85546875" style="2" hidden="1" customWidth="1"/>
    <col min="5" max="5" width="12" style="2" hidden="1" customWidth="1"/>
    <col min="6" max="6" width="13.5703125" style="4" hidden="1" customWidth="1"/>
    <col min="7" max="7" width="8.7109375" style="5" customWidth="1"/>
    <col min="8" max="8" width="9" style="5" customWidth="1"/>
    <col min="9" max="18" width="8.140625" style="2" customWidth="1"/>
    <col min="19" max="19" width="0.140625" style="2" customWidth="1"/>
    <col min="20" max="20" width="8.140625" style="2" hidden="1" customWidth="1"/>
    <col min="21" max="21" width="9.42578125" customWidth="1"/>
    <col min="22" max="22" width="11.7109375" customWidth="1"/>
    <col min="25" max="25" width="10.28515625" customWidth="1"/>
  </cols>
  <sheetData>
    <row r="1" spans="1:26" ht="15.75" thickBot="1" x14ac:dyDescent="0.3">
      <c r="B1" s="4" t="s">
        <v>18</v>
      </c>
      <c r="C1" s="384">
        <v>45170</v>
      </c>
      <c r="D1" s="320"/>
      <c r="E1" s="320"/>
      <c r="F1" s="320"/>
      <c r="G1" s="320"/>
      <c r="H1" s="320"/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45174</v>
      </c>
      <c r="J2" s="326"/>
      <c r="K2" s="327">
        <v>45180</v>
      </c>
      <c r="L2" s="328"/>
      <c r="M2" s="325">
        <v>45189</v>
      </c>
      <c r="N2" s="329"/>
      <c r="O2" s="327">
        <v>45194</v>
      </c>
      <c r="P2" s="346"/>
      <c r="Q2" s="325">
        <v>45199</v>
      </c>
      <c r="R2" s="329"/>
      <c r="S2" s="330" t="s">
        <v>69</v>
      </c>
      <c r="T2" s="331"/>
      <c r="U2" s="334" t="s">
        <v>70</v>
      </c>
      <c r="V2" s="335"/>
      <c r="W2" s="338" t="s">
        <v>71</v>
      </c>
      <c r="X2" s="339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40"/>
      <c r="X3" s="341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51" t="s">
        <v>63</v>
      </c>
      <c r="X4" s="352"/>
      <c r="Y4" s="268" t="s">
        <v>99</v>
      </c>
      <c r="Z4" s="269" t="s">
        <v>100</v>
      </c>
    </row>
    <row r="5" spans="1:26" x14ac:dyDescent="0.25">
      <c r="A5" s="263">
        <v>1</v>
      </c>
      <c r="B5" s="256" t="s">
        <v>134</v>
      </c>
      <c r="C5" s="32">
        <v>70</v>
      </c>
      <c r="D5" s="33">
        <v>64</v>
      </c>
      <c r="E5" s="33">
        <v>8</v>
      </c>
      <c r="F5" s="15">
        <f>(C5*D5*E5)/1000000</f>
        <v>3.5839999999999997E-2</v>
      </c>
      <c r="G5" s="23">
        <v>591</v>
      </c>
      <c r="H5" s="24">
        <f>F5*G5</f>
        <v>21.181439999999998</v>
      </c>
      <c r="I5" s="21">
        <v>0</v>
      </c>
      <c r="J5" s="205">
        <f t="shared" ref="J5:N54" si="0">F5*I5</f>
        <v>0</v>
      </c>
      <c r="K5" s="21">
        <v>0</v>
      </c>
      <c r="L5" s="205">
        <f t="shared" si="0"/>
        <v>0</v>
      </c>
      <c r="M5" s="21">
        <v>0</v>
      </c>
      <c r="N5" s="21">
        <v>0</v>
      </c>
      <c r="O5" s="21">
        <v>0</v>
      </c>
      <c r="P5" s="21">
        <v>0</v>
      </c>
      <c r="Q5" s="21">
        <v>14</v>
      </c>
      <c r="R5" s="21">
        <v>0</v>
      </c>
      <c r="S5" s="39">
        <f>G5-I5-K5-M5-O5-Q5</f>
        <v>577</v>
      </c>
      <c r="T5" s="38">
        <f t="shared" ref="T5:T54" si="1">F5*S5</f>
        <v>20.679679999999998</v>
      </c>
      <c r="U5" s="21">
        <v>0</v>
      </c>
      <c r="V5" s="13">
        <f>F5*U5</f>
        <v>0</v>
      </c>
      <c r="W5" s="49">
        <f>S5+U5</f>
        <v>577</v>
      </c>
      <c r="X5" s="50">
        <f>F5*W5</f>
        <v>20.679679999999998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135</v>
      </c>
      <c r="C6" s="34">
        <v>70</v>
      </c>
      <c r="D6" s="35">
        <v>80</v>
      </c>
      <c r="E6" s="35">
        <v>8</v>
      </c>
      <c r="F6" s="19">
        <f t="shared" ref="F6:F44" si="2">(C6*D6*E6)/1000000</f>
        <v>4.48E-2</v>
      </c>
      <c r="G6" s="23">
        <v>340</v>
      </c>
      <c r="H6" s="26">
        <f t="shared" ref="H6:H54" si="3">F6*G6</f>
        <v>15.231999999999999</v>
      </c>
      <c r="I6" s="21">
        <v>0</v>
      </c>
      <c r="J6" s="205">
        <f t="shared" si="0"/>
        <v>0</v>
      </c>
      <c r="K6" s="21">
        <v>6</v>
      </c>
      <c r="L6" s="205">
        <f t="shared" si="0"/>
        <v>91.391999999999996</v>
      </c>
      <c r="M6" s="21">
        <v>8</v>
      </c>
      <c r="N6" s="21">
        <v>0</v>
      </c>
      <c r="O6" s="21">
        <v>0</v>
      </c>
      <c r="P6" s="21">
        <v>0</v>
      </c>
      <c r="Q6" s="21">
        <v>4</v>
      </c>
      <c r="R6" s="21">
        <v>0</v>
      </c>
      <c r="S6" s="39">
        <f>G6-I6-K6-M6-O6-Q6</f>
        <v>322</v>
      </c>
      <c r="T6" s="38">
        <f t="shared" si="1"/>
        <v>14.425599999999999</v>
      </c>
      <c r="U6" s="21">
        <v>0</v>
      </c>
      <c r="V6" s="13">
        <f t="shared" ref="V6:V54" si="4">F6*U6</f>
        <v>0</v>
      </c>
      <c r="W6" s="49">
        <f t="shared" ref="W6:W54" si="5">S6+U6</f>
        <v>322</v>
      </c>
      <c r="X6" s="50">
        <f t="shared" ref="X6:X54" si="6">F6*W6</f>
        <v>14.425599999999999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136</v>
      </c>
      <c r="C7" s="34">
        <v>70</v>
      </c>
      <c r="D7" s="35">
        <v>74</v>
      </c>
      <c r="E7" s="35">
        <v>8</v>
      </c>
      <c r="F7" s="19">
        <f t="shared" si="2"/>
        <v>4.1439999999999998E-2</v>
      </c>
      <c r="G7" s="23">
        <v>423</v>
      </c>
      <c r="H7" s="26">
        <f t="shared" si="3"/>
        <v>17.529119999999999</v>
      </c>
      <c r="I7" s="21">
        <v>0</v>
      </c>
      <c r="J7" s="205">
        <f t="shared" si="0"/>
        <v>0</v>
      </c>
      <c r="K7" s="21">
        <v>0</v>
      </c>
      <c r="L7" s="205">
        <f t="shared" si="0"/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39">
        <f t="shared" ref="S7:S54" si="7">G7-I7-K7-M7-O7-Q7</f>
        <v>423</v>
      </c>
      <c r="T7" s="38">
        <f t="shared" si="1"/>
        <v>17.529119999999999</v>
      </c>
      <c r="U7" s="21">
        <v>0</v>
      </c>
      <c r="V7" s="13">
        <f t="shared" si="4"/>
        <v>0</v>
      </c>
      <c r="W7" s="49">
        <f t="shared" si="5"/>
        <v>423</v>
      </c>
      <c r="X7" s="50">
        <f t="shared" si="6"/>
        <v>17.529119999999999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137</v>
      </c>
      <c r="C8" s="34">
        <v>80</v>
      </c>
      <c r="D8" s="35">
        <v>64</v>
      </c>
      <c r="E8" s="35">
        <v>5</v>
      </c>
      <c r="F8" s="19">
        <f t="shared" si="2"/>
        <v>2.5600000000000001E-2</v>
      </c>
      <c r="G8" s="23">
        <v>326</v>
      </c>
      <c r="H8" s="26">
        <f t="shared" si="3"/>
        <v>8.345600000000001</v>
      </c>
      <c r="I8" s="21">
        <v>0</v>
      </c>
      <c r="J8" s="205">
        <f t="shared" si="0"/>
        <v>0</v>
      </c>
      <c r="K8" s="21">
        <v>0</v>
      </c>
      <c r="L8" s="205">
        <f t="shared" si="0"/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39">
        <f t="shared" si="7"/>
        <v>326</v>
      </c>
      <c r="T8" s="38">
        <f t="shared" si="1"/>
        <v>8.345600000000001</v>
      </c>
      <c r="U8" s="21">
        <v>0</v>
      </c>
      <c r="V8" s="13">
        <f t="shared" si="4"/>
        <v>0</v>
      </c>
      <c r="W8" s="49">
        <f t="shared" si="5"/>
        <v>326</v>
      </c>
      <c r="X8" s="50">
        <f t="shared" si="6"/>
        <v>8.345600000000001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138</v>
      </c>
      <c r="C9" s="34">
        <v>140</v>
      </c>
      <c r="D9" s="35">
        <v>240</v>
      </c>
      <c r="E9" s="35">
        <v>5</v>
      </c>
      <c r="F9" s="19">
        <f t="shared" si="2"/>
        <v>0.16800000000000001</v>
      </c>
      <c r="G9" s="23">
        <v>60</v>
      </c>
      <c r="H9" s="26">
        <f t="shared" si="3"/>
        <v>10.08</v>
      </c>
      <c r="I9" s="21">
        <v>60</v>
      </c>
      <c r="J9" s="205">
        <f t="shared" si="0"/>
        <v>10.08</v>
      </c>
      <c r="K9" s="21">
        <v>16</v>
      </c>
      <c r="L9" s="205">
        <f t="shared" si="0"/>
        <v>161.28</v>
      </c>
      <c r="M9" s="21">
        <v>8</v>
      </c>
      <c r="N9" s="205">
        <f t="shared" si="0"/>
        <v>80.64</v>
      </c>
      <c r="O9" s="21">
        <v>2</v>
      </c>
      <c r="P9" s="21">
        <v>0</v>
      </c>
      <c r="Q9" s="21">
        <v>0</v>
      </c>
      <c r="R9" s="21">
        <v>0</v>
      </c>
      <c r="S9" s="39">
        <f t="shared" si="7"/>
        <v>-26</v>
      </c>
      <c r="T9" s="38">
        <f t="shared" si="1"/>
        <v>-4.3680000000000003</v>
      </c>
      <c r="U9" s="21">
        <v>86</v>
      </c>
      <c r="V9" s="13">
        <f t="shared" si="4"/>
        <v>14.448</v>
      </c>
      <c r="W9" s="49">
        <f t="shared" si="5"/>
        <v>60</v>
      </c>
      <c r="X9" s="50">
        <f t="shared" si="6"/>
        <v>10.08</v>
      </c>
      <c r="Y9" s="238">
        <v>50</v>
      </c>
      <c r="Z9" s="101">
        <v>150</v>
      </c>
    </row>
    <row r="10" spans="1:26" x14ac:dyDescent="0.25">
      <c r="A10" s="264">
        <v>6</v>
      </c>
      <c r="B10" s="256" t="s">
        <v>139</v>
      </c>
      <c r="C10" s="34">
        <v>142</v>
      </c>
      <c r="D10" s="35">
        <v>67</v>
      </c>
      <c r="E10" s="35">
        <v>5</v>
      </c>
      <c r="F10" s="19">
        <f t="shared" si="2"/>
        <v>4.7570000000000001E-2</v>
      </c>
      <c r="G10" s="23">
        <v>18</v>
      </c>
      <c r="H10" s="26">
        <f t="shared" si="3"/>
        <v>0.85626000000000002</v>
      </c>
      <c r="I10" s="21">
        <v>10</v>
      </c>
      <c r="J10" s="205">
        <f t="shared" si="0"/>
        <v>0.47570000000000001</v>
      </c>
      <c r="K10" s="21">
        <v>0</v>
      </c>
      <c r="L10" s="205">
        <f t="shared" si="0"/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39">
        <f t="shared" si="7"/>
        <v>8</v>
      </c>
      <c r="T10" s="38">
        <f t="shared" si="1"/>
        <v>0.38056000000000001</v>
      </c>
      <c r="U10" s="21">
        <v>0</v>
      </c>
      <c r="V10" s="13">
        <f t="shared" si="4"/>
        <v>0</v>
      </c>
      <c r="W10" s="49">
        <f t="shared" si="5"/>
        <v>8</v>
      </c>
      <c r="X10" s="50">
        <f t="shared" si="6"/>
        <v>0.38056000000000001</v>
      </c>
      <c r="Y10" s="238">
        <v>75</v>
      </c>
      <c r="Z10" s="101">
        <v>300</v>
      </c>
    </row>
    <row r="11" spans="1:26" x14ac:dyDescent="0.25">
      <c r="A11" s="264">
        <v>7</v>
      </c>
      <c r="B11" s="256" t="s">
        <v>140</v>
      </c>
      <c r="C11" s="34">
        <v>63</v>
      </c>
      <c r="D11" s="35">
        <v>60</v>
      </c>
      <c r="E11" s="35">
        <v>5</v>
      </c>
      <c r="F11" s="19">
        <f t="shared" si="2"/>
        <v>1.89E-2</v>
      </c>
      <c r="G11" s="23">
        <v>0</v>
      </c>
      <c r="H11" s="26">
        <f t="shared" si="3"/>
        <v>0</v>
      </c>
      <c r="I11" s="21">
        <v>0</v>
      </c>
      <c r="J11" s="205">
        <f t="shared" si="0"/>
        <v>0</v>
      </c>
      <c r="K11" s="21">
        <v>0</v>
      </c>
      <c r="L11" s="205">
        <f t="shared" si="0"/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39">
        <f t="shared" si="7"/>
        <v>0</v>
      </c>
      <c r="T11" s="38">
        <f t="shared" si="1"/>
        <v>0</v>
      </c>
      <c r="U11" s="21">
        <v>0</v>
      </c>
      <c r="V11" s="13">
        <f t="shared" si="4"/>
        <v>0</v>
      </c>
      <c r="W11" s="49">
        <f t="shared" si="5"/>
        <v>0</v>
      </c>
      <c r="X11" s="50">
        <f t="shared" si="6"/>
        <v>0</v>
      </c>
      <c r="Y11" s="238">
        <v>20</v>
      </c>
      <c r="Z11" s="101">
        <v>50</v>
      </c>
    </row>
    <row r="12" spans="1:26" x14ac:dyDescent="0.25">
      <c r="A12" s="264">
        <v>8</v>
      </c>
      <c r="B12" s="256" t="s">
        <v>141</v>
      </c>
      <c r="C12" s="34">
        <v>52</v>
      </c>
      <c r="D12" s="35">
        <v>52</v>
      </c>
      <c r="E12" s="35">
        <v>5</v>
      </c>
      <c r="F12" s="19">
        <f t="shared" si="2"/>
        <v>1.3520000000000001E-2</v>
      </c>
      <c r="G12" s="23">
        <v>42</v>
      </c>
      <c r="H12" s="26">
        <f t="shared" si="3"/>
        <v>0.56784000000000001</v>
      </c>
      <c r="I12" s="21">
        <v>0</v>
      </c>
      <c r="J12" s="205">
        <f t="shared" si="0"/>
        <v>0</v>
      </c>
      <c r="K12" s="21">
        <v>0</v>
      </c>
      <c r="L12" s="205">
        <f t="shared" si="0"/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39">
        <f t="shared" si="7"/>
        <v>42</v>
      </c>
      <c r="T12" s="38">
        <f t="shared" si="1"/>
        <v>0.56784000000000001</v>
      </c>
      <c r="U12" s="21">
        <v>0</v>
      </c>
      <c r="V12" s="13">
        <f t="shared" si="4"/>
        <v>0</v>
      </c>
      <c r="W12" s="49">
        <f t="shared" si="5"/>
        <v>42</v>
      </c>
      <c r="X12" s="50">
        <f t="shared" si="6"/>
        <v>0.56784000000000001</v>
      </c>
      <c r="Y12" s="238">
        <v>30</v>
      </c>
      <c r="Z12" s="101">
        <v>100</v>
      </c>
    </row>
    <row r="13" spans="1:26" x14ac:dyDescent="0.25">
      <c r="A13" s="264">
        <v>9</v>
      </c>
      <c r="B13" s="256" t="s">
        <v>142</v>
      </c>
      <c r="C13" s="34">
        <v>140</v>
      </c>
      <c r="D13" s="35">
        <v>240</v>
      </c>
      <c r="E13" s="35">
        <v>5</v>
      </c>
      <c r="F13" s="19">
        <f t="shared" si="2"/>
        <v>0.16800000000000001</v>
      </c>
      <c r="G13" s="23">
        <v>146</v>
      </c>
      <c r="H13" s="26">
        <f t="shared" si="3"/>
        <v>24.528000000000002</v>
      </c>
      <c r="I13" s="21">
        <v>0</v>
      </c>
      <c r="J13" s="205">
        <f t="shared" si="0"/>
        <v>0</v>
      </c>
      <c r="K13" s="21">
        <v>0</v>
      </c>
      <c r="L13" s="205">
        <f t="shared" si="0"/>
        <v>0</v>
      </c>
      <c r="M13" s="21">
        <v>0</v>
      </c>
      <c r="N13" s="21">
        <v>0</v>
      </c>
      <c r="O13" s="21">
        <v>0</v>
      </c>
      <c r="P13" s="21">
        <v>0</v>
      </c>
      <c r="Q13" s="21">
        <v>18</v>
      </c>
      <c r="R13" s="21">
        <v>0</v>
      </c>
      <c r="S13" s="39">
        <f t="shared" si="7"/>
        <v>128</v>
      </c>
      <c r="T13" s="38">
        <f t="shared" si="1"/>
        <v>21.504000000000001</v>
      </c>
      <c r="U13" s="21">
        <v>0</v>
      </c>
      <c r="V13" s="13">
        <f t="shared" si="4"/>
        <v>0</v>
      </c>
      <c r="W13" s="49">
        <f t="shared" si="5"/>
        <v>128</v>
      </c>
      <c r="X13" s="50">
        <f t="shared" si="6"/>
        <v>21.504000000000001</v>
      </c>
      <c r="Y13" s="238">
        <v>20</v>
      </c>
      <c r="Z13" s="101">
        <v>50</v>
      </c>
    </row>
    <row r="14" spans="1:26" x14ac:dyDescent="0.25">
      <c r="A14" s="264">
        <v>10</v>
      </c>
      <c r="B14" s="256" t="s">
        <v>143</v>
      </c>
      <c r="C14" s="34">
        <v>90</v>
      </c>
      <c r="D14" s="35">
        <v>85</v>
      </c>
      <c r="E14" s="35">
        <v>5</v>
      </c>
      <c r="F14" s="19">
        <f t="shared" si="2"/>
        <v>3.8249999999999999E-2</v>
      </c>
      <c r="G14" s="23">
        <v>56</v>
      </c>
      <c r="H14" s="26">
        <f t="shared" si="3"/>
        <v>2.1419999999999999</v>
      </c>
      <c r="I14" s="21">
        <v>0</v>
      </c>
      <c r="J14" s="205">
        <f t="shared" si="0"/>
        <v>0</v>
      </c>
      <c r="K14" s="21">
        <v>0</v>
      </c>
      <c r="L14" s="205">
        <f t="shared" si="0"/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39">
        <f t="shared" si="7"/>
        <v>56</v>
      </c>
      <c r="T14" s="38">
        <f t="shared" si="1"/>
        <v>2.1419999999999999</v>
      </c>
      <c r="U14" s="21">
        <v>0</v>
      </c>
      <c r="V14" s="13">
        <f t="shared" si="4"/>
        <v>0</v>
      </c>
      <c r="W14" s="49">
        <f t="shared" si="5"/>
        <v>56</v>
      </c>
      <c r="X14" s="50">
        <f t="shared" si="6"/>
        <v>2.1419999999999999</v>
      </c>
      <c r="Y14" s="238">
        <v>30</v>
      </c>
      <c r="Z14" s="101">
        <v>100</v>
      </c>
    </row>
    <row r="15" spans="1:26" x14ac:dyDescent="0.25">
      <c r="A15" s="264">
        <v>11</v>
      </c>
      <c r="B15" s="256" t="s">
        <v>144</v>
      </c>
      <c r="C15" s="34">
        <v>140</v>
      </c>
      <c r="D15" s="35">
        <v>240</v>
      </c>
      <c r="E15" s="35">
        <v>5</v>
      </c>
      <c r="F15" s="19">
        <f t="shared" si="2"/>
        <v>0.16800000000000001</v>
      </c>
      <c r="G15" s="23">
        <v>204</v>
      </c>
      <c r="H15" s="26">
        <f t="shared" si="3"/>
        <v>34.272000000000006</v>
      </c>
      <c r="I15" s="21">
        <v>10</v>
      </c>
      <c r="J15" s="205">
        <f t="shared" si="0"/>
        <v>1.6800000000000002</v>
      </c>
      <c r="K15" s="21">
        <v>16</v>
      </c>
      <c r="L15" s="205">
        <v>2.6880000000000002</v>
      </c>
      <c r="M15" s="21">
        <v>12</v>
      </c>
      <c r="N15" s="21">
        <v>0</v>
      </c>
      <c r="O15" s="21">
        <v>12</v>
      </c>
      <c r="P15" s="21">
        <v>0</v>
      </c>
      <c r="Q15" s="21">
        <v>13</v>
      </c>
      <c r="R15" s="21">
        <v>0</v>
      </c>
      <c r="S15" s="39">
        <f t="shared" si="7"/>
        <v>141</v>
      </c>
      <c r="T15" s="38">
        <f t="shared" si="1"/>
        <v>23.688000000000002</v>
      </c>
      <c r="U15" s="21">
        <v>0</v>
      </c>
      <c r="V15" s="13">
        <f t="shared" si="4"/>
        <v>0</v>
      </c>
      <c r="W15" s="49">
        <f t="shared" si="5"/>
        <v>141</v>
      </c>
      <c r="X15" s="50">
        <f t="shared" si="6"/>
        <v>23.688000000000002</v>
      </c>
      <c r="Y15" s="238">
        <v>20</v>
      </c>
      <c r="Z15" s="101">
        <v>70</v>
      </c>
    </row>
    <row r="16" spans="1:26" x14ac:dyDescent="0.25">
      <c r="A16" s="264">
        <v>12</v>
      </c>
      <c r="B16" s="256" t="s">
        <v>145</v>
      </c>
      <c r="C16" s="34">
        <v>140</v>
      </c>
      <c r="D16" s="35">
        <v>240</v>
      </c>
      <c r="E16" s="35">
        <v>5</v>
      </c>
      <c r="F16" s="19">
        <f t="shared" si="2"/>
        <v>0.16800000000000001</v>
      </c>
      <c r="G16" s="23">
        <v>59</v>
      </c>
      <c r="H16" s="26">
        <f t="shared" si="3"/>
        <v>9.9120000000000008</v>
      </c>
      <c r="I16" s="21">
        <v>7</v>
      </c>
      <c r="J16" s="205">
        <f t="shared" si="0"/>
        <v>1.1760000000000002</v>
      </c>
      <c r="K16" s="21">
        <v>3</v>
      </c>
      <c r="L16" s="205">
        <v>0</v>
      </c>
      <c r="M16" s="21">
        <v>37</v>
      </c>
      <c r="N16" s="21">
        <v>0</v>
      </c>
      <c r="O16" s="21">
        <v>3</v>
      </c>
      <c r="P16" s="21">
        <v>0</v>
      </c>
      <c r="Q16" s="21">
        <v>8</v>
      </c>
      <c r="R16" s="21">
        <v>0</v>
      </c>
      <c r="S16" s="39">
        <f t="shared" si="7"/>
        <v>1</v>
      </c>
      <c r="T16" s="38">
        <f t="shared" si="1"/>
        <v>0.16800000000000001</v>
      </c>
      <c r="U16" s="21">
        <v>130</v>
      </c>
      <c r="V16" s="13">
        <v>0</v>
      </c>
      <c r="W16" s="49">
        <f t="shared" si="5"/>
        <v>131</v>
      </c>
      <c r="X16" s="50">
        <f t="shared" si="6"/>
        <v>22.008000000000003</v>
      </c>
      <c r="Y16" s="238">
        <v>50</v>
      </c>
      <c r="Z16" s="101">
        <v>150</v>
      </c>
    </row>
    <row r="17" spans="1:26" x14ac:dyDescent="0.25">
      <c r="A17" s="264">
        <v>13</v>
      </c>
      <c r="B17" s="256" t="s">
        <v>146</v>
      </c>
      <c r="C17" s="34">
        <v>140</v>
      </c>
      <c r="D17" s="35">
        <v>240</v>
      </c>
      <c r="E17" s="35">
        <v>8</v>
      </c>
      <c r="F17" s="19">
        <f t="shared" si="2"/>
        <v>0.26879999999999998</v>
      </c>
      <c r="G17" s="23">
        <v>29</v>
      </c>
      <c r="H17" s="26">
        <f t="shared" si="3"/>
        <v>7.7951999999999995</v>
      </c>
      <c r="I17" s="21">
        <v>2</v>
      </c>
      <c r="J17" s="205">
        <f t="shared" si="0"/>
        <v>0.53759999999999997</v>
      </c>
      <c r="K17" s="21">
        <v>2</v>
      </c>
      <c r="L17" s="205">
        <f t="shared" si="0"/>
        <v>15.590399999999999</v>
      </c>
      <c r="M17" s="21">
        <v>2</v>
      </c>
      <c r="N17" s="21">
        <v>0</v>
      </c>
      <c r="O17" s="21">
        <v>0</v>
      </c>
      <c r="P17" s="21">
        <v>0</v>
      </c>
      <c r="Q17" s="21">
        <v>2</v>
      </c>
      <c r="R17" s="21">
        <v>0</v>
      </c>
      <c r="S17" s="39">
        <f t="shared" si="7"/>
        <v>21</v>
      </c>
      <c r="T17" s="38">
        <f t="shared" si="1"/>
        <v>5.6448</v>
      </c>
      <c r="U17" s="21">
        <v>0</v>
      </c>
      <c r="V17" s="13">
        <f t="shared" si="4"/>
        <v>0</v>
      </c>
      <c r="W17" s="49">
        <f t="shared" si="5"/>
        <v>21</v>
      </c>
      <c r="X17" s="50">
        <f t="shared" si="6"/>
        <v>5.6448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147</v>
      </c>
      <c r="C18" s="34">
        <v>77</v>
      </c>
      <c r="D18" s="35">
        <v>86</v>
      </c>
      <c r="E18" s="35">
        <v>8</v>
      </c>
      <c r="F18" s="19">
        <f t="shared" si="2"/>
        <v>5.2976000000000002E-2</v>
      </c>
      <c r="G18" s="23">
        <v>234</v>
      </c>
      <c r="H18" s="26">
        <f t="shared" si="3"/>
        <v>12.396384000000001</v>
      </c>
      <c r="I18" s="21">
        <v>0</v>
      </c>
      <c r="J18" s="205">
        <f t="shared" si="0"/>
        <v>0</v>
      </c>
      <c r="K18" s="21">
        <v>6</v>
      </c>
      <c r="L18" s="205">
        <f t="shared" si="0"/>
        <v>74.378304000000014</v>
      </c>
      <c r="M18" s="21">
        <v>16</v>
      </c>
      <c r="N18" s="21">
        <v>0</v>
      </c>
      <c r="O18" s="21">
        <v>0</v>
      </c>
      <c r="P18" s="21">
        <v>0</v>
      </c>
      <c r="Q18" s="21">
        <v>4</v>
      </c>
      <c r="R18" s="21">
        <v>0</v>
      </c>
      <c r="S18" s="39">
        <f t="shared" si="7"/>
        <v>208</v>
      </c>
      <c r="T18" s="38">
        <f t="shared" si="1"/>
        <v>11.019008000000001</v>
      </c>
      <c r="U18" s="21">
        <v>348</v>
      </c>
      <c r="V18" s="13">
        <f t="shared" si="4"/>
        <v>18.435648</v>
      </c>
      <c r="W18" s="49">
        <f t="shared" si="5"/>
        <v>556</v>
      </c>
      <c r="X18" s="50">
        <f t="shared" si="6"/>
        <v>29.454656</v>
      </c>
      <c r="Y18" s="238">
        <v>30</v>
      </c>
      <c r="Z18" s="101">
        <v>100</v>
      </c>
    </row>
    <row r="19" spans="1:26" x14ac:dyDescent="0.25">
      <c r="A19" s="264">
        <v>15</v>
      </c>
      <c r="B19" s="256" t="s">
        <v>148</v>
      </c>
      <c r="C19" s="34">
        <v>77</v>
      </c>
      <c r="D19" s="35">
        <v>68</v>
      </c>
      <c r="E19" s="35">
        <v>8</v>
      </c>
      <c r="F19" s="19">
        <f t="shared" si="2"/>
        <v>4.1888000000000002E-2</v>
      </c>
      <c r="G19" s="23">
        <v>372</v>
      </c>
      <c r="H19" s="26">
        <f t="shared" si="3"/>
        <v>15.582336</v>
      </c>
      <c r="I19" s="21">
        <v>0</v>
      </c>
      <c r="J19" s="205">
        <f t="shared" si="0"/>
        <v>0</v>
      </c>
      <c r="K19" s="21">
        <v>0</v>
      </c>
      <c r="L19" s="205">
        <f t="shared" si="0"/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39">
        <f t="shared" si="7"/>
        <v>372</v>
      </c>
      <c r="T19" s="38">
        <f t="shared" si="1"/>
        <v>15.582336</v>
      </c>
      <c r="U19" s="21">
        <v>0</v>
      </c>
      <c r="V19" s="13">
        <f t="shared" si="4"/>
        <v>0</v>
      </c>
      <c r="W19" s="49">
        <f t="shared" si="5"/>
        <v>372</v>
      </c>
      <c r="X19" s="50">
        <f t="shared" si="6"/>
        <v>15.582336</v>
      </c>
      <c r="Y19" s="238">
        <v>10</v>
      </c>
      <c r="Z19" s="101">
        <v>30</v>
      </c>
    </row>
    <row r="20" spans="1:26" x14ac:dyDescent="0.25">
      <c r="A20" s="264">
        <v>16</v>
      </c>
      <c r="B20" s="256" t="s">
        <v>149</v>
      </c>
      <c r="C20" s="34">
        <v>76</v>
      </c>
      <c r="D20" s="35">
        <v>75</v>
      </c>
      <c r="E20" s="35">
        <v>8</v>
      </c>
      <c r="F20" s="19">
        <f t="shared" si="2"/>
        <v>4.5600000000000002E-2</v>
      </c>
      <c r="G20" s="23">
        <v>378</v>
      </c>
      <c r="H20" s="26">
        <f t="shared" si="3"/>
        <v>17.236800000000002</v>
      </c>
      <c r="I20" s="21">
        <v>0</v>
      </c>
      <c r="J20" s="205">
        <f t="shared" si="0"/>
        <v>0</v>
      </c>
      <c r="K20" s="21">
        <v>0</v>
      </c>
      <c r="L20" s="205">
        <f t="shared" si="0"/>
        <v>0</v>
      </c>
      <c r="M20" s="21">
        <v>0</v>
      </c>
      <c r="N20" s="21">
        <v>0</v>
      </c>
      <c r="O20" s="21">
        <v>0</v>
      </c>
      <c r="P20" s="21">
        <v>0</v>
      </c>
      <c r="Q20" s="21">
        <v>3</v>
      </c>
      <c r="R20" s="21">
        <v>0</v>
      </c>
      <c r="S20" s="39">
        <f t="shared" si="7"/>
        <v>375</v>
      </c>
      <c r="T20" s="38">
        <f t="shared" si="1"/>
        <v>17.100000000000001</v>
      </c>
      <c r="U20" s="21">
        <v>0</v>
      </c>
      <c r="V20" s="13">
        <f t="shared" si="4"/>
        <v>0</v>
      </c>
      <c r="W20" s="49">
        <f t="shared" si="5"/>
        <v>375</v>
      </c>
      <c r="X20" s="50">
        <f t="shared" si="6"/>
        <v>17.100000000000001</v>
      </c>
      <c r="Y20" s="238">
        <v>0</v>
      </c>
      <c r="Z20" s="101">
        <v>0</v>
      </c>
    </row>
    <row r="21" spans="1:26" x14ac:dyDescent="0.25">
      <c r="A21" s="264">
        <v>17</v>
      </c>
      <c r="B21" s="256" t="s">
        <v>150</v>
      </c>
      <c r="C21" s="34">
        <v>60</v>
      </c>
      <c r="D21" s="35">
        <v>63</v>
      </c>
      <c r="E21" s="35">
        <v>10</v>
      </c>
      <c r="F21" s="19">
        <f t="shared" si="2"/>
        <v>3.78E-2</v>
      </c>
      <c r="G21" s="23">
        <v>263</v>
      </c>
      <c r="H21" s="26">
        <f t="shared" si="3"/>
        <v>9.9413999999999998</v>
      </c>
      <c r="I21" s="21">
        <v>0</v>
      </c>
      <c r="J21" s="205">
        <f t="shared" si="0"/>
        <v>0</v>
      </c>
      <c r="K21" s="21">
        <v>0</v>
      </c>
      <c r="L21" s="205">
        <f t="shared" si="0"/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39">
        <f t="shared" si="7"/>
        <v>263</v>
      </c>
      <c r="T21" s="38">
        <f t="shared" si="1"/>
        <v>9.9413999999999998</v>
      </c>
      <c r="U21" s="21">
        <v>0</v>
      </c>
      <c r="V21" s="13">
        <f t="shared" si="4"/>
        <v>0</v>
      </c>
      <c r="W21" s="49">
        <f t="shared" si="5"/>
        <v>263</v>
      </c>
      <c r="X21" s="50">
        <f t="shared" si="6"/>
        <v>9.9413999999999998</v>
      </c>
      <c r="Y21" s="238">
        <v>0</v>
      </c>
      <c r="Z21" s="101">
        <v>0</v>
      </c>
    </row>
    <row r="22" spans="1:26" x14ac:dyDescent="0.25">
      <c r="A22" s="264">
        <v>18</v>
      </c>
      <c r="B22" s="256" t="s">
        <v>151</v>
      </c>
      <c r="C22" s="34">
        <v>63</v>
      </c>
      <c r="D22" s="35">
        <v>60</v>
      </c>
      <c r="E22" s="35">
        <v>3</v>
      </c>
      <c r="F22" s="19">
        <f t="shared" si="2"/>
        <v>1.1339999999999999E-2</v>
      </c>
      <c r="G22" s="23">
        <v>16</v>
      </c>
      <c r="H22" s="26">
        <f t="shared" si="3"/>
        <v>0.18143999999999999</v>
      </c>
      <c r="I22" s="21">
        <v>0</v>
      </c>
      <c r="J22" s="205">
        <f t="shared" si="0"/>
        <v>0</v>
      </c>
      <c r="K22" s="21">
        <v>0</v>
      </c>
      <c r="L22" s="205">
        <f t="shared" si="0"/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39">
        <f t="shared" si="7"/>
        <v>16</v>
      </c>
      <c r="T22" s="38">
        <f t="shared" si="1"/>
        <v>0.18143999999999999</v>
      </c>
      <c r="U22" s="21">
        <v>0</v>
      </c>
      <c r="V22" s="13">
        <f t="shared" si="4"/>
        <v>0</v>
      </c>
      <c r="W22" s="49">
        <f t="shared" si="5"/>
        <v>16</v>
      </c>
      <c r="X22" s="50">
        <f t="shared" si="6"/>
        <v>0.18143999999999999</v>
      </c>
      <c r="Y22" s="238">
        <v>0</v>
      </c>
      <c r="Z22" s="101">
        <v>0</v>
      </c>
    </row>
    <row r="23" spans="1:26" x14ac:dyDescent="0.25">
      <c r="A23" s="264">
        <v>19</v>
      </c>
      <c r="B23" s="42" t="s">
        <v>152</v>
      </c>
      <c r="C23" s="34">
        <v>140</v>
      </c>
      <c r="D23" s="35">
        <v>240</v>
      </c>
      <c r="E23" s="35">
        <v>1.4</v>
      </c>
      <c r="F23" s="19">
        <f t="shared" si="2"/>
        <v>4.7039999999999998E-2</v>
      </c>
      <c r="G23" s="23">
        <v>91</v>
      </c>
      <c r="H23" s="26">
        <f t="shared" si="3"/>
        <v>4.28064</v>
      </c>
      <c r="I23" s="21">
        <v>112</v>
      </c>
      <c r="J23" s="205">
        <f t="shared" si="0"/>
        <v>5.2684800000000003</v>
      </c>
      <c r="K23" s="21">
        <v>45</v>
      </c>
      <c r="L23" s="205">
        <v>0</v>
      </c>
      <c r="M23" s="21">
        <v>34</v>
      </c>
      <c r="N23" s="21">
        <v>0</v>
      </c>
      <c r="O23" s="21">
        <v>49</v>
      </c>
      <c r="P23" s="21">
        <v>0</v>
      </c>
      <c r="Q23" s="21">
        <v>47</v>
      </c>
      <c r="R23" s="21">
        <v>0</v>
      </c>
      <c r="S23" s="39">
        <f t="shared" si="7"/>
        <v>-196</v>
      </c>
      <c r="T23" s="38">
        <f t="shared" si="1"/>
        <v>-9.2198399999999996</v>
      </c>
      <c r="U23" s="21">
        <v>300</v>
      </c>
      <c r="V23" s="13">
        <f t="shared" si="4"/>
        <v>14.112</v>
      </c>
      <c r="W23" s="49">
        <f t="shared" si="5"/>
        <v>104</v>
      </c>
      <c r="X23" s="50">
        <f t="shared" si="6"/>
        <v>4.8921599999999996</v>
      </c>
      <c r="Y23" s="238">
        <v>0</v>
      </c>
      <c r="Z23" s="101">
        <v>0</v>
      </c>
    </row>
    <row r="24" spans="1:26" x14ac:dyDescent="0.25">
      <c r="A24" s="264">
        <v>20</v>
      </c>
      <c r="B24" s="256" t="s">
        <v>3</v>
      </c>
      <c r="C24" s="34">
        <v>140</v>
      </c>
      <c r="D24" s="35">
        <v>240</v>
      </c>
      <c r="E24" s="35">
        <v>0.8</v>
      </c>
      <c r="F24" s="19">
        <f t="shared" si="2"/>
        <v>2.6880000000000001E-2</v>
      </c>
      <c r="G24" s="23">
        <v>338</v>
      </c>
      <c r="H24" s="26">
        <f t="shared" si="3"/>
        <v>9.0854400000000002</v>
      </c>
      <c r="I24" s="21">
        <v>0</v>
      </c>
      <c r="J24" s="205">
        <f t="shared" si="0"/>
        <v>0</v>
      </c>
      <c r="K24" s="21">
        <v>21</v>
      </c>
      <c r="L24" s="205">
        <v>0</v>
      </c>
      <c r="M24" s="21">
        <v>5</v>
      </c>
      <c r="N24" s="21">
        <v>0</v>
      </c>
      <c r="O24" s="21">
        <v>10</v>
      </c>
      <c r="P24" s="21">
        <v>0</v>
      </c>
      <c r="Q24" s="21">
        <v>26</v>
      </c>
      <c r="R24" s="21">
        <v>0</v>
      </c>
      <c r="S24" s="39">
        <f t="shared" si="7"/>
        <v>276</v>
      </c>
      <c r="T24" s="38">
        <f t="shared" si="1"/>
        <v>7.4188800000000006</v>
      </c>
      <c r="U24" s="21">
        <v>0</v>
      </c>
      <c r="V24" s="13">
        <f t="shared" si="4"/>
        <v>0</v>
      </c>
      <c r="W24" s="49">
        <f t="shared" si="5"/>
        <v>276</v>
      </c>
      <c r="X24" s="50">
        <f t="shared" si="6"/>
        <v>7.4188800000000006</v>
      </c>
      <c r="Y24" s="238">
        <v>0</v>
      </c>
      <c r="Z24" s="101">
        <v>0</v>
      </c>
    </row>
    <row r="25" spans="1:26" x14ac:dyDescent="0.25">
      <c r="A25" s="264">
        <v>21</v>
      </c>
      <c r="B25" s="256" t="s">
        <v>153</v>
      </c>
      <c r="C25" s="34">
        <v>58</v>
      </c>
      <c r="D25" s="35">
        <v>58</v>
      </c>
      <c r="E25" s="35">
        <v>2.2999999999999998</v>
      </c>
      <c r="F25" s="19">
        <f t="shared" si="2"/>
        <v>7.7371999999999996E-3</v>
      </c>
      <c r="G25" s="23">
        <v>2180</v>
      </c>
      <c r="H25" s="26">
        <f t="shared" si="3"/>
        <v>16.867096</v>
      </c>
      <c r="I25" s="21">
        <v>0</v>
      </c>
      <c r="J25" s="205">
        <f t="shared" si="0"/>
        <v>0</v>
      </c>
      <c r="K25" s="21">
        <v>0</v>
      </c>
      <c r="L25" s="205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39">
        <f t="shared" si="7"/>
        <v>2180</v>
      </c>
      <c r="T25" s="38">
        <f t="shared" si="1"/>
        <v>16.867096</v>
      </c>
      <c r="U25" s="21">
        <v>0</v>
      </c>
      <c r="V25" s="13">
        <f t="shared" si="4"/>
        <v>0</v>
      </c>
      <c r="W25" s="49">
        <f t="shared" si="5"/>
        <v>2180</v>
      </c>
      <c r="X25" s="50">
        <f t="shared" si="6"/>
        <v>16.867096</v>
      </c>
      <c r="Y25" s="238">
        <v>30</v>
      </c>
      <c r="Z25" s="101">
        <v>100</v>
      </c>
    </row>
    <row r="26" spans="1:26" x14ac:dyDescent="0.25">
      <c r="A26" s="264">
        <v>22</v>
      </c>
      <c r="B26" s="256" t="s">
        <v>154</v>
      </c>
      <c r="C26" s="34">
        <v>140</v>
      </c>
      <c r="D26" s="35">
        <v>240</v>
      </c>
      <c r="E26" s="35">
        <v>7</v>
      </c>
      <c r="F26" s="19">
        <f t="shared" si="2"/>
        <v>0.23519999999999999</v>
      </c>
      <c r="G26" s="23">
        <v>64</v>
      </c>
      <c r="H26" s="26">
        <f t="shared" si="3"/>
        <v>15.0528</v>
      </c>
      <c r="I26" s="21">
        <v>13</v>
      </c>
      <c r="J26" s="205">
        <f t="shared" si="0"/>
        <v>3.0575999999999999</v>
      </c>
      <c r="K26" s="21">
        <v>14</v>
      </c>
      <c r="L26" s="205">
        <v>0</v>
      </c>
      <c r="M26" s="21">
        <v>9</v>
      </c>
      <c r="N26" s="21">
        <v>0</v>
      </c>
      <c r="O26" s="21">
        <v>14</v>
      </c>
      <c r="P26" s="21">
        <v>0</v>
      </c>
      <c r="Q26" s="21">
        <v>14</v>
      </c>
      <c r="R26" s="21">
        <v>0</v>
      </c>
      <c r="S26" s="39">
        <f t="shared" si="7"/>
        <v>0</v>
      </c>
      <c r="T26" s="38">
        <f t="shared" si="1"/>
        <v>0</v>
      </c>
      <c r="U26" s="21">
        <v>14</v>
      </c>
      <c r="V26" s="13">
        <f t="shared" si="4"/>
        <v>3.2927999999999997</v>
      </c>
      <c r="W26" s="49">
        <f t="shared" si="5"/>
        <v>14</v>
      </c>
      <c r="X26" s="50">
        <f t="shared" si="6"/>
        <v>3.2927999999999997</v>
      </c>
      <c r="Y26" s="238">
        <v>0</v>
      </c>
      <c r="Z26" s="101">
        <v>0</v>
      </c>
    </row>
    <row r="27" spans="1:26" ht="15.75" x14ac:dyDescent="0.25">
      <c r="A27" s="264">
        <v>23</v>
      </c>
      <c r="B27" s="256" t="s">
        <v>55</v>
      </c>
      <c r="C27" s="111">
        <v>50</v>
      </c>
      <c r="D27" s="112">
        <v>45</v>
      </c>
      <c r="E27" s="112">
        <v>4</v>
      </c>
      <c r="F27" s="19">
        <f t="shared" si="2"/>
        <v>8.9999999999999993E-3</v>
      </c>
      <c r="G27" s="23">
        <v>281</v>
      </c>
      <c r="H27" s="26">
        <f t="shared" si="3"/>
        <v>2.5289999999999999</v>
      </c>
      <c r="I27" s="21">
        <v>20</v>
      </c>
      <c r="J27" s="205">
        <f t="shared" si="0"/>
        <v>0.18</v>
      </c>
      <c r="K27" s="21">
        <v>0</v>
      </c>
      <c r="L27" s="205">
        <v>0</v>
      </c>
      <c r="M27" s="21">
        <v>24</v>
      </c>
      <c r="N27" s="21">
        <v>0</v>
      </c>
      <c r="O27" s="21">
        <v>10</v>
      </c>
      <c r="P27" s="21">
        <v>0</v>
      </c>
      <c r="Q27" s="21">
        <v>0</v>
      </c>
      <c r="R27" s="21">
        <v>0</v>
      </c>
      <c r="S27" s="39">
        <f t="shared" si="7"/>
        <v>227</v>
      </c>
      <c r="T27" s="38">
        <f t="shared" si="1"/>
        <v>2.0429999999999997</v>
      </c>
      <c r="U27" s="21">
        <v>0</v>
      </c>
      <c r="V27" s="13">
        <f t="shared" si="4"/>
        <v>0</v>
      </c>
      <c r="W27" s="49">
        <f t="shared" si="5"/>
        <v>227</v>
      </c>
      <c r="X27" s="50">
        <f t="shared" si="6"/>
        <v>2.0429999999999997</v>
      </c>
      <c r="Y27" s="238">
        <v>0</v>
      </c>
      <c r="Z27" s="101">
        <v>0</v>
      </c>
    </row>
    <row r="28" spans="1:26" ht="15.75" x14ac:dyDescent="0.25">
      <c r="A28" s="264">
        <v>24</v>
      </c>
      <c r="B28" s="256" t="s">
        <v>56</v>
      </c>
      <c r="C28" s="111">
        <v>50</v>
      </c>
      <c r="D28" s="112">
        <v>35</v>
      </c>
      <c r="E28" s="112">
        <v>4</v>
      </c>
      <c r="F28" s="19">
        <f t="shared" si="2"/>
        <v>7.0000000000000001E-3</v>
      </c>
      <c r="G28" s="23">
        <v>538</v>
      </c>
      <c r="H28" s="26">
        <f t="shared" si="3"/>
        <v>3.766</v>
      </c>
      <c r="I28" s="21">
        <v>0</v>
      </c>
      <c r="J28" s="205">
        <f t="shared" si="0"/>
        <v>0</v>
      </c>
      <c r="K28" s="21">
        <v>0</v>
      </c>
      <c r="L28" s="205">
        <f t="shared" si="0"/>
        <v>0</v>
      </c>
      <c r="M28" s="21">
        <v>4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39">
        <f t="shared" si="7"/>
        <v>534</v>
      </c>
      <c r="T28" s="38">
        <f t="shared" si="1"/>
        <v>3.738</v>
      </c>
      <c r="U28" s="21">
        <v>0</v>
      </c>
      <c r="V28" s="13">
        <f t="shared" si="4"/>
        <v>0</v>
      </c>
      <c r="W28" s="49">
        <f t="shared" si="5"/>
        <v>534</v>
      </c>
      <c r="X28" s="50">
        <f t="shared" si="6"/>
        <v>3.738</v>
      </c>
      <c r="Y28" s="238">
        <v>0</v>
      </c>
      <c r="Z28" s="101">
        <v>0</v>
      </c>
    </row>
    <row r="29" spans="1:26" ht="15.75" x14ac:dyDescent="0.25">
      <c r="A29" s="264">
        <v>25</v>
      </c>
      <c r="B29" s="256" t="s">
        <v>57</v>
      </c>
      <c r="C29" s="111">
        <v>45</v>
      </c>
      <c r="D29" s="112">
        <v>50</v>
      </c>
      <c r="E29" s="112">
        <v>3</v>
      </c>
      <c r="F29" s="19">
        <f t="shared" si="2"/>
        <v>6.7499999999999999E-3</v>
      </c>
      <c r="G29" s="23">
        <v>1680</v>
      </c>
      <c r="H29" s="26">
        <f t="shared" si="3"/>
        <v>11.34</v>
      </c>
      <c r="I29" s="21">
        <v>102</v>
      </c>
      <c r="J29" s="205">
        <f t="shared" si="0"/>
        <v>0.6885</v>
      </c>
      <c r="K29" s="21">
        <v>0</v>
      </c>
      <c r="L29" s="205">
        <f t="shared" si="0"/>
        <v>0</v>
      </c>
      <c r="M29" s="21">
        <v>100</v>
      </c>
      <c r="N29" s="21">
        <v>0</v>
      </c>
      <c r="O29" s="21">
        <v>0</v>
      </c>
      <c r="P29" s="21">
        <v>0</v>
      </c>
      <c r="Q29" s="21">
        <v>200</v>
      </c>
      <c r="R29" s="21">
        <v>0</v>
      </c>
      <c r="S29" s="39">
        <f t="shared" si="7"/>
        <v>1278</v>
      </c>
      <c r="T29" s="38">
        <f t="shared" si="1"/>
        <v>8.6265000000000001</v>
      </c>
      <c r="U29" s="21">
        <v>0</v>
      </c>
      <c r="V29" s="13">
        <f t="shared" si="4"/>
        <v>0</v>
      </c>
      <c r="W29" s="49">
        <f t="shared" si="5"/>
        <v>1278</v>
      </c>
      <c r="X29" s="50">
        <f t="shared" si="6"/>
        <v>8.6265000000000001</v>
      </c>
      <c r="Y29" s="238">
        <v>0</v>
      </c>
      <c r="Z29" s="101">
        <v>0</v>
      </c>
    </row>
    <row r="30" spans="1:26" ht="15.75" x14ac:dyDescent="0.25">
      <c r="A30" s="264">
        <v>26</v>
      </c>
      <c r="B30" s="256" t="s">
        <v>58</v>
      </c>
      <c r="C30" s="111">
        <v>50</v>
      </c>
      <c r="D30" s="112">
        <v>35</v>
      </c>
      <c r="E30" s="112">
        <v>3</v>
      </c>
      <c r="F30" s="19">
        <f t="shared" si="2"/>
        <v>5.2500000000000003E-3</v>
      </c>
      <c r="G30" s="23">
        <v>1355</v>
      </c>
      <c r="H30" s="26">
        <f t="shared" si="3"/>
        <v>7.1137500000000005</v>
      </c>
      <c r="I30" s="21">
        <v>0</v>
      </c>
      <c r="J30" s="205">
        <f t="shared" si="0"/>
        <v>0</v>
      </c>
      <c r="K30" s="21">
        <v>0</v>
      </c>
      <c r="L30" s="205">
        <v>0</v>
      </c>
      <c r="M30" s="21">
        <v>0</v>
      </c>
      <c r="N30" s="21">
        <v>0</v>
      </c>
      <c r="O30" s="21">
        <v>0</v>
      </c>
      <c r="P30" s="21">
        <v>0</v>
      </c>
      <c r="Q30" s="21">
        <v>200</v>
      </c>
      <c r="R30" s="21">
        <v>0</v>
      </c>
      <c r="S30" s="39">
        <f t="shared" si="7"/>
        <v>1155</v>
      </c>
      <c r="T30" s="38">
        <f t="shared" si="1"/>
        <v>6.0637500000000006</v>
      </c>
      <c r="U30" s="21">
        <v>0</v>
      </c>
      <c r="V30" s="13">
        <f t="shared" si="4"/>
        <v>0</v>
      </c>
      <c r="W30" s="49">
        <f t="shared" si="5"/>
        <v>1155</v>
      </c>
      <c r="X30" s="50">
        <f t="shared" si="6"/>
        <v>6.0637500000000006</v>
      </c>
      <c r="Y30" s="238">
        <v>0</v>
      </c>
      <c r="Z30" s="101">
        <v>0</v>
      </c>
    </row>
    <row r="31" spans="1:26" x14ac:dyDescent="0.25">
      <c r="A31" s="264">
        <v>27</v>
      </c>
      <c r="B31" s="256" t="s">
        <v>155</v>
      </c>
      <c r="C31" s="34">
        <v>140</v>
      </c>
      <c r="D31" s="35">
        <v>9.5</v>
      </c>
      <c r="E31" s="35">
        <v>6.5</v>
      </c>
      <c r="F31" s="19">
        <f t="shared" si="2"/>
        <v>8.6449999999999999E-3</v>
      </c>
      <c r="G31" s="23">
        <v>876</v>
      </c>
      <c r="H31" s="26">
        <f t="shared" si="3"/>
        <v>7.5730199999999996</v>
      </c>
      <c r="I31" s="21">
        <v>230</v>
      </c>
      <c r="J31" s="205">
        <f t="shared" si="0"/>
        <v>1.9883500000000001</v>
      </c>
      <c r="K31" s="21">
        <v>110</v>
      </c>
      <c r="L31" s="205">
        <f t="shared" si="0"/>
        <v>833.03219999999999</v>
      </c>
      <c r="M31" s="21">
        <v>15</v>
      </c>
      <c r="N31" s="21">
        <v>0</v>
      </c>
      <c r="O31" s="21">
        <v>100</v>
      </c>
      <c r="P31" s="21">
        <v>0</v>
      </c>
      <c r="Q31" s="21">
        <v>0</v>
      </c>
      <c r="R31" s="21">
        <v>0</v>
      </c>
      <c r="S31" s="39">
        <f t="shared" si="7"/>
        <v>421</v>
      </c>
      <c r="T31" s="38">
        <f t="shared" si="1"/>
        <v>3.639545</v>
      </c>
      <c r="U31" s="21">
        <v>0</v>
      </c>
      <c r="V31" s="13">
        <f t="shared" si="4"/>
        <v>0</v>
      </c>
      <c r="W31" s="49">
        <f t="shared" si="5"/>
        <v>421</v>
      </c>
      <c r="X31" s="50">
        <f t="shared" si="6"/>
        <v>3.639545</v>
      </c>
      <c r="Y31" s="238">
        <v>0</v>
      </c>
      <c r="Z31" s="101">
        <v>0</v>
      </c>
    </row>
    <row r="32" spans="1:26" x14ac:dyDescent="0.25">
      <c r="A32" s="264">
        <v>28</v>
      </c>
      <c r="B32" s="256" t="s">
        <v>156</v>
      </c>
      <c r="C32" s="34">
        <v>140</v>
      </c>
      <c r="D32" s="35">
        <v>240</v>
      </c>
      <c r="E32" s="35">
        <v>1</v>
      </c>
      <c r="F32" s="19">
        <f t="shared" si="2"/>
        <v>3.3599999999999998E-2</v>
      </c>
      <c r="G32" s="23">
        <v>328</v>
      </c>
      <c r="H32" s="26">
        <f t="shared" si="3"/>
        <v>11.020799999999999</v>
      </c>
      <c r="I32" s="21">
        <v>123</v>
      </c>
      <c r="J32" s="205">
        <f t="shared" si="0"/>
        <v>4.1327999999999996</v>
      </c>
      <c r="K32" s="21">
        <v>95</v>
      </c>
      <c r="L32" s="205">
        <v>1.915</v>
      </c>
      <c r="M32" s="21">
        <v>88</v>
      </c>
      <c r="N32" s="21">
        <v>0</v>
      </c>
      <c r="O32" s="21">
        <v>72</v>
      </c>
      <c r="P32" s="21">
        <v>0</v>
      </c>
      <c r="Q32" s="21">
        <v>96</v>
      </c>
      <c r="R32" s="21">
        <v>0</v>
      </c>
      <c r="S32" s="39">
        <f t="shared" si="7"/>
        <v>-146</v>
      </c>
      <c r="T32" s="38">
        <f t="shared" si="1"/>
        <v>-4.9055999999999997</v>
      </c>
      <c r="U32" s="21">
        <v>790</v>
      </c>
      <c r="V32" s="13">
        <v>0</v>
      </c>
      <c r="W32" s="49">
        <f t="shared" si="5"/>
        <v>644</v>
      </c>
      <c r="X32" s="50">
        <f t="shared" si="6"/>
        <v>21.638399999999997</v>
      </c>
      <c r="Y32" s="238">
        <v>0</v>
      </c>
      <c r="Z32" s="101">
        <v>0</v>
      </c>
    </row>
    <row r="33" spans="1:26" x14ac:dyDescent="0.25">
      <c r="A33" s="264">
        <v>29</v>
      </c>
      <c r="B33" s="256" t="s">
        <v>157</v>
      </c>
      <c r="C33" s="34">
        <v>140</v>
      </c>
      <c r="D33" s="35">
        <v>240</v>
      </c>
      <c r="E33" s="35">
        <v>2</v>
      </c>
      <c r="F33" s="19">
        <f t="shared" si="2"/>
        <v>6.7199999999999996E-2</v>
      </c>
      <c r="G33" s="23">
        <v>291</v>
      </c>
      <c r="H33" s="26">
        <f t="shared" si="3"/>
        <v>19.555199999999999</v>
      </c>
      <c r="I33" s="21">
        <v>18</v>
      </c>
      <c r="J33" s="205">
        <f t="shared" si="0"/>
        <v>1.2096</v>
      </c>
      <c r="K33" s="21">
        <v>15</v>
      </c>
      <c r="L33" s="205">
        <v>0</v>
      </c>
      <c r="M33" s="21">
        <v>17</v>
      </c>
      <c r="N33" s="21">
        <v>0</v>
      </c>
      <c r="O33" s="21">
        <v>10</v>
      </c>
      <c r="P33" s="21">
        <v>0</v>
      </c>
      <c r="Q33" s="21">
        <v>11</v>
      </c>
      <c r="R33" s="21">
        <v>0</v>
      </c>
      <c r="S33" s="39">
        <f t="shared" si="7"/>
        <v>220</v>
      </c>
      <c r="T33" s="38">
        <f t="shared" si="1"/>
        <v>14.783999999999999</v>
      </c>
      <c r="U33" s="21">
        <v>0</v>
      </c>
      <c r="V33" s="13">
        <f t="shared" si="4"/>
        <v>0</v>
      </c>
      <c r="W33" s="49">
        <f t="shared" si="5"/>
        <v>220</v>
      </c>
      <c r="X33" s="50">
        <f t="shared" si="6"/>
        <v>14.783999999999999</v>
      </c>
      <c r="Y33" s="238">
        <v>0</v>
      </c>
      <c r="Z33" s="101">
        <v>0</v>
      </c>
    </row>
    <row r="34" spans="1:26" x14ac:dyDescent="0.25">
      <c r="A34" s="264">
        <v>30</v>
      </c>
      <c r="B34" s="256" t="s">
        <v>158</v>
      </c>
      <c r="C34" s="34">
        <v>140</v>
      </c>
      <c r="D34" s="35">
        <v>240</v>
      </c>
      <c r="E34" s="35">
        <v>3</v>
      </c>
      <c r="F34" s="19">
        <f t="shared" si="2"/>
        <v>0.1008</v>
      </c>
      <c r="G34" s="23">
        <v>14</v>
      </c>
      <c r="H34" s="26">
        <f t="shared" si="3"/>
        <v>1.4112</v>
      </c>
      <c r="I34" s="21">
        <v>14</v>
      </c>
      <c r="J34" s="205">
        <f t="shared" si="0"/>
        <v>1.4112</v>
      </c>
      <c r="K34" s="21">
        <v>5</v>
      </c>
      <c r="L34" s="205">
        <v>0.504</v>
      </c>
      <c r="M34" s="21">
        <v>37</v>
      </c>
      <c r="N34" s="21">
        <v>0</v>
      </c>
      <c r="O34" s="21">
        <v>40</v>
      </c>
      <c r="P34" s="21">
        <v>0</v>
      </c>
      <c r="Q34" s="21">
        <v>14</v>
      </c>
      <c r="R34" s="21">
        <v>0</v>
      </c>
      <c r="S34" s="39">
        <f t="shared" si="7"/>
        <v>-96</v>
      </c>
      <c r="T34" s="38">
        <f t="shared" si="1"/>
        <v>-9.6768000000000001</v>
      </c>
      <c r="U34" s="21">
        <v>96</v>
      </c>
      <c r="V34" s="13">
        <f t="shared" si="4"/>
        <v>9.6768000000000001</v>
      </c>
      <c r="W34" s="49">
        <f t="shared" si="5"/>
        <v>0</v>
      </c>
      <c r="X34" s="50">
        <f t="shared" si="6"/>
        <v>0</v>
      </c>
      <c r="Y34" s="238">
        <v>0</v>
      </c>
      <c r="Z34" s="101">
        <v>0</v>
      </c>
    </row>
    <row r="35" spans="1:26" x14ac:dyDescent="0.25">
      <c r="A35" s="264">
        <v>31</v>
      </c>
      <c r="B35" s="256" t="s">
        <v>159</v>
      </c>
      <c r="C35" s="34">
        <v>140</v>
      </c>
      <c r="D35" s="35">
        <v>240</v>
      </c>
      <c r="E35" s="35">
        <v>4</v>
      </c>
      <c r="F35" s="19">
        <f t="shared" si="2"/>
        <v>0.13439999999999999</v>
      </c>
      <c r="G35" s="23">
        <v>8</v>
      </c>
      <c r="H35" s="26">
        <f t="shared" si="3"/>
        <v>1.0751999999999999</v>
      </c>
      <c r="I35" s="21">
        <v>5</v>
      </c>
      <c r="J35" s="205">
        <f t="shared" si="0"/>
        <v>0.67199999999999993</v>
      </c>
      <c r="K35" s="21">
        <v>0</v>
      </c>
      <c r="L35" s="205">
        <f t="shared" si="0"/>
        <v>0</v>
      </c>
      <c r="M35" s="21">
        <v>8</v>
      </c>
      <c r="N35" s="21">
        <v>0</v>
      </c>
      <c r="O35" s="21">
        <v>0</v>
      </c>
      <c r="P35" s="21">
        <v>0</v>
      </c>
      <c r="Q35" s="21">
        <v>4</v>
      </c>
      <c r="R35" s="21">
        <v>0</v>
      </c>
      <c r="S35" s="39">
        <f t="shared" si="7"/>
        <v>-9</v>
      </c>
      <c r="T35" s="38">
        <f t="shared" si="1"/>
        <v>-1.2096</v>
      </c>
      <c r="U35" s="21">
        <v>69</v>
      </c>
      <c r="V35" s="13">
        <f t="shared" si="4"/>
        <v>9.2736000000000001</v>
      </c>
      <c r="W35" s="49">
        <f t="shared" si="5"/>
        <v>60</v>
      </c>
      <c r="X35" s="50">
        <f t="shared" si="6"/>
        <v>8.0640000000000001</v>
      </c>
      <c r="Y35" s="238">
        <v>0</v>
      </c>
      <c r="Z35" s="101">
        <v>0</v>
      </c>
    </row>
    <row r="36" spans="1:26" x14ac:dyDescent="0.25">
      <c r="A36" s="264">
        <v>32</v>
      </c>
      <c r="B36" s="256" t="s">
        <v>160</v>
      </c>
      <c r="C36" s="34">
        <v>140</v>
      </c>
      <c r="D36" s="35">
        <v>240</v>
      </c>
      <c r="E36" s="35">
        <v>2</v>
      </c>
      <c r="F36" s="19">
        <f t="shared" si="2"/>
        <v>6.7199999999999996E-2</v>
      </c>
      <c r="G36" s="23">
        <v>815</v>
      </c>
      <c r="H36" s="26">
        <f t="shared" si="3"/>
        <v>54.767999999999994</v>
      </c>
      <c r="I36" s="21">
        <v>54</v>
      </c>
      <c r="J36" s="205">
        <f t="shared" si="0"/>
        <v>3.6287999999999996</v>
      </c>
      <c r="K36" s="21">
        <v>39</v>
      </c>
      <c r="L36" s="205">
        <v>0</v>
      </c>
      <c r="M36" s="21">
        <v>50</v>
      </c>
      <c r="N36" s="21">
        <v>0</v>
      </c>
      <c r="O36" s="21">
        <v>31</v>
      </c>
      <c r="P36" s="21">
        <v>0</v>
      </c>
      <c r="Q36" s="21">
        <v>35</v>
      </c>
      <c r="R36" s="21">
        <v>0</v>
      </c>
      <c r="S36" s="39">
        <f t="shared" si="7"/>
        <v>606</v>
      </c>
      <c r="T36" s="38">
        <f t="shared" si="1"/>
        <v>40.723199999999999</v>
      </c>
      <c r="U36" s="21">
        <v>0</v>
      </c>
      <c r="V36" s="13">
        <v>0</v>
      </c>
      <c r="W36" s="49">
        <f t="shared" si="5"/>
        <v>606</v>
      </c>
      <c r="X36" s="50">
        <f t="shared" si="6"/>
        <v>40.723199999999999</v>
      </c>
      <c r="Y36" s="238">
        <v>0</v>
      </c>
      <c r="Z36" s="101">
        <v>0</v>
      </c>
    </row>
    <row r="37" spans="1:26" x14ac:dyDescent="0.25">
      <c r="A37" s="264">
        <v>33</v>
      </c>
      <c r="B37" s="256" t="s">
        <v>161</v>
      </c>
      <c r="C37" s="34">
        <v>140</v>
      </c>
      <c r="D37" s="35">
        <v>240</v>
      </c>
      <c r="E37" s="35">
        <v>6</v>
      </c>
      <c r="F37" s="19">
        <f t="shared" si="2"/>
        <v>0.2016</v>
      </c>
      <c r="G37" s="23">
        <v>34</v>
      </c>
      <c r="H37" s="26">
        <f t="shared" si="3"/>
        <v>6.8544</v>
      </c>
      <c r="I37" s="21">
        <v>0</v>
      </c>
      <c r="J37" s="205">
        <f t="shared" si="0"/>
        <v>0</v>
      </c>
      <c r="K37" s="21">
        <v>0</v>
      </c>
      <c r="L37" s="205">
        <f t="shared" si="0"/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39">
        <f t="shared" si="7"/>
        <v>34</v>
      </c>
      <c r="T37" s="38">
        <f t="shared" si="1"/>
        <v>6.8544</v>
      </c>
      <c r="U37" s="21">
        <v>0</v>
      </c>
      <c r="V37" s="13">
        <f t="shared" si="4"/>
        <v>0</v>
      </c>
      <c r="W37" s="49">
        <f t="shared" si="5"/>
        <v>34</v>
      </c>
      <c r="X37" s="50">
        <f t="shared" si="6"/>
        <v>6.8544</v>
      </c>
      <c r="Y37" s="238">
        <v>0</v>
      </c>
      <c r="Z37" s="101">
        <v>0</v>
      </c>
    </row>
    <row r="38" spans="1:26" x14ac:dyDescent="0.25">
      <c r="A38" s="264">
        <v>34</v>
      </c>
      <c r="B38" s="256" t="s">
        <v>162</v>
      </c>
      <c r="C38" s="34">
        <v>84</v>
      </c>
      <c r="D38" s="35">
        <v>55</v>
      </c>
      <c r="E38" s="35">
        <v>3</v>
      </c>
      <c r="F38" s="19">
        <f t="shared" si="2"/>
        <v>1.3860000000000001E-2</v>
      </c>
      <c r="G38" s="23">
        <v>0</v>
      </c>
      <c r="H38" s="26">
        <f t="shared" si="3"/>
        <v>0</v>
      </c>
      <c r="I38" s="21">
        <v>0</v>
      </c>
      <c r="J38" s="205">
        <f t="shared" si="0"/>
        <v>0</v>
      </c>
      <c r="K38" s="21">
        <v>0</v>
      </c>
      <c r="L38" s="205">
        <f t="shared" si="0"/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39">
        <f t="shared" si="7"/>
        <v>0</v>
      </c>
      <c r="T38" s="38">
        <f t="shared" si="1"/>
        <v>0</v>
      </c>
      <c r="U38" s="21">
        <v>0</v>
      </c>
      <c r="V38" s="13">
        <f t="shared" si="4"/>
        <v>0</v>
      </c>
      <c r="W38" s="49">
        <f t="shared" si="5"/>
        <v>0</v>
      </c>
      <c r="X38" s="50">
        <f t="shared" si="6"/>
        <v>0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163</v>
      </c>
      <c r="C39" s="34">
        <v>90</v>
      </c>
      <c r="D39" s="35">
        <v>90</v>
      </c>
      <c r="E39" s="35">
        <v>3</v>
      </c>
      <c r="F39" s="19">
        <f t="shared" si="2"/>
        <v>2.4299999999999999E-2</v>
      </c>
      <c r="G39" s="23">
        <v>17</v>
      </c>
      <c r="H39" s="26">
        <f t="shared" si="3"/>
        <v>0.41309999999999997</v>
      </c>
      <c r="I39" s="21">
        <v>0</v>
      </c>
      <c r="J39" s="205">
        <f t="shared" si="0"/>
        <v>0</v>
      </c>
      <c r="K39" s="21">
        <v>0</v>
      </c>
      <c r="L39" s="205">
        <f t="shared" si="0"/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39">
        <f t="shared" si="7"/>
        <v>17</v>
      </c>
      <c r="T39" s="38">
        <f t="shared" si="1"/>
        <v>0.41309999999999997</v>
      </c>
      <c r="U39" s="21">
        <v>0</v>
      </c>
      <c r="V39" s="13">
        <f t="shared" si="4"/>
        <v>0</v>
      </c>
      <c r="W39" s="49">
        <f t="shared" si="5"/>
        <v>17</v>
      </c>
      <c r="X39" s="50">
        <f t="shared" si="6"/>
        <v>0.41309999999999997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164</v>
      </c>
      <c r="C40" s="34">
        <v>140</v>
      </c>
      <c r="D40" s="35">
        <v>240</v>
      </c>
      <c r="E40" s="35">
        <v>10</v>
      </c>
      <c r="F40" s="19">
        <f t="shared" si="2"/>
        <v>0.33600000000000002</v>
      </c>
      <c r="G40" s="23">
        <v>8</v>
      </c>
      <c r="H40" s="26">
        <f t="shared" si="3"/>
        <v>2.6880000000000002</v>
      </c>
      <c r="I40" s="21">
        <v>0</v>
      </c>
      <c r="J40" s="205">
        <f t="shared" si="0"/>
        <v>0</v>
      </c>
      <c r="K40" s="21">
        <v>0</v>
      </c>
      <c r="L40" s="205">
        <f t="shared" si="0"/>
        <v>0</v>
      </c>
      <c r="M40" s="21">
        <v>0</v>
      </c>
      <c r="N40" s="21">
        <v>0</v>
      </c>
      <c r="O40" s="21">
        <v>0</v>
      </c>
      <c r="P40" s="21">
        <v>0</v>
      </c>
      <c r="Q40" s="21">
        <v>4</v>
      </c>
      <c r="R40" s="21">
        <v>0</v>
      </c>
      <c r="S40" s="39">
        <f t="shared" si="7"/>
        <v>4</v>
      </c>
      <c r="T40" s="38">
        <f t="shared" si="1"/>
        <v>1.3440000000000001</v>
      </c>
      <c r="U40" s="21">
        <v>0</v>
      </c>
      <c r="V40" s="13">
        <f t="shared" si="4"/>
        <v>0</v>
      </c>
      <c r="W40" s="49">
        <f t="shared" si="5"/>
        <v>4</v>
      </c>
      <c r="X40" s="50">
        <f t="shared" si="6"/>
        <v>1.3440000000000001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165</v>
      </c>
      <c r="C41" s="34">
        <v>140</v>
      </c>
      <c r="D41" s="35">
        <v>240</v>
      </c>
      <c r="E41" s="35">
        <v>10</v>
      </c>
      <c r="F41" s="19">
        <f t="shared" si="2"/>
        <v>0.33600000000000002</v>
      </c>
      <c r="G41" s="23">
        <v>25</v>
      </c>
      <c r="H41" s="26">
        <f t="shared" si="3"/>
        <v>8.4</v>
      </c>
      <c r="I41" s="21">
        <v>12</v>
      </c>
      <c r="J41" s="205">
        <f t="shared" si="0"/>
        <v>4.032</v>
      </c>
      <c r="K41" s="21">
        <v>1</v>
      </c>
      <c r="L41" s="205">
        <v>0</v>
      </c>
      <c r="M41" s="21">
        <v>6</v>
      </c>
      <c r="N41" s="21">
        <v>0</v>
      </c>
      <c r="O41" s="21">
        <v>4</v>
      </c>
      <c r="P41" s="21">
        <v>0</v>
      </c>
      <c r="Q41" s="21">
        <v>0</v>
      </c>
      <c r="R41" s="21">
        <v>0</v>
      </c>
      <c r="S41" s="39">
        <f t="shared" si="7"/>
        <v>2</v>
      </c>
      <c r="T41" s="38">
        <f t="shared" si="1"/>
        <v>0.67200000000000004</v>
      </c>
      <c r="U41" s="21">
        <v>0</v>
      </c>
      <c r="V41" s="13">
        <f t="shared" si="4"/>
        <v>0</v>
      </c>
      <c r="W41" s="49">
        <f t="shared" si="5"/>
        <v>2</v>
      </c>
      <c r="X41" s="50">
        <f t="shared" si="6"/>
        <v>0.67200000000000004</v>
      </c>
      <c r="Y41" s="238">
        <v>0</v>
      </c>
      <c r="Z41" s="101">
        <v>0</v>
      </c>
    </row>
    <row r="42" spans="1:26" x14ac:dyDescent="0.25">
      <c r="A42" s="264">
        <v>38</v>
      </c>
      <c r="B42" s="256" t="s">
        <v>166</v>
      </c>
      <c r="C42" s="34">
        <v>92</v>
      </c>
      <c r="D42" s="35">
        <v>82</v>
      </c>
      <c r="E42" s="35">
        <v>2</v>
      </c>
      <c r="F42" s="19">
        <f t="shared" si="2"/>
        <v>1.5088000000000001E-2</v>
      </c>
      <c r="G42" s="23">
        <v>28</v>
      </c>
      <c r="H42" s="26">
        <f t="shared" si="3"/>
        <v>0.42246400000000001</v>
      </c>
      <c r="I42" s="21">
        <v>0</v>
      </c>
      <c r="J42" s="205">
        <f t="shared" si="0"/>
        <v>0</v>
      </c>
      <c r="K42" s="21">
        <v>0</v>
      </c>
      <c r="L42" s="205">
        <f t="shared" si="0"/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39">
        <f t="shared" si="7"/>
        <v>28</v>
      </c>
      <c r="T42" s="38">
        <f t="shared" si="1"/>
        <v>0.42246400000000001</v>
      </c>
      <c r="U42" s="21">
        <v>0</v>
      </c>
      <c r="V42" s="13">
        <f t="shared" si="4"/>
        <v>0</v>
      </c>
      <c r="W42" s="49">
        <f t="shared" si="5"/>
        <v>28</v>
      </c>
      <c r="X42" s="50">
        <f t="shared" si="6"/>
        <v>0.42246400000000001</v>
      </c>
      <c r="Y42" s="238">
        <v>0</v>
      </c>
      <c r="Z42" s="101">
        <v>0</v>
      </c>
    </row>
    <row r="43" spans="1:26" x14ac:dyDescent="0.25">
      <c r="A43" s="264">
        <v>39</v>
      </c>
      <c r="B43" s="256" t="s">
        <v>167</v>
      </c>
      <c r="C43" s="34">
        <v>75</v>
      </c>
      <c r="D43" s="35">
        <v>55</v>
      </c>
      <c r="E43" s="35">
        <v>3</v>
      </c>
      <c r="F43" s="19">
        <f t="shared" si="2"/>
        <v>1.2375000000000001E-2</v>
      </c>
      <c r="G43" s="23">
        <v>52</v>
      </c>
      <c r="H43" s="26">
        <f t="shared" si="3"/>
        <v>0.64350000000000007</v>
      </c>
      <c r="I43" s="21">
        <v>0</v>
      </c>
      <c r="J43" s="205">
        <f t="shared" si="0"/>
        <v>0</v>
      </c>
      <c r="K43" s="21">
        <v>0</v>
      </c>
      <c r="L43" s="205">
        <f t="shared" si="0"/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39">
        <f t="shared" si="7"/>
        <v>52</v>
      </c>
      <c r="T43" s="38">
        <f t="shared" si="1"/>
        <v>0.64350000000000007</v>
      </c>
      <c r="U43" s="21">
        <v>0</v>
      </c>
      <c r="V43" s="13">
        <f t="shared" si="4"/>
        <v>0</v>
      </c>
      <c r="W43" s="49">
        <f t="shared" si="5"/>
        <v>52</v>
      </c>
      <c r="X43" s="50">
        <f t="shared" si="6"/>
        <v>0.64350000000000007</v>
      </c>
      <c r="Y43" s="238">
        <v>50</v>
      </c>
      <c r="Z43" s="101">
        <v>200</v>
      </c>
    </row>
    <row r="44" spans="1:26" x14ac:dyDescent="0.25">
      <c r="A44" s="264">
        <v>40</v>
      </c>
      <c r="B44" s="256" t="s">
        <v>168</v>
      </c>
      <c r="C44" s="34">
        <v>140</v>
      </c>
      <c r="D44" s="35">
        <v>240</v>
      </c>
      <c r="E44" s="35">
        <v>3</v>
      </c>
      <c r="F44" s="19">
        <f t="shared" si="2"/>
        <v>0.1008</v>
      </c>
      <c r="G44" s="23">
        <v>99</v>
      </c>
      <c r="H44" s="26">
        <f t="shared" si="3"/>
        <v>9.9792000000000005</v>
      </c>
      <c r="I44" s="21">
        <v>27</v>
      </c>
      <c r="J44" s="205">
        <f t="shared" si="0"/>
        <v>2.7216</v>
      </c>
      <c r="K44" s="21">
        <v>9</v>
      </c>
      <c r="L44" s="205">
        <v>0</v>
      </c>
      <c r="M44" s="21">
        <v>13</v>
      </c>
      <c r="N44" s="21">
        <v>0</v>
      </c>
      <c r="O44" s="21">
        <v>18</v>
      </c>
      <c r="P44" s="21">
        <v>0</v>
      </c>
      <c r="Q44" s="21">
        <v>13</v>
      </c>
      <c r="R44" s="21">
        <v>0</v>
      </c>
      <c r="S44" s="39">
        <f t="shared" si="7"/>
        <v>19</v>
      </c>
      <c r="T44" s="38">
        <f t="shared" si="1"/>
        <v>1.9152</v>
      </c>
      <c r="U44" s="21">
        <v>0</v>
      </c>
      <c r="V44" s="13">
        <f t="shared" si="4"/>
        <v>0</v>
      </c>
      <c r="W44" s="49">
        <f t="shared" si="5"/>
        <v>19</v>
      </c>
      <c r="X44" s="50">
        <f t="shared" si="6"/>
        <v>1.9152</v>
      </c>
      <c r="Y44" s="238">
        <v>50</v>
      </c>
      <c r="Z44" s="101">
        <v>200</v>
      </c>
    </row>
    <row r="45" spans="1:26" x14ac:dyDescent="0.25">
      <c r="A45" s="264">
        <v>41</v>
      </c>
      <c r="B45" s="256" t="s">
        <v>169</v>
      </c>
      <c r="C45" s="34">
        <v>0</v>
      </c>
      <c r="D45" s="34">
        <v>0</v>
      </c>
      <c r="E45" s="34">
        <v>0</v>
      </c>
      <c r="F45" s="34">
        <v>0</v>
      </c>
      <c r="G45" s="34">
        <v>0</v>
      </c>
      <c r="H45" s="26">
        <f t="shared" si="3"/>
        <v>0</v>
      </c>
      <c r="I45" s="21">
        <v>0</v>
      </c>
      <c r="J45" s="205">
        <f t="shared" si="0"/>
        <v>0</v>
      </c>
      <c r="K45" s="21">
        <v>0</v>
      </c>
      <c r="L45" s="205">
        <f t="shared" si="0"/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39">
        <f t="shared" si="7"/>
        <v>0</v>
      </c>
      <c r="T45" s="38">
        <f t="shared" si="1"/>
        <v>0</v>
      </c>
      <c r="U45" s="21">
        <v>0</v>
      </c>
      <c r="V45" s="13">
        <f t="shared" si="4"/>
        <v>0</v>
      </c>
      <c r="W45" s="49">
        <f t="shared" si="5"/>
        <v>0</v>
      </c>
      <c r="X45" s="50">
        <f t="shared" si="6"/>
        <v>0</v>
      </c>
      <c r="Y45" s="238">
        <v>50</v>
      </c>
      <c r="Z45" s="101">
        <v>200</v>
      </c>
    </row>
    <row r="46" spans="1:26" x14ac:dyDescent="0.25">
      <c r="A46" s="264">
        <v>42</v>
      </c>
      <c r="B46" s="256" t="s">
        <v>170</v>
      </c>
      <c r="C46" s="34">
        <v>0</v>
      </c>
      <c r="D46" s="34">
        <v>0</v>
      </c>
      <c r="E46" s="34">
        <v>0</v>
      </c>
      <c r="F46" s="34">
        <v>0</v>
      </c>
      <c r="G46" s="34">
        <v>0</v>
      </c>
      <c r="H46" s="26">
        <f t="shared" si="3"/>
        <v>0</v>
      </c>
      <c r="I46" s="21">
        <v>0</v>
      </c>
      <c r="J46" s="205">
        <f t="shared" si="0"/>
        <v>0</v>
      </c>
      <c r="K46" s="21">
        <v>0</v>
      </c>
      <c r="L46" s="205">
        <f t="shared" si="0"/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39">
        <f t="shared" si="7"/>
        <v>0</v>
      </c>
      <c r="T46" s="38">
        <f t="shared" si="1"/>
        <v>0</v>
      </c>
      <c r="U46" s="21">
        <v>0</v>
      </c>
      <c r="V46" s="13">
        <f t="shared" si="4"/>
        <v>0</v>
      </c>
      <c r="W46" s="49">
        <f t="shared" si="5"/>
        <v>0</v>
      </c>
      <c r="X46" s="50">
        <f t="shared" si="6"/>
        <v>0</v>
      </c>
      <c r="Y46" s="238">
        <v>50</v>
      </c>
      <c r="Z46" s="101">
        <v>100</v>
      </c>
    </row>
    <row r="47" spans="1:26" x14ac:dyDescent="0.25">
      <c r="A47" s="264">
        <v>43</v>
      </c>
      <c r="B47" s="256" t="s">
        <v>171</v>
      </c>
      <c r="C47" s="34">
        <v>0</v>
      </c>
      <c r="D47" s="34">
        <v>0</v>
      </c>
      <c r="E47" s="34">
        <v>0</v>
      </c>
      <c r="F47" s="34">
        <v>0</v>
      </c>
      <c r="G47" s="34">
        <v>39</v>
      </c>
      <c r="H47" s="26">
        <f t="shared" si="3"/>
        <v>0</v>
      </c>
      <c r="I47" s="21">
        <v>0</v>
      </c>
      <c r="J47" s="205">
        <f t="shared" si="0"/>
        <v>0</v>
      </c>
      <c r="K47" s="21">
        <v>0</v>
      </c>
      <c r="L47" s="205">
        <f t="shared" si="0"/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39">
        <f t="shared" si="7"/>
        <v>39</v>
      </c>
      <c r="T47" s="38">
        <f t="shared" si="1"/>
        <v>0</v>
      </c>
      <c r="U47" s="21">
        <v>0</v>
      </c>
      <c r="V47" s="13">
        <f t="shared" si="4"/>
        <v>0</v>
      </c>
      <c r="W47" s="49">
        <f t="shared" si="5"/>
        <v>39</v>
      </c>
      <c r="X47" s="50">
        <f t="shared" si="6"/>
        <v>0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173</v>
      </c>
      <c r="C48" s="34">
        <v>0</v>
      </c>
      <c r="D48" s="34">
        <v>0</v>
      </c>
      <c r="E48" s="34">
        <v>0</v>
      </c>
      <c r="F48" s="34">
        <v>0</v>
      </c>
      <c r="G48" s="34">
        <v>0</v>
      </c>
      <c r="H48" s="26">
        <f t="shared" si="3"/>
        <v>0</v>
      </c>
      <c r="I48" s="21">
        <v>0</v>
      </c>
      <c r="J48" s="205">
        <f t="shared" si="0"/>
        <v>0</v>
      </c>
      <c r="K48" s="21">
        <v>0</v>
      </c>
      <c r="L48" s="205">
        <f t="shared" si="0"/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39">
        <f t="shared" si="7"/>
        <v>0</v>
      </c>
      <c r="T48" s="38">
        <f t="shared" si="1"/>
        <v>0</v>
      </c>
      <c r="U48" s="21">
        <v>0</v>
      </c>
      <c r="V48" s="13">
        <f t="shared" si="4"/>
        <v>0</v>
      </c>
      <c r="W48" s="49">
        <f t="shared" si="5"/>
        <v>0</v>
      </c>
      <c r="X48" s="50">
        <f t="shared" si="6"/>
        <v>0</v>
      </c>
      <c r="Y48" s="238">
        <v>50</v>
      </c>
      <c r="Z48" s="101">
        <v>200</v>
      </c>
    </row>
    <row r="49" spans="1:26" x14ac:dyDescent="0.25">
      <c r="A49" s="264">
        <v>45</v>
      </c>
      <c r="B49" s="256" t="s">
        <v>87</v>
      </c>
      <c r="C49" s="34">
        <v>0</v>
      </c>
      <c r="D49" s="34">
        <v>0</v>
      </c>
      <c r="E49" s="34">
        <v>0</v>
      </c>
      <c r="F49" s="34">
        <v>0</v>
      </c>
      <c r="G49" s="34">
        <v>0</v>
      </c>
      <c r="H49" s="26">
        <f t="shared" si="3"/>
        <v>0</v>
      </c>
      <c r="I49" s="21">
        <v>0</v>
      </c>
      <c r="J49" s="205">
        <f t="shared" si="0"/>
        <v>0</v>
      </c>
      <c r="K49" s="21">
        <v>0</v>
      </c>
      <c r="L49" s="205">
        <f t="shared" si="0"/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39">
        <f t="shared" si="7"/>
        <v>0</v>
      </c>
      <c r="T49" s="38">
        <f t="shared" si="1"/>
        <v>0</v>
      </c>
      <c r="U49" s="21">
        <v>0</v>
      </c>
      <c r="V49" s="13">
        <f t="shared" si="4"/>
        <v>0</v>
      </c>
      <c r="W49" s="49">
        <f t="shared" si="5"/>
        <v>0</v>
      </c>
      <c r="X49" s="50">
        <f t="shared" si="6"/>
        <v>0</v>
      </c>
      <c r="Y49" s="238">
        <v>100</v>
      </c>
      <c r="Z49" s="101">
        <v>300</v>
      </c>
    </row>
    <row r="50" spans="1:26" x14ac:dyDescent="0.25">
      <c r="A50" s="264">
        <v>46</v>
      </c>
      <c r="B50" s="256" t="s">
        <v>87</v>
      </c>
      <c r="C50" s="34">
        <v>0</v>
      </c>
      <c r="D50" s="34">
        <v>0</v>
      </c>
      <c r="E50" s="34">
        <v>0</v>
      </c>
      <c r="F50" s="34">
        <v>0</v>
      </c>
      <c r="G50" s="34">
        <v>0</v>
      </c>
      <c r="H50" s="26">
        <f t="shared" si="3"/>
        <v>0</v>
      </c>
      <c r="I50" s="21">
        <v>0</v>
      </c>
      <c r="J50" s="205">
        <f t="shared" si="0"/>
        <v>0</v>
      </c>
      <c r="K50" s="21">
        <v>0</v>
      </c>
      <c r="L50" s="205">
        <f t="shared" si="0"/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39">
        <f t="shared" si="7"/>
        <v>0</v>
      </c>
      <c r="T50" s="38">
        <f t="shared" si="1"/>
        <v>0</v>
      </c>
      <c r="U50" s="21">
        <v>0</v>
      </c>
      <c r="V50" s="13">
        <f t="shared" si="4"/>
        <v>0</v>
      </c>
      <c r="W50" s="49">
        <f t="shared" si="5"/>
        <v>0</v>
      </c>
      <c r="X50" s="50">
        <f t="shared" si="6"/>
        <v>0</v>
      </c>
      <c r="Y50" s="238">
        <v>30</v>
      </c>
      <c r="Z50" s="101">
        <v>100</v>
      </c>
    </row>
    <row r="51" spans="1:26" x14ac:dyDescent="0.25">
      <c r="A51" s="264">
        <v>47</v>
      </c>
      <c r="B51" s="256" t="s">
        <v>87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26">
        <f t="shared" si="3"/>
        <v>0</v>
      </c>
      <c r="I51" s="21">
        <v>0</v>
      </c>
      <c r="J51" s="205">
        <f t="shared" si="0"/>
        <v>0</v>
      </c>
      <c r="K51" s="21">
        <v>0</v>
      </c>
      <c r="L51" s="205">
        <f t="shared" si="0"/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39">
        <f t="shared" si="7"/>
        <v>0</v>
      </c>
      <c r="T51" s="38">
        <f t="shared" si="1"/>
        <v>0</v>
      </c>
      <c r="U51" s="21">
        <v>0</v>
      </c>
      <c r="V51" s="13">
        <f t="shared" si="4"/>
        <v>0</v>
      </c>
      <c r="W51" s="49">
        <f t="shared" si="5"/>
        <v>0</v>
      </c>
      <c r="X51" s="50">
        <f t="shared" si="6"/>
        <v>0</v>
      </c>
      <c r="Y51" s="238">
        <v>30</v>
      </c>
      <c r="Z51" s="101">
        <v>100</v>
      </c>
    </row>
    <row r="52" spans="1:26" x14ac:dyDescent="0.25">
      <c r="A52" s="264">
        <v>48</v>
      </c>
      <c r="B52" s="256" t="s">
        <v>87</v>
      </c>
      <c r="C52" s="34">
        <v>0</v>
      </c>
      <c r="D52" s="34">
        <v>0</v>
      </c>
      <c r="E52" s="34">
        <v>0</v>
      </c>
      <c r="F52" s="34">
        <v>0</v>
      </c>
      <c r="G52" s="34">
        <v>0</v>
      </c>
      <c r="H52" s="26">
        <f t="shared" si="3"/>
        <v>0</v>
      </c>
      <c r="I52" s="21">
        <v>0</v>
      </c>
      <c r="J52" s="205">
        <f t="shared" si="0"/>
        <v>0</v>
      </c>
      <c r="K52" s="21">
        <v>0</v>
      </c>
      <c r="L52" s="205">
        <f t="shared" si="0"/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39">
        <f t="shared" si="7"/>
        <v>0</v>
      </c>
      <c r="T52" s="38">
        <f t="shared" si="1"/>
        <v>0</v>
      </c>
      <c r="U52" s="21">
        <v>0</v>
      </c>
      <c r="V52" s="13">
        <f t="shared" si="4"/>
        <v>0</v>
      </c>
      <c r="W52" s="49">
        <f t="shared" si="5"/>
        <v>0</v>
      </c>
      <c r="X52" s="50">
        <f t="shared" si="6"/>
        <v>0</v>
      </c>
      <c r="Y52" s="238">
        <v>30</v>
      </c>
      <c r="Z52" s="101">
        <v>100</v>
      </c>
    </row>
    <row r="53" spans="1:26" x14ac:dyDescent="0.25">
      <c r="A53" s="264">
        <v>49</v>
      </c>
      <c r="B53" s="256" t="s">
        <v>87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26">
        <f t="shared" si="3"/>
        <v>0</v>
      </c>
      <c r="I53" s="21">
        <v>0</v>
      </c>
      <c r="J53" s="205">
        <f t="shared" si="0"/>
        <v>0</v>
      </c>
      <c r="K53" s="21">
        <v>0</v>
      </c>
      <c r="L53" s="205">
        <f t="shared" si="0"/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39">
        <f t="shared" si="7"/>
        <v>0</v>
      </c>
      <c r="T53" s="38">
        <f t="shared" si="1"/>
        <v>0</v>
      </c>
      <c r="U53" s="21">
        <v>0</v>
      </c>
      <c r="V53" s="13">
        <f t="shared" si="4"/>
        <v>0</v>
      </c>
      <c r="W53" s="49">
        <f t="shared" si="5"/>
        <v>0</v>
      </c>
      <c r="X53" s="50">
        <f t="shared" si="6"/>
        <v>0</v>
      </c>
      <c r="Y53" s="238">
        <v>200</v>
      </c>
      <c r="Z53" s="101">
        <v>500</v>
      </c>
    </row>
    <row r="54" spans="1:26" x14ac:dyDescent="0.25">
      <c r="A54" s="264">
        <v>50</v>
      </c>
      <c r="B54" s="256" t="s">
        <v>87</v>
      </c>
      <c r="C54" s="34">
        <v>0</v>
      </c>
      <c r="D54" s="34">
        <v>0</v>
      </c>
      <c r="E54" s="34">
        <v>0</v>
      </c>
      <c r="F54" s="34">
        <v>0</v>
      </c>
      <c r="G54" s="34">
        <v>0</v>
      </c>
      <c r="H54" s="26">
        <f t="shared" si="3"/>
        <v>0</v>
      </c>
      <c r="I54" s="21">
        <v>0</v>
      </c>
      <c r="J54" s="205">
        <f t="shared" si="0"/>
        <v>0</v>
      </c>
      <c r="K54" s="21">
        <v>0</v>
      </c>
      <c r="L54" s="205">
        <f t="shared" si="0"/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39">
        <f t="shared" si="7"/>
        <v>0</v>
      </c>
      <c r="T54" s="38">
        <f t="shared" si="1"/>
        <v>0</v>
      </c>
      <c r="U54" s="21">
        <v>0</v>
      </c>
      <c r="V54" s="13">
        <f t="shared" si="4"/>
        <v>0</v>
      </c>
      <c r="W54" s="49">
        <f t="shared" si="5"/>
        <v>0</v>
      </c>
      <c r="X54" s="50">
        <f t="shared" si="6"/>
        <v>0</v>
      </c>
      <c r="Y54" s="238">
        <v>100</v>
      </c>
      <c r="Z54" s="101">
        <v>300</v>
      </c>
    </row>
    <row r="55" spans="1:26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6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6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6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6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6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6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6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6" x14ac:dyDescent="0.2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6" x14ac:dyDescent="0.2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</sheetData>
  <mergeCells count="24">
    <mergeCell ref="C1:H1"/>
    <mergeCell ref="G2:H3"/>
    <mergeCell ref="I2:J2"/>
    <mergeCell ref="K2:L2"/>
    <mergeCell ref="M2:N2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S4:T4"/>
    <mergeCell ref="U4:V4"/>
    <mergeCell ref="W4:X4"/>
    <mergeCell ref="G4:H4"/>
    <mergeCell ref="I4:J4"/>
    <mergeCell ref="K4:L4"/>
    <mergeCell ref="M4:N4"/>
    <mergeCell ref="O4:P4"/>
    <mergeCell ref="Q4:R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Z78"/>
  <sheetViews>
    <sheetView topLeftCell="A7" workbookViewId="0">
      <selection activeCell="J13" sqref="J13"/>
    </sheetView>
  </sheetViews>
  <sheetFormatPr defaultRowHeight="15" x14ac:dyDescent="0.25"/>
  <cols>
    <col min="1" max="1" width="6.42578125" customWidth="1"/>
    <col min="2" max="2" width="30.140625" style="3" customWidth="1"/>
    <col min="3" max="3" width="0.140625" style="2" hidden="1" customWidth="1"/>
    <col min="4" max="4" width="13.85546875" style="2" hidden="1" customWidth="1"/>
    <col min="5" max="5" width="12" style="2" hidden="1" customWidth="1"/>
    <col min="6" max="6" width="13.5703125" style="4" hidden="1" customWidth="1"/>
    <col min="7" max="7" width="8.7109375" style="5" customWidth="1"/>
    <col min="8" max="8" width="9" style="5" customWidth="1"/>
    <col min="9" max="18" width="8.140625" style="2" customWidth="1"/>
    <col min="19" max="19" width="0.140625" style="2" customWidth="1"/>
    <col min="20" max="20" width="8.140625" style="2" hidden="1" customWidth="1"/>
    <col min="21" max="21" width="9.42578125" customWidth="1"/>
    <col min="22" max="22" width="11.7109375" customWidth="1"/>
    <col min="25" max="25" width="10.28515625" customWidth="1"/>
  </cols>
  <sheetData>
    <row r="1" spans="1:26" ht="15.75" thickBot="1" x14ac:dyDescent="0.3">
      <c r="B1" s="4" t="s">
        <v>18</v>
      </c>
      <c r="C1" s="384">
        <v>45200</v>
      </c>
      <c r="D1" s="320"/>
      <c r="E1" s="320"/>
      <c r="F1" s="320"/>
      <c r="G1" s="320"/>
      <c r="H1" s="320"/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45203</v>
      </c>
      <c r="J2" s="326"/>
      <c r="K2" s="327">
        <v>45209</v>
      </c>
      <c r="L2" s="328"/>
      <c r="M2" s="325">
        <v>45216</v>
      </c>
      <c r="N2" s="329"/>
      <c r="O2" s="327">
        <v>45222</v>
      </c>
      <c r="P2" s="346"/>
      <c r="Q2" s="325">
        <v>45230</v>
      </c>
      <c r="R2" s="329"/>
      <c r="S2" s="330" t="s">
        <v>69</v>
      </c>
      <c r="T2" s="331"/>
      <c r="U2" s="334" t="s">
        <v>70</v>
      </c>
      <c r="V2" s="335"/>
      <c r="W2" s="338" t="s">
        <v>71</v>
      </c>
      <c r="X2" s="339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40"/>
      <c r="X3" s="341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51" t="s">
        <v>63</v>
      </c>
      <c r="X4" s="352"/>
      <c r="Y4" s="268" t="s">
        <v>99</v>
      </c>
      <c r="Z4" s="269" t="s">
        <v>100</v>
      </c>
    </row>
    <row r="5" spans="1:26" x14ac:dyDescent="0.25">
      <c r="A5" s="263">
        <v>1</v>
      </c>
      <c r="B5" s="256" t="s">
        <v>134</v>
      </c>
      <c r="C5" s="32">
        <v>70</v>
      </c>
      <c r="D5" s="33">
        <v>64</v>
      </c>
      <c r="E5" s="33">
        <v>8</v>
      </c>
      <c r="F5" s="15">
        <f>(C5*D5*E5)/1000000</f>
        <v>3.5839999999999997E-2</v>
      </c>
      <c r="G5" s="23">
        <v>577</v>
      </c>
      <c r="H5" s="24">
        <f>F5*G5</f>
        <v>20.679679999999998</v>
      </c>
      <c r="I5" s="21">
        <v>0</v>
      </c>
      <c r="J5" s="205">
        <f t="shared" ref="J5:R54" si="0">F5*I5</f>
        <v>0</v>
      </c>
      <c r="K5" s="21">
        <v>0</v>
      </c>
      <c r="L5" s="205">
        <f>F5*K5</f>
        <v>0</v>
      </c>
      <c r="M5" s="21">
        <v>0</v>
      </c>
      <c r="N5" s="205">
        <f>F5*M5</f>
        <v>0</v>
      </c>
      <c r="O5" s="21">
        <v>1</v>
      </c>
      <c r="P5" s="205">
        <f>F5*O5</f>
        <v>3.5839999999999997E-2</v>
      </c>
      <c r="Q5" s="21">
        <v>56</v>
      </c>
      <c r="R5" s="205">
        <f>F5*Q5</f>
        <v>2.0070399999999999</v>
      </c>
      <c r="S5" s="39">
        <f>G5-I5-K5-M5-O5-Q5</f>
        <v>520</v>
      </c>
      <c r="T5" s="38">
        <f t="shared" ref="T5:T54" si="1">F5*S5</f>
        <v>18.636799999999997</v>
      </c>
      <c r="U5" s="21">
        <v>0</v>
      </c>
      <c r="V5" s="13">
        <f>F5*U5</f>
        <v>0</v>
      </c>
      <c r="W5" s="49">
        <f>S5+U5</f>
        <v>520</v>
      </c>
      <c r="X5" s="50">
        <f>F5*W5</f>
        <v>18.636799999999997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135</v>
      </c>
      <c r="C6" s="34">
        <v>70</v>
      </c>
      <c r="D6" s="35">
        <v>80</v>
      </c>
      <c r="E6" s="35">
        <v>8</v>
      </c>
      <c r="F6" s="19">
        <f t="shared" ref="F6:F44" si="2">(C6*D6*E6)/1000000</f>
        <v>4.48E-2</v>
      </c>
      <c r="G6" s="23">
        <v>322</v>
      </c>
      <c r="H6" s="26">
        <f t="shared" ref="H6:H54" si="3">F6*G6</f>
        <v>14.425599999999999</v>
      </c>
      <c r="I6" s="21">
        <v>24</v>
      </c>
      <c r="J6" s="205">
        <f t="shared" si="0"/>
        <v>1.0751999999999999</v>
      </c>
      <c r="K6" s="21">
        <v>0</v>
      </c>
      <c r="L6" s="205">
        <f>F6*K6</f>
        <v>0</v>
      </c>
      <c r="M6" s="21">
        <v>0</v>
      </c>
      <c r="N6" s="205">
        <f>F6*M6</f>
        <v>0</v>
      </c>
      <c r="O6" s="21">
        <v>6</v>
      </c>
      <c r="P6" s="205">
        <f>F6*O6</f>
        <v>0.26879999999999998</v>
      </c>
      <c r="Q6" s="21">
        <v>61</v>
      </c>
      <c r="R6" s="205">
        <f>F6*Q6</f>
        <v>2.7328000000000001</v>
      </c>
      <c r="S6" s="39">
        <f>G6-I6-K6-M6-O6-Q6</f>
        <v>231</v>
      </c>
      <c r="T6" s="38">
        <f t="shared" si="1"/>
        <v>10.348800000000001</v>
      </c>
      <c r="U6" s="21">
        <v>0</v>
      </c>
      <c r="V6" s="13">
        <f t="shared" ref="V6:V54" si="4">F6*U6</f>
        <v>0</v>
      </c>
      <c r="W6" s="49">
        <f t="shared" ref="W6:W54" si="5">S6+U6</f>
        <v>231</v>
      </c>
      <c r="X6" s="50">
        <f t="shared" ref="X6:X54" si="6">F6*W6</f>
        <v>10.348800000000001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136</v>
      </c>
      <c r="C7" s="34">
        <v>70</v>
      </c>
      <c r="D7" s="35">
        <v>74</v>
      </c>
      <c r="E7" s="35">
        <v>8</v>
      </c>
      <c r="F7" s="19">
        <f t="shared" si="2"/>
        <v>4.1439999999999998E-2</v>
      </c>
      <c r="G7" s="23">
        <v>423</v>
      </c>
      <c r="H7" s="26">
        <f t="shared" si="3"/>
        <v>17.529119999999999</v>
      </c>
      <c r="I7" s="21">
        <v>25</v>
      </c>
      <c r="J7" s="205">
        <f t="shared" si="0"/>
        <v>1.036</v>
      </c>
      <c r="K7" s="21">
        <v>0</v>
      </c>
      <c r="L7" s="205">
        <f>F7*K7</f>
        <v>0</v>
      </c>
      <c r="M7" s="21">
        <v>0</v>
      </c>
      <c r="N7" s="205">
        <f>F7*M7</f>
        <v>0</v>
      </c>
      <c r="O7" s="21">
        <v>2</v>
      </c>
      <c r="P7" s="205">
        <f>F7*O7</f>
        <v>8.2879999999999995E-2</v>
      </c>
      <c r="Q7" s="21">
        <v>136</v>
      </c>
      <c r="R7" s="205">
        <f>F7*Q7</f>
        <v>5.63584</v>
      </c>
      <c r="S7" s="39">
        <f t="shared" ref="S7:S54" si="7">G7-I7-K7-M7-O7-Q7</f>
        <v>260</v>
      </c>
      <c r="T7" s="38">
        <f t="shared" si="1"/>
        <v>10.7744</v>
      </c>
      <c r="U7" s="21">
        <v>0</v>
      </c>
      <c r="V7" s="13">
        <f t="shared" si="4"/>
        <v>0</v>
      </c>
      <c r="W7" s="49">
        <f t="shared" si="5"/>
        <v>260</v>
      </c>
      <c r="X7" s="50">
        <f t="shared" si="6"/>
        <v>10.7744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137</v>
      </c>
      <c r="C8" s="34">
        <v>80</v>
      </c>
      <c r="D8" s="35">
        <v>64</v>
      </c>
      <c r="E8" s="35">
        <v>5</v>
      </c>
      <c r="F8" s="19">
        <f t="shared" si="2"/>
        <v>2.5600000000000001E-2</v>
      </c>
      <c r="G8" s="23">
        <v>326</v>
      </c>
      <c r="H8" s="26">
        <f t="shared" si="3"/>
        <v>8.345600000000001</v>
      </c>
      <c r="I8" s="21">
        <v>0</v>
      </c>
      <c r="J8" s="205">
        <f t="shared" si="0"/>
        <v>0</v>
      </c>
      <c r="K8" s="21">
        <v>0</v>
      </c>
      <c r="L8" s="205">
        <f>F8*K8</f>
        <v>0</v>
      </c>
      <c r="M8" s="21">
        <v>0</v>
      </c>
      <c r="N8" s="205">
        <f>F8*M8</f>
        <v>0</v>
      </c>
      <c r="O8" s="21">
        <v>0</v>
      </c>
      <c r="P8" s="205">
        <f>F8*O8</f>
        <v>0</v>
      </c>
      <c r="Q8" s="21">
        <v>0</v>
      </c>
      <c r="R8" s="205">
        <f>F8*Q8</f>
        <v>0</v>
      </c>
      <c r="S8" s="39">
        <f t="shared" si="7"/>
        <v>326</v>
      </c>
      <c r="T8" s="38">
        <f t="shared" si="1"/>
        <v>8.345600000000001</v>
      </c>
      <c r="U8" s="21">
        <v>0</v>
      </c>
      <c r="V8" s="13">
        <f t="shared" si="4"/>
        <v>0</v>
      </c>
      <c r="W8" s="49">
        <f t="shared" si="5"/>
        <v>326</v>
      </c>
      <c r="X8" s="50">
        <f t="shared" si="6"/>
        <v>8.345600000000001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138</v>
      </c>
      <c r="C9" s="34">
        <v>140</v>
      </c>
      <c r="D9" s="35">
        <v>240</v>
      </c>
      <c r="E9" s="35">
        <v>5</v>
      </c>
      <c r="F9" s="19">
        <f t="shared" si="2"/>
        <v>0.16800000000000001</v>
      </c>
      <c r="G9" s="23">
        <v>60</v>
      </c>
      <c r="H9" s="26">
        <f t="shared" si="3"/>
        <v>10.08</v>
      </c>
      <c r="I9" s="21">
        <v>4</v>
      </c>
      <c r="J9" s="205">
        <f t="shared" si="0"/>
        <v>0.67200000000000004</v>
      </c>
      <c r="K9" s="21">
        <v>11</v>
      </c>
      <c r="L9" s="205">
        <f>F9*K9</f>
        <v>1.8480000000000001</v>
      </c>
      <c r="M9" s="21">
        <v>0</v>
      </c>
      <c r="N9" s="205">
        <f>F9*M9</f>
        <v>0</v>
      </c>
      <c r="O9" s="21">
        <v>14</v>
      </c>
      <c r="P9" s="205">
        <f>F9*O9</f>
        <v>2.3520000000000003</v>
      </c>
      <c r="Q9" s="21">
        <v>63</v>
      </c>
      <c r="R9" s="205">
        <f>F9*Q9</f>
        <v>10.584000000000001</v>
      </c>
      <c r="S9" s="39">
        <f t="shared" si="7"/>
        <v>-32</v>
      </c>
      <c r="T9" s="38">
        <f t="shared" si="1"/>
        <v>-5.3760000000000003</v>
      </c>
      <c r="U9" s="21">
        <v>110</v>
      </c>
      <c r="V9" s="13">
        <f t="shared" si="4"/>
        <v>18.48</v>
      </c>
      <c r="W9" s="49">
        <f t="shared" si="5"/>
        <v>78</v>
      </c>
      <c r="X9" s="50">
        <f t="shared" si="6"/>
        <v>13.104000000000001</v>
      </c>
      <c r="Y9" s="238">
        <v>50</v>
      </c>
      <c r="Z9" s="101">
        <v>150</v>
      </c>
    </row>
    <row r="10" spans="1:26" x14ac:dyDescent="0.25">
      <c r="A10" s="264">
        <v>6</v>
      </c>
      <c r="B10" s="256" t="s">
        <v>139</v>
      </c>
      <c r="C10" s="34">
        <v>142</v>
      </c>
      <c r="D10" s="35">
        <v>67</v>
      </c>
      <c r="E10" s="35">
        <v>5</v>
      </c>
      <c r="F10" s="19">
        <f t="shared" si="2"/>
        <v>4.7570000000000001E-2</v>
      </c>
      <c r="G10" s="23">
        <v>8</v>
      </c>
      <c r="H10" s="26">
        <f t="shared" si="3"/>
        <v>0.38056000000000001</v>
      </c>
      <c r="I10" s="21">
        <v>0</v>
      </c>
      <c r="J10" s="205">
        <f t="shared" si="0"/>
        <v>0</v>
      </c>
      <c r="K10" s="21">
        <v>0</v>
      </c>
      <c r="L10" s="205">
        <f t="shared" si="0"/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39">
        <f t="shared" si="7"/>
        <v>8</v>
      </c>
      <c r="T10" s="38">
        <f t="shared" si="1"/>
        <v>0.38056000000000001</v>
      </c>
      <c r="U10" s="21">
        <v>0</v>
      </c>
      <c r="V10" s="13">
        <f t="shared" si="4"/>
        <v>0</v>
      </c>
      <c r="W10" s="49">
        <f t="shared" si="5"/>
        <v>8</v>
      </c>
      <c r="X10" s="50">
        <f t="shared" si="6"/>
        <v>0.38056000000000001</v>
      </c>
      <c r="Y10" s="238">
        <v>75</v>
      </c>
      <c r="Z10" s="101">
        <v>300</v>
      </c>
    </row>
    <row r="11" spans="1:26" x14ac:dyDescent="0.25">
      <c r="A11" s="264">
        <v>7</v>
      </c>
      <c r="B11" s="256" t="s">
        <v>140</v>
      </c>
      <c r="C11" s="34">
        <v>63</v>
      </c>
      <c r="D11" s="35">
        <v>60</v>
      </c>
      <c r="E11" s="35">
        <v>5</v>
      </c>
      <c r="F11" s="19">
        <f t="shared" si="2"/>
        <v>1.89E-2</v>
      </c>
      <c r="G11" s="23">
        <v>0</v>
      </c>
      <c r="H11" s="26">
        <f t="shared" si="3"/>
        <v>0</v>
      </c>
      <c r="I11" s="21">
        <v>0</v>
      </c>
      <c r="J11" s="205">
        <f t="shared" si="0"/>
        <v>0</v>
      </c>
      <c r="K11" s="21">
        <v>0</v>
      </c>
      <c r="L11" s="205">
        <f t="shared" si="0"/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39">
        <f t="shared" si="7"/>
        <v>0</v>
      </c>
      <c r="T11" s="38">
        <f t="shared" si="1"/>
        <v>0</v>
      </c>
      <c r="U11" s="21">
        <v>0</v>
      </c>
      <c r="V11" s="13">
        <f t="shared" si="4"/>
        <v>0</v>
      </c>
      <c r="W11" s="49">
        <f t="shared" si="5"/>
        <v>0</v>
      </c>
      <c r="X11" s="50">
        <f t="shared" si="6"/>
        <v>0</v>
      </c>
      <c r="Y11" s="238">
        <v>20</v>
      </c>
      <c r="Z11" s="101">
        <v>50</v>
      </c>
    </row>
    <row r="12" spans="1:26" x14ac:dyDescent="0.25">
      <c r="A12" s="264">
        <v>8</v>
      </c>
      <c r="B12" s="256" t="s">
        <v>141</v>
      </c>
      <c r="C12" s="34">
        <v>52</v>
      </c>
      <c r="D12" s="35">
        <v>52</v>
      </c>
      <c r="E12" s="35">
        <v>5</v>
      </c>
      <c r="F12" s="19">
        <f t="shared" si="2"/>
        <v>1.3520000000000001E-2</v>
      </c>
      <c r="G12" s="23">
        <v>42</v>
      </c>
      <c r="H12" s="26">
        <f t="shared" si="3"/>
        <v>0.56784000000000001</v>
      </c>
      <c r="I12" s="21">
        <v>0</v>
      </c>
      <c r="J12" s="205">
        <f t="shared" si="0"/>
        <v>0</v>
      </c>
      <c r="K12" s="21">
        <v>0</v>
      </c>
      <c r="L12" s="205">
        <f t="shared" si="0"/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39">
        <f t="shared" si="7"/>
        <v>42</v>
      </c>
      <c r="T12" s="38">
        <f t="shared" si="1"/>
        <v>0.56784000000000001</v>
      </c>
      <c r="U12" s="21">
        <v>0</v>
      </c>
      <c r="V12" s="13">
        <f t="shared" si="4"/>
        <v>0</v>
      </c>
      <c r="W12" s="49">
        <f t="shared" si="5"/>
        <v>42</v>
      </c>
      <c r="X12" s="50">
        <f t="shared" si="6"/>
        <v>0.56784000000000001</v>
      </c>
      <c r="Y12" s="238">
        <v>30</v>
      </c>
      <c r="Z12" s="101">
        <v>100</v>
      </c>
    </row>
    <row r="13" spans="1:26" x14ac:dyDescent="0.25">
      <c r="A13" s="264">
        <v>9</v>
      </c>
      <c r="B13" s="256" t="s">
        <v>142</v>
      </c>
      <c r="C13" s="34">
        <v>140</v>
      </c>
      <c r="D13" s="35">
        <v>240</v>
      </c>
      <c r="E13" s="35">
        <v>5</v>
      </c>
      <c r="F13" s="19">
        <f t="shared" si="2"/>
        <v>0.16800000000000001</v>
      </c>
      <c r="G13" s="23">
        <v>126</v>
      </c>
      <c r="H13" s="26">
        <f t="shared" si="3"/>
        <v>21.168000000000003</v>
      </c>
      <c r="I13" s="21">
        <v>0</v>
      </c>
      <c r="J13" s="205">
        <f t="shared" si="0"/>
        <v>0</v>
      </c>
      <c r="K13" s="21">
        <v>0</v>
      </c>
      <c r="L13" s="205">
        <f t="shared" si="0"/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39">
        <f t="shared" si="7"/>
        <v>126</v>
      </c>
      <c r="T13" s="38">
        <f t="shared" si="1"/>
        <v>21.168000000000003</v>
      </c>
      <c r="U13" s="21">
        <v>0</v>
      </c>
      <c r="V13" s="13">
        <f t="shared" si="4"/>
        <v>0</v>
      </c>
      <c r="W13" s="49">
        <f t="shared" si="5"/>
        <v>126</v>
      </c>
      <c r="X13" s="50">
        <f t="shared" si="6"/>
        <v>21.168000000000003</v>
      </c>
      <c r="Y13" s="238">
        <v>20</v>
      </c>
      <c r="Z13" s="101">
        <v>50</v>
      </c>
    </row>
    <row r="14" spans="1:26" x14ac:dyDescent="0.25">
      <c r="A14" s="264">
        <v>10</v>
      </c>
      <c r="B14" s="256" t="s">
        <v>143</v>
      </c>
      <c r="C14" s="34">
        <v>90</v>
      </c>
      <c r="D14" s="35">
        <v>85</v>
      </c>
      <c r="E14" s="35">
        <v>5</v>
      </c>
      <c r="F14" s="19">
        <f t="shared" si="2"/>
        <v>3.8249999999999999E-2</v>
      </c>
      <c r="G14" s="23">
        <v>56</v>
      </c>
      <c r="H14" s="26">
        <f t="shared" si="3"/>
        <v>2.1419999999999999</v>
      </c>
      <c r="I14" s="21">
        <v>0</v>
      </c>
      <c r="J14" s="205">
        <f t="shared" si="0"/>
        <v>0</v>
      </c>
      <c r="K14" s="21">
        <v>0</v>
      </c>
      <c r="L14" s="205">
        <f t="shared" ref="L14:L20" si="8">F14*K14</f>
        <v>0</v>
      </c>
      <c r="M14" s="21">
        <v>0</v>
      </c>
      <c r="N14" s="205">
        <f t="shared" si="0"/>
        <v>0</v>
      </c>
      <c r="O14" s="21">
        <v>0</v>
      </c>
      <c r="P14" s="205">
        <f t="shared" si="0"/>
        <v>0</v>
      </c>
      <c r="Q14" s="21">
        <v>0</v>
      </c>
      <c r="R14" s="205">
        <f t="shared" si="0"/>
        <v>0</v>
      </c>
      <c r="S14" s="39">
        <f t="shared" si="7"/>
        <v>56</v>
      </c>
      <c r="T14" s="38">
        <f t="shared" si="1"/>
        <v>2.1419999999999999</v>
      </c>
      <c r="U14" s="21">
        <v>0</v>
      </c>
      <c r="V14" s="13">
        <f t="shared" si="4"/>
        <v>0</v>
      </c>
      <c r="W14" s="49">
        <f t="shared" si="5"/>
        <v>56</v>
      </c>
      <c r="X14" s="50">
        <f t="shared" si="6"/>
        <v>2.1419999999999999</v>
      </c>
      <c r="Y14" s="238">
        <v>30</v>
      </c>
      <c r="Z14" s="101">
        <v>100</v>
      </c>
    </row>
    <row r="15" spans="1:26" x14ac:dyDescent="0.25">
      <c r="A15" s="264">
        <v>11</v>
      </c>
      <c r="B15" s="256" t="s">
        <v>144</v>
      </c>
      <c r="C15" s="34">
        <v>140</v>
      </c>
      <c r="D15" s="35">
        <v>240</v>
      </c>
      <c r="E15" s="35">
        <v>5</v>
      </c>
      <c r="F15" s="19">
        <f t="shared" si="2"/>
        <v>0.16800000000000001</v>
      </c>
      <c r="G15" s="23">
        <v>141</v>
      </c>
      <c r="H15" s="26">
        <f t="shared" si="3"/>
        <v>23.688000000000002</v>
      </c>
      <c r="I15" s="21">
        <v>6</v>
      </c>
      <c r="J15" s="205">
        <f t="shared" si="0"/>
        <v>1.008</v>
      </c>
      <c r="K15" s="21">
        <v>5</v>
      </c>
      <c r="L15" s="205">
        <f t="shared" si="8"/>
        <v>0.84000000000000008</v>
      </c>
      <c r="M15" s="21">
        <v>0</v>
      </c>
      <c r="N15" s="205">
        <f t="shared" ref="N15:N20" si="9">F15*M15</f>
        <v>0</v>
      </c>
      <c r="O15" s="21">
        <v>48</v>
      </c>
      <c r="P15" s="205">
        <f t="shared" ref="P15:P20" si="10">F15*O15</f>
        <v>8.0640000000000001</v>
      </c>
      <c r="Q15" s="21">
        <v>3</v>
      </c>
      <c r="R15" s="205">
        <f t="shared" ref="R15:R20" si="11">F15*Q15</f>
        <v>0.504</v>
      </c>
      <c r="S15" s="39">
        <f t="shared" si="7"/>
        <v>79</v>
      </c>
      <c r="T15" s="38">
        <f t="shared" si="1"/>
        <v>13.272</v>
      </c>
      <c r="U15" s="21">
        <v>60</v>
      </c>
      <c r="V15" s="13">
        <f t="shared" si="4"/>
        <v>10.08</v>
      </c>
      <c r="W15" s="49">
        <f t="shared" si="5"/>
        <v>139</v>
      </c>
      <c r="X15" s="50">
        <f t="shared" si="6"/>
        <v>23.352</v>
      </c>
      <c r="Y15" s="238">
        <v>20</v>
      </c>
      <c r="Z15" s="101">
        <v>70</v>
      </c>
    </row>
    <row r="16" spans="1:26" x14ac:dyDescent="0.25">
      <c r="A16" s="264">
        <v>12</v>
      </c>
      <c r="B16" s="256" t="s">
        <v>145</v>
      </c>
      <c r="C16" s="34">
        <v>140</v>
      </c>
      <c r="D16" s="35">
        <v>240</v>
      </c>
      <c r="E16" s="35">
        <v>5</v>
      </c>
      <c r="F16" s="19">
        <f t="shared" si="2"/>
        <v>0.16800000000000001</v>
      </c>
      <c r="G16" s="23">
        <v>131</v>
      </c>
      <c r="H16" s="26">
        <f t="shared" si="3"/>
        <v>22.008000000000003</v>
      </c>
      <c r="I16" s="21">
        <v>7</v>
      </c>
      <c r="J16" s="205">
        <f t="shared" si="0"/>
        <v>1.1760000000000002</v>
      </c>
      <c r="K16" s="21">
        <v>12</v>
      </c>
      <c r="L16" s="205">
        <f t="shared" si="8"/>
        <v>2.016</v>
      </c>
      <c r="M16" s="21">
        <v>0</v>
      </c>
      <c r="N16" s="205">
        <f t="shared" si="9"/>
        <v>0</v>
      </c>
      <c r="O16" s="21">
        <v>6</v>
      </c>
      <c r="P16" s="205">
        <f t="shared" si="10"/>
        <v>1.008</v>
      </c>
      <c r="Q16" s="21">
        <v>16</v>
      </c>
      <c r="R16" s="205">
        <f t="shared" si="11"/>
        <v>2.6880000000000002</v>
      </c>
      <c r="S16" s="39">
        <f t="shared" si="7"/>
        <v>90</v>
      </c>
      <c r="T16" s="38">
        <f t="shared" si="1"/>
        <v>15.120000000000001</v>
      </c>
      <c r="U16" s="21">
        <v>0</v>
      </c>
      <c r="V16" s="13">
        <v>0</v>
      </c>
      <c r="W16" s="49">
        <f t="shared" si="5"/>
        <v>90</v>
      </c>
      <c r="X16" s="50">
        <f t="shared" si="6"/>
        <v>15.120000000000001</v>
      </c>
      <c r="Y16" s="238">
        <v>50</v>
      </c>
      <c r="Z16" s="101">
        <v>150</v>
      </c>
    </row>
    <row r="17" spans="1:26" x14ac:dyDescent="0.25">
      <c r="A17" s="264">
        <v>13</v>
      </c>
      <c r="B17" s="256" t="s">
        <v>146</v>
      </c>
      <c r="C17" s="34">
        <v>140</v>
      </c>
      <c r="D17" s="35">
        <v>240</v>
      </c>
      <c r="E17" s="35">
        <v>8</v>
      </c>
      <c r="F17" s="19">
        <f t="shared" si="2"/>
        <v>0.26879999999999998</v>
      </c>
      <c r="G17" s="23">
        <v>21</v>
      </c>
      <c r="H17" s="26">
        <f t="shared" si="3"/>
        <v>5.6448</v>
      </c>
      <c r="I17" s="21">
        <v>0</v>
      </c>
      <c r="J17" s="205">
        <f t="shared" si="0"/>
        <v>0</v>
      </c>
      <c r="K17" s="21">
        <v>2</v>
      </c>
      <c r="L17" s="205">
        <f t="shared" si="8"/>
        <v>0.53759999999999997</v>
      </c>
      <c r="M17" s="21">
        <v>0</v>
      </c>
      <c r="N17" s="205">
        <f t="shared" si="9"/>
        <v>0</v>
      </c>
      <c r="O17" s="21">
        <v>4</v>
      </c>
      <c r="P17" s="205">
        <f t="shared" si="10"/>
        <v>1.0751999999999999</v>
      </c>
      <c r="Q17" s="21">
        <v>3</v>
      </c>
      <c r="R17" s="205">
        <f t="shared" si="11"/>
        <v>0.80640000000000001</v>
      </c>
      <c r="S17" s="39">
        <f t="shared" si="7"/>
        <v>12</v>
      </c>
      <c r="T17" s="38">
        <f t="shared" si="1"/>
        <v>3.2256</v>
      </c>
      <c r="U17" s="21">
        <v>18</v>
      </c>
      <c r="V17" s="13">
        <f t="shared" si="4"/>
        <v>4.8384</v>
      </c>
      <c r="W17" s="49">
        <f t="shared" si="5"/>
        <v>30</v>
      </c>
      <c r="X17" s="50">
        <f t="shared" si="6"/>
        <v>8.0640000000000001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147</v>
      </c>
      <c r="C18" s="34">
        <v>77</v>
      </c>
      <c r="D18" s="35">
        <v>86</v>
      </c>
      <c r="E18" s="35">
        <v>8</v>
      </c>
      <c r="F18" s="19">
        <f t="shared" si="2"/>
        <v>5.2976000000000002E-2</v>
      </c>
      <c r="G18" s="23">
        <v>556</v>
      </c>
      <c r="H18" s="26">
        <f t="shared" si="3"/>
        <v>29.454656</v>
      </c>
      <c r="I18" s="21">
        <v>24</v>
      </c>
      <c r="J18" s="205">
        <f t="shared" si="0"/>
        <v>1.2714240000000001</v>
      </c>
      <c r="K18" s="21">
        <v>0</v>
      </c>
      <c r="L18" s="205">
        <f t="shared" si="8"/>
        <v>0</v>
      </c>
      <c r="M18" s="21">
        <v>0</v>
      </c>
      <c r="N18" s="205">
        <f t="shared" si="9"/>
        <v>0</v>
      </c>
      <c r="O18" s="21">
        <v>6</v>
      </c>
      <c r="P18" s="205">
        <f t="shared" si="10"/>
        <v>0.31785600000000003</v>
      </c>
      <c r="Q18" s="21">
        <v>67</v>
      </c>
      <c r="R18" s="205">
        <f t="shared" si="11"/>
        <v>3.5493920000000001</v>
      </c>
      <c r="S18" s="39">
        <f t="shared" si="7"/>
        <v>459</v>
      </c>
      <c r="T18" s="38">
        <f t="shared" si="1"/>
        <v>24.315984</v>
      </c>
      <c r="U18" s="21">
        <v>125</v>
      </c>
      <c r="V18" s="13">
        <f t="shared" si="4"/>
        <v>6.6219999999999999</v>
      </c>
      <c r="W18" s="49">
        <f t="shared" si="5"/>
        <v>584</v>
      </c>
      <c r="X18" s="50">
        <f t="shared" si="6"/>
        <v>30.937984</v>
      </c>
      <c r="Y18" s="238">
        <v>30</v>
      </c>
      <c r="Z18" s="101">
        <v>100</v>
      </c>
    </row>
    <row r="19" spans="1:26" x14ac:dyDescent="0.25">
      <c r="A19" s="264">
        <v>15</v>
      </c>
      <c r="B19" s="256" t="s">
        <v>148</v>
      </c>
      <c r="C19" s="34">
        <v>77</v>
      </c>
      <c r="D19" s="35">
        <v>68</v>
      </c>
      <c r="E19" s="35">
        <v>8</v>
      </c>
      <c r="F19" s="19">
        <f t="shared" si="2"/>
        <v>4.1888000000000002E-2</v>
      </c>
      <c r="G19" s="23">
        <v>372</v>
      </c>
      <c r="H19" s="26">
        <f t="shared" si="3"/>
        <v>15.582336</v>
      </c>
      <c r="I19" s="21">
        <v>12</v>
      </c>
      <c r="J19" s="205">
        <f t="shared" si="0"/>
        <v>0.50265599999999999</v>
      </c>
      <c r="K19" s="21">
        <v>0</v>
      </c>
      <c r="L19" s="205">
        <f t="shared" si="8"/>
        <v>0</v>
      </c>
      <c r="M19" s="21">
        <v>0</v>
      </c>
      <c r="N19" s="205">
        <f t="shared" si="9"/>
        <v>0</v>
      </c>
      <c r="O19" s="21">
        <v>1</v>
      </c>
      <c r="P19" s="205">
        <f t="shared" si="10"/>
        <v>4.1888000000000002E-2</v>
      </c>
      <c r="Q19" s="21">
        <v>71</v>
      </c>
      <c r="R19" s="205">
        <f t="shared" si="11"/>
        <v>2.9740480000000002</v>
      </c>
      <c r="S19" s="39">
        <f t="shared" si="7"/>
        <v>288</v>
      </c>
      <c r="T19" s="38">
        <f t="shared" si="1"/>
        <v>12.063744</v>
      </c>
      <c r="U19" s="21">
        <v>39</v>
      </c>
      <c r="V19" s="13">
        <f t="shared" si="4"/>
        <v>1.633632</v>
      </c>
      <c r="W19" s="49">
        <f t="shared" si="5"/>
        <v>327</v>
      </c>
      <c r="X19" s="50">
        <f t="shared" si="6"/>
        <v>13.697376</v>
      </c>
      <c r="Y19" s="238">
        <v>10</v>
      </c>
      <c r="Z19" s="101">
        <v>30</v>
      </c>
    </row>
    <row r="20" spans="1:26" x14ac:dyDescent="0.25">
      <c r="A20" s="264">
        <v>16</v>
      </c>
      <c r="B20" s="256" t="s">
        <v>149</v>
      </c>
      <c r="C20" s="34">
        <v>76</v>
      </c>
      <c r="D20" s="35">
        <v>75</v>
      </c>
      <c r="E20" s="35">
        <v>8</v>
      </c>
      <c r="F20" s="19">
        <f t="shared" si="2"/>
        <v>4.5600000000000002E-2</v>
      </c>
      <c r="G20" s="23">
        <v>375</v>
      </c>
      <c r="H20" s="26">
        <f t="shared" si="3"/>
        <v>17.100000000000001</v>
      </c>
      <c r="I20" s="21">
        <v>28</v>
      </c>
      <c r="J20" s="205">
        <f t="shared" si="0"/>
        <v>1.2768000000000002</v>
      </c>
      <c r="K20" s="21">
        <v>0</v>
      </c>
      <c r="L20" s="205">
        <f t="shared" si="8"/>
        <v>0</v>
      </c>
      <c r="M20" s="21">
        <v>0</v>
      </c>
      <c r="N20" s="205">
        <f t="shared" si="9"/>
        <v>0</v>
      </c>
      <c r="O20" s="21">
        <v>2</v>
      </c>
      <c r="P20" s="205">
        <f t="shared" si="10"/>
        <v>9.1200000000000003E-2</v>
      </c>
      <c r="Q20" s="21">
        <v>141</v>
      </c>
      <c r="R20" s="205">
        <f t="shared" si="11"/>
        <v>6.4296000000000006</v>
      </c>
      <c r="S20" s="39">
        <f t="shared" si="7"/>
        <v>204</v>
      </c>
      <c r="T20" s="38">
        <f t="shared" si="1"/>
        <v>9.3024000000000004</v>
      </c>
      <c r="U20" s="21">
        <v>39</v>
      </c>
      <c r="V20" s="13">
        <f t="shared" si="4"/>
        <v>1.7784</v>
      </c>
      <c r="W20" s="49">
        <f t="shared" si="5"/>
        <v>243</v>
      </c>
      <c r="X20" s="50">
        <f t="shared" si="6"/>
        <v>11.0808</v>
      </c>
      <c r="Y20" s="238">
        <v>0</v>
      </c>
      <c r="Z20" s="101">
        <v>0</v>
      </c>
    </row>
    <row r="21" spans="1:26" x14ac:dyDescent="0.25">
      <c r="A21" s="264">
        <v>17</v>
      </c>
      <c r="B21" s="256" t="s">
        <v>150</v>
      </c>
      <c r="C21" s="34">
        <v>60</v>
      </c>
      <c r="D21" s="35">
        <v>63</v>
      </c>
      <c r="E21" s="35">
        <v>10</v>
      </c>
      <c r="F21" s="19">
        <f t="shared" si="2"/>
        <v>3.78E-2</v>
      </c>
      <c r="G21" s="23">
        <v>263</v>
      </c>
      <c r="H21" s="26">
        <f t="shared" si="3"/>
        <v>9.9413999999999998</v>
      </c>
      <c r="I21" s="21">
        <v>0</v>
      </c>
      <c r="J21" s="205">
        <f t="shared" si="0"/>
        <v>0</v>
      </c>
      <c r="K21" s="21">
        <v>0</v>
      </c>
      <c r="L21" s="205">
        <f t="shared" si="0"/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39">
        <f t="shared" si="7"/>
        <v>263</v>
      </c>
      <c r="T21" s="38">
        <f t="shared" si="1"/>
        <v>9.9413999999999998</v>
      </c>
      <c r="U21" s="21">
        <v>0</v>
      </c>
      <c r="V21" s="13">
        <f t="shared" si="4"/>
        <v>0</v>
      </c>
      <c r="W21" s="49">
        <f t="shared" si="5"/>
        <v>263</v>
      </c>
      <c r="X21" s="50">
        <f t="shared" si="6"/>
        <v>9.9413999999999998</v>
      </c>
      <c r="Y21" s="238">
        <v>0</v>
      </c>
      <c r="Z21" s="101">
        <v>0</v>
      </c>
    </row>
    <row r="22" spans="1:26" x14ac:dyDescent="0.25">
      <c r="A22" s="264">
        <v>18</v>
      </c>
      <c r="B22" s="256" t="s">
        <v>151</v>
      </c>
      <c r="C22" s="34">
        <v>63</v>
      </c>
      <c r="D22" s="35">
        <v>60</v>
      </c>
      <c r="E22" s="35">
        <v>3</v>
      </c>
      <c r="F22" s="19">
        <f t="shared" si="2"/>
        <v>1.1339999999999999E-2</v>
      </c>
      <c r="G22" s="23">
        <v>16</v>
      </c>
      <c r="H22" s="26">
        <f t="shared" si="3"/>
        <v>0.18143999999999999</v>
      </c>
      <c r="I22" s="21">
        <v>0</v>
      </c>
      <c r="J22" s="205">
        <f t="shared" si="0"/>
        <v>0</v>
      </c>
      <c r="K22" s="21">
        <v>0</v>
      </c>
      <c r="L22" s="205">
        <f t="shared" si="0"/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39">
        <f t="shared" si="7"/>
        <v>16</v>
      </c>
      <c r="T22" s="38">
        <f t="shared" si="1"/>
        <v>0.18143999999999999</v>
      </c>
      <c r="U22" s="21">
        <v>0</v>
      </c>
      <c r="V22" s="13">
        <f t="shared" si="4"/>
        <v>0</v>
      </c>
      <c r="W22" s="49">
        <f t="shared" si="5"/>
        <v>16</v>
      </c>
      <c r="X22" s="50">
        <f t="shared" si="6"/>
        <v>0.18143999999999999</v>
      </c>
      <c r="Y22" s="238">
        <v>0</v>
      </c>
      <c r="Z22" s="101">
        <v>0</v>
      </c>
    </row>
    <row r="23" spans="1:26" x14ac:dyDescent="0.25">
      <c r="A23" s="264">
        <v>19</v>
      </c>
      <c r="B23" s="42" t="s">
        <v>152</v>
      </c>
      <c r="C23" s="34">
        <v>140</v>
      </c>
      <c r="D23" s="35">
        <v>240</v>
      </c>
      <c r="E23" s="35">
        <v>1.4</v>
      </c>
      <c r="F23" s="19">
        <f t="shared" si="2"/>
        <v>4.7039999999999998E-2</v>
      </c>
      <c r="G23" s="23">
        <v>104</v>
      </c>
      <c r="H23" s="26">
        <f t="shared" si="3"/>
        <v>4.8921599999999996</v>
      </c>
      <c r="I23" s="21">
        <v>53</v>
      </c>
      <c r="J23" s="205">
        <f t="shared" si="0"/>
        <v>2.4931199999999998</v>
      </c>
      <c r="K23" s="21">
        <v>21</v>
      </c>
      <c r="L23" s="205">
        <f>F23*K23</f>
        <v>0.98783999999999994</v>
      </c>
      <c r="M23" s="21">
        <v>0</v>
      </c>
      <c r="N23" s="205">
        <f t="shared" ref="N23:N36" si="12">F23*M23</f>
        <v>0</v>
      </c>
      <c r="O23" s="21">
        <v>155</v>
      </c>
      <c r="P23" s="205">
        <f t="shared" ref="P23:P36" si="13">F23*O23</f>
        <v>7.2911999999999999</v>
      </c>
      <c r="Q23" s="21">
        <v>102</v>
      </c>
      <c r="R23" s="205">
        <f t="shared" ref="R23:R36" si="14">F23*Q23</f>
        <v>4.7980799999999997</v>
      </c>
      <c r="S23" s="39">
        <f t="shared" si="7"/>
        <v>-227</v>
      </c>
      <c r="T23" s="38">
        <f t="shared" si="1"/>
        <v>-10.67808</v>
      </c>
      <c r="U23" s="21">
        <v>227</v>
      </c>
      <c r="V23" s="13">
        <f t="shared" si="4"/>
        <v>10.67808</v>
      </c>
      <c r="W23" s="49">
        <f t="shared" si="5"/>
        <v>0</v>
      </c>
      <c r="X23" s="50">
        <f t="shared" si="6"/>
        <v>0</v>
      </c>
      <c r="Y23" s="238">
        <v>0</v>
      </c>
      <c r="Z23" s="101">
        <v>0</v>
      </c>
    </row>
    <row r="24" spans="1:26" x14ac:dyDescent="0.25">
      <c r="A24" s="264">
        <v>20</v>
      </c>
      <c r="B24" s="256" t="s">
        <v>3</v>
      </c>
      <c r="C24" s="34">
        <v>140</v>
      </c>
      <c r="D24" s="35">
        <v>240</v>
      </c>
      <c r="E24" s="35">
        <v>0.8</v>
      </c>
      <c r="F24" s="19">
        <f t="shared" si="2"/>
        <v>2.6880000000000001E-2</v>
      </c>
      <c r="G24" s="23">
        <v>276</v>
      </c>
      <c r="H24" s="26">
        <f t="shared" si="3"/>
        <v>7.4188800000000006</v>
      </c>
      <c r="I24" s="21">
        <v>3</v>
      </c>
      <c r="J24" s="205">
        <f t="shared" si="0"/>
        <v>8.0640000000000003E-2</v>
      </c>
      <c r="K24" s="21">
        <v>10</v>
      </c>
      <c r="L24" s="205">
        <f>F24*K24</f>
        <v>0.26880000000000004</v>
      </c>
      <c r="M24" s="21">
        <v>0</v>
      </c>
      <c r="N24" s="205">
        <f t="shared" si="12"/>
        <v>0</v>
      </c>
      <c r="O24" s="21">
        <v>10</v>
      </c>
      <c r="P24" s="205">
        <f t="shared" si="13"/>
        <v>0.26880000000000004</v>
      </c>
      <c r="Q24" s="21">
        <v>27</v>
      </c>
      <c r="R24" s="205">
        <f t="shared" si="14"/>
        <v>0.72576000000000007</v>
      </c>
      <c r="S24" s="39">
        <f t="shared" si="7"/>
        <v>226</v>
      </c>
      <c r="T24" s="38">
        <f t="shared" si="1"/>
        <v>6.0748800000000003</v>
      </c>
      <c r="U24" s="21">
        <v>0</v>
      </c>
      <c r="V24" s="13">
        <f t="shared" si="4"/>
        <v>0</v>
      </c>
      <c r="W24" s="49">
        <f t="shared" si="5"/>
        <v>226</v>
      </c>
      <c r="X24" s="50">
        <f t="shared" si="6"/>
        <v>6.0748800000000003</v>
      </c>
      <c r="Y24" s="238">
        <v>0</v>
      </c>
      <c r="Z24" s="101">
        <v>0</v>
      </c>
    </row>
    <row r="25" spans="1:26" x14ac:dyDescent="0.25">
      <c r="A25" s="264">
        <v>21</v>
      </c>
      <c r="B25" s="256" t="s">
        <v>153</v>
      </c>
      <c r="C25" s="34">
        <v>58</v>
      </c>
      <c r="D25" s="35">
        <v>58</v>
      </c>
      <c r="E25" s="35">
        <v>2.2999999999999998</v>
      </c>
      <c r="F25" s="19">
        <f t="shared" si="2"/>
        <v>7.7371999999999996E-3</v>
      </c>
      <c r="G25" s="23">
        <v>2050</v>
      </c>
      <c r="H25" s="26">
        <f t="shared" si="3"/>
        <v>15.86126</v>
      </c>
      <c r="I25" s="21">
        <v>30</v>
      </c>
      <c r="J25" s="205">
        <f t="shared" si="0"/>
        <v>0.23211599999999999</v>
      </c>
      <c r="K25" s="21">
        <v>0</v>
      </c>
      <c r="L25" s="205">
        <f>F25*K25</f>
        <v>0</v>
      </c>
      <c r="M25" s="21">
        <v>0</v>
      </c>
      <c r="N25" s="205">
        <f t="shared" si="12"/>
        <v>0</v>
      </c>
      <c r="O25" s="21">
        <v>700</v>
      </c>
      <c r="P25" s="205">
        <f t="shared" si="13"/>
        <v>5.4160399999999997</v>
      </c>
      <c r="Q25" s="21">
        <v>10</v>
      </c>
      <c r="R25" s="205">
        <f t="shared" si="14"/>
        <v>7.7371999999999996E-2</v>
      </c>
      <c r="S25" s="39">
        <f t="shared" si="7"/>
        <v>1310</v>
      </c>
      <c r="T25" s="38">
        <f t="shared" si="1"/>
        <v>10.135731999999999</v>
      </c>
      <c r="U25" s="21">
        <v>0</v>
      </c>
      <c r="V25" s="13">
        <f t="shared" si="4"/>
        <v>0</v>
      </c>
      <c r="W25" s="49">
        <f t="shared" si="5"/>
        <v>1310</v>
      </c>
      <c r="X25" s="50">
        <f t="shared" si="6"/>
        <v>10.135731999999999</v>
      </c>
      <c r="Y25" s="238">
        <v>30</v>
      </c>
      <c r="Z25" s="101">
        <v>100</v>
      </c>
    </row>
    <row r="26" spans="1:26" x14ac:dyDescent="0.25">
      <c r="A26" s="264">
        <v>22</v>
      </c>
      <c r="B26" s="256" t="s">
        <v>154</v>
      </c>
      <c r="C26" s="34">
        <v>140</v>
      </c>
      <c r="D26" s="35">
        <v>240</v>
      </c>
      <c r="E26" s="35">
        <v>7</v>
      </c>
      <c r="F26" s="19">
        <f t="shared" si="2"/>
        <v>0.23519999999999999</v>
      </c>
      <c r="G26" s="23">
        <v>14</v>
      </c>
      <c r="H26" s="26">
        <f t="shared" si="3"/>
        <v>3.2927999999999997</v>
      </c>
      <c r="I26" s="21">
        <v>1</v>
      </c>
      <c r="J26" s="205">
        <f t="shared" si="0"/>
        <v>0.23519999999999999</v>
      </c>
      <c r="K26" s="21">
        <v>13</v>
      </c>
      <c r="L26" s="205">
        <f>F26*K26</f>
        <v>3.0575999999999999</v>
      </c>
      <c r="M26" s="21">
        <v>0</v>
      </c>
      <c r="N26" s="205">
        <f t="shared" si="12"/>
        <v>0</v>
      </c>
      <c r="O26" s="21">
        <v>24</v>
      </c>
      <c r="P26" s="205">
        <f t="shared" si="13"/>
        <v>5.6448</v>
      </c>
      <c r="Q26" s="21">
        <v>2</v>
      </c>
      <c r="R26" s="205">
        <f t="shared" si="14"/>
        <v>0.47039999999999998</v>
      </c>
      <c r="S26" s="39">
        <f t="shared" si="7"/>
        <v>-26</v>
      </c>
      <c r="T26" s="38">
        <f t="shared" si="1"/>
        <v>-6.1151999999999997</v>
      </c>
      <c r="U26" s="21">
        <v>54</v>
      </c>
      <c r="V26" s="13">
        <f t="shared" si="4"/>
        <v>12.700799999999999</v>
      </c>
      <c r="W26" s="49">
        <f t="shared" si="5"/>
        <v>28</v>
      </c>
      <c r="X26" s="50">
        <f t="shared" si="6"/>
        <v>6.5855999999999995</v>
      </c>
      <c r="Y26" s="238">
        <v>0</v>
      </c>
      <c r="Z26" s="101">
        <v>0</v>
      </c>
    </row>
    <row r="27" spans="1:26" ht="15.75" x14ac:dyDescent="0.25">
      <c r="A27" s="264">
        <v>23</v>
      </c>
      <c r="B27" s="256" t="s">
        <v>55</v>
      </c>
      <c r="C27" s="111">
        <v>50</v>
      </c>
      <c r="D27" s="112">
        <v>45</v>
      </c>
      <c r="E27" s="112">
        <v>4</v>
      </c>
      <c r="F27" s="19">
        <f t="shared" si="2"/>
        <v>8.9999999999999993E-3</v>
      </c>
      <c r="G27" s="23">
        <v>227</v>
      </c>
      <c r="H27" s="26">
        <f t="shared" si="3"/>
        <v>2.0429999999999997</v>
      </c>
      <c r="I27" s="21">
        <v>0</v>
      </c>
      <c r="J27" s="205">
        <f t="shared" si="0"/>
        <v>0</v>
      </c>
      <c r="K27" s="21">
        <v>0</v>
      </c>
      <c r="L27" s="205">
        <f>F27*K27</f>
        <v>0</v>
      </c>
      <c r="M27" s="21">
        <v>0</v>
      </c>
      <c r="N27" s="205">
        <f t="shared" si="12"/>
        <v>0</v>
      </c>
      <c r="O27" s="21">
        <v>0</v>
      </c>
      <c r="P27" s="205">
        <f t="shared" si="13"/>
        <v>0</v>
      </c>
      <c r="Q27" s="21">
        <v>0</v>
      </c>
      <c r="R27" s="205">
        <f t="shared" si="14"/>
        <v>0</v>
      </c>
      <c r="S27" s="39">
        <f t="shared" si="7"/>
        <v>227</v>
      </c>
      <c r="T27" s="38">
        <f t="shared" si="1"/>
        <v>2.0429999999999997</v>
      </c>
      <c r="U27" s="21">
        <v>0</v>
      </c>
      <c r="V27" s="13">
        <f t="shared" si="4"/>
        <v>0</v>
      </c>
      <c r="W27" s="49">
        <f t="shared" si="5"/>
        <v>227</v>
      </c>
      <c r="X27" s="50">
        <f t="shared" si="6"/>
        <v>2.0429999999999997</v>
      </c>
      <c r="Y27" s="238">
        <v>0</v>
      </c>
      <c r="Z27" s="101">
        <v>0</v>
      </c>
    </row>
    <row r="28" spans="1:26" ht="15.75" x14ac:dyDescent="0.25">
      <c r="A28" s="264">
        <v>24</v>
      </c>
      <c r="B28" s="256" t="s">
        <v>56</v>
      </c>
      <c r="C28" s="111">
        <v>50</v>
      </c>
      <c r="D28" s="112">
        <v>35</v>
      </c>
      <c r="E28" s="112">
        <v>4</v>
      </c>
      <c r="F28" s="19">
        <f t="shared" si="2"/>
        <v>7.0000000000000001E-3</v>
      </c>
      <c r="G28" s="23">
        <v>534</v>
      </c>
      <c r="H28" s="26">
        <f t="shared" si="3"/>
        <v>3.738</v>
      </c>
      <c r="I28" s="21">
        <v>0</v>
      </c>
      <c r="J28" s="205">
        <f t="shared" si="0"/>
        <v>0</v>
      </c>
      <c r="K28" s="21">
        <v>0</v>
      </c>
      <c r="L28" s="205">
        <f ca="1">F28*L28</f>
        <v>0</v>
      </c>
      <c r="M28" s="21">
        <v>0</v>
      </c>
      <c r="N28" s="205">
        <f t="shared" si="12"/>
        <v>0</v>
      </c>
      <c r="O28" s="21">
        <v>86</v>
      </c>
      <c r="P28" s="205">
        <f t="shared" si="13"/>
        <v>0.60199999999999998</v>
      </c>
      <c r="Q28" s="21">
        <v>0</v>
      </c>
      <c r="R28" s="205">
        <f t="shared" si="14"/>
        <v>0</v>
      </c>
      <c r="S28" s="39">
        <f t="shared" si="7"/>
        <v>448</v>
      </c>
      <c r="T28" s="38">
        <f t="shared" si="1"/>
        <v>3.1360000000000001</v>
      </c>
      <c r="U28" s="21">
        <v>0</v>
      </c>
      <c r="V28" s="13">
        <f t="shared" si="4"/>
        <v>0</v>
      </c>
      <c r="W28" s="49">
        <f t="shared" si="5"/>
        <v>448</v>
      </c>
      <c r="X28" s="50">
        <f t="shared" si="6"/>
        <v>3.1360000000000001</v>
      </c>
      <c r="Y28" s="238">
        <v>0</v>
      </c>
      <c r="Z28" s="101">
        <v>0</v>
      </c>
    </row>
    <row r="29" spans="1:26" ht="15.75" x14ac:dyDescent="0.25">
      <c r="A29" s="264">
        <v>25</v>
      </c>
      <c r="B29" s="256" t="s">
        <v>57</v>
      </c>
      <c r="C29" s="111">
        <v>45</v>
      </c>
      <c r="D29" s="112">
        <v>50</v>
      </c>
      <c r="E29" s="112">
        <v>3</v>
      </c>
      <c r="F29" s="19">
        <f t="shared" si="2"/>
        <v>6.7499999999999999E-3</v>
      </c>
      <c r="G29" s="23">
        <v>1278</v>
      </c>
      <c r="H29" s="26">
        <f t="shared" si="3"/>
        <v>8.6265000000000001</v>
      </c>
      <c r="I29" s="21">
        <v>0</v>
      </c>
      <c r="J29" s="205">
        <f t="shared" si="0"/>
        <v>0</v>
      </c>
      <c r="K29" s="21">
        <v>200</v>
      </c>
      <c r="L29" s="205">
        <f t="shared" ref="L29:L36" si="15">F29*K29</f>
        <v>1.35</v>
      </c>
      <c r="M29" s="21">
        <v>0</v>
      </c>
      <c r="N29" s="205">
        <f t="shared" si="12"/>
        <v>0</v>
      </c>
      <c r="O29" s="21">
        <v>145</v>
      </c>
      <c r="P29" s="205">
        <f t="shared" si="13"/>
        <v>0.97875000000000001</v>
      </c>
      <c r="Q29" s="21">
        <v>255</v>
      </c>
      <c r="R29" s="205">
        <f t="shared" si="14"/>
        <v>1.7212499999999999</v>
      </c>
      <c r="S29" s="39">
        <f t="shared" si="7"/>
        <v>678</v>
      </c>
      <c r="T29" s="38">
        <f t="shared" si="1"/>
        <v>4.5765000000000002</v>
      </c>
      <c r="U29" s="21">
        <v>0</v>
      </c>
      <c r="V29" s="13">
        <f t="shared" si="4"/>
        <v>0</v>
      </c>
      <c r="W29" s="49">
        <f t="shared" si="5"/>
        <v>678</v>
      </c>
      <c r="X29" s="50">
        <f t="shared" si="6"/>
        <v>4.5765000000000002</v>
      </c>
      <c r="Y29" s="238">
        <v>0</v>
      </c>
      <c r="Z29" s="101">
        <v>0</v>
      </c>
    </row>
    <row r="30" spans="1:26" ht="15.75" x14ac:dyDescent="0.25">
      <c r="A30" s="264">
        <v>26</v>
      </c>
      <c r="B30" s="256" t="s">
        <v>58</v>
      </c>
      <c r="C30" s="111">
        <v>50</v>
      </c>
      <c r="D30" s="112">
        <v>35</v>
      </c>
      <c r="E30" s="112">
        <v>3</v>
      </c>
      <c r="F30" s="19">
        <f t="shared" si="2"/>
        <v>5.2500000000000003E-3</v>
      </c>
      <c r="G30" s="23">
        <v>1155</v>
      </c>
      <c r="H30" s="26">
        <f t="shared" si="3"/>
        <v>6.0637500000000006</v>
      </c>
      <c r="I30" s="21">
        <v>0</v>
      </c>
      <c r="J30" s="205">
        <f t="shared" si="0"/>
        <v>0</v>
      </c>
      <c r="K30" s="21">
        <v>200</v>
      </c>
      <c r="L30" s="205">
        <f t="shared" si="15"/>
        <v>1.05</v>
      </c>
      <c r="M30" s="21">
        <v>0</v>
      </c>
      <c r="N30" s="205">
        <f t="shared" si="12"/>
        <v>0</v>
      </c>
      <c r="O30" s="21">
        <v>163</v>
      </c>
      <c r="P30" s="205">
        <f t="shared" si="13"/>
        <v>0.85575000000000001</v>
      </c>
      <c r="Q30" s="21">
        <v>0</v>
      </c>
      <c r="R30" s="205">
        <f t="shared" si="14"/>
        <v>0</v>
      </c>
      <c r="S30" s="39">
        <f t="shared" si="7"/>
        <v>792</v>
      </c>
      <c r="T30" s="38">
        <f t="shared" si="1"/>
        <v>4.1580000000000004</v>
      </c>
      <c r="U30" s="21">
        <v>0</v>
      </c>
      <c r="V30" s="13">
        <f t="shared" si="4"/>
        <v>0</v>
      </c>
      <c r="W30" s="49">
        <f t="shared" si="5"/>
        <v>792</v>
      </c>
      <c r="X30" s="50">
        <f t="shared" si="6"/>
        <v>4.1580000000000004</v>
      </c>
      <c r="Y30" s="238">
        <v>0</v>
      </c>
      <c r="Z30" s="101">
        <v>0</v>
      </c>
    </row>
    <row r="31" spans="1:26" x14ac:dyDescent="0.25">
      <c r="A31" s="264">
        <v>27</v>
      </c>
      <c r="B31" s="256" t="s">
        <v>155</v>
      </c>
      <c r="C31" s="34">
        <v>140</v>
      </c>
      <c r="D31" s="35">
        <v>9.5</v>
      </c>
      <c r="E31" s="35">
        <v>6.5</v>
      </c>
      <c r="F31" s="19">
        <f t="shared" si="2"/>
        <v>8.6449999999999999E-3</v>
      </c>
      <c r="G31" s="23">
        <v>421</v>
      </c>
      <c r="H31" s="26">
        <f t="shared" si="3"/>
        <v>3.639545</v>
      </c>
      <c r="I31" s="21">
        <v>30</v>
      </c>
      <c r="J31" s="205">
        <f t="shared" si="0"/>
        <v>0.25934999999999997</v>
      </c>
      <c r="K31" s="21">
        <v>30</v>
      </c>
      <c r="L31" s="205">
        <f t="shared" si="15"/>
        <v>0.25934999999999997</v>
      </c>
      <c r="M31" s="21">
        <v>0</v>
      </c>
      <c r="N31" s="205">
        <f t="shared" si="12"/>
        <v>0</v>
      </c>
      <c r="O31" s="21">
        <v>185</v>
      </c>
      <c r="P31" s="205">
        <f t="shared" si="13"/>
        <v>1.5993249999999999</v>
      </c>
      <c r="Q31" s="21">
        <v>607</v>
      </c>
      <c r="R31" s="205">
        <f t="shared" si="14"/>
        <v>5.2475149999999999</v>
      </c>
      <c r="S31" s="39">
        <f t="shared" si="7"/>
        <v>-431</v>
      </c>
      <c r="T31" s="38">
        <f t="shared" si="1"/>
        <v>-3.7259950000000002</v>
      </c>
      <c r="U31" s="21">
        <v>3680</v>
      </c>
      <c r="V31" s="13">
        <f t="shared" si="4"/>
        <v>31.813600000000001</v>
      </c>
      <c r="W31" s="49">
        <f t="shared" si="5"/>
        <v>3249</v>
      </c>
      <c r="X31" s="50">
        <f t="shared" si="6"/>
        <v>28.087605</v>
      </c>
      <c r="Y31" s="238">
        <v>0</v>
      </c>
      <c r="Z31" s="101">
        <v>0</v>
      </c>
    </row>
    <row r="32" spans="1:26" x14ac:dyDescent="0.25">
      <c r="A32" s="264">
        <v>28</v>
      </c>
      <c r="B32" s="256" t="s">
        <v>156</v>
      </c>
      <c r="C32" s="34">
        <v>140</v>
      </c>
      <c r="D32" s="35">
        <v>240</v>
      </c>
      <c r="E32" s="35">
        <v>1</v>
      </c>
      <c r="F32" s="19">
        <f t="shared" si="2"/>
        <v>3.3599999999999998E-2</v>
      </c>
      <c r="G32" s="23">
        <v>644</v>
      </c>
      <c r="H32" s="26">
        <f t="shared" si="3"/>
        <v>21.638399999999997</v>
      </c>
      <c r="I32" s="21">
        <v>59</v>
      </c>
      <c r="J32" s="205">
        <f t="shared" si="0"/>
        <v>1.9823999999999999</v>
      </c>
      <c r="K32" s="21">
        <v>85</v>
      </c>
      <c r="L32" s="205">
        <f t="shared" si="15"/>
        <v>2.8559999999999999</v>
      </c>
      <c r="M32" s="21">
        <v>0</v>
      </c>
      <c r="N32" s="205">
        <f t="shared" si="12"/>
        <v>0</v>
      </c>
      <c r="O32" s="21">
        <v>261</v>
      </c>
      <c r="P32" s="205">
        <f t="shared" si="13"/>
        <v>8.7695999999999987</v>
      </c>
      <c r="Q32" s="21">
        <v>362</v>
      </c>
      <c r="R32" s="205">
        <v>12.16</v>
      </c>
      <c r="S32" s="39">
        <f t="shared" si="7"/>
        <v>-123</v>
      </c>
      <c r="T32" s="38">
        <f t="shared" si="1"/>
        <v>-4.1327999999999996</v>
      </c>
      <c r="U32" s="21">
        <v>690</v>
      </c>
      <c r="V32" s="13">
        <v>11.34</v>
      </c>
      <c r="W32" s="49">
        <f t="shared" si="5"/>
        <v>567</v>
      </c>
      <c r="X32" s="50">
        <f t="shared" si="6"/>
        <v>19.051199999999998</v>
      </c>
      <c r="Y32" s="238">
        <v>0</v>
      </c>
      <c r="Z32" s="101">
        <v>0</v>
      </c>
    </row>
    <row r="33" spans="1:26" x14ac:dyDescent="0.25">
      <c r="A33" s="264">
        <v>29</v>
      </c>
      <c r="B33" s="256" t="s">
        <v>157</v>
      </c>
      <c r="C33" s="34">
        <v>140</v>
      </c>
      <c r="D33" s="35">
        <v>240</v>
      </c>
      <c r="E33" s="35">
        <v>2</v>
      </c>
      <c r="F33" s="19">
        <f t="shared" si="2"/>
        <v>6.7199999999999996E-2</v>
      </c>
      <c r="G33" s="23">
        <v>220</v>
      </c>
      <c r="H33" s="26">
        <f t="shared" si="3"/>
        <v>14.783999999999999</v>
      </c>
      <c r="I33" s="21">
        <v>10</v>
      </c>
      <c r="J33" s="205">
        <f t="shared" si="0"/>
        <v>0.67199999999999993</v>
      </c>
      <c r="K33" s="21">
        <v>8</v>
      </c>
      <c r="L33" s="205">
        <f t="shared" si="15"/>
        <v>0.53759999999999997</v>
      </c>
      <c r="M33" s="21">
        <v>0</v>
      </c>
      <c r="N33" s="205">
        <f t="shared" si="12"/>
        <v>0</v>
      </c>
      <c r="O33" s="21">
        <v>19</v>
      </c>
      <c r="P33" s="205">
        <f t="shared" si="13"/>
        <v>1.2767999999999999</v>
      </c>
      <c r="Q33" s="21">
        <v>9</v>
      </c>
      <c r="R33" s="205">
        <f>F33*Q33</f>
        <v>0.6048</v>
      </c>
      <c r="S33" s="39">
        <f t="shared" si="7"/>
        <v>174</v>
      </c>
      <c r="T33" s="38">
        <f t="shared" si="1"/>
        <v>11.6928</v>
      </c>
      <c r="U33" s="21">
        <v>0</v>
      </c>
      <c r="V33" s="13">
        <f t="shared" si="4"/>
        <v>0</v>
      </c>
      <c r="W33" s="49">
        <f t="shared" si="5"/>
        <v>174</v>
      </c>
      <c r="X33" s="50">
        <f t="shared" si="6"/>
        <v>11.6928</v>
      </c>
      <c r="Y33" s="238">
        <v>0</v>
      </c>
      <c r="Z33" s="101">
        <v>0</v>
      </c>
    </row>
    <row r="34" spans="1:26" x14ac:dyDescent="0.25">
      <c r="A34" s="264">
        <v>30</v>
      </c>
      <c r="B34" s="256" t="s">
        <v>158</v>
      </c>
      <c r="C34" s="34">
        <v>140</v>
      </c>
      <c r="D34" s="35">
        <v>240</v>
      </c>
      <c r="E34" s="35">
        <v>3</v>
      </c>
      <c r="F34" s="19">
        <f t="shared" si="2"/>
        <v>0.1008</v>
      </c>
      <c r="G34" s="23">
        <v>0</v>
      </c>
      <c r="H34" s="26">
        <f t="shared" si="3"/>
        <v>0</v>
      </c>
      <c r="I34" s="21">
        <v>0</v>
      </c>
      <c r="J34" s="205">
        <f t="shared" si="0"/>
        <v>0</v>
      </c>
      <c r="K34" s="21">
        <v>0</v>
      </c>
      <c r="L34" s="205">
        <f t="shared" si="15"/>
        <v>0</v>
      </c>
      <c r="M34" s="21">
        <v>0</v>
      </c>
      <c r="N34" s="205">
        <f t="shared" si="12"/>
        <v>0</v>
      </c>
      <c r="O34" s="21">
        <v>27</v>
      </c>
      <c r="P34" s="205">
        <f t="shared" si="13"/>
        <v>2.7216</v>
      </c>
      <c r="Q34" s="21">
        <v>45</v>
      </c>
      <c r="R34" s="205">
        <f t="shared" si="14"/>
        <v>4.5359999999999996</v>
      </c>
      <c r="S34" s="39">
        <f t="shared" si="7"/>
        <v>-72</v>
      </c>
      <c r="T34" s="38">
        <f t="shared" si="1"/>
        <v>-7.2576000000000001</v>
      </c>
      <c r="U34" s="21">
        <v>182</v>
      </c>
      <c r="V34" s="13">
        <f t="shared" si="4"/>
        <v>18.345600000000001</v>
      </c>
      <c r="W34" s="49">
        <f t="shared" si="5"/>
        <v>110</v>
      </c>
      <c r="X34" s="50">
        <f t="shared" si="6"/>
        <v>11.088000000000001</v>
      </c>
      <c r="Y34" s="238">
        <v>0</v>
      </c>
      <c r="Z34" s="101">
        <v>0</v>
      </c>
    </row>
    <row r="35" spans="1:26" x14ac:dyDescent="0.25">
      <c r="A35" s="264">
        <v>31</v>
      </c>
      <c r="B35" s="256" t="s">
        <v>159</v>
      </c>
      <c r="C35" s="34">
        <v>140</v>
      </c>
      <c r="D35" s="35">
        <v>240</v>
      </c>
      <c r="E35" s="35">
        <v>4</v>
      </c>
      <c r="F35" s="19">
        <f t="shared" si="2"/>
        <v>0.13439999999999999</v>
      </c>
      <c r="G35" s="23">
        <v>60</v>
      </c>
      <c r="H35" s="26">
        <f t="shared" si="3"/>
        <v>8.0640000000000001</v>
      </c>
      <c r="I35" s="21">
        <v>0</v>
      </c>
      <c r="J35" s="205">
        <f t="shared" si="0"/>
        <v>0</v>
      </c>
      <c r="K35" s="21">
        <v>2</v>
      </c>
      <c r="L35" s="205">
        <f t="shared" si="15"/>
        <v>0.26879999999999998</v>
      </c>
      <c r="M35" s="21">
        <v>0</v>
      </c>
      <c r="N35" s="205">
        <f t="shared" si="12"/>
        <v>0</v>
      </c>
      <c r="O35" s="21">
        <v>14</v>
      </c>
      <c r="P35" s="205">
        <f t="shared" si="13"/>
        <v>1.8815999999999999</v>
      </c>
      <c r="Q35" s="21">
        <v>44</v>
      </c>
      <c r="R35" s="205">
        <f t="shared" si="14"/>
        <v>5.9135999999999997</v>
      </c>
      <c r="S35" s="39">
        <f t="shared" si="7"/>
        <v>0</v>
      </c>
      <c r="T35" s="38">
        <f t="shared" si="1"/>
        <v>0</v>
      </c>
      <c r="U35" s="21">
        <v>0</v>
      </c>
      <c r="V35" s="13">
        <f t="shared" si="4"/>
        <v>0</v>
      </c>
      <c r="W35" s="49">
        <f t="shared" si="5"/>
        <v>0</v>
      </c>
      <c r="X35" s="50">
        <f t="shared" si="6"/>
        <v>0</v>
      </c>
      <c r="Y35" s="238">
        <v>0</v>
      </c>
      <c r="Z35" s="101">
        <v>0</v>
      </c>
    </row>
    <row r="36" spans="1:26" x14ac:dyDescent="0.25">
      <c r="A36" s="264">
        <v>32</v>
      </c>
      <c r="B36" s="256" t="s">
        <v>160</v>
      </c>
      <c r="C36" s="34">
        <v>140</v>
      </c>
      <c r="D36" s="35">
        <v>240</v>
      </c>
      <c r="E36" s="35">
        <v>2</v>
      </c>
      <c r="F36" s="19">
        <f t="shared" si="2"/>
        <v>6.7199999999999996E-2</v>
      </c>
      <c r="G36" s="23">
        <v>606</v>
      </c>
      <c r="H36" s="26">
        <f t="shared" si="3"/>
        <v>40.723199999999999</v>
      </c>
      <c r="I36" s="21">
        <v>23</v>
      </c>
      <c r="J36" s="205">
        <f t="shared" si="0"/>
        <v>1.5455999999999999</v>
      </c>
      <c r="K36" s="21">
        <v>29</v>
      </c>
      <c r="L36" s="205">
        <f t="shared" si="15"/>
        <v>1.9487999999999999</v>
      </c>
      <c r="M36" s="21">
        <v>0</v>
      </c>
      <c r="N36" s="205">
        <f t="shared" si="12"/>
        <v>0</v>
      </c>
      <c r="O36" s="21">
        <v>102</v>
      </c>
      <c r="P36" s="205">
        <f t="shared" si="13"/>
        <v>6.8543999999999992</v>
      </c>
      <c r="Q36" s="21">
        <v>112</v>
      </c>
      <c r="R36" s="205">
        <f t="shared" si="14"/>
        <v>7.5263999999999998</v>
      </c>
      <c r="S36" s="39">
        <f t="shared" si="7"/>
        <v>340</v>
      </c>
      <c r="T36" s="38">
        <f t="shared" si="1"/>
        <v>22.847999999999999</v>
      </c>
      <c r="U36" s="21">
        <v>250</v>
      </c>
      <c r="V36" s="13">
        <f t="shared" si="4"/>
        <v>16.8</v>
      </c>
      <c r="W36" s="49">
        <f t="shared" si="5"/>
        <v>590</v>
      </c>
      <c r="X36" s="50">
        <f t="shared" si="6"/>
        <v>39.647999999999996</v>
      </c>
      <c r="Y36" s="238">
        <v>0</v>
      </c>
      <c r="Z36" s="101">
        <v>0</v>
      </c>
    </row>
    <row r="37" spans="1:26" x14ac:dyDescent="0.25">
      <c r="A37" s="264">
        <v>33</v>
      </c>
      <c r="B37" s="256" t="s">
        <v>161</v>
      </c>
      <c r="C37" s="34">
        <v>140</v>
      </c>
      <c r="D37" s="35">
        <v>240</v>
      </c>
      <c r="E37" s="35">
        <v>6</v>
      </c>
      <c r="F37" s="19">
        <f t="shared" si="2"/>
        <v>0.2016</v>
      </c>
      <c r="G37" s="23">
        <v>34</v>
      </c>
      <c r="H37" s="26">
        <f t="shared" si="3"/>
        <v>6.8544</v>
      </c>
      <c r="I37" s="21">
        <v>0</v>
      </c>
      <c r="J37" s="205">
        <f t="shared" si="0"/>
        <v>0</v>
      </c>
      <c r="K37" s="21">
        <v>0</v>
      </c>
      <c r="L37" s="205">
        <f t="shared" si="0"/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39">
        <f t="shared" si="7"/>
        <v>34</v>
      </c>
      <c r="T37" s="38">
        <f t="shared" si="1"/>
        <v>6.8544</v>
      </c>
      <c r="U37" s="21">
        <v>0</v>
      </c>
      <c r="V37" s="13">
        <f t="shared" si="4"/>
        <v>0</v>
      </c>
      <c r="W37" s="49">
        <f t="shared" si="5"/>
        <v>34</v>
      </c>
      <c r="X37" s="50">
        <f t="shared" si="6"/>
        <v>6.8544</v>
      </c>
      <c r="Y37" s="238">
        <v>0</v>
      </c>
      <c r="Z37" s="101">
        <v>0</v>
      </c>
    </row>
    <row r="38" spans="1:26" x14ac:dyDescent="0.25">
      <c r="A38" s="264">
        <v>34</v>
      </c>
      <c r="B38" s="256" t="s">
        <v>162</v>
      </c>
      <c r="C38" s="34">
        <v>84</v>
      </c>
      <c r="D38" s="35">
        <v>55</v>
      </c>
      <c r="E38" s="35">
        <v>3</v>
      </c>
      <c r="F38" s="19">
        <f t="shared" si="2"/>
        <v>1.3860000000000001E-2</v>
      </c>
      <c r="G38" s="23">
        <v>0</v>
      </c>
      <c r="H38" s="26">
        <f t="shared" si="3"/>
        <v>0</v>
      </c>
      <c r="I38" s="21">
        <v>0</v>
      </c>
      <c r="J38" s="205">
        <f t="shared" si="0"/>
        <v>0</v>
      </c>
      <c r="K38" s="21">
        <v>0</v>
      </c>
      <c r="L38" s="205">
        <f t="shared" si="0"/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39">
        <f t="shared" si="7"/>
        <v>0</v>
      </c>
      <c r="T38" s="38">
        <f t="shared" si="1"/>
        <v>0</v>
      </c>
      <c r="U38" s="21">
        <v>0</v>
      </c>
      <c r="V38" s="13">
        <f t="shared" si="4"/>
        <v>0</v>
      </c>
      <c r="W38" s="49">
        <f t="shared" si="5"/>
        <v>0</v>
      </c>
      <c r="X38" s="50">
        <f t="shared" si="6"/>
        <v>0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163</v>
      </c>
      <c r="C39" s="34">
        <v>90</v>
      </c>
      <c r="D39" s="35">
        <v>90</v>
      </c>
      <c r="E39" s="35">
        <v>3</v>
      </c>
      <c r="F39" s="19">
        <f t="shared" si="2"/>
        <v>2.4299999999999999E-2</v>
      </c>
      <c r="G39" s="23">
        <v>17</v>
      </c>
      <c r="H39" s="26">
        <f t="shared" si="3"/>
        <v>0.41309999999999997</v>
      </c>
      <c r="I39" s="21">
        <v>0</v>
      </c>
      <c r="J39" s="205">
        <f t="shared" si="0"/>
        <v>0</v>
      </c>
      <c r="K39" s="21">
        <v>0</v>
      </c>
      <c r="L39" s="205">
        <f t="shared" si="0"/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39">
        <f t="shared" si="7"/>
        <v>17</v>
      </c>
      <c r="T39" s="38">
        <f t="shared" si="1"/>
        <v>0.41309999999999997</v>
      </c>
      <c r="U39" s="21">
        <v>0</v>
      </c>
      <c r="V39" s="13">
        <f t="shared" si="4"/>
        <v>0</v>
      </c>
      <c r="W39" s="49">
        <f t="shared" si="5"/>
        <v>17</v>
      </c>
      <c r="X39" s="50">
        <f t="shared" si="6"/>
        <v>0.41309999999999997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164</v>
      </c>
      <c r="C40" s="34">
        <v>140</v>
      </c>
      <c r="D40" s="35">
        <v>240</v>
      </c>
      <c r="E40" s="35">
        <v>10</v>
      </c>
      <c r="F40" s="19">
        <f t="shared" si="2"/>
        <v>0.33600000000000002</v>
      </c>
      <c r="G40" s="23">
        <v>4</v>
      </c>
      <c r="H40" s="26">
        <f t="shared" si="3"/>
        <v>1.3440000000000001</v>
      </c>
      <c r="I40" s="21">
        <v>0</v>
      </c>
      <c r="J40" s="205">
        <f t="shared" si="0"/>
        <v>0</v>
      </c>
      <c r="K40" s="21">
        <v>2</v>
      </c>
      <c r="L40" s="205">
        <f>F40*K40</f>
        <v>0.67200000000000004</v>
      </c>
      <c r="M40" s="21">
        <v>0</v>
      </c>
      <c r="N40" s="205">
        <f>F40*M40</f>
        <v>0</v>
      </c>
      <c r="O40" s="21">
        <v>1</v>
      </c>
      <c r="P40" s="205">
        <f>F40*O40</f>
        <v>0.33600000000000002</v>
      </c>
      <c r="Q40" s="21">
        <v>0</v>
      </c>
      <c r="R40" s="205">
        <f>F40*Q40</f>
        <v>0</v>
      </c>
      <c r="S40" s="39">
        <f t="shared" si="7"/>
        <v>1</v>
      </c>
      <c r="T40" s="38">
        <f t="shared" si="1"/>
        <v>0.33600000000000002</v>
      </c>
      <c r="U40" s="21">
        <v>0</v>
      </c>
      <c r="V40" s="13">
        <f t="shared" si="4"/>
        <v>0</v>
      </c>
      <c r="W40" s="49">
        <f t="shared" si="5"/>
        <v>1</v>
      </c>
      <c r="X40" s="50">
        <f t="shared" si="6"/>
        <v>0.33600000000000002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165</v>
      </c>
      <c r="C41" s="34">
        <v>140</v>
      </c>
      <c r="D41" s="35">
        <v>240</v>
      </c>
      <c r="E41" s="35">
        <v>10</v>
      </c>
      <c r="F41" s="19">
        <f t="shared" si="2"/>
        <v>0.33600000000000002</v>
      </c>
      <c r="G41" s="23">
        <v>2</v>
      </c>
      <c r="H41" s="26">
        <f t="shared" si="3"/>
        <v>0.67200000000000004</v>
      </c>
      <c r="I41" s="21">
        <v>0</v>
      </c>
      <c r="J41" s="205">
        <f t="shared" si="0"/>
        <v>0</v>
      </c>
      <c r="K41" s="21">
        <v>1</v>
      </c>
      <c r="L41" s="205">
        <f>F41*K41</f>
        <v>0.33600000000000002</v>
      </c>
      <c r="M41" s="21">
        <v>0</v>
      </c>
      <c r="N41" s="205">
        <f>F41*M41</f>
        <v>0</v>
      </c>
      <c r="O41" s="21">
        <v>6</v>
      </c>
      <c r="P41" s="205">
        <f>F41*O41</f>
        <v>2.016</v>
      </c>
      <c r="Q41" s="21">
        <v>5</v>
      </c>
      <c r="R41" s="205">
        <f>F41*Q41</f>
        <v>1.6800000000000002</v>
      </c>
      <c r="S41" s="39">
        <f t="shared" si="7"/>
        <v>-10</v>
      </c>
      <c r="T41" s="38">
        <f t="shared" si="1"/>
        <v>-3.3600000000000003</v>
      </c>
      <c r="U41" s="21">
        <v>79</v>
      </c>
      <c r="V41" s="13">
        <f t="shared" si="4"/>
        <v>26.544</v>
      </c>
      <c r="W41" s="49">
        <f t="shared" si="5"/>
        <v>69</v>
      </c>
      <c r="X41" s="50">
        <f t="shared" si="6"/>
        <v>23.184000000000001</v>
      </c>
      <c r="Y41" s="238">
        <v>0</v>
      </c>
      <c r="Z41" s="101">
        <v>0</v>
      </c>
    </row>
    <row r="42" spans="1:26" x14ac:dyDescent="0.25">
      <c r="A42" s="264">
        <v>38</v>
      </c>
      <c r="B42" s="256" t="s">
        <v>166</v>
      </c>
      <c r="C42" s="34">
        <v>92</v>
      </c>
      <c r="D42" s="35">
        <v>82</v>
      </c>
      <c r="E42" s="35">
        <v>2</v>
      </c>
      <c r="F42" s="19">
        <f t="shared" si="2"/>
        <v>1.5088000000000001E-2</v>
      </c>
      <c r="G42" s="23">
        <v>28</v>
      </c>
      <c r="H42" s="26">
        <f t="shared" si="3"/>
        <v>0.42246400000000001</v>
      </c>
      <c r="I42" s="21">
        <v>0</v>
      </c>
      <c r="J42" s="205">
        <f t="shared" si="0"/>
        <v>0</v>
      </c>
      <c r="K42" s="21">
        <v>0</v>
      </c>
      <c r="L42" s="205">
        <f t="shared" si="0"/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39">
        <f t="shared" si="7"/>
        <v>28</v>
      </c>
      <c r="T42" s="38">
        <f t="shared" si="1"/>
        <v>0.42246400000000001</v>
      </c>
      <c r="U42" s="21">
        <v>54</v>
      </c>
      <c r="V42" s="13">
        <f t="shared" si="4"/>
        <v>0.81475200000000003</v>
      </c>
      <c r="W42" s="49">
        <f t="shared" si="5"/>
        <v>82</v>
      </c>
      <c r="X42" s="50">
        <f t="shared" si="6"/>
        <v>1.2372160000000001</v>
      </c>
      <c r="Y42" s="238">
        <v>0</v>
      </c>
      <c r="Z42" s="101">
        <v>0</v>
      </c>
    </row>
    <row r="43" spans="1:26" x14ac:dyDescent="0.25">
      <c r="A43" s="264">
        <v>39</v>
      </c>
      <c r="B43" s="256" t="s">
        <v>167</v>
      </c>
      <c r="C43" s="34">
        <v>75</v>
      </c>
      <c r="D43" s="35">
        <v>55</v>
      </c>
      <c r="E43" s="35">
        <v>3</v>
      </c>
      <c r="F43" s="19">
        <f t="shared" si="2"/>
        <v>1.2375000000000001E-2</v>
      </c>
      <c r="G43" s="23">
        <v>52</v>
      </c>
      <c r="H43" s="26">
        <f t="shared" si="3"/>
        <v>0.64350000000000007</v>
      </c>
      <c r="I43" s="21">
        <v>0</v>
      </c>
      <c r="J43" s="205">
        <f t="shared" si="0"/>
        <v>0</v>
      </c>
      <c r="K43" s="21">
        <v>0</v>
      </c>
      <c r="L43" s="205">
        <f t="shared" si="0"/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39">
        <f t="shared" si="7"/>
        <v>52</v>
      </c>
      <c r="T43" s="38">
        <f t="shared" si="1"/>
        <v>0.64350000000000007</v>
      </c>
      <c r="U43" s="21">
        <v>0</v>
      </c>
      <c r="V43" s="13">
        <f t="shared" si="4"/>
        <v>0</v>
      </c>
      <c r="W43" s="49">
        <f t="shared" si="5"/>
        <v>52</v>
      </c>
      <c r="X43" s="50">
        <f t="shared" si="6"/>
        <v>0.64350000000000007</v>
      </c>
      <c r="Y43" s="238">
        <v>50</v>
      </c>
      <c r="Z43" s="101">
        <v>200</v>
      </c>
    </row>
    <row r="44" spans="1:26" x14ac:dyDescent="0.25">
      <c r="A44" s="264">
        <v>40</v>
      </c>
      <c r="B44" s="256" t="s">
        <v>168</v>
      </c>
      <c r="C44" s="34">
        <v>140</v>
      </c>
      <c r="D44" s="35">
        <v>240</v>
      </c>
      <c r="E44" s="35">
        <v>3</v>
      </c>
      <c r="F44" s="19">
        <f t="shared" si="2"/>
        <v>0.1008</v>
      </c>
      <c r="G44" s="23">
        <v>19</v>
      </c>
      <c r="H44" s="26">
        <f t="shared" si="3"/>
        <v>1.9152</v>
      </c>
      <c r="I44" s="21">
        <v>3</v>
      </c>
      <c r="J44" s="205">
        <f t="shared" si="0"/>
        <v>0.3024</v>
      </c>
      <c r="K44" s="21">
        <v>16</v>
      </c>
      <c r="L44" s="205">
        <f>F44*K44</f>
        <v>1.6128</v>
      </c>
      <c r="M44" s="21">
        <v>0</v>
      </c>
      <c r="N44" s="205">
        <f>F44*M44</f>
        <v>0</v>
      </c>
      <c r="O44" s="21">
        <v>0</v>
      </c>
      <c r="P44" s="205">
        <f>F44*O44</f>
        <v>0</v>
      </c>
      <c r="Q44" s="21">
        <v>0</v>
      </c>
      <c r="R44" s="205">
        <f>F44*Q44</f>
        <v>0</v>
      </c>
      <c r="S44" s="39">
        <f t="shared" si="7"/>
        <v>0</v>
      </c>
      <c r="T44" s="38">
        <f t="shared" si="1"/>
        <v>0</v>
      </c>
      <c r="U44" s="21">
        <v>0</v>
      </c>
      <c r="V44" s="13">
        <f t="shared" si="4"/>
        <v>0</v>
      </c>
      <c r="W44" s="49">
        <f t="shared" si="5"/>
        <v>0</v>
      </c>
      <c r="X44" s="50">
        <f t="shared" si="6"/>
        <v>0</v>
      </c>
      <c r="Y44" s="238">
        <v>50</v>
      </c>
      <c r="Z44" s="101">
        <v>200</v>
      </c>
    </row>
    <row r="45" spans="1:26" x14ac:dyDescent="0.25">
      <c r="A45" s="264">
        <v>41</v>
      </c>
      <c r="B45" s="256" t="s">
        <v>169</v>
      </c>
      <c r="C45" s="34">
        <v>0</v>
      </c>
      <c r="D45" s="34">
        <v>0</v>
      </c>
      <c r="E45" s="34">
        <v>0</v>
      </c>
      <c r="F45" s="34">
        <v>0</v>
      </c>
      <c r="G45" s="34">
        <v>0</v>
      </c>
      <c r="H45" s="26">
        <f t="shared" si="3"/>
        <v>0</v>
      </c>
      <c r="I45" s="21">
        <v>0</v>
      </c>
      <c r="J45" s="205">
        <f t="shared" si="0"/>
        <v>0</v>
      </c>
      <c r="K45" s="21">
        <v>0</v>
      </c>
      <c r="L45" s="205">
        <f t="shared" si="0"/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39">
        <f t="shared" si="7"/>
        <v>0</v>
      </c>
      <c r="T45" s="38">
        <f t="shared" si="1"/>
        <v>0</v>
      </c>
      <c r="U45" s="21">
        <v>0</v>
      </c>
      <c r="V45" s="13">
        <f t="shared" si="4"/>
        <v>0</v>
      </c>
      <c r="W45" s="49">
        <f t="shared" si="5"/>
        <v>0</v>
      </c>
      <c r="X45" s="50">
        <f t="shared" si="6"/>
        <v>0</v>
      </c>
      <c r="Y45" s="238">
        <v>50</v>
      </c>
      <c r="Z45" s="101">
        <v>200</v>
      </c>
    </row>
    <row r="46" spans="1:26" x14ac:dyDescent="0.25">
      <c r="A46" s="264">
        <v>42</v>
      </c>
      <c r="B46" s="256" t="s">
        <v>170</v>
      </c>
      <c r="C46" s="34">
        <v>0</v>
      </c>
      <c r="D46" s="34">
        <v>0</v>
      </c>
      <c r="E46" s="34">
        <v>0</v>
      </c>
      <c r="F46" s="34">
        <v>0</v>
      </c>
      <c r="G46" s="34">
        <v>0</v>
      </c>
      <c r="H46" s="26">
        <f t="shared" si="3"/>
        <v>0</v>
      </c>
      <c r="I46" s="21">
        <v>0</v>
      </c>
      <c r="J46" s="205">
        <f t="shared" si="0"/>
        <v>0</v>
      </c>
      <c r="K46" s="21">
        <v>0</v>
      </c>
      <c r="L46" s="205">
        <f t="shared" si="0"/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39">
        <f t="shared" si="7"/>
        <v>0</v>
      </c>
      <c r="T46" s="38">
        <f t="shared" si="1"/>
        <v>0</v>
      </c>
      <c r="U46" s="21">
        <v>0</v>
      </c>
      <c r="V46" s="13">
        <f t="shared" si="4"/>
        <v>0</v>
      </c>
      <c r="W46" s="49">
        <f t="shared" si="5"/>
        <v>0</v>
      </c>
      <c r="X46" s="50">
        <f t="shared" si="6"/>
        <v>0</v>
      </c>
      <c r="Y46" s="238">
        <v>50</v>
      </c>
      <c r="Z46" s="101">
        <v>100</v>
      </c>
    </row>
    <row r="47" spans="1:26" x14ac:dyDescent="0.25">
      <c r="A47" s="264">
        <v>43</v>
      </c>
      <c r="B47" s="256" t="s">
        <v>171</v>
      </c>
      <c r="C47" s="34">
        <v>0</v>
      </c>
      <c r="D47" s="34">
        <v>0</v>
      </c>
      <c r="E47" s="34">
        <v>0</v>
      </c>
      <c r="F47" s="34">
        <v>0</v>
      </c>
      <c r="G47" s="34">
        <v>39</v>
      </c>
      <c r="H47" s="26">
        <f t="shared" si="3"/>
        <v>0</v>
      </c>
      <c r="I47" s="21">
        <v>0</v>
      </c>
      <c r="J47" s="205">
        <f t="shared" si="0"/>
        <v>0</v>
      </c>
      <c r="K47" s="21">
        <v>0</v>
      </c>
      <c r="L47" s="205">
        <f t="shared" si="0"/>
        <v>0</v>
      </c>
      <c r="M47" s="21">
        <v>0</v>
      </c>
      <c r="N47" s="21">
        <v>0</v>
      </c>
      <c r="O47" s="21">
        <v>26</v>
      </c>
      <c r="P47" s="21">
        <v>0</v>
      </c>
      <c r="Q47" s="21">
        <v>0</v>
      </c>
      <c r="R47" s="21">
        <v>0</v>
      </c>
      <c r="S47" s="39">
        <f t="shared" si="7"/>
        <v>13</v>
      </c>
      <c r="T47" s="38">
        <f t="shared" si="1"/>
        <v>0</v>
      </c>
      <c r="U47" s="21">
        <v>0</v>
      </c>
      <c r="V47" s="13">
        <f t="shared" si="4"/>
        <v>0</v>
      </c>
      <c r="W47" s="49">
        <f t="shared" si="5"/>
        <v>13</v>
      </c>
      <c r="X47" s="50">
        <f t="shared" si="6"/>
        <v>0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173</v>
      </c>
      <c r="C48" s="34">
        <v>0</v>
      </c>
      <c r="D48" s="34">
        <v>0</v>
      </c>
      <c r="E48" s="34">
        <v>0</v>
      </c>
      <c r="F48" s="34">
        <v>0</v>
      </c>
      <c r="G48" s="34">
        <v>0</v>
      </c>
      <c r="H48" s="26">
        <f t="shared" si="3"/>
        <v>0</v>
      </c>
      <c r="I48" s="21">
        <v>0</v>
      </c>
      <c r="J48" s="205">
        <f t="shared" si="0"/>
        <v>0</v>
      </c>
      <c r="K48" s="21">
        <v>0</v>
      </c>
      <c r="L48" s="205">
        <f t="shared" si="0"/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39">
        <f t="shared" si="7"/>
        <v>0</v>
      </c>
      <c r="T48" s="38">
        <f t="shared" si="1"/>
        <v>0</v>
      </c>
      <c r="U48" s="21">
        <v>0</v>
      </c>
      <c r="V48" s="13">
        <f t="shared" si="4"/>
        <v>0</v>
      </c>
      <c r="W48" s="49">
        <f t="shared" si="5"/>
        <v>0</v>
      </c>
      <c r="X48" s="50">
        <f t="shared" si="6"/>
        <v>0</v>
      </c>
      <c r="Y48" s="238">
        <v>50</v>
      </c>
      <c r="Z48" s="101">
        <v>200</v>
      </c>
    </row>
    <row r="49" spans="1:26" x14ac:dyDescent="0.25">
      <c r="A49" s="264">
        <v>45</v>
      </c>
      <c r="B49" s="256" t="s">
        <v>174</v>
      </c>
      <c r="C49" s="34">
        <v>0</v>
      </c>
      <c r="D49" s="34">
        <v>0</v>
      </c>
      <c r="E49" s="34">
        <v>0</v>
      </c>
      <c r="F49" s="34">
        <v>0</v>
      </c>
      <c r="G49" s="34">
        <v>0</v>
      </c>
      <c r="H49" s="26">
        <f t="shared" si="3"/>
        <v>0</v>
      </c>
      <c r="I49" s="21">
        <v>0</v>
      </c>
      <c r="J49" s="205">
        <f t="shared" si="0"/>
        <v>0</v>
      </c>
      <c r="K49" s="21">
        <v>0</v>
      </c>
      <c r="L49" s="205">
        <f t="shared" si="0"/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39">
        <f t="shared" si="7"/>
        <v>0</v>
      </c>
      <c r="T49" s="38">
        <f t="shared" si="1"/>
        <v>0</v>
      </c>
      <c r="U49" s="21">
        <v>15</v>
      </c>
      <c r="V49" s="13">
        <f t="shared" si="4"/>
        <v>0</v>
      </c>
      <c r="W49" s="49">
        <f t="shared" si="5"/>
        <v>15</v>
      </c>
      <c r="X49" s="50">
        <f t="shared" si="6"/>
        <v>0</v>
      </c>
      <c r="Y49" s="238">
        <v>100</v>
      </c>
      <c r="Z49" s="101">
        <v>300</v>
      </c>
    </row>
    <row r="50" spans="1:26" x14ac:dyDescent="0.25">
      <c r="A50" s="264">
        <v>46</v>
      </c>
      <c r="B50" s="256" t="s">
        <v>175</v>
      </c>
      <c r="C50" s="34">
        <v>0</v>
      </c>
      <c r="D50" s="34">
        <v>0</v>
      </c>
      <c r="E50" s="34">
        <v>0</v>
      </c>
      <c r="F50" s="34">
        <v>0</v>
      </c>
      <c r="G50" s="34">
        <v>0</v>
      </c>
      <c r="H50" s="26">
        <f t="shared" si="3"/>
        <v>0</v>
      </c>
      <c r="I50" s="21">
        <v>0</v>
      </c>
      <c r="J50" s="205">
        <f t="shared" si="0"/>
        <v>0</v>
      </c>
      <c r="K50" s="21">
        <v>0</v>
      </c>
      <c r="L50" s="205">
        <f t="shared" si="0"/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39">
        <f t="shared" si="7"/>
        <v>0</v>
      </c>
      <c r="T50" s="38">
        <f t="shared" si="1"/>
        <v>0</v>
      </c>
      <c r="U50" s="21">
        <v>15</v>
      </c>
      <c r="V50" s="13">
        <f t="shared" si="4"/>
        <v>0</v>
      </c>
      <c r="W50" s="49">
        <f t="shared" si="5"/>
        <v>15</v>
      </c>
      <c r="X50" s="50">
        <f t="shared" si="6"/>
        <v>0</v>
      </c>
      <c r="Y50" s="238">
        <v>30</v>
      </c>
      <c r="Z50" s="101">
        <v>100</v>
      </c>
    </row>
    <row r="51" spans="1:26" x14ac:dyDescent="0.25">
      <c r="A51" s="264">
        <v>47</v>
      </c>
      <c r="B51" s="256" t="s">
        <v>87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26">
        <f t="shared" si="3"/>
        <v>0</v>
      </c>
      <c r="I51" s="21">
        <v>0</v>
      </c>
      <c r="J51" s="205">
        <f t="shared" si="0"/>
        <v>0</v>
      </c>
      <c r="K51" s="21">
        <v>0</v>
      </c>
      <c r="L51" s="205">
        <f t="shared" si="0"/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39">
        <f t="shared" si="7"/>
        <v>0</v>
      </c>
      <c r="T51" s="38">
        <f t="shared" si="1"/>
        <v>0</v>
      </c>
      <c r="U51" s="21">
        <v>0</v>
      </c>
      <c r="V51" s="13">
        <f t="shared" si="4"/>
        <v>0</v>
      </c>
      <c r="W51" s="49">
        <f t="shared" si="5"/>
        <v>0</v>
      </c>
      <c r="X51" s="50">
        <f t="shared" si="6"/>
        <v>0</v>
      </c>
      <c r="Y51" s="238">
        <v>30</v>
      </c>
      <c r="Z51" s="101">
        <v>100</v>
      </c>
    </row>
    <row r="52" spans="1:26" x14ac:dyDescent="0.25">
      <c r="A52" s="264">
        <v>48</v>
      </c>
      <c r="B52" s="256" t="s">
        <v>87</v>
      </c>
      <c r="C52" s="34">
        <v>0</v>
      </c>
      <c r="D52" s="34">
        <v>0</v>
      </c>
      <c r="E52" s="34">
        <v>0</v>
      </c>
      <c r="F52" s="34">
        <v>0</v>
      </c>
      <c r="G52" s="34">
        <v>0</v>
      </c>
      <c r="H52" s="26">
        <f t="shared" si="3"/>
        <v>0</v>
      </c>
      <c r="I52" s="21">
        <v>0</v>
      </c>
      <c r="J52" s="205">
        <f t="shared" si="0"/>
        <v>0</v>
      </c>
      <c r="K52" s="21">
        <v>0</v>
      </c>
      <c r="L52" s="205">
        <f t="shared" si="0"/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39">
        <f t="shared" si="7"/>
        <v>0</v>
      </c>
      <c r="T52" s="38">
        <f t="shared" si="1"/>
        <v>0</v>
      </c>
      <c r="U52" s="21">
        <v>0</v>
      </c>
      <c r="V52" s="13">
        <f t="shared" si="4"/>
        <v>0</v>
      </c>
      <c r="W52" s="49">
        <f t="shared" si="5"/>
        <v>0</v>
      </c>
      <c r="X52" s="50">
        <f t="shared" si="6"/>
        <v>0</v>
      </c>
      <c r="Y52" s="238">
        <v>30</v>
      </c>
      <c r="Z52" s="101">
        <v>100</v>
      </c>
    </row>
    <row r="53" spans="1:26" x14ac:dyDescent="0.25">
      <c r="A53" s="264">
        <v>49</v>
      </c>
      <c r="B53" s="256" t="s">
        <v>87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26">
        <f t="shared" si="3"/>
        <v>0</v>
      </c>
      <c r="I53" s="21">
        <v>0</v>
      </c>
      <c r="J53" s="205">
        <f t="shared" si="0"/>
        <v>0</v>
      </c>
      <c r="K53" s="21">
        <v>0</v>
      </c>
      <c r="L53" s="205">
        <f t="shared" si="0"/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39">
        <f t="shared" si="7"/>
        <v>0</v>
      </c>
      <c r="T53" s="38">
        <f t="shared" si="1"/>
        <v>0</v>
      </c>
      <c r="U53" s="21">
        <v>0</v>
      </c>
      <c r="V53" s="13">
        <f t="shared" si="4"/>
        <v>0</v>
      </c>
      <c r="W53" s="49">
        <f t="shared" si="5"/>
        <v>0</v>
      </c>
      <c r="X53" s="50">
        <f t="shared" si="6"/>
        <v>0</v>
      </c>
      <c r="Y53" s="238">
        <v>200</v>
      </c>
      <c r="Z53" s="101">
        <v>500</v>
      </c>
    </row>
    <row r="54" spans="1:26" x14ac:dyDescent="0.25">
      <c r="A54" s="264">
        <v>50</v>
      </c>
      <c r="B54" s="256" t="s">
        <v>87</v>
      </c>
      <c r="C54" s="34">
        <v>0</v>
      </c>
      <c r="D54" s="34">
        <v>0</v>
      </c>
      <c r="E54" s="34">
        <v>0</v>
      </c>
      <c r="F54" s="34">
        <v>0</v>
      </c>
      <c r="G54" s="34">
        <v>0</v>
      </c>
      <c r="H54" s="26">
        <f t="shared" si="3"/>
        <v>0</v>
      </c>
      <c r="I54" s="21">
        <v>0</v>
      </c>
      <c r="J54" s="205">
        <f t="shared" si="0"/>
        <v>0</v>
      </c>
      <c r="K54" s="21">
        <v>0</v>
      </c>
      <c r="L54" s="205">
        <f t="shared" si="0"/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39">
        <f t="shared" si="7"/>
        <v>0</v>
      </c>
      <c r="T54" s="38">
        <f t="shared" si="1"/>
        <v>0</v>
      </c>
      <c r="U54" s="21">
        <v>0</v>
      </c>
      <c r="V54" s="13">
        <f t="shared" si="4"/>
        <v>0</v>
      </c>
      <c r="W54" s="49">
        <f t="shared" si="5"/>
        <v>0</v>
      </c>
      <c r="X54" s="50">
        <f t="shared" si="6"/>
        <v>0</v>
      </c>
      <c r="Y54" s="238">
        <v>100</v>
      </c>
      <c r="Z54" s="101">
        <v>300</v>
      </c>
    </row>
    <row r="55" spans="1:26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6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6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6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6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6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6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6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6" x14ac:dyDescent="0.2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6" x14ac:dyDescent="0.2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</sheetData>
  <mergeCells count="24">
    <mergeCell ref="S4:T4"/>
    <mergeCell ref="U4:V4"/>
    <mergeCell ref="W4:X4"/>
    <mergeCell ref="G4:H4"/>
    <mergeCell ref="I4:J4"/>
    <mergeCell ref="K4:L4"/>
    <mergeCell ref="M4:N4"/>
    <mergeCell ref="O4:P4"/>
    <mergeCell ref="Q4:R4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C1:H1"/>
    <mergeCell ref="G2:H3"/>
    <mergeCell ref="I2:J2"/>
    <mergeCell ref="K2:L2"/>
    <mergeCell ref="M2:N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Z78"/>
  <sheetViews>
    <sheetView topLeftCell="B4" workbookViewId="0">
      <selection activeCell="W32" sqref="W32"/>
    </sheetView>
  </sheetViews>
  <sheetFormatPr defaultRowHeight="15" x14ac:dyDescent="0.25"/>
  <cols>
    <col min="1" max="1" width="6.42578125" customWidth="1"/>
    <col min="2" max="2" width="30.140625" style="3" customWidth="1"/>
    <col min="3" max="3" width="0.140625" style="2" hidden="1" customWidth="1"/>
    <col min="4" max="4" width="13.85546875" style="2" hidden="1" customWidth="1"/>
    <col min="5" max="5" width="12" style="2" hidden="1" customWidth="1"/>
    <col min="6" max="6" width="13.5703125" style="4" hidden="1" customWidth="1"/>
    <col min="7" max="7" width="8.7109375" style="5" customWidth="1"/>
    <col min="8" max="8" width="9" style="5" customWidth="1"/>
    <col min="9" max="18" width="8.140625" style="2" customWidth="1"/>
    <col min="19" max="19" width="0.140625" style="2" customWidth="1"/>
    <col min="20" max="20" width="8.140625" style="2" hidden="1" customWidth="1"/>
    <col min="21" max="21" width="9.42578125" customWidth="1"/>
    <col min="22" max="22" width="11.7109375" customWidth="1"/>
    <col min="25" max="25" width="10.28515625" customWidth="1"/>
  </cols>
  <sheetData>
    <row r="1" spans="1:26" ht="15.75" thickBot="1" x14ac:dyDescent="0.3">
      <c r="B1" s="4" t="s">
        <v>18</v>
      </c>
      <c r="C1" s="384">
        <v>45231</v>
      </c>
      <c r="D1" s="320"/>
      <c r="E1" s="320"/>
      <c r="F1" s="320"/>
      <c r="G1" s="320"/>
      <c r="H1" s="320"/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45237</v>
      </c>
      <c r="J2" s="326"/>
      <c r="K2" s="327">
        <v>45244</v>
      </c>
      <c r="L2" s="328"/>
      <c r="M2" s="325">
        <v>45250</v>
      </c>
      <c r="N2" s="329"/>
      <c r="O2" s="327">
        <v>45257</v>
      </c>
      <c r="P2" s="346"/>
      <c r="Q2" s="325">
        <v>45260</v>
      </c>
      <c r="R2" s="329"/>
      <c r="S2" s="330" t="s">
        <v>69</v>
      </c>
      <c r="T2" s="331"/>
      <c r="U2" s="334" t="s">
        <v>70</v>
      </c>
      <c r="V2" s="335"/>
      <c r="W2" s="338" t="s">
        <v>71</v>
      </c>
      <c r="X2" s="339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40"/>
      <c r="X3" s="341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51" t="s">
        <v>63</v>
      </c>
      <c r="X4" s="352"/>
      <c r="Y4" s="268" t="s">
        <v>99</v>
      </c>
      <c r="Z4" s="269" t="s">
        <v>100</v>
      </c>
    </row>
    <row r="5" spans="1:26" x14ac:dyDescent="0.25">
      <c r="A5" s="263">
        <v>1</v>
      </c>
      <c r="B5" s="256" t="s">
        <v>134</v>
      </c>
      <c r="C5" s="32">
        <v>70</v>
      </c>
      <c r="D5" s="33">
        <v>64</v>
      </c>
      <c r="E5" s="33">
        <v>8</v>
      </c>
      <c r="F5" s="15">
        <f>(C5*D5*E5)/1000000</f>
        <v>3.5839999999999997E-2</v>
      </c>
      <c r="G5" s="23">
        <v>520</v>
      </c>
      <c r="H5" s="24">
        <f>F5*G5</f>
        <v>18.636799999999997</v>
      </c>
      <c r="I5" s="21">
        <v>58</v>
      </c>
      <c r="J5" s="205">
        <f t="shared" ref="J5:R54" si="0">F5*I5</f>
        <v>2.0787199999999997</v>
      </c>
      <c r="K5" s="21">
        <v>41</v>
      </c>
      <c r="L5" s="205">
        <f>F5*K5</f>
        <v>1.4694399999999999</v>
      </c>
      <c r="M5" s="21">
        <v>36</v>
      </c>
      <c r="N5" s="205">
        <f>F5*M5</f>
        <v>1.2902399999999998</v>
      </c>
      <c r="O5" s="21">
        <v>22</v>
      </c>
      <c r="P5" s="205">
        <f>F5*O5</f>
        <v>0.78847999999999996</v>
      </c>
      <c r="Q5" s="21">
        <v>0</v>
      </c>
      <c r="R5" s="205">
        <f>F5*Q5</f>
        <v>0</v>
      </c>
      <c r="S5" s="39">
        <f>G5-I5-K5-M5-O5-Q5</f>
        <v>363</v>
      </c>
      <c r="T5" s="38">
        <f t="shared" ref="T5:T54" si="1">F5*S5</f>
        <v>13.009919999999999</v>
      </c>
      <c r="U5" s="21">
        <v>0</v>
      </c>
      <c r="V5" s="13">
        <f>F5*U5</f>
        <v>0</v>
      </c>
      <c r="W5" s="49">
        <f>S5+U5</f>
        <v>363</v>
      </c>
      <c r="X5" s="50">
        <f>F5*W5</f>
        <v>13.009919999999999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135</v>
      </c>
      <c r="C6" s="34">
        <v>70</v>
      </c>
      <c r="D6" s="35">
        <v>80</v>
      </c>
      <c r="E6" s="35">
        <v>8</v>
      </c>
      <c r="F6" s="19">
        <f t="shared" ref="F6:F44" si="2">(C6*D6*E6)/1000000</f>
        <v>4.48E-2</v>
      </c>
      <c r="G6" s="23">
        <v>231</v>
      </c>
      <c r="H6" s="26">
        <f t="shared" ref="H6:H54" si="3">F6*G6</f>
        <v>10.348800000000001</v>
      </c>
      <c r="I6" s="21">
        <v>44</v>
      </c>
      <c r="J6" s="205">
        <f t="shared" si="0"/>
        <v>1.9712000000000001</v>
      </c>
      <c r="K6" s="21">
        <v>40</v>
      </c>
      <c r="L6" s="205">
        <f>F6*K6</f>
        <v>1.792</v>
      </c>
      <c r="M6" s="21">
        <v>36</v>
      </c>
      <c r="N6" s="205">
        <f>F6*M6</f>
        <v>1.6128</v>
      </c>
      <c r="O6" s="21">
        <v>8</v>
      </c>
      <c r="P6" s="205">
        <f>F6*O6</f>
        <v>0.3584</v>
      </c>
      <c r="Q6" s="21">
        <v>10</v>
      </c>
      <c r="R6" s="205">
        <f>F6*Q6</f>
        <v>0.44800000000000001</v>
      </c>
      <c r="S6" s="39">
        <f>G6-I6-K6-M6-O6-Q6</f>
        <v>93</v>
      </c>
      <c r="T6" s="38">
        <f t="shared" si="1"/>
        <v>4.1664000000000003</v>
      </c>
      <c r="U6" s="21">
        <v>0</v>
      </c>
      <c r="V6" s="13">
        <f t="shared" ref="V6:V54" si="4">F6*U6</f>
        <v>0</v>
      </c>
      <c r="W6" s="49">
        <f t="shared" ref="W6:W54" si="5">S6+U6</f>
        <v>93</v>
      </c>
      <c r="X6" s="50">
        <f t="shared" ref="X6:X54" si="6">F6*W6</f>
        <v>4.1664000000000003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136</v>
      </c>
      <c r="C7" s="34">
        <v>70</v>
      </c>
      <c r="D7" s="35">
        <v>74</v>
      </c>
      <c r="E7" s="35">
        <v>8</v>
      </c>
      <c r="F7" s="19">
        <f t="shared" si="2"/>
        <v>4.1439999999999998E-2</v>
      </c>
      <c r="G7" s="23">
        <v>260</v>
      </c>
      <c r="H7" s="26">
        <f t="shared" si="3"/>
        <v>10.7744</v>
      </c>
      <c r="I7" s="21">
        <v>76</v>
      </c>
      <c r="J7" s="205">
        <f t="shared" si="0"/>
        <v>3.1494399999999998</v>
      </c>
      <c r="K7" s="21">
        <v>64</v>
      </c>
      <c r="L7" s="205">
        <f>F7*K7</f>
        <v>2.6521599999999999</v>
      </c>
      <c r="M7" s="21">
        <v>74</v>
      </c>
      <c r="N7" s="205">
        <f>F7*M7</f>
        <v>3.06656</v>
      </c>
      <c r="O7" s="21">
        <v>0</v>
      </c>
      <c r="P7" s="205">
        <f>F7*O7</f>
        <v>0</v>
      </c>
      <c r="Q7" s="21">
        <v>0</v>
      </c>
      <c r="R7" s="205">
        <f>F7*Q7</f>
        <v>0</v>
      </c>
      <c r="S7" s="39">
        <f t="shared" ref="S7:S54" si="7">G7-I7-K7-M7-O7-Q7</f>
        <v>46</v>
      </c>
      <c r="T7" s="38">
        <f t="shared" si="1"/>
        <v>1.9062399999999999</v>
      </c>
      <c r="U7" s="21">
        <v>0</v>
      </c>
      <c r="V7" s="13">
        <f t="shared" si="4"/>
        <v>0</v>
      </c>
      <c r="W7" s="49">
        <f t="shared" si="5"/>
        <v>46</v>
      </c>
      <c r="X7" s="50">
        <f t="shared" si="6"/>
        <v>1.9062399999999999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137</v>
      </c>
      <c r="C8" s="34">
        <v>80</v>
      </c>
      <c r="D8" s="35">
        <v>64</v>
      </c>
      <c r="E8" s="35">
        <v>5</v>
      </c>
      <c r="F8" s="19">
        <f t="shared" si="2"/>
        <v>2.5600000000000001E-2</v>
      </c>
      <c r="G8" s="23">
        <v>326</v>
      </c>
      <c r="H8" s="26">
        <f t="shared" si="3"/>
        <v>8.345600000000001</v>
      </c>
      <c r="I8" s="21">
        <v>0</v>
      </c>
      <c r="J8" s="205">
        <f t="shared" si="0"/>
        <v>0</v>
      </c>
      <c r="K8" s="21">
        <v>0</v>
      </c>
      <c r="L8" s="205">
        <f>F8*K8</f>
        <v>0</v>
      </c>
      <c r="M8" s="21">
        <v>0</v>
      </c>
      <c r="N8" s="205">
        <f>F8*M8</f>
        <v>0</v>
      </c>
      <c r="O8" s="21">
        <v>0</v>
      </c>
      <c r="P8" s="205">
        <f>F8*O8</f>
        <v>0</v>
      </c>
      <c r="Q8" s="21">
        <v>0</v>
      </c>
      <c r="R8" s="205">
        <f>F8*Q8</f>
        <v>0</v>
      </c>
      <c r="S8" s="39">
        <f t="shared" si="7"/>
        <v>326</v>
      </c>
      <c r="T8" s="38">
        <f t="shared" si="1"/>
        <v>8.345600000000001</v>
      </c>
      <c r="U8" s="21">
        <v>0</v>
      </c>
      <c r="V8" s="13">
        <f t="shared" si="4"/>
        <v>0</v>
      </c>
      <c r="W8" s="49">
        <f t="shared" si="5"/>
        <v>326</v>
      </c>
      <c r="X8" s="50">
        <f t="shared" si="6"/>
        <v>8.345600000000001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138</v>
      </c>
      <c r="C9" s="34">
        <v>140</v>
      </c>
      <c r="D9" s="35">
        <v>240</v>
      </c>
      <c r="E9" s="35">
        <v>5</v>
      </c>
      <c r="F9" s="19">
        <f t="shared" si="2"/>
        <v>0.16800000000000001</v>
      </c>
      <c r="G9" s="23">
        <v>78</v>
      </c>
      <c r="H9" s="26">
        <f t="shared" si="3"/>
        <v>13.104000000000001</v>
      </c>
      <c r="I9" s="21">
        <v>8</v>
      </c>
      <c r="J9" s="205">
        <f t="shared" si="0"/>
        <v>1.3440000000000001</v>
      </c>
      <c r="K9" s="21">
        <v>39</v>
      </c>
      <c r="L9" s="205">
        <f>F9*K9</f>
        <v>6.5520000000000005</v>
      </c>
      <c r="M9" s="21">
        <v>21</v>
      </c>
      <c r="N9" s="205">
        <f>F9*M9</f>
        <v>3.528</v>
      </c>
      <c r="O9" s="21">
        <v>34</v>
      </c>
      <c r="P9" s="205">
        <f>F9*O9</f>
        <v>5.7120000000000006</v>
      </c>
      <c r="Q9" s="21">
        <v>24</v>
      </c>
      <c r="R9" s="205">
        <f>F9*Q9</f>
        <v>4.032</v>
      </c>
      <c r="S9" s="39">
        <f t="shared" si="7"/>
        <v>-48</v>
      </c>
      <c r="T9" s="38">
        <f t="shared" si="1"/>
        <v>-8.0640000000000001</v>
      </c>
      <c r="U9" s="21">
        <v>36</v>
      </c>
      <c r="V9" s="13">
        <f t="shared" si="4"/>
        <v>6.048</v>
      </c>
      <c r="W9" s="49">
        <f t="shared" si="5"/>
        <v>-12</v>
      </c>
      <c r="X9" s="50">
        <f t="shared" si="6"/>
        <v>-2.016</v>
      </c>
      <c r="Y9" s="238">
        <v>50</v>
      </c>
      <c r="Z9" s="101">
        <v>150</v>
      </c>
    </row>
    <row r="10" spans="1:26" x14ac:dyDescent="0.25">
      <c r="A10" s="264">
        <v>6</v>
      </c>
      <c r="B10" s="256" t="s">
        <v>139</v>
      </c>
      <c r="C10" s="34">
        <v>142</v>
      </c>
      <c r="D10" s="35">
        <v>67</v>
      </c>
      <c r="E10" s="35">
        <v>5</v>
      </c>
      <c r="F10" s="19">
        <f t="shared" si="2"/>
        <v>4.7570000000000001E-2</v>
      </c>
      <c r="G10" s="23">
        <v>8</v>
      </c>
      <c r="H10" s="26">
        <f t="shared" si="3"/>
        <v>0.38056000000000001</v>
      </c>
      <c r="I10" s="21">
        <v>0</v>
      </c>
      <c r="J10" s="205">
        <f t="shared" si="0"/>
        <v>0</v>
      </c>
      <c r="K10" s="21">
        <v>0</v>
      </c>
      <c r="L10" s="205">
        <f t="shared" si="0"/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39">
        <f t="shared" si="7"/>
        <v>8</v>
      </c>
      <c r="T10" s="38">
        <f t="shared" si="1"/>
        <v>0.38056000000000001</v>
      </c>
      <c r="U10" s="21">
        <v>0</v>
      </c>
      <c r="V10" s="13">
        <f t="shared" si="4"/>
        <v>0</v>
      </c>
      <c r="W10" s="49">
        <f t="shared" si="5"/>
        <v>8</v>
      </c>
      <c r="X10" s="50">
        <f t="shared" si="6"/>
        <v>0.38056000000000001</v>
      </c>
      <c r="Y10" s="238">
        <v>75</v>
      </c>
      <c r="Z10" s="101">
        <v>300</v>
      </c>
    </row>
    <row r="11" spans="1:26" x14ac:dyDescent="0.25">
      <c r="A11" s="264">
        <v>7</v>
      </c>
      <c r="B11" s="256" t="s">
        <v>140</v>
      </c>
      <c r="C11" s="34">
        <v>63</v>
      </c>
      <c r="D11" s="35">
        <v>60</v>
      </c>
      <c r="E11" s="35">
        <v>5</v>
      </c>
      <c r="F11" s="19">
        <f t="shared" si="2"/>
        <v>1.89E-2</v>
      </c>
      <c r="G11" s="23">
        <v>0</v>
      </c>
      <c r="H11" s="26">
        <f t="shared" si="3"/>
        <v>0</v>
      </c>
      <c r="I11" s="21">
        <v>0</v>
      </c>
      <c r="J11" s="205">
        <f t="shared" si="0"/>
        <v>0</v>
      </c>
      <c r="K11" s="21">
        <v>0</v>
      </c>
      <c r="L11" s="205">
        <f t="shared" si="0"/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39">
        <f t="shared" si="7"/>
        <v>0</v>
      </c>
      <c r="T11" s="38">
        <f t="shared" si="1"/>
        <v>0</v>
      </c>
      <c r="U11" s="21">
        <v>0</v>
      </c>
      <c r="V11" s="13">
        <f t="shared" si="4"/>
        <v>0</v>
      </c>
      <c r="W11" s="49">
        <f t="shared" si="5"/>
        <v>0</v>
      </c>
      <c r="X11" s="50">
        <f t="shared" si="6"/>
        <v>0</v>
      </c>
      <c r="Y11" s="238">
        <v>20</v>
      </c>
      <c r="Z11" s="101">
        <v>50</v>
      </c>
    </row>
    <row r="12" spans="1:26" x14ac:dyDescent="0.25">
      <c r="A12" s="264">
        <v>8</v>
      </c>
      <c r="B12" s="256" t="s">
        <v>141</v>
      </c>
      <c r="C12" s="34">
        <v>52</v>
      </c>
      <c r="D12" s="35">
        <v>52</v>
      </c>
      <c r="E12" s="35">
        <v>5</v>
      </c>
      <c r="F12" s="19">
        <f t="shared" si="2"/>
        <v>1.3520000000000001E-2</v>
      </c>
      <c r="G12" s="23">
        <v>42</v>
      </c>
      <c r="H12" s="26">
        <f t="shared" si="3"/>
        <v>0.56784000000000001</v>
      </c>
      <c r="I12" s="21">
        <v>0</v>
      </c>
      <c r="J12" s="205">
        <f t="shared" si="0"/>
        <v>0</v>
      </c>
      <c r="K12" s="21">
        <v>0</v>
      </c>
      <c r="L12" s="205">
        <f t="shared" si="0"/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39">
        <f t="shared" si="7"/>
        <v>42</v>
      </c>
      <c r="T12" s="38">
        <f t="shared" si="1"/>
        <v>0.56784000000000001</v>
      </c>
      <c r="U12" s="21">
        <v>0</v>
      </c>
      <c r="V12" s="13">
        <f t="shared" si="4"/>
        <v>0</v>
      </c>
      <c r="W12" s="49">
        <f t="shared" si="5"/>
        <v>42</v>
      </c>
      <c r="X12" s="50">
        <f t="shared" si="6"/>
        <v>0.56784000000000001</v>
      </c>
      <c r="Y12" s="238">
        <v>30</v>
      </c>
      <c r="Z12" s="101">
        <v>100</v>
      </c>
    </row>
    <row r="13" spans="1:26" x14ac:dyDescent="0.25">
      <c r="A13" s="264">
        <v>9</v>
      </c>
      <c r="B13" s="256" t="s">
        <v>142</v>
      </c>
      <c r="C13" s="34">
        <v>140</v>
      </c>
      <c r="D13" s="35">
        <v>240</v>
      </c>
      <c r="E13" s="35">
        <v>5</v>
      </c>
      <c r="F13" s="19">
        <f t="shared" si="2"/>
        <v>0.16800000000000001</v>
      </c>
      <c r="G13" s="23">
        <v>27</v>
      </c>
      <c r="H13" s="26">
        <f t="shared" si="3"/>
        <v>4.5360000000000005</v>
      </c>
      <c r="I13" s="21">
        <v>6</v>
      </c>
      <c r="J13" s="205">
        <f t="shared" si="0"/>
        <v>1.008</v>
      </c>
      <c r="K13" s="21">
        <v>2</v>
      </c>
      <c r="L13" s="205">
        <f>F13*K13</f>
        <v>0.33600000000000002</v>
      </c>
      <c r="M13" s="21">
        <v>0</v>
      </c>
      <c r="N13" s="205">
        <f>F13*M13</f>
        <v>0</v>
      </c>
      <c r="O13" s="21">
        <v>0</v>
      </c>
      <c r="P13" s="205">
        <f>F13*O13</f>
        <v>0</v>
      </c>
      <c r="Q13" s="21">
        <v>5</v>
      </c>
      <c r="R13" s="205">
        <f>F13*Q13</f>
        <v>0.84000000000000008</v>
      </c>
      <c r="S13" s="39">
        <f t="shared" si="7"/>
        <v>14</v>
      </c>
      <c r="T13" s="38">
        <f t="shared" si="1"/>
        <v>2.3520000000000003</v>
      </c>
      <c r="U13" s="21">
        <v>0</v>
      </c>
      <c r="V13" s="13">
        <f t="shared" si="4"/>
        <v>0</v>
      </c>
      <c r="W13" s="49">
        <f t="shared" si="5"/>
        <v>14</v>
      </c>
      <c r="X13" s="50">
        <f t="shared" si="6"/>
        <v>2.3520000000000003</v>
      </c>
      <c r="Y13" s="238">
        <v>20</v>
      </c>
      <c r="Z13" s="101">
        <v>50</v>
      </c>
    </row>
    <row r="14" spans="1:26" x14ac:dyDescent="0.25">
      <c r="A14" s="264">
        <v>10</v>
      </c>
      <c r="B14" s="256" t="s">
        <v>143</v>
      </c>
      <c r="C14" s="34">
        <v>90</v>
      </c>
      <c r="D14" s="35">
        <v>85</v>
      </c>
      <c r="E14" s="35">
        <v>5</v>
      </c>
      <c r="F14" s="19">
        <f t="shared" si="2"/>
        <v>3.8249999999999999E-2</v>
      </c>
      <c r="G14" s="23">
        <v>56</v>
      </c>
      <c r="H14" s="26">
        <f t="shared" si="3"/>
        <v>2.1419999999999999</v>
      </c>
      <c r="I14" s="21">
        <v>0</v>
      </c>
      <c r="J14" s="205">
        <f t="shared" si="0"/>
        <v>0</v>
      </c>
      <c r="K14" s="21">
        <v>0</v>
      </c>
      <c r="L14" s="205">
        <f t="shared" ref="L14:L20" si="8">F14*K14</f>
        <v>0</v>
      </c>
      <c r="M14" s="21">
        <v>0</v>
      </c>
      <c r="N14" s="205">
        <f t="shared" si="0"/>
        <v>0</v>
      </c>
      <c r="O14" s="21">
        <v>0</v>
      </c>
      <c r="P14" s="205">
        <f t="shared" si="0"/>
        <v>0</v>
      </c>
      <c r="Q14" s="21">
        <v>0</v>
      </c>
      <c r="R14" s="205">
        <f t="shared" si="0"/>
        <v>0</v>
      </c>
      <c r="S14" s="39">
        <f t="shared" si="7"/>
        <v>56</v>
      </c>
      <c r="T14" s="38">
        <f t="shared" si="1"/>
        <v>2.1419999999999999</v>
      </c>
      <c r="U14" s="21">
        <v>0</v>
      </c>
      <c r="V14" s="13">
        <f t="shared" si="4"/>
        <v>0</v>
      </c>
      <c r="W14" s="49">
        <f t="shared" si="5"/>
        <v>56</v>
      </c>
      <c r="X14" s="50">
        <f t="shared" si="6"/>
        <v>2.1419999999999999</v>
      </c>
      <c r="Y14" s="238">
        <v>30</v>
      </c>
      <c r="Z14" s="101">
        <v>100</v>
      </c>
    </row>
    <row r="15" spans="1:26" x14ac:dyDescent="0.25">
      <c r="A15" s="264">
        <v>11</v>
      </c>
      <c r="B15" s="256" t="s">
        <v>144</v>
      </c>
      <c r="C15" s="34">
        <v>140</v>
      </c>
      <c r="D15" s="35">
        <v>240</v>
      </c>
      <c r="E15" s="35">
        <v>5</v>
      </c>
      <c r="F15" s="19">
        <f t="shared" si="2"/>
        <v>0.16800000000000001</v>
      </c>
      <c r="G15" s="23">
        <v>46</v>
      </c>
      <c r="H15" s="26">
        <f t="shared" si="3"/>
        <v>7.7280000000000006</v>
      </c>
      <c r="I15" s="21">
        <v>0</v>
      </c>
      <c r="J15" s="205">
        <f t="shared" si="0"/>
        <v>0</v>
      </c>
      <c r="K15" s="21">
        <v>5</v>
      </c>
      <c r="L15" s="205">
        <f t="shared" si="8"/>
        <v>0.84000000000000008</v>
      </c>
      <c r="M15" s="21">
        <v>7</v>
      </c>
      <c r="N15" s="205">
        <f t="shared" ref="N15:N20" si="9">F15*M15</f>
        <v>1.1760000000000002</v>
      </c>
      <c r="O15" s="21">
        <v>22</v>
      </c>
      <c r="P15" s="205">
        <f t="shared" ref="P15:P20" si="10">F15*O15</f>
        <v>3.6960000000000002</v>
      </c>
      <c r="Q15" s="21">
        <v>9</v>
      </c>
      <c r="R15" s="205">
        <f t="shared" ref="R15:R20" si="11">F15*Q15</f>
        <v>1.512</v>
      </c>
      <c r="S15" s="39">
        <f t="shared" si="7"/>
        <v>3</v>
      </c>
      <c r="T15" s="38">
        <f t="shared" si="1"/>
        <v>0.504</v>
      </c>
      <c r="U15" s="21">
        <v>0</v>
      </c>
      <c r="V15" s="13">
        <f t="shared" si="4"/>
        <v>0</v>
      </c>
      <c r="W15" s="49">
        <f t="shared" si="5"/>
        <v>3</v>
      </c>
      <c r="X15" s="50">
        <f t="shared" si="6"/>
        <v>0.504</v>
      </c>
      <c r="Y15" s="238">
        <v>20</v>
      </c>
      <c r="Z15" s="101">
        <v>70</v>
      </c>
    </row>
    <row r="16" spans="1:26" x14ac:dyDescent="0.25">
      <c r="A16" s="264">
        <v>12</v>
      </c>
      <c r="B16" s="256" t="s">
        <v>145</v>
      </c>
      <c r="C16" s="34">
        <v>140</v>
      </c>
      <c r="D16" s="35">
        <v>240</v>
      </c>
      <c r="E16" s="35">
        <v>5</v>
      </c>
      <c r="F16" s="19">
        <f t="shared" si="2"/>
        <v>0.16800000000000001</v>
      </c>
      <c r="G16" s="23">
        <v>63</v>
      </c>
      <c r="H16" s="26">
        <f t="shared" si="3"/>
        <v>10.584000000000001</v>
      </c>
      <c r="I16" s="21">
        <v>12</v>
      </c>
      <c r="J16" s="205">
        <f t="shared" si="0"/>
        <v>2.016</v>
      </c>
      <c r="K16" s="21">
        <v>22</v>
      </c>
      <c r="L16" s="205">
        <f t="shared" si="8"/>
        <v>3.6960000000000002</v>
      </c>
      <c r="M16" s="21">
        <v>4</v>
      </c>
      <c r="N16" s="205">
        <f t="shared" si="9"/>
        <v>0.67200000000000004</v>
      </c>
      <c r="O16" s="21">
        <v>13</v>
      </c>
      <c r="P16" s="205">
        <f t="shared" si="10"/>
        <v>2.1840000000000002</v>
      </c>
      <c r="Q16" s="21">
        <v>4</v>
      </c>
      <c r="R16" s="205">
        <f t="shared" si="11"/>
        <v>0.67200000000000004</v>
      </c>
      <c r="S16" s="39">
        <f t="shared" si="7"/>
        <v>8</v>
      </c>
      <c r="T16" s="38">
        <f t="shared" si="1"/>
        <v>1.3440000000000001</v>
      </c>
      <c r="U16" s="21">
        <v>173</v>
      </c>
      <c r="V16" s="13">
        <v>0</v>
      </c>
      <c r="W16" s="49">
        <f t="shared" si="5"/>
        <v>181</v>
      </c>
      <c r="X16" s="50">
        <f t="shared" si="6"/>
        <v>30.408000000000001</v>
      </c>
      <c r="Y16" s="238">
        <v>50</v>
      </c>
      <c r="Z16" s="101">
        <v>150</v>
      </c>
    </row>
    <row r="17" spans="1:26" x14ac:dyDescent="0.25">
      <c r="A17" s="264">
        <v>13</v>
      </c>
      <c r="B17" s="256" t="s">
        <v>146</v>
      </c>
      <c r="C17" s="34">
        <v>140</v>
      </c>
      <c r="D17" s="35">
        <v>240</v>
      </c>
      <c r="E17" s="35">
        <v>8</v>
      </c>
      <c r="F17" s="19">
        <f t="shared" si="2"/>
        <v>0.26879999999999998</v>
      </c>
      <c r="G17" s="23">
        <v>30</v>
      </c>
      <c r="H17" s="26">
        <f t="shared" si="3"/>
        <v>8.0640000000000001</v>
      </c>
      <c r="I17" s="21">
        <v>0</v>
      </c>
      <c r="J17" s="205">
        <f t="shared" si="0"/>
        <v>0</v>
      </c>
      <c r="K17" s="21">
        <v>1</v>
      </c>
      <c r="L17" s="205">
        <f t="shared" si="8"/>
        <v>0.26879999999999998</v>
      </c>
      <c r="M17" s="21">
        <v>1</v>
      </c>
      <c r="N17" s="205">
        <f t="shared" si="9"/>
        <v>0.26879999999999998</v>
      </c>
      <c r="O17" s="21">
        <v>1</v>
      </c>
      <c r="P17" s="205">
        <f t="shared" si="10"/>
        <v>0.26879999999999998</v>
      </c>
      <c r="Q17" s="21">
        <v>1</v>
      </c>
      <c r="R17" s="205">
        <f t="shared" si="11"/>
        <v>0.26879999999999998</v>
      </c>
      <c r="S17" s="39">
        <f t="shared" si="7"/>
        <v>26</v>
      </c>
      <c r="T17" s="38">
        <f t="shared" si="1"/>
        <v>6.9887999999999995</v>
      </c>
      <c r="U17" s="21">
        <v>0</v>
      </c>
      <c r="V17" s="13">
        <f t="shared" si="4"/>
        <v>0</v>
      </c>
      <c r="W17" s="49">
        <f t="shared" si="5"/>
        <v>26</v>
      </c>
      <c r="X17" s="50">
        <f t="shared" si="6"/>
        <v>6.9887999999999995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147</v>
      </c>
      <c r="C18" s="34">
        <v>77</v>
      </c>
      <c r="D18" s="35">
        <v>86</v>
      </c>
      <c r="E18" s="35">
        <v>8</v>
      </c>
      <c r="F18" s="19">
        <f t="shared" si="2"/>
        <v>5.2976000000000002E-2</v>
      </c>
      <c r="G18" s="23">
        <v>584</v>
      </c>
      <c r="H18" s="26">
        <f t="shared" si="3"/>
        <v>30.937984</v>
      </c>
      <c r="I18" s="21">
        <v>42</v>
      </c>
      <c r="J18" s="205">
        <f t="shared" si="0"/>
        <v>2.2249920000000003</v>
      </c>
      <c r="K18" s="21">
        <v>44</v>
      </c>
      <c r="L18" s="205">
        <f t="shared" si="8"/>
        <v>2.3309440000000001</v>
      </c>
      <c r="M18" s="21">
        <v>34</v>
      </c>
      <c r="N18" s="205">
        <f t="shared" si="9"/>
        <v>1.8011840000000001</v>
      </c>
      <c r="O18" s="21">
        <v>8</v>
      </c>
      <c r="P18" s="205">
        <f t="shared" si="10"/>
        <v>0.42380800000000002</v>
      </c>
      <c r="Q18" s="21">
        <v>12</v>
      </c>
      <c r="R18" s="205">
        <f t="shared" si="11"/>
        <v>0.63571200000000005</v>
      </c>
      <c r="S18" s="39">
        <f t="shared" si="7"/>
        <v>444</v>
      </c>
      <c r="T18" s="38">
        <f t="shared" si="1"/>
        <v>23.521344000000003</v>
      </c>
      <c r="U18" s="21">
        <v>0</v>
      </c>
      <c r="V18" s="13">
        <f t="shared" si="4"/>
        <v>0</v>
      </c>
      <c r="W18" s="49">
        <f t="shared" si="5"/>
        <v>444</v>
      </c>
      <c r="X18" s="50">
        <f t="shared" si="6"/>
        <v>23.521344000000003</v>
      </c>
      <c r="Y18" s="238">
        <v>30</v>
      </c>
      <c r="Z18" s="101">
        <v>100</v>
      </c>
    </row>
    <row r="19" spans="1:26" x14ac:dyDescent="0.25">
      <c r="A19" s="264">
        <v>15</v>
      </c>
      <c r="B19" s="256" t="s">
        <v>148</v>
      </c>
      <c r="C19" s="34">
        <v>77</v>
      </c>
      <c r="D19" s="35">
        <v>68</v>
      </c>
      <c r="E19" s="35">
        <v>8</v>
      </c>
      <c r="F19" s="19">
        <f t="shared" si="2"/>
        <v>4.1888000000000002E-2</v>
      </c>
      <c r="G19" s="23">
        <v>327</v>
      </c>
      <c r="H19" s="26">
        <f t="shared" si="3"/>
        <v>13.697376</v>
      </c>
      <c r="I19" s="21">
        <v>38</v>
      </c>
      <c r="J19" s="205">
        <f t="shared" si="0"/>
        <v>1.591744</v>
      </c>
      <c r="K19" s="21">
        <v>41</v>
      </c>
      <c r="L19" s="205">
        <f t="shared" si="8"/>
        <v>1.717408</v>
      </c>
      <c r="M19" s="21">
        <v>36</v>
      </c>
      <c r="N19" s="205">
        <f t="shared" si="9"/>
        <v>1.507968</v>
      </c>
      <c r="O19" s="21">
        <v>0</v>
      </c>
      <c r="P19" s="205">
        <f t="shared" si="10"/>
        <v>0</v>
      </c>
      <c r="Q19" s="21">
        <v>0</v>
      </c>
      <c r="R19" s="205">
        <f t="shared" si="11"/>
        <v>0</v>
      </c>
      <c r="S19" s="39">
        <f t="shared" si="7"/>
        <v>212</v>
      </c>
      <c r="T19" s="38">
        <f t="shared" si="1"/>
        <v>8.880256000000001</v>
      </c>
      <c r="U19" s="21">
        <v>0</v>
      </c>
      <c r="V19" s="13">
        <f t="shared" si="4"/>
        <v>0</v>
      </c>
      <c r="W19" s="49">
        <f t="shared" si="5"/>
        <v>212</v>
      </c>
      <c r="X19" s="50">
        <f t="shared" si="6"/>
        <v>8.880256000000001</v>
      </c>
      <c r="Y19" s="238">
        <v>10</v>
      </c>
      <c r="Z19" s="101">
        <v>30</v>
      </c>
    </row>
    <row r="20" spans="1:26" x14ac:dyDescent="0.25">
      <c r="A20" s="264">
        <v>16</v>
      </c>
      <c r="B20" s="256" t="s">
        <v>149</v>
      </c>
      <c r="C20" s="34">
        <v>76</v>
      </c>
      <c r="D20" s="35">
        <v>75</v>
      </c>
      <c r="E20" s="35">
        <v>8</v>
      </c>
      <c r="F20" s="19">
        <f t="shared" si="2"/>
        <v>4.5600000000000002E-2</v>
      </c>
      <c r="G20" s="23">
        <v>243</v>
      </c>
      <c r="H20" s="26">
        <f t="shared" si="3"/>
        <v>11.0808</v>
      </c>
      <c r="I20" s="21">
        <v>84</v>
      </c>
      <c r="J20" s="205">
        <f t="shared" si="0"/>
        <v>3.8304</v>
      </c>
      <c r="K20" s="21">
        <v>82</v>
      </c>
      <c r="L20" s="205">
        <f t="shared" si="8"/>
        <v>3.7392000000000003</v>
      </c>
      <c r="M20" s="21">
        <v>69</v>
      </c>
      <c r="N20" s="205">
        <f t="shared" si="9"/>
        <v>3.1464000000000003</v>
      </c>
      <c r="O20" s="21">
        <v>0</v>
      </c>
      <c r="P20" s="205">
        <f t="shared" si="10"/>
        <v>0</v>
      </c>
      <c r="Q20" s="21">
        <v>0</v>
      </c>
      <c r="R20" s="205">
        <f t="shared" si="11"/>
        <v>0</v>
      </c>
      <c r="S20" s="39">
        <f t="shared" si="7"/>
        <v>8</v>
      </c>
      <c r="T20" s="38">
        <f t="shared" si="1"/>
        <v>0.36480000000000001</v>
      </c>
      <c r="U20" s="21">
        <v>0</v>
      </c>
      <c r="V20" s="13">
        <f t="shared" si="4"/>
        <v>0</v>
      </c>
      <c r="W20" s="49">
        <f t="shared" si="5"/>
        <v>8</v>
      </c>
      <c r="X20" s="50">
        <f t="shared" si="6"/>
        <v>0.36480000000000001</v>
      </c>
      <c r="Y20" s="238">
        <v>0</v>
      </c>
      <c r="Z20" s="101">
        <v>0</v>
      </c>
    </row>
    <row r="21" spans="1:26" x14ac:dyDescent="0.25">
      <c r="A21" s="264">
        <v>17</v>
      </c>
      <c r="B21" s="256" t="s">
        <v>150</v>
      </c>
      <c r="C21" s="34">
        <v>60</v>
      </c>
      <c r="D21" s="35">
        <v>63</v>
      </c>
      <c r="E21" s="35">
        <v>10</v>
      </c>
      <c r="F21" s="19">
        <f t="shared" si="2"/>
        <v>3.78E-2</v>
      </c>
      <c r="G21" s="23">
        <v>263</v>
      </c>
      <c r="H21" s="26">
        <f t="shared" si="3"/>
        <v>9.9413999999999998</v>
      </c>
      <c r="I21" s="21">
        <v>0</v>
      </c>
      <c r="J21" s="205">
        <f t="shared" si="0"/>
        <v>0</v>
      </c>
      <c r="K21" s="21">
        <v>0</v>
      </c>
      <c r="L21" s="205">
        <f t="shared" si="0"/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39">
        <f t="shared" si="7"/>
        <v>263</v>
      </c>
      <c r="T21" s="38">
        <f t="shared" si="1"/>
        <v>9.9413999999999998</v>
      </c>
      <c r="U21" s="21">
        <v>0</v>
      </c>
      <c r="V21" s="13">
        <f t="shared" si="4"/>
        <v>0</v>
      </c>
      <c r="W21" s="49">
        <f t="shared" si="5"/>
        <v>263</v>
      </c>
      <c r="X21" s="50">
        <f t="shared" si="6"/>
        <v>9.9413999999999998</v>
      </c>
      <c r="Y21" s="238">
        <v>0</v>
      </c>
      <c r="Z21" s="101">
        <v>0</v>
      </c>
    </row>
    <row r="22" spans="1:26" x14ac:dyDescent="0.25">
      <c r="A22" s="264">
        <v>18</v>
      </c>
      <c r="B22" s="256" t="s">
        <v>151</v>
      </c>
      <c r="C22" s="34">
        <v>63</v>
      </c>
      <c r="D22" s="35">
        <v>60</v>
      </c>
      <c r="E22" s="35">
        <v>3</v>
      </c>
      <c r="F22" s="19">
        <f t="shared" si="2"/>
        <v>1.1339999999999999E-2</v>
      </c>
      <c r="G22" s="23">
        <v>16</v>
      </c>
      <c r="H22" s="26">
        <f t="shared" si="3"/>
        <v>0.18143999999999999</v>
      </c>
      <c r="I22" s="21">
        <v>0</v>
      </c>
      <c r="J22" s="205">
        <f t="shared" si="0"/>
        <v>0</v>
      </c>
      <c r="K22" s="21">
        <v>0</v>
      </c>
      <c r="L22" s="205">
        <f t="shared" si="0"/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39">
        <f t="shared" si="7"/>
        <v>16</v>
      </c>
      <c r="T22" s="38">
        <f t="shared" si="1"/>
        <v>0.18143999999999999</v>
      </c>
      <c r="U22" s="21">
        <v>0</v>
      </c>
      <c r="V22" s="13">
        <f t="shared" si="4"/>
        <v>0</v>
      </c>
      <c r="W22" s="49">
        <f t="shared" si="5"/>
        <v>16</v>
      </c>
      <c r="X22" s="50">
        <f t="shared" si="6"/>
        <v>0.18143999999999999</v>
      </c>
      <c r="Y22" s="238">
        <v>0</v>
      </c>
      <c r="Z22" s="101">
        <v>0</v>
      </c>
    </row>
    <row r="23" spans="1:26" x14ac:dyDescent="0.25">
      <c r="A23" s="264">
        <v>19</v>
      </c>
      <c r="B23" s="42" t="s">
        <v>152</v>
      </c>
      <c r="C23" s="34">
        <v>140</v>
      </c>
      <c r="D23" s="35">
        <v>240</v>
      </c>
      <c r="E23" s="35">
        <v>1.4</v>
      </c>
      <c r="F23" s="19">
        <f t="shared" si="2"/>
        <v>4.7039999999999998E-2</v>
      </c>
      <c r="G23" s="23">
        <v>0</v>
      </c>
      <c r="H23" s="26">
        <f t="shared" si="3"/>
        <v>0</v>
      </c>
      <c r="I23" s="21">
        <v>78</v>
      </c>
      <c r="J23" s="205">
        <f t="shared" si="0"/>
        <v>3.6691199999999999</v>
      </c>
      <c r="K23" s="21">
        <v>80</v>
      </c>
      <c r="L23" s="205">
        <f t="shared" ref="L23:L28" si="12">F23*K23</f>
        <v>3.7631999999999999</v>
      </c>
      <c r="M23" s="21">
        <v>84</v>
      </c>
      <c r="N23" s="205">
        <f t="shared" ref="N23:N36" si="13">F23*M23</f>
        <v>3.9513599999999998</v>
      </c>
      <c r="O23" s="21">
        <v>86</v>
      </c>
      <c r="P23" s="205">
        <f t="shared" ref="P23:P36" si="14">F23*O23</f>
        <v>4.0454400000000001</v>
      </c>
      <c r="Q23" s="21">
        <v>57</v>
      </c>
      <c r="R23" s="205">
        <f t="shared" ref="R23:R36" si="15">F23*Q23</f>
        <v>2.6812800000000001</v>
      </c>
      <c r="S23" s="39">
        <f t="shared" si="7"/>
        <v>-385</v>
      </c>
      <c r="T23" s="38">
        <f t="shared" si="1"/>
        <v>-18.110399999999998</v>
      </c>
      <c r="U23" s="21">
        <v>699</v>
      </c>
      <c r="V23" s="13">
        <f t="shared" si="4"/>
        <v>32.880960000000002</v>
      </c>
      <c r="W23" s="49">
        <f t="shared" si="5"/>
        <v>314</v>
      </c>
      <c r="X23" s="50">
        <f t="shared" si="6"/>
        <v>14.77056</v>
      </c>
      <c r="Y23" s="238">
        <v>0</v>
      </c>
      <c r="Z23" s="101">
        <v>0</v>
      </c>
    </row>
    <row r="24" spans="1:26" x14ac:dyDescent="0.25">
      <c r="A24" s="264">
        <v>20</v>
      </c>
      <c r="B24" s="256" t="s">
        <v>3</v>
      </c>
      <c r="C24" s="34">
        <v>140</v>
      </c>
      <c r="D24" s="35">
        <v>240</v>
      </c>
      <c r="E24" s="35">
        <v>0.8</v>
      </c>
      <c r="F24" s="19">
        <f t="shared" si="2"/>
        <v>2.6880000000000001E-2</v>
      </c>
      <c r="G24" s="23">
        <v>226</v>
      </c>
      <c r="H24" s="26">
        <f t="shared" si="3"/>
        <v>6.0748800000000003</v>
      </c>
      <c r="I24" s="21">
        <v>1</v>
      </c>
      <c r="J24" s="205">
        <f t="shared" si="0"/>
        <v>2.6880000000000001E-2</v>
      </c>
      <c r="K24" s="21">
        <v>12</v>
      </c>
      <c r="L24" s="205">
        <f t="shared" si="12"/>
        <v>0.32256000000000001</v>
      </c>
      <c r="M24" s="21">
        <v>4</v>
      </c>
      <c r="N24" s="205">
        <f t="shared" si="13"/>
        <v>0.10752</v>
      </c>
      <c r="O24" s="21">
        <v>22</v>
      </c>
      <c r="P24" s="205">
        <f t="shared" si="14"/>
        <v>0.59136</v>
      </c>
      <c r="Q24" s="21">
        <v>0</v>
      </c>
      <c r="R24" s="205">
        <f t="shared" si="15"/>
        <v>0</v>
      </c>
      <c r="S24" s="39">
        <f t="shared" si="7"/>
        <v>187</v>
      </c>
      <c r="T24" s="38">
        <f t="shared" si="1"/>
        <v>5.0265599999999999</v>
      </c>
      <c r="U24" s="21">
        <v>0</v>
      </c>
      <c r="V24" s="13">
        <f t="shared" si="4"/>
        <v>0</v>
      </c>
      <c r="W24" s="49">
        <f t="shared" si="5"/>
        <v>187</v>
      </c>
      <c r="X24" s="50">
        <f t="shared" si="6"/>
        <v>5.0265599999999999</v>
      </c>
      <c r="Y24" s="238">
        <v>0</v>
      </c>
      <c r="Z24" s="101">
        <v>0</v>
      </c>
    </row>
    <row r="25" spans="1:26" x14ac:dyDescent="0.25">
      <c r="A25" s="264">
        <v>21</v>
      </c>
      <c r="B25" s="256" t="s">
        <v>153</v>
      </c>
      <c r="C25" s="34">
        <v>58</v>
      </c>
      <c r="D25" s="35">
        <v>58</v>
      </c>
      <c r="E25" s="35">
        <v>2.2999999999999998</v>
      </c>
      <c r="F25" s="19">
        <f t="shared" si="2"/>
        <v>7.7371999999999996E-3</v>
      </c>
      <c r="G25" s="23">
        <v>1310</v>
      </c>
      <c r="H25" s="26">
        <f t="shared" si="3"/>
        <v>10.135731999999999</v>
      </c>
      <c r="I25" s="21">
        <v>0</v>
      </c>
      <c r="J25" s="205">
        <f t="shared" si="0"/>
        <v>0</v>
      </c>
      <c r="K25" s="21">
        <v>622</v>
      </c>
      <c r="L25" s="205">
        <f t="shared" si="12"/>
        <v>4.8125383999999993</v>
      </c>
      <c r="M25" s="21">
        <v>650</v>
      </c>
      <c r="N25" s="205">
        <f t="shared" si="13"/>
        <v>5.0291800000000002</v>
      </c>
      <c r="O25" s="21">
        <v>16</v>
      </c>
      <c r="P25" s="205">
        <f t="shared" si="14"/>
        <v>0.12379519999999999</v>
      </c>
      <c r="Q25" s="21">
        <v>0</v>
      </c>
      <c r="R25" s="205">
        <f t="shared" si="15"/>
        <v>0</v>
      </c>
      <c r="S25" s="39">
        <f t="shared" si="7"/>
        <v>22</v>
      </c>
      <c r="T25" s="38">
        <f t="shared" si="1"/>
        <v>0.17021839999999999</v>
      </c>
      <c r="U25" s="21">
        <v>1032</v>
      </c>
      <c r="V25" s="13">
        <f t="shared" si="4"/>
        <v>7.9847903999999996</v>
      </c>
      <c r="W25" s="49">
        <f t="shared" si="5"/>
        <v>1054</v>
      </c>
      <c r="X25" s="50">
        <f t="shared" si="6"/>
        <v>8.1550087999999992</v>
      </c>
      <c r="Y25" s="238">
        <v>30</v>
      </c>
      <c r="Z25" s="101">
        <v>100</v>
      </c>
    </row>
    <row r="26" spans="1:26" x14ac:dyDescent="0.25">
      <c r="A26" s="264">
        <v>22</v>
      </c>
      <c r="B26" s="256" t="s">
        <v>154</v>
      </c>
      <c r="C26" s="34">
        <v>140</v>
      </c>
      <c r="D26" s="35">
        <v>240</v>
      </c>
      <c r="E26" s="35">
        <v>7</v>
      </c>
      <c r="F26" s="19">
        <f t="shared" si="2"/>
        <v>0.23519999999999999</v>
      </c>
      <c r="G26" s="23">
        <v>36</v>
      </c>
      <c r="H26" s="26">
        <f t="shared" si="3"/>
        <v>8.4672000000000001</v>
      </c>
      <c r="I26" s="21">
        <v>8</v>
      </c>
      <c r="J26" s="205">
        <f t="shared" si="0"/>
        <v>1.8815999999999999</v>
      </c>
      <c r="K26" s="21">
        <v>3</v>
      </c>
      <c r="L26" s="205">
        <f t="shared" si="12"/>
        <v>0.7056</v>
      </c>
      <c r="M26" s="21">
        <v>3</v>
      </c>
      <c r="N26" s="205">
        <f t="shared" si="13"/>
        <v>0.7056</v>
      </c>
      <c r="O26" s="21">
        <v>21</v>
      </c>
      <c r="P26" s="205">
        <f t="shared" si="14"/>
        <v>4.9391999999999996</v>
      </c>
      <c r="Q26" s="21">
        <v>11</v>
      </c>
      <c r="R26" s="205">
        <f t="shared" si="15"/>
        <v>2.5871999999999997</v>
      </c>
      <c r="S26" s="39">
        <f t="shared" si="7"/>
        <v>-10</v>
      </c>
      <c r="T26" s="38">
        <f t="shared" si="1"/>
        <v>-2.3519999999999999</v>
      </c>
      <c r="U26" s="21">
        <v>73</v>
      </c>
      <c r="V26" s="13">
        <f t="shared" si="4"/>
        <v>17.169599999999999</v>
      </c>
      <c r="W26" s="49">
        <f t="shared" si="5"/>
        <v>63</v>
      </c>
      <c r="X26" s="50">
        <f t="shared" si="6"/>
        <v>14.817599999999999</v>
      </c>
      <c r="Y26" s="238">
        <v>0</v>
      </c>
      <c r="Z26" s="101">
        <v>0</v>
      </c>
    </row>
    <row r="27" spans="1:26" ht="15.75" x14ac:dyDescent="0.25">
      <c r="A27" s="264">
        <v>23</v>
      </c>
      <c r="B27" s="256" t="s">
        <v>55</v>
      </c>
      <c r="C27" s="111">
        <v>50</v>
      </c>
      <c r="D27" s="112">
        <v>45</v>
      </c>
      <c r="E27" s="112">
        <v>4</v>
      </c>
      <c r="F27" s="19">
        <f t="shared" si="2"/>
        <v>8.9999999999999993E-3</v>
      </c>
      <c r="G27" s="23">
        <v>227</v>
      </c>
      <c r="H27" s="26">
        <f t="shared" si="3"/>
        <v>2.0429999999999997</v>
      </c>
      <c r="I27" s="21">
        <v>0</v>
      </c>
      <c r="J27" s="205">
        <f t="shared" si="0"/>
        <v>0</v>
      </c>
      <c r="K27" s="21">
        <v>99</v>
      </c>
      <c r="L27" s="205">
        <f t="shared" si="12"/>
        <v>0.8909999999999999</v>
      </c>
      <c r="M27" s="21">
        <v>32</v>
      </c>
      <c r="N27" s="205">
        <f t="shared" si="13"/>
        <v>0.28799999999999998</v>
      </c>
      <c r="O27" s="21">
        <v>34</v>
      </c>
      <c r="P27" s="205">
        <f t="shared" si="14"/>
        <v>0.30599999999999999</v>
      </c>
      <c r="Q27" s="21">
        <v>40</v>
      </c>
      <c r="R27" s="205">
        <f t="shared" si="15"/>
        <v>0.36</v>
      </c>
      <c r="S27" s="39">
        <f t="shared" si="7"/>
        <v>22</v>
      </c>
      <c r="T27" s="38">
        <f t="shared" si="1"/>
        <v>0.19799999999999998</v>
      </c>
      <c r="U27" s="21">
        <v>999</v>
      </c>
      <c r="V27" s="13">
        <f t="shared" si="4"/>
        <v>8.9909999999999997</v>
      </c>
      <c r="W27" s="49">
        <f t="shared" si="5"/>
        <v>1021</v>
      </c>
      <c r="X27" s="50">
        <f t="shared" si="6"/>
        <v>9.1890000000000001</v>
      </c>
      <c r="Y27" s="238">
        <v>0</v>
      </c>
      <c r="Z27" s="101">
        <v>0</v>
      </c>
    </row>
    <row r="28" spans="1:26" ht="15.75" x14ac:dyDescent="0.25">
      <c r="A28" s="264">
        <v>24</v>
      </c>
      <c r="B28" s="256" t="s">
        <v>56</v>
      </c>
      <c r="C28" s="111">
        <v>50</v>
      </c>
      <c r="D28" s="112">
        <v>35</v>
      </c>
      <c r="E28" s="112">
        <v>4</v>
      </c>
      <c r="F28" s="19">
        <f t="shared" si="2"/>
        <v>7.0000000000000001E-3</v>
      </c>
      <c r="G28" s="23">
        <v>448</v>
      </c>
      <c r="H28" s="26">
        <f t="shared" si="3"/>
        <v>3.1360000000000001</v>
      </c>
      <c r="I28" s="21">
        <v>0</v>
      </c>
      <c r="J28" s="205">
        <f t="shared" si="0"/>
        <v>0</v>
      </c>
      <c r="K28" s="21">
        <v>108</v>
      </c>
      <c r="L28" s="205">
        <f t="shared" si="12"/>
        <v>0.75600000000000001</v>
      </c>
      <c r="M28" s="21">
        <v>22</v>
      </c>
      <c r="N28" s="205">
        <f t="shared" si="13"/>
        <v>0.154</v>
      </c>
      <c r="O28" s="21">
        <v>12</v>
      </c>
      <c r="P28" s="205">
        <f t="shared" si="14"/>
        <v>8.4000000000000005E-2</v>
      </c>
      <c r="Q28" s="21">
        <v>80</v>
      </c>
      <c r="R28" s="205">
        <f t="shared" si="15"/>
        <v>0.56000000000000005</v>
      </c>
      <c r="S28" s="39">
        <f t="shared" si="7"/>
        <v>226</v>
      </c>
      <c r="T28" s="38">
        <f t="shared" si="1"/>
        <v>1.5820000000000001</v>
      </c>
      <c r="U28" s="21">
        <v>750</v>
      </c>
      <c r="V28" s="13">
        <f t="shared" si="4"/>
        <v>5.25</v>
      </c>
      <c r="W28" s="49">
        <f t="shared" si="5"/>
        <v>976</v>
      </c>
      <c r="X28" s="50">
        <f t="shared" si="6"/>
        <v>6.8319999999999999</v>
      </c>
      <c r="Y28" s="238">
        <v>0</v>
      </c>
      <c r="Z28" s="101">
        <v>0</v>
      </c>
    </row>
    <row r="29" spans="1:26" ht="15.75" x14ac:dyDescent="0.25">
      <c r="A29" s="264">
        <v>25</v>
      </c>
      <c r="B29" s="256" t="s">
        <v>57</v>
      </c>
      <c r="C29" s="111">
        <v>45</v>
      </c>
      <c r="D29" s="112">
        <v>50</v>
      </c>
      <c r="E29" s="112">
        <v>3</v>
      </c>
      <c r="F29" s="19">
        <f t="shared" si="2"/>
        <v>6.7499999999999999E-3</v>
      </c>
      <c r="G29" s="23">
        <v>678</v>
      </c>
      <c r="H29" s="26">
        <f t="shared" si="3"/>
        <v>4.5765000000000002</v>
      </c>
      <c r="I29" s="21">
        <v>0</v>
      </c>
      <c r="J29" s="205">
        <f t="shared" si="0"/>
        <v>0</v>
      </c>
      <c r="K29" s="21">
        <v>406</v>
      </c>
      <c r="L29" s="205">
        <f t="shared" ref="L29:L36" si="16">F29*K29</f>
        <v>2.7404999999999999</v>
      </c>
      <c r="M29" s="21">
        <v>420</v>
      </c>
      <c r="N29" s="205">
        <f t="shared" si="13"/>
        <v>2.835</v>
      </c>
      <c r="O29" s="21">
        <v>145</v>
      </c>
      <c r="P29" s="205">
        <f t="shared" si="14"/>
        <v>0.97875000000000001</v>
      </c>
      <c r="Q29" s="21">
        <v>214</v>
      </c>
      <c r="R29" s="205">
        <f t="shared" si="15"/>
        <v>1.4444999999999999</v>
      </c>
      <c r="S29" s="39">
        <f t="shared" si="7"/>
        <v>-507</v>
      </c>
      <c r="T29" s="38">
        <f t="shared" si="1"/>
        <v>-3.42225</v>
      </c>
      <c r="U29" s="21">
        <v>1020</v>
      </c>
      <c r="V29" s="13">
        <f t="shared" si="4"/>
        <v>6.8849999999999998</v>
      </c>
      <c r="W29" s="49">
        <f t="shared" si="5"/>
        <v>513</v>
      </c>
      <c r="X29" s="50">
        <f t="shared" si="6"/>
        <v>3.4627499999999998</v>
      </c>
      <c r="Y29" s="238">
        <v>0</v>
      </c>
      <c r="Z29" s="101">
        <v>0</v>
      </c>
    </row>
    <row r="30" spans="1:26" ht="15.75" x14ac:dyDescent="0.25">
      <c r="A30" s="264">
        <v>26</v>
      </c>
      <c r="B30" s="256" t="s">
        <v>58</v>
      </c>
      <c r="C30" s="111">
        <v>50</v>
      </c>
      <c r="D30" s="112">
        <v>35</v>
      </c>
      <c r="E30" s="112">
        <v>3</v>
      </c>
      <c r="F30" s="19">
        <f t="shared" si="2"/>
        <v>5.2500000000000003E-3</v>
      </c>
      <c r="G30" s="23">
        <v>650</v>
      </c>
      <c r="H30" s="26">
        <f t="shared" si="3"/>
        <v>3.4125000000000001</v>
      </c>
      <c r="I30" s="21">
        <v>0</v>
      </c>
      <c r="J30" s="205">
        <f t="shared" si="0"/>
        <v>0</v>
      </c>
      <c r="K30" s="21">
        <v>130</v>
      </c>
      <c r="L30" s="205">
        <f t="shared" si="16"/>
        <v>0.6825</v>
      </c>
      <c r="M30" s="21">
        <v>422</v>
      </c>
      <c r="N30" s="205">
        <f t="shared" si="13"/>
        <v>2.2155</v>
      </c>
      <c r="O30" s="21">
        <v>153</v>
      </c>
      <c r="P30" s="205">
        <f t="shared" si="14"/>
        <v>0.80325000000000002</v>
      </c>
      <c r="Q30" s="21">
        <v>180</v>
      </c>
      <c r="R30" s="205">
        <f t="shared" si="15"/>
        <v>0.94500000000000006</v>
      </c>
      <c r="S30" s="39">
        <f t="shared" si="7"/>
        <v>-235</v>
      </c>
      <c r="T30" s="38">
        <f t="shared" si="1"/>
        <v>-1.2337500000000001</v>
      </c>
      <c r="U30" s="21">
        <v>703</v>
      </c>
      <c r="V30" s="13">
        <f t="shared" si="4"/>
        <v>3.6907500000000004</v>
      </c>
      <c r="W30" s="49">
        <f t="shared" si="5"/>
        <v>468</v>
      </c>
      <c r="X30" s="50">
        <f t="shared" si="6"/>
        <v>2.4570000000000003</v>
      </c>
      <c r="Y30" s="238">
        <v>0</v>
      </c>
      <c r="Z30" s="101">
        <v>0</v>
      </c>
    </row>
    <row r="31" spans="1:26" x14ac:dyDescent="0.25">
      <c r="A31" s="264">
        <v>27</v>
      </c>
      <c r="B31" s="256" t="s">
        <v>155</v>
      </c>
      <c r="C31" s="34">
        <v>140</v>
      </c>
      <c r="D31" s="35">
        <v>9.5</v>
      </c>
      <c r="E31" s="35">
        <v>6.5</v>
      </c>
      <c r="F31" s="19">
        <f t="shared" si="2"/>
        <v>8.6449999999999999E-3</v>
      </c>
      <c r="G31" s="23">
        <v>3249</v>
      </c>
      <c r="H31" s="26">
        <f t="shared" si="3"/>
        <v>28.087605</v>
      </c>
      <c r="I31" s="21">
        <v>29</v>
      </c>
      <c r="J31" s="205">
        <f t="shared" si="0"/>
        <v>0.25070500000000001</v>
      </c>
      <c r="K31" s="21">
        <v>196</v>
      </c>
      <c r="L31" s="205">
        <f t="shared" si="16"/>
        <v>1.69442</v>
      </c>
      <c r="M31" s="21">
        <v>172</v>
      </c>
      <c r="N31" s="205">
        <f t="shared" si="13"/>
        <v>1.4869399999999999</v>
      </c>
      <c r="O31" s="21">
        <v>56</v>
      </c>
      <c r="P31" s="205">
        <f t="shared" si="14"/>
        <v>0.48411999999999999</v>
      </c>
      <c r="Q31" s="21">
        <v>106</v>
      </c>
      <c r="R31" s="205">
        <f t="shared" si="15"/>
        <v>0.91637000000000002</v>
      </c>
      <c r="S31" s="39">
        <f t="shared" si="7"/>
        <v>2690</v>
      </c>
      <c r="T31" s="38">
        <f t="shared" si="1"/>
        <v>23.255050000000001</v>
      </c>
      <c r="U31" s="21">
        <v>1950</v>
      </c>
      <c r="V31" s="13">
        <f t="shared" si="4"/>
        <v>16.857749999999999</v>
      </c>
      <c r="W31" s="49">
        <f t="shared" si="5"/>
        <v>4640</v>
      </c>
      <c r="X31" s="50">
        <f t="shared" si="6"/>
        <v>40.1128</v>
      </c>
      <c r="Y31" s="238">
        <v>0</v>
      </c>
      <c r="Z31" s="101">
        <v>0</v>
      </c>
    </row>
    <row r="32" spans="1:26" x14ac:dyDescent="0.25">
      <c r="A32" s="264">
        <v>28</v>
      </c>
      <c r="B32" s="256" t="s">
        <v>156</v>
      </c>
      <c r="C32" s="34">
        <v>140</v>
      </c>
      <c r="D32" s="35">
        <v>240</v>
      </c>
      <c r="E32" s="35">
        <v>1</v>
      </c>
      <c r="F32" s="19">
        <f t="shared" si="2"/>
        <v>3.3599999999999998E-2</v>
      </c>
      <c r="G32" s="23">
        <v>567</v>
      </c>
      <c r="H32" s="26">
        <f t="shared" si="3"/>
        <v>19.051199999999998</v>
      </c>
      <c r="I32" s="21">
        <v>214</v>
      </c>
      <c r="J32" s="205">
        <f t="shared" si="0"/>
        <v>7.1903999999999995</v>
      </c>
      <c r="K32" s="21">
        <v>183</v>
      </c>
      <c r="L32" s="205">
        <f t="shared" si="16"/>
        <v>6.1487999999999996</v>
      </c>
      <c r="M32" s="21">
        <v>181</v>
      </c>
      <c r="N32" s="205">
        <f t="shared" si="13"/>
        <v>6.0815999999999999</v>
      </c>
      <c r="O32" s="21">
        <v>144</v>
      </c>
      <c r="P32" s="205">
        <f t="shared" si="14"/>
        <v>4.8384</v>
      </c>
      <c r="Q32" s="21">
        <v>120</v>
      </c>
      <c r="R32" s="205">
        <f>F32*Q32</f>
        <v>4.032</v>
      </c>
      <c r="S32" s="39">
        <f t="shared" si="7"/>
        <v>-275</v>
      </c>
      <c r="T32" s="38">
        <f t="shared" si="1"/>
        <v>-9.24</v>
      </c>
      <c r="U32" s="21">
        <v>1197</v>
      </c>
      <c r="V32" s="13">
        <f t="shared" si="4"/>
        <v>40.219200000000001</v>
      </c>
      <c r="W32" s="49">
        <f t="shared" si="5"/>
        <v>922</v>
      </c>
      <c r="X32" s="50">
        <f t="shared" si="6"/>
        <v>30.979199999999999</v>
      </c>
      <c r="Y32" s="238">
        <v>0</v>
      </c>
      <c r="Z32" s="101">
        <v>0</v>
      </c>
    </row>
    <row r="33" spans="1:26" x14ac:dyDescent="0.25">
      <c r="A33" s="264">
        <v>29</v>
      </c>
      <c r="B33" s="256" t="s">
        <v>157</v>
      </c>
      <c r="C33" s="34">
        <v>140</v>
      </c>
      <c r="D33" s="35">
        <v>240</v>
      </c>
      <c r="E33" s="35">
        <v>2</v>
      </c>
      <c r="F33" s="19">
        <f t="shared" si="2"/>
        <v>6.7199999999999996E-2</v>
      </c>
      <c r="G33" s="23">
        <v>166</v>
      </c>
      <c r="H33" s="26">
        <f t="shared" si="3"/>
        <v>11.155199999999999</v>
      </c>
      <c r="I33" s="21">
        <v>22</v>
      </c>
      <c r="J33" s="205">
        <f t="shared" si="0"/>
        <v>1.4783999999999999</v>
      </c>
      <c r="K33" s="21">
        <v>10</v>
      </c>
      <c r="L33" s="205">
        <f t="shared" si="16"/>
        <v>0.67199999999999993</v>
      </c>
      <c r="M33" s="21">
        <v>4</v>
      </c>
      <c r="N33" s="205">
        <f t="shared" si="13"/>
        <v>0.26879999999999998</v>
      </c>
      <c r="O33" s="21">
        <v>41</v>
      </c>
      <c r="P33" s="205">
        <f t="shared" si="14"/>
        <v>2.7551999999999999</v>
      </c>
      <c r="Q33" s="21">
        <v>6</v>
      </c>
      <c r="R33" s="205">
        <f>F33*Q33</f>
        <v>0.4032</v>
      </c>
      <c r="S33" s="39">
        <f t="shared" si="7"/>
        <v>83</v>
      </c>
      <c r="T33" s="38">
        <f t="shared" si="1"/>
        <v>5.5775999999999994</v>
      </c>
      <c r="U33" s="21">
        <v>0</v>
      </c>
      <c r="V33" s="13">
        <f t="shared" si="4"/>
        <v>0</v>
      </c>
      <c r="W33" s="49">
        <f t="shared" si="5"/>
        <v>83</v>
      </c>
      <c r="X33" s="50">
        <f t="shared" si="6"/>
        <v>5.5775999999999994</v>
      </c>
      <c r="Y33" s="238">
        <v>0</v>
      </c>
      <c r="Z33" s="101">
        <v>0</v>
      </c>
    </row>
    <row r="34" spans="1:26" x14ac:dyDescent="0.25">
      <c r="A34" s="264">
        <v>30</v>
      </c>
      <c r="B34" s="256" t="s">
        <v>158</v>
      </c>
      <c r="C34" s="34">
        <v>140</v>
      </c>
      <c r="D34" s="35">
        <v>240</v>
      </c>
      <c r="E34" s="35">
        <v>3</v>
      </c>
      <c r="F34" s="19">
        <f t="shared" si="2"/>
        <v>0.1008</v>
      </c>
      <c r="G34" s="23">
        <v>106</v>
      </c>
      <c r="H34" s="26">
        <f t="shared" si="3"/>
        <v>10.684799999999999</v>
      </c>
      <c r="I34" s="21">
        <v>29</v>
      </c>
      <c r="J34" s="205">
        <f t="shared" si="0"/>
        <v>2.9232</v>
      </c>
      <c r="K34" s="21">
        <v>20</v>
      </c>
      <c r="L34" s="205">
        <f t="shared" si="16"/>
        <v>2.016</v>
      </c>
      <c r="M34" s="21">
        <v>9</v>
      </c>
      <c r="N34" s="205">
        <f t="shared" si="13"/>
        <v>0.90720000000000001</v>
      </c>
      <c r="O34" s="21">
        <v>48</v>
      </c>
      <c r="P34" s="205">
        <f t="shared" si="14"/>
        <v>4.8384</v>
      </c>
      <c r="Q34" s="21">
        <v>43</v>
      </c>
      <c r="R34" s="205">
        <f t="shared" si="15"/>
        <v>4.3344000000000005</v>
      </c>
      <c r="S34" s="39">
        <f t="shared" si="7"/>
        <v>-43</v>
      </c>
      <c r="T34" s="38">
        <f t="shared" si="1"/>
        <v>-4.3344000000000005</v>
      </c>
      <c r="U34" s="21">
        <v>158</v>
      </c>
      <c r="V34" s="13">
        <f t="shared" si="4"/>
        <v>15.926400000000001</v>
      </c>
      <c r="W34" s="49">
        <f t="shared" si="5"/>
        <v>115</v>
      </c>
      <c r="X34" s="50">
        <f t="shared" si="6"/>
        <v>11.592000000000001</v>
      </c>
      <c r="Y34" s="238">
        <v>0</v>
      </c>
      <c r="Z34" s="101">
        <v>0</v>
      </c>
    </row>
    <row r="35" spans="1:26" x14ac:dyDescent="0.25">
      <c r="A35" s="264">
        <v>31</v>
      </c>
      <c r="B35" s="256" t="s">
        <v>159</v>
      </c>
      <c r="C35" s="34">
        <v>140</v>
      </c>
      <c r="D35" s="35">
        <v>240</v>
      </c>
      <c r="E35" s="35">
        <v>4</v>
      </c>
      <c r="F35" s="19">
        <f t="shared" si="2"/>
        <v>0.13439999999999999</v>
      </c>
      <c r="G35" s="23">
        <v>0</v>
      </c>
      <c r="H35" s="26">
        <f t="shared" si="3"/>
        <v>0</v>
      </c>
      <c r="I35" s="21">
        <v>0</v>
      </c>
      <c r="J35" s="205">
        <f t="shared" si="0"/>
        <v>0</v>
      </c>
      <c r="K35" s="21">
        <v>4</v>
      </c>
      <c r="L35" s="205">
        <f t="shared" si="16"/>
        <v>0.53759999999999997</v>
      </c>
      <c r="M35" s="21">
        <v>3</v>
      </c>
      <c r="N35" s="205">
        <f t="shared" si="13"/>
        <v>0.4032</v>
      </c>
      <c r="O35" s="21">
        <v>11</v>
      </c>
      <c r="P35" s="205">
        <f t="shared" si="14"/>
        <v>1.4783999999999999</v>
      </c>
      <c r="Q35" s="21">
        <v>3</v>
      </c>
      <c r="R35" s="205">
        <f t="shared" si="15"/>
        <v>0.4032</v>
      </c>
      <c r="S35" s="39">
        <f t="shared" si="7"/>
        <v>-21</v>
      </c>
      <c r="T35" s="38">
        <f t="shared" si="1"/>
        <v>-2.8224</v>
      </c>
      <c r="U35" s="21">
        <v>27</v>
      </c>
      <c r="V35" s="13">
        <f t="shared" si="4"/>
        <v>3.6287999999999996</v>
      </c>
      <c r="W35" s="49">
        <f t="shared" si="5"/>
        <v>6</v>
      </c>
      <c r="X35" s="50">
        <f t="shared" si="6"/>
        <v>0.80640000000000001</v>
      </c>
      <c r="Y35" s="238">
        <v>0</v>
      </c>
      <c r="Z35" s="101">
        <v>0</v>
      </c>
    </row>
    <row r="36" spans="1:26" x14ac:dyDescent="0.25">
      <c r="A36" s="264">
        <v>32</v>
      </c>
      <c r="B36" s="256" t="s">
        <v>160</v>
      </c>
      <c r="C36" s="34">
        <v>140</v>
      </c>
      <c r="D36" s="35">
        <v>240</v>
      </c>
      <c r="E36" s="35">
        <v>2</v>
      </c>
      <c r="F36" s="19">
        <f t="shared" si="2"/>
        <v>6.7199999999999996E-2</v>
      </c>
      <c r="G36" s="23">
        <v>590</v>
      </c>
      <c r="H36" s="26">
        <f t="shared" si="3"/>
        <v>39.647999999999996</v>
      </c>
      <c r="I36" s="21">
        <v>210</v>
      </c>
      <c r="J36" s="205">
        <f t="shared" si="0"/>
        <v>14.111999999999998</v>
      </c>
      <c r="K36" s="21">
        <v>71</v>
      </c>
      <c r="L36" s="205">
        <f t="shared" si="16"/>
        <v>4.7711999999999994</v>
      </c>
      <c r="M36" s="21">
        <v>42</v>
      </c>
      <c r="N36" s="205">
        <f t="shared" si="13"/>
        <v>2.8224</v>
      </c>
      <c r="O36" s="21">
        <v>59</v>
      </c>
      <c r="P36" s="205">
        <f t="shared" si="14"/>
        <v>3.9647999999999999</v>
      </c>
      <c r="Q36" s="21">
        <v>43</v>
      </c>
      <c r="R36" s="205">
        <f t="shared" si="15"/>
        <v>2.8895999999999997</v>
      </c>
      <c r="S36" s="39">
        <f t="shared" si="7"/>
        <v>165</v>
      </c>
      <c r="T36" s="38">
        <f t="shared" si="1"/>
        <v>11.087999999999999</v>
      </c>
      <c r="U36" s="21">
        <v>0</v>
      </c>
      <c r="V36" s="13">
        <f t="shared" si="4"/>
        <v>0</v>
      </c>
      <c r="W36" s="49">
        <f t="shared" si="5"/>
        <v>165</v>
      </c>
      <c r="X36" s="50">
        <f t="shared" si="6"/>
        <v>11.087999999999999</v>
      </c>
      <c r="Y36" s="238">
        <v>0</v>
      </c>
      <c r="Z36" s="101">
        <v>0</v>
      </c>
    </row>
    <row r="37" spans="1:26" x14ac:dyDescent="0.25">
      <c r="A37" s="264">
        <v>33</v>
      </c>
      <c r="B37" s="256" t="s">
        <v>161</v>
      </c>
      <c r="C37" s="34">
        <v>140</v>
      </c>
      <c r="D37" s="35">
        <v>240</v>
      </c>
      <c r="E37" s="35">
        <v>6</v>
      </c>
      <c r="F37" s="19">
        <f t="shared" si="2"/>
        <v>0.2016</v>
      </c>
      <c r="G37" s="23">
        <v>34</v>
      </c>
      <c r="H37" s="26">
        <f t="shared" si="3"/>
        <v>6.8544</v>
      </c>
      <c r="I37" s="21">
        <v>0</v>
      </c>
      <c r="J37" s="205">
        <f t="shared" si="0"/>
        <v>0</v>
      </c>
      <c r="K37" s="21">
        <v>0</v>
      </c>
      <c r="L37" s="205">
        <f t="shared" si="0"/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39">
        <f t="shared" si="7"/>
        <v>34</v>
      </c>
      <c r="T37" s="38">
        <f t="shared" si="1"/>
        <v>6.8544</v>
      </c>
      <c r="U37" s="21">
        <v>0</v>
      </c>
      <c r="V37" s="13">
        <f t="shared" si="4"/>
        <v>0</v>
      </c>
      <c r="W37" s="49">
        <f t="shared" si="5"/>
        <v>34</v>
      </c>
      <c r="X37" s="50">
        <f t="shared" si="6"/>
        <v>6.8544</v>
      </c>
      <c r="Y37" s="238">
        <v>0</v>
      </c>
      <c r="Z37" s="101">
        <v>0</v>
      </c>
    </row>
    <row r="38" spans="1:26" x14ac:dyDescent="0.25">
      <c r="A38" s="264">
        <v>34</v>
      </c>
      <c r="B38" s="256" t="s">
        <v>162</v>
      </c>
      <c r="C38" s="34">
        <v>84</v>
      </c>
      <c r="D38" s="35">
        <v>55</v>
      </c>
      <c r="E38" s="35">
        <v>3</v>
      </c>
      <c r="F38" s="19">
        <f t="shared" si="2"/>
        <v>1.3860000000000001E-2</v>
      </c>
      <c r="G38" s="23">
        <v>0</v>
      </c>
      <c r="H38" s="26">
        <f t="shared" si="3"/>
        <v>0</v>
      </c>
      <c r="I38" s="21">
        <v>0</v>
      </c>
      <c r="J38" s="205">
        <f t="shared" si="0"/>
        <v>0</v>
      </c>
      <c r="K38" s="21">
        <v>0</v>
      </c>
      <c r="L38" s="205">
        <f t="shared" si="0"/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39">
        <f t="shared" si="7"/>
        <v>0</v>
      </c>
      <c r="T38" s="38">
        <f t="shared" si="1"/>
        <v>0</v>
      </c>
      <c r="U38" s="21">
        <v>0</v>
      </c>
      <c r="V38" s="13">
        <f t="shared" si="4"/>
        <v>0</v>
      </c>
      <c r="W38" s="49">
        <f t="shared" si="5"/>
        <v>0</v>
      </c>
      <c r="X38" s="50">
        <f t="shared" si="6"/>
        <v>0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163</v>
      </c>
      <c r="C39" s="34">
        <v>90</v>
      </c>
      <c r="D39" s="35">
        <v>90</v>
      </c>
      <c r="E39" s="35">
        <v>3</v>
      </c>
      <c r="F39" s="19">
        <f t="shared" si="2"/>
        <v>2.4299999999999999E-2</v>
      </c>
      <c r="G39" s="23">
        <v>17</v>
      </c>
      <c r="H39" s="26">
        <f t="shared" si="3"/>
        <v>0.41309999999999997</v>
      </c>
      <c r="I39" s="21">
        <v>0</v>
      </c>
      <c r="J39" s="205">
        <f t="shared" si="0"/>
        <v>0</v>
      </c>
      <c r="K39" s="21">
        <v>0</v>
      </c>
      <c r="L39" s="205">
        <f t="shared" si="0"/>
        <v>0</v>
      </c>
      <c r="M39" s="21">
        <v>0</v>
      </c>
      <c r="N39" s="21">
        <v>0</v>
      </c>
      <c r="O39" s="21">
        <v>5</v>
      </c>
      <c r="P39" s="21">
        <v>0</v>
      </c>
      <c r="Q39" s="21">
        <v>12</v>
      </c>
      <c r="R39" s="21">
        <v>0</v>
      </c>
      <c r="S39" s="39">
        <f t="shared" si="7"/>
        <v>0</v>
      </c>
      <c r="T39" s="38">
        <f t="shared" si="1"/>
        <v>0</v>
      </c>
      <c r="U39" s="21">
        <v>0</v>
      </c>
      <c r="V39" s="13">
        <f t="shared" si="4"/>
        <v>0</v>
      </c>
      <c r="W39" s="49">
        <f t="shared" si="5"/>
        <v>0</v>
      </c>
      <c r="X39" s="50">
        <f t="shared" si="6"/>
        <v>0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164</v>
      </c>
      <c r="C40" s="34">
        <v>140</v>
      </c>
      <c r="D40" s="35">
        <v>240</v>
      </c>
      <c r="E40" s="35">
        <v>10</v>
      </c>
      <c r="F40" s="19">
        <f t="shared" si="2"/>
        <v>0.33600000000000002</v>
      </c>
      <c r="G40" s="23">
        <v>1</v>
      </c>
      <c r="H40" s="26">
        <f t="shared" si="3"/>
        <v>0.33600000000000002</v>
      </c>
      <c r="I40" s="21">
        <v>0</v>
      </c>
      <c r="J40" s="205">
        <f t="shared" si="0"/>
        <v>0</v>
      </c>
      <c r="K40" s="21">
        <v>0</v>
      </c>
      <c r="L40" s="205">
        <f>F40*K40</f>
        <v>0</v>
      </c>
      <c r="M40" s="21">
        <v>0</v>
      </c>
      <c r="N40" s="205">
        <f>F40*M40</f>
        <v>0</v>
      </c>
      <c r="O40" s="21">
        <v>0</v>
      </c>
      <c r="P40" s="205">
        <f>F40*O40</f>
        <v>0</v>
      </c>
      <c r="Q40" s="21">
        <v>0</v>
      </c>
      <c r="R40" s="205">
        <f>F40*Q40</f>
        <v>0</v>
      </c>
      <c r="S40" s="39">
        <f t="shared" si="7"/>
        <v>1</v>
      </c>
      <c r="T40" s="38">
        <f t="shared" si="1"/>
        <v>0.33600000000000002</v>
      </c>
      <c r="U40" s="21">
        <v>0</v>
      </c>
      <c r="V40" s="13">
        <f t="shared" si="4"/>
        <v>0</v>
      </c>
      <c r="W40" s="49">
        <f t="shared" si="5"/>
        <v>1</v>
      </c>
      <c r="X40" s="50">
        <f t="shared" si="6"/>
        <v>0.33600000000000002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165</v>
      </c>
      <c r="C41" s="34">
        <v>140</v>
      </c>
      <c r="D41" s="35">
        <v>240</v>
      </c>
      <c r="E41" s="35">
        <v>10</v>
      </c>
      <c r="F41" s="19">
        <f t="shared" si="2"/>
        <v>0.33600000000000002</v>
      </c>
      <c r="G41" s="23">
        <v>69</v>
      </c>
      <c r="H41" s="26">
        <f t="shared" si="3"/>
        <v>23.184000000000001</v>
      </c>
      <c r="I41" s="21">
        <v>0</v>
      </c>
      <c r="J41" s="205">
        <f t="shared" si="0"/>
        <v>0</v>
      </c>
      <c r="K41" s="21">
        <v>2</v>
      </c>
      <c r="L41" s="205">
        <f>F41*K41</f>
        <v>0.67200000000000004</v>
      </c>
      <c r="M41" s="21">
        <v>1</v>
      </c>
      <c r="N41" s="205">
        <f>F41*M41</f>
        <v>0.33600000000000002</v>
      </c>
      <c r="O41" s="21">
        <v>10</v>
      </c>
      <c r="P41" s="205">
        <f>F41*O41</f>
        <v>3.3600000000000003</v>
      </c>
      <c r="Q41" s="21">
        <v>1</v>
      </c>
      <c r="R41" s="205">
        <f>F41*Q41</f>
        <v>0.33600000000000002</v>
      </c>
      <c r="S41" s="39">
        <f t="shared" si="7"/>
        <v>55</v>
      </c>
      <c r="T41" s="38">
        <f t="shared" si="1"/>
        <v>18.48</v>
      </c>
      <c r="U41" s="21">
        <v>0</v>
      </c>
      <c r="V41" s="13">
        <f t="shared" si="4"/>
        <v>0</v>
      </c>
      <c r="W41" s="49">
        <f t="shared" si="5"/>
        <v>55</v>
      </c>
      <c r="X41" s="50">
        <f t="shared" si="6"/>
        <v>18.48</v>
      </c>
      <c r="Y41" s="238">
        <v>0</v>
      </c>
      <c r="Z41" s="101">
        <v>0</v>
      </c>
    </row>
    <row r="42" spans="1:26" x14ac:dyDescent="0.25">
      <c r="A42" s="264">
        <v>38</v>
      </c>
      <c r="B42" s="256" t="s">
        <v>166</v>
      </c>
      <c r="C42" s="34">
        <v>92</v>
      </c>
      <c r="D42" s="35">
        <v>82</v>
      </c>
      <c r="E42" s="35">
        <v>2</v>
      </c>
      <c r="F42" s="19">
        <f t="shared" si="2"/>
        <v>1.5088000000000001E-2</v>
      </c>
      <c r="G42" s="23">
        <v>82</v>
      </c>
      <c r="H42" s="26">
        <f t="shared" si="3"/>
        <v>1.2372160000000001</v>
      </c>
      <c r="I42" s="21">
        <v>82</v>
      </c>
      <c r="J42" s="205">
        <f t="shared" si="0"/>
        <v>1.2372160000000001</v>
      </c>
      <c r="K42" s="21">
        <v>25</v>
      </c>
      <c r="L42" s="205">
        <f>F42*K42</f>
        <v>0.37720000000000004</v>
      </c>
      <c r="M42" s="21">
        <v>12</v>
      </c>
      <c r="N42" s="205">
        <f>F42*M42</f>
        <v>0.18105599999999999</v>
      </c>
      <c r="O42" s="21">
        <v>10</v>
      </c>
      <c r="P42" s="205">
        <f>F42*O42</f>
        <v>0.15088000000000001</v>
      </c>
      <c r="Q42" s="21">
        <v>0</v>
      </c>
      <c r="R42" s="205">
        <f>F42*Q42</f>
        <v>0</v>
      </c>
      <c r="S42" s="39">
        <f t="shared" si="7"/>
        <v>-47</v>
      </c>
      <c r="T42" s="38">
        <f t="shared" si="1"/>
        <v>-0.70913599999999999</v>
      </c>
      <c r="U42" s="21">
        <v>863</v>
      </c>
      <c r="V42" s="13">
        <f t="shared" si="4"/>
        <v>13.020944</v>
      </c>
      <c r="W42" s="49">
        <f t="shared" si="5"/>
        <v>816</v>
      </c>
      <c r="X42" s="50">
        <f t="shared" si="6"/>
        <v>12.311808000000001</v>
      </c>
      <c r="Y42" s="238">
        <v>0</v>
      </c>
      <c r="Z42" s="101">
        <v>0</v>
      </c>
    </row>
    <row r="43" spans="1:26" x14ac:dyDescent="0.25">
      <c r="A43" s="264">
        <v>39</v>
      </c>
      <c r="B43" s="256" t="s">
        <v>167</v>
      </c>
      <c r="C43" s="34">
        <v>75</v>
      </c>
      <c r="D43" s="35">
        <v>55</v>
      </c>
      <c r="E43" s="35">
        <v>3</v>
      </c>
      <c r="F43" s="19">
        <f t="shared" si="2"/>
        <v>1.2375000000000001E-2</v>
      </c>
      <c r="G43" s="23">
        <v>52</v>
      </c>
      <c r="H43" s="26">
        <f t="shared" si="3"/>
        <v>0.64350000000000007</v>
      </c>
      <c r="I43" s="21">
        <v>0</v>
      </c>
      <c r="J43" s="205">
        <f t="shared" si="0"/>
        <v>0</v>
      </c>
      <c r="K43" s="21">
        <v>0</v>
      </c>
      <c r="L43" s="205">
        <f t="shared" si="0"/>
        <v>0</v>
      </c>
      <c r="M43" s="21">
        <v>0</v>
      </c>
      <c r="N43" s="21">
        <v>0</v>
      </c>
      <c r="O43" s="21">
        <v>0</v>
      </c>
      <c r="P43" s="21">
        <v>0</v>
      </c>
      <c r="Q43" s="21">
        <v>52</v>
      </c>
      <c r="R43" s="21">
        <v>0</v>
      </c>
      <c r="S43" s="39">
        <f t="shared" si="7"/>
        <v>0</v>
      </c>
      <c r="T43" s="38">
        <f t="shared" si="1"/>
        <v>0</v>
      </c>
      <c r="U43" s="21">
        <v>0</v>
      </c>
      <c r="V43" s="13">
        <f t="shared" si="4"/>
        <v>0</v>
      </c>
      <c r="W43" s="49">
        <f t="shared" si="5"/>
        <v>0</v>
      </c>
      <c r="X43" s="50">
        <f t="shared" si="6"/>
        <v>0</v>
      </c>
      <c r="Y43" s="238">
        <v>50</v>
      </c>
      <c r="Z43" s="101">
        <v>200</v>
      </c>
    </row>
    <row r="44" spans="1:26" x14ac:dyDescent="0.25">
      <c r="A44" s="264">
        <v>40</v>
      </c>
      <c r="B44" s="256" t="s">
        <v>168</v>
      </c>
      <c r="C44" s="34">
        <v>140</v>
      </c>
      <c r="D44" s="35">
        <v>240</v>
      </c>
      <c r="E44" s="35">
        <v>3</v>
      </c>
      <c r="F44" s="19">
        <f t="shared" si="2"/>
        <v>0.1008</v>
      </c>
      <c r="G44" s="23">
        <v>0</v>
      </c>
      <c r="H44" s="26">
        <f t="shared" si="3"/>
        <v>0</v>
      </c>
      <c r="I44" s="21">
        <v>0</v>
      </c>
      <c r="J44" s="205">
        <f t="shared" si="0"/>
        <v>0</v>
      </c>
      <c r="K44" s="21">
        <v>4</v>
      </c>
      <c r="L44" s="205">
        <f>F44*K44</f>
        <v>0.4032</v>
      </c>
      <c r="M44" s="21">
        <v>13</v>
      </c>
      <c r="N44" s="205">
        <f>F44*M44</f>
        <v>1.3104</v>
      </c>
      <c r="O44" s="21">
        <v>37</v>
      </c>
      <c r="P44" s="205">
        <f>F44*O44</f>
        <v>3.7296</v>
      </c>
      <c r="Q44" s="21">
        <v>0</v>
      </c>
      <c r="R44" s="205">
        <f>F44*Q44</f>
        <v>0</v>
      </c>
      <c r="S44" s="39">
        <f t="shared" si="7"/>
        <v>-54</v>
      </c>
      <c r="T44" s="38">
        <f t="shared" si="1"/>
        <v>-5.4432</v>
      </c>
      <c r="U44" s="21">
        <v>54</v>
      </c>
      <c r="V44" s="13">
        <f t="shared" si="4"/>
        <v>5.4432</v>
      </c>
      <c r="W44" s="49">
        <f t="shared" si="5"/>
        <v>0</v>
      </c>
      <c r="X44" s="50">
        <f t="shared" si="6"/>
        <v>0</v>
      </c>
      <c r="Y44" s="238">
        <v>50</v>
      </c>
      <c r="Z44" s="101">
        <v>200</v>
      </c>
    </row>
    <row r="45" spans="1:26" x14ac:dyDescent="0.25">
      <c r="A45" s="264">
        <v>41</v>
      </c>
      <c r="B45" s="256" t="s">
        <v>169</v>
      </c>
      <c r="C45" s="34">
        <v>0</v>
      </c>
      <c r="D45" s="34">
        <v>0</v>
      </c>
      <c r="E45" s="34">
        <v>0</v>
      </c>
      <c r="F45" s="34">
        <v>0</v>
      </c>
      <c r="G45" s="34">
        <v>0</v>
      </c>
      <c r="H45" s="26">
        <f t="shared" si="3"/>
        <v>0</v>
      </c>
      <c r="I45" s="21">
        <v>0</v>
      </c>
      <c r="J45" s="205">
        <f t="shared" si="0"/>
        <v>0</v>
      </c>
      <c r="K45" s="21">
        <v>0</v>
      </c>
      <c r="L45" s="205">
        <f>F45*K45</f>
        <v>0</v>
      </c>
      <c r="M45" s="21">
        <v>0</v>
      </c>
      <c r="N45" s="205">
        <f>F45*M45</f>
        <v>0</v>
      </c>
      <c r="O45" s="21">
        <v>0</v>
      </c>
      <c r="P45" s="205">
        <f>F45*O45</f>
        <v>0</v>
      </c>
      <c r="Q45" s="21">
        <v>0</v>
      </c>
      <c r="R45" s="205">
        <f>F45*Q45</f>
        <v>0</v>
      </c>
      <c r="S45" s="39">
        <f t="shared" si="7"/>
        <v>0</v>
      </c>
      <c r="T45" s="38">
        <f t="shared" si="1"/>
        <v>0</v>
      </c>
      <c r="U45" s="21">
        <v>750</v>
      </c>
      <c r="V45" s="13">
        <f t="shared" si="4"/>
        <v>0</v>
      </c>
      <c r="W45" s="49">
        <f t="shared" si="5"/>
        <v>750</v>
      </c>
      <c r="X45" s="50">
        <f t="shared" si="6"/>
        <v>0</v>
      </c>
      <c r="Y45" s="238">
        <v>50</v>
      </c>
      <c r="Z45" s="101">
        <v>200</v>
      </c>
    </row>
    <row r="46" spans="1:26" x14ac:dyDescent="0.25">
      <c r="A46" s="264">
        <v>42</v>
      </c>
      <c r="B46" s="256" t="s">
        <v>170</v>
      </c>
      <c r="C46" s="34">
        <v>0</v>
      </c>
      <c r="D46" s="34">
        <v>0</v>
      </c>
      <c r="E46" s="34">
        <v>0</v>
      </c>
      <c r="F46" s="34">
        <v>0</v>
      </c>
      <c r="G46" s="34">
        <v>0</v>
      </c>
      <c r="H46" s="26">
        <f t="shared" si="3"/>
        <v>0</v>
      </c>
      <c r="I46" s="21">
        <v>0</v>
      </c>
      <c r="J46" s="205">
        <f t="shared" si="0"/>
        <v>0</v>
      </c>
      <c r="K46" s="21">
        <v>0</v>
      </c>
      <c r="L46" s="205">
        <f>F46*K46</f>
        <v>0</v>
      </c>
      <c r="M46" s="21">
        <v>0</v>
      </c>
      <c r="N46" s="205">
        <f>F46*M46</f>
        <v>0</v>
      </c>
      <c r="O46" s="21">
        <v>0</v>
      </c>
      <c r="P46" s="205">
        <f>F46*O46</f>
        <v>0</v>
      </c>
      <c r="Q46" s="21">
        <v>50</v>
      </c>
      <c r="R46" s="205">
        <f>F46*Q46</f>
        <v>0</v>
      </c>
      <c r="S46" s="39">
        <f t="shared" si="7"/>
        <v>-50</v>
      </c>
      <c r="T46" s="38">
        <f t="shared" si="1"/>
        <v>0</v>
      </c>
      <c r="U46" s="21">
        <v>856</v>
      </c>
      <c r="V46" s="13">
        <f t="shared" si="4"/>
        <v>0</v>
      </c>
      <c r="W46" s="49">
        <f t="shared" si="5"/>
        <v>806</v>
      </c>
      <c r="X46" s="50">
        <f t="shared" si="6"/>
        <v>0</v>
      </c>
      <c r="Y46" s="238">
        <v>50</v>
      </c>
      <c r="Z46" s="101">
        <v>100</v>
      </c>
    </row>
    <row r="47" spans="1:26" x14ac:dyDescent="0.25">
      <c r="A47" s="264">
        <v>43</v>
      </c>
      <c r="B47" s="256" t="s">
        <v>171</v>
      </c>
      <c r="C47" s="34">
        <v>0</v>
      </c>
      <c r="D47" s="34">
        <v>0</v>
      </c>
      <c r="E47" s="34">
        <v>0</v>
      </c>
      <c r="F47" s="34">
        <v>0</v>
      </c>
      <c r="G47" s="34">
        <v>13</v>
      </c>
      <c r="H47" s="26">
        <f t="shared" si="3"/>
        <v>0</v>
      </c>
      <c r="I47" s="21">
        <v>0</v>
      </c>
      <c r="J47" s="205">
        <f t="shared" si="0"/>
        <v>0</v>
      </c>
      <c r="K47" s="21">
        <v>0</v>
      </c>
      <c r="L47" s="205">
        <f t="shared" si="0"/>
        <v>0</v>
      </c>
      <c r="M47" s="21">
        <v>0</v>
      </c>
      <c r="N47" s="21">
        <v>0</v>
      </c>
      <c r="O47" s="21">
        <v>5</v>
      </c>
      <c r="P47" s="21">
        <v>0</v>
      </c>
      <c r="Q47" s="21">
        <v>8</v>
      </c>
      <c r="R47" s="21">
        <v>0</v>
      </c>
      <c r="S47" s="39">
        <f t="shared" si="7"/>
        <v>0</v>
      </c>
      <c r="T47" s="38">
        <f t="shared" si="1"/>
        <v>0</v>
      </c>
      <c r="U47" s="21">
        <v>0</v>
      </c>
      <c r="V47" s="13">
        <f t="shared" si="4"/>
        <v>0</v>
      </c>
      <c r="W47" s="49">
        <f t="shared" si="5"/>
        <v>0</v>
      </c>
      <c r="X47" s="50">
        <f t="shared" si="6"/>
        <v>0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173</v>
      </c>
      <c r="C48" s="34">
        <v>0</v>
      </c>
      <c r="D48" s="34">
        <v>0</v>
      </c>
      <c r="E48" s="34">
        <v>0</v>
      </c>
      <c r="F48" s="34">
        <v>0</v>
      </c>
      <c r="G48" s="34">
        <v>0</v>
      </c>
      <c r="H48" s="26">
        <f t="shared" si="3"/>
        <v>0</v>
      </c>
      <c r="I48" s="21">
        <v>0</v>
      </c>
      <c r="J48" s="205">
        <f t="shared" si="0"/>
        <v>0</v>
      </c>
      <c r="K48" s="21">
        <v>0</v>
      </c>
      <c r="L48" s="205">
        <f t="shared" si="0"/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39">
        <f t="shared" si="7"/>
        <v>0</v>
      </c>
      <c r="T48" s="38">
        <f t="shared" si="1"/>
        <v>0</v>
      </c>
      <c r="U48" s="21">
        <v>0</v>
      </c>
      <c r="V48" s="13">
        <f t="shared" si="4"/>
        <v>0</v>
      </c>
      <c r="W48" s="49">
        <f t="shared" si="5"/>
        <v>0</v>
      </c>
      <c r="X48" s="50">
        <f t="shared" si="6"/>
        <v>0</v>
      </c>
      <c r="Y48" s="238">
        <v>50</v>
      </c>
      <c r="Z48" s="101">
        <v>200</v>
      </c>
    </row>
    <row r="49" spans="1:26" x14ac:dyDescent="0.25">
      <c r="A49" s="264">
        <v>45</v>
      </c>
      <c r="B49" s="256" t="s">
        <v>174</v>
      </c>
      <c r="C49" s="34">
        <v>0</v>
      </c>
      <c r="D49" s="34">
        <v>0</v>
      </c>
      <c r="E49" s="34">
        <v>0</v>
      </c>
      <c r="F49" s="34">
        <v>0</v>
      </c>
      <c r="G49" s="34">
        <v>15</v>
      </c>
      <c r="H49" s="26">
        <f t="shared" si="3"/>
        <v>0</v>
      </c>
      <c r="I49" s="21">
        <v>1</v>
      </c>
      <c r="J49" s="205">
        <f t="shared" si="0"/>
        <v>0</v>
      </c>
      <c r="K49" s="21">
        <v>0</v>
      </c>
      <c r="L49" s="205">
        <f t="shared" si="0"/>
        <v>0</v>
      </c>
      <c r="M49" s="21">
        <v>0</v>
      </c>
      <c r="N49" s="21">
        <v>0</v>
      </c>
      <c r="O49" s="21">
        <v>1</v>
      </c>
      <c r="P49" s="21">
        <v>0</v>
      </c>
      <c r="Q49" s="21">
        <v>3</v>
      </c>
      <c r="R49" s="21">
        <v>0</v>
      </c>
      <c r="S49" s="39">
        <f t="shared" si="7"/>
        <v>10</v>
      </c>
      <c r="T49" s="38">
        <f t="shared" si="1"/>
        <v>0</v>
      </c>
      <c r="U49" s="21">
        <v>0</v>
      </c>
      <c r="V49" s="13">
        <f t="shared" si="4"/>
        <v>0</v>
      </c>
      <c r="W49" s="49">
        <f t="shared" si="5"/>
        <v>10</v>
      </c>
      <c r="X49" s="50">
        <f t="shared" si="6"/>
        <v>0</v>
      </c>
      <c r="Y49" s="238">
        <v>100</v>
      </c>
      <c r="Z49" s="101">
        <v>300</v>
      </c>
    </row>
    <row r="50" spans="1:26" x14ac:dyDescent="0.25">
      <c r="A50" s="264">
        <v>46</v>
      </c>
      <c r="B50" s="256" t="s">
        <v>175</v>
      </c>
      <c r="C50" s="34">
        <v>0</v>
      </c>
      <c r="D50" s="34">
        <v>0</v>
      </c>
      <c r="E50" s="34">
        <v>0</v>
      </c>
      <c r="F50" s="34">
        <v>0</v>
      </c>
      <c r="G50" s="34">
        <v>15</v>
      </c>
      <c r="H50" s="26">
        <f t="shared" si="3"/>
        <v>0</v>
      </c>
      <c r="I50" s="21">
        <v>0</v>
      </c>
      <c r="J50" s="205">
        <f t="shared" si="0"/>
        <v>0</v>
      </c>
      <c r="K50" s="21">
        <v>2</v>
      </c>
      <c r="L50" s="205">
        <f t="shared" si="0"/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39">
        <f t="shared" si="7"/>
        <v>13</v>
      </c>
      <c r="T50" s="38">
        <f t="shared" si="1"/>
        <v>0</v>
      </c>
      <c r="U50" s="21">
        <v>0</v>
      </c>
      <c r="V50" s="13">
        <f t="shared" si="4"/>
        <v>0</v>
      </c>
      <c r="W50" s="49">
        <f t="shared" si="5"/>
        <v>13</v>
      </c>
      <c r="X50" s="50">
        <f t="shared" si="6"/>
        <v>0</v>
      </c>
      <c r="Y50" s="238">
        <v>30</v>
      </c>
      <c r="Z50" s="101">
        <v>100</v>
      </c>
    </row>
    <row r="51" spans="1:26" x14ac:dyDescent="0.25">
      <c r="A51" s="264">
        <v>47</v>
      </c>
      <c r="B51" s="256" t="s">
        <v>176</v>
      </c>
      <c r="C51" s="34">
        <v>0</v>
      </c>
      <c r="D51" s="34">
        <v>0</v>
      </c>
      <c r="E51" s="34">
        <v>0</v>
      </c>
      <c r="F51" s="34">
        <v>0</v>
      </c>
      <c r="G51" s="34">
        <v>0</v>
      </c>
      <c r="H51" s="26">
        <f t="shared" si="3"/>
        <v>0</v>
      </c>
      <c r="I51" s="21">
        <v>0</v>
      </c>
      <c r="J51" s="205">
        <f t="shared" si="0"/>
        <v>0</v>
      </c>
      <c r="K51" s="21">
        <v>0</v>
      </c>
      <c r="L51" s="205">
        <f t="shared" si="0"/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39">
        <f t="shared" si="7"/>
        <v>0</v>
      </c>
      <c r="T51" s="38">
        <f t="shared" si="1"/>
        <v>0</v>
      </c>
      <c r="U51" s="21">
        <v>160</v>
      </c>
      <c r="V51" s="13">
        <f t="shared" si="4"/>
        <v>0</v>
      </c>
      <c r="W51" s="49">
        <f t="shared" si="5"/>
        <v>160</v>
      </c>
      <c r="X51" s="50">
        <f t="shared" si="6"/>
        <v>0</v>
      </c>
      <c r="Y51" s="238">
        <v>30</v>
      </c>
      <c r="Z51" s="101">
        <v>100</v>
      </c>
    </row>
    <row r="52" spans="1:26" x14ac:dyDescent="0.25">
      <c r="A52" s="264">
        <v>48</v>
      </c>
      <c r="B52" s="256" t="s">
        <v>177</v>
      </c>
      <c r="C52" s="34">
        <v>0</v>
      </c>
      <c r="D52" s="34">
        <v>0</v>
      </c>
      <c r="E52" s="34">
        <v>0</v>
      </c>
      <c r="F52" s="34">
        <v>0</v>
      </c>
      <c r="G52" s="34">
        <v>0</v>
      </c>
      <c r="H52" s="26">
        <f t="shared" si="3"/>
        <v>0</v>
      </c>
      <c r="I52" s="21">
        <v>0</v>
      </c>
      <c r="J52" s="205">
        <f t="shared" si="0"/>
        <v>0</v>
      </c>
      <c r="K52" s="21">
        <v>0</v>
      </c>
      <c r="L52" s="205">
        <f t="shared" si="0"/>
        <v>0</v>
      </c>
      <c r="M52" s="21">
        <v>0</v>
      </c>
      <c r="N52" s="21">
        <v>0</v>
      </c>
      <c r="O52" s="21">
        <v>0</v>
      </c>
      <c r="P52" s="21">
        <v>0</v>
      </c>
      <c r="Q52" s="21">
        <v>80</v>
      </c>
      <c r="R52" s="21">
        <v>0</v>
      </c>
      <c r="S52" s="39">
        <f t="shared" si="7"/>
        <v>-80</v>
      </c>
      <c r="T52" s="38">
        <f t="shared" si="1"/>
        <v>0</v>
      </c>
      <c r="U52" s="21">
        <v>80</v>
      </c>
      <c r="V52" s="13">
        <f t="shared" si="4"/>
        <v>0</v>
      </c>
      <c r="W52" s="49">
        <f t="shared" si="5"/>
        <v>0</v>
      </c>
      <c r="X52" s="50">
        <f t="shared" si="6"/>
        <v>0</v>
      </c>
      <c r="Y52" s="238">
        <v>30</v>
      </c>
      <c r="Z52" s="101">
        <v>100</v>
      </c>
    </row>
    <row r="53" spans="1:26" x14ac:dyDescent="0.25">
      <c r="A53" s="264">
        <v>49</v>
      </c>
      <c r="B53" s="256" t="s">
        <v>87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26">
        <f t="shared" si="3"/>
        <v>0</v>
      </c>
      <c r="I53" s="21">
        <v>0</v>
      </c>
      <c r="J53" s="205">
        <f t="shared" si="0"/>
        <v>0</v>
      </c>
      <c r="K53" s="21">
        <v>0</v>
      </c>
      <c r="L53" s="205">
        <f t="shared" si="0"/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39">
        <f t="shared" si="7"/>
        <v>0</v>
      </c>
      <c r="T53" s="38">
        <f t="shared" si="1"/>
        <v>0</v>
      </c>
      <c r="U53" s="21">
        <v>0</v>
      </c>
      <c r="V53" s="13">
        <f t="shared" si="4"/>
        <v>0</v>
      </c>
      <c r="W53" s="49">
        <f t="shared" si="5"/>
        <v>0</v>
      </c>
      <c r="X53" s="50">
        <f t="shared" si="6"/>
        <v>0</v>
      </c>
      <c r="Y53" s="238">
        <v>200</v>
      </c>
      <c r="Z53" s="101">
        <v>500</v>
      </c>
    </row>
    <row r="54" spans="1:26" x14ac:dyDescent="0.25">
      <c r="A54" s="264">
        <v>50</v>
      </c>
      <c r="B54" s="256" t="s">
        <v>87</v>
      </c>
      <c r="C54" s="34">
        <v>0</v>
      </c>
      <c r="D54" s="34">
        <v>0</v>
      </c>
      <c r="E54" s="34">
        <v>0</v>
      </c>
      <c r="F54" s="34">
        <v>0</v>
      </c>
      <c r="G54" s="34">
        <v>0</v>
      </c>
      <c r="H54" s="26">
        <f t="shared" si="3"/>
        <v>0</v>
      </c>
      <c r="I54" s="21">
        <v>0</v>
      </c>
      <c r="J54" s="205">
        <f t="shared" si="0"/>
        <v>0</v>
      </c>
      <c r="K54" s="21">
        <v>0</v>
      </c>
      <c r="L54" s="205">
        <f t="shared" si="0"/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39">
        <f t="shared" si="7"/>
        <v>0</v>
      </c>
      <c r="T54" s="38">
        <f t="shared" si="1"/>
        <v>0</v>
      </c>
      <c r="U54" s="21">
        <v>0</v>
      </c>
      <c r="V54" s="13">
        <f t="shared" si="4"/>
        <v>0</v>
      </c>
      <c r="W54" s="49">
        <f t="shared" si="5"/>
        <v>0</v>
      </c>
      <c r="X54" s="50">
        <f t="shared" si="6"/>
        <v>0</v>
      </c>
      <c r="Y54" s="238">
        <v>100</v>
      </c>
      <c r="Z54" s="101">
        <v>300</v>
      </c>
    </row>
    <row r="55" spans="1:26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6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6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6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6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6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6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6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6" x14ac:dyDescent="0.2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6" x14ac:dyDescent="0.2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</sheetData>
  <mergeCells count="24">
    <mergeCell ref="S4:T4"/>
    <mergeCell ref="U4:V4"/>
    <mergeCell ref="W4:X4"/>
    <mergeCell ref="G4:H4"/>
    <mergeCell ref="I4:J4"/>
    <mergeCell ref="K4:L4"/>
    <mergeCell ref="M4:N4"/>
    <mergeCell ref="O4:P4"/>
    <mergeCell ref="Q4:R4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C1:H1"/>
    <mergeCell ref="G2:H3"/>
    <mergeCell ref="I2:J2"/>
    <mergeCell ref="K2:L2"/>
    <mergeCell ref="M2:N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Z78"/>
  <sheetViews>
    <sheetView topLeftCell="B1" workbookViewId="0">
      <selection activeCell="G5" sqref="G5"/>
    </sheetView>
  </sheetViews>
  <sheetFormatPr defaultRowHeight="15" x14ac:dyDescent="0.25"/>
  <cols>
    <col min="1" max="1" width="6.42578125" customWidth="1"/>
    <col min="2" max="2" width="29.5703125" style="3" customWidth="1"/>
    <col min="3" max="3" width="7.85546875" style="2" hidden="1" customWidth="1"/>
    <col min="4" max="4" width="10.7109375" style="2" hidden="1" customWidth="1"/>
    <col min="5" max="5" width="9.85546875" style="2" hidden="1" customWidth="1"/>
    <col min="6" max="6" width="8.7109375" style="4" hidden="1" customWidth="1"/>
    <col min="7" max="7" width="8.7109375" style="5" customWidth="1"/>
    <col min="8" max="8" width="9" style="5" customWidth="1"/>
    <col min="9" max="18" width="8.140625" style="2" customWidth="1"/>
    <col min="19" max="19" width="0.140625" style="2" customWidth="1"/>
    <col min="20" max="20" width="8.140625" style="2" hidden="1" customWidth="1"/>
    <col min="21" max="21" width="9.42578125" customWidth="1"/>
    <col min="22" max="22" width="11.7109375" customWidth="1"/>
    <col min="25" max="25" width="10.28515625" customWidth="1"/>
  </cols>
  <sheetData>
    <row r="1" spans="1:26" ht="15.75" thickBot="1" x14ac:dyDescent="0.3">
      <c r="B1" s="4" t="s">
        <v>18</v>
      </c>
      <c r="C1" s="384">
        <v>45261</v>
      </c>
      <c r="D1" s="320"/>
      <c r="E1" s="320"/>
      <c r="F1" s="320"/>
      <c r="G1" s="320"/>
      <c r="H1" s="320"/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45271</v>
      </c>
      <c r="J2" s="326"/>
      <c r="K2" s="327">
        <v>45278</v>
      </c>
      <c r="L2" s="328"/>
      <c r="M2" s="325">
        <v>45285</v>
      </c>
      <c r="N2" s="329"/>
      <c r="O2" s="327">
        <v>45287</v>
      </c>
      <c r="P2" s="346"/>
      <c r="Q2" s="325">
        <v>45291</v>
      </c>
      <c r="R2" s="329"/>
      <c r="S2" s="330" t="s">
        <v>69</v>
      </c>
      <c r="T2" s="331"/>
      <c r="U2" s="334" t="s">
        <v>70</v>
      </c>
      <c r="V2" s="335"/>
      <c r="W2" s="338" t="s">
        <v>71</v>
      </c>
      <c r="X2" s="339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40"/>
      <c r="X3" s="341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51" t="s">
        <v>63</v>
      </c>
      <c r="X4" s="352"/>
      <c r="Y4" s="268" t="s">
        <v>99</v>
      </c>
      <c r="Z4" s="269" t="s">
        <v>100</v>
      </c>
    </row>
    <row r="5" spans="1:26" x14ac:dyDescent="0.25">
      <c r="A5" s="263">
        <v>1</v>
      </c>
      <c r="B5" s="256" t="s">
        <v>134</v>
      </c>
      <c r="C5" s="32">
        <v>70</v>
      </c>
      <c r="D5" s="33">
        <v>64</v>
      </c>
      <c r="E5" s="33">
        <v>8</v>
      </c>
      <c r="F5" s="15">
        <f>(C5*D5*E5)/1000000</f>
        <v>3.5839999999999997E-2</v>
      </c>
      <c r="G5" s="23">
        <v>363</v>
      </c>
      <c r="H5" s="24">
        <f>F5*G5</f>
        <v>13.009919999999999</v>
      </c>
      <c r="I5" s="21">
        <v>0</v>
      </c>
      <c r="J5" s="205">
        <f t="shared" ref="J5:R54" si="0">F5*I5</f>
        <v>0</v>
      </c>
      <c r="K5" s="21">
        <v>0</v>
      </c>
      <c r="L5" s="205">
        <f>F5*K5</f>
        <v>0</v>
      </c>
      <c r="M5" s="21">
        <v>0</v>
      </c>
      <c r="N5" s="205">
        <f>F5*M5</f>
        <v>0</v>
      </c>
      <c r="O5" s="21">
        <v>0</v>
      </c>
      <c r="P5" s="205">
        <f>F5*O5</f>
        <v>0</v>
      </c>
      <c r="Q5" s="21">
        <v>0</v>
      </c>
      <c r="R5" s="205">
        <f>F5*Q5</f>
        <v>0</v>
      </c>
      <c r="S5" s="39">
        <f>G5-I5-K5-M5-O5-Q5</f>
        <v>363</v>
      </c>
      <c r="T5" s="38">
        <f t="shared" ref="T5:T54" si="1">F5*S5</f>
        <v>13.009919999999999</v>
      </c>
      <c r="U5" s="21">
        <v>0</v>
      </c>
      <c r="V5" s="13">
        <f>F5*U5</f>
        <v>0</v>
      </c>
      <c r="W5" s="49">
        <f>S5+U5</f>
        <v>363</v>
      </c>
      <c r="X5" s="50">
        <f>F5*W5</f>
        <v>13.009919999999999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135</v>
      </c>
      <c r="C6" s="34">
        <v>70</v>
      </c>
      <c r="D6" s="35">
        <v>80</v>
      </c>
      <c r="E6" s="35">
        <v>8</v>
      </c>
      <c r="F6" s="19">
        <f t="shared" ref="F6:F51" si="2">(C6*D6*E6)/1000000</f>
        <v>4.48E-2</v>
      </c>
      <c r="G6" s="23">
        <v>93</v>
      </c>
      <c r="H6" s="26">
        <f t="shared" ref="H6:H54" si="3">F6*G6</f>
        <v>4.1664000000000003</v>
      </c>
      <c r="I6" s="21">
        <v>0</v>
      </c>
      <c r="J6" s="205">
        <f t="shared" si="0"/>
        <v>0</v>
      </c>
      <c r="K6" s="21">
        <v>8</v>
      </c>
      <c r="L6" s="205">
        <f>F6*K6</f>
        <v>0.3584</v>
      </c>
      <c r="M6" s="21">
        <v>0</v>
      </c>
      <c r="N6" s="205">
        <f>F6*M6</f>
        <v>0</v>
      </c>
      <c r="O6" s="21">
        <v>0</v>
      </c>
      <c r="P6" s="205">
        <f>F6*O6</f>
        <v>0</v>
      </c>
      <c r="Q6" s="21">
        <v>15</v>
      </c>
      <c r="R6" s="205">
        <f>F6*Q6</f>
        <v>0.67200000000000004</v>
      </c>
      <c r="S6" s="39">
        <f>G6-I6-K6-M6-O6-Q6</f>
        <v>70</v>
      </c>
      <c r="T6" s="38">
        <f t="shared" si="1"/>
        <v>3.1360000000000001</v>
      </c>
      <c r="U6" s="21">
        <v>0</v>
      </c>
      <c r="V6" s="13">
        <f t="shared" ref="V6:V54" si="4">F6*U6</f>
        <v>0</v>
      </c>
      <c r="W6" s="49">
        <f t="shared" ref="W6:W54" si="5">S6+U6</f>
        <v>70</v>
      </c>
      <c r="X6" s="50">
        <f t="shared" ref="X6:X54" si="6">F6*W6</f>
        <v>3.1360000000000001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136</v>
      </c>
      <c r="C7" s="34">
        <v>70</v>
      </c>
      <c r="D7" s="35">
        <v>74</v>
      </c>
      <c r="E7" s="35">
        <v>8</v>
      </c>
      <c r="F7" s="19">
        <f t="shared" si="2"/>
        <v>4.1439999999999998E-2</v>
      </c>
      <c r="G7" s="23">
        <v>46</v>
      </c>
      <c r="H7" s="26">
        <f t="shared" si="3"/>
        <v>1.9062399999999999</v>
      </c>
      <c r="I7" s="21">
        <v>0</v>
      </c>
      <c r="J7" s="205">
        <f t="shared" si="0"/>
        <v>0</v>
      </c>
      <c r="K7" s="21">
        <v>0</v>
      </c>
      <c r="L7" s="205">
        <f>F7*K7</f>
        <v>0</v>
      </c>
      <c r="M7" s="21">
        <v>0</v>
      </c>
      <c r="N7" s="205">
        <f>F7*M7</f>
        <v>0</v>
      </c>
      <c r="O7" s="21">
        <v>0</v>
      </c>
      <c r="P7" s="205">
        <f>F7*O7</f>
        <v>0</v>
      </c>
      <c r="Q7" s="21">
        <v>0</v>
      </c>
      <c r="R7" s="205">
        <f>F7*Q7</f>
        <v>0</v>
      </c>
      <c r="S7" s="39">
        <f t="shared" ref="S7:S54" si="7">G7-I7-K7-M7-O7-Q7</f>
        <v>46</v>
      </c>
      <c r="T7" s="38">
        <f t="shared" si="1"/>
        <v>1.9062399999999999</v>
      </c>
      <c r="U7" s="21">
        <v>0</v>
      </c>
      <c r="V7" s="13">
        <f t="shared" si="4"/>
        <v>0</v>
      </c>
      <c r="W7" s="49">
        <f t="shared" si="5"/>
        <v>46</v>
      </c>
      <c r="X7" s="50">
        <f t="shared" si="6"/>
        <v>1.9062399999999999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137</v>
      </c>
      <c r="C8" s="34">
        <v>80</v>
      </c>
      <c r="D8" s="35">
        <v>64</v>
      </c>
      <c r="E8" s="35">
        <v>5</v>
      </c>
      <c r="F8" s="19">
        <f t="shared" si="2"/>
        <v>2.5600000000000001E-2</v>
      </c>
      <c r="G8" s="23">
        <v>326</v>
      </c>
      <c r="H8" s="26">
        <f t="shared" si="3"/>
        <v>8.345600000000001</v>
      </c>
      <c r="I8" s="21">
        <v>0</v>
      </c>
      <c r="J8" s="205">
        <f t="shared" si="0"/>
        <v>0</v>
      </c>
      <c r="K8" s="21">
        <v>0</v>
      </c>
      <c r="L8" s="205">
        <f>F8*K8</f>
        <v>0</v>
      </c>
      <c r="M8" s="21">
        <v>0</v>
      </c>
      <c r="N8" s="205">
        <f>F8*M8</f>
        <v>0</v>
      </c>
      <c r="O8" s="21">
        <v>0</v>
      </c>
      <c r="P8" s="205">
        <f>F8*O8</f>
        <v>0</v>
      </c>
      <c r="Q8" s="21">
        <v>0</v>
      </c>
      <c r="R8" s="205">
        <f>F8*Q8</f>
        <v>0</v>
      </c>
      <c r="S8" s="39">
        <f t="shared" si="7"/>
        <v>326</v>
      </c>
      <c r="T8" s="38">
        <f t="shared" si="1"/>
        <v>8.345600000000001</v>
      </c>
      <c r="U8" s="21">
        <v>0</v>
      </c>
      <c r="V8" s="13">
        <f t="shared" si="4"/>
        <v>0</v>
      </c>
      <c r="W8" s="49">
        <f t="shared" si="5"/>
        <v>326</v>
      </c>
      <c r="X8" s="50">
        <f t="shared" si="6"/>
        <v>8.345600000000001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138</v>
      </c>
      <c r="C9" s="34">
        <v>140</v>
      </c>
      <c r="D9" s="35">
        <v>240</v>
      </c>
      <c r="E9" s="35">
        <v>5</v>
      </c>
      <c r="F9" s="19">
        <f t="shared" si="2"/>
        <v>0.16800000000000001</v>
      </c>
      <c r="G9" s="23">
        <v>20</v>
      </c>
      <c r="H9" s="26">
        <f t="shared" si="3"/>
        <v>3.3600000000000003</v>
      </c>
      <c r="I9" s="21">
        <v>14</v>
      </c>
      <c r="J9" s="205">
        <f t="shared" si="0"/>
        <v>2.3520000000000003</v>
      </c>
      <c r="K9" s="21">
        <v>0</v>
      </c>
      <c r="L9" s="205">
        <f>F9*K9</f>
        <v>0</v>
      </c>
      <c r="M9" s="21">
        <v>10</v>
      </c>
      <c r="N9" s="205">
        <f>F9*M9</f>
        <v>1.6800000000000002</v>
      </c>
      <c r="O9" s="21">
        <v>0</v>
      </c>
      <c r="P9" s="205">
        <f>F9*O9</f>
        <v>0</v>
      </c>
      <c r="Q9" s="21">
        <v>8</v>
      </c>
      <c r="R9" s="205">
        <f>F9*Q9</f>
        <v>1.3440000000000001</v>
      </c>
      <c r="S9" s="39">
        <f t="shared" si="7"/>
        <v>-12</v>
      </c>
      <c r="T9" s="38">
        <f t="shared" si="1"/>
        <v>-2.016</v>
      </c>
      <c r="U9" s="21">
        <v>548</v>
      </c>
      <c r="V9" s="13">
        <f t="shared" si="4"/>
        <v>92.064000000000007</v>
      </c>
      <c r="W9" s="49">
        <f t="shared" si="5"/>
        <v>536</v>
      </c>
      <c r="X9" s="50">
        <f t="shared" si="6"/>
        <v>90.048000000000002</v>
      </c>
      <c r="Y9" s="238">
        <v>50</v>
      </c>
      <c r="Z9" s="101">
        <v>150</v>
      </c>
    </row>
    <row r="10" spans="1:26" x14ac:dyDescent="0.25">
      <c r="A10" s="264">
        <v>6</v>
      </c>
      <c r="B10" s="256" t="s">
        <v>139</v>
      </c>
      <c r="C10" s="34">
        <v>142</v>
      </c>
      <c r="D10" s="35">
        <v>67</v>
      </c>
      <c r="E10" s="35">
        <v>5</v>
      </c>
      <c r="F10" s="19">
        <f t="shared" si="2"/>
        <v>4.7570000000000001E-2</v>
      </c>
      <c r="G10" s="23">
        <v>8</v>
      </c>
      <c r="H10" s="26">
        <f t="shared" si="3"/>
        <v>0.38056000000000001</v>
      </c>
      <c r="I10" s="21">
        <v>0</v>
      </c>
      <c r="J10" s="205">
        <f t="shared" si="0"/>
        <v>0</v>
      </c>
      <c r="K10" s="21">
        <v>0</v>
      </c>
      <c r="L10" s="205">
        <f t="shared" si="0"/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39">
        <f t="shared" si="7"/>
        <v>8</v>
      </c>
      <c r="T10" s="38">
        <f t="shared" si="1"/>
        <v>0.38056000000000001</v>
      </c>
      <c r="U10" s="21">
        <v>0</v>
      </c>
      <c r="V10" s="13">
        <f t="shared" si="4"/>
        <v>0</v>
      </c>
      <c r="W10" s="49">
        <f t="shared" si="5"/>
        <v>8</v>
      </c>
      <c r="X10" s="50">
        <f t="shared" si="6"/>
        <v>0.38056000000000001</v>
      </c>
      <c r="Y10" s="238">
        <v>75</v>
      </c>
      <c r="Z10" s="101">
        <v>300</v>
      </c>
    </row>
    <row r="11" spans="1:26" x14ac:dyDescent="0.25">
      <c r="A11" s="264">
        <v>7</v>
      </c>
      <c r="B11" s="256" t="s">
        <v>140</v>
      </c>
      <c r="C11" s="34">
        <v>63</v>
      </c>
      <c r="D11" s="35">
        <v>60</v>
      </c>
      <c r="E11" s="35">
        <v>5</v>
      </c>
      <c r="F11" s="19">
        <f t="shared" si="2"/>
        <v>1.89E-2</v>
      </c>
      <c r="G11" s="23">
        <v>0</v>
      </c>
      <c r="H11" s="26">
        <f t="shared" si="3"/>
        <v>0</v>
      </c>
      <c r="I11" s="21">
        <v>0</v>
      </c>
      <c r="J11" s="205">
        <f t="shared" si="0"/>
        <v>0</v>
      </c>
      <c r="K11" s="21">
        <v>0</v>
      </c>
      <c r="L11" s="205">
        <f t="shared" si="0"/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39">
        <f t="shared" si="7"/>
        <v>0</v>
      </c>
      <c r="T11" s="38">
        <f t="shared" si="1"/>
        <v>0</v>
      </c>
      <c r="U11" s="21">
        <v>0</v>
      </c>
      <c r="V11" s="13">
        <f t="shared" si="4"/>
        <v>0</v>
      </c>
      <c r="W11" s="49">
        <f t="shared" si="5"/>
        <v>0</v>
      </c>
      <c r="X11" s="50">
        <f t="shared" si="6"/>
        <v>0</v>
      </c>
      <c r="Y11" s="238">
        <v>20</v>
      </c>
      <c r="Z11" s="101">
        <v>50</v>
      </c>
    </row>
    <row r="12" spans="1:26" x14ac:dyDescent="0.25">
      <c r="A12" s="264">
        <v>8</v>
      </c>
      <c r="B12" s="256" t="s">
        <v>141</v>
      </c>
      <c r="C12" s="34">
        <v>52</v>
      </c>
      <c r="D12" s="35">
        <v>52</v>
      </c>
      <c r="E12" s="35">
        <v>5</v>
      </c>
      <c r="F12" s="19">
        <f t="shared" si="2"/>
        <v>1.3520000000000001E-2</v>
      </c>
      <c r="G12" s="23">
        <v>42</v>
      </c>
      <c r="H12" s="26">
        <f t="shared" si="3"/>
        <v>0.56784000000000001</v>
      </c>
      <c r="I12" s="21">
        <v>0</v>
      </c>
      <c r="J12" s="205">
        <f t="shared" si="0"/>
        <v>0</v>
      </c>
      <c r="K12" s="21">
        <v>42</v>
      </c>
      <c r="L12" s="205">
        <f>F12*K12</f>
        <v>0.56784000000000001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39">
        <f t="shared" si="7"/>
        <v>0</v>
      </c>
      <c r="T12" s="38">
        <f t="shared" si="1"/>
        <v>0</v>
      </c>
      <c r="U12" s="21">
        <v>0</v>
      </c>
      <c r="V12" s="13">
        <f t="shared" si="4"/>
        <v>0</v>
      </c>
      <c r="W12" s="49">
        <f t="shared" si="5"/>
        <v>0</v>
      </c>
      <c r="X12" s="50">
        <f t="shared" si="6"/>
        <v>0</v>
      </c>
      <c r="Y12" s="238">
        <v>30</v>
      </c>
      <c r="Z12" s="101">
        <v>100</v>
      </c>
    </row>
    <row r="13" spans="1:26" x14ac:dyDescent="0.25">
      <c r="A13" s="264">
        <v>9</v>
      </c>
      <c r="B13" s="256" t="s">
        <v>142</v>
      </c>
      <c r="C13" s="34">
        <v>140</v>
      </c>
      <c r="D13" s="35">
        <v>240</v>
      </c>
      <c r="E13" s="35">
        <v>5</v>
      </c>
      <c r="F13" s="19">
        <f t="shared" si="2"/>
        <v>0.16800000000000001</v>
      </c>
      <c r="G13" s="23">
        <v>0</v>
      </c>
      <c r="H13" s="26">
        <f t="shared" si="3"/>
        <v>0</v>
      </c>
      <c r="I13" s="21">
        <v>0</v>
      </c>
      <c r="J13" s="205">
        <f t="shared" si="0"/>
        <v>0</v>
      </c>
      <c r="K13" s="21">
        <v>12</v>
      </c>
      <c r="L13" s="205">
        <f>F13*K13</f>
        <v>2.016</v>
      </c>
      <c r="M13" s="21">
        <v>45</v>
      </c>
      <c r="N13" s="205">
        <f>F13*M13</f>
        <v>7.5600000000000005</v>
      </c>
      <c r="O13" s="21">
        <v>0</v>
      </c>
      <c r="P13" s="205">
        <f>F13*O13</f>
        <v>0</v>
      </c>
      <c r="Q13" s="21">
        <v>12</v>
      </c>
      <c r="R13" s="205">
        <f>F13*Q13</f>
        <v>2.016</v>
      </c>
      <c r="S13" s="39">
        <f t="shared" si="7"/>
        <v>-69</v>
      </c>
      <c r="T13" s="38">
        <f t="shared" si="1"/>
        <v>-11.592000000000001</v>
      </c>
      <c r="U13" s="21">
        <v>252</v>
      </c>
      <c r="V13" s="13">
        <f t="shared" si="4"/>
        <v>42.336000000000006</v>
      </c>
      <c r="W13" s="49">
        <f t="shared" si="5"/>
        <v>183</v>
      </c>
      <c r="X13" s="50">
        <f t="shared" si="6"/>
        <v>30.744000000000003</v>
      </c>
      <c r="Y13" s="238">
        <v>20</v>
      </c>
      <c r="Z13" s="101">
        <v>50</v>
      </c>
    </row>
    <row r="14" spans="1:26" x14ac:dyDescent="0.25">
      <c r="A14" s="264">
        <v>10</v>
      </c>
      <c r="B14" s="256" t="s">
        <v>143</v>
      </c>
      <c r="C14" s="34">
        <v>90</v>
      </c>
      <c r="D14" s="35">
        <v>85</v>
      </c>
      <c r="E14" s="35">
        <v>5</v>
      </c>
      <c r="F14" s="19">
        <f t="shared" si="2"/>
        <v>3.8249999999999999E-2</v>
      </c>
      <c r="G14" s="23">
        <v>56</v>
      </c>
      <c r="H14" s="26">
        <f t="shared" si="3"/>
        <v>2.1419999999999999</v>
      </c>
      <c r="I14" s="21">
        <v>0</v>
      </c>
      <c r="J14" s="205">
        <f t="shared" si="0"/>
        <v>0</v>
      </c>
      <c r="K14" s="21">
        <v>0</v>
      </c>
      <c r="L14" s="205">
        <f t="shared" ref="L14:L20" si="8">F14*K14</f>
        <v>0</v>
      </c>
      <c r="M14" s="21">
        <v>0</v>
      </c>
      <c r="N14" s="205">
        <f t="shared" si="0"/>
        <v>0</v>
      </c>
      <c r="O14" s="21">
        <v>0</v>
      </c>
      <c r="P14" s="205">
        <f t="shared" si="0"/>
        <v>0</v>
      </c>
      <c r="Q14" s="21">
        <v>0</v>
      </c>
      <c r="R14" s="205">
        <f t="shared" si="0"/>
        <v>0</v>
      </c>
      <c r="S14" s="39">
        <f t="shared" si="7"/>
        <v>56</v>
      </c>
      <c r="T14" s="38">
        <f t="shared" si="1"/>
        <v>2.1419999999999999</v>
      </c>
      <c r="U14" s="21">
        <v>0</v>
      </c>
      <c r="V14" s="13">
        <f t="shared" si="4"/>
        <v>0</v>
      </c>
      <c r="W14" s="49">
        <f t="shared" si="5"/>
        <v>56</v>
      </c>
      <c r="X14" s="50">
        <f t="shared" si="6"/>
        <v>2.1419999999999999</v>
      </c>
      <c r="Y14" s="238">
        <v>30</v>
      </c>
      <c r="Z14" s="101">
        <v>100</v>
      </c>
    </row>
    <row r="15" spans="1:26" x14ac:dyDescent="0.25">
      <c r="A15" s="264">
        <v>11</v>
      </c>
      <c r="B15" s="256" t="s">
        <v>144</v>
      </c>
      <c r="C15" s="34">
        <v>140</v>
      </c>
      <c r="D15" s="35">
        <v>240</v>
      </c>
      <c r="E15" s="35">
        <v>5</v>
      </c>
      <c r="F15" s="19">
        <f t="shared" si="2"/>
        <v>0.16800000000000001</v>
      </c>
      <c r="G15" s="23">
        <v>3</v>
      </c>
      <c r="H15" s="26">
        <f t="shared" si="3"/>
        <v>0.504</v>
      </c>
      <c r="I15" s="21">
        <v>0</v>
      </c>
      <c r="J15" s="205">
        <f t="shared" si="0"/>
        <v>0</v>
      </c>
      <c r="K15" s="21">
        <v>0</v>
      </c>
      <c r="L15" s="205">
        <f t="shared" si="8"/>
        <v>0</v>
      </c>
      <c r="M15" s="21">
        <v>0</v>
      </c>
      <c r="N15" s="205">
        <f t="shared" ref="N15:N20" si="9">F15*M15</f>
        <v>0</v>
      </c>
      <c r="O15" s="21">
        <v>0</v>
      </c>
      <c r="P15" s="205">
        <f t="shared" ref="P15:P20" si="10">F15*O15</f>
        <v>0</v>
      </c>
      <c r="Q15" s="21">
        <v>7</v>
      </c>
      <c r="R15" s="205">
        <f t="shared" ref="R15:R20" si="11">F15*Q15</f>
        <v>1.1760000000000002</v>
      </c>
      <c r="S15" s="39">
        <f t="shared" si="7"/>
        <v>-4</v>
      </c>
      <c r="T15" s="38">
        <f t="shared" si="1"/>
        <v>-0.67200000000000004</v>
      </c>
      <c r="U15" s="21">
        <v>180</v>
      </c>
      <c r="V15" s="13">
        <f t="shared" si="4"/>
        <v>30.240000000000002</v>
      </c>
      <c r="W15" s="49">
        <f t="shared" si="5"/>
        <v>176</v>
      </c>
      <c r="X15" s="50">
        <f t="shared" si="6"/>
        <v>29.568000000000001</v>
      </c>
      <c r="Y15" s="238">
        <v>20</v>
      </c>
      <c r="Z15" s="101">
        <v>70</v>
      </c>
    </row>
    <row r="16" spans="1:26" x14ac:dyDescent="0.25">
      <c r="A16" s="264">
        <v>12</v>
      </c>
      <c r="B16" s="256" t="s">
        <v>145</v>
      </c>
      <c r="C16" s="34">
        <v>140</v>
      </c>
      <c r="D16" s="35">
        <v>240</v>
      </c>
      <c r="E16" s="35">
        <v>5</v>
      </c>
      <c r="F16" s="19">
        <f t="shared" si="2"/>
        <v>0.16800000000000001</v>
      </c>
      <c r="G16" s="23">
        <v>181</v>
      </c>
      <c r="H16" s="26">
        <f t="shared" si="3"/>
        <v>30.408000000000001</v>
      </c>
      <c r="I16" s="21">
        <v>3</v>
      </c>
      <c r="J16" s="205">
        <f t="shared" si="0"/>
        <v>0.504</v>
      </c>
      <c r="K16" s="21">
        <v>11</v>
      </c>
      <c r="L16" s="205">
        <f t="shared" si="8"/>
        <v>1.8480000000000001</v>
      </c>
      <c r="M16" s="21">
        <v>12</v>
      </c>
      <c r="N16" s="205">
        <f t="shared" si="9"/>
        <v>2.016</v>
      </c>
      <c r="O16" s="21">
        <v>0</v>
      </c>
      <c r="P16" s="205">
        <f t="shared" si="10"/>
        <v>0</v>
      </c>
      <c r="Q16" s="21">
        <v>11</v>
      </c>
      <c r="R16" s="205">
        <f t="shared" si="11"/>
        <v>1.8480000000000001</v>
      </c>
      <c r="S16" s="39">
        <f t="shared" si="7"/>
        <v>144</v>
      </c>
      <c r="T16" s="38">
        <f t="shared" si="1"/>
        <v>24.192</v>
      </c>
      <c r="U16" s="21">
        <v>0</v>
      </c>
      <c r="V16" s="13">
        <v>0</v>
      </c>
      <c r="W16" s="49">
        <f t="shared" si="5"/>
        <v>144</v>
      </c>
      <c r="X16" s="50">
        <f t="shared" si="6"/>
        <v>24.192</v>
      </c>
      <c r="Y16" s="238">
        <v>50</v>
      </c>
      <c r="Z16" s="101">
        <v>150</v>
      </c>
    </row>
    <row r="17" spans="1:26" x14ac:dyDescent="0.25">
      <c r="A17" s="264">
        <v>13</v>
      </c>
      <c r="B17" s="256" t="s">
        <v>146</v>
      </c>
      <c r="C17" s="34">
        <v>140</v>
      </c>
      <c r="D17" s="35">
        <v>240</v>
      </c>
      <c r="E17" s="35">
        <v>8</v>
      </c>
      <c r="F17" s="19">
        <f t="shared" si="2"/>
        <v>0.26879999999999998</v>
      </c>
      <c r="G17" s="23">
        <v>26</v>
      </c>
      <c r="H17" s="26">
        <f t="shared" si="3"/>
        <v>6.9887999999999995</v>
      </c>
      <c r="I17" s="21">
        <v>0</v>
      </c>
      <c r="J17" s="205">
        <f t="shared" si="0"/>
        <v>0</v>
      </c>
      <c r="K17" s="21">
        <v>1</v>
      </c>
      <c r="L17" s="205">
        <f t="shared" si="8"/>
        <v>0.26879999999999998</v>
      </c>
      <c r="M17" s="21">
        <v>6</v>
      </c>
      <c r="N17" s="205">
        <f t="shared" si="9"/>
        <v>1.6128</v>
      </c>
      <c r="O17" s="21">
        <v>0</v>
      </c>
      <c r="P17" s="205">
        <f t="shared" si="10"/>
        <v>0</v>
      </c>
      <c r="Q17" s="21">
        <v>0</v>
      </c>
      <c r="R17" s="205">
        <f t="shared" si="11"/>
        <v>0</v>
      </c>
      <c r="S17" s="39">
        <f t="shared" si="7"/>
        <v>19</v>
      </c>
      <c r="T17" s="38">
        <f t="shared" si="1"/>
        <v>5.1071999999999997</v>
      </c>
      <c r="U17" s="21">
        <v>0</v>
      </c>
      <c r="V17" s="13">
        <f t="shared" si="4"/>
        <v>0</v>
      </c>
      <c r="W17" s="49">
        <f t="shared" si="5"/>
        <v>19</v>
      </c>
      <c r="X17" s="50">
        <f t="shared" si="6"/>
        <v>5.1071999999999997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147</v>
      </c>
      <c r="C18" s="34">
        <v>77</v>
      </c>
      <c r="D18" s="35">
        <v>86</v>
      </c>
      <c r="E18" s="35">
        <v>8</v>
      </c>
      <c r="F18" s="19">
        <f t="shared" si="2"/>
        <v>5.2976000000000002E-2</v>
      </c>
      <c r="G18" s="23">
        <v>444</v>
      </c>
      <c r="H18" s="26">
        <f t="shared" si="3"/>
        <v>23.521344000000003</v>
      </c>
      <c r="I18" s="21">
        <v>66</v>
      </c>
      <c r="J18" s="205">
        <f t="shared" si="0"/>
        <v>3.496416</v>
      </c>
      <c r="K18" s="21">
        <v>8</v>
      </c>
      <c r="L18" s="205">
        <f t="shared" si="8"/>
        <v>0.42380800000000002</v>
      </c>
      <c r="M18" s="21">
        <v>0</v>
      </c>
      <c r="N18" s="205">
        <f t="shared" si="9"/>
        <v>0</v>
      </c>
      <c r="O18" s="21">
        <v>0</v>
      </c>
      <c r="P18" s="205">
        <f t="shared" si="10"/>
        <v>0</v>
      </c>
      <c r="Q18" s="21">
        <v>7</v>
      </c>
      <c r="R18" s="205">
        <f t="shared" si="11"/>
        <v>0.37083199999999999</v>
      </c>
      <c r="S18" s="39">
        <f t="shared" si="7"/>
        <v>363</v>
      </c>
      <c r="T18" s="38">
        <f t="shared" si="1"/>
        <v>19.230288000000002</v>
      </c>
      <c r="U18" s="21">
        <v>0</v>
      </c>
      <c r="V18" s="13">
        <f t="shared" si="4"/>
        <v>0</v>
      </c>
      <c r="W18" s="49">
        <f t="shared" si="5"/>
        <v>363</v>
      </c>
      <c r="X18" s="50">
        <f t="shared" si="6"/>
        <v>19.230288000000002</v>
      </c>
      <c r="Y18" s="238">
        <v>30</v>
      </c>
      <c r="Z18" s="101">
        <v>100</v>
      </c>
    </row>
    <row r="19" spans="1:26" x14ac:dyDescent="0.25">
      <c r="A19" s="264">
        <v>15</v>
      </c>
      <c r="B19" s="256" t="s">
        <v>148</v>
      </c>
      <c r="C19" s="34">
        <v>77</v>
      </c>
      <c r="D19" s="35">
        <v>68</v>
      </c>
      <c r="E19" s="35">
        <v>8</v>
      </c>
      <c r="F19" s="19">
        <f t="shared" si="2"/>
        <v>4.1888000000000002E-2</v>
      </c>
      <c r="G19" s="23">
        <v>212</v>
      </c>
      <c r="H19" s="26">
        <f t="shared" si="3"/>
        <v>8.880256000000001</v>
      </c>
      <c r="I19" s="21">
        <v>0</v>
      </c>
      <c r="J19" s="205">
        <f t="shared" si="0"/>
        <v>0</v>
      </c>
      <c r="K19" s="21">
        <v>0</v>
      </c>
      <c r="L19" s="205">
        <f t="shared" si="8"/>
        <v>0</v>
      </c>
      <c r="M19" s="21">
        <v>0</v>
      </c>
      <c r="N19" s="205">
        <f t="shared" si="9"/>
        <v>0</v>
      </c>
      <c r="O19" s="21">
        <v>0</v>
      </c>
      <c r="P19" s="205">
        <f t="shared" si="10"/>
        <v>0</v>
      </c>
      <c r="Q19" s="21">
        <v>0</v>
      </c>
      <c r="R19" s="205">
        <f t="shared" si="11"/>
        <v>0</v>
      </c>
      <c r="S19" s="39">
        <f t="shared" si="7"/>
        <v>212</v>
      </c>
      <c r="T19" s="38">
        <f t="shared" si="1"/>
        <v>8.880256000000001</v>
      </c>
      <c r="U19" s="21">
        <v>0</v>
      </c>
      <c r="V19" s="13">
        <f t="shared" si="4"/>
        <v>0</v>
      </c>
      <c r="W19" s="49">
        <f t="shared" si="5"/>
        <v>212</v>
      </c>
      <c r="X19" s="50">
        <f t="shared" si="6"/>
        <v>8.880256000000001</v>
      </c>
      <c r="Y19" s="238">
        <v>10</v>
      </c>
      <c r="Z19" s="101">
        <v>30</v>
      </c>
    </row>
    <row r="20" spans="1:26" x14ac:dyDescent="0.25">
      <c r="A20" s="264">
        <v>16</v>
      </c>
      <c r="B20" s="256" t="s">
        <v>149</v>
      </c>
      <c r="C20" s="34">
        <v>76</v>
      </c>
      <c r="D20" s="35">
        <v>75</v>
      </c>
      <c r="E20" s="35">
        <v>8</v>
      </c>
      <c r="F20" s="19">
        <f t="shared" si="2"/>
        <v>4.5600000000000002E-2</v>
      </c>
      <c r="G20" s="23">
        <v>8</v>
      </c>
      <c r="H20" s="26">
        <f t="shared" si="3"/>
        <v>0.36480000000000001</v>
      </c>
      <c r="I20" s="21">
        <v>0</v>
      </c>
      <c r="J20" s="205">
        <f t="shared" si="0"/>
        <v>0</v>
      </c>
      <c r="K20" s="21">
        <v>0</v>
      </c>
      <c r="L20" s="205">
        <f t="shared" si="8"/>
        <v>0</v>
      </c>
      <c r="M20" s="21">
        <v>0</v>
      </c>
      <c r="N20" s="205">
        <f t="shared" si="9"/>
        <v>0</v>
      </c>
      <c r="O20" s="21">
        <v>0</v>
      </c>
      <c r="P20" s="205">
        <f t="shared" si="10"/>
        <v>0</v>
      </c>
      <c r="Q20" s="21">
        <v>0</v>
      </c>
      <c r="R20" s="205">
        <f t="shared" si="11"/>
        <v>0</v>
      </c>
      <c r="S20" s="39">
        <f t="shared" si="7"/>
        <v>8</v>
      </c>
      <c r="T20" s="38">
        <f t="shared" si="1"/>
        <v>0.36480000000000001</v>
      </c>
      <c r="U20" s="21">
        <v>0</v>
      </c>
      <c r="V20" s="13">
        <f t="shared" si="4"/>
        <v>0</v>
      </c>
      <c r="W20" s="49">
        <f t="shared" si="5"/>
        <v>8</v>
      </c>
      <c r="X20" s="50">
        <f t="shared" si="6"/>
        <v>0.36480000000000001</v>
      </c>
      <c r="Y20" s="238">
        <v>0</v>
      </c>
      <c r="Z20" s="101">
        <v>0</v>
      </c>
    </row>
    <row r="21" spans="1:26" x14ac:dyDescent="0.25">
      <c r="A21" s="264">
        <v>17</v>
      </c>
      <c r="B21" s="256" t="s">
        <v>150</v>
      </c>
      <c r="C21" s="34">
        <v>60</v>
      </c>
      <c r="D21" s="35">
        <v>63</v>
      </c>
      <c r="E21" s="35">
        <v>10</v>
      </c>
      <c r="F21" s="19">
        <f t="shared" si="2"/>
        <v>3.78E-2</v>
      </c>
      <c r="G21" s="23">
        <v>263</v>
      </c>
      <c r="H21" s="26">
        <f t="shared" si="3"/>
        <v>9.9413999999999998</v>
      </c>
      <c r="I21" s="21">
        <v>0</v>
      </c>
      <c r="J21" s="205">
        <f t="shared" si="0"/>
        <v>0</v>
      </c>
      <c r="K21" s="21">
        <v>0</v>
      </c>
      <c r="L21" s="205">
        <f t="shared" si="0"/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39">
        <f t="shared" si="7"/>
        <v>263</v>
      </c>
      <c r="T21" s="38">
        <f t="shared" si="1"/>
        <v>9.9413999999999998</v>
      </c>
      <c r="U21" s="21">
        <v>0</v>
      </c>
      <c r="V21" s="13">
        <f t="shared" si="4"/>
        <v>0</v>
      </c>
      <c r="W21" s="49">
        <f t="shared" si="5"/>
        <v>263</v>
      </c>
      <c r="X21" s="50">
        <f t="shared" si="6"/>
        <v>9.9413999999999998</v>
      </c>
      <c r="Y21" s="238">
        <v>0</v>
      </c>
      <c r="Z21" s="101">
        <v>0</v>
      </c>
    </row>
    <row r="22" spans="1:26" x14ac:dyDescent="0.25">
      <c r="A22" s="264">
        <v>18</v>
      </c>
      <c r="B22" s="256" t="s">
        <v>151</v>
      </c>
      <c r="C22" s="34">
        <v>63</v>
      </c>
      <c r="D22" s="35">
        <v>60</v>
      </c>
      <c r="E22" s="35">
        <v>3</v>
      </c>
      <c r="F22" s="19">
        <f t="shared" si="2"/>
        <v>1.1339999999999999E-2</v>
      </c>
      <c r="G22" s="23">
        <v>16</v>
      </c>
      <c r="H22" s="26">
        <f t="shared" si="3"/>
        <v>0.18143999999999999</v>
      </c>
      <c r="I22" s="21">
        <v>0</v>
      </c>
      <c r="J22" s="205">
        <f t="shared" si="0"/>
        <v>0</v>
      </c>
      <c r="K22" s="21">
        <v>0</v>
      </c>
      <c r="L22" s="205">
        <f t="shared" si="0"/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39">
        <f t="shared" si="7"/>
        <v>16</v>
      </c>
      <c r="T22" s="38">
        <f t="shared" si="1"/>
        <v>0.18143999999999999</v>
      </c>
      <c r="U22" s="21">
        <v>0</v>
      </c>
      <c r="V22" s="13">
        <f t="shared" si="4"/>
        <v>0</v>
      </c>
      <c r="W22" s="49">
        <f t="shared" si="5"/>
        <v>16</v>
      </c>
      <c r="X22" s="50">
        <f t="shared" si="6"/>
        <v>0.18143999999999999</v>
      </c>
      <c r="Y22" s="238">
        <v>0</v>
      </c>
      <c r="Z22" s="101">
        <v>0</v>
      </c>
    </row>
    <row r="23" spans="1:26" x14ac:dyDescent="0.25">
      <c r="A23" s="264">
        <v>19</v>
      </c>
      <c r="B23" s="42" t="s">
        <v>152</v>
      </c>
      <c r="C23" s="34">
        <v>140</v>
      </c>
      <c r="D23" s="35">
        <v>240</v>
      </c>
      <c r="E23" s="35">
        <v>1.4</v>
      </c>
      <c r="F23" s="19">
        <f t="shared" si="2"/>
        <v>4.7039999999999998E-2</v>
      </c>
      <c r="G23" s="23">
        <v>314</v>
      </c>
      <c r="H23" s="26">
        <f t="shared" si="3"/>
        <v>14.77056</v>
      </c>
      <c r="I23" s="21">
        <v>143</v>
      </c>
      <c r="J23" s="205">
        <f t="shared" si="0"/>
        <v>6.7267199999999994</v>
      </c>
      <c r="K23" s="21">
        <v>49</v>
      </c>
      <c r="L23" s="205">
        <f t="shared" ref="L23:L36" si="12">F23*K23</f>
        <v>2.3049599999999999</v>
      </c>
      <c r="M23" s="21">
        <v>39</v>
      </c>
      <c r="N23" s="205">
        <f t="shared" ref="N23:N36" si="13">F23*M23</f>
        <v>1.83456</v>
      </c>
      <c r="O23" s="21">
        <v>0</v>
      </c>
      <c r="P23" s="205">
        <f t="shared" ref="P23:P36" si="14">F23*O23</f>
        <v>0</v>
      </c>
      <c r="Q23" s="21">
        <v>33</v>
      </c>
      <c r="R23" s="205">
        <f t="shared" ref="R23:R36" si="15">F23*Q23</f>
        <v>1.5523199999999999</v>
      </c>
      <c r="S23" s="39">
        <f t="shared" si="7"/>
        <v>50</v>
      </c>
      <c r="T23" s="38">
        <f t="shared" si="1"/>
        <v>2.3519999999999999</v>
      </c>
      <c r="U23" s="21">
        <v>2</v>
      </c>
      <c r="V23" s="13">
        <f t="shared" si="4"/>
        <v>9.4079999999999997E-2</v>
      </c>
      <c r="W23" s="49">
        <f t="shared" si="5"/>
        <v>52</v>
      </c>
      <c r="X23" s="50">
        <f t="shared" si="6"/>
        <v>2.4460799999999998</v>
      </c>
      <c r="Y23" s="238">
        <v>0</v>
      </c>
      <c r="Z23" s="101">
        <v>0</v>
      </c>
    </row>
    <row r="24" spans="1:26" x14ac:dyDescent="0.25">
      <c r="A24" s="264">
        <v>20</v>
      </c>
      <c r="B24" s="256" t="s">
        <v>3</v>
      </c>
      <c r="C24" s="34">
        <v>140</v>
      </c>
      <c r="D24" s="35">
        <v>240</v>
      </c>
      <c r="E24" s="35">
        <v>0.8</v>
      </c>
      <c r="F24" s="19">
        <f t="shared" si="2"/>
        <v>2.6880000000000001E-2</v>
      </c>
      <c r="G24" s="23">
        <v>187</v>
      </c>
      <c r="H24" s="26">
        <f t="shared" si="3"/>
        <v>5.0265599999999999</v>
      </c>
      <c r="I24" s="21">
        <v>0</v>
      </c>
      <c r="J24" s="205">
        <f t="shared" si="0"/>
        <v>0</v>
      </c>
      <c r="K24" s="21">
        <v>0</v>
      </c>
      <c r="L24" s="205">
        <f t="shared" si="12"/>
        <v>0</v>
      </c>
      <c r="M24" s="21">
        <v>17</v>
      </c>
      <c r="N24" s="205">
        <f t="shared" si="13"/>
        <v>0.45696000000000003</v>
      </c>
      <c r="O24" s="21">
        <v>0</v>
      </c>
      <c r="P24" s="205">
        <f t="shared" si="14"/>
        <v>0</v>
      </c>
      <c r="Q24" s="21">
        <v>5</v>
      </c>
      <c r="R24" s="205">
        <f t="shared" si="15"/>
        <v>0.13440000000000002</v>
      </c>
      <c r="S24" s="39">
        <f t="shared" si="7"/>
        <v>165</v>
      </c>
      <c r="T24" s="38">
        <f t="shared" si="1"/>
        <v>4.4352</v>
      </c>
      <c r="U24" s="21">
        <v>0</v>
      </c>
      <c r="V24" s="13">
        <f t="shared" si="4"/>
        <v>0</v>
      </c>
      <c r="W24" s="49">
        <f t="shared" si="5"/>
        <v>165</v>
      </c>
      <c r="X24" s="50">
        <f t="shared" si="6"/>
        <v>4.4352</v>
      </c>
      <c r="Y24" s="238">
        <v>0</v>
      </c>
      <c r="Z24" s="101">
        <v>0</v>
      </c>
    </row>
    <row r="25" spans="1:26" x14ac:dyDescent="0.25">
      <c r="A25" s="264">
        <v>21</v>
      </c>
      <c r="B25" s="256" t="s">
        <v>153</v>
      </c>
      <c r="C25" s="34">
        <v>58</v>
      </c>
      <c r="D25" s="35">
        <v>58</v>
      </c>
      <c r="E25" s="35">
        <v>2.2999999999999998</v>
      </c>
      <c r="F25" s="19">
        <f t="shared" si="2"/>
        <v>7.7371999999999996E-3</v>
      </c>
      <c r="G25" s="23">
        <v>1054</v>
      </c>
      <c r="H25" s="26">
        <f t="shared" si="3"/>
        <v>8.1550087999999992</v>
      </c>
      <c r="I25" s="21">
        <v>43</v>
      </c>
      <c r="J25" s="205">
        <f t="shared" si="0"/>
        <v>0.33269959999999998</v>
      </c>
      <c r="K25" s="21">
        <v>72</v>
      </c>
      <c r="L25" s="205">
        <f t="shared" si="12"/>
        <v>0.55707839999999997</v>
      </c>
      <c r="M25" s="21">
        <v>30</v>
      </c>
      <c r="N25" s="205">
        <f t="shared" si="13"/>
        <v>0.23211599999999999</v>
      </c>
      <c r="O25" s="21">
        <v>0</v>
      </c>
      <c r="P25" s="205">
        <f t="shared" si="14"/>
        <v>0</v>
      </c>
      <c r="Q25" s="21">
        <v>224</v>
      </c>
      <c r="R25" s="205">
        <f t="shared" si="15"/>
        <v>1.7331327999999999</v>
      </c>
      <c r="S25" s="39">
        <f t="shared" si="7"/>
        <v>685</v>
      </c>
      <c r="T25" s="38">
        <f t="shared" si="1"/>
        <v>5.299982</v>
      </c>
      <c r="U25" s="21">
        <v>0</v>
      </c>
      <c r="V25" s="13">
        <f t="shared" si="4"/>
        <v>0</v>
      </c>
      <c r="W25" s="49">
        <f t="shared" si="5"/>
        <v>685</v>
      </c>
      <c r="X25" s="50">
        <f t="shared" si="6"/>
        <v>5.299982</v>
      </c>
      <c r="Y25" s="238">
        <v>30</v>
      </c>
      <c r="Z25" s="101">
        <v>100</v>
      </c>
    </row>
    <row r="26" spans="1:26" x14ac:dyDescent="0.25">
      <c r="A26" s="264">
        <v>22</v>
      </c>
      <c r="B26" s="256" t="s">
        <v>154</v>
      </c>
      <c r="C26" s="34">
        <v>140</v>
      </c>
      <c r="D26" s="35">
        <v>240</v>
      </c>
      <c r="E26" s="35">
        <v>7</v>
      </c>
      <c r="F26" s="19">
        <f t="shared" si="2"/>
        <v>0.23519999999999999</v>
      </c>
      <c r="G26" s="23">
        <v>63</v>
      </c>
      <c r="H26" s="26">
        <f t="shared" si="3"/>
        <v>14.817599999999999</v>
      </c>
      <c r="I26" s="21">
        <v>2</v>
      </c>
      <c r="J26" s="205">
        <f t="shared" si="0"/>
        <v>0.47039999999999998</v>
      </c>
      <c r="K26" s="21">
        <v>14</v>
      </c>
      <c r="L26" s="205">
        <f t="shared" si="12"/>
        <v>3.2927999999999997</v>
      </c>
      <c r="M26" s="21">
        <v>9</v>
      </c>
      <c r="N26" s="205">
        <f t="shared" si="13"/>
        <v>2.1168</v>
      </c>
      <c r="O26" s="21">
        <v>0</v>
      </c>
      <c r="P26" s="205">
        <f t="shared" si="14"/>
        <v>0</v>
      </c>
      <c r="Q26" s="21">
        <v>9</v>
      </c>
      <c r="R26" s="205">
        <f t="shared" si="15"/>
        <v>2.1168</v>
      </c>
      <c r="S26" s="39">
        <f t="shared" si="7"/>
        <v>29</v>
      </c>
      <c r="T26" s="38">
        <f t="shared" si="1"/>
        <v>6.8208000000000002</v>
      </c>
      <c r="U26" s="21">
        <v>0</v>
      </c>
      <c r="V26" s="13">
        <f t="shared" si="4"/>
        <v>0</v>
      </c>
      <c r="W26" s="49">
        <f t="shared" si="5"/>
        <v>29</v>
      </c>
      <c r="X26" s="50">
        <f t="shared" si="6"/>
        <v>6.8208000000000002</v>
      </c>
      <c r="Y26" s="238">
        <v>0</v>
      </c>
      <c r="Z26" s="101">
        <v>0</v>
      </c>
    </row>
    <row r="27" spans="1:26" ht="15.75" x14ac:dyDescent="0.25">
      <c r="A27" s="264">
        <v>23</v>
      </c>
      <c r="B27" s="256" t="s">
        <v>55</v>
      </c>
      <c r="C27" s="111">
        <v>50</v>
      </c>
      <c r="D27" s="112">
        <v>45</v>
      </c>
      <c r="E27" s="112">
        <v>4</v>
      </c>
      <c r="F27" s="19">
        <f t="shared" si="2"/>
        <v>8.9999999999999993E-3</v>
      </c>
      <c r="G27" s="23">
        <v>1021</v>
      </c>
      <c r="H27" s="26">
        <f t="shared" si="3"/>
        <v>9.1890000000000001</v>
      </c>
      <c r="I27" s="21">
        <v>0</v>
      </c>
      <c r="J27" s="205">
        <f t="shared" si="0"/>
        <v>0</v>
      </c>
      <c r="K27" s="21">
        <v>16</v>
      </c>
      <c r="L27" s="205">
        <f t="shared" si="12"/>
        <v>0.14399999999999999</v>
      </c>
      <c r="M27" s="21">
        <v>0</v>
      </c>
      <c r="N27" s="205">
        <f t="shared" si="13"/>
        <v>0</v>
      </c>
      <c r="O27" s="21">
        <v>0</v>
      </c>
      <c r="P27" s="205">
        <f t="shared" si="14"/>
        <v>0</v>
      </c>
      <c r="Q27" s="21">
        <v>100</v>
      </c>
      <c r="R27" s="205">
        <f t="shared" si="15"/>
        <v>0.89999999999999991</v>
      </c>
      <c r="S27" s="39">
        <f t="shared" si="7"/>
        <v>905</v>
      </c>
      <c r="T27" s="38">
        <f t="shared" si="1"/>
        <v>8.1449999999999996</v>
      </c>
      <c r="U27" s="21">
        <v>0</v>
      </c>
      <c r="V27" s="13">
        <f t="shared" si="4"/>
        <v>0</v>
      </c>
      <c r="W27" s="49">
        <f t="shared" si="5"/>
        <v>905</v>
      </c>
      <c r="X27" s="50">
        <f t="shared" si="6"/>
        <v>8.1449999999999996</v>
      </c>
      <c r="Y27" s="238">
        <v>0</v>
      </c>
      <c r="Z27" s="101">
        <v>0</v>
      </c>
    </row>
    <row r="28" spans="1:26" ht="15.75" x14ac:dyDescent="0.25">
      <c r="A28" s="264">
        <v>24</v>
      </c>
      <c r="B28" s="256" t="s">
        <v>56</v>
      </c>
      <c r="C28" s="111">
        <v>50</v>
      </c>
      <c r="D28" s="112">
        <v>35</v>
      </c>
      <c r="E28" s="112">
        <v>4</v>
      </c>
      <c r="F28" s="19">
        <f t="shared" si="2"/>
        <v>7.0000000000000001E-3</v>
      </c>
      <c r="G28" s="23">
        <v>976</v>
      </c>
      <c r="H28" s="26">
        <f t="shared" si="3"/>
        <v>6.8319999999999999</v>
      </c>
      <c r="I28" s="21">
        <v>0</v>
      </c>
      <c r="J28" s="205">
        <f t="shared" si="0"/>
        <v>0</v>
      </c>
      <c r="K28" s="21">
        <v>0</v>
      </c>
      <c r="L28" s="205">
        <f t="shared" si="12"/>
        <v>0</v>
      </c>
      <c r="M28" s="21">
        <v>0</v>
      </c>
      <c r="N28" s="205">
        <f t="shared" si="13"/>
        <v>0</v>
      </c>
      <c r="O28" s="21">
        <v>0</v>
      </c>
      <c r="P28" s="205">
        <f t="shared" si="14"/>
        <v>0</v>
      </c>
      <c r="Q28" s="21">
        <v>72</v>
      </c>
      <c r="R28" s="205">
        <f t="shared" si="15"/>
        <v>0.504</v>
      </c>
      <c r="S28" s="39">
        <f t="shared" si="7"/>
        <v>904</v>
      </c>
      <c r="T28" s="38">
        <f t="shared" si="1"/>
        <v>6.3280000000000003</v>
      </c>
      <c r="U28" s="21">
        <v>0</v>
      </c>
      <c r="V28" s="13">
        <f t="shared" si="4"/>
        <v>0</v>
      </c>
      <c r="W28" s="49">
        <f t="shared" si="5"/>
        <v>904</v>
      </c>
      <c r="X28" s="50">
        <f t="shared" si="6"/>
        <v>6.3280000000000003</v>
      </c>
      <c r="Y28" s="238">
        <v>0</v>
      </c>
      <c r="Z28" s="101">
        <v>0</v>
      </c>
    </row>
    <row r="29" spans="1:26" ht="15.75" x14ac:dyDescent="0.25">
      <c r="A29" s="264">
        <v>25</v>
      </c>
      <c r="B29" s="256" t="s">
        <v>57</v>
      </c>
      <c r="C29" s="111">
        <v>45</v>
      </c>
      <c r="D29" s="112">
        <v>50</v>
      </c>
      <c r="E29" s="112">
        <v>3</v>
      </c>
      <c r="F29" s="19">
        <f t="shared" si="2"/>
        <v>6.7499999999999999E-3</v>
      </c>
      <c r="G29" s="23">
        <v>513</v>
      </c>
      <c r="H29" s="26">
        <f t="shared" si="3"/>
        <v>3.4627499999999998</v>
      </c>
      <c r="I29" s="21">
        <v>0</v>
      </c>
      <c r="J29" s="205">
        <f t="shared" si="0"/>
        <v>0</v>
      </c>
      <c r="K29" s="21">
        <v>70</v>
      </c>
      <c r="L29" s="205">
        <f t="shared" si="12"/>
        <v>0.47249999999999998</v>
      </c>
      <c r="M29" s="21">
        <v>80</v>
      </c>
      <c r="N29" s="205">
        <f t="shared" si="13"/>
        <v>0.54</v>
      </c>
      <c r="O29" s="21">
        <v>0</v>
      </c>
      <c r="P29" s="205">
        <f t="shared" si="14"/>
        <v>0</v>
      </c>
      <c r="Q29" s="21">
        <v>80</v>
      </c>
      <c r="R29" s="205">
        <f t="shared" si="15"/>
        <v>0.54</v>
      </c>
      <c r="S29" s="39">
        <f t="shared" si="7"/>
        <v>283</v>
      </c>
      <c r="T29" s="38">
        <f t="shared" si="1"/>
        <v>1.91025</v>
      </c>
      <c r="U29" s="21">
        <v>0</v>
      </c>
      <c r="V29" s="13">
        <f t="shared" si="4"/>
        <v>0</v>
      </c>
      <c r="W29" s="49">
        <f t="shared" si="5"/>
        <v>283</v>
      </c>
      <c r="X29" s="50">
        <f t="shared" si="6"/>
        <v>1.91025</v>
      </c>
      <c r="Y29" s="238">
        <v>0</v>
      </c>
      <c r="Z29" s="101">
        <v>0</v>
      </c>
    </row>
    <row r="30" spans="1:26" ht="15.75" x14ac:dyDescent="0.25">
      <c r="A30" s="264">
        <v>26</v>
      </c>
      <c r="B30" s="256" t="s">
        <v>58</v>
      </c>
      <c r="C30" s="111">
        <v>50</v>
      </c>
      <c r="D30" s="112">
        <v>35</v>
      </c>
      <c r="E30" s="112">
        <v>3</v>
      </c>
      <c r="F30" s="19">
        <f t="shared" si="2"/>
        <v>5.2500000000000003E-3</v>
      </c>
      <c r="G30" s="23">
        <v>468</v>
      </c>
      <c r="H30" s="26">
        <f t="shared" si="3"/>
        <v>2.4570000000000003</v>
      </c>
      <c r="I30" s="21">
        <v>0</v>
      </c>
      <c r="J30" s="205">
        <f t="shared" si="0"/>
        <v>0</v>
      </c>
      <c r="K30" s="21">
        <v>40</v>
      </c>
      <c r="L30" s="205">
        <f t="shared" si="12"/>
        <v>0.21000000000000002</v>
      </c>
      <c r="M30" s="21">
        <v>80</v>
      </c>
      <c r="N30" s="205">
        <f t="shared" si="13"/>
        <v>0.42000000000000004</v>
      </c>
      <c r="O30" s="21">
        <v>0</v>
      </c>
      <c r="P30" s="205">
        <f t="shared" si="14"/>
        <v>0</v>
      </c>
      <c r="Q30" s="21">
        <v>156</v>
      </c>
      <c r="R30" s="205">
        <f t="shared" si="15"/>
        <v>0.81900000000000006</v>
      </c>
      <c r="S30" s="39">
        <f t="shared" si="7"/>
        <v>192</v>
      </c>
      <c r="T30" s="38">
        <f t="shared" si="1"/>
        <v>1.008</v>
      </c>
      <c r="U30" s="21">
        <v>0</v>
      </c>
      <c r="V30" s="13">
        <f t="shared" si="4"/>
        <v>0</v>
      </c>
      <c r="W30" s="49">
        <f t="shared" si="5"/>
        <v>192</v>
      </c>
      <c r="X30" s="50">
        <f t="shared" si="6"/>
        <v>1.008</v>
      </c>
      <c r="Y30" s="238">
        <v>0</v>
      </c>
      <c r="Z30" s="101">
        <v>0</v>
      </c>
    </row>
    <row r="31" spans="1:26" x14ac:dyDescent="0.25">
      <c r="A31" s="264">
        <v>27</v>
      </c>
      <c r="B31" s="256" t="s">
        <v>155</v>
      </c>
      <c r="C31" s="34">
        <v>140</v>
      </c>
      <c r="D31" s="35">
        <v>9.5</v>
      </c>
      <c r="E31" s="35">
        <v>6.5</v>
      </c>
      <c r="F31" s="19">
        <f t="shared" si="2"/>
        <v>8.6449999999999999E-3</v>
      </c>
      <c r="G31" s="23">
        <v>4640</v>
      </c>
      <c r="H31" s="26">
        <f t="shared" si="3"/>
        <v>40.1128</v>
      </c>
      <c r="I31" s="21">
        <v>100</v>
      </c>
      <c r="J31" s="205">
        <f t="shared" si="0"/>
        <v>0.86450000000000005</v>
      </c>
      <c r="K31" s="21">
        <v>57</v>
      </c>
      <c r="L31" s="205">
        <f t="shared" si="12"/>
        <v>0.49276500000000001</v>
      </c>
      <c r="M31" s="21">
        <v>0</v>
      </c>
      <c r="N31" s="205">
        <f t="shared" si="13"/>
        <v>0</v>
      </c>
      <c r="O31" s="21">
        <v>0</v>
      </c>
      <c r="P31" s="205">
        <f t="shared" si="14"/>
        <v>0</v>
      </c>
      <c r="Q31" s="21">
        <v>110</v>
      </c>
      <c r="R31" s="205">
        <f t="shared" si="15"/>
        <v>0.95094999999999996</v>
      </c>
      <c r="S31" s="39">
        <f t="shared" si="7"/>
        <v>4373</v>
      </c>
      <c r="T31" s="38">
        <f t="shared" si="1"/>
        <v>37.804585000000003</v>
      </c>
      <c r="U31" s="21">
        <v>78</v>
      </c>
      <c r="V31" s="13">
        <f t="shared" si="4"/>
        <v>0.67430999999999996</v>
      </c>
      <c r="W31" s="49">
        <f t="shared" si="5"/>
        <v>4451</v>
      </c>
      <c r="X31" s="50">
        <f t="shared" si="6"/>
        <v>38.478895000000001</v>
      </c>
      <c r="Y31" s="238">
        <v>0</v>
      </c>
      <c r="Z31" s="101">
        <v>0</v>
      </c>
    </row>
    <row r="32" spans="1:26" x14ac:dyDescent="0.25">
      <c r="A32" s="264">
        <v>28</v>
      </c>
      <c r="B32" s="256" t="s">
        <v>156</v>
      </c>
      <c r="C32" s="34">
        <v>140</v>
      </c>
      <c r="D32" s="35">
        <v>240</v>
      </c>
      <c r="E32" s="35">
        <v>1</v>
      </c>
      <c r="F32" s="19">
        <f t="shared" si="2"/>
        <v>3.3599999999999998E-2</v>
      </c>
      <c r="G32" s="23">
        <v>922</v>
      </c>
      <c r="H32" s="26">
        <f t="shared" si="3"/>
        <v>30.979199999999999</v>
      </c>
      <c r="I32" s="21">
        <v>197</v>
      </c>
      <c r="J32" s="205">
        <f t="shared" si="0"/>
        <v>6.6191999999999993</v>
      </c>
      <c r="K32" s="21">
        <v>122</v>
      </c>
      <c r="L32" s="205">
        <f t="shared" si="12"/>
        <v>4.0991999999999997</v>
      </c>
      <c r="M32" s="21">
        <v>119</v>
      </c>
      <c r="N32" s="205">
        <f t="shared" si="13"/>
        <v>3.9983999999999997</v>
      </c>
      <c r="O32" s="21">
        <v>0</v>
      </c>
      <c r="P32" s="205">
        <f t="shared" si="14"/>
        <v>0</v>
      </c>
      <c r="Q32" s="21">
        <v>217</v>
      </c>
      <c r="R32" s="205">
        <f>F32*Q32</f>
        <v>7.2911999999999999</v>
      </c>
      <c r="S32" s="39">
        <f t="shared" si="7"/>
        <v>267</v>
      </c>
      <c r="T32" s="38">
        <f t="shared" si="1"/>
        <v>8.9711999999999996</v>
      </c>
      <c r="U32" s="21">
        <v>0</v>
      </c>
      <c r="V32" s="13">
        <f t="shared" si="4"/>
        <v>0</v>
      </c>
      <c r="W32" s="49">
        <f t="shared" si="5"/>
        <v>267</v>
      </c>
      <c r="X32" s="50">
        <f t="shared" si="6"/>
        <v>8.9711999999999996</v>
      </c>
      <c r="Y32" s="238">
        <v>0</v>
      </c>
      <c r="Z32" s="101">
        <v>0</v>
      </c>
    </row>
    <row r="33" spans="1:26" x14ac:dyDescent="0.25">
      <c r="A33" s="264">
        <v>29</v>
      </c>
      <c r="B33" s="256" t="s">
        <v>157</v>
      </c>
      <c r="C33" s="34">
        <v>140</v>
      </c>
      <c r="D33" s="35">
        <v>240</v>
      </c>
      <c r="E33" s="35">
        <v>2</v>
      </c>
      <c r="F33" s="19">
        <f t="shared" si="2"/>
        <v>6.7199999999999996E-2</v>
      </c>
      <c r="G33" s="23">
        <v>83</v>
      </c>
      <c r="H33" s="26">
        <f t="shared" si="3"/>
        <v>5.5775999999999994</v>
      </c>
      <c r="I33" s="21">
        <v>18</v>
      </c>
      <c r="J33" s="205">
        <f t="shared" si="0"/>
        <v>1.2096</v>
      </c>
      <c r="K33" s="21">
        <v>39</v>
      </c>
      <c r="L33" s="205">
        <f t="shared" si="12"/>
        <v>2.6208</v>
      </c>
      <c r="M33" s="21">
        <v>13</v>
      </c>
      <c r="N33" s="205">
        <f t="shared" si="13"/>
        <v>0.87359999999999993</v>
      </c>
      <c r="O33" s="21">
        <v>0</v>
      </c>
      <c r="P33" s="205">
        <f t="shared" si="14"/>
        <v>0</v>
      </c>
      <c r="Q33" s="21">
        <v>24</v>
      </c>
      <c r="R33" s="205">
        <f>F33*Q33</f>
        <v>1.6128</v>
      </c>
      <c r="S33" s="39">
        <f t="shared" si="7"/>
        <v>-11</v>
      </c>
      <c r="T33" s="38">
        <f t="shared" si="1"/>
        <v>-0.73919999999999997</v>
      </c>
      <c r="U33" s="21">
        <v>661</v>
      </c>
      <c r="V33" s="13">
        <f t="shared" si="4"/>
        <v>44.419199999999996</v>
      </c>
      <c r="W33" s="49">
        <f t="shared" si="5"/>
        <v>650</v>
      </c>
      <c r="X33" s="50">
        <f t="shared" si="6"/>
        <v>43.68</v>
      </c>
      <c r="Y33" s="238">
        <v>0</v>
      </c>
      <c r="Z33" s="101">
        <v>0</v>
      </c>
    </row>
    <row r="34" spans="1:26" x14ac:dyDescent="0.25">
      <c r="A34" s="264">
        <v>30</v>
      </c>
      <c r="B34" s="256" t="s">
        <v>158</v>
      </c>
      <c r="C34" s="34">
        <v>140</v>
      </c>
      <c r="D34" s="35">
        <v>240</v>
      </c>
      <c r="E34" s="35">
        <v>3</v>
      </c>
      <c r="F34" s="19">
        <f t="shared" si="2"/>
        <v>0.1008</v>
      </c>
      <c r="G34" s="23">
        <v>115</v>
      </c>
      <c r="H34" s="26">
        <f t="shared" si="3"/>
        <v>11.592000000000001</v>
      </c>
      <c r="I34" s="21">
        <v>35</v>
      </c>
      <c r="J34" s="205">
        <f>F34*I34</f>
        <v>3.528</v>
      </c>
      <c r="K34" s="21">
        <v>11</v>
      </c>
      <c r="L34" s="205">
        <f t="shared" si="12"/>
        <v>1.1088</v>
      </c>
      <c r="M34" s="21">
        <v>11</v>
      </c>
      <c r="N34" s="205">
        <f t="shared" si="13"/>
        <v>1.1088</v>
      </c>
      <c r="O34" s="21">
        <v>0</v>
      </c>
      <c r="P34" s="205">
        <f t="shared" si="14"/>
        <v>0</v>
      </c>
      <c r="Q34" s="21">
        <v>14</v>
      </c>
      <c r="R34" s="205">
        <f t="shared" si="15"/>
        <v>1.4112</v>
      </c>
      <c r="S34" s="39">
        <f t="shared" si="7"/>
        <v>44</v>
      </c>
      <c r="T34" s="38">
        <f t="shared" si="1"/>
        <v>4.4352</v>
      </c>
      <c r="U34" s="21">
        <v>683</v>
      </c>
      <c r="V34" s="13">
        <f t="shared" si="4"/>
        <v>68.846400000000003</v>
      </c>
      <c r="W34" s="49">
        <f t="shared" si="5"/>
        <v>727</v>
      </c>
      <c r="X34" s="50">
        <f t="shared" si="6"/>
        <v>73.281599999999997</v>
      </c>
      <c r="Y34" s="238">
        <v>0</v>
      </c>
      <c r="Z34" s="101">
        <v>0</v>
      </c>
    </row>
    <row r="35" spans="1:26" x14ac:dyDescent="0.25">
      <c r="A35" s="264">
        <v>31</v>
      </c>
      <c r="B35" s="256" t="s">
        <v>159</v>
      </c>
      <c r="C35" s="34">
        <v>140</v>
      </c>
      <c r="D35" s="35">
        <v>240</v>
      </c>
      <c r="E35" s="35">
        <v>4</v>
      </c>
      <c r="F35" s="19">
        <f t="shared" si="2"/>
        <v>0.13439999999999999</v>
      </c>
      <c r="G35" s="23">
        <v>6</v>
      </c>
      <c r="H35" s="26">
        <f t="shared" si="3"/>
        <v>0.80640000000000001</v>
      </c>
      <c r="I35" s="21">
        <v>6</v>
      </c>
      <c r="J35" s="205">
        <f t="shared" si="0"/>
        <v>0.80640000000000001</v>
      </c>
      <c r="K35" s="21">
        <v>0</v>
      </c>
      <c r="L35" s="205">
        <f t="shared" si="12"/>
        <v>0</v>
      </c>
      <c r="M35" s="21">
        <v>0</v>
      </c>
      <c r="N35" s="205">
        <f t="shared" si="13"/>
        <v>0</v>
      </c>
      <c r="O35" s="21">
        <v>0</v>
      </c>
      <c r="P35" s="205">
        <f t="shared" si="14"/>
        <v>0</v>
      </c>
      <c r="Q35" s="21">
        <v>12</v>
      </c>
      <c r="R35" s="205">
        <f t="shared" si="15"/>
        <v>1.6128</v>
      </c>
      <c r="S35" s="39">
        <f t="shared" si="7"/>
        <v>-12</v>
      </c>
      <c r="T35" s="38">
        <f t="shared" si="1"/>
        <v>-1.6128</v>
      </c>
      <c r="U35" s="21">
        <v>69</v>
      </c>
      <c r="V35" s="13">
        <f t="shared" si="4"/>
        <v>9.2736000000000001</v>
      </c>
      <c r="W35" s="49">
        <f t="shared" si="5"/>
        <v>57</v>
      </c>
      <c r="X35" s="50">
        <f t="shared" si="6"/>
        <v>7.6607999999999992</v>
      </c>
      <c r="Y35" s="238">
        <v>0</v>
      </c>
      <c r="Z35" s="101">
        <v>0</v>
      </c>
    </row>
    <row r="36" spans="1:26" x14ac:dyDescent="0.25">
      <c r="A36" s="264">
        <v>32</v>
      </c>
      <c r="B36" s="256" t="s">
        <v>160</v>
      </c>
      <c r="C36" s="34">
        <v>140</v>
      </c>
      <c r="D36" s="35">
        <v>240</v>
      </c>
      <c r="E36" s="35">
        <v>2</v>
      </c>
      <c r="F36" s="19">
        <f t="shared" si="2"/>
        <v>6.7199999999999996E-2</v>
      </c>
      <c r="G36" s="23">
        <v>165</v>
      </c>
      <c r="H36" s="26">
        <f t="shared" si="3"/>
        <v>11.087999999999999</v>
      </c>
      <c r="I36" s="21">
        <v>118</v>
      </c>
      <c r="J36" s="205">
        <f>F36*I36</f>
        <v>7.9295999999999998</v>
      </c>
      <c r="K36" s="21">
        <v>47</v>
      </c>
      <c r="L36" s="205">
        <f t="shared" si="12"/>
        <v>3.1583999999999999</v>
      </c>
      <c r="M36" s="21">
        <v>33</v>
      </c>
      <c r="N36" s="205">
        <f t="shared" si="13"/>
        <v>2.2176</v>
      </c>
      <c r="O36" s="21">
        <v>0</v>
      </c>
      <c r="P36" s="205">
        <f t="shared" si="14"/>
        <v>0</v>
      </c>
      <c r="Q36" s="21">
        <v>33</v>
      </c>
      <c r="R36" s="205">
        <f t="shared" si="15"/>
        <v>2.2176</v>
      </c>
      <c r="S36" s="39">
        <f t="shared" si="7"/>
        <v>-66</v>
      </c>
      <c r="T36" s="38">
        <f t="shared" si="1"/>
        <v>-4.4352</v>
      </c>
      <c r="U36" s="21">
        <v>81</v>
      </c>
      <c r="V36" s="13">
        <f t="shared" si="4"/>
        <v>5.4432</v>
      </c>
      <c r="W36" s="49">
        <f t="shared" si="5"/>
        <v>15</v>
      </c>
      <c r="X36" s="50">
        <f t="shared" si="6"/>
        <v>1.008</v>
      </c>
      <c r="Y36" s="238">
        <v>0</v>
      </c>
      <c r="Z36" s="101">
        <v>0</v>
      </c>
    </row>
    <row r="37" spans="1:26" x14ac:dyDescent="0.25">
      <c r="A37" s="264">
        <v>33</v>
      </c>
      <c r="B37" s="256" t="s">
        <v>161</v>
      </c>
      <c r="C37" s="34">
        <v>140</v>
      </c>
      <c r="D37" s="35">
        <v>240</v>
      </c>
      <c r="E37" s="35">
        <v>6</v>
      </c>
      <c r="F37" s="19">
        <f t="shared" si="2"/>
        <v>0.2016</v>
      </c>
      <c r="G37" s="23">
        <v>34</v>
      </c>
      <c r="H37" s="26">
        <f t="shared" si="3"/>
        <v>6.8544</v>
      </c>
      <c r="I37" s="21">
        <v>0</v>
      </c>
      <c r="J37" s="205">
        <f t="shared" si="0"/>
        <v>0</v>
      </c>
      <c r="K37" s="21">
        <v>1</v>
      </c>
      <c r="L37" s="205">
        <f>F37*K37</f>
        <v>0.2016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39">
        <f t="shared" si="7"/>
        <v>33</v>
      </c>
      <c r="T37" s="38">
        <f t="shared" si="1"/>
        <v>6.6528</v>
      </c>
      <c r="U37" s="21">
        <v>0</v>
      </c>
      <c r="V37" s="13">
        <f t="shared" si="4"/>
        <v>0</v>
      </c>
      <c r="W37" s="49">
        <f t="shared" si="5"/>
        <v>33</v>
      </c>
      <c r="X37" s="50">
        <f t="shared" si="6"/>
        <v>6.6528</v>
      </c>
      <c r="Y37" s="238">
        <v>0</v>
      </c>
      <c r="Z37" s="101">
        <v>0</v>
      </c>
    </row>
    <row r="38" spans="1:26" x14ac:dyDescent="0.25">
      <c r="A38" s="264">
        <v>34</v>
      </c>
      <c r="B38" s="256" t="s">
        <v>162</v>
      </c>
      <c r="C38" s="34">
        <v>84</v>
      </c>
      <c r="D38" s="35">
        <v>55</v>
      </c>
      <c r="E38" s="35">
        <v>3</v>
      </c>
      <c r="F38" s="19">
        <f t="shared" si="2"/>
        <v>1.3860000000000001E-2</v>
      </c>
      <c r="G38" s="23">
        <v>0</v>
      </c>
      <c r="H38" s="26">
        <f t="shared" si="3"/>
        <v>0</v>
      </c>
      <c r="I38" s="21">
        <v>0</v>
      </c>
      <c r="J38" s="205">
        <f t="shared" si="0"/>
        <v>0</v>
      </c>
      <c r="K38" s="21">
        <v>0</v>
      </c>
      <c r="L38" s="205">
        <f t="shared" si="0"/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39">
        <f t="shared" si="7"/>
        <v>0</v>
      </c>
      <c r="T38" s="38">
        <f t="shared" si="1"/>
        <v>0</v>
      </c>
      <c r="U38" s="21">
        <v>0</v>
      </c>
      <c r="V38" s="13">
        <f t="shared" si="4"/>
        <v>0</v>
      </c>
      <c r="W38" s="49">
        <f t="shared" si="5"/>
        <v>0</v>
      </c>
      <c r="X38" s="50">
        <f t="shared" si="6"/>
        <v>0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163</v>
      </c>
      <c r="C39" s="34">
        <v>90</v>
      </c>
      <c r="D39" s="35">
        <v>90</v>
      </c>
      <c r="E39" s="35">
        <v>3</v>
      </c>
      <c r="F39" s="19">
        <f t="shared" si="2"/>
        <v>2.4299999999999999E-2</v>
      </c>
      <c r="G39" s="23">
        <v>0</v>
      </c>
      <c r="H39" s="26">
        <f t="shared" si="3"/>
        <v>0</v>
      </c>
      <c r="I39" s="21">
        <v>0</v>
      </c>
      <c r="J39" s="205">
        <f t="shared" si="0"/>
        <v>0</v>
      </c>
      <c r="K39" s="21">
        <v>0</v>
      </c>
      <c r="L39" s="205">
        <f t="shared" si="0"/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39">
        <f t="shared" si="7"/>
        <v>0</v>
      </c>
      <c r="T39" s="38">
        <f t="shared" si="1"/>
        <v>0</v>
      </c>
      <c r="U39" s="21">
        <v>0</v>
      </c>
      <c r="V39" s="13">
        <f t="shared" si="4"/>
        <v>0</v>
      </c>
      <c r="W39" s="49">
        <f t="shared" si="5"/>
        <v>0</v>
      </c>
      <c r="X39" s="50">
        <f t="shared" si="6"/>
        <v>0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164</v>
      </c>
      <c r="C40" s="34">
        <v>140</v>
      </c>
      <c r="D40" s="35">
        <v>240</v>
      </c>
      <c r="E40" s="35">
        <v>10</v>
      </c>
      <c r="F40" s="19">
        <f t="shared" si="2"/>
        <v>0.33600000000000002</v>
      </c>
      <c r="G40" s="23">
        <v>1</v>
      </c>
      <c r="H40" s="26">
        <f t="shared" si="3"/>
        <v>0.33600000000000002</v>
      </c>
      <c r="I40" s="21">
        <v>0</v>
      </c>
      <c r="J40" s="205">
        <f t="shared" si="0"/>
        <v>0</v>
      </c>
      <c r="K40" s="21">
        <v>0</v>
      </c>
      <c r="L40" s="205">
        <f>F40*K40</f>
        <v>0</v>
      </c>
      <c r="M40" s="21">
        <v>1</v>
      </c>
      <c r="N40" s="205">
        <f>F40*M40</f>
        <v>0.33600000000000002</v>
      </c>
      <c r="O40" s="21">
        <v>0</v>
      </c>
      <c r="P40" s="205">
        <f>F40*O40</f>
        <v>0</v>
      </c>
      <c r="Q40" s="21">
        <v>0</v>
      </c>
      <c r="R40" s="205">
        <f>F40*Q40</f>
        <v>0</v>
      </c>
      <c r="S40" s="39">
        <f t="shared" si="7"/>
        <v>0</v>
      </c>
      <c r="T40" s="38">
        <f t="shared" si="1"/>
        <v>0</v>
      </c>
      <c r="U40" s="21">
        <v>0</v>
      </c>
      <c r="V40" s="13">
        <f t="shared" si="4"/>
        <v>0</v>
      </c>
      <c r="W40" s="49">
        <f t="shared" si="5"/>
        <v>0</v>
      </c>
      <c r="X40" s="50">
        <f t="shared" si="6"/>
        <v>0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165</v>
      </c>
      <c r="C41" s="34">
        <v>140</v>
      </c>
      <c r="D41" s="35">
        <v>240</v>
      </c>
      <c r="E41" s="35">
        <v>10</v>
      </c>
      <c r="F41" s="19">
        <f t="shared" si="2"/>
        <v>0.33600000000000002</v>
      </c>
      <c r="G41" s="23">
        <v>55</v>
      </c>
      <c r="H41" s="26">
        <f t="shared" si="3"/>
        <v>18.48</v>
      </c>
      <c r="I41" s="21">
        <v>22</v>
      </c>
      <c r="J41" s="205">
        <f>F41*I41</f>
        <v>7.3920000000000003</v>
      </c>
      <c r="K41" s="21">
        <v>2</v>
      </c>
      <c r="L41" s="205">
        <f>F41*K41</f>
        <v>0.67200000000000004</v>
      </c>
      <c r="M41" s="21">
        <v>0</v>
      </c>
      <c r="N41" s="205">
        <f>F41*M41</f>
        <v>0</v>
      </c>
      <c r="O41" s="21">
        <v>0</v>
      </c>
      <c r="P41" s="205">
        <f>F41*O41</f>
        <v>0</v>
      </c>
      <c r="Q41" s="21">
        <v>0</v>
      </c>
      <c r="R41" s="205">
        <f>F41*Q41</f>
        <v>0</v>
      </c>
      <c r="S41" s="39">
        <f t="shared" si="7"/>
        <v>31</v>
      </c>
      <c r="T41" s="38">
        <f t="shared" si="1"/>
        <v>10.416</v>
      </c>
      <c r="U41" s="21">
        <v>0</v>
      </c>
      <c r="V41" s="13">
        <f t="shared" si="4"/>
        <v>0</v>
      </c>
      <c r="W41" s="49">
        <f t="shared" si="5"/>
        <v>31</v>
      </c>
      <c r="X41" s="50">
        <f t="shared" si="6"/>
        <v>10.416</v>
      </c>
      <c r="Y41" s="238">
        <v>0</v>
      </c>
      <c r="Z41" s="101">
        <v>0</v>
      </c>
    </row>
    <row r="42" spans="1:26" x14ac:dyDescent="0.25">
      <c r="A42" s="264">
        <v>38</v>
      </c>
      <c r="B42" s="256" t="s">
        <v>166</v>
      </c>
      <c r="C42" s="34">
        <v>92</v>
      </c>
      <c r="D42" s="35">
        <v>82</v>
      </c>
      <c r="E42" s="35">
        <v>2</v>
      </c>
      <c r="F42" s="19">
        <f t="shared" si="2"/>
        <v>1.5088000000000001E-2</v>
      </c>
      <c r="G42" s="23">
        <v>816</v>
      </c>
      <c r="H42" s="26">
        <f t="shared" si="3"/>
        <v>12.311808000000001</v>
      </c>
      <c r="I42" s="21">
        <v>0</v>
      </c>
      <c r="J42" s="205">
        <f t="shared" si="0"/>
        <v>0</v>
      </c>
      <c r="K42" s="21">
        <v>0</v>
      </c>
      <c r="L42" s="205">
        <f>F42*K42</f>
        <v>0</v>
      </c>
      <c r="M42" s="21">
        <v>20</v>
      </c>
      <c r="N42" s="205">
        <f>F42*M42</f>
        <v>0.30176000000000003</v>
      </c>
      <c r="O42" s="21">
        <v>0</v>
      </c>
      <c r="P42" s="205">
        <f>F42*O42</f>
        <v>0</v>
      </c>
      <c r="Q42" s="21">
        <v>28</v>
      </c>
      <c r="R42" s="205">
        <f>F42*Q42</f>
        <v>0.42246400000000001</v>
      </c>
      <c r="S42" s="39">
        <f t="shared" si="7"/>
        <v>768</v>
      </c>
      <c r="T42" s="38">
        <f t="shared" si="1"/>
        <v>11.587584</v>
      </c>
      <c r="U42" s="21">
        <v>0</v>
      </c>
      <c r="V42" s="13">
        <f t="shared" si="4"/>
        <v>0</v>
      </c>
      <c r="W42" s="49">
        <f t="shared" si="5"/>
        <v>768</v>
      </c>
      <c r="X42" s="50">
        <f t="shared" si="6"/>
        <v>11.587584</v>
      </c>
      <c r="Y42" s="238">
        <v>0</v>
      </c>
      <c r="Z42" s="101">
        <v>0</v>
      </c>
    </row>
    <row r="43" spans="1:26" x14ac:dyDescent="0.25">
      <c r="A43" s="264">
        <v>39</v>
      </c>
      <c r="B43" s="256" t="s">
        <v>167</v>
      </c>
      <c r="C43" s="34">
        <v>75</v>
      </c>
      <c r="D43" s="35">
        <v>55</v>
      </c>
      <c r="E43" s="35">
        <v>3</v>
      </c>
      <c r="F43" s="19">
        <f t="shared" si="2"/>
        <v>1.2375000000000001E-2</v>
      </c>
      <c r="G43" s="23">
        <v>0</v>
      </c>
      <c r="H43" s="26">
        <f t="shared" si="3"/>
        <v>0</v>
      </c>
      <c r="I43" s="21">
        <v>0</v>
      </c>
      <c r="J43" s="205">
        <f t="shared" si="0"/>
        <v>0</v>
      </c>
      <c r="K43" s="21">
        <v>0</v>
      </c>
      <c r="L43" s="205">
        <f t="shared" si="0"/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39">
        <f t="shared" si="7"/>
        <v>0</v>
      </c>
      <c r="T43" s="38">
        <f t="shared" si="1"/>
        <v>0</v>
      </c>
      <c r="U43" s="21">
        <v>0</v>
      </c>
      <c r="V43" s="13">
        <f t="shared" si="4"/>
        <v>0</v>
      </c>
      <c r="W43" s="49">
        <f t="shared" si="5"/>
        <v>0</v>
      </c>
      <c r="X43" s="50">
        <f t="shared" si="6"/>
        <v>0</v>
      </c>
      <c r="Y43" s="238">
        <v>50</v>
      </c>
      <c r="Z43" s="101">
        <v>200</v>
      </c>
    </row>
    <row r="44" spans="1:26" x14ac:dyDescent="0.25">
      <c r="A44" s="264">
        <v>40</v>
      </c>
      <c r="B44" s="256" t="s">
        <v>168</v>
      </c>
      <c r="C44" s="34">
        <v>140</v>
      </c>
      <c r="D44" s="35">
        <v>240</v>
      </c>
      <c r="E44" s="35">
        <v>3</v>
      </c>
      <c r="F44" s="19">
        <f t="shared" si="2"/>
        <v>0.1008</v>
      </c>
      <c r="G44" s="23">
        <v>0</v>
      </c>
      <c r="H44" s="26">
        <f t="shared" si="3"/>
        <v>0</v>
      </c>
      <c r="I44" s="21">
        <v>0</v>
      </c>
      <c r="J44" s="205">
        <f t="shared" si="0"/>
        <v>0</v>
      </c>
      <c r="K44" s="21">
        <v>0</v>
      </c>
      <c r="L44" s="205">
        <f t="shared" ref="L44:L52" si="16">F44*K44</f>
        <v>0</v>
      </c>
      <c r="M44" s="21">
        <v>0</v>
      </c>
      <c r="N44" s="205">
        <f t="shared" ref="N44:N52" si="17">F44*M44</f>
        <v>0</v>
      </c>
      <c r="O44" s="21">
        <v>0</v>
      </c>
      <c r="P44" s="205">
        <f t="shared" ref="P44:P52" si="18">F44*O44</f>
        <v>0</v>
      </c>
      <c r="Q44" s="21">
        <v>0</v>
      </c>
      <c r="R44" s="205">
        <f t="shared" ref="R44:R52" si="19">F44*Q44</f>
        <v>0</v>
      </c>
      <c r="S44" s="39">
        <f t="shared" si="7"/>
        <v>0</v>
      </c>
      <c r="T44" s="38">
        <f t="shared" si="1"/>
        <v>0</v>
      </c>
      <c r="U44" s="21">
        <v>0</v>
      </c>
      <c r="V44" s="13">
        <f t="shared" si="4"/>
        <v>0</v>
      </c>
      <c r="W44" s="49">
        <f t="shared" si="5"/>
        <v>0</v>
      </c>
      <c r="X44" s="50">
        <f t="shared" si="6"/>
        <v>0</v>
      </c>
      <c r="Y44" s="238">
        <v>50</v>
      </c>
      <c r="Z44" s="101">
        <v>200</v>
      </c>
    </row>
    <row r="45" spans="1:26" x14ac:dyDescent="0.25">
      <c r="A45" s="264">
        <v>41</v>
      </c>
      <c r="B45" s="256" t="s">
        <v>169</v>
      </c>
      <c r="C45" s="34">
        <v>82</v>
      </c>
      <c r="D45" s="34">
        <v>80</v>
      </c>
      <c r="E45" s="34">
        <v>2</v>
      </c>
      <c r="F45" s="19">
        <f t="shared" si="2"/>
        <v>1.312E-2</v>
      </c>
      <c r="G45" s="34">
        <v>750</v>
      </c>
      <c r="H45" s="26">
        <f t="shared" si="3"/>
        <v>9.84</v>
      </c>
      <c r="I45" s="21">
        <v>0</v>
      </c>
      <c r="J45" s="205">
        <f t="shared" si="0"/>
        <v>0</v>
      </c>
      <c r="K45" s="21">
        <v>50</v>
      </c>
      <c r="L45" s="205">
        <f t="shared" si="16"/>
        <v>0.65600000000000003</v>
      </c>
      <c r="M45" s="21">
        <v>0</v>
      </c>
      <c r="N45" s="205">
        <f t="shared" si="17"/>
        <v>0</v>
      </c>
      <c r="O45" s="21">
        <v>0</v>
      </c>
      <c r="P45" s="205">
        <f t="shared" si="18"/>
        <v>0</v>
      </c>
      <c r="Q45" s="21">
        <v>0</v>
      </c>
      <c r="R45" s="205">
        <f t="shared" si="19"/>
        <v>0</v>
      </c>
      <c r="S45" s="39">
        <f t="shared" si="7"/>
        <v>700</v>
      </c>
      <c r="T45" s="38">
        <f t="shared" si="1"/>
        <v>9.1839999999999993</v>
      </c>
      <c r="U45" s="21">
        <v>117</v>
      </c>
      <c r="V45" s="13">
        <f t="shared" si="4"/>
        <v>1.53504</v>
      </c>
      <c r="W45" s="49">
        <f t="shared" si="5"/>
        <v>817</v>
      </c>
      <c r="X45" s="50">
        <f t="shared" si="6"/>
        <v>10.71904</v>
      </c>
      <c r="Y45" s="238">
        <v>50</v>
      </c>
      <c r="Z45" s="101">
        <v>200</v>
      </c>
    </row>
    <row r="46" spans="1:26" x14ac:dyDescent="0.25">
      <c r="A46" s="264">
        <v>42</v>
      </c>
      <c r="B46" s="256" t="s">
        <v>170</v>
      </c>
      <c r="C46" s="34">
        <v>90</v>
      </c>
      <c r="D46" s="34">
        <v>83</v>
      </c>
      <c r="E46" s="34">
        <v>2</v>
      </c>
      <c r="F46" s="19">
        <f t="shared" si="2"/>
        <v>1.494E-2</v>
      </c>
      <c r="G46" s="34">
        <v>806</v>
      </c>
      <c r="H46" s="26">
        <f t="shared" si="3"/>
        <v>12.041640000000001</v>
      </c>
      <c r="I46" s="21">
        <v>0</v>
      </c>
      <c r="J46" s="205">
        <f t="shared" si="0"/>
        <v>0</v>
      </c>
      <c r="K46" s="21">
        <v>14</v>
      </c>
      <c r="L46" s="205">
        <f t="shared" si="16"/>
        <v>0.20916000000000001</v>
      </c>
      <c r="M46" s="21">
        <v>0</v>
      </c>
      <c r="N46" s="205">
        <f t="shared" si="17"/>
        <v>0</v>
      </c>
      <c r="O46" s="21">
        <v>0</v>
      </c>
      <c r="P46" s="205">
        <f t="shared" si="18"/>
        <v>0</v>
      </c>
      <c r="Q46" s="21">
        <v>12</v>
      </c>
      <c r="R46" s="205">
        <f t="shared" si="19"/>
        <v>0.17927999999999999</v>
      </c>
      <c r="S46" s="39">
        <f t="shared" si="7"/>
        <v>780</v>
      </c>
      <c r="T46" s="38">
        <f t="shared" si="1"/>
        <v>11.6532</v>
      </c>
      <c r="U46" s="21">
        <v>0</v>
      </c>
      <c r="V46" s="13">
        <f t="shared" si="4"/>
        <v>0</v>
      </c>
      <c r="W46" s="49">
        <f t="shared" si="5"/>
        <v>780</v>
      </c>
      <c r="X46" s="50">
        <f t="shared" si="6"/>
        <v>11.6532</v>
      </c>
      <c r="Y46" s="238">
        <v>50</v>
      </c>
      <c r="Z46" s="101">
        <v>100</v>
      </c>
    </row>
    <row r="47" spans="1:26" x14ac:dyDescent="0.25">
      <c r="A47" s="264">
        <v>43</v>
      </c>
      <c r="B47" s="256" t="s">
        <v>171</v>
      </c>
      <c r="C47" s="34">
        <v>105</v>
      </c>
      <c r="D47" s="34">
        <v>55</v>
      </c>
      <c r="E47" s="34">
        <v>3</v>
      </c>
      <c r="F47" s="19">
        <f t="shared" si="2"/>
        <v>1.7325E-2</v>
      </c>
      <c r="G47" s="34">
        <v>0</v>
      </c>
      <c r="H47" s="26">
        <f t="shared" si="3"/>
        <v>0</v>
      </c>
      <c r="I47" s="21">
        <v>0</v>
      </c>
      <c r="J47" s="205">
        <f t="shared" si="0"/>
        <v>0</v>
      </c>
      <c r="K47" s="21">
        <v>0</v>
      </c>
      <c r="L47" s="205">
        <f t="shared" si="16"/>
        <v>0</v>
      </c>
      <c r="M47" s="21">
        <v>0</v>
      </c>
      <c r="N47" s="205">
        <f t="shared" si="17"/>
        <v>0</v>
      </c>
      <c r="O47" s="21">
        <v>0</v>
      </c>
      <c r="P47" s="205">
        <f t="shared" si="18"/>
        <v>0</v>
      </c>
      <c r="Q47" s="21">
        <v>0</v>
      </c>
      <c r="R47" s="205">
        <f t="shared" si="19"/>
        <v>0</v>
      </c>
      <c r="S47" s="39">
        <f t="shared" si="7"/>
        <v>0</v>
      </c>
      <c r="T47" s="38">
        <f t="shared" si="1"/>
        <v>0</v>
      </c>
      <c r="U47" s="21">
        <v>0</v>
      </c>
      <c r="V47" s="13">
        <f t="shared" si="4"/>
        <v>0</v>
      </c>
      <c r="W47" s="49">
        <f t="shared" si="5"/>
        <v>0</v>
      </c>
      <c r="X47" s="50">
        <f t="shared" si="6"/>
        <v>0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173</v>
      </c>
      <c r="C48" s="34">
        <v>140</v>
      </c>
      <c r="D48" s="34">
        <v>240</v>
      </c>
      <c r="E48" s="34">
        <v>4</v>
      </c>
      <c r="F48" s="19">
        <f t="shared" si="2"/>
        <v>0.13439999999999999</v>
      </c>
      <c r="G48" s="34">
        <v>0</v>
      </c>
      <c r="H48" s="26">
        <f t="shared" si="3"/>
        <v>0</v>
      </c>
      <c r="I48" s="21">
        <v>0</v>
      </c>
      <c r="J48" s="205">
        <f t="shared" si="0"/>
        <v>0</v>
      </c>
      <c r="K48" s="21">
        <v>0</v>
      </c>
      <c r="L48" s="205">
        <f t="shared" si="16"/>
        <v>0</v>
      </c>
      <c r="M48" s="21">
        <v>0</v>
      </c>
      <c r="N48" s="205">
        <f t="shared" si="17"/>
        <v>0</v>
      </c>
      <c r="O48" s="21">
        <v>0</v>
      </c>
      <c r="P48" s="205">
        <f t="shared" si="18"/>
        <v>0</v>
      </c>
      <c r="Q48" s="21">
        <v>0</v>
      </c>
      <c r="R48" s="205">
        <f t="shared" si="19"/>
        <v>0</v>
      </c>
      <c r="S48" s="39">
        <f t="shared" si="7"/>
        <v>0</v>
      </c>
      <c r="T48" s="38">
        <f t="shared" si="1"/>
        <v>0</v>
      </c>
      <c r="U48" s="21">
        <v>0</v>
      </c>
      <c r="V48" s="13">
        <f t="shared" si="4"/>
        <v>0</v>
      </c>
      <c r="W48" s="49">
        <f t="shared" si="5"/>
        <v>0</v>
      </c>
      <c r="X48" s="50">
        <f t="shared" si="6"/>
        <v>0</v>
      </c>
      <c r="Y48" s="238">
        <v>50</v>
      </c>
      <c r="Z48" s="101">
        <v>200</v>
      </c>
    </row>
    <row r="49" spans="1:26" x14ac:dyDescent="0.25">
      <c r="A49" s="264">
        <v>45</v>
      </c>
      <c r="B49" s="256" t="s">
        <v>174</v>
      </c>
      <c r="C49" s="34">
        <v>140</v>
      </c>
      <c r="D49" s="34">
        <v>240</v>
      </c>
      <c r="E49" s="34">
        <v>14</v>
      </c>
      <c r="F49" s="19">
        <f t="shared" si="2"/>
        <v>0.47039999999999998</v>
      </c>
      <c r="G49" s="34">
        <v>10</v>
      </c>
      <c r="H49" s="26">
        <f t="shared" si="3"/>
        <v>4.7039999999999997</v>
      </c>
      <c r="I49" s="21">
        <v>0</v>
      </c>
      <c r="J49" s="205">
        <f t="shared" si="0"/>
        <v>0</v>
      </c>
      <c r="K49" s="21">
        <v>0</v>
      </c>
      <c r="L49" s="205">
        <f t="shared" si="16"/>
        <v>0</v>
      </c>
      <c r="M49" s="21">
        <v>0</v>
      </c>
      <c r="N49" s="205">
        <f t="shared" si="17"/>
        <v>0</v>
      </c>
      <c r="O49" s="21">
        <v>0</v>
      </c>
      <c r="P49" s="205">
        <f t="shared" si="18"/>
        <v>0</v>
      </c>
      <c r="Q49" s="21">
        <v>1</v>
      </c>
      <c r="R49" s="205">
        <f t="shared" si="19"/>
        <v>0.47039999999999998</v>
      </c>
      <c r="S49" s="39">
        <f t="shared" si="7"/>
        <v>9</v>
      </c>
      <c r="T49" s="38">
        <f t="shared" si="1"/>
        <v>4.2336</v>
      </c>
      <c r="U49" s="21">
        <v>0</v>
      </c>
      <c r="V49" s="13">
        <f t="shared" si="4"/>
        <v>0</v>
      </c>
      <c r="W49" s="49">
        <f t="shared" si="5"/>
        <v>9</v>
      </c>
      <c r="X49" s="50">
        <f t="shared" si="6"/>
        <v>4.2336</v>
      </c>
      <c r="Y49" s="238">
        <v>100</v>
      </c>
      <c r="Z49" s="101">
        <v>300</v>
      </c>
    </row>
    <row r="50" spans="1:26" x14ac:dyDescent="0.25">
      <c r="A50" s="264">
        <v>46</v>
      </c>
      <c r="B50" s="256" t="s">
        <v>175</v>
      </c>
      <c r="C50" s="34">
        <v>140</v>
      </c>
      <c r="D50" s="34">
        <v>240</v>
      </c>
      <c r="E50" s="34">
        <v>12</v>
      </c>
      <c r="F50" s="19">
        <f t="shared" si="2"/>
        <v>0.4032</v>
      </c>
      <c r="G50" s="34">
        <v>13</v>
      </c>
      <c r="H50" s="26">
        <f t="shared" si="3"/>
        <v>5.2416</v>
      </c>
      <c r="I50" s="21">
        <v>0</v>
      </c>
      <c r="J50" s="205">
        <f t="shared" si="0"/>
        <v>0</v>
      </c>
      <c r="K50" s="21">
        <v>0</v>
      </c>
      <c r="L50" s="205">
        <f t="shared" si="16"/>
        <v>0</v>
      </c>
      <c r="M50" s="21">
        <v>0</v>
      </c>
      <c r="N50" s="205">
        <f t="shared" si="17"/>
        <v>0</v>
      </c>
      <c r="O50" s="21">
        <v>0</v>
      </c>
      <c r="P50" s="205">
        <f t="shared" si="18"/>
        <v>0</v>
      </c>
      <c r="Q50" s="21">
        <v>0</v>
      </c>
      <c r="R50" s="205">
        <f t="shared" si="19"/>
        <v>0</v>
      </c>
      <c r="S50" s="39">
        <f t="shared" si="7"/>
        <v>13</v>
      </c>
      <c r="T50" s="38">
        <f t="shared" si="1"/>
        <v>5.2416</v>
      </c>
      <c r="U50" s="21">
        <v>0</v>
      </c>
      <c r="V50" s="13">
        <f t="shared" si="4"/>
        <v>0</v>
      </c>
      <c r="W50" s="49">
        <f t="shared" si="5"/>
        <v>13</v>
      </c>
      <c r="X50" s="50">
        <f t="shared" si="6"/>
        <v>5.2416</v>
      </c>
      <c r="Y50" s="238">
        <v>30</v>
      </c>
      <c r="Z50" s="101">
        <v>100</v>
      </c>
    </row>
    <row r="51" spans="1:26" x14ac:dyDescent="0.25">
      <c r="A51" s="264">
        <v>47</v>
      </c>
      <c r="B51" s="256" t="s">
        <v>176</v>
      </c>
      <c r="C51" s="34">
        <v>130</v>
      </c>
      <c r="D51" s="34">
        <v>60</v>
      </c>
      <c r="E51" s="34">
        <v>5</v>
      </c>
      <c r="F51" s="19">
        <f t="shared" si="2"/>
        <v>3.9E-2</v>
      </c>
      <c r="G51" s="34">
        <v>260</v>
      </c>
      <c r="H51" s="26">
        <f t="shared" si="3"/>
        <v>10.14</v>
      </c>
      <c r="I51" s="21">
        <v>118</v>
      </c>
      <c r="J51" s="205">
        <f t="shared" si="0"/>
        <v>4.6020000000000003</v>
      </c>
      <c r="K51" s="21">
        <v>42</v>
      </c>
      <c r="L51" s="205">
        <f t="shared" si="16"/>
        <v>1.6379999999999999</v>
      </c>
      <c r="M51" s="21">
        <v>0</v>
      </c>
      <c r="N51" s="205">
        <f t="shared" si="17"/>
        <v>0</v>
      </c>
      <c r="O51" s="21">
        <v>0</v>
      </c>
      <c r="P51" s="205">
        <f t="shared" si="18"/>
        <v>0</v>
      </c>
      <c r="Q51" s="21">
        <v>61</v>
      </c>
      <c r="R51" s="205">
        <f t="shared" si="19"/>
        <v>2.379</v>
      </c>
      <c r="S51" s="39">
        <f t="shared" si="7"/>
        <v>39</v>
      </c>
      <c r="T51" s="38">
        <f t="shared" si="1"/>
        <v>1.5209999999999999</v>
      </c>
      <c r="U51" s="21">
        <v>0</v>
      </c>
      <c r="V51" s="13">
        <f t="shared" si="4"/>
        <v>0</v>
      </c>
      <c r="W51" s="49">
        <f t="shared" si="5"/>
        <v>39</v>
      </c>
      <c r="X51" s="50">
        <f t="shared" si="6"/>
        <v>1.5209999999999999</v>
      </c>
      <c r="Y51" s="238">
        <v>30</v>
      </c>
      <c r="Z51" s="101">
        <v>100</v>
      </c>
    </row>
    <row r="52" spans="1:26" x14ac:dyDescent="0.25">
      <c r="A52" s="264">
        <v>48</v>
      </c>
      <c r="B52" s="256" t="s">
        <v>178</v>
      </c>
      <c r="C52" s="34">
        <v>140</v>
      </c>
      <c r="D52" s="34">
        <v>240</v>
      </c>
      <c r="E52" s="34">
        <v>3</v>
      </c>
      <c r="F52" s="19">
        <f t="shared" ref="F52" si="20">(C52*D52*E52)/1000000</f>
        <v>0.1008</v>
      </c>
      <c r="G52" s="34">
        <v>0</v>
      </c>
      <c r="H52" s="26">
        <f t="shared" si="3"/>
        <v>0</v>
      </c>
      <c r="I52" s="21">
        <v>0</v>
      </c>
      <c r="J52" s="205">
        <f t="shared" si="0"/>
        <v>0</v>
      </c>
      <c r="K52" s="21">
        <v>5</v>
      </c>
      <c r="L52" s="205">
        <f t="shared" si="16"/>
        <v>0.504</v>
      </c>
      <c r="M52" s="21">
        <v>21</v>
      </c>
      <c r="N52" s="205">
        <f t="shared" si="17"/>
        <v>2.1168</v>
      </c>
      <c r="O52" s="21">
        <v>0</v>
      </c>
      <c r="P52" s="205">
        <f t="shared" si="18"/>
        <v>0</v>
      </c>
      <c r="Q52" s="21">
        <v>51</v>
      </c>
      <c r="R52" s="205">
        <f t="shared" si="19"/>
        <v>5.1408000000000005</v>
      </c>
      <c r="S52" s="39">
        <f t="shared" si="7"/>
        <v>-77</v>
      </c>
      <c r="T52" s="38">
        <f t="shared" si="1"/>
        <v>-7.7615999999999996</v>
      </c>
      <c r="U52" s="21">
        <v>1676</v>
      </c>
      <c r="V52" s="13">
        <f t="shared" si="4"/>
        <v>168.9408</v>
      </c>
      <c r="W52" s="49">
        <f t="shared" si="5"/>
        <v>1599</v>
      </c>
      <c r="X52" s="50">
        <f t="shared" si="6"/>
        <v>161.17920000000001</v>
      </c>
      <c r="Y52" s="238">
        <v>30</v>
      </c>
      <c r="Z52" s="101">
        <v>100</v>
      </c>
    </row>
    <row r="53" spans="1:26" x14ac:dyDescent="0.25">
      <c r="A53" s="264">
        <v>49</v>
      </c>
      <c r="B53" s="256" t="s">
        <v>87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26">
        <f t="shared" si="3"/>
        <v>0</v>
      </c>
      <c r="I53" s="21">
        <v>0</v>
      </c>
      <c r="J53" s="205">
        <f t="shared" si="0"/>
        <v>0</v>
      </c>
      <c r="K53" s="21">
        <v>0</v>
      </c>
      <c r="L53" s="205">
        <f t="shared" si="0"/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39">
        <f t="shared" si="7"/>
        <v>0</v>
      </c>
      <c r="T53" s="38">
        <f t="shared" si="1"/>
        <v>0</v>
      </c>
      <c r="U53" s="21">
        <v>0</v>
      </c>
      <c r="V53" s="13">
        <f t="shared" si="4"/>
        <v>0</v>
      </c>
      <c r="W53" s="49">
        <f t="shared" si="5"/>
        <v>0</v>
      </c>
      <c r="X53" s="50">
        <f t="shared" si="6"/>
        <v>0</v>
      </c>
      <c r="Y53" s="238">
        <v>200</v>
      </c>
      <c r="Z53" s="101">
        <v>500</v>
      </c>
    </row>
    <row r="54" spans="1:26" x14ac:dyDescent="0.25">
      <c r="A54" s="264">
        <v>50</v>
      </c>
      <c r="B54" s="256" t="s">
        <v>87</v>
      </c>
      <c r="C54" s="34">
        <v>0</v>
      </c>
      <c r="D54" s="34">
        <v>0</v>
      </c>
      <c r="E54" s="34">
        <v>0</v>
      </c>
      <c r="F54" s="34">
        <v>0</v>
      </c>
      <c r="G54" s="34">
        <v>0</v>
      </c>
      <c r="H54" s="26">
        <f t="shared" si="3"/>
        <v>0</v>
      </c>
      <c r="I54" s="21">
        <v>0</v>
      </c>
      <c r="J54" s="205">
        <f t="shared" si="0"/>
        <v>0</v>
      </c>
      <c r="K54" s="21">
        <v>0</v>
      </c>
      <c r="L54" s="205">
        <f t="shared" si="0"/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39">
        <f t="shared" si="7"/>
        <v>0</v>
      </c>
      <c r="T54" s="38">
        <f t="shared" si="1"/>
        <v>0</v>
      </c>
      <c r="U54" s="21">
        <v>0</v>
      </c>
      <c r="V54" s="13">
        <f t="shared" si="4"/>
        <v>0</v>
      </c>
      <c r="W54" s="49">
        <f t="shared" si="5"/>
        <v>0</v>
      </c>
      <c r="X54" s="50">
        <f t="shared" si="6"/>
        <v>0</v>
      </c>
      <c r="Y54" s="238">
        <v>100</v>
      </c>
      <c r="Z54" s="101">
        <v>300</v>
      </c>
    </row>
    <row r="55" spans="1:26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6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6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6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6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6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6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6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6" x14ac:dyDescent="0.2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6" x14ac:dyDescent="0.2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</sheetData>
  <mergeCells count="24">
    <mergeCell ref="S4:T4"/>
    <mergeCell ref="U4:V4"/>
    <mergeCell ref="W4:X4"/>
    <mergeCell ref="G4:H4"/>
    <mergeCell ref="I4:J4"/>
    <mergeCell ref="K4:L4"/>
    <mergeCell ref="M4:N4"/>
    <mergeCell ref="O4:P4"/>
    <mergeCell ref="Q4:R4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C1:H1"/>
    <mergeCell ref="G2:H3"/>
    <mergeCell ref="I2:J2"/>
    <mergeCell ref="K2:L2"/>
    <mergeCell ref="M2:N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Z78"/>
  <sheetViews>
    <sheetView topLeftCell="B1" workbookViewId="0">
      <selection activeCell="H23" sqref="H23"/>
    </sheetView>
  </sheetViews>
  <sheetFormatPr defaultRowHeight="15" x14ac:dyDescent="0.25"/>
  <cols>
    <col min="1" max="1" width="6.42578125" customWidth="1"/>
    <col min="2" max="2" width="29.42578125" style="3" customWidth="1"/>
    <col min="3" max="3" width="10.28515625" style="2" hidden="1" customWidth="1"/>
    <col min="4" max="4" width="12.140625" style="2" hidden="1" customWidth="1"/>
    <col min="5" max="5" width="0.140625" style="2" customWidth="1"/>
    <col min="6" max="6" width="8.42578125" style="4" hidden="1" customWidth="1"/>
    <col min="7" max="7" width="8.7109375" style="5" customWidth="1"/>
    <col min="8" max="8" width="9" style="5" customWidth="1"/>
    <col min="9" max="18" width="8.140625" style="2" customWidth="1"/>
    <col min="19" max="19" width="0.140625" style="2" customWidth="1"/>
    <col min="20" max="20" width="8.140625" style="2" hidden="1" customWidth="1"/>
    <col min="21" max="21" width="9.42578125" customWidth="1"/>
    <col min="22" max="22" width="11.7109375" customWidth="1"/>
    <col min="25" max="25" width="10.28515625" customWidth="1"/>
  </cols>
  <sheetData>
    <row r="1" spans="1:26" ht="15.75" thickBot="1" x14ac:dyDescent="0.3">
      <c r="B1" s="4" t="s">
        <v>18</v>
      </c>
      <c r="C1" s="384">
        <v>45292</v>
      </c>
      <c r="D1" s="320"/>
      <c r="E1" s="320"/>
      <c r="F1" s="320"/>
      <c r="G1" s="320"/>
      <c r="H1" s="320"/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45296</v>
      </c>
      <c r="J2" s="326"/>
      <c r="K2" s="327">
        <v>45306</v>
      </c>
      <c r="L2" s="328"/>
      <c r="M2" s="325">
        <v>45310</v>
      </c>
      <c r="N2" s="329"/>
      <c r="O2" s="327">
        <v>45316</v>
      </c>
      <c r="P2" s="346"/>
      <c r="Q2" s="325">
        <v>45322</v>
      </c>
      <c r="R2" s="329"/>
      <c r="S2" s="330" t="s">
        <v>69</v>
      </c>
      <c r="T2" s="331"/>
      <c r="U2" s="334" t="s">
        <v>70</v>
      </c>
      <c r="V2" s="335"/>
      <c r="W2" s="338" t="s">
        <v>71</v>
      </c>
      <c r="X2" s="339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40"/>
      <c r="X3" s="341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51" t="s">
        <v>63</v>
      </c>
      <c r="X4" s="352"/>
      <c r="Y4" s="268" t="s">
        <v>179</v>
      </c>
      <c r="Z4" s="269" t="s">
        <v>99</v>
      </c>
    </row>
    <row r="5" spans="1:26" x14ac:dyDescent="0.25">
      <c r="A5" s="263">
        <v>1</v>
      </c>
      <c r="B5" s="256" t="s">
        <v>134</v>
      </c>
      <c r="C5" s="32">
        <v>70</v>
      </c>
      <c r="D5" s="33">
        <v>64</v>
      </c>
      <c r="E5" s="33">
        <v>8</v>
      </c>
      <c r="F5" s="15">
        <f>(C5*D5*E5)/1000000</f>
        <v>3.5839999999999997E-2</v>
      </c>
      <c r="G5" s="23">
        <v>388</v>
      </c>
      <c r="H5" s="24">
        <f>F5*G5</f>
        <v>13.905919999999998</v>
      </c>
      <c r="I5" s="21">
        <v>29</v>
      </c>
      <c r="J5" s="205">
        <f t="shared" ref="J5:R54" si="0">F5*I5</f>
        <v>1.0393599999999998</v>
      </c>
      <c r="K5" s="21">
        <v>0</v>
      </c>
      <c r="L5" s="205">
        <f>F5*K5</f>
        <v>0</v>
      </c>
      <c r="M5" s="21">
        <v>3</v>
      </c>
      <c r="N5" s="205">
        <f>F5*M5</f>
        <v>0.10751999999999999</v>
      </c>
      <c r="O5" s="21">
        <v>16</v>
      </c>
      <c r="P5" s="205">
        <f>F5*O5</f>
        <v>0.57343999999999995</v>
      </c>
      <c r="Q5" s="21">
        <v>4</v>
      </c>
      <c r="R5" s="205">
        <f>F5*Q5</f>
        <v>0.14335999999999999</v>
      </c>
      <c r="S5" s="39">
        <f>G5-I5-K5-M5-O5-Q5</f>
        <v>336</v>
      </c>
      <c r="T5" s="38">
        <f t="shared" ref="T5:T54" si="1">F5*S5</f>
        <v>12.04224</v>
      </c>
      <c r="U5" s="21">
        <v>0</v>
      </c>
      <c r="V5" s="13">
        <f>F5*U5</f>
        <v>0</v>
      </c>
      <c r="W5" s="49">
        <f>S5+U5</f>
        <v>336</v>
      </c>
      <c r="X5" s="50">
        <f>F5*W5</f>
        <v>12.04224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135</v>
      </c>
      <c r="C6" s="34">
        <v>70</v>
      </c>
      <c r="D6" s="35">
        <v>80</v>
      </c>
      <c r="E6" s="35">
        <v>8</v>
      </c>
      <c r="F6" s="19">
        <f t="shared" ref="F6:F52" si="2">(C6*D6*E6)/1000000</f>
        <v>4.48E-2</v>
      </c>
      <c r="G6" s="23">
        <v>98</v>
      </c>
      <c r="H6" s="26">
        <f t="shared" ref="H6:H54" si="3">F6*G6</f>
        <v>4.3903999999999996</v>
      </c>
      <c r="I6" s="21">
        <v>39</v>
      </c>
      <c r="J6" s="205">
        <f t="shared" si="0"/>
        <v>1.7472000000000001</v>
      </c>
      <c r="K6" s="21">
        <v>8</v>
      </c>
      <c r="L6" s="205">
        <f>F6*K6</f>
        <v>0.3584</v>
      </c>
      <c r="M6" s="21">
        <v>16</v>
      </c>
      <c r="N6" s="205">
        <f>F6*M6</f>
        <v>0.71679999999999999</v>
      </c>
      <c r="O6" s="21">
        <v>16</v>
      </c>
      <c r="P6" s="205">
        <f>F6*O6</f>
        <v>0.71679999999999999</v>
      </c>
      <c r="Q6" s="21">
        <v>12</v>
      </c>
      <c r="R6" s="205">
        <f>F6*Q6</f>
        <v>0.53759999999999997</v>
      </c>
      <c r="S6" s="39">
        <f>G6-I6-K6-M6-O6-Q6</f>
        <v>7</v>
      </c>
      <c r="T6" s="38">
        <f t="shared" si="1"/>
        <v>0.31359999999999999</v>
      </c>
      <c r="U6" s="21">
        <v>403</v>
      </c>
      <c r="V6" s="13">
        <f t="shared" ref="V6:V54" si="4">F6*U6</f>
        <v>18.054400000000001</v>
      </c>
      <c r="W6" s="49">
        <f t="shared" ref="W6:W54" si="5">S6+U6</f>
        <v>410</v>
      </c>
      <c r="X6" s="50">
        <f t="shared" ref="X6:X54" si="6">F6*W6</f>
        <v>18.367999999999999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136</v>
      </c>
      <c r="C7" s="34">
        <v>70</v>
      </c>
      <c r="D7" s="35">
        <v>74</v>
      </c>
      <c r="E7" s="35">
        <v>8</v>
      </c>
      <c r="F7" s="19">
        <f t="shared" si="2"/>
        <v>4.1439999999999998E-2</v>
      </c>
      <c r="G7" s="23">
        <v>10</v>
      </c>
      <c r="H7" s="26">
        <f t="shared" si="3"/>
        <v>0.41439999999999999</v>
      </c>
      <c r="I7" s="21">
        <v>10</v>
      </c>
      <c r="J7" s="205">
        <f t="shared" si="0"/>
        <v>0.41439999999999999</v>
      </c>
      <c r="K7" s="21">
        <v>0</v>
      </c>
      <c r="L7" s="205">
        <f>F7*K7</f>
        <v>0</v>
      </c>
      <c r="M7" s="21">
        <v>6</v>
      </c>
      <c r="N7" s="205">
        <f>F7*M7</f>
        <v>0.24863999999999997</v>
      </c>
      <c r="O7" s="21">
        <v>12</v>
      </c>
      <c r="P7" s="205">
        <f>F7*O7</f>
        <v>0.49727999999999994</v>
      </c>
      <c r="Q7" s="21">
        <v>8</v>
      </c>
      <c r="R7" s="205">
        <f>F7*Q7</f>
        <v>0.33151999999999998</v>
      </c>
      <c r="S7" s="39">
        <f t="shared" ref="S7:S54" si="7">G7-I7-K7-M7-O7-Q7</f>
        <v>-26</v>
      </c>
      <c r="T7" s="38">
        <f t="shared" si="1"/>
        <v>-1.07744</v>
      </c>
      <c r="U7" s="21">
        <v>387</v>
      </c>
      <c r="V7" s="13">
        <f t="shared" si="4"/>
        <v>16.037279999999999</v>
      </c>
      <c r="W7" s="49">
        <f t="shared" si="5"/>
        <v>361</v>
      </c>
      <c r="X7" s="50">
        <f t="shared" si="6"/>
        <v>14.95984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137</v>
      </c>
      <c r="C8" s="34">
        <v>80</v>
      </c>
      <c r="D8" s="35">
        <v>64</v>
      </c>
      <c r="E8" s="35">
        <v>5</v>
      </c>
      <c r="F8" s="19">
        <f t="shared" si="2"/>
        <v>2.5600000000000001E-2</v>
      </c>
      <c r="G8" s="23">
        <v>100</v>
      </c>
      <c r="H8" s="26">
        <f t="shared" si="3"/>
        <v>2.56</v>
      </c>
      <c r="I8" s="21">
        <v>0</v>
      </c>
      <c r="J8" s="205">
        <f t="shared" si="0"/>
        <v>0</v>
      </c>
      <c r="K8" s="21">
        <v>0</v>
      </c>
      <c r="L8" s="205">
        <f>F8*K8</f>
        <v>0</v>
      </c>
      <c r="M8" s="21">
        <v>0</v>
      </c>
      <c r="N8" s="205">
        <f>F8*M8</f>
        <v>0</v>
      </c>
      <c r="O8" s="21">
        <v>0</v>
      </c>
      <c r="P8" s="205">
        <f>F8*O8</f>
        <v>0</v>
      </c>
      <c r="Q8" s="21">
        <v>0</v>
      </c>
      <c r="R8" s="205">
        <f>F8*Q8</f>
        <v>0</v>
      </c>
      <c r="S8" s="39">
        <f t="shared" si="7"/>
        <v>100</v>
      </c>
      <c r="T8" s="38">
        <f t="shared" si="1"/>
        <v>2.56</v>
      </c>
      <c r="U8" s="21">
        <v>0</v>
      </c>
      <c r="V8" s="13">
        <f t="shared" si="4"/>
        <v>0</v>
      </c>
      <c r="W8" s="49">
        <f t="shared" si="5"/>
        <v>100</v>
      </c>
      <c r="X8" s="50">
        <f t="shared" si="6"/>
        <v>2.56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138</v>
      </c>
      <c r="C9" s="34">
        <v>140</v>
      </c>
      <c r="D9" s="35">
        <v>240</v>
      </c>
      <c r="E9" s="35">
        <v>5</v>
      </c>
      <c r="F9" s="19">
        <f t="shared" si="2"/>
        <v>0.16800000000000001</v>
      </c>
      <c r="G9" s="23">
        <v>314</v>
      </c>
      <c r="H9" s="26">
        <f t="shared" si="3"/>
        <v>52.752000000000002</v>
      </c>
      <c r="I9" s="21">
        <v>34</v>
      </c>
      <c r="J9" s="205">
        <f t="shared" si="0"/>
        <v>5.7120000000000006</v>
      </c>
      <c r="K9" s="21">
        <v>24</v>
      </c>
      <c r="L9" s="205">
        <f>F9*K9</f>
        <v>4.032</v>
      </c>
      <c r="M9" s="21">
        <v>11</v>
      </c>
      <c r="N9" s="205">
        <f>F9*M9</f>
        <v>1.8480000000000001</v>
      </c>
      <c r="O9" s="21">
        <v>31</v>
      </c>
      <c r="P9" s="205">
        <f>F9*O9</f>
        <v>5.2080000000000002</v>
      </c>
      <c r="Q9" s="21">
        <v>22</v>
      </c>
      <c r="R9" s="205">
        <f>F9*Q9</f>
        <v>3.6960000000000002</v>
      </c>
      <c r="S9" s="39">
        <f t="shared" si="7"/>
        <v>192</v>
      </c>
      <c r="T9" s="38">
        <f t="shared" si="1"/>
        <v>32.256</v>
      </c>
      <c r="U9" s="21">
        <v>0</v>
      </c>
      <c r="V9" s="13">
        <f t="shared" si="4"/>
        <v>0</v>
      </c>
      <c r="W9" s="49">
        <f t="shared" si="5"/>
        <v>192</v>
      </c>
      <c r="X9" s="50">
        <f t="shared" si="6"/>
        <v>32.256</v>
      </c>
      <c r="Y9" s="238">
        <v>100</v>
      </c>
      <c r="Z9" s="101">
        <v>250</v>
      </c>
    </row>
    <row r="10" spans="1:26" x14ac:dyDescent="0.25">
      <c r="A10" s="264">
        <v>6</v>
      </c>
      <c r="B10" s="256" t="s">
        <v>139</v>
      </c>
      <c r="C10" s="34">
        <v>142</v>
      </c>
      <c r="D10" s="35">
        <v>67</v>
      </c>
      <c r="E10" s="35">
        <v>5</v>
      </c>
      <c r="F10" s="19">
        <f t="shared" si="2"/>
        <v>4.7570000000000001E-2</v>
      </c>
      <c r="G10" s="23">
        <v>8</v>
      </c>
      <c r="H10" s="26">
        <f t="shared" si="3"/>
        <v>0.38056000000000001</v>
      </c>
      <c r="I10" s="21">
        <v>0</v>
      </c>
      <c r="J10" s="205">
        <f t="shared" si="0"/>
        <v>0</v>
      </c>
      <c r="K10" s="21">
        <v>0</v>
      </c>
      <c r="L10" s="205">
        <f t="shared" si="0"/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39">
        <f t="shared" si="7"/>
        <v>8</v>
      </c>
      <c r="T10" s="38">
        <f t="shared" si="1"/>
        <v>0.38056000000000001</v>
      </c>
      <c r="U10" s="21">
        <v>0</v>
      </c>
      <c r="V10" s="13">
        <f t="shared" si="4"/>
        <v>0</v>
      </c>
      <c r="W10" s="49">
        <f t="shared" si="5"/>
        <v>8</v>
      </c>
      <c r="X10" s="50">
        <f t="shared" si="6"/>
        <v>0.38056000000000001</v>
      </c>
      <c r="Y10" s="238">
        <v>75</v>
      </c>
      <c r="Z10" s="101">
        <v>250</v>
      </c>
    </row>
    <row r="11" spans="1:26" x14ac:dyDescent="0.25">
      <c r="A11" s="264">
        <v>7</v>
      </c>
      <c r="B11" s="256" t="s">
        <v>140</v>
      </c>
      <c r="C11" s="34">
        <v>63</v>
      </c>
      <c r="D11" s="35">
        <v>60</v>
      </c>
      <c r="E11" s="35">
        <v>5</v>
      </c>
      <c r="F11" s="19">
        <f t="shared" si="2"/>
        <v>1.89E-2</v>
      </c>
      <c r="G11" s="23">
        <v>0</v>
      </c>
      <c r="H11" s="26">
        <f t="shared" si="3"/>
        <v>0</v>
      </c>
      <c r="I11" s="21">
        <v>0</v>
      </c>
      <c r="J11" s="205">
        <f t="shared" si="0"/>
        <v>0</v>
      </c>
      <c r="K11" s="21">
        <v>0</v>
      </c>
      <c r="L11" s="205">
        <f t="shared" si="0"/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39">
        <f t="shared" si="7"/>
        <v>0</v>
      </c>
      <c r="T11" s="38">
        <f t="shared" si="1"/>
        <v>0</v>
      </c>
      <c r="U11" s="21">
        <v>0</v>
      </c>
      <c r="V11" s="13">
        <f t="shared" si="4"/>
        <v>0</v>
      </c>
      <c r="W11" s="49">
        <f t="shared" si="5"/>
        <v>0</v>
      </c>
      <c r="X11" s="50">
        <f t="shared" si="6"/>
        <v>0</v>
      </c>
      <c r="Y11" s="238">
        <v>50</v>
      </c>
      <c r="Z11" s="101">
        <v>100</v>
      </c>
    </row>
    <row r="12" spans="1:26" x14ac:dyDescent="0.25">
      <c r="A12" s="264">
        <v>8</v>
      </c>
      <c r="B12" s="256" t="s">
        <v>141</v>
      </c>
      <c r="C12" s="34">
        <v>52</v>
      </c>
      <c r="D12" s="35">
        <v>52</v>
      </c>
      <c r="E12" s="35">
        <v>5</v>
      </c>
      <c r="F12" s="19">
        <f t="shared" si="2"/>
        <v>1.3520000000000001E-2</v>
      </c>
      <c r="G12" s="23">
        <v>0</v>
      </c>
      <c r="H12" s="26">
        <f t="shared" si="3"/>
        <v>0</v>
      </c>
      <c r="I12" s="21">
        <v>0</v>
      </c>
      <c r="J12" s="205">
        <f t="shared" si="0"/>
        <v>0</v>
      </c>
      <c r="K12" s="21">
        <v>0</v>
      </c>
      <c r="L12" s="205">
        <f>F12*K12</f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39">
        <f t="shared" si="7"/>
        <v>0</v>
      </c>
      <c r="T12" s="38">
        <f t="shared" si="1"/>
        <v>0</v>
      </c>
      <c r="U12" s="21">
        <v>0</v>
      </c>
      <c r="V12" s="13">
        <f t="shared" si="4"/>
        <v>0</v>
      </c>
      <c r="W12" s="49">
        <f t="shared" si="5"/>
        <v>0</v>
      </c>
      <c r="X12" s="50">
        <f t="shared" si="6"/>
        <v>0</v>
      </c>
      <c r="Y12" s="238">
        <v>50</v>
      </c>
      <c r="Z12" s="101">
        <v>100</v>
      </c>
    </row>
    <row r="13" spans="1:26" x14ac:dyDescent="0.25">
      <c r="A13" s="264">
        <v>9</v>
      </c>
      <c r="B13" s="256" t="s">
        <v>142</v>
      </c>
      <c r="C13" s="34">
        <v>140</v>
      </c>
      <c r="D13" s="35">
        <v>240</v>
      </c>
      <c r="E13" s="35">
        <v>5</v>
      </c>
      <c r="F13" s="19">
        <f t="shared" si="2"/>
        <v>0.16800000000000001</v>
      </c>
      <c r="G13" s="23">
        <v>165</v>
      </c>
      <c r="H13" s="26">
        <f t="shared" si="3"/>
        <v>27.720000000000002</v>
      </c>
      <c r="I13" s="21">
        <v>4</v>
      </c>
      <c r="J13" s="205">
        <f t="shared" si="0"/>
        <v>0.67200000000000004</v>
      </c>
      <c r="K13" s="21">
        <v>9</v>
      </c>
      <c r="L13" s="205">
        <f>F13*K13</f>
        <v>1.512</v>
      </c>
      <c r="M13" s="21">
        <v>8</v>
      </c>
      <c r="N13" s="205">
        <f>F13*M13</f>
        <v>1.3440000000000001</v>
      </c>
      <c r="O13" s="21">
        <v>78</v>
      </c>
      <c r="P13" s="205">
        <f>F13*O13</f>
        <v>13.104000000000001</v>
      </c>
      <c r="Q13" s="21">
        <v>5</v>
      </c>
      <c r="R13" s="205">
        <f>F13*Q13</f>
        <v>0.84000000000000008</v>
      </c>
      <c r="S13" s="39">
        <f t="shared" si="7"/>
        <v>61</v>
      </c>
      <c r="T13" s="38">
        <f t="shared" si="1"/>
        <v>10.248000000000001</v>
      </c>
      <c r="U13" s="21">
        <v>0</v>
      </c>
      <c r="V13" s="13">
        <f t="shared" si="4"/>
        <v>0</v>
      </c>
      <c r="W13" s="49">
        <f t="shared" si="5"/>
        <v>61</v>
      </c>
      <c r="X13" s="50">
        <f t="shared" si="6"/>
        <v>10.248000000000001</v>
      </c>
      <c r="Y13" s="238">
        <v>100</v>
      </c>
      <c r="Z13" s="101">
        <v>300</v>
      </c>
    </row>
    <row r="14" spans="1:26" x14ac:dyDescent="0.25">
      <c r="A14" s="264">
        <v>10</v>
      </c>
      <c r="B14" s="256" t="s">
        <v>143</v>
      </c>
      <c r="C14" s="34">
        <v>90</v>
      </c>
      <c r="D14" s="35">
        <v>85</v>
      </c>
      <c r="E14" s="35">
        <v>5</v>
      </c>
      <c r="F14" s="19">
        <f t="shared" si="2"/>
        <v>3.8249999999999999E-2</v>
      </c>
      <c r="G14" s="23">
        <v>56</v>
      </c>
      <c r="H14" s="26">
        <f t="shared" si="3"/>
        <v>2.1419999999999999</v>
      </c>
      <c r="I14" s="21">
        <v>0</v>
      </c>
      <c r="J14" s="205">
        <f t="shared" si="0"/>
        <v>0</v>
      </c>
      <c r="K14" s="21">
        <v>0</v>
      </c>
      <c r="L14" s="205">
        <f t="shared" ref="L14:L20" si="8">F14*K14</f>
        <v>0</v>
      </c>
      <c r="M14" s="21">
        <v>0</v>
      </c>
      <c r="N14" s="205">
        <f t="shared" si="0"/>
        <v>0</v>
      </c>
      <c r="O14" s="21">
        <v>0</v>
      </c>
      <c r="P14" s="205">
        <f t="shared" si="0"/>
        <v>0</v>
      </c>
      <c r="Q14" s="21">
        <v>0</v>
      </c>
      <c r="R14" s="205">
        <f t="shared" si="0"/>
        <v>0</v>
      </c>
      <c r="S14" s="39">
        <f t="shared" si="7"/>
        <v>56</v>
      </c>
      <c r="T14" s="38">
        <f t="shared" si="1"/>
        <v>2.1419999999999999</v>
      </c>
      <c r="U14" s="21">
        <v>0</v>
      </c>
      <c r="V14" s="13">
        <f t="shared" si="4"/>
        <v>0</v>
      </c>
      <c r="W14" s="49">
        <f t="shared" si="5"/>
        <v>56</v>
      </c>
      <c r="X14" s="50">
        <f t="shared" si="6"/>
        <v>2.1419999999999999</v>
      </c>
      <c r="Y14" s="238">
        <v>50</v>
      </c>
      <c r="Z14" s="101">
        <v>100</v>
      </c>
    </row>
    <row r="15" spans="1:26" x14ac:dyDescent="0.25">
      <c r="A15" s="264">
        <v>11</v>
      </c>
      <c r="B15" s="256" t="s">
        <v>144</v>
      </c>
      <c r="C15" s="34">
        <v>140</v>
      </c>
      <c r="D15" s="35">
        <v>240</v>
      </c>
      <c r="E15" s="35">
        <v>5</v>
      </c>
      <c r="F15" s="19">
        <f t="shared" si="2"/>
        <v>0.16800000000000001</v>
      </c>
      <c r="G15" s="23">
        <v>169</v>
      </c>
      <c r="H15" s="26">
        <f t="shared" si="3"/>
        <v>28.392000000000003</v>
      </c>
      <c r="I15" s="21">
        <v>7</v>
      </c>
      <c r="J15" s="205">
        <f t="shared" si="0"/>
        <v>1.1760000000000002</v>
      </c>
      <c r="K15" s="21">
        <v>4</v>
      </c>
      <c r="L15" s="205">
        <f t="shared" si="8"/>
        <v>0.67200000000000004</v>
      </c>
      <c r="M15" s="21">
        <v>9</v>
      </c>
      <c r="N15" s="205">
        <f t="shared" ref="N15:N20" si="9">F15*M15</f>
        <v>1.512</v>
      </c>
      <c r="O15" s="21">
        <v>10</v>
      </c>
      <c r="P15" s="205">
        <f t="shared" ref="P15:P20" si="10">F15*O15</f>
        <v>1.6800000000000002</v>
      </c>
      <c r="Q15" s="21">
        <v>3</v>
      </c>
      <c r="R15" s="205">
        <f t="shared" ref="R15:R20" si="11">F15*Q15</f>
        <v>0.504</v>
      </c>
      <c r="S15" s="39">
        <f t="shared" si="7"/>
        <v>136</v>
      </c>
      <c r="T15" s="38">
        <f t="shared" si="1"/>
        <v>22.848000000000003</v>
      </c>
      <c r="U15" s="21">
        <v>0</v>
      </c>
      <c r="V15" s="13">
        <f t="shared" si="4"/>
        <v>0</v>
      </c>
      <c r="W15" s="49">
        <f t="shared" si="5"/>
        <v>136</v>
      </c>
      <c r="X15" s="50">
        <f t="shared" si="6"/>
        <v>22.848000000000003</v>
      </c>
      <c r="Y15" s="238">
        <v>200</v>
      </c>
      <c r="Z15" s="101">
        <v>400</v>
      </c>
    </row>
    <row r="16" spans="1:26" x14ac:dyDescent="0.25">
      <c r="A16" s="264">
        <v>12</v>
      </c>
      <c r="B16" s="256" t="s">
        <v>145</v>
      </c>
      <c r="C16" s="34">
        <v>140</v>
      </c>
      <c r="D16" s="35">
        <v>240</v>
      </c>
      <c r="E16" s="35">
        <v>5</v>
      </c>
      <c r="F16" s="19">
        <f t="shared" si="2"/>
        <v>0.16800000000000001</v>
      </c>
      <c r="G16" s="23">
        <v>127</v>
      </c>
      <c r="H16" s="26">
        <f t="shared" si="3"/>
        <v>21.336000000000002</v>
      </c>
      <c r="I16" s="21">
        <v>17</v>
      </c>
      <c r="J16" s="205">
        <f t="shared" si="0"/>
        <v>2.8560000000000003</v>
      </c>
      <c r="K16" s="21">
        <v>23</v>
      </c>
      <c r="L16" s="205">
        <f t="shared" si="8"/>
        <v>3.8640000000000003</v>
      </c>
      <c r="M16" s="21">
        <v>11</v>
      </c>
      <c r="N16" s="205">
        <f t="shared" si="9"/>
        <v>1.8480000000000001</v>
      </c>
      <c r="O16" s="21">
        <v>7</v>
      </c>
      <c r="P16" s="205">
        <f t="shared" si="10"/>
        <v>1.1760000000000002</v>
      </c>
      <c r="Q16" s="21">
        <v>35</v>
      </c>
      <c r="R16" s="205">
        <f t="shared" si="11"/>
        <v>5.8800000000000008</v>
      </c>
      <c r="S16" s="39">
        <f t="shared" si="7"/>
        <v>34</v>
      </c>
      <c r="T16" s="38">
        <f t="shared" si="1"/>
        <v>5.7120000000000006</v>
      </c>
      <c r="U16" s="21">
        <v>0</v>
      </c>
      <c r="V16" s="13">
        <v>0</v>
      </c>
      <c r="W16" s="49">
        <f t="shared" si="5"/>
        <v>34</v>
      </c>
      <c r="X16" s="50">
        <f t="shared" si="6"/>
        <v>5.7120000000000006</v>
      </c>
      <c r="Y16" s="238">
        <v>200</v>
      </c>
      <c r="Z16" s="101">
        <v>500</v>
      </c>
    </row>
    <row r="17" spans="1:26" x14ac:dyDescent="0.25">
      <c r="A17" s="264">
        <v>13</v>
      </c>
      <c r="B17" s="256" t="s">
        <v>146</v>
      </c>
      <c r="C17" s="34">
        <v>140</v>
      </c>
      <c r="D17" s="35">
        <v>240</v>
      </c>
      <c r="E17" s="35">
        <v>8</v>
      </c>
      <c r="F17" s="19">
        <f t="shared" si="2"/>
        <v>0.26879999999999998</v>
      </c>
      <c r="G17" s="23">
        <v>14</v>
      </c>
      <c r="H17" s="26">
        <f t="shared" si="3"/>
        <v>3.7631999999999999</v>
      </c>
      <c r="I17" s="21">
        <v>0</v>
      </c>
      <c r="J17" s="205">
        <f t="shared" si="0"/>
        <v>0</v>
      </c>
      <c r="K17" s="21">
        <v>0</v>
      </c>
      <c r="L17" s="205">
        <f t="shared" si="8"/>
        <v>0</v>
      </c>
      <c r="M17" s="21">
        <v>1</v>
      </c>
      <c r="N17" s="205">
        <f t="shared" si="9"/>
        <v>0.26879999999999998</v>
      </c>
      <c r="O17" s="21">
        <v>0</v>
      </c>
      <c r="P17" s="205">
        <f t="shared" si="10"/>
        <v>0</v>
      </c>
      <c r="Q17" s="21">
        <v>0</v>
      </c>
      <c r="R17" s="205">
        <f t="shared" si="11"/>
        <v>0</v>
      </c>
      <c r="S17" s="39">
        <f t="shared" si="7"/>
        <v>13</v>
      </c>
      <c r="T17" s="38">
        <f t="shared" si="1"/>
        <v>3.4943999999999997</v>
      </c>
      <c r="U17" s="21">
        <v>0</v>
      </c>
      <c r="V17" s="13">
        <f t="shared" si="4"/>
        <v>0</v>
      </c>
      <c r="W17" s="49">
        <f t="shared" si="5"/>
        <v>13</v>
      </c>
      <c r="X17" s="50">
        <f t="shared" si="6"/>
        <v>3.4943999999999997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147</v>
      </c>
      <c r="C18" s="34">
        <v>77</v>
      </c>
      <c r="D18" s="35">
        <v>86</v>
      </c>
      <c r="E18" s="35">
        <v>8</v>
      </c>
      <c r="F18" s="19">
        <f t="shared" si="2"/>
        <v>5.2976000000000002E-2</v>
      </c>
      <c r="G18" s="23">
        <v>340</v>
      </c>
      <c r="H18" s="26">
        <f t="shared" si="3"/>
        <v>18.011839999999999</v>
      </c>
      <c r="I18" s="21">
        <v>46</v>
      </c>
      <c r="J18" s="205">
        <f t="shared" si="0"/>
        <v>2.436896</v>
      </c>
      <c r="K18" s="21">
        <v>0</v>
      </c>
      <c r="L18" s="205">
        <f t="shared" si="8"/>
        <v>0</v>
      </c>
      <c r="M18" s="21">
        <v>12</v>
      </c>
      <c r="N18" s="205">
        <f t="shared" si="9"/>
        <v>0.63571200000000005</v>
      </c>
      <c r="O18" s="21">
        <v>22</v>
      </c>
      <c r="P18" s="205">
        <f t="shared" si="10"/>
        <v>1.1654720000000001</v>
      </c>
      <c r="Q18" s="21">
        <v>12</v>
      </c>
      <c r="R18" s="205">
        <f t="shared" si="11"/>
        <v>0.63571200000000005</v>
      </c>
      <c r="S18" s="39">
        <f t="shared" si="7"/>
        <v>248</v>
      </c>
      <c r="T18" s="38">
        <f t="shared" si="1"/>
        <v>13.138048000000001</v>
      </c>
      <c r="U18" s="21">
        <v>0</v>
      </c>
      <c r="V18" s="13">
        <f t="shared" si="4"/>
        <v>0</v>
      </c>
      <c r="W18" s="49">
        <f t="shared" si="5"/>
        <v>248</v>
      </c>
      <c r="X18" s="50">
        <f t="shared" si="6"/>
        <v>13.138048000000001</v>
      </c>
      <c r="Y18" s="238">
        <v>100</v>
      </c>
      <c r="Z18" s="101">
        <v>300</v>
      </c>
    </row>
    <row r="19" spans="1:26" x14ac:dyDescent="0.25">
      <c r="A19" s="264">
        <v>15</v>
      </c>
      <c r="B19" s="256" t="s">
        <v>148</v>
      </c>
      <c r="C19" s="34">
        <v>77</v>
      </c>
      <c r="D19" s="35">
        <v>68</v>
      </c>
      <c r="E19" s="35">
        <v>8</v>
      </c>
      <c r="F19" s="19">
        <f t="shared" si="2"/>
        <v>4.1888000000000002E-2</v>
      </c>
      <c r="G19" s="23">
        <v>188</v>
      </c>
      <c r="H19" s="26">
        <f t="shared" si="3"/>
        <v>7.8749440000000002</v>
      </c>
      <c r="I19" s="21">
        <v>20</v>
      </c>
      <c r="J19" s="205">
        <f t="shared" si="0"/>
        <v>0.83776000000000006</v>
      </c>
      <c r="K19" s="21">
        <v>0</v>
      </c>
      <c r="L19" s="205">
        <f t="shared" si="8"/>
        <v>0</v>
      </c>
      <c r="M19" s="21">
        <v>3</v>
      </c>
      <c r="N19" s="205">
        <f t="shared" si="9"/>
        <v>0.125664</v>
      </c>
      <c r="O19" s="21">
        <v>6</v>
      </c>
      <c r="P19" s="205">
        <f t="shared" si="10"/>
        <v>0.251328</v>
      </c>
      <c r="Q19" s="21">
        <v>4</v>
      </c>
      <c r="R19" s="205">
        <f t="shared" si="11"/>
        <v>0.16755200000000001</v>
      </c>
      <c r="S19" s="39">
        <f t="shared" si="7"/>
        <v>155</v>
      </c>
      <c r="T19" s="38">
        <f t="shared" si="1"/>
        <v>6.4926400000000006</v>
      </c>
      <c r="U19" s="21">
        <v>0</v>
      </c>
      <c r="V19" s="13">
        <f t="shared" si="4"/>
        <v>0</v>
      </c>
      <c r="W19" s="49">
        <f t="shared" si="5"/>
        <v>155</v>
      </c>
      <c r="X19" s="50">
        <f t="shared" si="6"/>
        <v>6.4926400000000006</v>
      </c>
      <c r="Y19" s="238">
        <v>100</v>
      </c>
      <c r="Z19" s="101">
        <v>300</v>
      </c>
    </row>
    <row r="20" spans="1:26" x14ac:dyDescent="0.25">
      <c r="A20" s="264">
        <v>16</v>
      </c>
      <c r="B20" s="256" t="s">
        <v>149</v>
      </c>
      <c r="C20" s="34">
        <v>76</v>
      </c>
      <c r="D20" s="35">
        <v>75</v>
      </c>
      <c r="E20" s="35">
        <v>8</v>
      </c>
      <c r="F20" s="19">
        <f t="shared" si="2"/>
        <v>4.5600000000000002E-2</v>
      </c>
      <c r="G20" s="23">
        <v>11</v>
      </c>
      <c r="H20" s="26">
        <f t="shared" si="3"/>
        <v>0.50160000000000005</v>
      </c>
      <c r="I20" s="21">
        <v>11</v>
      </c>
      <c r="J20" s="205">
        <f t="shared" si="0"/>
        <v>0.50160000000000005</v>
      </c>
      <c r="K20" s="21">
        <v>0</v>
      </c>
      <c r="L20" s="205">
        <f t="shared" si="8"/>
        <v>0</v>
      </c>
      <c r="M20" s="21">
        <v>6</v>
      </c>
      <c r="N20" s="205">
        <f t="shared" si="9"/>
        <v>0.27360000000000001</v>
      </c>
      <c r="O20" s="21">
        <v>12</v>
      </c>
      <c r="P20" s="205">
        <f t="shared" si="10"/>
        <v>0.54720000000000002</v>
      </c>
      <c r="Q20" s="21">
        <v>8</v>
      </c>
      <c r="R20" s="205">
        <f t="shared" si="11"/>
        <v>0.36480000000000001</v>
      </c>
      <c r="S20" s="39">
        <f t="shared" si="7"/>
        <v>-26</v>
      </c>
      <c r="T20" s="38">
        <f t="shared" si="1"/>
        <v>-1.1856</v>
      </c>
      <c r="U20" s="21">
        <v>390</v>
      </c>
      <c r="V20" s="13">
        <f t="shared" si="4"/>
        <v>17.783999999999999</v>
      </c>
      <c r="W20" s="49">
        <f t="shared" si="5"/>
        <v>364</v>
      </c>
      <c r="X20" s="50">
        <f t="shared" si="6"/>
        <v>16.598400000000002</v>
      </c>
      <c r="Y20" s="238">
        <v>100</v>
      </c>
      <c r="Z20" s="101">
        <v>300</v>
      </c>
    </row>
    <row r="21" spans="1:26" x14ac:dyDescent="0.25">
      <c r="A21" s="264">
        <v>17</v>
      </c>
      <c r="B21" s="256" t="s">
        <v>150</v>
      </c>
      <c r="C21" s="34">
        <v>60</v>
      </c>
      <c r="D21" s="35">
        <v>63</v>
      </c>
      <c r="E21" s="35">
        <v>10</v>
      </c>
      <c r="F21" s="19">
        <f t="shared" si="2"/>
        <v>3.78E-2</v>
      </c>
      <c r="G21" s="23">
        <v>263</v>
      </c>
      <c r="H21" s="26">
        <f t="shared" si="3"/>
        <v>9.9413999999999998</v>
      </c>
      <c r="I21" s="21">
        <v>0</v>
      </c>
      <c r="J21" s="205">
        <f t="shared" si="0"/>
        <v>0</v>
      </c>
      <c r="K21" s="21">
        <v>0</v>
      </c>
      <c r="L21" s="205">
        <f t="shared" si="0"/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39">
        <f t="shared" si="7"/>
        <v>263</v>
      </c>
      <c r="T21" s="38">
        <f t="shared" si="1"/>
        <v>9.9413999999999998</v>
      </c>
      <c r="U21" s="21">
        <v>0</v>
      </c>
      <c r="V21" s="13">
        <f t="shared" si="4"/>
        <v>0</v>
      </c>
      <c r="W21" s="49">
        <f t="shared" si="5"/>
        <v>263</v>
      </c>
      <c r="X21" s="50">
        <f t="shared" si="6"/>
        <v>9.9413999999999998</v>
      </c>
      <c r="Y21" s="238">
        <v>50</v>
      </c>
      <c r="Z21" s="101">
        <v>200</v>
      </c>
    </row>
    <row r="22" spans="1:26" x14ac:dyDescent="0.25">
      <c r="A22" s="264">
        <v>18</v>
      </c>
      <c r="B22" s="256" t="s">
        <v>151</v>
      </c>
      <c r="C22" s="34">
        <v>63</v>
      </c>
      <c r="D22" s="35">
        <v>60</v>
      </c>
      <c r="E22" s="35">
        <v>3</v>
      </c>
      <c r="F22" s="19">
        <f t="shared" si="2"/>
        <v>1.1339999999999999E-2</v>
      </c>
      <c r="G22" s="23">
        <v>16</v>
      </c>
      <c r="H22" s="26">
        <f t="shared" si="3"/>
        <v>0.18143999999999999</v>
      </c>
      <c r="I22" s="21">
        <v>0</v>
      </c>
      <c r="J22" s="205">
        <f t="shared" si="0"/>
        <v>0</v>
      </c>
      <c r="K22" s="21">
        <v>0</v>
      </c>
      <c r="L22" s="205">
        <f t="shared" si="0"/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39">
        <f t="shared" si="7"/>
        <v>16</v>
      </c>
      <c r="T22" s="38">
        <f t="shared" si="1"/>
        <v>0.18143999999999999</v>
      </c>
      <c r="U22" s="21">
        <v>0</v>
      </c>
      <c r="V22" s="13">
        <f t="shared" si="4"/>
        <v>0</v>
      </c>
      <c r="W22" s="49">
        <f t="shared" si="5"/>
        <v>16</v>
      </c>
      <c r="X22" s="50">
        <f t="shared" si="6"/>
        <v>0.18143999999999999</v>
      </c>
      <c r="Y22" s="238">
        <v>50</v>
      </c>
      <c r="Z22" s="101">
        <v>200</v>
      </c>
    </row>
    <row r="23" spans="1:26" x14ac:dyDescent="0.25">
      <c r="A23" s="264">
        <v>19</v>
      </c>
      <c r="B23" s="42" t="s">
        <v>152</v>
      </c>
      <c r="C23" s="34">
        <v>140</v>
      </c>
      <c r="D23" s="35">
        <v>240</v>
      </c>
      <c r="E23" s="35">
        <v>1.4</v>
      </c>
      <c r="F23" s="19">
        <f t="shared" si="2"/>
        <v>4.7039999999999998E-2</v>
      </c>
      <c r="G23" s="23">
        <v>26</v>
      </c>
      <c r="H23" s="26">
        <f t="shared" si="3"/>
        <v>1.2230399999999999</v>
      </c>
      <c r="I23" s="21">
        <v>60</v>
      </c>
      <c r="J23" s="205">
        <f t="shared" si="0"/>
        <v>2.8224</v>
      </c>
      <c r="K23" s="21">
        <v>54</v>
      </c>
      <c r="L23" s="205">
        <f t="shared" ref="L23:L36" si="12">F23*K23</f>
        <v>2.5401599999999998</v>
      </c>
      <c r="M23" s="21">
        <v>81</v>
      </c>
      <c r="N23" s="205">
        <f t="shared" ref="N23:N36" si="13">F23*M23</f>
        <v>3.8102399999999998</v>
      </c>
      <c r="O23" s="21">
        <v>79</v>
      </c>
      <c r="P23" s="205">
        <f t="shared" ref="P23:P36" si="14">F23*O23</f>
        <v>3.7161599999999999</v>
      </c>
      <c r="Q23" s="21">
        <v>69</v>
      </c>
      <c r="R23" s="205">
        <f t="shared" ref="R23:R36" si="15">F23*Q23</f>
        <v>3.2457599999999998</v>
      </c>
      <c r="S23" s="39">
        <f t="shared" si="7"/>
        <v>-317</v>
      </c>
      <c r="T23" s="38">
        <f t="shared" si="1"/>
        <v>-14.911679999999999</v>
      </c>
      <c r="U23" s="21">
        <v>771</v>
      </c>
      <c r="V23" s="13">
        <f t="shared" si="4"/>
        <v>36.26784</v>
      </c>
      <c r="W23" s="49">
        <f t="shared" si="5"/>
        <v>454</v>
      </c>
      <c r="X23" s="50">
        <f t="shared" si="6"/>
        <v>21.356159999999999</v>
      </c>
      <c r="Y23" s="238">
        <v>200</v>
      </c>
      <c r="Z23" s="101">
        <v>500</v>
      </c>
    </row>
    <row r="24" spans="1:26" x14ac:dyDescent="0.25">
      <c r="A24" s="264">
        <v>20</v>
      </c>
      <c r="B24" s="256" t="s">
        <v>3</v>
      </c>
      <c r="C24" s="34">
        <v>140</v>
      </c>
      <c r="D24" s="35">
        <v>240</v>
      </c>
      <c r="E24" s="35">
        <v>0.8</v>
      </c>
      <c r="F24" s="19">
        <f t="shared" si="2"/>
        <v>2.6880000000000001E-2</v>
      </c>
      <c r="G24" s="23">
        <v>70</v>
      </c>
      <c r="H24" s="26">
        <f t="shared" si="3"/>
        <v>1.8816000000000002</v>
      </c>
      <c r="I24" s="21">
        <v>70</v>
      </c>
      <c r="J24" s="205">
        <f t="shared" si="0"/>
        <v>1.8816000000000002</v>
      </c>
      <c r="K24" s="21">
        <v>15</v>
      </c>
      <c r="L24" s="205">
        <f t="shared" si="12"/>
        <v>0.4032</v>
      </c>
      <c r="M24" s="21">
        <v>21</v>
      </c>
      <c r="N24" s="205">
        <f t="shared" si="13"/>
        <v>0.56447999999999998</v>
      </c>
      <c r="O24" s="21">
        <v>6</v>
      </c>
      <c r="P24" s="205">
        <f t="shared" si="14"/>
        <v>0.16128000000000001</v>
      </c>
      <c r="Q24" s="21">
        <v>61</v>
      </c>
      <c r="R24" s="205">
        <f t="shared" si="15"/>
        <v>1.63968</v>
      </c>
      <c r="S24" s="39">
        <f t="shared" si="7"/>
        <v>-103</v>
      </c>
      <c r="T24" s="38">
        <f t="shared" si="1"/>
        <v>-2.76864</v>
      </c>
      <c r="U24" s="21">
        <v>250</v>
      </c>
      <c r="V24" s="13">
        <f t="shared" si="4"/>
        <v>6.7200000000000006</v>
      </c>
      <c r="W24" s="49">
        <f t="shared" si="5"/>
        <v>147</v>
      </c>
      <c r="X24" s="50">
        <f t="shared" si="6"/>
        <v>3.9513600000000002</v>
      </c>
      <c r="Y24" s="238">
        <v>100</v>
      </c>
      <c r="Z24" s="101">
        <v>300</v>
      </c>
    </row>
    <row r="25" spans="1:26" x14ac:dyDescent="0.25">
      <c r="A25" s="264">
        <v>21</v>
      </c>
      <c r="B25" s="256" t="s">
        <v>153</v>
      </c>
      <c r="C25" s="34">
        <v>58</v>
      </c>
      <c r="D25" s="35">
        <v>58</v>
      </c>
      <c r="E25" s="35">
        <v>2.2999999999999998</v>
      </c>
      <c r="F25" s="19">
        <f t="shared" si="2"/>
        <v>7.7371999999999996E-3</v>
      </c>
      <c r="G25" s="23">
        <v>345</v>
      </c>
      <c r="H25" s="26">
        <f t="shared" si="3"/>
        <v>2.6693340000000001</v>
      </c>
      <c r="I25" s="21">
        <v>0</v>
      </c>
      <c r="J25" s="205">
        <f t="shared" si="0"/>
        <v>0</v>
      </c>
      <c r="K25" s="21">
        <v>0</v>
      </c>
      <c r="L25" s="205">
        <f t="shared" si="12"/>
        <v>0</v>
      </c>
      <c r="M25" s="21">
        <v>0</v>
      </c>
      <c r="N25" s="205">
        <f t="shared" si="13"/>
        <v>0</v>
      </c>
      <c r="O25" s="21">
        <v>345</v>
      </c>
      <c r="P25" s="205">
        <f t="shared" si="14"/>
        <v>2.6693340000000001</v>
      </c>
      <c r="Q25" s="21">
        <v>0</v>
      </c>
      <c r="R25" s="205">
        <f t="shared" si="15"/>
        <v>0</v>
      </c>
      <c r="S25" s="39">
        <f t="shared" si="7"/>
        <v>0</v>
      </c>
      <c r="T25" s="38">
        <f t="shared" si="1"/>
        <v>0</v>
      </c>
      <c r="U25" s="21">
        <v>0</v>
      </c>
      <c r="V25" s="13">
        <f t="shared" si="4"/>
        <v>0</v>
      </c>
      <c r="W25" s="49">
        <f t="shared" si="5"/>
        <v>0</v>
      </c>
      <c r="X25" s="50">
        <f t="shared" si="6"/>
        <v>0</v>
      </c>
      <c r="Y25" s="238">
        <v>200</v>
      </c>
      <c r="Z25" s="101">
        <v>750</v>
      </c>
    </row>
    <row r="26" spans="1:26" x14ac:dyDescent="0.25">
      <c r="A26" s="264">
        <v>22</v>
      </c>
      <c r="B26" s="256" t="s">
        <v>154</v>
      </c>
      <c r="C26" s="34">
        <v>140</v>
      </c>
      <c r="D26" s="35">
        <v>240</v>
      </c>
      <c r="E26" s="35">
        <v>7</v>
      </c>
      <c r="F26" s="19">
        <f t="shared" si="2"/>
        <v>0.23519999999999999</v>
      </c>
      <c r="G26" s="23">
        <v>8</v>
      </c>
      <c r="H26" s="26">
        <f t="shared" si="3"/>
        <v>1.8815999999999999</v>
      </c>
      <c r="I26" s="21">
        <v>8</v>
      </c>
      <c r="J26" s="205">
        <f t="shared" si="0"/>
        <v>1.8815999999999999</v>
      </c>
      <c r="K26" s="21">
        <v>9</v>
      </c>
      <c r="L26" s="205">
        <f t="shared" si="12"/>
        <v>2.1168</v>
      </c>
      <c r="M26" s="21">
        <v>15</v>
      </c>
      <c r="N26" s="205">
        <f t="shared" si="13"/>
        <v>3.528</v>
      </c>
      <c r="O26" s="21">
        <v>7</v>
      </c>
      <c r="P26" s="205">
        <f t="shared" si="14"/>
        <v>1.6463999999999999</v>
      </c>
      <c r="Q26" s="21">
        <v>2</v>
      </c>
      <c r="R26" s="205">
        <f t="shared" si="15"/>
        <v>0.47039999999999998</v>
      </c>
      <c r="S26" s="39">
        <f t="shared" si="7"/>
        <v>-33</v>
      </c>
      <c r="T26" s="38">
        <f t="shared" si="1"/>
        <v>-7.7615999999999996</v>
      </c>
      <c r="U26" s="21">
        <v>132</v>
      </c>
      <c r="V26" s="13">
        <f t="shared" si="4"/>
        <v>31.046399999999998</v>
      </c>
      <c r="W26" s="49">
        <f t="shared" si="5"/>
        <v>99</v>
      </c>
      <c r="X26" s="50">
        <f t="shared" si="6"/>
        <v>23.284800000000001</v>
      </c>
      <c r="Y26" s="238">
        <v>50</v>
      </c>
      <c r="Z26" s="101">
        <v>200</v>
      </c>
    </row>
    <row r="27" spans="1:26" ht="15.75" x14ac:dyDescent="0.25">
      <c r="A27" s="264">
        <v>23</v>
      </c>
      <c r="B27" s="256" t="s">
        <v>55</v>
      </c>
      <c r="C27" s="111">
        <v>50</v>
      </c>
      <c r="D27" s="112">
        <v>45</v>
      </c>
      <c r="E27" s="112">
        <v>4</v>
      </c>
      <c r="F27" s="19">
        <f t="shared" si="2"/>
        <v>8.9999999999999993E-3</v>
      </c>
      <c r="G27" s="23">
        <v>850</v>
      </c>
      <c r="H27" s="26">
        <f t="shared" si="3"/>
        <v>7.6499999999999995</v>
      </c>
      <c r="I27" s="21">
        <v>0</v>
      </c>
      <c r="J27" s="205">
        <f t="shared" si="0"/>
        <v>0</v>
      </c>
      <c r="K27" s="21">
        <v>0</v>
      </c>
      <c r="L27" s="205">
        <f t="shared" si="12"/>
        <v>0</v>
      </c>
      <c r="M27" s="21">
        <v>0</v>
      </c>
      <c r="N27" s="205">
        <f t="shared" si="13"/>
        <v>0</v>
      </c>
      <c r="O27" s="21">
        <v>0</v>
      </c>
      <c r="P27" s="205">
        <f t="shared" si="14"/>
        <v>0</v>
      </c>
      <c r="Q27" s="21">
        <v>700</v>
      </c>
      <c r="R27" s="205">
        <f t="shared" si="15"/>
        <v>6.3</v>
      </c>
      <c r="S27" s="39">
        <f t="shared" si="7"/>
        <v>150</v>
      </c>
      <c r="T27" s="38">
        <f t="shared" si="1"/>
        <v>1.3499999999999999</v>
      </c>
      <c r="U27" s="21">
        <v>0</v>
      </c>
      <c r="V27" s="13">
        <f t="shared" si="4"/>
        <v>0</v>
      </c>
      <c r="W27" s="49">
        <f t="shared" si="5"/>
        <v>150</v>
      </c>
      <c r="X27" s="50">
        <f t="shared" si="6"/>
        <v>1.3499999999999999</v>
      </c>
      <c r="Y27" s="238">
        <v>300</v>
      </c>
      <c r="Z27" s="101">
        <v>1000</v>
      </c>
    </row>
    <row r="28" spans="1:26" ht="15.75" x14ac:dyDescent="0.25">
      <c r="A28" s="264">
        <v>24</v>
      </c>
      <c r="B28" s="256" t="s">
        <v>56</v>
      </c>
      <c r="C28" s="111">
        <v>50</v>
      </c>
      <c r="D28" s="112">
        <v>35</v>
      </c>
      <c r="E28" s="112">
        <v>4</v>
      </c>
      <c r="F28" s="19">
        <f t="shared" si="2"/>
        <v>7.0000000000000001E-3</v>
      </c>
      <c r="G28" s="23">
        <v>860</v>
      </c>
      <c r="H28" s="26">
        <f t="shared" si="3"/>
        <v>6.0200000000000005</v>
      </c>
      <c r="I28" s="21">
        <v>0</v>
      </c>
      <c r="J28" s="205">
        <f t="shared" si="0"/>
        <v>0</v>
      </c>
      <c r="K28" s="21">
        <v>0</v>
      </c>
      <c r="L28" s="205">
        <f t="shared" si="12"/>
        <v>0</v>
      </c>
      <c r="M28" s="21">
        <v>0</v>
      </c>
      <c r="N28" s="205">
        <f t="shared" si="13"/>
        <v>0</v>
      </c>
      <c r="O28" s="21">
        <v>0</v>
      </c>
      <c r="P28" s="205">
        <f t="shared" si="14"/>
        <v>0</v>
      </c>
      <c r="Q28" s="21">
        <v>0</v>
      </c>
      <c r="R28" s="205">
        <f t="shared" si="15"/>
        <v>0</v>
      </c>
      <c r="S28" s="39">
        <f t="shared" si="7"/>
        <v>860</v>
      </c>
      <c r="T28" s="38">
        <f t="shared" si="1"/>
        <v>6.0200000000000005</v>
      </c>
      <c r="U28" s="21">
        <v>0</v>
      </c>
      <c r="V28" s="13">
        <f t="shared" si="4"/>
        <v>0</v>
      </c>
      <c r="W28" s="49">
        <f t="shared" si="5"/>
        <v>860</v>
      </c>
      <c r="X28" s="50">
        <f t="shared" si="6"/>
        <v>6.0200000000000005</v>
      </c>
      <c r="Y28" s="238">
        <v>300</v>
      </c>
      <c r="Z28" s="101">
        <v>1000</v>
      </c>
    </row>
    <row r="29" spans="1:26" ht="15.75" x14ac:dyDescent="0.25">
      <c r="A29" s="264">
        <v>25</v>
      </c>
      <c r="B29" s="256" t="s">
        <v>57</v>
      </c>
      <c r="C29" s="111">
        <v>45</v>
      </c>
      <c r="D29" s="112">
        <v>44</v>
      </c>
      <c r="E29" s="112">
        <v>3</v>
      </c>
      <c r="F29" s="19">
        <f t="shared" si="2"/>
        <v>5.94E-3</v>
      </c>
      <c r="G29" s="23">
        <v>0</v>
      </c>
      <c r="H29" s="26">
        <f t="shared" si="3"/>
        <v>0</v>
      </c>
      <c r="I29" s="21">
        <v>0</v>
      </c>
      <c r="J29" s="205">
        <f t="shared" si="0"/>
        <v>0</v>
      </c>
      <c r="K29" s="21">
        <v>0</v>
      </c>
      <c r="L29" s="205">
        <f t="shared" si="12"/>
        <v>0</v>
      </c>
      <c r="M29" s="21">
        <v>0</v>
      </c>
      <c r="N29" s="205">
        <f t="shared" si="13"/>
        <v>0</v>
      </c>
      <c r="O29" s="21">
        <v>300</v>
      </c>
      <c r="P29" s="205">
        <f t="shared" si="14"/>
        <v>1.782</v>
      </c>
      <c r="Q29" s="21">
        <v>0</v>
      </c>
      <c r="R29" s="205">
        <f t="shared" si="15"/>
        <v>0</v>
      </c>
      <c r="S29" s="39">
        <f t="shared" si="7"/>
        <v>-300</v>
      </c>
      <c r="T29" s="38">
        <f t="shared" si="1"/>
        <v>-1.782</v>
      </c>
      <c r="U29" s="21">
        <v>1485</v>
      </c>
      <c r="V29" s="13">
        <f t="shared" si="4"/>
        <v>8.8209</v>
      </c>
      <c r="W29" s="49">
        <f t="shared" si="5"/>
        <v>1185</v>
      </c>
      <c r="X29" s="50">
        <f t="shared" si="6"/>
        <v>7.0388999999999999</v>
      </c>
      <c r="Y29" s="238">
        <v>500</v>
      </c>
      <c r="Z29" s="101">
        <v>1500</v>
      </c>
    </row>
    <row r="30" spans="1:26" ht="15.75" x14ac:dyDescent="0.25">
      <c r="A30" s="264">
        <v>26</v>
      </c>
      <c r="B30" s="256" t="s">
        <v>58</v>
      </c>
      <c r="C30" s="111">
        <v>45</v>
      </c>
      <c r="D30" s="112">
        <v>35.5</v>
      </c>
      <c r="E30" s="112">
        <v>3</v>
      </c>
      <c r="F30" s="19">
        <f t="shared" si="2"/>
        <v>4.7924999999999999E-3</v>
      </c>
      <c r="G30" s="23">
        <v>10</v>
      </c>
      <c r="H30" s="26">
        <f t="shared" si="3"/>
        <v>4.7924999999999995E-2</v>
      </c>
      <c r="I30" s="21">
        <v>0</v>
      </c>
      <c r="J30" s="205">
        <f t="shared" si="0"/>
        <v>0</v>
      </c>
      <c r="K30" s="21">
        <v>0</v>
      </c>
      <c r="L30" s="205">
        <f t="shared" si="12"/>
        <v>0</v>
      </c>
      <c r="M30" s="21">
        <v>0</v>
      </c>
      <c r="N30" s="205">
        <f t="shared" si="13"/>
        <v>0</v>
      </c>
      <c r="O30" s="21">
        <v>300</v>
      </c>
      <c r="P30" s="205">
        <f t="shared" si="14"/>
        <v>1.4377499999999999</v>
      </c>
      <c r="Q30" s="21">
        <v>0</v>
      </c>
      <c r="R30" s="205">
        <f t="shared" si="15"/>
        <v>0</v>
      </c>
      <c r="S30" s="39">
        <f t="shared" si="7"/>
        <v>-290</v>
      </c>
      <c r="T30" s="38">
        <f t="shared" si="1"/>
        <v>-1.3898249999999999</v>
      </c>
      <c r="U30" s="21">
        <v>1386</v>
      </c>
      <c r="V30" s="13">
        <f t="shared" si="4"/>
        <v>6.6424050000000001</v>
      </c>
      <c r="W30" s="49">
        <f t="shared" si="5"/>
        <v>1096</v>
      </c>
      <c r="X30" s="50">
        <f t="shared" si="6"/>
        <v>5.25258</v>
      </c>
      <c r="Y30" s="238">
        <v>500</v>
      </c>
      <c r="Z30" s="101">
        <v>1500</v>
      </c>
    </row>
    <row r="31" spans="1:26" x14ac:dyDescent="0.25">
      <c r="A31" s="264">
        <v>27</v>
      </c>
      <c r="B31" s="256" t="s">
        <v>155</v>
      </c>
      <c r="C31" s="34">
        <v>140</v>
      </c>
      <c r="D31" s="35">
        <v>9.5</v>
      </c>
      <c r="E31" s="35">
        <v>6.5</v>
      </c>
      <c r="F31" s="19">
        <f t="shared" si="2"/>
        <v>8.6449999999999999E-3</v>
      </c>
      <c r="G31" s="23">
        <v>4438</v>
      </c>
      <c r="H31" s="26">
        <f t="shared" si="3"/>
        <v>38.366509999999998</v>
      </c>
      <c r="I31" s="21">
        <v>268</v>
      </c>
      <c r="J31" s="205">
        <f t="shared" si="0"/>
        <v>2.3168600000000001</v>
      </c>
      <c r="K31" s="21">
        <v>88</v>
      </c>
      <c r="L31" s="205">
        <f t="shared" si="12"/>
        <v>0.76075999999999999</v>
      </c>
      <c r="M31" s="21">
        <v>0</v>
      </c>
      <c r="N31" s="205">
        <f t="shared" si="13"/>
        <v>0</v>
      </c>
      <c r="O31" s="21">
        <v>282</v>
      </c>
      <c r="P31" s="205">
        <f t="shared" si="14"/>
        <v>2.4378899999999999</v>
      </c>
      <c r="Q31" s="21">
        <v>97</v>
      </c>
      <c r="R31" s="205">
        <f t="shared" si="15"/>
        <v>0.838565</v>
      </c>
      <c r="S31" s="39">
        <f t="shared" si="7"/>
        <v>3703</v>
      </c>
      <c r="T31" s="38">
        <f t="shared" si="1"/>
        <v>32.012434999999996</v>
      </c>
      <c r="U31" s="21">
        <v>0</v>
      </c>
      <c r="V31" s="13">
        <f t="shared" si="4"/>
        <v>0</v>
      </c>
      <c r="W31" s="49">
        <f t="shared" si="5"/>
        <v>3703</v>
      </c>
      <c r="X31" s="50">
        <f t="shared" si="6"/>
        <v>32.012434999999996</v>
      </c>
      <c r="Y31" s="238">
        <v>500</v>
      </c>
      <c r="Z31" s="101">
        <v>1500</v>
      </c>
    </row>
    <row r="32" spans="1:26" x14ac:dyDescent="0.25">
      <c r="A32" s="264">
        <v>28</v>
      </c>
      <c r="B32" s="256" t="s">
        <v>156</v>
      </c>
      <c r="C32" s="34">
        <v>140</v>
      </c>
      <c r="D32" s="35">
        <v>240</v>
      </c>
      <c r="E32" s="35">
        <v>1</v>
      </c>
      <c r="F32" s="19">
        <f t="shared" si="2"/>
        <v>3.3599999999999998E-2</v>
      </c>
      <c r="G32" s="23">
        <v>149</v>
      </c>
      <c r="H32" s="26">
        <f t="shared" si="3"/>
        <v>5.0063999999999993</v>
      </c>
      <c r="I32" s="21">
        <v>149</v>
      </c>
      <c r="J32" s="205">
        <f t="shared" si="0"/>
        <v>5.0063999999999993</v>
      </c>
      <c r="K32" s="21">
        <v>93</v>
      </c>
      <c r="L32" s="205">
        <f t="shared" si="12"/>
        <v>3.1248</v>
      </c>
      <c r="M32" s="21">
        <v>100</v>
      </c>
      <c r="N32" s="205">
        <f t="shared" si="13"/>
        <v>3.36</v>
      </c>
      <c r="O32" s="21">
        <v>247</v>
      </c>
      <c r="P32" s="205">
        <f t="shared" si="14"/>
        <v>8.299199999999999</v>
      </c>
      <c r="Q32" s="21">
        <v>91</v>
      </c>
      <c r="R32" s="205">
        <f>F32*Q32</f>
        <v>3.0575999999999999</v>
      </c>
      <c r="S32" s="39">
        <f t="shared" si="7"/>
        <v>-531</v>
      </c>
      <c r="T32" s="38">
        <f t="shared" si="1"/>
        <v>-17.8416</v>
      </c>
      <c r="U32" s="21">
        <v>1371</v>
      </c>
      <c r="V32" s="205">
        <f>F32*U32</f>
        <v>46.065599999999996</v>
      </c>
      <c r="W32" s="49">
        <f t="shared" si="5"/>
        <v>840</v>
      </c>
      <c r="X32" s="50">
        <f t="shared" si="6"/>
        <v>28.223999999999997</v>
      </c>
      <c r="Y32" s="238">
        <v>250</v>
      </c>
      <c r="Z32" s="101">
        <v>750</v>
      </c>
    </row>
    <row r="33" spans="1:26" x14ac:dyDescent="0.25">
      <c r="A33" s="264">
        <v>29</v>
      </c>
      <c r="B33" s="256" t="s">
        <v>157</v>
      </c>
      <c r="C33" s="34">
        <v>140</v>
      </c>
      <c r="D33" s="35">
        <v>240</v>
      </c>
      <c r="E33" s="35">
        <v>2</v>
      </c>
      <c r="F33" s="19">
        <f t="shared" si="2"/>
        <v>6.7199999999999996E-2</v>
      </c>
      <c r="G33" s="23">
        <v>599</v>
      </c>
      <c r="H33" s="26">
        <f t="shared" si="3"/>
        <v>40.252800000000001</v>
      </c>
      <c r="I33" s="21">
        <v>9</v>
      </c>
      <c r="J33" s="205">
        <f t="shared" si="0"/>
        <v>0.6048</v>
      </c>
      <c r="K33" s="21">
        <v>21</v>
      </c>
      <c r="L33" s="205">
        <f t="shared" si="12"/>
        <v>1.4112</v>
      </c>
      <c r="M33" s="21">
        <v>26</v>
      </c>
      <c r="N33" s="205">
        <f t="shared" si="13"/>
        <v>1.7471999999999999</v>
      </c>
      <c r="O33" s="21">
        <v>14</v>
      </c>
      <c r="P33" s="205">
        <f t="shared" si="14"/>
        <v>0.94079999999999997</v>
      </c>
      <c r="Q33" s="21">
        <v>6</v>
      </c>
      <c r="R33" s="205">
        <f>F33*Q33</f>
        <v>0.4032</v>
      </c>
      <c r="S33" s="39">
        <f t="shared" si="7"/>
        <v>523</v>
      </c>
      <c r="T33" s="38">
        <f t="shared" si="1"/>
        <v>35.145599999999995</v>
      </c>
      <c r="U33" s="21">
        <v>0</v>
      </c>
      <c r="V33" s="13">
        <f t="shared" si="4"/>
        <v>0</v>
      </c>
      <c r="W33" s="49">
        <f t="shared" si="5"/>
        <v>523</v>
      </c>
      <c r="X33" s="50">
        <f t="shared" si="6"/>
        <v>35.145599999999995</v>
      </c>
      <c r="Y33" s="238">
        <v>75</v>
      </c>
      <c r="Z33" s="101">
        <v>150</v>
      </c>
    </row>
    <row r="34" spans="1:26" x14ac:dyDescent="0.25">
      <c r="A34" s="264">
        <v>30</v>
      </c>
      <c r="B34" s="256" t="s">
        <v>158</v>
      </c>
      <c r="C34" s="34">
        <v>140</v>
      </c>
      <c r="D34" s="35">
        <v>240</v>
      </c>
      <c r="E34" s="35">
        <v>3</v>
      </c>
      <c r="F34" s="19">
        <f t="shared" si="2"/>
        <v>0.1008</v>
      </c>
      <c r="G34" s="23">
        <v>727</v>
      </c>
      <c r="H34" s="26">
        <f t="shared" si="3"/>
        <v>73.281599999999997</v>
      </c>
      <c r="I34" s="21">
        <v>42</v>
      </c>
      <c r="J34" s="205">
        <f>F34*I34</f>
        <v>4.2336</v>
      </c>
      <c r="K34" s="21">
        <v>41</v>
      </c>
      <c r="L34" s="205">
        <f t="shared" si="12"/>
        <v>4.1327999999999996</v>
      </c>
      <c r="M34" s="21">
        <v>35</v>
      </c>
      <c r="N34" s="205">
        <f t="shared" si="13"/>
        <v>3.528</v>
      </c>
      <c r="O34" s="21">
        <v>47</v>
      </c>
      <c r="P34" s="205">
        <f t="shared" si="14"/>
        <v>4.7376000000000005</v>
      </c>
      <c r="Q34" s="21">
        <v>29</v>
      </c>
      <c r="R34" s="205">
        <f t="shared" si="15"/>
        <v>2.9232</v>
      </c>
      <c r="S34" s="39">
        <f t="shared" si="7"/>
        <v>533</v>
      </c>
      <c r="T34" s="38">
        <f t="shared" si="1"/>
        <v>53.726399999999998</v>
      </c>
      <c r="U34" s="21">
        <v>0</v>
      </c>
      <c r="V34" s="13">
        <f t="shared" si="4"/>
        <v>0</v>
      </c>
      <c r="W34" s="49">
        <f t="shared" si="5"/>
        <v>533</v>
      </c>
      <c r="X34" s="50">
        <f t="shared" si="6"/>
        <v>53.726399999999998</v>
      </c>
      <c r="Y34" s="238">
        <v>75</v>
      </c>
      <c r="Z34" s="101">
        <v>150</v>
      </c>
    </row>
    <row r="35" spans="1:26" x14ac:dyDescent="0.25">
      <c r="A35" s="264">
        <v>31</v>
      </c>
      <c r="B35" s="256" t="s">
        <v>159</v>
      </c>
      <c r="C35" s="34">
        <v>140</v>
      </c>
      <c r="D35" s="35">
        <v>240</v>
      </c>
      <c r="E35" s="35">
        <v>4</v>
      </c>
      <c r="F35" s="19">
        <f t="shared" si="2"/>
        <v>0.13439999999999999</v>
      </c>
      <c r="G35" s="23">
        <v>27</v>
      </c>
      <c r="H35" s="26">
        <f t="shared" si="3"/>
        <v>3.6287999999999996</v>
      </c>
      <c r="I35" s="21">
        <v>5</v>
      </c>
      <c r="J35" s="205">
        <f t="shared" si="0"/>
        <v>0.67199999999999993</v>
      </c>
      <c r="K35" s="21">
        <v>8</v>
      </c>
      <c r="L35" s="205">
        <f t="shared" si="12"/>
        <v>1.0751999999999999</v>
      </c>
      <c r="M35" s="21">
        <v>8</v>
      </c>
      <c r="N35" s="205">
        <f t="shared" si="13"/>
        <v>1.0751999999999999</v>
      </c>
      <c r="O35" s="21">
        <v>5</v>
      </c>
      <c r="P35" s="205">
        <f t="shared" si="14"/>
        <v>0.67199999999999993</v>
      </c>
      <c r="Q35" s="21">
        <v>1</v>
      </c>
      <c r="R35" s="205">
        <f t="shared" si="15"/>
        <v>0.13439999999999999</v>
      </c>
      <c r="S35" s="39">
        <f t="shared" si="7"/>
        <v>0</v>
      </c>
      <c r="T35" s="38">
        <f t="shared" si="1"/>
        <v>0</v>
      </c>
      <c r="U35" s="21">
        <v>65</v>
      </c>
      <c r="V35" s="13">
        <f t="shared" si="4"/>
        <v>8.7359999999999989</v>
      </c>
      <c r="W35" s="49">
        <f t="shared" si="5"/>
        <v>65</v>
      </c>
      <c r="X35" s="50">
        <f t="shared" si="6"/>
        <v>8.7359999999999989</v>
      </c>
      <c r="Y35" s="238">
        <v>50</v>
      </c>
      <c r="Z35" s="101">
        <v>100</v>
      </c>
    </row>
    <row r="36" spans="1:26" x14ac:dyDescent="0.25">
      <c r="A36" s="264">
        <v>32</v>
      </c>
      <c r="B36" s="256" t="s">
        <v>160</v>
      </c>
      <c r="C36" s="34">
        <v>140</v>
      </c>
      <c r="D36" s="35">
        <v>240</v>
      </c>
      <c r="E36" s="35">
        <v>2</v>
      </c>
      <c r="F36" s="19">
        <f t="shared" si="2"/>
        <v>6.7199999999999996E-2</v>
      </c>
      <c r="G36" s="23">
        <v>0</v>
      </c>
      <c r="H36" s="26">
        <f t="shared" si="3"/>
        <v>0</v>
      </c>
      <c r="I36" s="21">
        <v>42</v>
      </c>
      <c r="J36" s="205">
        <f>F36*I36</f>
        <v>2.8224</v>
      </c>
      <c r="K36" s="21">
        <v>66</v>
      </c>
      <c r="L36" s="205">
        <f t="shared" si="12"/>
        <v>4.4352</v>
      </c>
      <c r="M36" s="21">
        <v>94</v>
      </c>
      <c r="N36" s="205">
        <f t="shared" si="13"/>
        <v>6.3167999999999997</v>
      </c>
      <c r="O36" s="21">
        <v>50</v>
      </c>
      <c r="P36" s="205">
        <f t="shared" si="14"/>
        <v>3.36</v>
      </c>
      <c r="Q36" s="21">
        <v>17</v>
      </c>
      <c r="R36" s="205">
        <f t="shared" si="15"/>
        <v>1.1423999999999999</v>
      </c>
      <c r="S36" s="39">
        <f t="shared" si="7"/>
        <v>-269</v>
      </c>
      <c r="T36" s="38">
        <f t="shared" si="1"/>
        <v>-18.076799999999999</v>
      </c>
      <c r="U36" s="21">
        <v>357</v>
      </c>
      <c r="V36" s="13">
        <f t="shared" si="4"/>
        <v>23.990399999999998</v>
      </c>
      <c r="W36" s="49">
        <f t="shared" si="5"/>
        <v>88</v>
      </c>
      <c r="X36" s="50">
        <f t="shared" si="6"/>
        <v>5.9135999999999997</v>
      </c>
      <c r="Y36" s="238">
        <v>100</v>
      </c>
      <c r="Z36" s="101">
        <v>300</v>
      </c>
    </row>
    <row r="37" spans="1:26" x14ac:dyDescent="0.25">
      <c r="A37" s="264">
        <v>33</v>
      </c>
      <c r="B37" s="256" t="s">
        <v>161</v>
      </c>
      <c r="C37" s="34">
        <v>140</v>
      </c>
      <c r="D37" s="35">
        <v>240</v>
      </c>
      <c r="E37" s="35">
        <v>6</v>
      </c>
      <c r="F37" s="19">
        <f t="shared" si="2"/>
        <v>0.2016</v>
      </c>
      <c r="G37" s="23">
        <v>32</v>
      </c>
      <c r="H37" s="26">
        <f t="shared" si="3"/>
        <v>6.4512</v>
      </c>
      <c r="I37" s="21">
        <v>0</v>
      </c>
      <c r="J37" s="205">
        <f t="shared" si="0"/>
        <v>0</v>
      </c>
      <c r="K37" s="21">
        <v>0</v>
      </c>
      <c r="L37" s="205">
        <f>F37*K37</f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39">
        <f t="shared" si="7"/>
        <v>32</v>
      </c>
      <c r="T37" s="38">
        <f t="shared" si="1"/>
        <v>6.4512</v>
      </c>
      <c r="U37" s="21">
        <v>0</v>
      </c>
      <c r="V37" s="13">
        <f t="shared" si="4"/>
        <v>0</v>
      </c>
      <c r="W37" s="49">
        <f t="shared" si="5"/>
        <v>32</v>
      </c>
      <c r="X37" s="50">
        <f t="shared" si="6"/>
        <v>6.4512</v>
      </c>
      <c r="Y37" s="238">
        <v>10</v>
      </c>
      <c r="Z37" s="101">
        <v>30</v>
      </c>
    </row>
    <row r="38" spans="1:26" x14ac:dyDescent="0.25">
      <c r="A38" s="264">
        <v>34</v>
      </c>
      <c r="B38" s="256" t="s">
        <v>162</v>
      </c>
      <c r="C38" s="34">
        <v>84</v>
      </c>
      <c r="D38" s="35">
        <v>55</v>
      </c>
      <c r="E38" s="35">
        <v>3</v>
      </c>
      <c r="F38" s="19">
        <f t="shared" si="2"/>
        <v>1.3860000000000001E-2</v>
      </c>
      <c r="G38" s="23">
        <v>0</v>
      </c>
      <c r="H38" s="26">
        <f t="shared" si="3"/>
        <v>0</v>
      </c>
      <c r="I38" s="21">
        <v>0</v>
      </c>
      <c r="J38" s="205">
        <f t="shared" si="0"/>
        <v>0</v>
      </c>
      <c r="K38" s="21">
        <v>0</v>
      </c>
      <c r="L38" s="205">
        <f t="shared" si="0"/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39">
        <f t="shared" si="7"/>
        <v>0</v>
      </c>
      <c r="T38" s="38">
        <f t="shared" si="1"/>
        <v>0</v>
      </c>
      <c r="U38" s="21">
        <v>0</v>
      </c>
      <c r="V38" s="13">
        <f t="shared" si="4"/>
        <v>0</v>
      </c>
      <c r="W38" s="49">
        <f t="shared" si="5"/>
        <v>0</v>
      </c>
      <c r="X38" s="50">
        <f t="shared" si="6"/>
        <v>0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163</v>
      </c>
      <c r="C39" s="34">
        <v>90</v>
      </c>
      <c r="D39" s="35">
        <v>90</v>
      </c>
      <c r="E39" s="35">
        <v>3</v>
      </c>
      <c r="F39" s="19">
        <f t="shared" si="2"/>
        <v>2.4299999999999999E-2</v>
      </c>
      <c r="G39" s="23">
        <v>0</v>
      </c>
      <c r="H39" s="26">
        <f t="shared" si="3"/>
        <v>0</v>
      </c>
      <c r="I39" s="21">
        <v>0</v>
      </c>
      <c r="J39" s="205">
        <f t="shared" si="0"/>
        <v>0</v>
      </c>
      <c r="K39" s="21">
        <v>0</v>
      </c>
      <c r="L39" s="205">
        <f t="shared" si="0"/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39">
        <f t="shared" si="7"/>
        <v>0</v>
      </c>
      <c r="T39" s="38">
        <f t="shared" si="1"/>
        <v>0</v>
      </c>
      <c r="U39" s="21">
        <v>0</v>
      </c>
      <c r="V39" s="13">
        <f t="shared" si="4"/>
        <v>0</v>
      </c>
      <c r="W39" s="49">
        <f t="shared" si="5"/>
        <v>0</v>
      </c>
      <c r="X39" s="50">
        <f t="shared" si="6"/>
        <v>0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164</v>
      </c>
      <c r="C40" s="34">
        <v>140</v>
      </c>
      <c r="D40" s="35">
        <v>240</v>
      </c>
      <c r="E40" s="35">
        <v>10</v>
      </c>
      <c r="F40" s="19">
        <f t="shared" si="2"/>
        <v>0.33600000000000002</v>
      </c>
      <c r="G40" s="23">
        <v>0</v>
      </c>
      <c r="H40" s="26">
        <f t="shared" si="3"/>
        <v>0</v>
      </c>
      <c r="I40" s="21">
        <v>0</v>
      </c>
      <c r="J40" s="205">
        <f t="shared" si="0"/>
        <v>0</v>
      </c>
      <c r="K40" s="21">
        <v>0</v>
      </c>
      <c r="L40" s="205">
        <f>F40*K40</f>
        <v>0</v>
      </c>
      <c r="M40" s="21">
        <v>0</v>
      </c>
      <c r="N40" s="205">
        <f>F40*M40</f>
        <v>0</v>
      </c>
      <c r="O40" s="21">
        <v>0</v>
      </c>
      <c r="P40" s="205">
        <f>F40*O40</f>
        <v>0</v>
      </c>
      <c r="Q40" s="21">
        <v>0</v>
      </c>
      <c r="R40" s="205">
        <f>F40*Q40</f>
        <v>0</v>
      </c>
      <c r="S40" s="39">
        <f t="shared" si="7"/>
        <v>0</v>
      </c>
      <c r="T40" s="38">
        <f t="shared" si="1"/>
        <v>0</v>
      </c>
      <c r="U40" s="21">
        <v>0</v>
      </c>
      <c r="V40" s="13">
        <f t="shared" si="4"/>
        <v>0</v>
      </c>
      <c r="W40" s="49">
        <f t="shared" si="5"/>
        <v>0</v>
      </c>
      <c r="X40" s="50">
        <f t="shared" si="6"/>
        <v>0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165</v>
      </c>
      <c r="C41" s="34">
        <v>140</v>
      </c>
      <c r="D41" s="35">
        <v>240</v>
      </c>
      <c r="E41" s="35">
        <v>10</v>
      </c>
      <c r="F41" s="19">
        <f t="shared" si="2"/>
        <v>0.33600000000000002</v>
      </c>
      <c r="G41" s="23">
        <v>25</v>
      </c>
      <c r="H41" s="26">
        <f t="shared" si="3"/>
        <v>8.4</v>
      </c>
      <c r="I41" s="21">
        <v>0</v>
      </c>
      <c r="J41" s="205">
        <f>F41*I41</f>
        <v>0</v>
      </c>
      <c r="K41" s="21">
        <v>4</v>
      </c>
      <c r="L41" s="205">
        <f>F41*K41</f>
        <v>1.3440000000000001</v>
      </c>
      <c r="M41" s="21">
        <v>6</v>
      </c>
      <c r="N41" s="205">
        <f>F41*M41</f>
        <v>2.016</v>
      </c>
      <c r="O41" s="21">
        <v>1</v>
      </c>
      <c r="P41" s="205">
        <f>F41*O41</f>
        <v>0.33600000000000002</v>
      </c>
      <c r="Q41" s="21">
        <v>6</v>
      </c>
      <c r="R41" s="205">
        <f>F41*Q41</f>
        <v>2.016</v>
      </c>
      <c r="S41" s="39">
        <f t="shared" si="7"/>
        <v>8</v>
      </c>
      <c r="T41" s="38">
        <f t="shared" si="1"/>
        <v>2.6880000000000002</v>
      </c>
      <c r="U41" s="21">
        <v>100</v>
      </c>
      <c r="V41" s="13">
        <f t="shared" si="4"/>
        <v>33.6</v>
      </c>
      <c r="W41" s="49">
        <f t="shared" si="5"/>
        <v>108</v>
      </c>
      <c r="X41" s="50">
        <f t="shared" si="6"/>
        <v>36.288000000000004</v>
      </c>
      <c r="Y41" s="238">
        <v>50</v>
      </c>
      <c r="Z41" s="101">
        <v>100</v>
      </c>
    </row>
    <row r="42" spans="1:26" x14ac:dyDescent="0.25">
      <c r="A42" s="264">
        <v>38</v>
      </c>
      <c r="B42" s="256" t="s">
        <v>166</v>
      </c>
      <c r="C42" s="34">
        <v>92</v>
      </c>
      <c r="D42" s="35">
        <v>82</v>
      </c>
      <c r="E42" s="35">
        <v>2</v>
      </c>
      <c r="F42" s="19">
        <f t="shared" si="2"/>
        <v>1.5088000000000001E-2</v>
      </c>
      <c r="G42" s="23">
        <v>768</v>
      </c>
      <c r="H42" s="26">
        <f t="shared" si="3"/>
        <v>11.587584</v>
      </c>
      <c r="I42" s="21">
        <v>136</v>
      </c>
      <c r="J42" s="205">
        <f t="shared" si="0"/>
        <v>2.051968</v>
      </c>
      <c r="K42" s="21">
        <v>12</v>
      </c>
      <c r="L42" s="205">
        <f>F42*K42</f>
        <v>0.18105599999999999</v>
      </c>
      <c r="M42" s="21">
        <v>0</v>
      </c>
      <c r="N42" s="205">
        <f>F42*M42</f>
        <v>0</v>
      </c>
      <c r="O42" s="21">
        <v>24</v>
      </c>
      <c r="P42" s="205">
        <f>F42*O42</f>
        <v>0.36211199999999999</v>
      </c>
      <c r="Q42" s="21">
        <v>186</v>
      </c>
      <c r="R42" s="205">
        <f>F42*Q42</f>
        <v>2.806368</v>
      </c>
      <c r="S42" s="39">
        <f t="shared" si="7"/>
        <v>410</v>
      </c>
      <c r="T42" s="38">
        <f t="shared" si="1"/>
        <v>6.1860800000000005</v>
      </c>
      <c r="U42" s="21">
        <v>0</v>
      </c>
      <c r="V42" s="13">
        <f t="shared" si="4"/>
        <v>0</v>
      </c>
      <c r="W42" s="49">
        <f t="shared" si="5"/>
        <v>410</v>
      </c>
      <c r="X42" s="50">
        <f t="shared" si="6"/>
        <v>6.1860800000000005</v>
      </c>
      <c r="Y42" s="238">
        <v>100</v>
      </c>
      <c r="Z42" s="101">
        <v>300</v>
      </c>
    </row>
    <row r="43" spans="1:26" x14ac:dyDescent="0.25">
      <c r="A43" s="264">
        <v>39</v>
      </c>
      <c r="B43" s="256" t="s">
        <v>167</v>
      </c>
      <c r="C43" s="34">
        <v>75</v>
      </c>
      <c r="D43" s="35">
        <v>55</v>
      </c>
      <c r="E43" s="35">
        <v>3</v>
      </c>
      <c r="F43" s="19">
        <f t="shared" si="2"/>
        <v>1.2375000000000001E-2</v>
      </c>
      <c r="G43" s="23">
        <v>0</v>
      </c>
      <c r="H43" s="26">
        <f t="shared" si="3"/>
        <v>0</v>
      </c>
      <c r="I43" s="21">
        <v>0</v>
      </c>
      <c r="J43" s="205">
        <f t="shared" si="0"/>
        <v>0</v>
      </c>
      <c r="K43" s="21">
        <v>0</v>
      </c>
      <c r="L43" s="205">
        <f t="shared" si="0"/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39">
        <f t="shared" si="7"/>
        <v>0</v>
      </c>
      <c r="T43" s="38">
        <f t="shared" si="1"/>
        <v>0</v>
      </c>
      <c r="U43" s="21">
        <v>0</v>
      </c>
      <c r="V43" s="13">
        <f t="shared" si="4"/>
        <v>0</v>
      </c>
      <c r="W43" s="49">
        <f t="shared" si="5"/>
        <v>0</v>
      </c>
      <c r="X43" s="50">
        <f t="shared" si="6"/>
        <v>0</v>
      </c>
      <c r="Y43" s="238">
        <v>0</v>
      </c>
      <c r="Z43" s="101">
        <v>0</v>
      </c>
    </row>
    <row r="44" spans="1:26" x14ac:dyDescent="0.25">
      <c r="A44" s="264">
        <v>40</v>
      </c>
      <c r="B44" s="256" t="s">
        <v>168</v>
      </c>
      <c r="C44" s="34">
        <v>140</v>
      </c>
      <c r="D44" s="35">
        <v>240</v>
      </c>
      <c r="E44" s="35">
        <v>3</v>
      </c>
      <c r="F44" s="19">
        <f t="shared" si="2"/>
        <v>0.1008</v>
      </c>
      <c r="G44" s="23">
        <v>0</v>
      </c>
      <c r="H44" s="26">
        <f t="shared" si="3"/>
        <v>0</v>
      </c>
      <c r="I44" s="21">
        <v>0</v>
      </c>
      <c r="J44" s="205">
        <f t="shared" si="0"/>
        <v>0</v>
      </c>
      <c r="K44" s="21">
        <v>0</v>
      </c>
      <c r="L44" s="205">
        <f t="shared" ref="L44:L52" si="16">F44*K44</f>
        <v>0</v>
      </c>
      <c r="M44" s="21">
        <v>0</v>
      </c>
      <c r="N44" s="205">
        <f t="shared" ref="N44:N52" si="17">F44*M44</f>
        <v>0</v>
      </c>
      <c r="O44" s="21">
        <v>0</v>
      </c>
      <c r="P44" s="205">
        <f t="shared" ref="P44:P52" si="18">F44*O44</f>
        <v>0</v>
      </c>
      <c r="Q44" s="21">
        <v>0</v>
      </c>
      <c r="R44" s="205">
        <f t="shared" ref="R44:R52" si="19">F44*Q44</f>
        <v>0</v>
      </c>
      <c r="S44" s="39">
        <f t="shared" si="7"/>
        <v>0</v>
      </c>
      <c r="T44" s="38">
        <f t="shared" si="1"/>
        <v>0</v>
      </c>
      <c r="U44" s="21">
        <v>0</v>
      </c>
      <c r="V44" s="13">
        <f t="shared" si="4"/>
        <v>0</v>
      </c>
      <c r="W44" s="49">
        <f t="shared" si="5"/>
        <v>0</v>
      </c>
      <c r="X44" s="50">
        <f t="shared" si="6"/>
        <v>0</v>
      </c>
      <c r="Y44" s="238">
        <v>0</v>
      </c>
      <c r="Z44" s="101">
        <v>0</v>
      </c>
    </row>
    <row r="45" spans="1:26" x14ac:dyDescent="0.25">
      <c r="A45" s="264">
        <v>41</v>
      </c>
      <c r="B45" s="256" t="s">
        <v>169</v>
      </c>
      <c r="C45" s="34">
        <v>82</v>
      </c>
      <c r="D45" s="34">
        <v>80</v>
      </c>
      <c r="E45" s="34">
        <v>2</v>
      </c>
      <c r="F45" s="19">
        <f t="shared" si="2"/>
        <v>1.312E-2</v>
      </c>
      <c r="G45" s="34">
        <v>817</v>
      </c>
      <c r="H45" s="26">
        <f t="shared" si="3"/>
        <v>10.71904</v>
      </c>
      <c r="I45" s="21">
        <v>110</v>
      </c>
      <c r="J45" s="205">
        <f t="shared" si="0"/>
        <v>1.4432</v>
      </c>
      <c r="K45" s="21">
        <v>0</v>
      </c>
      <c r="L45" s="205">
        <f t="shared" si="16"/>
        <v>0</v>
      </c>
      <c r="M45" s="21">
        <v>77</v>
      </c>
      <c r="N45" s="205">
        <f t="shared" si="17"/>
        <v>1.01024</v>
      </c>
      <c r="O45" s="21">
        <v>93</v>
      </c>
      <c r="P45" s="205">
        <f t="shared" si="18"/>
        <v>1.2201599999999999</v>
      </c>
      <c r="Q45" s="21">
        <v>235</v>
      </c>
      <c r="R45" s="205">
        <f t="shared" si="19"/>
        <v>3.0831999999999997</v>
      </c>
      <c r="S45" s="39">
        <f t="shared" si="7"/>
        <v>302</v>
      </c>
      <c r="T45" s="38">
        <f t="shared" si="1"/>
        <v>3.96224</v>
      </c>
      <c r="U45" s="21">
        <v>0</v>
      </c>
      <c r="V45" s="13">
        <f t="shared" si="4"/>
        <v>0</v>
      </c>
      <c r="W45" s="49">
        <f t="shared" si="5"/>
        <v>302</v>
      </c>
      <c r="X45" s="50">
        <f t="shared" si="6"/>
        <v>3.96224</v>
      </c>
      <c r="Y45" s="238">
        <v>100</v>
      </c>
      <c r="Z45" s="101">
        <v>300</v>
      </c>
    </row>
    <row r="46" spans="1:26" x14ac:dyDescent="0.25">
      <c r="A46" s="264">
        <v>42</v>
      </c>
      <c r="B46" s="256" t="s">
        <v>170</v>
      </c>
      <c r="C46" s="34">
        <v>90</v>
      </c>
      <c r="D46" s="34">
        <v>83</v>
      </c>
      <c r="E46" s="34">
        <v>2</v>
      </c>
      <c r="F46" s="19">
        <f t="shared" si="2"/>
        <v>1.494E-2</v>
      </c>
      <c r="G46" s="34">
        <v>780</v>
      </c>
      <c r="H46" s="26">
        <f t="shared" si="3"/>
        <v>11.6532</v>
      </c>
      <c r="I46" s="21">
        <v>0</v>
      </c>
      <c r="J46" s="205">
        <f t="shared" si="0"/>
        <v>0</v>
      </c>
      <c r="K46" s="21">
        <v>0</v>
      </c>
      <c r="L46" s="205">
        <f t="shared" si="16"/>
        <v>0</v>
      </c>
      <c r="M46" s="21">
        <v>45</v>
      </c>
      <c r="N46" s="205">
        <f t="shared" si="17"/>
        <v>0.67230000000000001</v>
      </c>
      <c r="O46" s="21">
        <v>10</v>
      </c>
      <c r="P46" s="205">
        <f t="shared" si="18"/>
        <v>0.14940000000000001</v>
      </c>
      <c r="Q46" s="21">
        <v>25</v>
      </c>
      <c r="R46" s="205">
        <f t="shared" si="19"/>
        <v>0.3735</v>
      </c>
      <c r="S46" s="39">
        <f t="shared" si="7"/>
        <v>700</v>
      </c>
      <c r="T46" s="38">
        <f t="shared" si="1"/>
        <v>10.458</v>
      </c>
      <c r="U46" s="21">
        <v>0</v>
      </c>
      <c r="V46" s="13">
        <f t="shared" si="4"/>
        <v>0</v>
      </c>
      <c r="W46" s="49">
        <f t="shared" si="5"/>
        <v>700</v>
      </c>
      <c r="X46" s="50">
        <f t="shared" si="6"/>
        <v>10.458</v>
      </c>
      <c r="Y46" s="238">
        <v>100</v>
      </c>
      <c r="Z46" s="101">
        <v>300</v>
      </c>
    </row>
    <row r="47" spans="1:26" x14ac:dyDescent="0.25">
      <c r="A47" s="264">
        <v>43</v>
      </c>
      <c r="B47" s="256" t="s">
        <v>171</v>
      </c>
      <c r="C47" s="34">
        <v>105</v>
      </c>
      <c r="D47" s="34">
        <v>55</v>
      </c>
      <c r="E47" s="34">
        <v>3</v>
      </c>
      <c r="F47" s="19">
        <f t="shared" si="2"/>
        <v>1.7325E-2</v>
      </c>
      <c r="G47" s="34">
        <v>0</v>
      </c>
      <c r="H47" s="26">
        <f t="shared" si="3"/>
        <v>0</v>
      </c>
      <c r="I47" s="21">
        <v>0</v>
      </c>
      <c r="J47" s="205">
        <f t="shared" si="0"/>
        <v>0</v>
      </c>
      <c r="K47" s="21">
        <v>0</v>
      </c>
      <c r="L47" s="205">
        <f t="shared" si="16"/>
        <v>0</v>
      </c>
      <c r="M47" s="21">
        <v>0</v>
      </c>
      <c r="N47" s="205">
        <f t="shared" si="17"/>
        <v>0</v>
      </c>
      <c r="O47" s="21">
        <v>0</v>
      </c>
      <c r="P47" s="205">
        <f t="shared" si="18"/>
        <v>0</v>
      </c>
      <c r="Q47" s="21">
        <v>0</v>
      </c>
      <c r="R47" s="205">
        <f t="shared" si="19"/>
        <v>0</v>
      </c>
      <c r="S47" s="39">
        <f t="shared" si="7"/>
        <v>0</v>
      </c>
      <c r="T47" s="38">
        <f t="shared" si="1"/>
        <v>0</v>
      </c>
      <c r="U47" s="21">
        <v>0</v>
      </c>
      <c r="V47" s="13">
        <f t="shared" si="4"/>
        <v>0</v>
      </c>
      <c r="W47" s="49">
        <f t="shared" si="5"/>
        <v>0</v>
      </c>
      <c r="X47" s="50">
        <f t="shared" si="6"/>
        <v>0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173</v>
      </c>
      <c r="C48" s="34">
        <v>140</v>
      </c>
      <c r="D48" s="34">
        <v>240</v>
      </c>
      <c r="E48" s="34">
        <v>4</v>
      </c>
      <c r="F48" s="19">
        <f t="shared" si="2"/>
        <v>0.13439999999999999</v>
      </c>
      <c r="G48" s="34">
        <v>0</v>
      </c>
      <c r="H48" s="26">
        <f t="shared" si="3"/>
        <v>0</v>
      </c>
      <c r="I48" s="21">
        <v>0</v>
      </c>
      <c r="J48" s="205">
        <f t="shared" si="0"/>
        <v>0</v>
      </c>
      <c r="K48" s="21">
        <v>0</v>
      </c>
      <c r="L48" s="205">
        <f t="shared" si="16"/>
        <v>0</v>
      </c>
      <c r="M48" s="21">
        <v>0</v>
      </c>
      <c r="N48" s="205">
        <f t="shared" si="17"/>
        <v>0</v>
      </c>
      <c r="O48" s="21">
        <v>0</v>
      </c>
      <c r="P48" s="205">
        <f t="shared" si="18"/>
        <v>0</v>
      </c>
      <c r="Q48" s="21">
        <v>0</v>
      </c>
      <c r="R48" s="205">
        <f t="shared" si="19"/>
        <v>0</v>
      </c>
      <c r="S48" s="39">
        <f t="shared" si="7"/>
        <v>0</v>
      </c>
      <c r="T48" s="38">
        <f t="shared" si="1"/>
        <v>0</v>
      </c>
      <c r="U48" s="21">
        <v>0</v>
      </c>
      <c r="V48" s="13">
        <f t="shared" si="4"/>
        <v>0</v>
      </c>
      <c r="W48" s="49">
        <f t="shared" si="5"/>
        <v>0</v>
      </c>
      <c r="X48" s="50">
        <f t="shared" si="6"/>
        <v>0</v>
      </c>
      <c r="Y48" s="238">
        <v>0</v>
      </c>
      <c r="Z48" s="101">
        <v>0</v>
      </c>
    </row>
    <row r="49" spans="1:26" x14ac:dyDescent="0.25">
      <c r="A49" s="264">
        <v>45</v>
      </c>
      <c r="B49" s="256" t="s">
        <v>174</v>
      </c>
      <c r="C49" s="34">
        <v>140</v>
      </c>
      <c r="D49" s="34">
        <v>240</v>
      </c>
      <c r="E49" s="34">
        <v>14</v>
      </c>
      <c r="F49" s="19">
        <f t="shared" si="2"/>
        <v>0.47039999999999998</v>
      </c>
      <c r="G49" s="34">
        <v>9</v>
      </c>
      <c r="H49" s="26">
        <f t="shared" si="3"/>
        <v>4.2336</v>
      </c>
      <c r="I49" s="21">
        <v>0</v>
      </c>
      <c r="J49" s="205">
        <f t="shared" si="0"/>
        <v>0</v>
      </c>
      <c r="K49" s="21">
        <v>2</v>
      </c>
      <c r="L49" s="205">
        <f t="shared" si="16"/>
        <v>0.94079999999999997</v>
      </c>
      <c r="M49" s="21">
        <v>0</v>
      </c>
      <c r="N49" s="205">
        <f t="shared" si="17"/>
        <v>0</v>
      </c>
      <c r="O49" s="21">
        <v>0</v>
      </c>
      <c r="P49" s="205">
        <f t="shared" si="18"/>
        <v>0</v>
      </c>
      <c r="Q49" s="21">
        <v>0</v>
      </c>
      <c r="R49" s="205">
        <f t="shared" si="19"/>
        <v>0</v>
      </c>
      <c r="S49" s="39">
        <f t="shared" si="7"/>
        <v>7</v>
      </c>
      <c r="T49" s="38">
        <f t="shared" si="1"/>
        <v>3.2927999999999997</v>
      </c>
      <c r="U49" s="21">
        <v>0</v>
      </c>
      <c r="V49" s="13">
        <f t="shared" si="4"/>
        <v>0</v>
      </c>
      <c r="W49" s="49">
        <f t="shared" si="5"/>
        <v>7</v>
      </c>
      <c r="X49" s="50">
        <f t="shared" si="6"/>
        <v>3.2927999999999997</v>
      </c>
      <c r="Y49" s="238">
        <v>10</v>
      </c>
      <c r="Z49" s="101">
        <v>20</v>
      </c>
    </row>
    <row r="50" spans="1:26" x14ac:dyDescent="0.25">
      <c r="A50" s="264">
        <v>46</v>
      </c>
      <c r="B50" s="256" t="s">
        <v>175</v>
      </c>
      <c r="C50" s="34">
        <v>140</v>
      </c>
      <c r="D50" s="34">
        <v>240</v>
      </c>
      <c r="E50" s="34">
        <v>12</v>
      </c>
      <c r="F50" s="19">
        <f t="shared" si="2"/>
        <v>0.4032</v>
      </c>
      <c r="G50" s="34">
        <v>13</v>
      </c>
      <c r="H50" s="26">
        <f t="shared" si="3"/>
        <v>5.2416</v>
      </c>
      <c r="I50" s="21">
        <v>0</v>
      </c>
      <c r="J50" s="205">
        <f t="shared" si="0"/>
        <v>0</v>
      </c>
      <c r="K50" s="21">
        <v>2</v>
      </c>
      <c r="L50" s="205">
        <f t="shared" si="16"/>
        <v>0.80640000000000001</v>
      </c>
      <c r="M50" s="21">
        <v>1</v>
      </c>
      <c r="N50" s="205">
        <f t="shared" si="17"/>
        <v>0.4032</v>
      </c>
      <c r="O50" s="21">
        <v>0</v>
      </c>
      <c r="P50" s="205">
        <f t="shared" si="18"/>
        <v>0</v>
      </c>
      <c r="Q50" s="21">
        <v>0</v>
      </c>
      <c r="R50" s="205">
        <f t="shared" si="19"/>
        <v>0</v>
      </c>
      <c r="S50" s="39">
        <f t="shared" si="7"/>
        <v>10</v>
      </c>
      <c r="T50" s="38">
        <f t="shared" si="1"/>
        <v>4.032</v>
      </c>
      <c r="U50" s="21">
        <v>0</v>
      </c>
      <c r="V50" s="13">
        <f t="shared" si="4"/>
        <v>0</v>
      </c>
      <c r="W50" s="49">
        <f t="shared" si="5"/>
        <v>10</v>
      </c>
      <c r="X50" s="50">
        <f t="shared" si="6"/>
        <v>4.032</v>
      </c>
      <c r="Y50" s="238">
        <v>10</v>
      </c>
      <c r="Z50" s="101">
        <v>20</v>
      </c>
    </row>
    <row r="51" spans="1:26" x14ac:dyDescent="0.25">
      <c r="A51" s="264">
        <v>47</v>
      </c>
      <c r="B51" s="256" t="s">
        <v>176</v>
      </c>
      <c r="C51" s="34">
        <v>130</v>
      </c>
      <c r="D51" s="34">
        <v>60</v>
      </c>
      <c r="E51" s="34">
        <v>5</v>
      </c>
      <c r="F51" s="19">
        <f t="shared" si="2"/>
        <v>3.9E-2</v>
      </c>
      <c r="G51" s="34">
        <v>192</v>
      </c>
      <c r="H51" s="26">
        <f t="shared" si="3"/>
        <v>7.4879999999999995</v>
      </c>
      <c r="I51" s="21">
        <v>24</v>
      </c>
      <c r="J51" s="205">
        <f t="shared" si="0"/>
        <v>0.93599999999999994</v>
      </c>
      <c r="K51" s="21">
        <v>0</v>
      </c>
      <c r="L51" s="205">
        <f t="shared" si="16"/>
        <v>0</v>
      </c>
      <c r="M51" s="21">
        <v>6</v>
      </c>
      <c r="N51" s="205">
        <f t="shared" si="17"/>
        <v>0.23399999999999999</v>
      </c>
      <c r="O51" s="21">
        <v>0</v>
      </c>
      <c r="P51" s="205">
        <f t="shared" si="18"/>
        <v>0</v>
      </c>
      <c r="Q51" s="21">
        <v>0</v>
      </c>
      <c r="R51" s="205">
        <f t="shared" si="19"/>
        <v>0</v>
      </c>
      <c r="S51" s="39">
        <f t="shared" si="7"/>
        <v>162</v>
      </c>
      <c r="T51" s="38">
        <f t="shared" si="1"/>
        <v>6.3179999999999996</v>
      </c>
      <c r="U51" s="21">
        <v>0</v>
      </c>
      <c r="V51" s="13">
        <f t="shared" si="4"/>
        <v>0</v>
      </c>
      <c r="W51" s="49">
        <f t="shared" si="5"/>
        <v>162</v>
      </c>
      <c r="X51" s="50">
        <f t="shared" si="6"/>
        <v>6.3179999999999996</v>
      </c>
      <c r="Y51" s="238">
        <v>30</v>
      </c>
      <c r="Z51" s="101">
        <v>100</v>
      </c>
    </row>
    <row r="52" spans="1:26" x14ac:dyDescent="0.25">
      <c r="A52" s="264">
        <v>48</v>
      </c>
      <c r="B52" s="256" t="s">
        <v>178</v>
      </c>
      <c r="C52" s="34">
        <v>140</v>
      </c>
      <c r="D52" s="34">
        <v>240</v>
      </c>
      <c r="E52" s="34">
        <v>3</v>
      </c>
      <c r="F52" s="19">
        <f t="shared" si="2"/>
        <v>0.1008</v>
      </c>
      <c r="G52" s="34">
        <v>1400</v>
      </c>
      <c r="H52" s="26">
        <f t="shared" si="3"/>
        <v>141.12</v>
      </c>
      <c r="I52" s="21">
        <v>2</v>
      </c>
      <c r="J52" s="205">
        <f t="shared" si="0"/>
        <v>0.2016</v>
      </c>
      <c r="K52" s="21">
        <v>15</v>
      </c>
      <c r="L52" s="205">
        <f t="shared" si="16"/>
        <v>1.512</v>
      </c>
      <c r="M52" s="21">
        <v>9</v>
      </c>
      <c r="N52" s="205">
        <f t="shared" si="17"/>
        <v>0.90720000000000001</v>
      </c>
      <c r="O52" s="21">
        <v>0</v>
      </c>
      <c r="P52" s="205">
        <f t="shared" si="18"/>
        <v>0</v>
      </c>
      <c r="Q52" s="21">
        <v>9</v>
      </c>
      <c r="R52" s="205">
        <f t="shared" si="19"/>
        <v>0.90720000000000001</v>
      </c>
      <c r="S52" s="39">
        <f t="shared" si="7"/>
        <v>1365</v>
      </c>
      <c r="T52" s="38">
        <f t="shared" si="1"/>
        <v>137.59200000000001</v>
      </c>
      <c r="U52" s="21">
        <v>0</v>
      </c>
      <c r="V52" s="13">
        <f t="shared" si="4"/>
        <v>0</v>
      </c>
      <c r="W52" s="49">
        <f t="shared" si="5"/>
        <v>1365</v>
      </c>
      <c r="X52" s="50">
        <f t="shared" si="6"/>
        <v>137.59200000000001</v>
      </c>
      <c r="Y52" s="238">
        <v>100</v>
      </c>
      <c r="Z52" s="101">
        <v>300</v>
      </c>
    </row>
    <row r="53" spans="1:26" x14ac:dyDescent="0.25">
      <c r="A53" s="264">
        <v>49</v>
      </c>
      <c r="B53" s="256" t="s">
        <v>87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26">
        <f t="shared" si="3"/>
        <v>0</v>
      </c>
      <c r="I53" s="21">
        <v>0</v>
      </c>
      <c r="J53" s="205">
        <f t="shared" si="0"/>
        <v>0</v>
      </c>
      <c r="K53" s="21">
        <v>0</v>
      </c>
      <c r="L53" s="205">
        <f t="shared" si="0"/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39">
        <f t="shared" si="7"/>
        <v>0</v>
      </c>
      <c r="T53" s="38">
        <f t="shared" si="1"/>
        <v>0</v>
      </c>
      <c r="U53" s="21">
        <v>0</v>
      </c>
      <c r="V53" s="13">
        <f t="shared" si="4"/>
        <v>0</v>
      </c>
      <c r="W53" s="49">
        <f t="shared" si="5"/>
        <v>0</v>
      </c>
      <c r="X53" s="50">
        <f t="shared" si="6"/>
        <v>0</v>
      </c>
      <c r="Y53" s="238">
        <v>0</v>
      </c>
      <c r="Z53" s="101">
        <v>0</v>
      </c>
    </row>
    <row r="54" spans="1:26" x14ac:dyDescent="0.25">
      <c r="A54" s="264">
        <v>50</v>
      </c>
      <c r="B54" s="256" t="s">
        <v>87</v>
      </c>
      <c r="C54" s="34">
        <v>0</v>
      </c>
      <c r="D54" s="34">
        <v>0</v>
      </c>
      <c r="E54" s="34">
        <v>0</v>
      </c>
      <c r="F54" s="34">
        <v>0</v>
      </c>
      <c r="G54" s="34">
        <v>0</v>
      </c>
      <c r="H54" s="26">
        <f t="shared" si="3"/>
        <v>0</v>
      </c>
      <c r="I54" s="21">
        <v>0</v>
      </c>
      <c r="J54" s="205">
        <f t="shared" si="0"/>
        <v>0</v>
      </c>
      <c r="K54" s="21">
        <v>0</v>
      </c>
      <c r="L54" s="205">
        <f t="shared" si="0"/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39">
        <f t="shared" si="7"/>
        <v>0</v>
      </c>
      <c r="T54" s="38">
        <f t="shared" si="1"/>
        <v>0</v>
      </c>
      <c r="U54" s="21">
        <v>0</v>
      </c>
      <c r="V54" s="13">
        <f t="shared" si="4"/>
        <v>0</v>
      </c>
      <c r="W54" s="49">
        <f t="shared" si="5"/>
        <v>0</v>
      </c>
      <c r="X54" s="50">
        <f t="shared" si="6"/>
        <v>0</v>
      </c>
      <c r="Y54" s="238">
        <v>0</v>
      </c>
      <c r="Z54" s="101">
        <v>0</v>
      </c>
    </row>
    <row r="55" spans="1:26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6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6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6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6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6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6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6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6" x14ac:dyDescent="0.2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6" x14ac:dyDescent="0.2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</sheetData>
  <mergeCells count="24">
    <mergeCell ref="S4:T4"/>
    <mergeCell ref="U4:V4"/>
    <mergeCell ref="W4:X4"/>
    <mergeCell ref="G4:H4"/>
    <mergeCell ref="I4:J4"/>
    <mergeCell ref="K4:L4"/>
    <mergeCell ref="M4:N4"/>
    <mergeCell ref="O4:P4"/>
    <mergeCell ref="Q4:R4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C1:H1"/>
    <mergeCell ref="G2:H3"/>
    <mergeCell ref="I2:J2"/>
    <mergeCell ref="K2:L2"/>
    <mergeCell ref="M2:N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Z78"/>
  <sheetViews>
    <sheetView topLeftCell="B24" workbookViewId="0">
      <selection activeCell="P30" sqref="P30"/>
    </sheetView>
  </sheetViews>
  <sheetFormatPr defaultRowHeight="15" x14ac:dyDescent="0.25"/>
  <cols>
    <col min="1" max="1" width="6.42578125" customWidth="1"/>
    <col min="2" max="2" width="29.42578125" style="3" customWidth="1"/>
    <col min="3" max="3" width="10.28515625" style="2" hidden="1" customWidth="1"/>
    <col min="4" max="4" width="12.140625" style="2" hidden="1" customWidth="1"/>
    <col min="5" max="5" width="0.140625" style="2" customWidth="1"/>
    <col min="6" max="6" width="8.42578125" style="4" hidden="1" customWidth="1"/>
    <col min="7" max="7" width="8.7109375" style="5" customWidth="1"/>
    <col min="8" max="8" width="9" style="5" customWidth="1"/>
    <col min="9" max="18" width="8.140625" style="2" customWidth="1"/>
    <col min="19" max="19" width="0.140625" style="2" customWidth="1"/>
    <col min="20" max="20" width="8.140625" style="2" hidden="1" customWidth="1"/>
    <col min="21" max="21" width="9.42578125" customWidth="1"/>
    <col min="22" max="22" width="11.7109375" customWidth="1"/>
    <col min="25" max="25" width="10.28515625" customWidth="1"/>
  </cols>
  <sheetData>
    <row r="1" spans="1:26" ht="15.75" thickBot="1" x14ac:dyDescent="0.3">
      <c r="B1" s="4" t="s">
        <v>18</v>
      </c>
      <c r="C1" s="384">
        <v>45323</v>
      </c>
      <c r="D1" s="320"/>
      <c r="E1" s="320"/>
      <c r="F1" s="320"/>
      <c r="G1" s="320"/>
      <c r="H1" s="320"/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45331</v>
      </c>
      <c r="J2" s="326"/>
      <c r="K2" s="327">
        <v>45341</v>
      </c>
      <c r="L2" s="328"/>
      <c r="M2" s="325">
        <v>45345</v>
      </c>
      <c r="N2" s="329"/>
      <c r="O2" s="327">
        <v>45351</v>
      </c>
      <c r="P2" s="346"/>
      <c r="Q2" s="325">
        <v>0</v>
      </c>
      <c r="R2" s="329"/>
      <c r="S2" s="330" t="s">
        <v>69</v>
      </c>
      <c r="T2" s="331"/>
      <c r="U2" s="334" t="s">
        <v>70</v>
      </c>
      <c r="V2" s="335"/>
      <c r="W2" s="338" t="s">
        <v>71</v>
      </c>
      <c r="X2" s="339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40"/>
      <c r="X3" s="341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51" t="s">
        <v>63</v>
      </c>
      <c r="X4" s="352"/>
      <c r="Y4" s="268" t="s">
        <v>179</v>
      </c>
      <c r="Z4" s="269" t="s">
        <v>99</v>
      </c>
    </row>
    <row r="5" spans="1:26" x14ac:dyDescent="0.25">
      <c r="A5" s="263">
        <v>1</v>
      </c>
      <c r="B5" s="256" t="s">
        <v>180</v>
      </c>
      <c r="C5" s="32">
        <v>70</v>
      </c>
      <c r="D5" s="33">
        <v>64</v>
      </c>
      <c r="E5" s="33">
        <v>8</v>
      </c>
      <c r="F5" s="15">
        <f>(C5*D5*E5)/1000000</f>
        <v>3.5839999999999997E-2</v>
      </c>
      <c r="G5" s="23">
        <v>336</v>
      </c>
      <c r="H5" s="24">
        <f>F5*G5</f>
        <v>12.04224</v>
      </c>
      <c r="I5" s="21">
        <v>1</v>
      </c>
      <c r="J5" s="205">
        <f t="shared" ref="J5:R54" si="0">F5*I5</f>
        <v>3.5839999999999997E-2</v>
      </c>
      <c r="K5" s="21">
        <v>43</v>
      </c>
      <c r="L5" s="205">
        <f>F5*K5</f>
        <v>1.5411199999999998</v>
      </c>
      <c r="M5" s="21">
        <v>17</v>
      </c>
      <c r="N5" s="205">
        <f>F5*M5</f>
        <v>0.60927999999999993</v>
      </c>
      <c r="O5" s="21">
        <v>0</v>
      </c>
      <c r="P5" s="205">
        <f>F5*O5</f>
        <v>0</v>
      </c>
      <c r="Q5" s="21">
        <v>0</v>
      </c>
      <c r="R5" s="205">
        <f>F5*Q5</f>
        <v>0</v>
      </c>
      <c r="S5" s="39">
        <f>G5-I5-K5-M5-O5-Q5</f>
        <v>275</v>
      </c>
      <c r="T5" s="38">
        <f t="shared" ref="T5:T54" si="1">F5*S5</f>
        <v>9.8559999999999999</v>
      </c>
      <c r="U5" s="21">
        <v>468</v>
      </c>
      <c r="V5" s="13">
        <f>F5*U5</f>
        <v>16.773119999999999</v>
      </c>
      <c r="W5" s="49">
        <f>S5+U5</f>
        <v>743</v>
      </c>
      <c r="X5" s="50">
        <f>F5*W5</f>
        <v>26.629119999999997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135</v>
      </c>
      <c r="C6" s="34">
        <v>70</v>
      </c>
      <c r="D6" s="35">
        <v>80</v>
      </c>
      <c r="E6" s="35">
        <v>8</v>
      </c>
      <c r="F6" s="19">
        <f t="shared" ref="F6:F52" si="2">(C6*D6*E6)/1000000</f>
        <v>4.48E-2</v>
      </c>
      <c r="G6" s="23">
        <v>410</v>
      </c>
      <c r="H6" s="26">
        <f t="shared" ref="H6:H54" si="3">F6*G6</f>
        <v>18.367999999999999</v>
      </c>
      <c r="I6" s="21">
        <v>7</v>
      </c>
      <c r="J6" s="205">
        <f t="shared" si="0"/>
        <v>0.31359999999999999</v>
      </c>
      <c r="K6" s="21">
        <v>60</v>
      </c>
      <c r="L6" s="205">
        <f>F6*K6</f>
        <v>2.6880000000000002</v>
      </c>
      <c r="M6" s="21">
        <v>64</v>
      </c>
      <c r="N6" s="205">
        <f>F6*M6</f>
        <v>2.8672</v>
      </c>
      <c r="O6" s="21">
        <v>0</v>
      </c>
      <c r="P6" s="205">
        <f>F6*O6</f>
        <v>0</v>
      </c>
      <c r="Q6" s="21">
        <v>0</v>
      </c>
      <c r="R6" s="205">
        <f>F6*Q6</f>
        <v>0</v>
      </c>
      <c r="S6" s="39">
        <f>G6-I6-K6-M6-O6-Q6</f>
        <v>279</v>
      </c>
      <c r="T6" s="38">
        <f t="shared" si="1"/>
        <v>12.4992</v>
      </c>
      <c r="U6" s="21">
        <v>504</v>
      </c>
      <c r="V6" s="13">
        <f t="shared" ref="V6:V54" si="4">F6*U6</f>
        <v>22.5792</v>
      </c>
      <c r="W6" s="49">
        <f t="shared" ref="W6:W54" si="5">S6+U6</f>
        <v>783</v>
      </c>
      <c r="X6" s="50">
        <f t="shared" ref="X6:X54" si="6">F6*W6</f>
        <v>35.078400000000002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136</v>
      </c>
      <c r="C7" s="34">
        <v>70</v>
      </c>
      <c r="D7" s="35">
        <v>74</v>
      </c>
      <c r="E7" s="35">
        <v>8</v>
      </c>
      <c r="F7" s="19">
        <f t="shared" si="2"/>
        <v>4.1439999999999998E-2</v>
      </c>
      <c r="G7" s="23">
        <v>361</v>
      </c>
      <c r="H7" s="26">
        <f t="shared" si="3"/>
        <v>14.95984</v>
      </c>
      <c r="I7" s="21">
        <v>10</v>
      </c>
      <c r="J7" s="205">
        <f t="shared" si="0"/>
        <v>0.41439999999999999</v>
      </c>
      <c r="K7" s="21">
        <v>82</v>
      </c>
      <c r="L7" s="205">
        <f>F7*K7</f>
        <v>3.3980799999999998</v>
      </c>
      <c r="M7" s="21">
        <v>68</v>
      </c>
      <c r="N7" s="205">
        <f>F7*M7</f>
        <v>2.81792</v>
      </c>
      <c r="O7" s="21">
        <v>6</v>
      </c>
      <c r="P7" s="205">
        <f>F7*O7</f>
        <v>0.24863999999999997</v>
      </c>
      <c r="Q7" s="21">
        <v>0</v>
      </c>
      <c r="R7" s="205">
        <f>F7*Q7</f>
        <v>0</v>
      </c>
      <c r="S7" s="39">
        <f t="shared" ref="S7:S54" si="7">G7-I7-K7-M7-O7-Q7</f>
        <v>195</v>
      </c>
      <c r="T7" s="38">
        <f t="shared" si="1"/>
        <v>8.0808</v>
      </c>
      <c r="U7" s="21">
        <v>431</v>
      </c>
      <c r="V7" s="13">
        <f t="shared" si="4"/>
        <v>17.86064</v>
      </c>
      <c r="W7" s="49">
        <f t="shared" si="5"/>
        <v>626</v>
      </c>
      <c r="X7" s="50">
        <f t="shared" si="6"/>
        <v>25.94144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137</v>
      </c>
      <c r="C8" s="34">
        <v>80</v>
      </c>
      <c r="D8" s="35">
        <v>64</v>
      </c>
      <c r="E8" s="35">
        <v>5</v>
      </c>
      <c r="F8" s="19">
        <f t="shared" si="2"/>
        <v>2.5600000000000001E-2</v>
      </c>
      <c r="G8" s="23">
        <v>100</v>
      </c>
      <c r="H8" s="26">
        <f t="shared" si="3"/>
        <v>2.56</v>
      </c>
      <c r="I8" s="21">
        <v>0</v>
      </c>
      <c r="J8" s="205">
        <f t="shared" si="0"/>
        <v>0</v>
      </c>
      <c r="K8" s="21">
        <v>0</v>
      </c>
      <c r="L8" s="205">
        <f>F8*K8</f>
        <v>0</v>
      </c>
      <c r="M8" s="21">
        <v>0</v>
      </c>
      <c r="N8" s="205">
        <f>F8*M8</f>
        <v>0</v>
      </c>
      <c r="O8" s="21">
        <v>0</v>
      </c>
      <c r="P8" s="205">
        <f>F8*O8</f>
        <v>0</v>
      </c>
      <c r="Q8" s="21">
        <v>0</v>
      </c>
      <c r="R8" s="205">
        <f>F8*Q8</f>
        <v>0</v>
      </c>
      <c r="S8" s="39">
        <f t="shared" si="7"/>
        <v>100</v>
      </c>
      <c r="T8" s="38">
        <f t="shared" si="1"/>
        <v>2.56</v>
      </c>
      <c r="U8" s="21">
        <v>0</v>
      </c>
      <c r="V8" s="13">
        <f t="shared" si="4"/>
        <v>0</v>
      </c>
      <c r="W8" s="49">
        <f t="shared" si="5"/>
        <v>100</v>
      </c>
      <c r="X8" s="50">
        <f t="shared" si="6"/>
        <v>2.56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138</v>
      </c>
      <c r="C9" s="34">
        <v>140</v>
      </c>
      <c r="D9" s="35">
        <v>240</v>
      </c>
      <c r="E9" s="35">
        <v>5</v>
      </c>
      <c r="F9" s="19">
        <f t="shared" si="2"/>
        <v>0.16800000000000001</v>
      </c>
      <c r="G9" s="23">
        <v>192</v>
      </c>
      <c r="H9" s="26">
        <f t="shared" si="3"/>
        <v>32.256</v>
      </c>
      <c r="I9" s="21">
        <v>7</v>
      </c>
      <c r="J9" s="205">
        <f t="shared" si="0"/>
        <v>1.1760000000000002</v>
      </c>
      <c r="K9" s="21">
        <v>6</v>
      </c>
      <c r="L9" s="205">
        <f>F9*K9</f>
        <v>1.008</v>
      </c>
      <c r="M9" s="21">
        <v>28</v>
      </c>
      <c r="N9" s="205">
        <f>F9*M9</f>
        <v>4.7040000000000006</v>
      </c>
      <c r="O9" s="21">
        <v>19</v>
      </c>
      <c r="P9" s="205">
        <f>F9*O9</f>
        <v>3.1920000000000002</v>
      </c>
      <c r="Q9" s="21">
        <v>0</v>
      </c>
      <c r="R9" s="205">
        <f>F9*Q9</f>
        <v>0</v>
      </c>
      <c r="S9" s="39">
        <f t="shared" si="7"/>
        <v>132</v>
      </c>
      <c r="T9" s="38">
        <f t="shared" si="1"/>
        <v>22.176000000000002</v>
      </c>
      <c r="U9" s="21">
        <v>0</v>
      </c>
      <c r="V9" s="13">
        <f t="shared" si="4"/>
        <v>0</v>
      </c>
      <c r="W9" s="49">
        <f t="shared" si="5"/>
        <v>132</v>
      </c>
      <c r="X9" s="50">
        <f t="shared" si="6"/>
        <v>22.176000000000002</v>
      </c>
      <c r="Y9" s="238">
        <v>100</v>
      </c>
      <c r="Z9" s="101">
        <v>250</v>
      </c>
    </row>
    <row r="10" spans="1:26" x14ac:dyDescent="0.25">
      <c r="A10" s="264">
        <v>6</v>
      </c>
      <c r="B10" s="256" t="s">
        <v>139</v>
      </c>
      <c r="C10" s="34">
        <v>142</v>
      </c>
      <c r="D10" s="35">
        <v>67</v>
      </c>
      <c r="E10" s="35">
        <v>5</v>
      </c>
      <c r="F10" s="19">
        <f t="shared" si="2"/>
        <v>4.7570000000000001E-2</v>
      </c>
      <c r="G10" s="23">
        <v>8</v>
      </c>
      <c r="H10" s="26">
        <f t="shared" si="3"/>
        <v>0.38056000000000001</v>
      </c>
      <c r="I10" s="21">
        <v>0</v>
      </c>
      <c r="J10" s="205">
        <f t="shared" si="0"/>
        <v>0</v>
      </c>
      <c r="K10" s="21">
        <v>0</v>
      </c>
      <c r="L10" s="205">
        <f t="shared" si="0"/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39">
        <f t="shared" si="7"/>
        <v>8</v>
      </c>
      <c r="T10" s="38">
        <f t="shared" si="1"/>
        <v>0.38056000000000001</v>
      </c>
      <c r="U10" s="21">
        <v>0</v>
      </c>
      <c r="V10" s="13">
        <f t="shared" si="4"/>
        <v>0</v>
      </c>
      <c r="W10" s="49">
        <f t="shared" si="5"/>
        <v>8</v>
      </c>
      <c r="X10" s="50">
        <f t="shared" si="6"/>
        <v>0.38056000000000001</v>
      </c>
      <c r="Y10" s="238">
        <v>75</v>
      </c>
      <c r="Z10" s="101">
        <v>250</v>
      </c>
    </row>
    <row r="11" spans="1:26" x14ac:dyDescent="0.25">
      <c r="A11" s="264">
        <v>7</v>
      </c>
      <c r="B11" s="256" t="s">
        <v>140</v>
      </c>
      <c r="C11" s="34">
        <v>63</v>
      </c>
      <c r="D11" s="35">
        <v>60</v>
      </c>
      <c r="E11" s="35">
        <v>5</v>
      </c>
      <c r="F11" s="19">
        <f t="shared" si="2"/>
        <v>1.89E-2</v>
      </c>
      <c r="G11" s="23">
        <v>0</v>
      </c>
      <c r="H11" s="26">
        <f t="shared" si="3"/>
        <v>0</v>
      </c>
      <c r="I11" s="21">
        <v>0</v>
      </c>
      <c r="J11" s="205">
        <f t="shared" si="0"/>
        <v>0</v>
      </c>
      <c r="K11" s="21">
        <v>0</v>
      </c>
      <c r="L11" s="205">
        <f t="shared" si="0"/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39">
        <f t="shared" si="7"/>
        <v>0</v>
      </c>
      <c r="T11" s="38">
        <f t="shared" si="1"/>
        <v>0</v>
      </c>
      <c r="U11" s="21">
        <v>0</v>
      </c>
      <c r="V11" s="13">
        <f t="shared" si="4"/>
        <v>0</v>
      </c>
      <c r="W11" s="49">
        <f t="shared" si="5"/>
        <v>0</v>
      </c>
      <c r="X11" s="50">
        <f t="shared" si="6"/>
        <v>0</v>
      </c>
      <c r="Y11" s="238">
        <v>50</v>
      </c>
      <c r="Z11" s="101">
        <v>100</v>
      </c>
    </row>
    <row r="12" spans="1:26" x14ac:dyDescent="0.25">
      <c r="A12" s="264">
        <v>8</v>
      </c>
      <c r="B12" s="256" t="s">
        <v>141</v>
      </c>
      <c r="C12" s="34">
        <v>52</v>
      </c>
      <c r="D12" s="35">
        <v>52</v>
      </c>
      <c r="E12" s="35">
        <v>5</v>
      </c>
      <c r="F12" s="19">
        <f t="shared" si="2"/>
        <v>1.3520000000000001E-2</v>
      </c>
      <c r="G12" s="23">
        <v>0</v>
      </c>
      <c r="H12" s="26">
        <f t="shared" si="3"/>
        <v>0</v>
      </c>
      <c r="I12" s="21">
        <v>0</v>
      </c>
      <c r="J12" s="205">
        <f t="shared" si="0"/>
        <v>0</v>
      </c>
      <c r="K12" s="21">
        <v>0</v>
      </c>
      <c r="L12" s="205">
        <f>F12*K12</f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39">
        <f t="shared" si="7"/>
        <v>0</v>
      </c>
      <c r="T12" s="38">
        <f t="shared" si="1"/>
        <v>0</v>
      </c>
      <c r="U12" s="21">
        <v>0</v>
      </c>
      <c r="V12" s="13">
        <f t="shared" si="4"/>
        <v>0</v>
      </c>
      <c r="W12" s="49">
        <f t="shared" si="5"/>
        <v>0</v>
      </c>
      <c r="X12" s="50">
        <f t="shared" si="6"/>
        <v>0</v>
      </c>
      <c r="Y12" s="238">
        <v>50</v>
      </c>
      <c r="Z12" s="101">
        <v>100</v>
      </c>
    </row>
    <row r="13" spans="1:26" x14ac:dyDescent="0.25">
      <c r="A13" s="264">
        <v>9</v>
      </c>
      <c r="B13" s="256" t="s">
        <v>142</v>
      </c>
      <c r="C13" s="34">
        <v>140</v>
      </c>
      <c r="D13" s="35">
        <v>240</v>
      </c>
      <c r="E13" s="35">
        <v>5</v>
      </c>
      <c r="F13" s="19">
        <f t="shared" si="2"/>
        <v>0.16800000000000001</v>
      </c>
      <c r="G13" s="23">
        <v>61</v>
      </c>
      <c r="H13" s="26">
        <f t="shared" si="3"/>
        <v>10.248000000000001</v>
      </c>
      <c r="I13" s="21">
        <v>3</v>
      </c>
      <c r="J13" s="205">
        <f t="shared" si="0"/>
        <v>0.504</v>
      </c>
      <c r="K13" s="21">
        <v>6</v>
      </c>
      <c r="L13" s="205">
        <f>F13*K13</f>
        <v>1.008</v>
      </c>
      <c r="M13" s="21">
        <v>16</v>
      </c>
      <c r="N13" s="205">
        <f>F13*M13</f>
        <v>2.6880000000000002</v>
      </c>
      <c r="O13" s="21">
        <v>21</v>
      </c>
      <c r="P13" s="205">
        <f>F13*O13</f>
        <v>3.528</v>
      </c>
      <c r="Q13" s="21">
        <v>0</v>
      </c>
      <c r="R13" s="205">
        <f>F13*Q13</f>
        <v>0</v>
      </c>
      <c r="S13" s="39">
        <f t="shared" si="7"/>
        <v>15</v>
      </c>
      <c r="T13" s="38">
        <f t="shared" si="1"/>
        <v>2.52</v>
      </c>
      <c r="U13" s="21">
        <v>0</v>
      </c>
      <c r="V13" s="13">
        <f t="shared" si="4"/>
        <v>0</v>
      </c>
      <c r="W13" s="49">
        <f t="shared" si="5"/>
        <v>15</v>
      </c>
      <c r="X13" s="50">
        <f t="shared" si="6"/>
        <v>2.52</v>
      </c>
      <c r="Y13" s="238">
        <v>100</v>
      </c>
      <c r="Z13" s="101">
        <v>300</v>
      </c>
    </row>
    <row r="14" spans="1:26" x14ac:dyDescent="0.25">
      <c r="A14" s="264">
        <v>10</v>
      </c>
      <c r="B14" s="256" t="s">
        <v>143</v>
      </c>
      <c r="C14" s="34">
        <v>90</v>
      </c>
      <c r="D14" s="35">
        <v>85</v>
      </c>
      <c r="E14" s="35">
        <v>5</v>
      </c>
      <c r="F14" s="19">
        <f t="shared" si="2"/>
        <v>3.8249999999999999E-2</v>
      </c>
      <c r="G14" s="23">
        <v>56</v>
      </c>
      <c r="H14" s="26">
        <f t="shared" si="3"/>
        <v>2.1419999999999999</v>
      </c>
      <c r="I14" s="21">
        <v>0</v>
      </c>
      <c r="J14" s="205">
        <f t="shared" si="0"/>
        <v>0</v>
      </c>
      <c r="K14" s="21">
        <v>0</v>
      </c>
      <c r="L14" s="205">
        <f t="shared" ref="L14:L20" si="8">F14*K14</f>
        <v>0</v>
      </c>
      <c r="M14" s="21">
        <v>0</v>
      </c>
      <c r="N14" s="205">
        <f t="shared" si="0"/>
        <v>0</v>
      </c>
      <c r="O14" s="21">
        <v>0</v>
      </c>
      <c r="P14" s="205">
        <f t="shared" si="0"/>
        <v>0</v>
      </c>
      <c r="Q14" s="21">
        <v>0</v>
      </c>
      <c r="R14" s="205">
        <f t="shared" si="0"/>
        <v>0</v>
      </c>
      <c r="S14" s="39">
        <f t="shared" si="7"/>
        <v>56</v>
      </c>
      <c r="T14" s="38">
        <f t="shared" si="1"/>
        <v>2.1419999999999999</v>
      </c>
      <c r="U14" s="21">
        <v>0</v>
      </c>
      <c r="V14" s="13">
        <f t="shared" si="4"/>
        <v>0</v>
      </c>
      <c r="W14" s="49">
        <f t="shared" si="5"/>
        <v>56</v>
      </c>
      <c r="X14" s="50">
        <f t="shared" si="6"/>
        <v>2.1419999999999999</v>
      </c>
      <c r="Y14" s="238">
        <v>50</v>
      </c>
      <c r="Z14" s="101">
        <v>100</v>
      </c>
    </row>
    <row r="15" spans="1:26" x14ac:dyDescent="0.25">
      <c r="A15" s="264">
        <v>11</v>
      </c>
      <c r="B15" s="256" t="s">
        <v>144</v>
      </c>
      <c r="C15" s="34">
        <v>140</v>
      </c>
      <c r="D15" s="35">
        <v>240</v>
      </c>
      <c r="E15" s="35">
        <v>5</v>
      </c>
      <c r="F15" s="19">
        <f t="shared" si="2"/>
        <v>0.16800000000000001</v>
      </c>
      <c r="G15" s="23">
        <v>136</v>
      </c>
      <c r="H15" s="26">
        <f t="shared" si="3"/>
        <v>22.848000000000003</v>
      </c>
      <c r="I15" s="21">
        <v>4</v>
      </c>
      <c r="J15" s="205">
        <f t="shared" si="0"/>
        <v>0.67200000000000004</v>
      </c>
      <c r="K15" s="21">
        <v>0</v>
      </c>
      <c r="L15" s="205">
        <f t="shared" si="8"/>
        <v>0</v>
      </c>
      <c r="M15" s="21">
        <v>2</v>
      </c>
      <c r="N15" s="205">
        <f t="shared" ref="N15:N20" si="9">F15*M15</f>
        <v>0.33600000000000002</v>
      </c>
      <c r="O15" s="21">
        <v>1</v>
      </c>
      <c r="P15" s="205">
        <f t="shared" ref="P15:P20" si="10">F15*O15</f>
        <v>0.16800000000000001</v>
      </c>
      <c r="Q15" s="21">
        <v>0</v>
      </c>
      <c r="R15" s="205">
        <f t="shared" ref="R15:R20" si="11">F15*Q15</f>
        <v>0</v>
      </c>
      <c r="S15" s="39">
        <f t="shared" si="7"/>
        <v>129</v>
      </c>
      <c r="T15" s="38">
        <f t="shared" si="1"/>
        <v>21.672000000000001</v>
      </c>
      <c r="U15" s="21">
        <v>0</v>
      </c>
      <c r="V15" s="13">
        <f t="shared" si="4"/>
        <v>0</v>
      </c>
      <c r="W15" s="49">
        <f t="shared" si="5"/>
        <v>129</v>
      </c>
      <c r="X15" s="50">
        <f t="shared" si="6"/>
        <v>21.672000000000001</v>
      </c>
      <c r="Y15" s="238">
        <v>200</v>
      </c>
      <c r="Z15" s="101">
        <v>400</v>
      </c>
    </row>
    <row r="16" spans="1:26" x14ac:dyDescent="0.25">
      <c r="A16" s="264">
        <v>12</v>
      </c>
      <c r="B16" s="256" t="s">
        <v>145</v>
      </c>
      <c r="C16" s="34">
        <v>140</v>
      </c>
      <c r="D16" s="35">
        <v>240</v>
      </c>
      <c r="E16" s="35">
        <v>5</v>
      </c>
      <c r="F16" s="19">
        <f t="shared" si="2"/>
        <v>0.16800000000000001</v>
      </c>
      <c r="G16" s="23">
        <v>50</v>
      </c>
      <c r="H16" s="26">
        <f t="shared" si="3"/>
        <v>8.4</v>
      </c>
      <c r="I16" s="21">
        <v>12</v>
      </c>
      <c r="J16" s="205">
        <f t="shared" si="0"/>
        <v>2.016</v>
      </c>
      <c r="K16" s="21">
        <v>42</v>
      </c>
      <c r="L16" s="205">
        <f t="shared" si="8"/>
        <v>7.056</v>
      </c>
      <c r="M16" s="21">
        <v>21</v>
      </c>
      <c r="N16" s="205">
        <f t="shared" si="9"/>
        <v>3.528</v>
      </c>
      <c r="O16" s="21">
        <v>50</v>
      </c>
      <c r="P16" s="205">
        <f t="shared" si="10"/>
        <v>8.4</v>
      </c>
      <c r="Q16" s="21">
        <v>0</v>
      </c>
      <c r="R16" s="205">
        <f t="shared" si="11"/>
        <v>0</v>
      </c>
      <c r="S16" s="39">
        <f t="shared" si="7"/>
        <v>-75</v>
      </c>
      <c r="T16" s="38">
        <f t="shared" si="1"/>
        <v>-12.600000000000001</v>
      </c>
      <c r="U16" s="21">
        <v>350</v>
      </c>
      <c r="V16" s="13">
        <f t="shared" si="4"/>
        <v>58.800000000000004</v>
      </c>
      <c r="W16" s="49">
        <f t="shared" si="5"/>
        <v>275</v>
      </c>
      <c r="X16" s="50">
        <f t="shared" si="6"/>
        <v>46.2</v>
      </c>
      <c r="Y16" s="238">
        <v>200</v>
      </c>
      <c r="Z16" s="101">
        <v>500</v>
      </c>
    </row>
    <row r="17" spans="1:26" x14ac:dyDescent="0.25">
      <c r="A17" s="264">
        <v>13</v>
      </c>
      <c r="B17" s="256" t="s">
        <v>146</v>
      </c>
      <c r="C17" s="34">
        <v>140</v>
      </c>
      <c r="D17" s="35">
        <v>240</v>
      </c>
      <c r="E17" s="35">
        <v>8</v>
      </c>
      <c r="F17" s="19">
        <f t="shared" si="2"/>
        <v>0.26879999999999998</v>
      </c>
      <c r="G17" s="23">
        <v>13</v>
      </c>
      <c r="H17" s="26">
        <f t="shared" si="3"/>
        <v>3.4943999999999997</v>
      </c>
      <c r="I17" s="21">
        <v>0</v>
      </c>
      <c r="J17" s="205">
        <f t="shared" si="0"/>
        <v>0</v>
      </c>
      <c r="K17" s="21">
        <v>0</v>
      </c>
      <c r="L17" s="205">
        <f t="shared" si="8"/>
        <v>0</v>
      </c>
      <c r="M17" s="21">
        <v>0</v>
      </c>
      <c r="N17" s="205">
        <f t="shared" si="9"/>
        <v>0</v>
      </c>
      <c r="O17" s="21">
        <v>4</v>
      </c>
      <c r="P17" s="205">
        <f t="shared" si="10"/>
        <v>1.0751999999999999</v>
      </c>
      <c r="Q17" s="21">
        <v>0</v>
      </c>
      <c r="R17" s="205">
        <f t="shared" si="11"/>
        <v>0</v>
      </c>
      <c r="S17" s="39">
        <f t="shared" si="7"/>
        <v>9</v>
      </c>
      <c r="T17" s="38">
        <f t="shared" si="1"/>
        <v>2.4192</v>
      </c>
      <c r="U17" s="21">
        <v>0</v>
      </c>
      <c r="V17" s="13">
        <f t="shared" si="4"/>
        <v>0</v>
      </c>
      <c r="W17" s="49">
        <f t="shared" si="5"/>
        <v>9</v>
      </c>
      <c r="X17" s="50">
        <f t="shared" si="6"/>
        <v>2.4192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147</v>
      </c>
      <c r="C18" s="34">
        <v>77</v>
      </c>
      <c r="D18" s="35">
        <v>86</v>
      </c>
      <c r="E18" s="35">
        <v>8</v>
      </c>
      <c r="F18" s="19">
        <f t="shared" si="2"/>
        <v>5.2976000000000002E-2</v>
      </c>
      <c r="G18" s="23">
        <v>248</v>
      </c>
      <c r="H18" s="26">
        <f t="shared" si="3"/>
        <v>13.138048000000001</v>
      </c>
      <c r="I18" s="21">
        <v>6</v>
      </c>
      <c r="J18" s="205">
        <f t="shared" si="0"/>
        <v>0.31785600000000003</v>
      </c>
      <c r="K18" s="21">
        <v>60</v>
      </c>
      <c r="L18" s="205">
        <f t="shared" si="8"/>
        <v>3.1785600000000001</v>
      </c>
      <c r="M18" s="21">
        <v>46</v>
      </c>
      <c r="N18" s="205">
        <f t="shared" si="9"/>
        <v>2.436896</v>
      </c>
      <c r="O18" s="21">
        <v>0</v>
      </c>
      <c r="P18" s="205">
        <f t="shared" si="10"/>
        <v>0</v>
      </c>
      <c r="Q18" s="21">
        <v>0</v>
      </c>
      <c r="R18" s="205">
        <f t="shared" si="11"/>
        <v>0</v>
      </c>
      <c r="S18" s="39">
        <f t="shared" si="7"/>
        <v>136</v>
      </c>
      <c r="T18" s="38">
        <f t="shared" si="1"/>
        <v>7.2047360000000005</v>
      </c>
      <c r="U18" s="21">
        <v>517</v>
      </c>
      <c r="V18" s="13">
        <f t="shared" si="4"/>
        <v>27.388592000000003</v>
      </c>
      <c r="W18" s="49">
        <f t="shared" si="5"/>
        <v>653</v>
      </c>
      <c r="X18" s="50">
        <f t="shared" si="6"/>
        <v>34.593328</v>
      </c>
      <c r="Y18" s="238">
        <v>100</v>
      </c>
      <c r="Z18" s="101">
        <v>300</v>
      </c>
    </row>
    <row r="19" spans="1:26" x14ac:dyDescent="0.25">
      <c r="A19" s="264">
        <v>15</v>
      </c>
      <c r="B19" s="256" t="s">
        <v>148</v>
      </c>
      <c r="C19" s="34">
        <v>77</v>
      </c>
      <c r="D19" s="35">
        <v>68</v>
      </c>
      <c r="E19" s="35">
        <v>8</v>
      </c>
      <c r="F19" s="19">
        <f t="shared" si="2"/>
        <v>4.1888000000000002E-2</v>
      </c>
      <c r="G19" s="23">
        <v>155</v>
      </c>
      <c r="H19" s="26">
        <f t="shared" si="3"/>
        <v>6.4926400000000006</v>
      </c>
      <c r="I19" s="21">
        <v>1</v>
      </c>
      <c r="J19" s="205">
        <f t="shared" si="0"/>
        <v>4.1888000000000002E-2</v>
      </c>
      <c r="K19" s="21">
        <v>41</v>
      </c>
      <c r="L19" s="205">
        <f t="shared" si="8"/>
        <v>1.717408</v>
      </c>
      <c r="M19" s="21">
        <v>33</v>
      </c>
      <c r="N19" s="205">
        <f t="shared" si="9"/>
        <v>1.382304</v>
      </c>
      <c r="O19" s="21">
        <v>0</v>
      </c>
      <c r="P19" s="205">
        <f t="shared" si="10"/>
        <v>0</v>
      </c>
      <c r="Q19" s="21">
        <v>0</v>
      </c>
      <c r="R19" s="205">
        <f t="shared" si="11"/>
        <v>0</v>
      </c>
      <c r="S19" s="39">
        <f t="shared" si="7"/>
        <v>80</v>
      </c>
      <c r="T19" s="38">
        <f t="shared" si="1"/>
        <v>3.3510400000000002</v>
      </c>
      <c r="U19" s="21">
        <v>487</v>
      </c>
      <c r="V19" s="13">
        <f t="shared" si="4"/>
        <v>20.399456000000001</v>
      </c>
      <c r="W19" s="49">
        <f t="shared" si="5"/>
        <v>567</v>
      </c>
      <c r="X19" s="50">
        <f t="shared" si="6"/>
        <v>23.750496000000002</v>
      </c>
      <c r="Y19" s="238">
        <v>100</v>
      </c>
      <c r="Z19" s="101">
        <v>300</v>
      </c>
    </row>
    <row r="20" spans="1:26" x14ac:dyDescent="0.25">
      <c r="A20" s="264">
        <v>16</v>
      </c>
      <c r="B20" s="256" t="s">
        <v>149</v>
      </c>
      <c r="C20" s="34">
        <v>76</v>
      </c>
      <c r="D20" s="35">
        <v>75</v>
      </c>
      <c r="E20" s="35">
        <v>8</v>
      </c>
      <c r="F20" s="19">
        <f t="shared" si="2"/>
        <v>4.5600000000000002E-2</v>
      </c>
      <c r="G20" s="23">
        <v>364</v>
      </c>
      <c r="H20" s="26">
        <f t="shared" si="3"/>
        <v>16.598400000000002</v>
      </c>
      <c r="I20" s="21">
        <v>2</v>
      </c>
      <c r="J20" s="205">
        <f t="shared" si="0"/>
        <v>9.1200000000000003E-2</v>
      </c>
      <c r="K20" s="21">
        <v>82</v>
      </c>
      <c r="L20" s="205">
        <f t="shared" si="8"/>
        <v>3.7392000000000003</v>
      </c>
      <c r="M20" s="21">
        <v>61</v>
      </c>
      <c r="N20" s="205">
        <f t="shared" si="9"/>
        <v>2.7816000000000001</v>
      </c>
      <c r="O20" s="21">
        <v>0</v>
      </c>
      <c r="P20" s="205">
        <f t="shared" si="10"/>
        <v>0</v>
      </c>
      <c r="Q20" s="21">
        <v>0</v>
      </c>
      <c r="R20" s="205">
        <f t="shared" si="11"/>
        <v>0</v>
      </c>
      <c r="S20" s="39">
        <f t="shared" si="7"/>
        <v>219</v>
      </c>
      <c r="T20" s="38">
        <f t="shared" si="1"/>
        <v>9.9863999999999997</v>
      </c>
      <c r="U20" s="21">
        <v>516</v>
      </c>
      <c r="V20" s="13">
        <f t="shared" si="4"/>
        <v>23.529600000000002</v>
      </c>
      <c r="W20" s="49">
        <f t="shared" si="5"/>
        <v>735</v>
      </c>
      <c r="X20" s="50">
        <f t="shared" si="6"/>
        <v>33.515999999999998</v>
      </c>
      <c r="Y20" s="238">
        <v>100</v>
      </c>
      <c r="Z20" s="101">
        <v>300</v>
      </c>
    </row>
    <row r="21" spans="1:26" x14ac:dyDescent="0.25">
      <c r="A21" s="264">
        <v>17</v>
      </c>
      <c r="B21" s="256" t="s">
        <v>150</v>
      </c>
      <c r="C21" s="34">
        <v>60</v>
      </c>
      <c r="D21" s="35">
        <v>63</v>
      </c>
      <c r="E21" s="35">
        <v>10</v>
      </c>
      <c r="F21" s="19">
        <f t="shared" si="2"/>
        <v>3.78E-2</v>
      </c>
      <c r="G21" s="23">
        <v>263</v>
      </c>
      <c r="H21" s="26">
        <f t="shared" si="3"/>
        <v>9.9413999999999998</v>
      </c>
      <c r="I21" s="21">
        <v>0</v>
      </c>
      <c r="J21" s="205">
        <f t="shared" si="0"/>
        <v>0</v>
      </c>
      <c r="K21" s="21">
        <v>0</v>
      </c>
      <c r="L21" s="205">
        <f t="shared" si="0"/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39">
        <f t="shared" si="7"/>
        <v>263</v>
      </c>
      <c r="T21" s="38">
        <f t="shared" si="1"/>
        <v>9.9413999999999998</v>
      </c>
      <c r="U21" s="21"/>
      <c r="V21" s="13">
        <f t="shared" si="4"/>
        <v>0</v>
      </c>
      <c r="W21" s="49">
        <f t="shared" si="5"/>
        <v>263</v>
      </c>
      <c r="X21" s="50">
        <f t="shared" si="6"/>
        <v>9.9413999999999998</v>
      </c>
      <c r="Y21" s="238">
        <v>50</v>
      </c>
      <c r="Z21" s="101">
        <v>200</v>
      </c>
    </row>
    <row r="22" spans="1:26" x14ac:dyDescent="0.25">
      <c r="A22" s="264">
        <v>18</v>
      </c>
      <c r="B22" s="256" t="s">
        <v>151</v>
      </c>
      <c r="C22" s="34">
        <v>63</v>
      </c>
      <c r="D22" s="35">
        <v>60</v>
      </c>
      <c r="E22" s="35">
        <v>3</v>
      </c>
      <c r="F22" s="19">
        <f t="shared" si="2"/>
        <v>1.1339999999999999E-2</v>
      </c>
      <c r="G22" s="23">
        <v>16</v>
      </c>
      <c r="H22" s="26">
        <f t="shared" si="3"/>
        <v>0.18143999999999999</v>
      </c>
      <c r="I22" s="21">
        <v>0</v>
      </c>
      <c r="J22" s="205">
        <f t="shared" si="0"/>
        <v>0</v>
      </c>
      <c r="K22" s="21">
        <v>0</v>
      </c>
      <c r="L22" s="205">
        <f t="shared" si="0"/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39">
        <f t="shared" si="7"/>
        <v>16</v>
      </c>
      <c r="T22" s="38">
        <f t="shared" si="1"/>
        <v>0.18143999999999999</v>
      </c>
      <c r="U22" s="21">
        <v>0</v>
      </c>
      <c r="V22" s="13">
        <f t="shared" si="4"/>
        <v>0</v>
      </c>
      <c r="W22" s="49">
        <f t="shared" si="5"/>
        <v>16</v>
      </c>
      <c r="X22" s="50">
        <f t="shared" si="6"/>
        <v>0.18143999999999999</v>
      </c>
      <c r="Y22" s="238">
        <v>50</v>
      </c>
      <c r="Z22" s="101">
        <v>200</v>
      </c>
    </row>
    <row r="23" spans="1:26" x14ac:dyDescent="0.25">
      <c r="A23" s="264">
        <v>19</v>
      </c>
      <c r="B23" s="42" t="s">
        <v>152</v>
      </c>
      <c r="C23" s="34">
        <v>140</v>
      </c>
      <c r="D23" s="35">
        <v>240</v>
      </c>
      <c r="E23" s="35">
        <v>1.4</v>
      </c>
      <c r="F23" s="19">
        <f t="shared" si="2"/>
        <v>4.7039999999999998E-2</v>
      </c>
      <c r="G23" s="23">
        <v>454</v>
      </c>
      <c r="H23" s="26">
        <f t="shared" si="3"/>
        <v>21.356159999999999</v>
      </c>
      <c r="I23" s="21">
        <v>131</v>
      </c>
      <c r="J23" s="205">
        <f t="shared" si="0"/>
        <v>6.1622399999999997</v>
      </c>
      <c r="K23" s="21">
        <v>127</v>
      </c>
      <c r="L23" s="205">
        <f t="shared" ref="L23:L36" si="12">F23*K23</f>
        <v>5.9740799999999998</v>
      </c>
      <c r="M23" s="21">
        <v>56</v>
      </c>
      <c r="N23" s="205">
        <f t="shared" ref="N23:N36" si="13">F23*M23</f>
        <v>2.6342400000000001</v>
      </c>
      <c r="O23" s="21">
        <v>74</v>
      </c>
      <c r="P23" s="205">
        <f t="shared" ref="P23:P36" si="14">F23*O23</f>
        <v>3.4809600000000001</v>
      </c>
      <c r="Q23" s="21">
        <v>0</v>
      </c>
      <c r="R23" s="205">
        <f t="shared" ref="R23:R36" si="15">F23*Q23</f>
        <v>0</v>
      </c>
      <c r="S23" s="39">
        <f t="shared" si="7"/>
        <v>66</v>
      </c>
      <c r="T23" s="38">
        <f t="shared" si="1"/>
        <v>3.1046399999999998</v>
      </c>
      <c r="U23" s="21">
        <v>151</v>
      </c>
      <c r="V23" s="13">
        <f t="shared" si="4"/>
        <v>7.10304</v>
      </c>
      <c r="W23" s="49">
        <f t="shared" si="5"/>
        <v>217</v>
      </c>
      <c r="X23" s="50">
        <f t="shared" si="6"/>
        <v>10.20768</v>
      </c>
      <c r="Y23" s="238">
        <v>200</v>
      </c>
      <c r="Z23" s="101">
        <v>500</v>
      </c>
    </row>
    <row r="24" spans="1:26" x14ac:dyDescent="0.25">
      <c r="A24" s="264">
        <v>20</v>
      </c>
      <c r="B24" s="256" t="s">
        <v>3</v>
      </c>
      <c r="C24" s="34">
        <v>140</v>
      </c>
      <c r="D24" s="35">
        <v>240</v>
      </c>
      <c r="E24" s="35">
        <v>0.8</v>
      </c>
      <c r="F24" s="19">
        <f t="shared" si="2"/>
        <v>2.6880000000000001E-2</v>
      </c>
      <c r="G24" s="23">
        <v>147</v>
      </c>
      <c r="H24" s="26">
        <f t="shared" si="3"/>
        <v>3.9513600000000002</v>
      </c>
      <c r="I24" s="21">
        <v>10</v>
      </c>
      <c r="J24" s="205">
        <f t="shared" si="0"/>
        <v>0.26880000000000004</v>
      </c>
      <c r="K24" s="21">
        <v>4</v>
      </c>
      <c r="L24" s="205">
        <f t="shared" si="12"/>
        <v>0.10752</v>
      </c>
      <c r="M24" s="21">
        <v>18</v>
      </c>
      <c r="N24" s="205">
        <f t="shared" si="13"/>
        <v>0.48384000000000005</v>
      </c>
      <c r="O24" s="21">
        <v>18</v>
      </c>
      <c r="P24" s="205">
        <f t="shared" si="14"/>
        <v>0.48384000000000005</v>
      </c>
      <c r="Q24" s="21">
        <v>0</v>
      </c>
      <c r="R24" s="205">
        <f t="shared" si="15"/>
        <v>0</v>
      </c>
      <c r="S24" s="39">
        <f t="shared" si="7"/>
        <v>97</v>
      </c>
      <c r="T24" s="38">
        <f t="shared" si="1"/>
        <v>2.6073599999999999</v>
      </c>
      <c r="U24" s="21">
        <v>0</v>
      </c>
      <c r="V24" s="13">
        <f t="shared" si="4"/>
        <v>0</v>
      </c>
      <c r="W24" s="49">
        <f t="shared" si="5"/>
        <v>97</v>
      </c>
      <c r="X24" s="50">
        <f t="shared" si="6"/>
        <v>2.6073599999999999</v>
      </c>
      <c r="Y24" s="238">
        <v>100</v>
      </c>
      <c r="Z24" s="101">
        <v>300</v>
      </c>
    </row>
    <row r="25" spans="1:26" x14ac:dyDescent="0.25">
      <c r="A25" s="264">
        <v>21</v>
      </c>
      <c r="B25" s="256" t="s">
        <v>153</v>
      </c>
      <c r="C25" s="34">
        <v>58</v>
      </c>
      <c r="D25" s="35">
        <v>58</v>
      </c>
      <c r="E25" s="35">
        <v>2.2999999999999998</v>
      </c>
      <c r="F25" s="19">
        <f t="shared" si="2"/>
        <v>7.7371999999999996E-3</v>
      </c>
      <c r="G25" s="23">
        <v>0</v>
      </c>
      <c r="H25" s="26">
        <f t="shared" si="3"/>
        <v>0</v>
      </c>
      <c r="I25" s="21">
        <v>0</v>
      </c>
      <c r="J25" s="205">
        <f t="shared" si="0"/>
        <v>0</v>
      </c>
      <c r="K25" s="21">
        <v>0</v>
      </c>
      <c r="L25" s="205">
        <f t="shared" si="12"/>
        <v>0</v>
      </c>
      <c r="M25" s="21">
        <v>0</v>
      </c>
      <c r="N25" s="205">
        <f t="shared" si="13"/>
        <v>0</v>
      </c>
      <c r="O25" s="21">
        <v>80</v>
      </c>
      <c r="P25" s="205">
        <f t="shared" si="14"/>
        <v>0.61897599999999997</v>
      </c>
      <c r="Q25" s="21">
        <v>0</v>
      </c>
      <c r="R25" s="205">
        <f t="shared" si="15"/>
        <v>0</v>
      </c>
      <c r="S25" s="39">
        <f t="shared" si="7"/>
        <v>-80</v>
      </c>
      <c r="T25" s="38">
        <f t="shared" si="1"/>
        <v>-0.61897599999999997</v>
      </c>
      <c r="U25" s="21">
        <v>522</v>
      </c>
      <c r="V25" s="13">
        <f t="shared" si="4"/>
        <v>4.0388184000000003</v>
      </c>
      <c r="W25" s="49">
        <f t="shared" si="5"/>
        <v>442</v>
      </c>
      <c r="X25" s="50">
        <f t="shared" si="6"/>
        <v>3.4198423999999998</v>
      </c>
      <c r="Y25" s="238">
        <v>200</v>
      </c>
      <c r="Z25" s="101">
        <v>750</v>
      </c>
    </row>
    <row r="26" spans="1:26" x14ac:dyDescent="0.25">
      <c r="A26" s="264">
        <v>22</v>
      </c>
      <c r="B26" s="256" t="s">
        <v>154</v>
      </c>
      <c r="C26" s="34">
        <v>140</v>
      </c>
      <c r="D26" s="35">
        <v>240</v>
      </c>
      <c r="E26" s="35">
        <v>7</v>
      </c>
      <c r="F26" s="19">
        <f t="shared" si="2"/>
        <v>0.23519999999999999</v>
      </c>
      <c r="G26" s="23">
        <v>99</v>
      </c>
      <c r="H26" s="26">
        <f t="shared" si="3"/>
        <v>23.284800000000001</v>
      </c>
      <c r="I26" s="21">
        <v>6</v>
      </c>
      <c r="J26" s="205">
        <f t="shared" si="0"/>
        <v>1.4112</v>
      </c>
      <c r="K26" s="21">
        <v>3</v>
      </c>
      <c r="L26" s="205">
        <f t="shared" si="12"/>
        <v>0.7056</v>
      </c>
      <c r="M26" s="21">
        <v>8</v>
      </c>
      <c r="N26" s="205">
        <f t="shared" si="13"/>
        <v>1.8815999999999999</v>
      </c>
      <c r="O26" s="21">
        <v>19</v>
      </c>
      <c r="P26" s="205">
        <f t="shared" si="14"/>
        <v>4.4687999999999999</v>
      </c>
      <c r="Q26" s="21">
        <v>0</v>
      </c>
      <c r="R26" s="205">
        <f t="shared" si="15"/>
        <v>0</v>
      </c>
      <c r="S26" s="39">
        <f t="shared" si="7"/>
        <v>63</v>
      </c>
      <c r="T26" s="38">
        <f t="shared" si="1"/>
        <v>14.817599999999999</v>
      </c>
      <c r="U26" s="21">
        <v>0</v>
      </c>
      <c r="V26" s="13">
        <f t="shared" si="4"/>
        <v>0</v>
      </c>
      <c r="W26" s="49">
        <f t="shared" si="5"/>
        <v>63</v>
      </c>
      <c r="X26" s="50">
        <f t="shared" si="6"/>
        <v>14.817599999999999</v>
      </c>
      <c r="Y26" s="238">
        <v>50</v>
      </c>
      <c r="Z26" s="101">
        <v>200</v>
      </c>
    </row>
    <row r="27" spans="1:26" ht="15.75" x14ac:dyDescent="0.25">
      <c r="A27" s="264">
        <v>23</v>
      </c>
      <c r="B27" s="256" t="s">
        <v>55</v>
      </c>
      <c r="C27" s="111">
        <v>50</v>
      </c>
      <c r="D27" s="112">
        <v>45</v>
      </c>
      <c r="E27" s="112">
        <v>4</v>
      </c>
      <c r="F27" s="19">
        <f t="shared" si="2"/>
        <v>8.9999999999999993E-3</v>
      </c>
      <c r="G27" s="23">
        <v>150</v>
      </c>
      <c r="H27" s="26">
        <f t="shared" si="3"/>
        <v>1.3499999999999999</v>
      </c>
      <c r="I27" s="21">
        <v>0</v>
      </c>
      <c r="J27" s="205">
        <f t="shared" si="0"/>
        <v>0</v>
      </c>
      <c r="K27" s="21">
        <v>150</v>
      </c>
      <c r="L27" s="205">
        <f t="shared" si="12"/>
        <v>1.3499999999999999</v>
      </c>
      <c r="M27" s="21">
        <v>0</v>
      </c>
      <c r="N27" s="205">
        <f t="shared" si="13"/>
        <v>0</v>
      </c>
      <c r="O27" s="21">
        <v>0</v>
      </c>
      <c r="P27" s="205">
        <f t="shared" si="14"/>
        <v>0</v>
      </c>
      <c r="Q27" s="21">
        <v>0</v>
      </c>
      <c r="R27" s="205">
        <f t="shared" si="15"/>
        <v>0</v>
      </c>
      <c r="S27" s="39">
        <f t="shared" si="7"/>
        <v>0</v>
      </c>
      <c r="T27" s="38">
        <f t="shared" si="1"/>
        <v>0</v>
      </c>
      <c r="U27" s="21">
        <v>784</v>
      </c>
      <c r="V27" s="13">
        <f t="shared" si="4"/>
        <v>7.0559999999999992</v>
      </c>
      <c r="W27" s="49">
        <f t="shared" si="5"/>
        <v>784</v>
      </c>
      <c r="X27" s="50">
        <f t="shared" si="6"/>
        <v>7.0559999999999992</v>
      </c>
      <c r="Y27" s="238">
        <v>300</v>
      </c>
      <c r="Z27" s="101">
        <v>1000</v>
      </c>
    </row>
    <row r="28" spans="1:26" ht="15.75" x14ac:dyDescent="0.25">
      <c r="A28" s="264">
        <v>24</v>
      </c>
      <c r="B28" s="256" t="s">
        <v>56</v>
      </c>
      <c r="C28" s="111">
        <v>50</v>
      </c>
      <c r="D28" s="112">
        <v>35</v>
      </c>
      <c r="E28" s="112">
        <v>4</v>
      </c>
      <c r="F28" s="19">
        <f t="shared" si="2"/>
        <v>7.0000000000000001E-3</v>
      </c>
      <c r="G28" s="23">
        <v>860</v>
      </c>
      <c r="H28" s="26">
        <f t="shared" si="3"/>
        <v>6.0200000000000005</v>
      </c>
      <c r="I28" s="21">
        <v>560</v>
      </c>
      <c r="J28" s="205">
        <f t="shared" si="0"/>
        <v>3.92</v>
      </c>
      <c r="K28" s="21">
        <v>300</v>
      </c>
      <c r="L28" s="205">
        <f t="shared" si="12"/>
        <v>2.1</v>
      </c>
      <c r="M28" s="21">
        <v>240</v>
      </c>
      <c r="N28" s="205">
        <f t="shared" si="13"/>
        <v>1.68</v>
      </c>
      <c r="O28" s="21">
        <v>0</v>
      </c>
      <c r="P28" s="205">
        <f t="shared" si="14"/>
        <v>0</v>
      </c>
      <c r="Q28" s="21">
        <v>0</v>
      </c>
      <c r="R28" s="205">
        <f t="shared" si="15"/>
        <v>0</v>
      </c>
      <c r="S28" s="39">
        <f t="shared" si="7"/>
        <v>-240</v>
      </c>
      <c r="T28" s="38">
        <f t="shared" si="1"/>
        <v>-1.68</v>
      </c>
      <c r="U28" s="21">
        <v>240</v>
      </c>
      <c r="V28" s="13">
        <f t="shared" si="4"/>
        <v>1.68</v>
      </c>
      <c r="W28" s="49">
        <f t="shared" si="5"/>
        <v>0</v>
      </c>
      <c r="X28" s="50">
        <f t="shared" si="6"/>
        <v>0</v>
      </c>
      <c r="Y28" s="238">
        <v>300</v>
      </c>
      <c r="Z28" s="101">
        <v>1000</v>
      </c>
    </row>
    <row r="29" spans="1:26" ht="15.75" x14ac:dyDescent="0.25">
      <c r="A29" s="264">
        <v>25</v>
      </c>
      <c r="B29" s="256" t="s">
        <v>57</v>
      </c>
      <c r="C29" s="111">
        <v>45</v>
      </c>
      <c r="D29" s="112">
        <v>44</v>
      </c>
      <c r="E29" s="112">
        <v>3</v>
      </c>
      <c r="F29" s="19">
        <f t="shared" si="2"/>
        <v>5.94E-3</v>
      </c>
      <c r="G29" s="23">
        <v>1185</v>
      </c>
      <c r="H29" s="26">
        <f t="shared" si="3"/>
        <v>7.0388999999999999</v>
      </c>
      <c r="I29" s="21">
        <v>0</v>
      </c>
      <c r="J29" s="205">
        <f t="shared" si="0"/>
        <v>0</v>
      </c>
      <c r="K29" s="21">
        <v>0</v>
      </c>
      <c r="L29" s="205">
        <f t="shared" si="12"/>
        <v>0</v>
      </c>
      <c r="M29" s="21">
        <v>0</v>
      </c>
      <c r="N29" s="205">
        <f t="shared" si="13"/>
        <v>0</v>
      </c>
      <c r="O29" s="21">
        <v>600</v>
      </c>
      <c r="P29" s="205">
        <f t="shared" si="14"/>
        <v>3.5640000000000001</v>
      </c>
      <c r="Q29" s="21">
        <v>0</v>
      </c>
      <c r="R29" s="205">
        <f t="shared" si="15"/>
        <v>0</v>
      </c>
      <c r="S29" s="39">
        <f t="shared" si="7"/>
        <v>585</v>
      </c>
      <c r="T29" s="38">
        <f t="shared" si="1"/>
        <v>3.4748999999999999</v>
      </c>
      <c r="U29" s="21">
        <v>0</v>
      </c>
      <c r="V29" s="13">
        <f t="shared" si="4"/>
        <v>0</v>
      </c>
      <c r="W29" s="49">
        <f t="shared" si="5"/>
        <v>585</v>
      </c>
      <c r="X29" s="50">
        <f t="shared" si="6"/>
        <v>3.4748999999999999</v>
      </c>
      <c r="Y29" s="238">
        <v>500</v>
      </c>
      <c r="Z29" s="101">
        <v>1500</v>
      </c>
    </row>
    <row r="30" spans="1:26" ht="15.75" x14ac:dyDescent="0.25">
      <c r="A30" s="264">
        <v>26</v>
      </c>
      <c r="B30" s="256" t="s">
        <v>58</v>
      </c>
      <c r="C30" s="111">
        <v>45</v>
      </c>
      <c r="D30" s="112">
        <v>35.5</v>
      </c>
      <c r="E30" s="112">
        <v>3</v>
      </c>
      <c r="F30" s="19">
        <f t="shared" si="2"/>
        <v>4.7924999999999999E-3</v>
      </c>
      <c r="G30" s="23">
        <v>1096</v>
      </c>
      <c r="H30" s="26">
        <f t="shared" si="3"/>
        <v>5.25258</v>
      </c>
      <c r="I30" s="21">
        <v>0</v>
      </c>
      <c r="J30" s="205">
        <f t="shared" si="0"/>
        <v>0</v>
      </c>
      <c r="K30" s="21">
        <v>0</v>
      </c>
      <c r="L30" s="205">
        <f t="shared" si="12"/>
        <v>0</v>
      </c>
      <c r="M30" s="21">
        <v>0</v>
      </c>
      <c r="N30" s="205">
        <f t="shared" si="13"/>
        <v>0</v>
      </c>
      <c r="O30" s="21">
        <v>630</v>
      </c>
      <c r="P30" s="205">
        <f t="shared" si="14"/>
        <v>3.0192749999999999</v>
      </c>
      <c r="Q30" s="21">
        <v>0</v>
      </c>
      <c r="R30" s="205">
        <f t="shared" si="15"/>
        <v>0</v>
      </c>
      <c r="S30" s="39">
        <f t="shared" si="7"/>
        <v>466</v>
      </c>
      <c r="T30" s="38">
        <f t="shared" si="1"/>
        <v>2.2333050000000001</v>
      </c>
      <c r="U30" s="21">
        <v>0</v>
      </c>
      <c r="V30" s="13">
        <f t="shared" si="4"/>
        <v>0</v>
      </c>
      <c r="W30" s="49">
        <f t="shared" si="5"/>
        <v>466</v>
      </c>
      <c r="X30" s="50">
        <f t="shared" si="6"/>
        <v>2.2333050000000001</v>
      </c>
      <c r="Y30" s="238">
        <v>500</v>
      </c>
      <c r="Z30" s="101">
        <v>1500</v>
      </c>
    </row>
    <row r="31" spans="1:26" x14ac:dyDescent="0.25">
      <c r="A31" s="264">
        <v>27</v>
      </c>
      <c r="B31" s="256" t="s">
        <v>155</v>
      </c>
      <c r="C31" s="34">
        <v>140</v>
      </c>
      <c r="D31" s="35">
        <v>9.5</v>
      </c>
      <c r="E31" s="35">
        <v>6.5</v>
      </c>
      <c r="F31" s="19">
        <f t="shared" si="2"/>
        <v>8.6449999999999999E-3</v>
      </c>
      <c r="G31" s="23">
        <v>3703</v>
      </c>
      <c r="H31" s="26">
        <f t="shared" si="3"/>
        <v>32.012434999999996</v>
      </c>
      <c r="I31" s="21">
        <v>94</v>
      </c>
      <c r="J31" s="205">
        <f t="shared" si="0"/>
        <v>0.81262999999999996</v>
      </c>
      <c r="K31" s="21">
        <v>0</v>
      </c>
      <c r="L31" s="205">
        <f t="shared" si="12"/>
        <v>0</v>
      </c>
      <c r="M31" s="21">
        <v>54</v>
      </c>
      <c r="N31" s="205">
        <f t="shared" si="13"/>
        <v>0.46682999999999997</v>
      </c>
      <c r="O31" s="21">
        <v>64</v>
      </c>
      <c r="P31" s="205">
        <f t="shared" si="14"/>
        <v>0.55327999999999999</v>
      </c>
      <c r="Q31" s="21">
        <v>0</v>
      </c>
      <c r="R31" s="205">
        <f t="shared" si="15"/>
        <v>0</v>
      </c>
      <c r="S31" s="39">
        <f t="shared" si="7"/>
        <v>3491</v>
      </c>
      <c r="T31" s="38">
        <f t="shared" si="1"/>
        <v>30.179694999999999</v>
      </c>
      <c r="U31" s="21">
        <v>0</v>
      </c>
      <c r="V31" s="13">
        <f t="shared" si="4"/>
        <v>0</v>
      </c>
      <c r="W31" s="49">
        <f t="shared" si="5"/>
        <v>3491</v>
      </c>
      <c r="X31" s="50">
        <f t="shared" si="6"/>
        <v>30.179694999999999</v>
      </c>
      <c r="Y31" s="238">
        <v>500</v>
      </c>
      <c r="Z31" s="101">
        <v>1500</v>
      </c>
    </row>
    <row r="32" spans="1:26" x14ac:dyDescent="0.25">
      <c r="A32" s="264">
        <v>28</v>
      </c>
      <c r="B32" s="256" t="s">
        <v>156</v>
      </c>
      <c r="C32" s="34">
        <v>140</v>
      </c>
      <c r="D32" s="35">
        <v>240</v>
      </c>
      <c r="E32" s="35">
        <v>1</v>
      </c>
      <c r="F32" s="19">
        <f t="shared" si="2"/>
        <v>3.3599999999999998E-2</v>
      </c>
      <c r="G32" s="23">
        <v>840</v>
      </c>
      <c r="H32" s="26">
        <f t="shared" si="3"/>
        <v>28.223999999999997</v>
      </c>
      <c r="I32" s="21">
        <v>269</v>
      </c>
      <c r="J32" s="205">
        <f t="shared" si="0"/>
        <v>9.0383999999999993</v>
      </c>
      <c r="K32" s="21">
        <v>203</v>
      </c>
      <c r="L32" s="205">
        <f t="shared" si="12"/>
        <v>6.8207999999999993</v>
      </c>
      <c r="M32" s="21">
        <v>86</v>
      </c>
      <c r="N32" s="205">
        <f t="shared" si="13"/>
        <v>2.8895999999999997</v>
      </c>
      <c r="O32" s="21">
        <v>291</v>
      </c>
      <c r="P32" s="205">
        <f t="shared" si="14"/>
        <v>9.7775999999999996</v>
      </c>
      <c r="Q32" s="21">
        <v>0</v>
      </c>
      <c r="R32" s="205">
        <f>F32*Q32</f>
        <v>0</v>
      </c>
      <c r="S32" s="39">
        <f t="shared" si="7"/>
        <v>-9</v>
      </c>
      <c r="T32" s="38">
        <f t="shared" si="1"/>
        <v>-0.3024</v>
      </c>
      <c r="U32" s="21">
        <v>984</v>
      </c>
      <c r="V32" s="205">
        <f>F32*U32</f>
        <v>33.062399999999997</v>
      </c>
      <c r="W32" s="49">
        <f t="shared" si="5"/>
        <v>975</v>
      </c>
      <c r="X32" s="50">
        <f t="shared" si="6"/>
        <v>32.76</v>
      </c>
      <c r="Y32" s="238">
        <v>250</v>
      </c>
      <c r="Z32" s="101">
        <v>750</v>
      </c>
    </row>
    <row r="33" spans="1:26" x14ac:dyDescent="0.25">
      <c r="A33" s="264">
        <v>29</v>
      </c>
      <c r="B33" s="256" t="s">
        <v>157</v>
      </c>
      <c r="C33" s="34">
        <v>140</v>
      </c>
      <c r="D33" s="35">
        <v>240</v>
      </c>
      <c r="E33" s="35">
        <v>2</v>
      </c>
      <c r="F33" s="19">
        <f t="shared" si="2"/>
        <v>6.7199999999999996E-2</v>
      </c>
      <c r="G33" s="23">
        <v>523</v>
      </c>
      <c r="H33" s="26">
        <f t="shared" si="3"/>
        <v>35.145599999999995</v>
      </c>
      <c r="I33" s="21">
        <v>17</v>
      </c>
      <c r="J33" s="205">
        <f t="shared" si="0"/>
        <v>1.1423999999999999</v>
      </c>
      <c r="K33" s="21">
        <v>5</v>
      </c>
      <c r="L33" s="205">
        <f t="shared" si="12"/>
        <v>0.33599999999999997</v>
      </c>
      <c r="M33" s="21">
        <v>9</v>
      </c>
      <c r="N33" s="205">
        <f t="shared" si="13"/>
        <v>0.6048</v>
      </c>
      <c r="O33" s="21">
        <v>11</v>
      </c>
      <c r="P33" s="205">
        <f t="shared" si="14"/>
        <v>0.73919999999999997</v>
      </c>
      <c r="Q33" s="21">
        <v>0</v>
      </c>
      <c r="R33" s="205">
        <f>F33*Q33</f>
        <v>0</v>
      </c>
      <c r="S33" s="39">
        <f t="shared" si="7"/>
        <v>481</v>
      </c>
      <c r="T33" s="38">
        <f t="shared" si="1"/>
        <v>32.3232</v>
      </c>
      <c r="U33" s="21">
        <v>0</v>
      </c>
      <c r="V33" s="13">
        <f t="shared" si="4"/>
        <v>0</v>
      </c>
      <c r="W33" s="49">
        <f t="shared" si="5"/>
        <v>481</v>
      </c>
      <c r="X33" s="50">
        <f t="shared" si="6"/>
        <v>32.3232</v>
      </c>
      <c r="Y33" s="238">
        <v>75</v>
      </c>
      <c r="Z33" s="101">
        <v>150</v>
      </c>
    </row>
    <row r="34" spans="1:26" x14ac:dyDescent="0.25">
      <c r="A34" s="264">
        <v>30</v>
      </c>
      <c r="B34" s="256" t="s">
        <v>158</v>
      </c>
      <c r="C34" s="34">
        <v>140</v>
      </c>
      <c r="D34" s="35">
        <v>240</v>
      </c>
      <c r="E34" s="35">
        <v>3</v>
      </c>
      <c r="F34" s="19">
        <f t="shared" si="2"/>
        <v>0.1008</v>
      </c>
      <c r="G34" s="23">
        <v>533</v>
      </c>
      <c r="H34" s="26">
        <f t="shared" si="3"/>
        <v>53.726399999999998</v>
      </c>
      <c r="I34" s="21">
        <v>19</v>
      </c>
      <c r="J34" s="205">
        <f>F34*I34</f>
        <v>1.9152</v>
      </c>
      <c r="K34" s="21">
        <v>45</v>
      </c>
      <c r="L34" s="205">
        <f t="shared" si="12"/>
        <v>4.5359999999999996</v>
      </c>
      <c r="M34" s="21">
        <v>58</v>
      </c>
      <c r="N34" s="205">
        <f t="shared" si="13"/>
        <v>5.8464</v>
      </c>
      <c r="O34" s="21">
        <v>26</v>
      </c>
      <c r="P34" s="205">
        <f t="shared" si="14"/>
        <v>2.6208</v>
      </c>
      <c r="Q34" s="21">
        <v>0</v>
      </c>
      <c r="R34" s="205">
        <f t="shared" si="15"/>
        <v>0</v>
      </c>
      <c r="S34" s="39">
        <f t="shared" si="7"/>
        <v>385</v>
      </c>
      <c r="T34" s="38">
        <f t="shared" si="1"/>
        <v>38.808</v>
      </c>
      <c r="U34" s="21">
        <v>0</v>
      </c>
      <c r="V34" s="13">
        <f t="shared" si="4"/>
        <v>0</v>
      </c>
      <c r="W34" s="49">
        <f t="shared" si="5"/>
        <v>385</v>
      </c>
      <c r="X34" s="50">
        <f t="shared" si="6"/>
        <v>38.808</v>
      </c>
      <c r="Y34" s="238">
        <v>75</v>
      </c>
      <c r="Z34" s="101">
        <v>150</v>
      </c>
    </row>
    <row r="35" spans="1:26" x14ac:dyDescent="0.25">
      <c r="A35" s="264">
        <v>31</v>
      </c>
      <c r="B35" s="256" t="s">
        <v>159</v>
      </c>
      <c r="C35" s="34">
        <v>140</v>
      </c>
      <c r="D35" s="35">
        <v>240</v>
      </c>
      <c r="E35" s="35">
        <v>4</v>
      </c>
      <c r="F35" s="19">
        <f t="shared" si="2"/>
        <v>0.13439999999999999</v>
      </c>
      <c r="G35" s="23">
        <v>65</v>
      </c>
      <c r="H35" s="26">
        <f t="shared" si="3"/>
        <v>8.7359999999999989</v>
      </c>
      <c r="I35" s="21">
        <v>18</v>
      </c>
      <c r="J35" s="205">
        <f t="shared" si="0"/>
        <v>2.4192</v>
      </c>
      <c r="K35" s="21">
        <v>59</v>
      </c>
      <c r="L35" s="205">
        <f t="shared" si="12"/>
        <v>7.9295999999999998</v>
      </c>
      <c r="M35" s="21">
        <v>14</v>
      </c>
      <c r="N35" s="205">
        <f t="shared" si="13"/>
        <v>1.8815999999999999</v>
      </c>
      <c r="O35" s="21">
        <v>29</v>
      </c>
      <c r="P35" s="205">
        <f t="shared" si="14"/>
        <v>3.8975999999999997</v>
      </c>
      <c r="Q35" s="21">
        <v>0</v>
      </c>
      <c r="R35" s="205">
        <f t="shared" si="15"/>
        <v>0</v>
      </c>
      <c r="S35" s="39">
        <f t="shared" si="7"/>
        <v>-55</v>
      </c>
      <c r="T35" s="38">
        <f t="shared" si="1"/>
        <v>-7.3919999999999995</v>
      </c>
      <c r="U35" s="21">
        <v>104</v>
      </c>
      <c r="V35" s="13">
        <f t="shared" si="4"/>
        <v>13.977599999999999</v>
      </c>
      <c r="W35" s="49">
        <f t="shared" si="5"/>
        <v>49</v>
      </c>
      <c r="X35" s="50">
        <f t="shared" si="6"/>
        <v>6.5855999999999995</v>
      </c>
      <c r="Y35" s="238">
        <v>50</v>
      </c>
      <c r="Z35" s="101">
        <v>100</v>
      </c>
    </row>
    <row r="36" spans="1:26" x14ac:dyDescent="0.25">
      <c r="A36" s="264">
        <v>32</v>
      </c>
      <c r="B36" s="256" t="s">
        <v>160</v>
      </c>
      <c r="C36" s="34">
        <v>140</v>
      </c>
      <c r="D36" s="35">
        <v>240</v>
      </c>
      <c r="E36" s="35">
        <v>2</v>
      </c>
      <c r="F36" s="19">
        <f t="shared" si="2"/>
        <v>6.7199999999999996E-2</v>
      </c>
      <c r="G36" s="23">
        <v>105</v>
      </c>
      <c r="H36" s="26">
        <f t="shared" si="3"/>
        <v>7.0559999999999992</v>
      </c>
      <c r="I36" s="21">
        <v>71</v>
      </c>
      <c r="J36" s="205">
        <f>F36*I36</f>
        <v>4.7711999999999994</v>
      </c>
      <c r="K36" s="21">
        <v>58</v>
      </c>
      <c r="L36" s="205">
        <f t="shared" si="12"/>
        <v>3.8975999999999997</v>
      </c>
      <c r="M36" s="21">
        <v>45</v>
      </c>
      <c r="N36" s="205">
        <f t="shared" si="13"/>
        <v>3.024</v>
      </c>
      <c r="O36" s="21">
        <v>35</v>
      </c>
      <c r="P36" s="205">
        <f t="shared" si="14"/>
        <v>2.3519999999999999</v>
      </c>
      <c r="Q36" s="21">
        <v>0</v>
      </c>
      <c r="R36" s="205">
        <f t="shared" si="15"/>
        <v>0</v>
      </c>
      <c r="S36" s="39">
        <f t="shared" si="7"/>
        <v>-104</v>
      </c>
      <c r="T36" s="38">
        <f t="shared" si="1"/>
        <v>-6.9887999999999995</v>
      </c>
      <c r="U36" s="21">
        <v>369</v>
      </c>
      <c r="V36" s="13">
        <f t="shared" si="4"/>
        <v>24.796799999999998</v>
      </c>
      <c r="W36" s="49">
        <f t="shared" si="5"/>
        <v>265</v>
      </c>
      <c r="X36" s="50">
        <f t="shared" si="6"/>
        <v>17.808</v>
      </c>
      <c r="Y36" s="238">
        <v>100</v>
      </c>
      <c r="Z36" s="101">
        <v>300</v>
      </c>
    </row>
    <row r="37" spans="1:26" x14ac:dyDescent="0.25">
      <c r="A37" s="264">
        <v>33</v>
      </c>
      <c r="B37" s="256" t="s">
        <v>161</v>
      </c>
      <c r="C37" s="34">
        <v>140</v>
      </c>
      <c r="D37" s="35">
        <v>240</v>
      </c>
      <c r="E37" s="35">
        <v>6</v>
      </c>
      <c r="F37" s="19">
        <f t="shared" si="2"/>
        <v>0.2016</v>
      </c>
      <c r="G37" s="23">
        <v>32</v>
      </c>
      <c r="H37" s="26">
        <f t="shared" si="3"/>
        <v>6.4512</v>
      </c>
      <c r="I37" s="21">
        <v>0</v>
      </c>
      <c r="J37" s="205">
        <f t="shared" si="0"/>
        <v>0</v>
      </c>
      <c r="K37" s="21">
        <v>0</v>
      </c>
      <c r="L37" s="205">
        <f>F37*K37</f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39">
        <f t="shared" si="7"/>
        <v>32</v>
      </c>
      <c r="T37" s="38">
        <f t="shared" si="1"/>
        <v>6.4512</v>
      </c>
      <c r="U37" s="21">
        <v>0</v>
      </c>
      <c r="V37" s="13">
        <f t="shared" si="4"/>
        <v>0</v>
      </c>
      <c r="W37" s="49">
        <f t="shared" si="5"/>
        <v>32</v>
      </c>
      <c r="X37" s="50">
        <f t="shared" si="6"/>
        <v>6.4512</v>
      </c>
      <c r="Y37" s="238">
        <v>10</v>
      </c>
      <c r="Z37" s="101">
        <v>30</v>
      </c>
    </row>
    <row r="38" spans="1:26" x14ac:dyDescent="0.25">
      <c r="A38" s="264">
        <v>34</v>
      </c>
      <c r="B38" s="256" t="s">
        <v>162</v>
      </c>
      <c r="C38" s="34">
        <v>84</v>
      </c>
      <c r="D38" s="35">
        <v>55</v>
      </c>
      <c r="E38" s="35">
        <v>3</v>
      </c>
      <c r="F38" s="19">
        <f t="shared" si="2"/>
        <v>1.3860000000000001E-2</v>
      </c>
      <c r="G38" s="23">
        <v>0</v>
      </c>
      <c r="H38" s="26">
        <f t="shared" si="3"/>
        <v>0</v>
      </c>
      <c r="I38" s="21">
        <v>0</v>
      </c>
      <c r="J38" s="205">
        <f t="shared" si="0"/>
        <v>0</v>
      </c>
      <c r="K38" s="21">
        <v>0</v>
      </c>
      <c r="L38" s="205">
        <f t="shared" si="0"/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39">
        <f t="shared" si="7"/>
        <v>0</v>
      </c>
      <c r="T38" s="38">
        <f t="shared" si="1"/>
        <v>0</v>
      </c>
      <c r="U38" s="21">
        <v>0</v>
      </c>
      <c r="V38" s="13">
        <f t="shared" si="4"/>
        <v>0</v>
      </c>
      <c r="W38" s="49">
        <f t="shared" si="5"/>
        <v>0</v>
      </c>
      <c r="X38" s="50">
        <f t="shared" si="6"/>
        <v>0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163</v>
      </c>
      <c r="C39" s="34">
        <v>90</v>
      </c>
      <c r="D39" s="35">
        <v>90</v>
      </c>
      <c r="E39" s="35">
        <v>3</v>
      </c>
      <c r="F39" s="19">
        <f t="shared" si="2"/>
        <v>2.4299999999999999E-2</v>
      </c>
      <c r="G39" s="23">
        <v>0</v>
      </c>
      <c r="H39" s="26">
        <f t="shared" si="3"/>
        <v>0</v>
      </c>
      <c r="I39" s="21">
        <v>0</v>
      </c>
      <c r="J39" s="205">
        <f t="shared" si="0"/>
        <v>0</v>
      </c>
      <c r="K39" s="21">
        <v>0</v>
      </c>
      <c r="L39" s="205">
        <f t="shared" si="0"/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39">
        <f t="shared" si="7"/>
        <v>0</v>
      </c>
      <c r="T39" s="38">
        <f t="shared" si="1"/>
        <v>0</v>
      </c>
      <c r="U39" s="21">
        <v>0</v>
      </c>
      <c r="V39" s="13">
        <f t="shared" si="4"/>
        <v>0</v>
      </c>
      <c r="W39" s="49">
        <f t="shared" si="5"/>
        <v>0</v>
      </c>
      <c r="X39" s="50">
        <f t="shared" si="6"/>
        <v>0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164</v>
      </c>
      <c r="C40" s="34">
        <v>140</v>
      </c>
      <c r="D40" s="35">
        <v>240</v>
      </c>
      <c r="E40" s="35">
        <v>10</v>
      </c>
      <c r="F40" s="19">
        <f t="shared" si="2"/>
        <v>0.33600000000000002</v>
      </c>
      <c r="G40" s="23">
        <v>0</v>
      </c>
      <c r="H40" s="26">
        <f t="shared" si="3"/>
        <v>0</v>
      </c>
      <c r="I40" s="21">
        <v>0</v>
      </c>
      <c r="J40" s="205">
        <f t="shared" si="0"/>
        <v>0</v>
      </c>
      <c r="K40" s="21">
        <v>0</v>
      </c>
      <c r="L40" s="205">
        <f>F40*K40</f>
        <v>0</v>
      </c>
      <c r="M40" s="21">
        <v>0</v>
      </c>
      <c r="N40" s="205">
        <f>F40*M40</f>
        <v>0</v>
      </c>
      <c r="O40" s="21">
        <v>0</v>
      </c>
      <c r="P40" s="205">
        <f>F40*O40</f>
        <v>0</v>
      </c>
      <c r="Q40" s="21">
        <v>0</v>
      </c>
      <c r="R40" s="205">
        <f>F40*Q40</f>
        <v>0</v>
      </c>
      <c r="S40" s="39">
        <f t="shared" si="7"/>
        <v>0</v>
      </c>
      <c r="T40" s="38">
        <f t="shared" si="1"/>
        <v>0</v>
      </c>
      <c r="U40" s="21">
        <v>0</v>
      </c>
      <c r="V40" s="13">
        <f t="shared" si="4"/>
        <v>0</v>
      </c>
      <c r="W40" s="49">
        <f t="shared" si="5"/>
        <v>0</v>
      </c>
      <c r="X40" s="50">
        <f t="shared" si="6"/>
        <v>0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165</v>
      </c>
      <c r="C41" s="34">
        <v>140</v>
      </c>
      <c r="D41" s="35">
        <v>240</v>
      </c>
      <c r="E41" s="35">
        <v>10</v>
      </c>
      <c r="F41" s="19">
        <f t="shared" si="2"/>
        <v>0.33600000000000002</v>
      </c>
      <c r="G41" s="23">
        <v>108</v>
      </c>
      <c r="H41" s="26">
        <f t="shared" si="3"/>
        <v>36.288000000000004</v>
      </c>
      <c r="I41" s="21">
        <v>2</v>
      </c>
      <c r="J41" s="205">
        <f>F41*I41</f>
        <v>0.67200000000000004</v>
      </c>
      <c r="K41" s="21">
        <v>0</v>
      </c>
      <c r="L41" s="205">
        <f>F41*K41</f>
        <v>0</v>
      </c>
      <c r="M41" s="21">
        <v>1</v>
      </c>
      <c r="N41" s="205">
        <f>F41*M41</f>
        <v>0.33600000000000002</v>
      </c>
      <c r="O41" s="21">
        <v>36</v>
      </c>
      <c r="P41" s="205">
        <f>F41*O41</f>
        <v>12.096</v>
      </c>
      <c r="Q41" s="21">
        <v>0</v>
      </c>
      <c r="R41" s="205">
        <f>F41*Q41</f>
        <v>0</v>
      </c>
      <c r="S41" s="39">
        <f t="shared" si="7"/>
        <v>69</v>
      </c>
      <c r="T41" s="38">
        <f t="shared" si="1"/>
        <v>23.184000000000001</v>
      </c>
      <c r="U41" s="21">
        <v>0</v>
      </c>
      <c r="V41" s="13">
        <f t="shared" si="4"/>
        <v>0</v>
      </c>
      <c r="W41" s="49">
        <f t="shared" si="5"/>
        <v>69</v>
      </c>
      <c r="X41" s="50">
        <f t="shared" si="6"/>
        <v>23.184000000000001</v>
      </c>
      <c r="Y41" s="238">
        <v>50</v>
      </c>
      <c r="Z41" s="101">
        <v>100</v>
      </c>
    </row>
    <row r="42" spans="1:26" x14ac:dyDescent="0.25">
      <c r="A42" s="264">
        <v>38</v>
      </c>
      <c r="B42" s="256" t="s">
        <v>166</v>
      </c>
      <c r="C42" s="34">
        <v>92</v>
      </c>
      <c r="D42" s="35">
        <v>82</v>
      </c>
      <c r="E42" s="35">
        <v>2</v>
      </c>
      <c r="F42" s="19">
        <f t="shared" si="2"/>
        <v>1.5088000000000001E-2</v>
      </c>
      <c r="G42" s="23">
        <v>410</v>
      </c>
      <c r="H42" s="26">
        <f t="shared" si="3"/>
        <v>6.1860800000000005</v>
      </c>
      <c r="I42" s="21">
        <v>74</v>
      </c>
      <c r="J42" s="205">
        <f t="shared" si="0"/>
        <v>1.1165119999999999</v>
      </c>
      <c r="K42" s="21">
        <v>232</v>
      </c>
      <c r="L42" s="205">
        <f>F42*K42</f>
        <v>3.500416</v>
      </c>
      <c r="M42" s="21">
        <v>42</v>
      </c>
      <c r="N42" s="205">
        <f>F42*M42</f>
        <v>0.63369600000000004</v>
      </c>
      <c r="O42" s="21">
        <v>145</v>
      </c>
      <c r="P42" s="205">
        <f>F42*O42</f>
        <v>2.1877599999999999</v>
      </c>
      <c r="Q42" s="21">
        <v>0</v>
      </c>
      <c r="R42" s="205">
        <f>F42*Q42</f>
        <v>0</v>
      </c>
      <c r="S42" s="39">
        <f t="shared" si="7"/>
        <v>-83</v>
      </c>
      <c r="T42" s="38">
        <f t="shared" si="1"/>
        <v>-1.2523040000000001</v>
      </c>
      <c r="U42" s="21">
        <v>496</v>
      </c>
      <c r="V42" s="13">
        <f t="shared" si="4"/>
        <v>7.4836480000000005</v>
      </c>
      <c r="W42" s="49">
        <f t="shared" si="5"/>
        <v>413</v>
      </c>
      <c r="X42" s="50">
        <f t="shared" si="6"/>
        <v>6.231344</v>
      </c>
      <c r="Y42" s="238">
        <v>100</v>
      </c>
      <c r="Z42" s="101">
        <v>300</v>
      </c>
    </row>
    <row r="43" spans="1:26" x14ac:dyDescent="0.25">
      <c r="A43" s="264">
        <v>39</v>
      </c>
      <c r="B43" s="256" t="s">
        <v>167</v>
      </c>
      <c r="C43" s="34">
        <v>75</v>
      </c>
      <c r="D43" s="35">
        <v>55</v>
      </c>
      <c r="E43" s="35">
        <v>3</v>
      </c>
      <c r="F43" s="19">
        <f t="shared" si="2"/>
        <v>1.2375000000000001E-2</v>
      </c>
      <c r="G43" s="23">
        <v>0</v>
      </c>
      <c r="H43" s="26">
        <f t="shared" si="3"/>
        <v>0</v>
      </c>
      <c r="I43" s="21">
        <v>0</v>
      </c>
      <c r="J43" s="205">
        <f t="shared" si="0"/>
        <v>0</v>
      </c>
      <c r="K43" s="21">
        <v>0</v>
      </c>
      <c r="L43" s="205">
        <f t="shared" si="0"/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39">
        <f t="shared" si="7"/>
        <v>0</v>
      </c>
      <c r="T43" s="38">
        <f t="shared" si="1"/>
        <v>0</v>
      </c>
      <c r="U43" s="21">
        <v>0</v>
      </c>
      <c r="V43" s="13">
        <f t="shared" si="4"/>
        <v>0</v>
      </c>
      <c r="W43" s="49">
        <f t="shared" si="5"/>
        <v>0</v>
      </c>
      <c r="X43" s="50">
        <f t="shared" si="6"/>
        <v>0</v>
      </c>
      <c r="Y43" s="238">
        <v>0</v>
      </c>
      <c r="Z43" s="101">
        <v>0</v>
      </c>
    </row>
    <row r="44" spans="1:26" x14ac:dyDescent="0.25">
      <c r="A44" s="264">
        <v>40</v>
      </c>
      <c r="B44" s="256" t="s">
        <v>168</v>
      </c>
      <c r="C44" s="34">
        <v>140</v>
      </c>
      <c r="D44" s="35">
        <v>240</v>
      </c>
      <c r="E44" s="35">
        <v>3</v>
      </c>
      <c r="F44" s="19">
        <f t="shared" si="2"/>
        <v>0.1008</v>
      </c>
      <c r="G44" s="23">
        <v>0</v>
      </c>
      <c r="H44" s="26">
        <f t="shared" si="3"/>
        <v>0</v>
      </c>
      <c r="I44" s="21">
        <v>0</v>
      </c>
      <c r="J44" s="205">
        <f t="shared" si="0"/>
        <v>0</v>
      </c>
      <c r="K44" s="21">
        <v>0</v>
      </c>
      <c r="L44" s="205">
        <f t="shared" ref="L44:L52" si="16">F44*K44</f>
        <v>0</v>
      </c>
      <c r="M44" s="21">
        <v>0</v>
      </c>
      <c r="N44" s="205">
        <f t="shared" ref="N44:N52" si="17">F44*M44</f>
        <v>0</v>
      </c>
      <c r="O44" s="21">
        <v>0</v>
      </c>
      <c r="P44" s="205">
        <f t="shared" ref="P44:P52" si="18">F44*O44</f>
        <v>0</v>
      </c>
      <c r="Q44" s="21">
        <v>0</v>
      </c>
      <c r="R44" s="205">
        <f t="shared" ref="R44:R52" si="19">F44*Q44</f>
        <v>0</v>
      </c>
      <c r="S44" s="39">
        <f t="shared" si="7"/>
        <v>0</v>
      </c>
      <c r="T44" s="38">
        <f t="shared" si="1"/>
        <v>0</v>
      </c>
      <c r="U44" s="21">
        <v>0</v>
      </c>
      <c r="V44" s="13">
        <f t="shared" si="4"/>
        <v>0</v>
      </c>
      <c r="W44" s="49">
        <f t="shared" si="5"/>
        <v>0</v>
      </c>
      <c r="X44" s="50">
        <f t="shared" si="6"/>
        <v>0</v>
      </c>
      <c r="Y44" s="238">
        <v>0</v>
      </c>
      <c r="Z44" s="101">
        <v>0</v>
      </c>
    </row>
    <row r="45" spans="1:26" x14ac:dyDescent="0.25">
      <c r="A45" s="264">
        <v>41</v>
      </c>
      <c r="B45" s="256" t="s">
        <v>169</v>
      </c>
      <c r="C45" s="34">
        <v>82</v>
      </c>
      <c r="D45" s="34">
        <v>80</v>
      </c>
      <c r="E45" s="34">
        <v>2</v>
      </c>
      <c r="F45" s="19">
        <f t="shared" si="2"/>
        <v>1.312E-2</v>
      </c>
      <c r="G45" s="34">
        <v>302</v>
      </c>
      <c r="H45" s="26">
        <f t="shared" si="3"/>
        <v>3.96224</v>
      </c>
      <c r="I45" s="21">
        <v>0</v>
      </c>
      <c r="J45" s="205">
        <f t="shared" si="0"/>
        <v>0</v>
      </c>
      <c r="K45" s="21">
        <v>207</v>
      </c>
      <c r="L45" s="205">
        <f t="shared" si="16"/>
        <v>2.71584</v>
      </c>
      <c r="M45" s="21">
        <v>36</v>
      </c>
      <c r="N45" s="205">
        <f t="shared" si="17"/>
        <v>0.47231999999999996</v>
      </c>
      <c r="O45" s="21">
        <v>180</v>
      </c>
      <c r="P45" s="205">
        <f t="shared" si="18"/>
        <v>2.3616000000000001</v>
      </c>
      <c r="Q45" s="21">
        <v>0</v>
      </c>
      <c r="R45" s="205">
        <f t="shared" si="19"/>
        <v>0</v>
      </c>
      <c r="S45" s="39">
        <f t="shared" si="7"/>
        <v>-121</v>
      </c>
      <c r="T45" s="38">
        <f t="shared" si="1"/>
        <v>-1.58752</v>
      </c>
      <c r="U45" s="21">
        <v>452</v>
      </c>
      <c r="V45" s="13">
        <f t="shared" si="4"/>
        <v>5.9302399999999995</v>
      </c>
      <c r="W45" s="49">
        <f t="shared" si="5"/>
        <v>331</v>
      </c>
      <c r="X45" s="50">
        <f t="shared" si="6"/>
        <v>4.3427199999999999</v>
      </c>
      <c r="Y45" s="238">
        <v>100</v>
      </c>
      <c r="Z45" s="101">
        <v>300</v>
      </c>
    </row>
    <row r="46" spans="1:26" x14ac:dyDescent="0.25">
      <c r="A46" s="264">
        <v>42</v>
      </c>
      <c r="B46" s="256" t="s">
        <v>170</v>
      </c>
      <c r="C46" s="34">
        <v>90</v>
      </c>
      <c r="D46" s="34">
        <v>83</v>
      </c>
      <c r="E46" s="34">
        <v>2</v>
      </c>
      <c r="F46" s="19">
        <f t="shared" si="2"/>
        <v>1.494E-2</v>
      </c>
      <c r="G46" s="34">
        <v>700</v>
      </c>
      <c r="H46" s="26">
        <f t="shared" si="3"/>
        <v>10.458</v>
      </c>
      <c r="I46" s="21">
        <v>0</v>
      </c>
      <c r="J46" s="205">
        <f t="shared" si="0"/>
        <v>0</v>
      </c>
      <c r="K46" s="21">
        <v>78</v>
      </c>
      <c r="L46" s="205">
        <f t="shared" si="16"/>
        <v>1.1653199999999999</v>
      </c>
      <c r="M46" s="21">
        <v>26</v>
      </c>
      <c r="N46" s="205">
        <f t="shared" si="17"/>
        <v>0.38844000000000001</v>
      </c>
      <c r="O46" s="21">
        <v>72</v>
      </c>
      <c r="P46" s="205">
        <f t="shared" si="18"/>
        <v>1.07568</v>
      </c>
      <c r="Q46" s="21">
        <v>0</v>
      </c>
      <c r="R46" s="205">
        <f t="shared" si="19"/>
        <v>0</v>
      </c>
      <c r="S46" s="39">
        <f t="shared" si="7"/>
        <v>524</v>
      </c>
      <c r="T46" s="38">
        <f t="shared" si="1"/>
        <v>7.8285600000000004</v>
      </c>
      <c r="U46" s="21">
        <v>271</v>
      </c>
      <c r="V46" s="13">
        <f t="shared" si="4"/>
        <v>4.0487400000000004</v>
      </c>
      <c r="W46" s="49">
        <f t="shared" si="5"/>
        <v>795</v>
      </c>
      <c r="X46" s="50">
        <f t="shared" si="6"/>
        <v>11.8773</v>
      </c>
      <c r="Y46" s="238">
        <v>100</v>
      </c>
      <c r="Z46" s="101">
        <v>300</v>
      </c>
    </row>
    <row r="47" spans="1:26" x14ac:dyDescent="0.25">
      <c r="A47" s="264">
        <v>43</v>
      </c>
      <c r="B47" s="256" t="s">
        <v>171</v>
      </c>
      <c r="C47" s="34">
        <v>105</v>
      </c>
      <c r="D47" s="34">
        <v>55</v>
      </c>
      <c r="E47" s="34">
        <v>3</v>
      </c>
      <c r="F47" s="19">
        <f t="shared" si="2"/>
        <v>1.7325E-2</v>
      </c>
      <c r="G47" s="34">
        <v>0</v>
      </c>
      <c r="H47" s="26">
        <f t="shared" si="3"/>
        <v>0</v>
      </c>
      <c r="I47" s="21">
        <v>0</v>
      </c>
      <c r="J47" s="205">
        <f t="shared" si="0"/>
        <v>0</v>
      </c>
      <c r="K47" s="21">
        <v>0</v>
      </c>
      <c r="L47" s="205">
        <f t="shared" si="16"/>
        <v>0</v>
      </c>
      <c r="M47" s="21">
        <v>0</v>
      </c>
      <c r="N47" s="205">
        <f t="shared" si="17"/>
        <v>0</v>
      </c>
      <c r="O47" s="21">
        <v>0</v>
      </c>
      <c r="P47" s="205">
        <f t="shared" si="18"/>
        <v>0</v>
      </c>
      <c r="Q47" s="21">
        <v>0</v>
      </c>
      <c r="R47" s="205">
        <f t="shared" si="19"/>
        <v>0</v>
      </c>
      <c r="S47" s="39">
        <f t="shared" si="7"/>
        <v>0</v>
      </c>
      <c r="T47" s="38">
        <f t="shared" si="1"/>
        <v>0</v>
      </c>
      <c r="U47" s="21">
        <v>0</v>
      </c>
      <c r="V47" s="13">
        <f t="shared" si="4"/>
        <v>0</v>
      </c>
      <c r="W47" s="49">
        <f t="shared" si="5"/>
        <v>0</v>
      </c>
      <c r="X47" s="50">
        <f t="shared" si="6"/>
        <v>0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173</v>
      </c>
      <c r="C48" s="34">
        <v>140</v>
      </c>
      <c r="D48" s="34">
        <v>240</v>
      </c>
      <c r="E48" s="34">
        <v>4</v>
      </c>
      <c r="F48" s="19">
        <f t="shared" si="2"/>
        <v>0.13439999999999999</v>
      </c>
      <c r="G48" s="34">
        <v>0</v>
      </c>
      <c r="H48" s="26">
        <f t="shared" si="3"/>
        <v>0</v>
      </c>
      <c r="I48" s="21">
        <v>0</v>
      </c>
      <c r="J48" s="205">
        <f t="shared" si="0"/>
        <v>0</v>
      </c>
      <c r="K48" s="21">
        <v>0</v>
      </c>
      <c r="L48" s="205">
        <f t="shared" si="16"/>
        <v>0</v>
      </c>
      <c r="M48" s="21">
        <v>0</v>
      </c>
      <c r="N48" s="205">
        <f t="shared" si="17"/>
        <v>0</v>
      </c>
      <c r="O48" s="21">
        <v>0</v>
      </c>
      <c r="P48" s="205">
        <f t="shared" si="18"/>
        <v>0</v>
      </c>
      <c r="Q48" s="21">
        <v>0</v>
      </c>
      <c r="R48" s="205">
        <f t="shared" si="19"/>
        <v>0</v>
      </c>
      <c r="S48" s="39">
        <f t="shared" si="7"/>
        <v>0</v>
      </c>
      <c r="T48" s="38">
        <f t="shared" si="1"/>
        <v>0</v>
      </c>
      <c r="U48" s="21">
        <v>0</v>
      </c>
      <c r="V48" s="13">
        <f t="shared" si="4"/>
        <v>0</v>
      </c>
      <c r="W48" s="49">
        <f t="shared" si="5"/>
        <v>0</v>
      </c>
      <c r="X48" s="50">
        <f t="shared" si="6"/>
        <v>0</v>
      </c>
      <c r="Y48" s="238">
        <v>0</v>
      </c>
      <c r="Z48" s="101">
        <v>0</v>
      </c>
    </row>
    <row r="49" spans="1:26" x14ac:dyDescent="0.25">
      <c r="A49" s="264">
        <v>45</v>
      </c>
      <c r="B49" s="256" t="s">
        <v>174</v>
      </c>
      <c r="C49" s="34">
        <v>140</v>
      </c>
      <c r="D49" s="34">
        <v>240</v>
      </c>
      <c r="E49" s="34">
        <v>14</v>
      </c>
      <c r="F49" s="19">
        <f t="shared" si="2"/>
        <v>0.47039999999999998</v>
      </c>
      <c r="G49" s="34">
        <v>7</v>
      </c>
      <c r="H49" s="26">
        <f t="shared" si="3"/>
        <v>3.2927999999999997</v>
      </c>
      <c r="I49" s="21">
        <v>0</v>
      </c>
      <c r="J49" s="205">
        <f t="shared" si="0"/>
        <v>0</v>
      </c>
      <c r="K49" s="21">
        <v>0</v>
      </c>
      <c r="L49" s="205">
        <f t="shared" si="16"/>
        <v>0</v>
      </c>
      <c r="M49" s="21">
        <v>0</v>
      </c>
      <c r="N49" s="205">
        <f t="shared" si="17"/>
        <v>0</v>
      </c>
      <c r="O49" s="21">
        <v>0</v>
      </c>
      <c r="P49" s="205">
        <f t="shared" si="18"/>
        <v>0</v>
      </c>
      <c r="Q49" s="21">
        <v>0</v>
      </c>
      <c r="R49" s="205">
        <f t="shared" si="19"/>
        <v>0</v>
      </c>
      <c r="S49" s="39">
        <f t="shared" si="7"/>
        <v>7</v>
      </c>
      <c r="T49" s="38">
        <f t="shared" si="1"/>
        <v>3.2927999999999997</v>
      </c>
      <c r="U49" s="21">
        <v>0</v>
      </c>
      <c r="V49" s="13">
        <f t="shared" si="4"/>
        <v>0</v>
      </c>
      <c r="W49" s="49">
        <f t="shared" si="5"/>
        <v>7</v>
      </c>
      <c r="X49" s="50">
        <f t="shared" si="6"/>
        <v>3.2927999999999997</v>
      </c>
      <c r="Y49" s="238">
        <v>10</v>
      </c>
      <c r="Z49" s="101">
        <v>20</v>
      </c>
    </row>
    <row r="50" spans="1:26" x14ac:dyDescent="0.25">
      <c r="A50" s="264">
        <v>46</v>
      </c>
      <c r="B50" s="256" t="s">
        <v>175</v>
      </c>
      <c r="C50" s="34">
        <v>140</v>
      </c>
      <c r="D50" s="34">
        <v>240</v>
      </c>
      <c r="E50" s="34">
        <v>12</v>
      </c>
      <c r="F50" s="19">
        <f t="shared" si="2"/>
        <v>0.4032</v>
      </c>
      <c r="G50" s="34">
        <v>10</v>
      </c>
      <c r="H50" s="26">
        <f t="shared" si="3"/>
        <v>4.032</v>
      </c>
      <c r="I50" s="21">
        <v>0</v>
      </c>
      <c r="J50" s="205">
        <f t="shared" si="0"/>
        <v>0</v>
      </c>
      <c r="K50" s="21">
        <v>0</v>
      </c>
      <c r="L50" s="205">
        <f t="shared" si="16"/>
        <v>0</v>
      </c>
      <c r="M50" s="21">
        <v>1</v>
      </c>
      <c r="N50" s="205">
        <f t="shared" si="17"/>
        <v>0.4032</v>
      </c>
      <c r="O50" s="21">
        <v>0</v>
      </c>
      <c r="P50" s="205">
        <f t="shared" si="18"/>
        <v>0</v>
      </c>
      <c r="Q50" s="21">
        <v>0</v>
      </c>
      <c r="R50" s="205">
        <f t="shared" si="19"/>
        <v>0</v>
      </c>
      <c r="S50" s="39">
        <f t="shared" si="7"/>
        <v>9</v>
      </c>
      <c r="T50" s="38">
        <f t="shared" si="1"/>
        <v>3.6288</v>
      </c>
      <c r="U50" s="21">
        <v>0</v>
      </c>
      <c r="V50" s="13">
        <f t="shared" si="4"/>
        <v>0</v>
      </c>
      <c r="W50" s="49">
        <f t="shared" si="5"/>
        <v>9</v>
      </c>
      <c r="X50" s="50">
        <f t="shared" si="6"/>
        <v>3.6288</v>
      </c>
      <c r="Y50" s="238">
        <v>10</v>
      </c>
      <c r="Z50" s="101">
        <v>20</v>
      </c>
    </row>
    <row r="51" spans="1:26" x14ac:dyDescent="0.25">
      <c r="A51" s="264">
        <v>47</v>
      </c>
      <c r="B51" s="256" t="s">
        <v>176</v>
      </c>
      <c r="C51" s="34">
        <v>130</v>
      </c>
      <c r="D51" s="34">
        <v>60</v>
      </c>
      <c r="E51" s="34">
        <v>5</v>
      </c>
      <c r="F51" s="19">
        <f t="shared" si="2"/>
        <v>3.9E-2</v>
      </c>
      <c r="G51" s="34">
        <v>162</v>
      </c>
      <c r="H51" s="26">
        <f t="shared" si="3"/>
        <v>6.3179999999999996</v>
      </c>
      <c r="I51" s="21">
        <v>0</v>
      </c>
      <c r="J51" s="205">
        <f t="shared" si="0"/>
        <v>0</v>
      </c>
      <c r="K51" s="21">
        <v>0</v>
      </c>
      <c r="L51" s="205">
        <f t="shared" si="16"/>
        <v>0</v>
      </c>
      <c r="M51" s="21">
        <v>0</v>
      </c>
      <c r="N51" s="205">
        <f t="shared" si="17"/>
        <v>0</v>
      </c>
      <c r="O51" s="21">
        <v>0</v>
      </c>
      <c r="P51" s="205">
        <f t="shared" si="18"/>
        <v>0</v>
      </c>
      <c r="Q51" s="21">
        <v>0</v>
      </c>
      <c r="R51" s="205">
        <f t="shared" si="19"/>
        <v>0</v>
      </c>
      <c r="S51" s="39">
        <f t="shared" si="7"/>
        <v>162</v>
      </c>
      <c r="T51" s="38">
        <f t="shared" si="1"/>
        <v>6.3179999999999996</v>
      </c>
      <c r="U51" s="21">
        <v>0</v>
      </c>
      <c r="V51" s="13">
        <f t="shared" si="4"/>
        <v>0</v>
      </c>
      <c r="W51" s="49">
        <f t="shared" si="5"/>
        <v>162</v>
      </c>
      <c r="X51" s="50">
        <f t="shared" si="6"/>
        <v>6.3179999999999996</v>
      </c>
      <c r="Y51" s="238">
        <v>30</v>
      </c>
      <c r="Z51" s="101">
        <v>100</v>
      </c>
    </row>
    <row r="52" spans="1:26" x14ac:dyDescent="0.25">
      <c r="A52" s="264">
        <v>48</v>
      </c>
      <c r="B52" s="256" t="s">
        <v>178</v>
      </c>
      <c r="C52" s="34">
        <v>140</v>
      </c>
      <c r="D52" s="34">
        <v>240</v>
      </c>
      <c r="E52" s="34">
        <v>3</v>
      </c>
      <c r="F52" s="19">
        <f t="shared" si="2"/>
        <v>0.1008</v>
      </c>
      <c r="G52" s="34">
        <v>1365</v>
      </c>
      <c r="H52" s="26">
        <f t="shared" si="3"/>
        <v>137.59200000000001</v>
      </c>
      <c r="I52" s="21">
        <v>0</v>
      </c>
      <c r="J52" s="205">
        <f t="shared" si="0"/>
        <v>0</v>
      </c>
      <c r="K52" s="21">
        <v>2</v>
      </c>
      <c r="L52" s="205">
        <f t="shared" si="16"/>
        <v>0.2016</v>
      </c>
      <c r="M52" s="21">
        <v>19</v>
      </c>
      <c r="N52" s="205">
        <f t="shared" si="17"/>
        <v>1.9152</v>
      </c>
      <c r="O52" s="21">
        <v>21</v>
      </c>
      <c r="P52" s="205">
        <f t="shared" si="18"/>
        <v>2.1168</v>
      </c>
      <c r="Q52" s="21">
        <v>0</v>
      </c>
      <c r="R52" s="205">
        <f t="shared" si="19"/>
        <v>0</v>
      </c>
      <c r="S52" s="39">
        <f t="shared" si="7"/>
        <v>1323</v>
      </c>
      <c r="T52" s="38">
        <f t="shared" si="1"/>
        <v>133.35839999999999</v>
      </c>
      <c r="U52" s="21">
        <v>0</v>
      </c>
      <c r="V52" s="13">
        <f t="shared" si="4"/>
        <v>0</v>
      </c>
      <c r="W52" s="49">
        <f t="shared" si="5"/>
        <v>1323</v>
      </c>
      <c r="X52" s="50">
        <f t="shared" si="6"/>
        <v>133.35839999999999</v>
      </c>
      <c r="Y52" s="238">
        <v>100</v>
      </c>
      <c r="Z52" s="101">
        <v>300</v>
      </c>
    </row>
    <row r="53" spans="1:26" x14ac:dyDescent="0.25">
      <c r="A53" s="264">
        <v>49</v>
      </c>
      <c r="B53" s="256" t="s">
        <v>87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26">
        <f t="shared" si="3"/>
        <v>0</v>
      </c>
      <c r="I53" s="21">
        <v>0</v>
      </c>
      <c r="J53" s="205">
        <f t="shared" si="0"/>
        <v>0</v>
      </c>
      <c r="K53" s="21">
        <v>0</v>
      </c>
      <c r="L53" s="205">
        <f t="shared" si="0"/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39">
        <f t="shared" si="7"/>
        <v>0</v>
      </c>
      <c r="T53" s="38">
        <f t="shared" si="1"/>
        <v>0</v>
      </c>
      <c r="U53" s="21">
        <v>0</v>
      </c>
      <c r="V53" s="13">
        <f t="shared" si="4"/>
        <v>0</v>
      </c>
      <c r="W53" s="49">
        <f t="shared" si="5"/>
        <v>0</v>
      </c>
      <c r="X53" s="50">
        <f t="shared" si="6"/>
        <v>0</v>
      </c>
      <c r="Y53" s="238">
        <v>0</v>
      </c>
      <c r="Z53" s="101">
        <v>0</v>
      </c>
    </row>
    <row r="54" spans="1:26" x14ac:dyDescent="0.25">
      <c r="A54" s="264">
        <v>50</v>
      </c>
      <c r="B54" s="256" t="s">
        <v>87</v>
      </c>
      <c r="C54" s="34">
        <v>0</v>
      </c>
      <c r="D54" s="34">
        <v>0</v>
      </c>
      <c r="E54" s="34">
        <v>0</v>
      </c>
      <c r="F54" s="34">
        <v>0</v>
      </c>
      <c r="G54" s="34">
        <v>0</v>
      </c>
      <c r="H54" s="26">
        <f t="shared" si="3"/>
        <v>0</v>
      </c>
      <c r="I54" s="21">
        <v>0</v>
      </c>
      <c r="J54" s="205">
        <f t="shared" si="0"/>
        <v>0</v>
      </c>
      <c r="K54" s="21">
        <v>0</v>
      </c>
      <c r="L54" s="205">
        <f t="shared" si="0"/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39">
        <f t="shared" si="7"/>
        <v>0</v>
      </c>
      <c r="T54" s="38">
        <f t="shared" si="1"/>
        <v>0</v>
      </c>
      <c r="U54" s="21">
        <v>0</v>
      </c>
      <c r="V54" s="13">
        <f t="shared" si="4"/>
        <v>0</v>
      </c>
      <c r="W54" s="49">
        <f t="shared" si="5"/>
        <v>0</v>
      </c>
      <c r="X54" s="50">
        <f t="shared" si="6"/>
        <v>0</v>
      </c>
      <c r="Y54" s="238">
        <v>0</v>
      </c>
      <c r="Z54" s="101">
        <v>0</v>
      </c>
    </row>
    <row r="55" spans="1:26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6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6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6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6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6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6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6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6" x14ac:dyDescent="0.2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6" x14ac:dyDescent="0.2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</sheetData>
  <mergeCells count="24">
    <mergeCell ref="C1:H1"/>
    <mergeCell ref="G2:H3"/>
    <mergeCell ref="I2:J2"/>
    <mergeCell ref="K2:L2"/>
    <mergeCell ref="M2:N2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S4:T4"/>
    <mergeCell ref="U4:V4"/>
    <mergeCell ref="W4:X4"/>
    <mergeCell ref="G4:H4"/>
    <mergeCell ref="I4:J4"/>
    <mergeCell ref="K4:L4"/>
    <mergeCell ref="M4:N4"/>
    <mergeCell ref="O4:P4"/>
    <mergeCell ref="Q4:R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Z78"/>
  <sheetViews>
    <sheetView workbookViewId="0">
      <selection activeCell="P46" sqref="P46"/>
    </sheetView>
  </sheetViews>
  <sheetFormatPr defaultRowHeight="15" x14ac:dyDescent="0.25"/>
  <cols>
    <col min="1" max="1" width="6.42578125" customWidth="1"/>
    <col min="2" max="2" width="29.140625" style="3" customWidth="1"/>
    <col min="3" max="3" width="8.140625" style="2" hidden="1" customWidth="1"/>
    <col min="4" max="4" width="11.140625" style="2" hidden="1" customWidth="1"/>
    <col min="5" max="5" width="13.85546875" style="2" hidden="1" customWidth="1"/>
    <col min="6" max="6" width="17.28515625" style="4" hidden="1" customWidth="1"/>
    <col min="7" max="7" width="8.7109375" style="5" customWidth="1"/>
    <col min="8" max="8" width="9" style="5" customWidth="1"/>
    <col min="9" max="18" width="8.140625" style="2" customWidth="1"/>
    <col min="19" max="19" width="0.140625" style="2" customWidth="1"/>
    <col min="20" max="20" width="8.140625" style="2" hidden="1" customWidth="1"/>
    <col min="21" max="21" width="9.42578125" customWidth="1"/>
    <col min="22" max="22" width="11.7109375" customWidth="1"/>
    <col min="25" max="25" width="10.28515625" customWidth="1"/>
  </cols>
  <sheetData>
    <row r="1" spans="1:26" ht="15.75" thickBot="1" x14ac:dyDescent="0.3">
      <c r="B1" s="4" t="s">
        <v>18</v>
      </c>
      <c r="C1" s="384">
        <v>45352</v>
      </c>
      <c r="D1" s="320"/>
      <c r="E1" s="320"/>
      <c r="F1" s="320"/>
      <c r="G1" s="320"/>
      <c r="H1" s="320"/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45359</v>
      </c>
      <c r="J2" s="326"/>
      <c r="K2" s="327">
        <v>45366</v>
      </c>
      <c r="L2" s="328"/>
      <c r="M2" s="325">
        <v>45373</v>
      </c>
      <c r="N2" s="329"/>
      <c r="O2" s="327">
        <v>45379</v>
      </c>
      <c r="P2" s="346"/>
      <c r="Q2" s="325">
        <v>45382</v>
      </c>
      <c r="R2" s="329"/>
      <c r="S2" s="330" t="s">
        <v>69</v>
      </c>
      <c r="T2" s="331"/>
      <c r="U2" s="334" t="s">
        <v>70</v>
      </c>
      <c r="V2" s="335"/>
      <c r="W2" s="338" t="s">
        <v>71</v>
      </c>
      <c r="X2" s="339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40"/>
      <c r="X3" s="341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51" t="s">
        <v>63</v>
      </c>
      <c r="X4" s="352"/>
      <c r="Y4" s="268" t="s">
        <v>179</v>
      </c>
      <c r="Z4" s="269" t="s">
        <v>99</v>
      </c>
    </row>
    <row r="5" spans="1:26" x14ac:dyDescent="0.25">
      <c r="A5" s="263">
        <v>1</v>
      </c>
      <c r="B5" s="256" t="s">
        <v>134</v>
      </c>
      <c r="C5" s="32">
        <v>70</v>
      </c>
      <c r="D5" s="33">
        <v>64</v>
      </c>
      <c r="E5" s="33">
        <v>8</v>
      </c>
      <c r="F5" s="15">
        <f>(C5*D5*E5)/1000000</f>
        <v>3.5839999999999997E-2</v>
      </c>
      <c r="G5" s="23">
        <v>743</v>
      </c>
      <c r="H5" s="24">
        <f>F5*G5</f>
        <v>26.629119999999997</v>
      </c>
      <c r="I5" s="21">
        <v>0</v>
      </c>
      <c r="J5" s="205">
        <f t="shared" ref="J5:R54" si="0">F5*I5</f>
        <v>0</v>
      </c>
      <c r="K5" s="21">
        <v>81</v>
      </c>
      <c r="L5" s="205">
        <f>F5*K5</f>
        <v>2.9030399999999998</v>
      </c>
      <c r="M5" s="21">
        <v>0</v>
      </c>
      <c r="N5" s="205">
        <f>F5*M5</f>
        <v>0</v>
      </c>
      <c r="O5" s="21">
        <v>0</v>
      </c>
      <c r="P5" s="205">
        <f>F5*O5</f>
        <v>0</v>
      </c>
      <c r="Q5" s="21">
        <v>0</v>
      </c>
      <c r="R5" s="205">
        <f>F5*Q5</f>
        <v>0</v>
      </c>
      <c r="S5" s="39">
        <f>G5-I5-K5-M5-O5-Q5</f>
        <v>662</v>
      </c>
      <c r="T5" s="38">
        <f t="shared" ref="T5:T54" si="1">F5*S5</f>
        <v>23.72608</v>
      </c>
      <c r="U5" s="21">
        <v>0</v>
      </c>
      <c r="V5" s="13">
        <f>F5*U5</f>
        <v>0</v>
      </c>
      <c r="W5" s="49">
        <f>S5+U5</f>
        <v>662</v>
      </c>
      <c r="X5" s="50">
        <f>F5*W5</f>
        <v>23.72608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135</v>
      </c>
      <c r="C6" s="34">
        <v>70</v>
      </c>
      <c r="D6" s="35">
        <v>80</v>
      </c>
      <c r="E6" s="35">
        <v>8</v>
      </c>
      <c r="F6" s="19">
        <f t="shared" ref="F6:F52" si="2">(C6*D6*E6)/1000000</f>
        <v>4.48E-2</v>
      </c>
      <c r="G6" s="23">
        <v>783</v>
      </c>
      <c r="H6" s="26">
        <f t="shared" ref="H6:H54" si="3">F6*G6</f>
        <v>35.078400000000002</v>
      </c>
      <c r="I6" s="21">
        <v>6</v>
      </c>
      <c r="J6" s="205">
        <f t="shared" si="0"/>
        <v>0.26879999999999998</v>
      </c>
      <c r="K6" s="21">
        <v>82</v>
      </c>
      <c r="L6" s="205">
        <f>F6*K6</f>
        <v>3.6736</v>
      </c>
      <c r="M6" s="21">
        <v>10</v>
      </c>
      <c r="N6" s="205">
        <f>F6*M6</f>
        <v>0.44800000000000001</v>
      </c>
      <c r="O6" s="21">
        <v>7</v>
      </c>
      <c r="P6" s="205">
        <f>F6*O6</f>
        <v>0.31359999999999999</v>
      </c>
      <c r="Q6" s="21">
        <v>0</v>
      </c>
      <c r="R6" s="205">
        <f>F6*Q6</f>
        <v>0</v>
      </c>
      <c r="S6" s="39">
        <f>G6-I6-K6-M6-O6-Q6</f>
        <v>678</v>
      </c>
      <c r="T6" s="38">
        <f t="shared" si="1"/>
        <v>30.374400000000001</v>
      </c>
      <c r="U6" s="21">
        <v>0</v>
      </c>
      <c r="V6" s="13">
        <f t="shared" ref="V6:V54" si="4">F6*U6</f>
        <v>0</v>
      </c>
      <c r="W6" s="49">
        <f t="shared" ref="W6:W54" si="5">S6+U6</f>
        <v>678</v>
      </c>
      <c r="X6" s="50">
        <f t="shared" ref="X6:X54" si="6">F6*W6</f>
        <v>30.374400000000001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136</v>
      </c>
      <c r="C7" s="34">
        <v>70</v>
      </c>
      <c r="D7" s="35">
        <v>74</v>
      </c>
      <c r="E7" s="35">
        <v>8</v>
      </c>
      <c r="F7" s="19">
        <f t="shared" si="2"/>
        <v>4.1439999999999998E-2</v>
      </c>
      <c r="G7" s="23">
        <v>626</v>
      </c>
      <c r="H7" s="26">
        <f t="shared" si="3"/>
        <v>25.94144</v>
      </c>
      <c r="I7" s="21">
        <v>21</v>
      </c>
      <c r="J7" s="205">
        <f t="shared" si="0"/>
        <v>0.8702399999999999</v>
      </c>
      <c r="K7" s="21">
        <v>162</v>
      </c>
      <c r="L7" s="205">
        <f>F7*K7</f>
        <v>6.7132799999999992</v>
      </c>
      <c r="M7" s="21">
        <v>5</v>
      </c>
      <c r="N7" s="205">
        <f>F7*M7</f>
        <v>0.2072</v>
      </c>
      <c r="O7" s="21">
        <v>26</v>
      </c>
      <c r="P7" s="205">
        <f>F7*O7</f>
        <v>1.07744</v>
      </c>
      <c r="Q7" s="21">
        <v>0</v>
      </c>
      <c r="R7" s="205">
        <f>F7*Q7</f>
        <v>0</v>
      </c>
      <c r="S7" s="39">
        <f t="shared" ref="S7:S54" si="7">G7-I7-K7-M7-O7-Q7</f>
        <v>412</v>
      </c>
      <c r="T7" s="38">
        <f t="shared" si="1"/>
        <v>17.07328</v>
      </c>
      <c r="U7" s="21">
        <v>450</v>
      </c>
      <c r="V7" s="13">
        <f t="shared" si="4"/>
        <v>18.648</v>
      </c>
      <c r="W7" s="49">
        <f t="shared" si="5"/>
        <v>862</v>
      </c>
      <c r="X7" s="50">
        <f t="shared" si="6"/>
        <v>35.72128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137</v>
      </c>
      <c r="C8" s="34">
        <v>80</v>
      </c>
      <c r="D8" s="35">
        <v>64</v>
      </c>
      <c r="E8" s="35">
        <v>5</v>
      </c>
      <c r="F8" s="19">
        <f t="shared" si="2"/>
        <v>2.5600000000000001E-2</v>
      </c>
      <c r="G8" s="23">
        <v>100</v>
      </c>
      <c r="H8" s="26">
        <f t="shared" si="3"/>
        <v>2.56</v>
      </c>
      <c r="I8" s="21">
        <v>0</v>
      </c>
      <c r="J8" s="205">
        <f t="shared" si="0"/>
        <v>0</v>
      </c>
      <c r="K8" s="21">
        <v>0</v>
      </c>
      <c r="L8" s="205">
        <f>F8*K8</f>
        <v>0</v>
      </c>
      <c r="M8" s="21">
        <v>0</v>
      </c>
      <c r="N8" s="205">
        <f>F8*M8</f>
        <v>0</v>
      </c>
      <c r="O8" s="21">
        <v>0</v>
      </c>
      <c r="P8" s="205">
        <f>F8*O8</f>
        <v>0</v>
      </c>
      <c r="Q8" s="21">
        <v>0</v>
      </c>
      <c r="R8" s="205">
        <f>F8*Q8</f>
        <v>0</v>
      </c>
      <c r="S8" s="39">
        <f t="shared" si="7"/>
        <v>100</v>
      </c>
      <c r="T8" s="38">
        <f t="shared" si="1"/>
        <v>2.56</v>
      </c>
      <c r="U8" s="21">
        <v>0</v>
      </c>
      <c r="V8" s="13">
        <f t="shared" si="4"/>
        <v>0</v>
      </c>
      <c r="W8" s="49">
        <f t="shared" si="5"/>
        <v>100</v>
      </c>
      <c r="X8" s="50">
        <f t="shared" si="6"/>
        <v>2.56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138</v>
      </c>
      <c r="C9" s="34">
        <v>140</v>
      </c>
      <c r="D9" s="35">
        <v>240</v>
      </c>
      <c r="E9" s="35">
        <v>5</v>
      </c>
      <c r="F9" s="19">
        <f t="shared" si="2"/>
        <v>0.16800000000000001</v>
      </c>
      <c r="G9" s="23">
        <v>132</v>
      </c>
      <c r="H9" s="26">
        <f t="shared" si="3"/>
        <v>22.176000000000002</v>
      </c>
      <c r="I9" s="21">
        <v>21</v>
      </c>
      <c r="J9" s="205">
        <f t="shared" si="0"/>
        <v>3.528</v>
      </c>
      <c r="K9" s="21">
        <v>11</v>
      </c>
      <c r="L9" s="205">
        <f>F9*K9</f>
        <v>1.8480000000000001</v>
      </c>
      <c r="M9" s="21">
        <v>20</v>
      </c>
      <c r="N9" s="205">
        <f>F9*M9</f>
        <v>3.3600000000000003</v>
      </c>
      <c r="O9" s="21">
        <v>8</v>
      </c>
      <c r="P9" s="205">
        <f>F9*O9</f>
        <v>1.3440000000000001</v>
      </c>
      <c r="Q9" s="21">
        <v>0</v>
      </c>
      <c r="R9" s="205">
        <f>F9*Q9</f>
        <v>0</v>
      </c>
      <c r="S9" s="39">
        <f t="shared" si="7"/>
        <v>72</v>
      </c>
      <c r="T9" s="38">
        <f t="shared" si="1"/>
        <v>12.096</v>
      </c>
      <c r="U9" s="21">
        <v>74</v>
      </c>
      <c r="V9" s="13">
        <f t="shared" si="4"/>
        <v>12.432</v>
      </c>
      <c r="W9" s="49">
        <f t="shared" si="5"/>
        <v>146</v>
      </c>
      <c r="X9" s="50">
        <f t="shared" si="6"/>
        <v>24.528000000000002</v>
      </c>
      <c r="Y9" s="238">
        <v>100</v>
      </c>
      <c r="Z9" s="101">
        <v>250</v>
      </c>
    </row>
    <row r="10" spans="1:26" x14ac:dyDescent="0.25">
      <c r="A10" s="264">
        <v>6</v>
      </c>
      <c r="B10" s="256" t="s">
        <v>139</v>
      </c>
      <c r="C10" s="34">
        <v>142</v>
      </c>
      <c r="D10" s="35">
        <v>67</v>
      </c>
      <c r="E10" s="35">
        <v>5</v>
      </c>
      <c r="F10" s="19">
        <f t="shared" si="2"/>
        <v>4.7570000000000001E-2</v>
      </c>
      <c r="G10" s="23">
        <v>8</v>
      </c>
      <c r="H10" s="26">
        <f t="shared" si="3"/>
        <v>0.38056000000000001</v>
      </c>
      <c r="I10" s="21">
        <v>0</v>
      </c>
      <c r="J10" s="205">
        <f t="shared" si="0"/>
        <v>0</v>
      </c>
      <c r="K10" s="21">
        <v>0</v>
      </c>
      <c r="L10" s="205">
        <f t="shared" si="0"/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39">
        <f t="shared" si="7"/>
        <v>8</v>
      </c>
      <c r="T10" s="38">
        <f t="shared" si="1"/>
        <v>0.38056000000000001</v>
      </c>
      <c r="U10" s="21">
        <v>0</v>
      </c>
      <c r="V10" s="13">
        <f t="shared" si="4"/>
        <v>0</v>
      </c>
      <c r="W10" s="49">
        <f t="shared" si="5"/>
        <v>8</v>
      </c>
      <c r="X10" s="50">
        <f t="shared" si="6"/>
        <v>0.38056000000000001</v>
      </c>
      <c r="Y10" s="238">
        <v>75</v>
      </c>
      <c r="Z10" s="101">
        <v>250</v>
      </c>
    </row>
    <row r="11" spans="1:26" x14ac:dyDescent="0.25">
      <c r="A11" s="264">
        <v>7</v>
      </c>
      <c r="B11" s="256" t="s">
        <v>140</v>
      </c>
      <c r="C11" s="34">
        <v>63</v>
      </c>
      <c r="D11" s="35">
        <v>60</v>
      </c>
      <c r="E11" s="35">
        <v>5</v>
      </c>
      <c r="F11" s="19">
        <f t="shared" si="2"/>
        <v>1.89E-2</v>
      </c>
      <c r="G11" s="23">
        <v>0</v>
      </c>
      <c r="H11" s="26">
        <f t="shared" si="3"/>
        <v>0</v>
      </c>
      <c r="I11" s="21">
        <v>0</v>
      </c>
      <c r="J11" s="205">
        <f t="shared" si="0"/>
        <v>0</v>
      </c>
      <c r="K11" s="21">
        <v>0</v>
      </c>
      <c r="L11" s="205">
        <f t="shared" si="0"/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39">
        <f t="shared" si="7"/>
        <v>0</v>
      </c>
      <c r="T11" s="38">
        <f t="shared" si="1"/>
        <v>0</v>
      </c>
      <c r="U11" s="21">
        <v>0</v>
      </c>
      <c r="V11" s="13">
        <f t="shared" si="4"/>
        <v>0</v>
      </c>
      <c r="W11" s="49">
        <f t="shared" si="5"/>
        <v>0</v>
      </c>
      <c r="X11" s="50">
        <f t="shared" si="6"/>
        <v>0</v>
      </c>
      <c r="Y11" s="238">
        <v>50</v>
      </c>
      <c r="Z11" s="101">
        <v>100</v>
      </c>
    </row>
    <row r="12" spans="1:26" x14ac:dyDescent="0.25">
      <c r="A12" s="264">
        <v>8</v>
      </c>
      <c r="B12" s="256" t="s">
        <v>141</v>
      </c>
      <c r="C12" s="34">
        <v>52</v>
      </c>
      <c r="D12" s="35">
        <v>52</v>
      </c>
      <c r="E12" s="35">
        <v>5</v>
      </c>
      <c r="F12" s="19">
        <f t="shared" si="2"/>
        <v>1.3520000000000001E-2</v>
      </c>
      <c r="G12" s="23">
        <v>0</v>
      </c>
      <c r="H12" s="26">
        <f t="shared" si="3"/>
        <v>0</v>
      </c>
      <c r="I12" s="21">
        <v>0</v>
      </c>
      <c r="J12" s="205">
        <f t="shared" si="0"/>
        <v>0</v>
      </c>
      <c r="K12" s="21">
        <v>0</v>
      </c>
      <c r="L12" s="205">
        <f>F12*K12</f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39">
        <f t="shared" si="7"/>
        <v>0</v>
      </c>
      <c r="T12" s="38">
        <f t="shared" si="1"/>
        <v>0</v>
      </c>
      <c r="U12" s="21">
        <v>0</v>
      </c>
      <c r="V12" s="13">
        <f t="shared" si="4"/>
        <v>0</v>
      </c>
      <c r="W12" s="49">
        <f t="shared" si="5"/>
        <v>0</v>
      </c>
      <c r="X12" s="50">
        <f t="shared" si="6"/>
        <v>0</v>
      </c>
      <c r="Y12" s="238">
        <v>50</v>
      </c>
      <c r="Z12" s="101">
        <v>100</v>
      </c>
    </row>
    <row r="13" spans="1:26" x14ac:dyDescent="0.25">
      <c r="A13" s="264">
        <v>9</v>
      </c>
      <c r="B13" s="256" t="s">
        <v>142</v>
      </c>
      <c r="C13" s="34">
        <v>140</v>
      </c>
      <c r="D13" s="35">
        <v>240</v>
      </c>
      <c r="E13" s="35">
        <v>5</v>
      </c>
      <c r="F13" s="19">
        <f t="shared" si="2"/>
        <v>0.16800000000000001</v>
      </c>
      <c r="G13" s="23">
        <v>20</v>
      </c>
      <c r="H13" s="26">
        <f t="shared" si="3"/>
        <v>3.3600000000000003</v>
      </c>
      <c r="I13" s="21">
        <v>12</v>
      </c>
      <c r="J13" s="205">
        <f t="shared" si="0"/>
        <v>2.016</v>
      </c>
      <c r="K13" s="21">
        <v>8</v>
      </c>
      <c r="L13" s="205">
        <f>F13*K13</f>
        <v>1.3440000000000001</v>
      </c>
      <c r="M13" s="21">
        <v>0</v>
      </c>
      <c r="N13" s="205">
        <f>F13*M13</f>
        <v>0</v>
      </c>
      <c r="O13" s="21">
        <v>10</v>
      </c>
      <c r="P13" s="205">
        <f>F13*O13</f>
        <v>1.6800000000000002</v>
      </c>
      <c r="Q13" s="21">
        <v>0</v>
      </c>
      <c r="R13" s="205">
        <f>F13*Q13</f>
        <v>0</v>
      </c>
      <c r="S13" s="39">
        <f t="shared" si="7"/>
        <v>-10</v>
      </c>
      <c r="T13" s="38">
        <f t="shared" si="1"/>
        <v>-1.6800000000000002</v>
      </c>
      <c r="U13" s="21">
        <v>110</v>
      </c>
      <c r="V13" s="13">
        <f t="shared" si="4"/>
        <v>18.48</v>
      </c>
      <c r="W13" s="49">
        <f t="shared" si="5"/>
        <v>100</v>
      </c>
      <c r="X13" s="50">
        <f t="shared" si="6"/>
        <v>16.8</v>
      </c>
      <c r="Y13" s="238">
        <v>100</v>
      </c>
      <c r="Z13" s="101">
        <v>300</v>
      </c>
    </row>
    <row r="14" spans="1:26" x14ac:dyDescent="0.25">
      <c r="A14" s="264">
        <v>10</v>
      </c>
      <c r="B14" s="256" t="s">
        <v>143</v>
      </c>
      <c r="C14" s="34">
        <v>90</v>
      </c>
      <c r="D14" s="35">
        <v>85</v>
      </c>
      <c r="E14" s="35">
        <v>5</v>
      </c>
      <c r="F14" s="19">
        <f t="shared" si="2"/>
        <v>3.8249999999999999E-2</v>
      </c>
      <c r="G14" s="23">
        <v>56</v>
      </c>
      <c r="H14" s="26">
        <f t="shared" si="3"/>
        <v>2.1419999999999999</v>
      </c>
      <c r="I14" s="21">
        <v>0</v>
      </c>
      <c r="J14" s="205">
        <f t="shared" si="0"/>
        <v>0</v>
      </c>
      <c r="K14" s="21">
        <v>0</v>
      </c>
      <c r="L14" s="205">
        <f t="shared" ref="L14:L20" si="8">F14*K14</f>
        <v>0</v>
      </c>
      <c r="M14" s="21">
        <v>0</v>
      </c>
      <c r="N14" s="205">
        <f t="shared" si="0"/>
        <v>0</v>
      </c>
      <c r="O14" s="21">
        <v>0</v>
      </c>
      <c r="P14" s="205">
        <f t="shared" si="0"/>
        <v>0</v>
      </c>
      <c r="Q14" s="21">
        <v>0</v>
      </c>
      <c r="R14" s="205">
        <f t="shared" si="0"/>
        <v>0</v>
      </c>
      <c r="S14" s="39">
        <f t="shared" si="7"/>
        <v>56</v>
      </c>
      <c r="T14" s="38">
        <f t="shared" si="1"/>
        <v>2.1419999999999999</v>
      </c>
      <c r="U14" s="21">
        <v>0</v>
      </c>
      <c r="V14" s="13">
        <f t="shared" si="4"/>
        <v>0</v>
      </c>
      <c r="W14" s="49">
        <f t="shared" si="5"/>
        <v>56</v>
      </c>
      <c r="X14" s="50">
        <f t="shared" si="6"/>
        <v>2.1419999999999999</v>
      </c>
      <c r="Y14" s="238">
        <v>50</v>
      </c>
      <c r="Z14" s="101">
        <v>100</v>
      </c>
    </row>
    <row r="15" spans="1:26" x14ac:dyDescent="0.25">
      <c r="A15" s="264">
        <v>11</v>
      </c>
      <c r="B15" s="256" t="s">
        <v>144</v>
      </c>
      <c r="C15" s="34">
        <v>140</v>
      </c>
      <c r="D15" s="35">
        <v>240</v>
      </c>
      <c r="E15" s="35">
        <v>5</v>
      </c>
      <c r="F15" s="19">
        <f t="shared" si="2"/>
        <v>0.16800000000000001</v>
      </c>
      <c r="G15" s="23">
        <v>129</v>
      </c>
      <c r="H15" s="26">
        <f t="shared" si="3"/>
        <v>21.672000000000001</v>
      </c>
      <c r="I15" s="21">
        <v>29</v>
      </c>
      <c r="J15" s="205">
        <f t="shared" si="0"/>
        <v>4.8719999999999999</v>
      </c>
      <c r="K15" s="21">
        <v>8</v>
      </c>
      <c r="L15" s="205">
        <f t="shared" si="8"/>
        <v>1.3440000000000001</v>
      </c>
      <c r="M15" s="21">
        <v>59</v>
      </c>
      <c r="N15" s="205">
        <f t="shared" ref="N15:N20" si="9">F15*M15</f>
        <v>9.9120000000000008</v>
      </c>
      <c r="O15" s="21">
        <v>13</v>
      </c>
      <c r="P15" s="205">
        <f t="shared" ref="P15:P20" si="10">F15*O15</f>
        <v>2.1840000000000002</v>
      </c>
      <c r="Q15" s="21">
        <v>0</v>
      </c>
      <c r="R15" s="205">
        <f t="shared" ref="R15:R20" si="11">F15*Q15</f>
        <v>0</v>
      </c>
      <c r="S15" s="39">
        <f t="shared" si="7"/>
        <v>20</v>
      </c>
      <c r="T15" s="38">
        <f t="shared" si="1"/>
        <v>3.3600000000000003</v>
      </c>
      <c r="U15" s="21">
        <v>100</v>
      </c>
      <c r="V15" s="13">
        <f t="shared" si="4"/>
        <v>16.8</v>
      </c>
      <c r="W15" s="49">
        <f t="shared" si="5"/>
        <v>120</v>
      </c>
      <c r="X15" s="50">
        <f t="shared" si="6"/>
        <v>20.16</v>
      </c>
      <c r="Y15" s="238">
        <v>200</v>
      </c>
      <c r="Z15" s="101">
        <v>400</v>
      </c>
    </row>
    <row r="16" spans="1:26" x14ac:dyDescent="0.25">
      <c r="A16" s="264">
        <v>12</v>
      </c>
      <c r="B16" s="256" t="s">
        <v>145</v>
      </c>
      <c r="C16" s="34">
        <v>140</v>
      </c>
      <c r="D16" s="35">
        <v>240</v>
      </c>
      <c r="E16" s="35">
        <v>5</v>
      </c>
      <c r="F16" s="19">
        <f t="shared" si="2"/>
        <v>0.16800000000000001</v>
      </c>
      <c r="G16" s="23">
        <v>275</v>
      </c>
      <c r="H16" s="26">
        <f t="shared" si="3"/>
        <v>46.2</v>
      </c>
      <c r="I16" s="21">
        <v>32</v>
      </c>
      <c r="J16" s="205">
        <f t="shared" si="0"/>
        <v>5.3760000000000003</v>
      </c>
      <c r="K16" s="21">
        <v>14</v>
      </c>
      <c r="L16" s="205">
        <f t="shared" si="8"/>
        <v>2.3520000000000003</v>
      </c>
      <c r="M16" s="21">
        <v>16</v>
      </c>
      <c r="N16" s="205">
        <f t="shared" si="9"/>
        <v>2.6880000000000002</v>
      </c>
      <c r="O16" s="21">
        <v>14</v>
      </c>
      <c r="P16" s="205">
        <f t="shared" si="10"/>
        <v>2.3520000000000003</v>
      </c>
      <c r="Q16" s="21">
        <v>0</v>
      </c>
      <c r="R16" s="205">
        <f t="shared" si="11"/>
        <v>0</v>
      </c>
      <c r="S16" s="39">
        <f t="shared" si="7"/>
        <v>199</v>
      </c>
      <c r="T16" s="38">
        <f t="shared" si="1"/>
        <v>33.432000000000002</v>
      </c>
      <c r="U16" s="21">
        <v>0</v>
      </c>
      <c r="V16" s="13">
        <f t="shared" si="4"/>
        <v>0</v>
      </c>
      <c r="W16" s="49">
        <f t="shared" si="5"/>
        <v>199</v>
      </c>
      <c r="X16" s="50">
        <f t="shared" si="6"/>
        <v>33.432000000000002</v>
      </c>
      <c r="Y16" s="238">
        <v>200</v>
      </c>
      <c r="Z16" s="101">
        <v>500</v>
      </c>
    </row>
    <row r="17" spans="1:26" x14ac:dyDescent="0.25">
      <c r="A17" s="264">
        <v>13</v>
      </c>
      <c r="B17" s="256" t="s">
        <v>146</v>
      </c>
      <c r="C17" s="34">
        <v>140</v>
      </c>
      <c r="D17" s="35">
        <v>240</v>
      </c>
      <c r="E17" s="35">
        <v>8</v>
      </c>
      <c r="F17" s="19">
        <f t="shared" si="2"/>
        <v>0.26879999999999998</v>
      </c>
      <c r="G17" s="23">
        <v>9</v>
      </c>
      <c r="H17" s="26">
        <f t="shared" si="3"/>
        <v>2.4192</v>
      </c>
      <c r="I17" s="21">
        <v>0</v>
      </c>
      <c r="J17" s="205">
        <f t="shared" si="0"/>
        <v>0</v>
      </c>
      <c r="K17" s="21">
        <v>0</v>
      </c>
      <c r="L17" s="205">
        <f t="shared" si="8"/>
        <v>0</v>
      </c>
      <c r="M17" s="21">
        <v>0</v>
      </c>
      <c r="N17" s="205">
        <f t="shared" si="9"/>
        <v>0</v>
      </c>
      <c r="O17" s="21">
        <v>1</v>
      </c>
      <c r="P17" s="205">
        <f t="shared" si="10"/>
        <v>0.26879999999999998</v>
      </c>
      <c r="Q17" s="21">
        <v>0</v>
      </c>
      <c r="R17" s="205">
        <f t="shared" si="11"/>
        <v>0</v>
      </c>
      <c r="S17" s="39">
        <f t="shared" si="7"/>
        <v>8</v>
      </c>
      <c r="T17" s="38">
        <f t="shared" si="1"/>
        <v>2.1503999999999999</v>
      </c>
      <c r="U17" s="21">
        <v>0</v>
      </c>
      <c r="V17" s="13">
        <f t="shared" si="4"/>
        <v>0</v>
      </c>
      <c r="W17" s="49">
        <f t="shared" si="5"/>
        <v>8</v>
      </c>
      <c r="X17" s="50">
        <f t="shared" si="6"/>
        <v>2.1503999999999999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147</v>
      </c>
      <c r="C18" s="34">
        <v>77</v>
      </c>
      <c r="D18" s="35">
        <v>86</v>
      </c>
      <c r="E18" s="35">
        <v>8</v>
      </c>
      <c r="F18" s="19">
        <f t="shared" si="2"/>
        <v>5.2976000000000002E-2</v>
      </c>
      <c r="G18" s="23">
        <v>653</v>
      </c>
      <c r="H18" s="26">
        <f t="shared" si="3"/>
        <v>34.593328</v>
      </c>
      <c r="I18" s="21">
        <v>8</v>
      </c>
      <c r="J18" s="205">
        <f t="shared" si="0"/>
        <v>0.42380800000000002</v>
      </c>
      <c r="K18" s="21">
        <v>82</v>
      </c>
      <c r="L18" s="205">
        <f t="shared" si="8"/>
        <v>4.3440320000000003</v>
      </c>
      <c r="M18" s="21">
        <v>10</v>
      </c>
      <c r="N18" s="205">
        <f t="shared" si="9"/>
        <v>0.52976000000000001</v>
      </c>
      <c r="O18" s="21">
        <v>6</v>
      </c>
      <c r="P18" s="205">
        <f t="shared" si="10"/>
        <v>0.31785600000000003</v>
      </c>
      <c r="Q18" s="21">
        <v>0</v>
      </c>
      <c r="R18" s="205">
        <f t="shared" si="11"/>
        <v>0</v>
      </c>
      <c r="S18" s="39">
        <f t="shared" si="7"/>
        <v>547</v>
      </c>
      <c r="T18" s="38">
        <f t="shared" si="1"/>
        <v>28.977872000000001</v>
      </c>
      <c r="U18" s="21">
        <v>0</v>
      </c>
      <c r="V18" s="13">
        <f t="shared" si="4"/>
        <v>0</v>
      </c>
      <c r="W18" s="49">
        <f t="shared" si="5"/>
        <v>547</v>
      </c>
      <c r="X18" s="50">
        <f t="shared" si="6"/>
        <v>28.977872000000001</v>
      </c>
      <c r="Y18" s="238">
        <v>100</v>
      </c>
      <c r="Z18" s="101">
        <v>300</v>
      </c>
    </row>
    <row r="19" spans="1:26" x14ac:dyDescent="0.25">
      <c r="A19" s="264">
        <v>15</v>
      </c>
      <c r="B19" s="256" t="s">
        <v>148</v>
      </c>
      <c r="C19" s="34">
        <v>77</v>
      </c>
      <c r="D19" s="35">
        <v>68</v>
      </c>
      <c r="E19" s="35">
        <v>8</v>
      </c>
      <c r="F19" s="19">
        <f t="shared" si="2"/>
        <v>4.1888000000000002E-2</v>
      </c>
      <c r="G19" s="23">
        <v>567</v>
      </c>
      <c r="H19" s="26">
        <f t="shared" si="3"/>
        <v>23.750496000000002</v>
      </c>
      <c r="I19" s="21">
        <v>3</v>
      </c>
      <c r="J19" s="205">
        <f t="shared" si="0"/>
        <v>0.125664</v>
      </c>
      <c r="K19" s="21">
        <v>80</v>
      </c>
      <c r="L19" s="205">
        <f t="shared" si="8"/>
        <v>3.3510400000000002</v>
      </c>
      <c r="M19" s="21">
        <v>0</v>
      </c>
      <c r="N19" s="205">
        <f t="shared" si="9"/>
        <v>0</v>
      </c>
      <c r="O19" s="21">
        <v>0</v>
      </c>
      <c r="P19" s="205">
        <f t="shared" si="10"/>
        <v>0</v>
      </c>
      <c r="Q19" s="21">
        <v>0</v>
      </c>
      <c r="R19" s="205">
        <f t="shared" si="11"/>
        <v>0</v>
      </c>
      <c r="S19" s="39">
        <f t="shared" si="7"/>
        <v>484</v>
      </c>
      <c r="T19" s="38">
        <f t="shared" si="1"/>
        <v>20.273792</v>
      </c>
      <c r="U19" s="21">
        <v>0</v>
      </c>
      <c r="V19" s="13">
        <f t="shared" si="4"/>
        <v>0</v>
      </c>
      <c r="W19" s="49">
        <f t="shared" si="5"/>
        <v>484</v>
      </c>
      <c r="X19" s="50">
        <f t="shared" si="6"/>
        <v>20.273792</v>
      </c>
      <c r="Y19" s="238">
        <v>100</v>
      </c>
      <c r="Z19" s="101">
        <v>300</v>
      </c>
    </row>
    <row r="20" spans="1:26" x14ac:dyDescent="0.25">
      <c r="A20" s="264">
        <v>16</v>
      </c>
      <c r="B20" s="256" t="s">
        <v>149</v>
      </c>
      <c r="C20" s="34">
        <v>76</v>
      </c>
      <c r="D20" s="35">
        <v>75</v>
      </c>
      <c r="E20" s="35">
        <v>8</v>
      </c>
      <c r="F20" s="19">
        <f t="shared" si="2"/>
        <v>4.5600000000000002E-2</v>
      </c>
      <c r="G20" s="23">
        <v>735</v>
      </c>
      <c r="H20" s="26">
        <f t="shared" si="3"/>
        <v>33.515999999999998</v>
      </c>
      <c r="I20" s="21">
        <v>6</v>
      </c>
      <c r="J20" s="205">
        <f t="shared" si="0"/>
        <v>0.27360000000000001</v>
      </c>
      <c r="K20" s="21">
        <v>177</v>
      </c>
      <c r="L20" s="205">
        <f t="shared" si="8"/>
        <v>8.071200000000001</v>
      </c>
      <c r="M20" s="21">
        <v>0</v>
      </c>
      <c r="N20" s="205">
        <f t="shared" si="9"/>
        <v>0</v>
      </c>
      <c r="O20" s="21">
        <v>0</v>
      </c>
      <c r="P20" s="205">
        <f t="shared" si="10"/>
        <v>0</v>
      </c>
      <c r="Q20" s="21">
        <v>0</v>
      </c>
      <c r="R20" s="205">
        <f t="shared" si="11"/>
        <v>0</v>
      </c>
      <c r="S20" s="39">
        <f t="shared" si="7"/>
        <v>552</v>
      </c>
      <c r="T20" s="38">
        <f t="shared" si="1"/>
        <v>25.171200000000002</v>
      </c>
      <c r="U20" s="21">
        <v>0</v>
      </c>
      <c r="V20" s="13">
        <f t="shared" si="4"/>
        <v>0</v>
      </c>
      <c r="W20" s="49">
        <f t="shared" si="5"/>
        <v>552</v>
      </c>
      <c r="X20" s="50">
        <f t="shared" si="6"/>
        <v>25.171200000000002</v>
      </c>
      <c r="Y20" s="238">
        <v>100</v>
      </c>
      <c r="Z20" s="101">
        <v>300</v>
      </c>
    </row>
    <row r="21" spans="1:26" x14ac:dyDescent="0.25">
      <c r="A21" s="264">
        <v>17</v>
      </c>
      <c r="B21" s="256" t="s">
        <v>150</v>
      </c>
      <c r="C21" s="34">
        <v>60</v>
      </c>
      <c r="D21" s="35">
        <v>63</v>
      </c>
      <c r="E21" s="35">
        <v>10</v>
      </c>
      <c r="F21" s="19">
        <f t="shared" si="2"/>
        <v>3.78E-2</v>
      </c>
      <c r="G21" s="23">
        <v>263</v>
      </c>
      <c r="H21" s="26">
        <f t="shared" si="3"/>
        <v>9.9413999999999998</v>
      </c>
      <c r="I21" s="21">
        <v>0</v>
      </c>
      <c r="J21" s="205">
        <f t="shared" si="0"/>
        <v>0</v>
      </c>
      <c r="K21" s="21">
        <v>0</v>
      </c>
      <c r="L21" s="205">
        <f t="shared" si="0"/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39">
        <f t="shared" si="7"/>
        <v>263</v>
      </c>
      <c r="T21" s="38">
        <f t="shared" si="1"/>
        <v>9.9413999999999998</v>
      </c>
      <c r="U21" s="21">
        <v>0</v>
      </c>
      <c r="V21" s="13">
        <f t="shared" si="4"/>
        <v>0</v>
      </c>
      <c r="W21" s="49">
        <f t="shared" si="5"/>
        <v>263</v>
      </c>
      <c r="X21" s="50">
        <f t="shared" si="6"/>
        <v>9.9413999999999998</v>
      </c>
      <c r="Y21" s="238">
        <v>50</v>
      </c>
      <c r="Z21" s="101">
        <v>200</v>
      </c>
    </row>
    <row r="22" spans="1:26" x14ac:dyDescent="0.25">
      <c r="A22" s="264">
        <v>18</v>
      </c>
      <c r="B22" s="256" t="s">
        <v>151</v>
      </c>
      <c r="C22" s="34">
        <v>63</v>
      </c>
      <c r="D22" s="35">
        <v>60</v>
      </c>
      <c r="E22" s="35">
        <v>3</v>
      </c>
      <c r="F22" s="19">
        <f t="shared" si="2"/>
        <v>1.1339999999999999E-2</v>
      </c>
      <c r="G22" s="23">
        <v>16</v>
      </c>
      <c r="H22" s="26">
        <f t="shared" si="3"/>
        <v>0.18143999999999999</v>
      </c>
      <c r="I22" s="21">
        <v>0</v>
      </c>
      <c r="J22" s="205">
        <f t="shared" si="0"/>
        <v>0</v>
      </c>
      <c r="K22" s="21">
        <v>0</v>
      </c>
      <c r="L22" s="205">
        <f t="shared" si="0"/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39">
        <f t="shared" si="7"/>
        <v>16</v>
      </c>
      <c r="T22" s="38">
        <f t="shared" si="1"/>
        <v>0.18143999999999999</v>
      </c>
      <c r="U22" s="21">
        <v>0</v>
      </c>
      <c r="V22" s="13">
        <f t="shared" si="4"/>
        <v>0</v>
      </c>
      <c r="W22" s="49">
        <f t="shared" si="5"/>
        <v>16</v>
      </c>
      <c r="X22" s="50">
        <f t="shared" si="6"/>
        <v>0.18143999999999999</v>
      </c>
      <c r="Y22" s="238">
        <v>50</v>
      </c>
      <c r="Z22" s="101">
        <v>200</v>
      </c>
    </row>
    <row r="23" spans="1:26" x14ac:dyDescent="0.25">
      <c r="A23" s="264">
        <v>19</v>
      </c>
      <c r="B23" s="42" t="s">
        <v>152</v>
      </c>
      <c r="C23" s="34">
        <v>140</v>
      </c>
      <c r="D23" s="35">
        <v>240</v>
      </c>
      <c r="E23" s="35">
        <v>1.4</v>
      </c>
      <c r="F23" s="19">
        <f t="shared" si="2"/>
        <v>4.7039999999999998E-2</v>
      </c>
      <c r="G23" s="23">
        <v>217</v>
      </c>
      <c r="H23" s="26">
        <f t="shared" si="3"/>
        <v>10.20768</v>
      </c>
      <c r="I23" s="21">
        <v>59</v>
      </c>
      <c r="J23" s="205">
        <f t="shared" si="0"/>
        <v>2.77536</v>
      </c>
      <c r="K23" s="21">
        <v>66</v>
      </c>
      <c r="L23" s="205">
        <f t="shared" ref="L23:L36" si="12">F23*K23</f>
        <v>3.1046399999999998</v>
      </c>
      <c r="M23" s="21">
        <v>80</v>
      </c>
      <c r="N23" s="205">
        <f t="shared" ref="N23:N36" si="13">F23*M23</f>
        <v>3.7631999999999999</v>
      </c>
      <c r="O23" s="21">
        <v>93</v>
      </c>
      <c r="P23" s="205">
        <f t="shared" ref="P23:P36" si="14">F23*O23</f>
        <v>4.3747199999999999</v>
      </c>
      <c r="Q23" s="21">
        <v>0</v>
      </c>
      <c r="R23" s="205">
        <f t="shared" ref="R23:R36" si="15">F23*Q23</f>
        <v>0</v>
      </c>
      <c r="S23" s="39">
        <f t="shared" si="7"/>
        <v>-81</v>
      </c>
      <c r="T23" s="38">
        <f t="shared" si="1"/>
        <v>-3.8102399999999998</v>
      </c>
      <c r="U23" s="21">
        <v>1941</v>
      </c>
      <c r="V23" s="13">
        <f t="shared" si="4"/>
        <v>91.304639999999992</v>
      </c>
      <c r="W23" s="49">
        <f t="shared" si="5"/>
        <v>1860</v>
      </c>
      <c r="X23" s="50">
        <f t="shared" si="6"/>
        <v>87.494399999999999</v>
      </c>
      <c r="Y23" s="238">
        <v>200</v>
      </c>
      <c r="Z23" s="101">
        <v>500</v>
      </c>
    </row>
    <row r="24" spans="1:26" x14ac:dyDescent="0.25">
      <c r="A24" s="264">
        <v>20</v>
      </c>
      <c r="B24" s="256" t="s">
        <v>3</v>
      </c>
      <c r="C24" s="34">
        <v>140</v>
      </c>
      <c r="D24" s="35">
        <v>240</v>
      </c>
      <c r="E24" s="35">
        <v>0.8</v>
      </c>
      <c r="F24" s="19">
        <f t="shared" si="2"/>
        <v>2.6880000000000001E-2</v>
      </c>
      <c r="G24" s="23">
        <v>97</v>
      </c>
      <c r="H24" s="26">
        <f t="shared" si="3"/>
        <v>2.6073599999999999</v>
      </c>
      <c r="I24" s="21">
        <v>11</v>
      </c>
      <c r="J24" s="205">
        <f t="shared" si="0"/>
        <v>0.29568</v>
      </c>
      <c r="K24" s="21">
        <v>20</v>
      </c>
      <c r="L24" s="205">
        <f t="shared" si="12"/>
        <v>0.53760000000000008</v>
      </c>
      <c r="M24" s="21">
        <v>36</v>
      </c>
      <c r="N24" s="205">
        <f t="shared" si="13"/>
        <v>0.9676800000000001</v>
      </c>
      <c r="O24" s="21">
        <v>19</v>
      </c>
      <c r="P24" s="205">
        <f t="shared" si="14"/>
        <v>0.51072000000000006</v>
      </c>
      <c r="Q24" s="21">
        <v>0</v>
      </c>
      <c r="R24" s="205">
        <f t="shared" si="15"/>
        <v>0</v>
      </c>
      <c r="S24" s="39">
        <f t="shared" si="7"/>
        <v>11</v>
      </c>
      <c r="T24" s="38">
        <f t="shared" si="1"/>
        <v>0.29568</v>
      </c>
      <c r="U24" s="21">
        <v>721</v>
      </c>
      <c r="V24" s="13">
        <f t="shared" si="4"/>
        <v>19.380480000000002</v>
      </c>
      <c r="W24" s="49">
        <f t="shared" si="5"/>
        <v>732</v>
      </c>
      <c r="X24" s="50">
        <f t="shared" si="6"/>
        <v>19.676159999999999</v>
      </c>
      <c r="Y24" s="238">
        <v>100</v>
      </c>
      <c r="Z24" s="101">
        <v>300</v>
      </c>
    </row>
    <row r="25" spans="1:26" x14ac:dyDescent="0.25">
      <c r="A25" s="264">
        <v>21</v>
      </c>
      <c r="B25" s="256" t="s">
        <v>153</v>
      </c>
      <c r="C25" s="34">
        <v>58</v>
      </c>
      <c r="D25" s="35">
        <v>58</v>
      </c>
      <c r="E25" s="35">
        <v>2.2999999999999998</v>
      </c>
      <c r="F25" s="19">
        <f t="shared" si="2"/>
        <v>7.7371999999999996E-3</v>
      </c>
      <c r="G25" s="23">
        <v>442</v>
      </c>
      <c r="H25" s="26">
        <f t="shared" si="3"/>
        <v>3.4198423999999998</v>
      </c>
      <c r="I25" s="21">
        <v>90</v>
      </c>
      <c r="J25" s="205">
        <f t="shared" si="0"/>
        <v>0.69634799999999997</v>
      </c>
      <c r="K25" s="21">
        <v>90</v>
      </c>
      <c r="L25" s="205">
        <f t="shared" si="12"/>
        <v>0.69634799999999997</v>
      </c>
      <c r="M25" s="21">
        <v>0</v>
      </c>
      <c r="N25" s="205">
        <f t="shared" si="13"/>
        <v>0</v>
      </c>
      <c r="O25" s="21">
        <v>0</v>
      </c>
      <c r="P25" s="205">
        <f t="shared" si="14"/>
        <v>0</v>
      </c>
      <c r="Q25" s="21">
        <v>0</v>
      </c>
      <c r="R25" s="205">
        <f t="shared" si="15"/>
        <v>0</v>
      </c>
      <c r="S25" s="39">
        <f t="shared" si="7"/>
        <v>262</v>
      </c>
      <c r="T25" s="38">
        <f t="shared" si="1"/>
        <v>2.0271463999999999</v>
      </c>
      <c r="U25" s="21">
        <v>0</v>
      </c>
      <c r="V25" s="13">
        <f t="shared" si="4"/>
        <v>0</v>
      </c>
      <c r="W25" s="49">
        <f t="shared" si="5"/>
        <v>262</v>
      </c>
      <c r="X25" s="50">
        <f t="shared" si="6"/>
        <v>2.0271463999999999</v>
      </c>
      <c r="Y25" s="238">
        <v>200</v>
      </c>
      <c r="Z25" s="101">
        <v>750</v>
      </c>
    </row>
    <row r="26" spans="1:26" x14ac:dyDescent="0.25">
      <c r="A26" s="264">
        <v>22</v>
      </c>
      <c r="B26" s="256" t="s">
        <v>154</v>
      </c>
      <c r="C26" s="34">
        <v>140</v>
      </c>
      <c r="D26" s="35">
        <v>240</v>
      </c>
      <c r="E26" s="35">
        <v>7</v>
      </c>
      <c r="F26" s="19">
        <f t="shared" si="2"/>
        <v>0.23519999999999999</v>
      </c>
      <c r="G26" s="23">
        <v>63</v>
      </c>
      <c r="H26" s="26">
        <f t="shared" si="3"/>
        <v>14.817599999999999</v>
      </c>
      <c r="I26" s="21">
        <v>19</v>
      </c>
      <c r="J26" s="205">
        <f t="shared" si="0"/>
        <v>4.4687999999999999</v>
      </c>
      <c r="K26" s="21">
        <v>2</v>
      </c>
      <c r="L26" s="205">
        <f t="shared" si="12"/>
        <v>0.47039999999999998</v>
      </c>
      <c r="M26" s="21">
        <v>11</v>
      </c>
      <c r="N26" s="205">
        <f t="shared" si="13"/>
        <v>2.5871999999999997</v>
      </c>
      <c r="O26" s="21">
        <v>18</v>
      </c>
      <c r="P26" s="205">
        <f t="shared" si="14"/>
        <v>4.2336</v>
      </c>
      <c r="Q26" s="21">
        <v>0</v>
      </c>
      <c r="R26" s="205">
        <f t="shared" si="15"/>
        <v>0</v>
      </c>
      <c r="S26" s="39">
        <f t="shared" si="7"/>
        <v>13</v>
      </c>
      <c r="T26" s="38">
        <f t="shared" si="1"/>
        <v>3.0575999999999999</v>
      </c>
      <c r="U26" s="21">
        <v>0</v>
      </c>
      <c r="V26" s="13">
        <f t="shared" si="4"/>
        <v>0</v>
      </c>
      <c r="W26" s="49">
        <f t="shared" si="5"/>
        <v>13</v>
      </c>
      <c r="X26" s="50">
        <f t="shared" si="6"/>
        <v>3.0575999999999999</v>
      </c>
      <c r="Y26" s="238">
        <v>50</v>
      </c>
      <c r="Z26" s="101">
        <v>200</v>
      </c>
    </row>
    <row r="27" spans="1:26" ht="15.75" x14ac:dyDescent="0.25">
      <c r="A27" s="264">
        <v>23</v>
      </c>
      <c r="B27" s="256" t="s">
        <v>55</v>
      </c>
      <c r="C27" s="111">
        <v>50</v>
      </c>
      <c r="D27" s="112">
        <v>45</v>
      </c>
      <c r="E27" s="112">
        <v>4</v>
      </c>
      <c r="F27" s="19">
        <f t="shared" si="2"/>
        <v>8.9999999999999993E-3</v>
      </c>
      <c r="G27" s="23">
        <v>784</v>
      </c>
      <c r="H27" s="26">
        <f t="shared" si="3"/>
        <v>7.0559999999999992</v>
      </c>
      <c r="I27" s="21">
        <v>0</v>
      </c>
      <c r="J27" s="205">
        <f t="shared" si="0"/>
        <v>0</v>
      </c>
      <c r="K27" s="21">
        <v>0</v>
      </c>
      <c r="L27" s="205">
        <f t="shared" si="12"/>
        <v>0</v>
      </c>
      <c r="M27" s="21">
        <v>0</v>
      </c>
      <c r="N27" s="205">
        <f t="shared" si="13"/>
        <v>0</v>
      </c>
      <c r="O27" s="21">
        <v>0</v>
      </c>
      <c r="P27" s="205">
        <f t="shared" si="14"/>
        <v>0</v>
      </c>
      <c r="Q27" s="21">
        <v>0</v>
      </c>
      <c r="R27" s="205">
        <f t="shared" si="15"/>
        <v>0</v>
      </c>
      <c r="S27" s="39">
        <f t="shared" si="7"/>
        <v>784</v>
      </c>
      <c r="T27" s="38">
        <f t="shared" si="1"/>
        <v>7.0559999999999992</v>
      </c>
      <c r="U27" s="21">
        <v>0</v>
      </c>
      <c r="V27" s="13">
        <f t="shared" si="4"/>
        <v>0</v>
      </c>
      <c r="W27" s="49">
        <f t="shared" si="5"/>
        <v>784</v>
      </c>
      <c r="X27" s="50">
        <f t="shared" si="6"/>
        <v>7.0559999999999992</v>
      </c>
      <c r="Y27" s="238">
        <v>300</v>
      </c>
      <c r="Z27" s="101">
        <v>1000</v>
      </c>
    </row>
    <row r="28" spans="1:26" ht="15.75" x14ac:dyDescent="0.25">
      <c r="A28" s="264">
        <v>24</v>
      </c>
      <c r="B28" s="256" t="s">
        <v>56</v>
      </c>
      <c r="C28" s="111">
        <v>50</v>
      </c>
      <c r="D28" s="112">
        <v>35</v>
      </c>
      <c r="E28" s="112">
        <v>4</v>
      </c>
      <c r="F28" s="19">
        <f t="shared" si="2"/>
        <v>7.0000000000000001E-3</v>
      </c>
      <c r="G28" s="23">
        <v>0</v>
      </c>
      <c r="H28" s="26">
        <f t="shared" si="3"/>
        <v>0</v>
      </c>
      <c r="I28" s="21">
        <v>0</v>
      </c>
      <c r="J28" s="205">
        <f t="shared" si="0"/>
        <v>0</v>
      </c>
      <c r="K28" s="21">
        <v>0</v>
      </c>
      <c r="L28" s="205">
        <f t="shared" si="12"/>
        <v>0</v>
      </c>
      <c r="M28" s="21">
        <v>0</v>
      </c>
      <c r="N28" s="205">
        <f t="shared" si="13"/>
        <v>0</v>
      </c>
      <c r="O28" s="21">
        <v>0</v>
      </c>
      <c r="P28" s="205">
        <f t="shared" si="14"/>
        <v>0</v>
      </c>
      <c r="Q28" s="21">
        <v>0</v>
      </c>
      <c r="R28" s="205">
        <f t="shared" si="15"/>
        <v>0</v>
      </c>
      <c r="S28" s="39">
        <f t="shared" si="7"/>
        <v>0</v>
      </c>
      <c r="T28" s="38">
        <f t="shared" si="1"/>
        <v>0</v>
      </c>
      <c r="U28" s="21">
        <v>0</v>
      </c>
      <c r="V28" s="13">
        <f t="shared" si="4"/>
        <v>0</v>
      </c>
      <c r="W28" s="49">
        <f t="shared" si="5"/>
        <v>0</v>
      </c>
      <c r="X28" s="50">
        <f t="shared" si="6"/>
        <v>0</v>
      </c>
      <c r="Y28" s="238">
        <v>300</v>
      </c>
      <c r="Z28" s="101">
        <v>1000</v>
      </c>
    </row>
    <row r="29" spans="1:26" ht="15.75" x14ac:dyDescent="0.25">
      <c r="A29" s="264">
        <v>25</v>
      </c>
      <c r="B29" s="256" t="s">
        <v>57</v>
      </c>
      <c r="C29" s="111">
        <v>45</v>
      </c>
      <c r="D29" s="112">
        <v>44</v>
      </c>
      <c r="E29" s="112">
        <v>3</v>
      </c>
      <c r="F29" s="19">
        <f t="shared" si="2"/>
        <v>5.94E-3</v>
      </c>
      <c r="G29" s="23">
        <v>585</v>
      </c>
      <c r="H29" s="26">
        <f t="shared" si="3"/>
        <v>3.4748999999999999</v>
      </c>
      <c r="I29" s="21">
        <v>50</v>
      </c>
      <c r="J29" s="205">
        <f t="shared" si="0"/>
        <v>0.29699999999999999</v>
      </c>
      <c r="K29" s="21">
        <v>70</v>
      </c>
      <c r="L29" s="205">
        <f t="shared" si="12"/>
        <v>0.4158</v>
      </c>
      <c r="M29" s="21">
        <v>465</v>
      </c>
      <c r="N29" s="205">
        <f t="shared" si="13"/>
        <v>2.7620999999999998</v>
      </c>
      <c r="O29" s="21">
        <v>0</v>
      </c>
      <c r="P29" s="205">
        <f t="shared" si="14"/>
        <v>0</v>
      </c>
      <c r="Q29" s="21">
        <v>0</v>
      </c>
      <c r="R29" s="205">
        <f t="shared" si="15"/>
        <v>0</v>
      </c>
      <c r="S29" s="39">
        <f t="shared" si="7"/>
        <v>0</v>
      </c>
      <c r="T29" s="38">
        <f t="shared" si="1"/>
        <v>0</v>
      </c>
      <c r="U29" s="21">
        <v>0</v>
      </c>
      <c r="V29" s="13">
        <f t="shared" si="4"/>
        <v>0</v>
      </c>
      <c r="W29" s="49">
        <f t="shared" si="5"/>
        <v>0</v>
      </c>
      <c r="X29" s="50">
        <f t="shared" si="6"/>
        <v>0</v>
      </c>
      <c r="Y29" s="238">
        <v>500</v>
      </c>
      <c r="Z29" s="101">
        <v>1500</v>
      </c>
    </row>
    <row r="30" spans="1:26" ht="15.75" x14ac:dyDescent="0.25">
      <c r="A30" s="264">
        <v>26</v>
      </c>
      <c r="B30" s="256" t="s">
        <v>58</v>
      </c>
      <c r="C30" s="111">
        <v>45</v>
      </c>
      <c r="D30" s="112">
        <v>35.5</v>
      </c>
      <c r="E30" s="112">
        <v>3</v>
      </c>
      <c r="F30" s="19">
        <f t="shared" si="2"/>
        <v>4.7924999999999999E-3</v>
      </c>
      <c r="G30" s="23">
        <v>466</v>
      </c>
      <c r="H30" s="26">
        <f t="shared" si="3"/>
        <v>2.2333050000000001</v>
      </c>
      <c r="I30" s="21">
        <v>50</v>
      </c>
      <c r="J30" s="205">
        <f t="shared" si="0"/>
        <v>0.239625</v>
      </c>
      <c r="K30" s="21">
        <v>70</v>
      </c>
      <c r="L30" s="205">
        <f t="shared" si="12"/>
        <v>0.33547499999999997</v>
      </c>
      <c r="M30" s="21">
        <v>346</v>
      </c>
      <c r="N30" s="205">
        <f t="shared" si="13"/>
        <v>1.6582049999999999</v>
      </c>
      <c r="O30" s="21">
        <v>0</v>
      </c>
      <c r="P30" s="205">
        <f t="shared" si="14"/>
        <v>0</v>
      </c>
      <c r="Q30" s="21">
        <v>0</v>
      </c>
      <c r="R30" s="205">
        <f t="shared" si="15"/>
        <v>0</v>
      </c>
      <c r="S30" s="39">
        <f t="shared" si="7"/>
        <v>0</v>
      </c>
      <c r="T30" s="38">
        <f t="shared" si="1"/>
        <v>0</v>
      </c>
      <c r="U30" s="21">
        <v>0</v>
      </c>
      <c r="V30" s="13">
        <f t="shared" si="4"/>
        <v>0</v>
      </c>
      <c r="W30" s="49">
        <f t="shared" si="5"/>
        <v>0</v>
      </c>
      <c r="X30" s="50">
        <f t="shared" si="6"/>
        <v>0</v>
      </c>
      <c r="Y30" s="238">
        <v>500</v>
      </c>
      <c r="Z30" s="101">
        <v>1500</v>
      </c>
    </row>
    <row r="31" spans="1:26" x14ac:dyDescent="0.25">
      <c r="A31" s="264">
        <v>27</v>
      </c>
      <c r="B31" s="256" t="s">
        <v>155</v>
      </c>
      <c r="C31" s="34">
        <v>140</v>
      </c>
      <c r="D31" s="35">
        <v>9.5</v>
      </c>
      <c r="E31" s="35">
        <v>6.5</v>
      </c>
      <c r="F31" s="19">
        <f t="shared" si="2"/>
        <v>8.6449999999999999E-3</v>
      </c>
      <c r="G31" s="23">
        <v>3491</v>
      </c>
      <c r="H31" s="26">
        <f t="shared" si="3"/>
        <v>30.179694999999999</v>
      </c>
      <c r="I31" s="21">
        <v>120</v>
      </c>
      <c r="J31" s="205">
        <f t="shared" si="0"/>
        <v>1.0373999999999999</v>
      </c>
      <c r="K31" s="21">
        <v>0</v>
      </c>
      <c r="L31" s="205">
        <f t="shared" si="12"/>
        <v>0</v>
      </c>
      <c r="M31" s="21">
        <v>158</v>
      </c>
      <c r="N31" s="205">
        <f t="shared" si="13"/>
        <v>1.36591</v>
      </c>
      <c r="O31" s="21">
        <v>84</v>
      </c>
      <c r="P31" s="205">
        <f t="shared" si="14"/>
        <v>0.72618000000000005</v>
      </c>
      <c r="Q31" s="21">
        <v>0</v>
      </c>
      <c r="R31" s="205">
        <f t="shared" si="15"/>
        <v>0</v>
      </c>
      <c r="S31" s="39">
        <f t="shared" si="7"/>
        <v>3129</v>
      </c>
      <c r="T31" s="38">
        <f t="shared" si="1"/>
        <v>27.050204999999998</v>
      </c>
      <c r="U31" s="21">
        <v>0</v>
      </c>
      <c r="V31" s="13">
        <f t="shared" si="4"/>
        <v>0</v>
      </c>
      <c r="W31" s="49">
        <f t="shared" si="5"/>
        <v>3129</v>
      </c>
      <c r="X31" s="50">
        <f t="shared" si="6"/>
        <v>27.050204999999998</v>
      </c>
      <c r="Y31" s="238">
        <v>500</v>
      </c>
      <c r="Z31" s="101">
        <v>1500</v>
      </c>
    </row>
    <row r="32" spans="1:26" x14ac:dyDescent="0.25">
      <c r="A32" s="264">
        <v>28</v>
      </c>
      <c r="B32" s="256" t="s">
        <v>156</v>
      </c>
      <c r="C32" s="34">
        <v>140</v>
      </c>
      <c r="D32" s="35">
        <v>240</v>
      </c>
      <c r="E32" s="35">
        <v>1</v>
      </c>
      <c r="F32" s="19">
        <f t="shared" si="2"/>
        <v>3.3599999999999998E-2</v>
      </c>
      <c r="G32" s="23">
        <v>975</v>
      </c>
      <c r="H32" s="26">
        <f t="shared" si="3"/>
        <v>32.76</v>
      </c>
      <c r="I32" s="21">
        <v>259</v>
      </c>
      <c r="J32" s="205">
        <f t="shared" si="0"/>
        <v>8.702399999999999</v>
      </c>
      <c r="K32" s="21">
        <v>270</v>
      </c>
      <c r="L32" s="205">
        <f t="shared" si="12"/>
        <v>9.0719999999999992</v>
      </c>
      <c r="M32" s="21">
        <v>165</v>
      </c>
      <c r="N32" s="205">
        <f t="shared" si="13"/>
        <v>5.5439999999999996</v>
      </c>
      <c r="O32" s="21">
        <v>139</v>
      </c>
      <c r="P32" s="205">
        <f t="shared" si="14"/>
        <v>4.6703999999999999</v>
      </c>
      <c r="Q32" s="21">
        <v>0</v>
      </c>
      <c r="R32" s="205">
        <f>F32*Q32</f>
        <v>0</v>
      </c>
      <c r="S32" s="39">
        <f t="shared" si="7"/>
        <v>142</v>
      </c>
      <c r="T32" s="38">
        <f t="shared" si="1"/>
        <v>4.7711999999999994</v>
      </c>
      <c r="U32" s="21">
        <v>688</v>
      </c>
      <c r="V32" s="205">
        <f>F32*U32</f>
        <v>23.116799999999998</v>
      </c>
      <c r="W32" s="49">
        <f t="shared" si="5"/>
        <v>830</v>
      </c>
      <c r="X32" s="50">
        <f t="shared" si="6"/>
        <v>27.887999999999998</v>
      </c>
      <c r="Y32" s="238">
        <v>250</v>
      </c>
      <c r="Z32" s="101">
        <v>750</v>
      </c>
    </row>
    <row r="33" spans="1:26" x14ac:dyDescent="0.25">
      <c r="A33" s="264">
        <v>29</v>
      </c>
      <c r="B33" s="256" t="s">
        <v>157</v>
      </c>
      <c r="C33" s="34">
        <v>140</v>
      </c>
      <c r="D33" s="35">
        <v>240</v>
      </c>
      <c r="E33" s="35">
        <v>2</v>
      </c>
      <c r="F33" s="19">
        <f t="shared" si="2"/>
        <v>6.7199999999999996E-2</v>
      </c>
      <c r="G33" s="23">
        <v>481</v>
      </c>
      <c r="H33" s="26">
        <f t="shared" si="3"/>
        <v>32.3232</v>
      </c>
      <c r="I33" s="21">
        <v>29</v>
      </c>
      <c r="J33" s="205">
        <f t="shared" si="0"/>
        <v>1.9487999999999999</v>
      </c>
      <c r="K33" s="21">
        <v>2</v>
      </c>
      <c r="L33" s="205">
        <f t="shared" si="12"/>
        <v>0.13439999999999999</v>
      </c>
      <c r="M33" s="21">
        <v>23</v>
      </c>
      <c r="N33" s="205">
        <f t="shared" si="13"/>
        <v>1.5455999999999999</v>
      </c>
      <c r="O33" s="21">
        <v>34</v>
      </c>
      <c r="P33" s="205">
        <f t="shared" si="14"/>
        <v>2.2847999999999997</v>
      </c>
      <c r="Q33" s="21">
        <v>0</v>
      </c>
      <c r="R33" s="205">
        <f>F33*Q33</f>
        <v>0</v>
      </c>
      <c r="S33" s="39">
        <f t="shared" si="7"/>
        <v>393</v>
      </c>
      <c r="T33" s="38">
        <f t="shared" si="1"/>
        <v>26.409599999999998</v>
      </c>
      <c r="U33" s="21">
        <v>0</v>
      </c>
      <c r="V33" s="13">
        <f t="shared" si="4"/>
        <v>0</v>
      </c>
      <c r="W33" s="49">
        <f t="shared" si="5"/>
        <v>393</v>
      </c>
      <c r="X33" s="50">
        <f t="shared" si="6"/>
        <v>26.409599999999998</v>
      </c>
      <c r="Y33" s="238">
        <v>75</v>
      </c>
      <c r="Z33" s="101">
        <v>150</v>
      </c>
    </row>
    <row r="34" spans="1:26" x14ac:dyDescent="0.25">
      <c r="A34" s="264">
        <v>30</v>
      </c>
      <c r="B34" s="256" t="s">
        <v>158</v>
      </c>
      <c r="C34" s="34">
        <v>140</v>
      </c>
      <c r="D34" s="35">
        <v>240</v>
      </c>
      <c r="E34" s="35">
        <v>3</v>
      </c>
      <c r="F34" s="19">
        <f t="shared" si="2"/>
        <v>0.1008</v>
      </c>
      <c r="G34" s="23">
        <v>385</v>
      </c>
      <c r="H34" s="26">
        <f t="shared" si="3"/>
        <v>38.808</v>
      </c>
      <c r="I34" s="21">
        <v>58</v>
      </c>
      <c r="J34" s="205">
        <f>F34*I34</f>
        <v>5.8464</v>
      </c>
      <c r="K34" s="21">
        <v>15</v>
      </c>
      <c r="L34" s="205">
        <f t="shared" si="12"/>
        <v>1.512</v>
      </c>
      <c r="M34" s="21">
        <v>35</v>
      </c>
      <c r="N34" s="205">
        <f t="shared" si="13"/>
        <v>3.528</v>
      </c>
      <c r="O34" s="21">
        <v>30</v>
      </c>
      <c r="P34" s="205">
        <f t="shared" si="14"/>
        <v>3.024</v>
      </c>
      <c r="Q34" s="21">
        <v>0</v>
      </c>
      <c r="R34" s="205">
        <f t="shared" si="15"/>
        <v>0</v>
      </c>
      <c r="S34" s="39">
        <f t="shared" si="7"/>
        <v>247</v>
      </c>
      <c r="T34" s="38">
        <f t="shared" si="1"/>
        <v>24.897600000000001</v>
      </c>
      <c r="U34" s="21">
        <v>0</v>
      </c>
      <c r="V34" s="13">
        <f t="shared" si="4"/>
        <v>0</v>
      </c>
      <c r="W34" s="49">
        <f t="shared" si="5"/>
        <v>247</v>
      </c>
      <c r="X34" s="50">
        <f t="shared" si="6"/>
        <v>24.897600000000001</v>
      </c>
      <c r="Y34" s="238">
        <v>75</v>
      </c>
      <c r="Z34" s="101">
        <v>150</v>
      </c>
    </row>
    <row r="35" spans="1:26" x14ac:dyDescent="0.25">
      <c r="A35" s="264">
        <v>31</v>
      </c>
      <c r="B35" s="256" t="s">
        <v>159</v>
      </c>
      <c r="C35" s="34">
        <v>140</v>
      </c>
      <c r="D35" s="35">
        <v>240</v>
      </c>
      <c r="E35" s="35">
        <v>4</v>
      </c>
      <c r="F35" s="19">
        <f t="shared" si="2"/>
        <v>0.13439999999999999</v>
      </c>
      <c r="G35" s="23">
        <v>49</v>
      </c>
      <c r="H35" s="26">
        <f t="shared" si="3"/>
        <v>6.5855999999999995</v>
      </c>
      <c r="I35" s="21">
        <v>21</v>
      </c>
      <c r="J35" s="205">
        <f t="shared" si="0"/>
        <v>2.8224</v>
      </c>
      <c r="K35" s="21">
        <v>12</v>
      </c>
      <c r="L35" s="205">
        <f t="shared" si="12"/>
        <v>1.6128</v>
      </c>
      <c r="M35" s="21">
        <v>6</v>
      </c>
      <c r="N35" s="205">
        <f t="shared" si="13"/>
        <v>0.80640000000000001</v>
      </c>
      <c r="O35" s="21">
        <v>5</v>
      </c>
      <c r="P35" s="205">
        <f t="shared" si="14"/>
        <v>0.67199999999999993</v>
      </c>
      <c r="Q35" s="21">
        <v>0</v>
      </c>
      <c r="R35" s="205">
        <f t="shared" si="15"/>
        <v>0</v>
      </c>
      <c r="S35" s="39">
        <f t="shared" si="7"/>
        <v>5</v>
      </c>
      <c r="T35" s="38">
        <f t="shared" si="1"/>
        <v>0.67199999999999993</v>
      </c>
      <c r="U35" s="21">
        <v>0</v>
      </c>
      <c r="V35" s="13">
        <f t="shared" si="4"/>
        <v>0</v>
      </c>
      <c r="W35" s="49">
        <f t="shared" si="5"/>
        <v>5</v>
      </c>
      <c r="X35" s="50">
        <f t="shared" si="6"/>
        <v>0.67199999999999993</v>
      </c>
      <c r="Y35" s="238">
        <v>50</v>
      </c>
      <c r="Z35" s="101">
        <v>100</v>
      </c>
    </row>
    <row r="36" spans="1:26" x14ac:dyDescent="0.25">
      <c r="A36" s="264">
        <v>32</v>
      </c>
      <c r="B36" s="256" t="s">
        <v>160</v>
      </c>
      <c r="C36" s="34">
        <v>140</v>
      </c>
      <c r="D36" s="35">
        <v>240</v>
      </c>
      <c r="E36" s="35">
        <v>2</v>
      </c>
      <c r="F36" s="19">
        <f t="shared" si="2"/>
        <v>6.7199999999999996E-2</v>
      </c>
      <c r="G36" s="23">
        <v>265</v>
      </c>
      <c r="H36" s="26">
        <f t="shared" si="3"/>
        <v>17.808</v>
      </c>
      <c r="I36" s="21">
        <v>52</v>
      </c>
      <c r="J36" s="205">
        <f>F36*I36</f>
        <v>3.4943999999999997</v>
      </c>
      <c r="K36" s="21">
        <v>27</v>
      </c>
      <c r="L36" s="205">
        <f t="shared" si="12"/>
        <v>1.8143999999999998</v>
      </c>
      <c r="M36" s="21">
        <v>53</v>
      </c>
      <c r="N36" s="205">
        <f t="shared" si="13"/>
        <v>3.5615999999999999</v>
      </c>
      <c r="O36" s="21">
        <v>37</v>
      </c>
      <c r="P36" s="205">
        <f t="shared" si="14"/>
        <v>2.4863999999999997</v>
      </c>
      <c r="Q36" s="21">
        <v>0</v>
      </c>
      <c r="R36" s="205">
        <f t="shared" si="15"/>
        <v>0</v>
      </c>
      <c r="S36" s="39">
        <f t="shared" si="7"/>
        <v>96</v>
      </c>
      <c r="T36" s="38">
        <f t="shared" si="1"/>
        <v>6.4512</v>
      </c>
      <c r="U36" s="21">
        <v>251</v>
      </c>
      <c r="V36" s="13">
        <f t="shared" si="4"/>
        <v>16.8672</v>
      </c>
      <c r="W36" s="49">
        <f t="shared" si="5"/>
        <v>347</v>
      </c>
      <c r="X36" s="50">
        <f t="shared" si="6"/>
        <v>23.318399999999997</v>
      </c>
      <c r="Y36" s="238">
        <v>100</v>
      </c>
      <c r="Z36" s="101">
        <v>300</v>
      </c>
    </row>
    <row r="37" spans="1:26" x14ac:dyDescent="0.25">
      <c r="A37" s="264">
        <v>33</v>
      </c>
      <c r="B37" s="256" t="s">
        <v>161</v>
      </c>
      <c r="C37" s="34">
        <v>140</v>
      </c>
      <c r="D37" s="35">
        <v>240</v>
      </c>
      <c r="E37" s="35">
        <v>6</v>
      </c>
      <c r="F37" s="19">
        <f t="shared" si="2"/>
        <v>0.2016</v>
      </c>
      <c r="G37" s="23">
        <v>32</v>
      </c>
      <c r="H37" s="26">
        <f t="shared" si="3"/>
        <v>6.4512</v>
      </c>
      <c r="I37" s="21">
        <v>0</v>
      </c>
      <c r="J37" s="205">
        <f t="shared" si="0"/>
        <v>0</v>
      </c>
      <c r="K37" s="21">
        <v>0</v>
      </c>
      <c r="L37" s="205">
        <f>F37*K37</f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39">
        <f t="shared" si="7"/>
        <v>32</v>
      </c>
      <c r="T37" s="38">
        <f t="shared" si="1"/>
        <v>6.4512</v>
      </c>
      <c r="U37" s="21">
        <v>0</v>
      </c>
      <c r="V37" s="13">
        <f t="shared" si="4"/>
        <v>0</v>
      </c>
      <c r="W37" s="49">
        <f t="shared" si="5"/>
        <v>32</v>
      </c>
      <c r="X37" s="50">
        <f t="shared" si="6"/>
        <v>6.4512</v>
      </c>
      <c r="Y37" s="238">
        <v>10</v>
      </c>
      <c r="Z37" s="101">
        <v>30</v>
      </c>
    </row>
    <row r="38" spans="1:26" x14ac:dyDescent="0.25">
      <c r="A38" s="264">
        <v>34</v>
      </c>
      <c r="B38" s="256" t="s">
        <v>162</v>
      </c>
      <c r="C38" s="34">
        <v>84</v>
      </c>
      <c r="D38" s="35">
        <v>55</v>
      </c>
      <c r="E38" s="35">
        <v>3</v>
      </c>
      <c r="F38" s="19">
        <f t="shared" si="2"/>
        <v>1.3860000000000001E-2</v>
      </c>
      <c r="G38" s="23">
        <v>0</v>
      </c>
      <c r="H38" s="26">
        <f t="shared" si="3"/>
        <v>0</v>
      </c>
      <c r="I38" s="21">
        <v>0</v>
      </c>
      <c r="J38" s="205">
        <f t="shared" si="0"/>
        <v>0</v>
      </c>
      <c r="K38" s="21">
        <v>0</v>
      </c>
      <c r="L38" s="205">
        <f t="shared" si="0"/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39">
        <f t="shared" si="7"/>
        <v>0</v>
      </c>
      <c r="T38" s="38">
        <f t="shared" si="1"/>
        <v>0</v>
      </c>
      <c r="U38" s="21">
        <v>0</v>
      </c>
      <c r="V38" s="13">
        <f t="shared" si="4"/>
        <v>0</v>
      </c>
      <c r="W38" s="49">
        <f t="shared" si="5"/>
        <v>0</v>
      </c>
      <c r="X38" s="50">
        <f t="shared" si="6"/>
        <v>0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163</v>
      </c>
      <c r="C39" s="34">
        <v>90</v>
      </c>
      <c r="D39" s="35">
        <v>90</v>
      </c>
      <c r="E39" s="35">
        <v>3</v>
      </c>
      <c r="F39" s="19">
        <f t="shared" si="2"/>
        <v>2.4299999999999999E-2</v>
      </c>
      <c r="G39" s="23">
        <v>0</v>
      </c>
      <c r="H39" s="26">
        <f t="shared" si="3"/>
        <v>0</v>
      </c>
      <c r="I39" s="21">
        <v>0</v>
      </c>
      <c r="J39" s="205">
        <f t="shared" si="0"/>
        <v>0</v>
      </c>
      <c r="K39" s="21">
        <v>0</v>
      </c>
      <c r="L39" s="205">
        <f t="shared" si="0"/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39">
        <f t="shared" si="7"/>
        <v>0</v>
      </c>
      <c r="T39" s="38">
        <f t="shared" si="1"/>
        <v>0</v>
      </c>
      <c r="U39" s="21">
        <v>0</v>
      </c>
      <c r="V39" s="13">
        <f t="shared" si="4"/>
        <v>0</v>
      </c>
      <c r="W39" s="49">
        <f t="shared" si="5"/>
        <v>0</v>
      </c>
      <c r="X39" s="50">
        <f t="shared" si="6"/>
        <v>0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164</v>
      </c>
      <c r="C40" s="34">
        <v>140</v>
      </c>
      <c r="D40" s="35">
        <v>240</v>
      </c>
      <c r="E40" s="35">
        <v>10</v>
      </c>
      <c r="F40" s="19">
        <f t="shared" si="2"/>
        <v>0.33600000000000002</v>
      </c>
      <c r="G40" s="23">
        <v>0</v>
      </c>
      <c r="H40" s="26">
        <f t="shared" si="3"/>
        <v>0</v>
      </c>
      <c r="I40" s="21">
        <v>0</v>
      </c>
      <c r="J40" s="205">
        <f t="shared" si="0"/>
        <v>0</v>
      </c>
      <c r="K40" s="21">
        <v>0</v>
      </c>
      <c r="L40" s="205">
        <f>F40*K40</f>
        <v>0</v>
      </c>
      <c r="M40" s="21">
        <v>0</v>
      </c>
      <c r="N40" s="205">
        <f>F40*M40</f>
        <v>0</v>
      </c>
      <c r="O40" s="21">
        <v>0</v>
      </c>
      <c r="P40" s="205">
        <f>F40*O40</f>
        <v>0</v>
      </c>
      <c r="Q40" s="21">
        <v>0</v>
      </c>
      <c r="R40" s="205">
        <f>F40*Q40</f>
        <v>0</v>
      </c>
      <c r="S40" s="39">
        <f t="shared" si="7"/>
        <v>0</v>
      </c>
      <c r="T40" s="38">
        <f t="shared" si="1"/>
        <v>0</v>
      </c>
      <c r="U40" s="21">
        <v>0</v>
      </c>
      <c r="V40" s="13">
        <f t="shared" si="4"/>
        <v>0</v>
      </c>
      <c r="W40" s="49">
        <f t="shared" si="5"/>
        <v>0</v>
      </c>
      <c r="X40" s="50">
        <f t="shared" si="6"/>
        <v>0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165</v>
      </c>
      <c r="C41" s="34">
        <v>140</v>
      </c>
      <c r="D41" s="35">
        <v>240</v>
      </c>
      <c r="E41" s="35">
        <v>10</v>
      </c>
      <c r="F41" s="19">
        <f t="shared" si="2"/>
        <v>0.33600000000000002</v>
      </c>
      <c r="G41" s="23">
        <v>69</v>
      </c>
      <c r="H41" s="26">
        <f t="shared" si="3"/>
        <v>23.184000000000001</v>
      </c>
      <c r="I41" s="21">
        <v>4</v>
      </c>
      <c r="J41" s="205">
        <f>F41*I41</f>
        <v>1.3440000000000001</v>
      </c>
      <c r="K41" s="21">
        <v>2</v>
      </c>
      <c r="L41" s="205">
        <f>F41*K41</f>
        <v>0.67200000000000004</v>
      </c>
      <c r="M41" s="21">
        <v>10</v>
      </c>
      <c r="N41" s="205">
        <f>F41*M41</f>
        <v>3.3600000000000003</v>
      </c>
      <c r="O41" s="21">
        <v>3</v>
      </c>
      <c r="P41" s="205">
        <f>F41*O41</f>
        <v>1.008</v>
      </c>
      <c r="Q41" s="21">
        <v>0</v>
      </c>
      <c r="R41" s="205">
        <f>F41*Q41</f>
        <v>0</v>
      </c>
      <c r="S41" s="39">
        <f t="shared" si="7"/>
        <v>50</v>
      </c>
      <c r="T41" s="38">
        <f t="shared" si="1"/>
        <v>16.8</v>
      </c>
      <c r="U41" s="21">
        <v>65</v>
      </c>
      <c r="V41" s="13">
        <f t="shared" si="4"/>
        <v>21.84</v>
      </c>
      <c r="W41" s="49">
        <f t="shared" si="5"/>
        <v>115</v>
      </c>
      <c r="X41" s="50">
        <f t="shared" si="6"/>
        <v>38.64</v>
      </c>
      <c r="Y41" s="238">
        <v>50</v>
      </c>
      <c r="Z41" s="101">
        <v>100</v>
      </c>
    </row>
    <row r="42" spans="1:26" x14ac:dyDescent="0.25">
      <c r="A42" s="264">
        <v>38</v>
      </c>
      <c r="B42" s="256" t="s">
        <v>166</v>
      </c>
      <c r="C42" s="34">
        <v>92</v>
      </c>
      <c r="D42" s="35">
        <v>82</v>
      </c>
      <c r="E42" s="35">
        <v>2</v>
      </c>
      <c r="F42" s="19">
        <f t="shared" si="2"/>
        <v>1.5088000000000001E-2</v>
      </c>
      <c r="G42" s="23">
        <v>413</v>
      </c>
      <c r="H42" s="26">
        <f t="shared" si="3"/>
        <v>6.231344</v>
      </c>
      <c r="I42" s="21">
        <v>65</v>
      </c>
      <c r="J42" s="205">
        <f t="shared" si="0"/>
        <v>0.98072000000000004</v>
      </c>
      <c r="K42" s="21">
        <v>86</v>
      </c>
      <c r="L42" s="205">
        <f>F42*K42</f>
        <v>1.2975680000000001</v>
      </c>
      <c r="M42" s="21">
        <v>218</v>
      </c>
      <c r="N42" s="205">
        <f>F42*M42</f>
        <v>3.2891840000000001</v>
      </c>
      <c r="O42" s="21">
        <v>34</v>
      </c>
      <c r="P42" s="205">
        <f>F42*O42</f>
        <v>0.512992</v>
      </c>
      <c r="Q42" s="21">
        <v>0</v>
      </c>
      <c r="R42" s="205">
        <f>F42*Q42</f>
        <v>0</v>
      </c>
      <c r="S42" s="39">
        <f t="shared" si="7"/>
        <v>10</v>
      </c>
      <c r="T42" s="38">
        <f t="shared" si="1"/>
        <v>0.15088000000000001</v>
      </c>
      <c r="U42" s="21">
        <v>0</v>
      </c>
      <c r="V42" s="13">
        <f t="shared" si="4"/>
        <v>0</v>
      </c>
      <c r="W42" s="49">
        <f t="shared" si="5"/>
        <v>10</v>
      </c>
      <c r="X42" s="50">
        <f t="shared" si="6"/>
        <v>0.15088000000000001</v>
      </c>
      <c r="Y42" s="238">
        <v>100</v>
      </c>
      <c r="Z42" s="101">
        <v>300</v>
      </c>
    </row>
    <row r="43" spans="1:26" x14ac:dyDescent="0.25">
      <c r="A43" s="264">
        <v>39</v>
      </c>
      <c r="B43" s="256" t="s">
        <v>167</v>
      </c>
      <c r="C43" s="34">
        <v>75</v>
      </c>
      <c r="D43" s="35">
        <v>55</v>
      </c>
      <c r="E43" s="35">
        <v>3</v>
      </c>
      <c r="F43" s="19">
        <f t="shared" si="2"/>
        <v>1.2375000000000001E-2</v>
      </c>
      <c r="G43" s="23">
        <v>0</v>
      </c>
      <c r="H43" s="26">
        <f t="shared" si="3"/>
        <v>0</v>
      </c>
      <c r="I43" s="21">
        <v>0</v>
      </c>
      <c r="J43" s="205">
        <f t="shared" si="0"/>
        <v>0</v>
      </c>
      <c r="K43" s="21">
        <v>0</v>
      </c>
      <c r="L43" s="205">
        <f t="shared" si="0"/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39">
        <f t="shared" si="7"/>
        <v>0</v>
      </c>
      <c r="T43" s="38">
        <f t="shared" si="1"/>
        <v>0</v>
      </c>
      <c r="U43" s="21">
        <v>0</v>
      </c>
      <c r="V43" s="13">
        <f t="shared" si="4"/>
        <v>0</v>
      </c>
      <c r="W43" s="49">
        <f t="shared" si="5"/>
        <v>0</v>
      </c>
      <c r="X43" s="50">
        <f t="shared" si="6"/>
        <v>0</v>
      </c>
      <c r="Y43" s="238">
        <v>0</v>
      </c>
      <c r="Z43" s="101">
        <v>0</v>
      </c>
    </row>
    <row r="44" spans="1:26" x14ac:dyDescent="0.25">
      <c r="A44" s="264">
        <v>40</v>
      </c>
      <c r="B44" s="256" t="s">
        <v>168</v>
      </c>
      <c r="C44" s="34">
        <v>140</v>
      </c>
      <c r="D44" s="35">
        <v>240</v>
      </c>
      <c r="E44" s="35">
        <v>3</v>
      </c>
      <c r="F44" s="19">
        <f t="shared" si="2"/>
        <v>0.1008</v>
      </c>
      <c r="G44" s="23">
        <v>0</v>
      </c>
      <c r="H44" s="26">
        <f t="shared" si="3"/>
        <v>0</v>
      </c>
      <c r="I44" s="21">
        <v>0</v>
      </c>
      <c r="J44" s="205">
        <f t="shared" si="0"/>
        <v>0</v>
      </c>
      <c r="K44" s="21">
        <v>0</v>
      </c>
      <c r="L44" s="205">
        <f t="shared" ref="L44:L52" si="16">F44*K44</f>
        <v>0</v>
      </c>
      <c r="M44" s="21">
        <v>0</v>
      </c>
      <c r="N44" s="205">
        <f t="shared" ref="N44:N52" si="17">F44*M44</f>
        <v>0</v>
      </c>
      <c r="O44" s="21">
        <v>0</v>
      </c>
      <c r="P44" s="205">
        <f t="shared" ref="P44:P52" si="18">F44*O44</f>
        <v>0</v>
      </c>
      <c r="Q44" s="21">
        <v>0</v>
      </c>
      <c r="R44" s="205">
        <f t="shared" ref="R44:R52" si="19">F44*Q44</f>
        <v>0</v>
      </c>
      <c r="S44" s="39">
        <f t="shared" si="7"/>
        <v>0</v>
      </c>
      <c r="T44" s="38">
        <f t="shared" si="1"/>
        <v>0</v>
      </c>
      <c r="U44" s="21">
        <v>0</v>
      </c>
      <c r="V44" s="13">
        <f t="shared" si="4"/>
        <v>0</v>
      </c>
      <c r="W44" s="49">
        <f t="shared" si="5"/>
        <v>0</v>
      </c>
      <c r="X44" s="50">
        <f t="shared" si="6"/>
        <v>0</v>
      </c>
      <c r="Y44" s="238">
        <v>0</v>
      </c>
      <c r="Z44" s="101">
        <v>0</v>
      </c>
    </row>
    <row r="45" spans="1:26" x14ac:dyDescent="0.25">
      <c r="A45" s="264">
        <v>41</v>
      </c>
      <c r="B45" s="256" t="s">
        <v>169</v>
      </c>
      <c r="C45" s="34">
        <v>82</v>
      </c>
      <c r="D45" s="34">
        <v>80</v>
      </c>
      <c r="E45" s="34">
        <v>2</v>
      </c>
      <c r="F45" s="19">
        <f t="shared" si="2"/>
        <v>1.312E-2</v>
      </c>
      <c r="G45" s="34">
        <v>331</v>
      </c>
      <c r="H45" s="26">
        <f t="shared" si="3"/>
        <v>4.3427199999999999</v>
      </c>
      <c r="I45" s="21">
        <v>163</v>
      </c>
      <c r="J45" s="205">
        <f t="shared" si="0"/>
        <v>2.13856</v>
      </c>
      <c r="K45" s="21">
        <v>168</v>
      </c>
      <c r="L45" s="205">
        <f t="shared" si="16"/>
        <v>2.2041599999999999</v>
      </c>
      <c r="M45" s="21">
        <v>0</v>
      </c>
      <c r="N45" s="205">
        <f t="shared" si="17"/>
        <v>0</v>
      </c>
      <c r="O45" s="21">
        <v>0</v>
      </c>
      <c r="P45" s="205">
        <f t="shared" si="18"/>
        <v>0</v>
      </c>
      <c r="Q45" s="21">
        <v>0</v>
      </c>
      <c r="R45" s="205">
        <f t="shared" si="19"/>
        <v>0</v>
      </c>
      <c r="S45" s="39">
        <f t="shared" si="7"/>
        <v>0</v>
      </c>
      <c r="T45" s="38">
        <f t="shared" si="1"/>
        <v>0</v>
      </c>
      <c r="U45" s="21">
        <v>0</v>
      </c>
      <c r="V45" s="13">
        <f t="shared" si="4"/>
        <v>0</v>
      </c>
      <c r="W45" s="49">
        <f t="shared" si="5"/>
        <v>0</v>
      </c>
      <c r="X45" s="50">
        <f t="shared" si="6"/>
        <v>0</v>
      </c>
      <c r="Y45" s="238">
        <v>100</v>
      </c>
      <c r="Z45" s="101">
        <v>300</v>
      </c>
    </row>
    <row r="46" spans="1:26" x14ac:dyDescent="0.25">
      <c r="A46" s="264">
        <v>42</v>
      </c>
      <c r="B46" s="256" t="s">
        <v>170</v>
      </c>
      <c r="C46" s="34">
        <v>90</v>
      </c>
      <c r="D46" s="34">
        <v>83</v>
      </c>
      <c r="E46" s="34">
        <v>2</v>
      </c>
      <c r="F46" s="19">
        <f t="shared" si="2"/>
        <v>1.494E-2</v>
      </c>
      <c r="G46" s="34">
        <v>795</v>
      </c>
      <c r="H46" s="26">
        <f t="shared" si="3"/>
        <v>11.8773</v>
      </c>
      <c r="I46" s="21">
        <v>0</v>
      </c>
      <c r="J46" s="205">
        <f t="shared" si="0"/>
        <v>0</v>
      </c>
      <c r="K46" s="21">
        <v>0</v>
      </c>
      <c r="L46" s="205">
        <f t="shared" si="16"/>
        <v>0</v>
      </c>
      <c r="M46" s="21">
        <v>26</v>
      </c>
      <c r="N46" s="205">
        <f t="shared" si="17"/>
        <v>0.38844000000000001</v>
      </c>
      <c r="O46" s="21">
        <v>52</v>
      </c>
      <c r="P46" s="205">
        <f t="shared" si="18"/>
        <v>0.77688000000000001</v>
      </c>
      <c r="Q46" s="21">
        <v>0</v>
      </c>
      <c r="R46" s="205">
        <f t="shared" si="19"/>
        <v>0</v>
      </c>
      <c r="S46" s="39">
        <f t="shared" si="7"/>
        <v>717</v>
      </c>
      <c r="T46" s="38">
        <f t="shared" si="1"/>
        <v>10.711980000000001</v>
      </c>
      <c r="U46" s="21">
        <v>0</v>
      </c>
      <c r="V46" s="13">
        <f t="shared" si="4"/>
        <v>0</v>
      </c>
      <c r="W46" s="49">
        <v>934</v>
      </c>
      <c r="X46" s="50">
        <f t="shared" si="6"/>
        <v>13.95396</v>
      </c>
      <c r="Y46" s="238">
        <v>100</v>
      </c>
      <c r="Z46" s="101">
        <v>300</v>
      </c>
    </row>
    <row r="47" spans="1:26" x14ac:dyDescent="0.25">
      <c r="A47" s="264">
        <v>43</v>
      </c>
      <c r="B47" s="256" t="s">
        <v>171</v>
      </c>
      <c r="C47" s="34">
        <v>105</v>
      </c>
      <c r="D47" s="34">
        <v>55</v>
      </c>
      <c r="E47" s="34">
        <v>3</v>
      </c>
      <c r="F47" s="19">
        <f t="shared" si="2"/>
        <v>1.7325E-2</v>
      </c>
      <c r="G47" s="34">
        <v>0</v>
      </c>
      <c r="H47" s="26">
        <f t="shared" si="3"/>
        <v>0</v>
      </c>
      <c r="I47" s="21">
        <v>0</v>
      </c>
      <c r="J47" s="205">
        <f t="shared" si="0"/>
        <v>0</v>
      </c>
      <c r="K47" s="21">
        <v>0</v>
      </c>
      <c r="L47" s="205">
        <f t="shared" si="16"/>
        <v>0</v>
      </c>
      <c r="M47" s="21">
        <v>0</v>
      </c>
      <c r="N47" s="205">
        <f t="shared" si="17"/>
        <v>0</v>
      </c>
      <c r="O47" s="21">
        <v>0</v>
      </c>
      <c r="P47" s="205">
        <f t="shared" si="18"/>
        <v>0</v>
      </c>
      <c r="Q47" s="21">
        <v>0</v>
      </c>
      <c r="R47" s="205">
        <f t="shared" si="19"/>
        <v>0</v>
      </c>
      <c r="S47" s="39">
        <f t="shared" si="7"/>
        <v>0</v>
      </c>
      <c r="T47" s="38">
        <f t="shared" si="1"/>
        <v>0</v>
      </c>
      <c r="U47" s="21">
        <v>0</v>
      </c>
      <c r="V47" s="13">
        <f t="shared" si="4"/>
        <v>0</v>
      </c>
      <c r="W47" s="49">
        <f t="shared" si="5"/>
        <v>0</v>
      </c>
      <c r="X47" s="50">
        <f t="shared" si="6"/>
        <v>0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173</v>
      </c>
      <c r="C48" s="34">
        <v>140</v>
      </c>
      <c r="D48" s="34">
        <v>240</v>
      </c>
      <c r="E48" s="34">
        <v>4</v>
      </c>
      <c r="F48" s="19">
        <f t="shared" si="2"/>
        <v>0.13439999999999999</v>
      </c>
      <c r="G48" s="34">
        <v>0</v>
      </c>
      <c r="H48" s="26">
        <f t="shared" si="3"/>
        <v>0</v>
      </c>
      <c r="I48" s="21">
        <v>0</v>
      </c>
      <c r="J48" s="205">
        <f t="shared" si="0"/>
        <v>0</v>
      </c>
      <c r="K48" s="21">
        <v>0</v>
      </c>
      <c r="L48" s="205">
        <f t="shared" si="16"/>
        <v>0</v>
      </c>
      <c r="M48" s="21">
        <v>0</v>
      </c>
      <c r="N48" s="205">
        <f t="shared" si="17"/>
        <v>0</v>
      </c>
      <c r="O48" s="21">
        <v>0</v>
      </c>
      <c r="P48" s="205">
        <f t="shared" si="18"/>
        <v>0</v>
      </c>
      <c r="Q48" s="21">
        <v>0</v>
      </c>
      <c r="R48" s="205">
        <f t="shared" si="19"/>
        <v>0</v>
      </c>
      <c r="S48" s="39">
        <f t="shared" si="7"/>
        <v>0</v>
      </c>
      <c r="T48" s="38">
        <f t="shared" si="1"/>
        <v>0</v>
      </c>
      <c r="U48" s="21">
        <v>0</v>
      </c>
      <c r="V48" s="13">
        <f t="shared" si="4"/>
        <v>0</v>
      </c>
      <c r="W48" s="49">
        <f t="shared" si="5"/>
        <v>0</v>
      </c>
      <c r="X48" s="50">
        <f t="shared" si="6"/>
        <v>0</v>
      </c>
      <c r="Y48" s="238">
        <v>0</v>
      </c>
      <c r="Z48" s="101">
        <v>0</v>
      </c>
    </row>
    <row r="49" spans="1:26" x14ac:dyDescent="0.25">
      <c r="A49" s="264">
        <v>45</v>
      </c>
      <c r="B49" s="256" t="s">
        <v>174</v>
      </c>
      <c r="C49" s="34">
        <v>140</v>
      </c>
      <c r="D49" s="34">
        <v>240</v>
      </c>
      <c r="E49" s="34">
        <v>14</v>
      </c>
      <c r="F49" s="19">
        <f t="shared" si="2"/>
        <v>0.47039999999999998</v>
      </c>
      <c r="G49" s="34">
        <v>7</v>
      </c>
      <c r="H49" s="26">
        <f t="shared" si="3"/>
        <v>3.2927999999999997</v>
      </c>
      <c r="I49" s="21">
        <v>1</v>
      </c>
      <c r="J49" s="205">
        <f t="shared" si="0"/>
        <v>0.47039999999999998</v>
      </c>
      <c r="K49" s="21">
        <v>0</v>
      </c>
      <c r="L49" s="205">
        <f t="shared" si="16"/>
        <v>0</v>
      </c>
      <c r="M49" s="21">
        <v>0</v>
      </c>
      <c r="N49" s="205">
        <f t="shared" si="17"/>
        <v>0</v>
      </c>
      <c r="O49" s="21">
        <v>0</v>
      </c>
      <c r="P49" s="205">
        <f t="shared" si="18"/>
        <v>0</v>
      </c>
      <c r="Q49" s="21">
        <v>0</v>
      </c>
      <c r="R49" s="205">
        <f t="shared" si="19"/>
        <v>0</v>
      </c>
      <c r="S49" s="39">
        <f t="shared" si="7"/>
        <v>6</v>
      </c>
      <c r="T49" s="38">
        <f t="shared" si="1"/>
        <v>2.8224</v>
      </c>
      <c r="U49" s="21">
        <v>0</v>
      </c>
      <c r="V49" s="13">
        <f t="shared" si="4"/>
        <v>0</v>
      </c>
      <c r="W49" s="49">
        <f t="shared" si="5"/>
        <v>6</v>
      </c>
      <c r="X49" s="50">
        <f t="shared" si="6"/>
        <v>2.8224</v>
      </c>
      <c r="Y49" s="238">
        <v>10</v>
      </c>
      <c r="Z49" s="101">
        <v>20</v>
      </c>
    </row>
    <row r="50" spans="1:26" x14ac:dyDescent="0.25">
      <c r="A50" s="264">
        <v>46</v>
      </c>
      <c r="B50" s="256" t="s">
        <v>175</v>
      </c>
      <c r="C50" s="34">
        <v>140</v>
      </c>
      <c r="D50" s="34">
        <v>240</v>
      </c>
      <c r="E50" s="34">
        <v>12</v>
      </c>
      <c r="F50" s="19">
        <f t="shared" si="2"/>
        <v>0.4032</v>
      </c>
      <c r="G50" s="34">
        <v>9</v>
      </c>
      <c r="H50" s="26">
        <f t="shared" si="3"/>
        <v>3.6288</v>
      </c>
      <c r="I50" s="21">
        <v>0</v>
      </c>
      <c r="J50" s="205">
        <f t="shared" si="0"/>
        <v>0</v>
      </c>
      <c r="K50" s="21">
        <v>0</v>
      </c>
      <c r="L50" s="205">
        <f t="shared" si="16"/>
        <v>0</v>
      </c>
      <c r="M50" s="21">
        <v>0</v>
      </c>
      <c r="N50" s="205">
        <f t="shared" si="17"/>
        <v>0</v>
      </c>
      <c r="O50" s="21">
        <v>0</v>
      </c>
      <c r="P50" s="205">
        <f t="shared" si="18"/>
        <v>0</v>
      </c>
      <c r="Q50" s="21">
        <v>0</v>
      </c>
      <c r="R50" s="205">
        <f t="shared" si="19"/>
        <v>0</v>
      </c>
      <c r="S50" s="39">
        <f t="shared" si="7"/>
        <v>9</v>
      </c>
      <c r="T50" s="38">
        <f t="shared" si="1"/>
        <v>3.6288</v>
      </c>
      <c r="U50" s="21">
        <v>0</v>
      </c>
      <c r="V50" s="13">
        <f t="shared" si="4"/>
        <v>0</v>
      </c>
      <c r="W50" s="49">
        <f t="shared" si="5"/>
        <v>9</v>
      </c>
      <c r="X50" s="50">
        <f t="shared" si="6"/>
        <v>3.6288</v>
      </c>
      <c r="Y50" s="238">
        <v>10</v>
      </c>
      <c r="Z50" s="101">
        <v>20</v>
      </c>
    </row>
    <row r="51" spans="1:26" x14ac:dyDescent="0.25">
      <c r="A51" s="264">
        <v>47</v>
      </c>
      <c r="B51" s="256" t="s">
        <v>176</v>
      </c>
      <c r="C51" s="34">
        <v>130</v>
      </c>
      <c r="D51" s="34">
        <v>60</v>
      </c>
      <c r="E51" s="34">
        <v>5</v>
      </c>
      <c r="F51" s="19">
        <f t="shared" si="2"/>
        <v>3.9E-2</v>
      </c>
      <c r="G51" s="34">
        <v>162</v>
      </c>
      <c r="H51" s="26">
        <f t="shared" si="3"/>
        <v>6.3179999999999996</v>
      </c>
      <c r="I51" s="21">
        <v>0</v>
      </c>
      <c r="J51" s="205">
        <f t="shared" si="0"/>
        <v>0</v>
      </c>
      <c r="K51" s="21">
        <v>0</v>
      </c>
      <c r="L51" s="205">
        <f t="shared" si="16"/>
        <v>0</v>
      </c>
      <c r="M51" s="21">
        <v>0</v>
      </c>
      <c r="N51" s="205">
        <f t="shared" si="17"/>
        <v>0</v>
      </c>
      <c r="O51" s="21">
        <v>0</v>
      </c>
      <c r="P51" s="205">
        <f t="shared" si="18"/>
        <v>0</v>
      </c>
      <c r="Q51" s="21">
        <v>0</v>
      </c>
      <c r="R51" s="205">
        <f t="shared" si="19"/>
        <v>0</v>
      </c>
      <c r="S51" s="39">
        <f t="shared" si="7"/>
        <v>162</v>
      </c>
      <c r="T51" s="38">
        <f t="shared" si="1"/>
        <v>6.3179999999999996</v>
      </c>
      <c r="U51" s="21">
        <v>0</v>
      </c>
      <c r="V51" s="13">
        <f t="shared" si="4"/>
        <v>0</v>
      </c>
      <c r="W51" s="49">
        <f t="shared" si="5"/>
        <v>162</v>
      </c>
      <c r="X51" s="50">
        <f t="shared" si="6"/>
        <v>6.3179999999999996</v>
      </c>
      <c r="Y51" s="238">
        <v>30</v>
      </c>
      <c r="Z51" s="101">
        <v>100</v>
      </c>
    </row>
    <row r="52" spans="1:26" x14ac:dyDescent="0.25">
      <c r="A52" s="264">
        <v>48</v>
      </c>
      <c r="B52" s="256" t="s">
        <v>178</v>
      </c>
      <c r="C52" s="34">
        <v>140</v>
      </c>
      <c r="D52" s="34">
        <v>240</v>
      </c>
      <c r="E52" s="34">
        <v>3</v>
      </c>
      <c r="F52" s="19">
        <f t="shared" si="2"/>
        <v>0.1008</v>
      </c>
      <c r="G52" s="34">
        <v>1323</v>
      </c>
      <c r="H52" s="26">
        <f t="shared" si="3"/>
        <v>133.35839999999999</v>
      </c>
      <c r="I52" s="21">
        <v>23</v>
      </c>
      <c r="J52" s="205">
        <f t="shared" si="0"/>
        <v>2.3184</v>
      </c>
      <c r="K52" s="21">
        <v>3</v>
      </c>
      <c r="L52" s="205">
        <f t="shared" si="16"/>
        <v>0.3024</v>
      </c>
      <c r="M52" s="21">
        <v>10</v>
      </c>
      <c r="N52" s="205">
        <f t="shared" si="17"/>
        <v>1.008</v>
      </c>
      <c r="O52" s="21">
        <v>10</v>
      </c>
      <c r="P52" s="205">
        <f t="shared" si="18"/>
        <v>1.008</v>
      </c>
      <c r="Q52" s="21">
        <v>0</v>
      </c>
      <c r="R52" s="205">
        <f t="shared" si="19"/>
        <v>0</v>
      </c>
      <c r="S52" s="39">
        <f t="shared" si="7"/>
        <v>1277</v>
      </c>
      <c r="T52" s="38">
        <f t="shared" si="1"/>
        <v>128.7216</v>
      </c>
      <c r="U52" s="21">
        <v>0</v>
      </c>
      <c r="V52" s="13">
        <f t="shared" si="4"/>
        <v>0</v>
      </c>
      <c r="W52" s="49">
        <f t="shared" si="5"/>
        <v>1277</v>
      </c>
      <c r="X52" s="50">
        <f t="shared" si="6"/>
        <v>128.7216</v>
      </c>
      <c r="Y52" s="238">
        <v>100</v>
      </c>
      <c r="Z52" s="101">
        <v>300</v>
      </c>
    </row>
    <row r="53" spans="1:26" x14ac:dyDescent="0.25">
      <c r="A53" s="264">
        <v>49</v>
      </c>
      <c r="B53" s="256" t="s">
        <v>87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26">
        <f t="shared" si="3"/>
        <v>0</v>
      </c>
      <c r="I53" s="21">
        <v>0</v>
      </c>
      <c r="J53" s="205">
        <f t="shared" si="0"/>
        <v>0</v>
      </c>
      <c r="K53" s="21">
        <v>0</v>
      </c>
      <c r="L53" s="205">
        <f t="shared" si="0"/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39">
        <f t="shared" si="7"/>
        <v>0</v>
      </c>
      <c r="T53" s="38">
        <f t="shared" si="1"/>
        <v>0</v>
      </c>
      <c r="U53" s="21">
        <v>0</v>
      </c>
      <c r="V53" s="13">
        <f t="shared" si="4"/>
        <v>0</v>
      </c>
      <c r="W53" s="49">
        <f t="shared" si="5"/>
        <v>0</v>
      </c>
      <c r="X53" s="50">
        <f t="shared" si="6"/>
        <v>0</v>
      </c>
      <c r="Y53" s="238">
        <v>0</v>
      </c>
      <c r="Z53" s="101">
        <v>0</v>
      </c>
    </row>
    <row r="54" spans="1:26" x14ac:dyDescent="0.25">
      <c r="A54" s="264">
        <v>50</v>
      </c>
      <c r="B54" s="256" t="s">
        <v>87</v>
      </c>
      <c r="C54" s="34">
        <v>0</v>
      </c>
      <c r="D54" s="34">
        <v>0</v>
      </c>
      <c r="E54" s="34">
        <v>0</v>
      </c>
      <c r="F54" s="34">
        <v>0</v>
      </c>
      <c r="G54" s="34">
        <v>0</v>
      </c>
      <c r="H54" s="26">
        <f t="shared" si="3"/>
        <v>0</v>
      </c>
      <c r="I54" s="21">
        <v>0</v>
      </c>
      <c r="J54" s="205">
        <f t="shared" si="0"/>
        <v>0</v>
      </c>
      <c r="K54" s="21">
        <v>0</v>
      </c>
      <c r="L54" s="205">
        <f t="shared" si="0"/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39">
        <f t="shared" si="7"/>
        <v>0</v>
      </c>
      <c r="T54" s="38">
        <f t="shared" si="1"/>
        <v>0</v>
      </c>
      <c r="U54" s="21">
        <v>0</v>
      </c>
      <c r="V54" s="13">
        <f t="shared" si="4"/>
        <v>0</v>
      </c>
      <c r="W54" s="49">
        <f t="shared" si="5"/>
        <v>0</v>
      </c>
      <c r="X54" s="50">
        <f t="shared" si="6"/>
        <v>0</v>
      </c>
      <c r="Y54" s="238">
        <v>0</v>
      </c>
      <c r="Z54" s="101">
        <v>0</v>
      </c>
    </row>
    <row r="55" spans="1:26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6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6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6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6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6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6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6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6" x14ac:dyDescent="0.2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6" x14ac:dyDescent="0.2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</sheetData>
  <mergeCells count="24">
    <mergeCell ref="C1:H1"/>
    <mergeCell ref="G2:H3"/>
    <mergeCell ref="I2:J2"/>
    <mergeCell ref="K2:L2"/>
    <mergeCell ref="M2:N2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S4:T4"/>
    <mergeCell ref="U4:V4"/>
    <mergeCell ref="W4:X4"/>
    <mergeCell ref="G4:H4"/>
    <mergeCell ref="I4:J4"/>
    <mergeCell ref="K4:L4"/>
    <mergeCell ref="M4:N4"/>
    <mergeCell ref="O4:P4"/>
    <mergeCell ref="Q4:R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Z78"/>
  <sheetViews>
    <sheetView workbookViewId="0">
      <selection activeCell="R30" sqref="R30"/>
    </sheetView>
  </sheetViews>
  <sheetFormatPr defaultRowHeight="15" x14ac:dyDescent="0.25"/>
  <cols>
    <col min="1" max="1" width="5" customWidth="1"/>
    <col min="2" max="2" width="29.140625" style="3" customWidth="1"/>
    <col min="3" max="3" width="8.140625" style="2" hidden="1" customWidth="1"/>
    <col min="4" max="4" width="11.140625" style="2" hidden="1" customWidth="1"/>
    <col min="5" max="5" width="13.85546875" style="2" hidden="1" customWidth="1"/>
    <col min="6" max="6" width="17.28515625" style="4" hidden="1" customWidth="1"/>
    <col min="7" max="7" width="8.7109375" style="5" customWidth="1"/>
    <col min="8" max="8" width="9" style="5" customWidth="1"/>
    <col min="9" max="18" width="8.140625" style="2" customWidth="1"/>
    <col min="19" max="19" width="0.140625" style="2" customWidth="1"/>
    <col min="20" max="20" width="8.140625" style="2" hidden="1" customWidth="1"/>
    <col min="21" max="21" width="9.42578125" customWidth="1"/>
    <col min="22" max="22" width="11.7109375" customWidth="1"/>
    <col min="25" max="25" width="10.28515625" customWidth="1"/>
  </cols>
  <sheetData>
    <row r="1" spans="1:26" ht="15.75" thickBot="1" x14ac:dyDescent="0.3">
      <c r="B1" s="4" t="s">
        <v>18</v>
      </c>
      <c r="C1" s="384">
        <v>45383</v>
      </c>
      <c r="D1" s="320"/>
      <c r="E1" s="320"/>
      <c r="F1" s="320"/>
      <c r="G1" s="320"/>
      <c r="H1" s="320"/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45387</v>
      </c>
      <c r="J2" s="326"/>
      <c r="K2" s="327">
        <v>45394</v>
      </c>
      <c r="L2" s="328"/>
      <c r="M2" s="325">
        <v>45401</v>
      </c>
      <c r="N2" s="329"/>
      <c r="O2" s="327">
        <v>45408</v>
      </c>
      <c r="P2" s="346"/>
      <c r="Q2" s="325">
        <v>45412</v>
      </c>
      <c r="R2" s="329"/>
      <c r="S2" s="330" t="s">
        <v>69</v>
      </c>
      <c r="T2" s="331"/>
      <c r="U2" s="334" t="s">
        <v>70</v>
      </c>
      <c r="V2" s="335"/>
      <c r="W2" s="338" t="s">
        <v>71</v>
      </c>
      <c r="X2" s="339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40"/>
      <c r="X3" s="341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51" t="s">
        <v>63</v>
      </c>
      <c r="X4" s="352"/>
      <c r="Y4" s="268" t="s">
        <v>179</v>
      </c>
      <c r="Z4" s="269" t="s">
        <v>99</v>
      </c>
    </row>
    <row r="5" spans="1:26" x14ac:dyDescent="0.25">
      <c r="A5" s="263">
        <v>1</v>
      </c>
      <c r="B5" s="256" t="s">
        <v>134</v>
      </c>
      <c r="C5" s="32">
        <v>70</v>
      </c>
      <c r="D5" s="33">
        <v>64</v>
      </c>
      <c r="E5" s="33">
        <v>8</v>
      </c>
      <c r="F5" s="15">
        <f>(C5*D5*E5)/1000000</f>
        <v>3.5839999999999997E-2</v>
      </c>
      <c r="G5" s="23">
        <v>662</v>
      </c>
      <c r="H5" s="24">
        <f>F5*G5</f>
        <v>23.72608</v>
      </c>
      <c r="I5" s="21">
        <v>3</v>
      </c>
      <c r="J5" s="205">
        <f t="shared" ref="J5:R54" si="0">F5*I5</f>
        <v>0.10751999999999999</v>
      </c>
      <c r="K5" s="21">
        <v>0</v>
      </c>
      <c r="L5" s="205">
        <f>F5*K5</f>
        <v>0</v>
      </c>
      <c r="M5" s="21">
        <v>2</v>
      </c>
      <c r="N5" s="205">
        <f>F5*M5</f>
        <v>7.1679999999999994E-2</v>
      </c>
      <c r="O5" s="21">
        <v>0</v>
      </c>
      <c r="P5" s="205">
        <f>F5*O5</f>
        <v>0</v>
      </c>
      <c r="Q5" s="21">
        <v>10</v>
      </c>
      <c r="R5" s="205">
        <f>F5*Q5</f>
        <v>0.35839999999999994</v>
      </c>
      <c r="S5" s="39">
        <f>G5-I5-K5-M5-O5-Q5</f>
        <v>647</v>
      </c>
      <c r="T5" s="38">
        <f t="shared" ref="T5:T54" si="1">F5*S5</f>
        <v>23.188479999999998</v>
      </c>
      <c r="U5" s="21">
        <v>0</v>
      </c>
      <c r="V5" s="13">
        <f>F5*U5</f>
        <v>0</v>
      </c>
      <c r="W5" s="49">
        <f>S5+U5</f>
        <v>647</v>
      </c>
      <c r="X5" s="50">
        <f>F5*W5</f>
        <v>23.188479999999998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135</v>
      </c>
      <c r="C6" s="34">
        <v>70</v>
      </c>
      <c r="D6" s="35">
        <v>80</v>
      </c>
      <c r="E6" s="35">
        <v>8</v>
      </c>
      <c r="F6" s="19">
        <f t="shared" ref="F6:F52" si="2">(C6*D6*E6)/1000000</f>
        <v>4.48E-2</v>
      </c>
      <c r="G6" s="23">
        <v>678</v>
      </c>
      <c r="H6" s="26">
        <f t="shared" ref="H6:H54" si="3">F6*G6</f>
        <v>30.374400000000001</v>
      </c>
      <c r="I6" s="21">
        <v>4</v>
      </c>
      <c r="J6" s="205">
        <f t="shared" si="0"/>
        <v>0.1792</v>
      </c>
      <c r="K6" s="21">
        <v>6</v>
      </c>
      <c r="L6" s="205">
        <f>F6*K6</f>
        <v>0.26879999999999998</v>
      </c>
      <c r="M6" s="21">
        <v>0</v>
      </c>
      <c r="N6" s="205">
        <f>F6*M6</f>
        <v>0</v>
      </c>
      <c r="O6" s="21">
        <v>0</v>
      </c>
      <c r="P6" s="205">
        <f>F6*O6</f>
        <v>0</v>
      </c>
      <c r="Q6" s="21">
        <v>10</v>
      </c>
      <c r="R6" s="205">
        <f>F6*Q6</f>
        <v>0.44800000000000001</v>
      </c>
      <c r="S6" s="39">
        <f>G6-I6-K6-M6-O6-Q6</f>
        <v>658</v>
      </c>
      <c r="T6" s="38">
        <f t="shared" si="1"/>
        <v>29.478400000000001</v>
      </c>
      <c r="U6" s="21">
        <v>0</v>
      </c>
      <c r="V6" s="13">
        <f t="shared" ref="V6:V54" si="4">F6*U6</f>
        <v>0</v>
      </c>
      <c r="W6" s="49">
        <f t="shared" ref="W6:W54" si="5">S6+U6</f>
        <v>658</v>
      </c>
      <c r="X6" s="50">
        <f t="shared" ref="X6:X54" si="6">F6*W6</f>
        <v>29.478400000000001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136</v>
      </c>
      <c r="C7" s="34">
        <v>70</v>
      </c>
      <c r="D7" s="35">
        <v>74</v>
      </c>
      <c r="E7" s="35">
        <v>8</v>
      </c>
      <c r="F7" s="19">
        <f t="shared" si="2"/>
        <v>4.1439999999999998E-2</v>
      </c>
      <c r="G7" s="23">
        <v>862</v>
      </c>
      <c r="H7" s="26">
        <f t="shared" si="3"/>
        <v>35.72128</v>
      </c>
      <c r="I7" s="21">
        <v>16</v>
      </c>
      <c r="J7" s="205">
        <f t="shared" si="0"/>
        <v>0.66303999999999996</v>
      </c>
      <c r="K7" s="21">
        <v>16</v>
      </c>
      <c r="L7" s="205">
        <f>F7*K7</f>
        <v>0.66303999999999996</v>
      </c>
      <c r="M7" s="21">
        <v>12</v>
      </c>
      <c r="N7" s="205">
        <f>F7*M7</f>
        <v>0.49727999999999994</v>
      </c>
      <c r="O7" s="21">
        <v>0</v>
      </c>
      <c r="P7" s="205">
        <f>F7*O7</f>
        <v>0</v>
      </c>
      <c r="Q7" s="21">
        <v>10</v>
      </c>
      <c r="R7" s="205">
        <f>F7*Q7</f>
        <v>0.41439999999999999</v>
      </c>
      <c r="S7" s="39">
        <f t="shared" ref="S7:S54" si="7">G7-I7-K7-M7-O7-Q7</f>
        <v>808</v>
      </c>
      <c r="T7" s="38">
        <f t="shared" si="1"/>
        <v>33.483519999999999</v>
      </c>
      <c r="U7" s="21">
        <v>0</v>
      </c>
      <c r="V7" s="13">
        <f t="shared" si="4"/>
        <v>0</v>
      </c>
      <c r="W7" s="49">
        <f t="shared" si="5"/>
        <v>808</v>
      </c>
      <c r="X7" s="50">
        <f t="shared" si="6"/>
        <v>33.483519999999999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137</v>
      </c>
      <c r="C8" s="34">
        <v>80</v>
      </c>
      <c r="D8" s="35">
        <v>64</v>
      </c>
      <c r="E8" s="35">
        <v>5</v>
      </c>
      <c r="F8" s="19">
        <f t="shared" si="2"/>
        <v>2.5600000000000001E-2</v>
      </c>
      <c r="G8" s="23">
        <v>100</v>
      </c>
      <c r="H8" s="26">
        <f t="shared" si="3"/>
        <v>2.56</v>
      </c>
      <c r="I8" s="21">
        <v>0</v>
      </c>
      <c r="J8" s="205">
        <f t="shared" si="0"/>
        <v>0</v>
      </c>
      <c r="K8" s="21">
        <v>0</v>
      </c>
      <c r="L8" s="205">
        <f>F8*K8</f>
        <v>0</v>
      </c>
      <c r="M8" s="21">
        <v>0</v>
      </c>
      <c r="N8" s="205">
        <f>F8*M8</f>
        <v>0</v>
      </c>
      <c r="O8" s="21">
        <v>0</v>
      </c>
      <c r="P8" s="205">
        <f>F8*O8</f>
        <v>0</v>
      </c>
      <c r="Q8" s="21">
        <v>0</v>
      </c>
      <c r="R8" s="205">
        <f>F8*Q8</f>
        <v>0</v>
      </c>
      <c r="S8" s="39">
        <f t="shared" si="7"/>
        <v>100</v>
      </c>
      <c r="T8" s="38">
        <f t="shared" si="1"/>
        <v>2.56</v>
      </c>
      <c r="U8" s="21">
        <v>0</v>
      </c>
      <c r="V8" s="13">
        <f t="shared" si="4"/>
        <v>0</v>
      </c>
      <c r="W8" s="49">
        <f t="shared" si="5"/>
        <v>100</v>
      </c>
      <c r="X8" s="50">
        <f t="shared" si="6"/>
        <v>2.56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138</v>
      </c>
      <c r="C9" s="34">
        <v>140</v>
      </c>
      <c r="D9" s="35">
        <v>240</v>
      </c>
      <c r="E9" s="35">
        <v>5</v>
      </c>
      <c r="F9" s="19">
        <f t="shared" si="2"/>
        <v>0.16800000000000001</v>
      </c>
      <c r="G9" s="23">
        <v>146</v>
      </c>
      <c r="H9" s="26">
        <f t="shared" si="3"/>
        <v>24.528000000000002</v>
      </c>
      <c r="I9" s="21">
        <v>20</v>
      </c>
      <c r="J9" s="205">
        <f t="shared" si="0"/>
        <v>3.3600000000000003</v>
      </c>
      <c r="K9" s="21">
        <v>27</v>
      </c>
      <c r="L9" s="205">
        <f>F9*K9</f>
        <v>4.5360000000000005</v>
      </c>
      <c r="M9" s="21">
        <v>11</v>
      </c>
      <c r="N9" s="205">
        <f>F9*M9</f>
        <v>1.8480000000000001</v>
      </c>
      <c r="O9" s="21">
        <v>0</v>
      </c>
      <c r="P9" s="205">
        <f>F9*O9</f>
        <v>0</v>
      </c>
      <c r="Q9" s="21">
        <v>11</v>
      </c>
      <c r="R9" s="205">
        <f>F9*Q9</f>
        <v>1.8480000000000001</v>
      </c>
      <c r="S9" s="39">
        <f t="shared" si="7"/>
        <v>77</v>
      </c>
      <c r="T9" s="38">
        <f t="shared" si="1"/>
        <v>12.936</v>
      </c>
      <c r="U9" s="21">
        <v>38</v>
      </c>
      <c r="V9" s="13">
        <f t="shared" si="4"/>
        <v>6.3840000000000003</v>
      </c>
      <c r="W9" s="49">
        <f t="shared" si="5"/>
        <v>115</v>
      </c>
      <c r="X9" s="50">
        <f t="shared" si="6"/>
        <v>19.32</v>
      </c>
      <c r="Y9" s="238">
        <v>100</v>
      </c>
      <c r="Z9" s="101">
        <v>250</v>
      </c>
    </row>
    <row r="10" spans="1:26" x14ac:dyDescent="0.25">
      <c r="A10" s="264">
        <v>6</v>
      </c>
      <c r="B10" s="256" t="s">
        <v>139</v>
      </c>
      <c r="C10" s="34">
        <v>142</v>
      </c>
      <c r="D10" s="35">
        <v>67</v>
      </c>
      <c r="E10" s="35">
        <v>5</v>
      </c>
      <c r="F10" s="19">
        <f t="shared" si="2"/>
        <v>4.7570000000000001E-2</v>
      </c>
      <c r="G10" s="23">
        <v>8</v>
      </c>
      <c r="H10" s="26">
        <f t="shared" si="3"/>
        <v>0.38056000000000001</v>
      </c>
      <c r="I10" s="21">
        <v>0</v>
      </c>
      <c r="J10" s="205">
        <f t="shared" si="0"/>
        <v>0</v>
      </c>
      <c r="K10" s="21">
        <v>0</v>
      </c>
      <c r="L10" s="205">
        <f t="shared" si="0"/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39">
        <f t="shared" si="7"/>
        <v>8</v>
      </c>
      <c r="T10" s="38">
        <f t="shared" si="1"/>
        <v>0.38056000000000001</v>
      </c>
      <c r="U10" s="21">
        <v>0</v>
      </c>
      <c r="V10" s="13">
        <f t="shared" si="4"/>
        <v>0</v>
      </c>
      <c r="W10" s="49">
        <f t="shared" si="5"/>
        <v>8</v>
      </c>
      <c r="X10" s="50">
        <f t="shared" si="6"/>
        <v>0.38056000000000001</v>
      </c>
      <c r="Y10" s="238">
        <v>75</v>
      </c>
      <c r="Z10" s="101">
        <v>250</v>
      </c>
    </row>
    <row r="11" spans="1:26" x14ac:dyDescent="0.25">
      <c r="A11" s="264">
        <v>7</v>
      </c>
      <c r="B11" s="256" t="s">
        <v>140</v>
      </c>
      <c r="C11" s="34">
        <v>63</v>
      </c>
      <c r="D11" s="35">
        <v>60</v>
      </c>
      <c r="E11" s="35">
        <v>5</v>
      </c>
      <c r="F11" s="19">
        <f t="shared" si="2"/>
        <v>1.89E-2</v>
      </c>
      <c r="G11" s="23">
        <v>0</v>
      </c>
      <c r="H11" s="26">
        <f t="shared" si="3"/>
        <v>0</v>
      </c>
      <c r="I11" s="21">
        <v>0</v>
      </c>
      <c r="J11" s="205">
        <f t="shared" si="0"/>
        <v>0</v>
      </c>
      <c r="K11" s="21">
        <v>0</v>
      </c>
      <c r="L11" s="205">
        <f t="shared" si="0"/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39">
        <f t="shared" si="7"/>
        <v>0</v>
      </c>
      <c r="T11" s="38">
        <f t="shared" si="1"/>
        <v>0</v>
      </c>
      <c r="U11" s="21">
        <v>0</v>
      </c>
      <c r="V11" s="13">
        <f t="shared" si="4"/>
        <v>0</v>
      </c>
      <c r="W11" s="49">
        <f t="shared" si="5"/>
        <v>0</v>
      </c>
      <c r="X11" s="50">
        <f t="shared" si="6"/>
        <v>0</v>
      </c>
      <c r="Y11" s="238">
        <v>50</v>
      </c>
      <c r="Z11" s="101">
        <v>100</v>
      </c>
    </row>
    <row r="12" spans="1:26" x14ac:dyDescent="0.25">
      <c r="A12" s="264">
        <v>8</v>
      </c>
      <c r="B12" s="256" t="s">
        <v>141</v>
      </c>
      <c r="C12" s="34">
        <v>52</v>
      </c>
      <c r="D12" s="35">
        <v>52</v>
      </c>
      <c r="E12" s="35">
        <v>5</v>
      </c>
      <c r="F12" s="19">
        <f t="shared" si="2"/>
        <v>1.3520000000000001E-2</v>
      </c>
      <c r="G12" s="23">
        <v>0</v>
      </c>
      <c r="H12" s="26">
        <f t="shared" si="3"/>
        <v>0</v>
      </c>
      <c r="I12" s="21">
        <v>0</v>
      </c>
      <c r="J12" s="205">
        <f t="shared" si="0"/>
        <v>0</v>
      </c>
      <c r="K12" s="21">
        <v>0</v>
      </c>
      <c r="L12" s="205">
        <f>F12*K12</f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39">
        <f t="shared" si="7"/>
        <v>0</v>
      </c>
      <c r="T12" s="38">
        <f t="shared" si="1"/>
        <v>0</v>
      </c>
      <c r="U12" s="21">
        <v>0</v>
      </c>
      <c r="V12" s="13">
        <f t="shared" si="4"/>
        <v>0</v>
      </c>
      <c r="W12" s="49">
        <f t="shared" si="5"/>
        <v>0</v>
      </c>
      <c r="X12" s="50">
        <f t="shared" si="6"/>
        <v>0</v>
      </c>
      <c r="Y12" s="238">
        <v>50</v>
      </c>
      <c r="Z12" s="101">
        <v>100</v>
      </c>
    </row>
    <row r="13" spans="1:26" x14ac:dyDescent="0.25">
      <c r="A13" s="264">
        <v>9</v>
      </c>
      <c r="B13" s="256" t="s">
        <v>142</v>
      </c>
      <c r="C13" s="34">
        <v>140</v>
      </c>
      <c r="D13" s="35">
        <v>240</v>
      </c>
      <c r="E13" s="35">
        <v>5</v>
      </c>
      <c r="F13" s="19">
        <f t="shared" si="2"/>
        <v>0.16800000000000001</v>
      </c>
      <c r="G13" s="23">
        <v>100</v>
      </c>
      <c r="H13" s="26">
        <f t="shared" si="3"/>
        <v>16.8</v>
      </c>
      <c r="I13" s="21">
        <v>8</v>
      </c>
      <c r="J13" s="205">
        <f t="shared" si="0"/>
        <v>1.3440000000000001</v>
      </c>
      <c r="K13" s="21">
        <v>13</v>
      </c>
      <c r="L13" s="205">
        <f>F13*K13</f>
        <v>2.1840000000000002</v>
      </c>
      <c r="M13" s="21">
        <v>10</v>
      </c>
      <c r="N13" s="205">
        <f>F13*M13</f>
        <v>1.6800000000000002</v>
      </c>
      <c r="O13" s="21">
        <v>0</v>
      </c>
      <c r="P13" s="205">
        <f>F13*O13</f>
        <v>0</v>
      </c>
      <c r="Q13" s="21">
        <v>7</v>
      </c>
      <c r="R13" s="205">
        <f>F13*Q13</f>
        <v>1.1760000000000002</v>
      </c>
      <c r="S13" s="39">
        <f t="shared" si="7"/>
        <v>62</v>
      </c>
      <c r="T13" s="38">
        <f t="shared" si="1"/>
        <v>10.416</v>
      </c>
      <c r="U13" s="21">
        <v>100</v>
      </c>
      <c r="V13" s="13">
        <f t="shared" si="4"/>
        <v>16.8</v>
      </c>
      <c r="W13" s="49">
        <f t="shared" si="5"/>
        <v>162</v>
      </c>
      <c r="X13" s="50">
        <f t="shared" si="6"/>
        <v>27.216000000000001</v>
      </c>
      <c r="Y13" s="238">
        <v>100</v>
      </c>
      <c r="Z13" s="101">
        <v>300</v>
      </c>
    </row>
    <row r="14" spans="1:26" x14ac:dyDescent="0.25">
      <c r="A14" s="264">
        <v>10</v>
      </c>
      <c r="B14" s="256" t="s">
        <v>143</v>
      </c>
      <c r="C14" s="34">
        <v>90</v>
      </c>
      <c r="D14" s="35">
        <v>85</v>
      </c>
      <c r="E14" s="35">
        <v>5</v>
      </c>
      <c r="F14" s="19">
        <f t="shared" si="2"/>
        <v>3.8249999999999999E-2</v>
      </c>
      <c r="G14" s="23">
        <v>56</v>
      </c>
      <c r="H14" s="26">
        <f t="shared" si="3"/>
        <v>2.1419999999999999</v>
      </c>
      <c r="I14" s="21">
        <v>0</v>
      </c>
      <c r="J14" s="205">
        <f t="shared" si="0"/>
        <v>0</v>
      </c>
      <c r="K14" s="21">
        <v>0</v>
      </c>
      <c r="L14" s="205">
        <f t="shared" ref="L14:L20" si="8">F14*K14</f>
        <v>0</v>
      </c>
      <c r="M14" s="21">
        <v>0</v>
      </c>
      <c r="N14" s="205">
        <f t="shared" si="0"/>
        <v>0</v>
      </c>
      <c r="O14" s="21">
        <v>0</v>
      </c>
      <c r="P14" s="205">
        <f t="shared" si="0"/>
        <v>0</v>
      </c>
      <c r="Q14" s="21">
        <v>0</v>
      </c>
      <c r="R14" s="205">
        <f t="shared" si="0"/>
        <v>0</v>
      </c>
      <c r="S14" s="39">
        <f t="shared" si="7"/>
        <v>56</v>
      </c>
      <c r="T14" s="38">
        <f t="shared" si="1"/>
        <v>2.1419999999999999</v>
      </c>
      <c r="U14" s="21">
        <v>0</v>
      </c>
      <c r="V14" s="13">
        <f t="shared" si="4"/>
        <v>0</v>
      </c>
      <c r="W14" s="49">
        <f t="shared" si="5"/>
        <v>56</v>
      </c>
      <c r="X14" s="50">
        <f t="shared" si="6"/>
        <v>2.1419999999999999</v>
      </c>
      <c r="Y14" s="238">
        <v>50</v>
      </c>
      <c r="Z14" s="101">
        <v>100</v>
      </c>
    </row>
    <row r="15" spans="1:26" x14ac:dyDescent="0.25">
      <c r="A15" s="264">
        <v>11</v>
      </c>
      <c r="B15" s="256" t="s">
        <v>144</v>
      </c>
      <c r="C15" s="34">
        <v>140</v>
      </c>
      <c r="D15" s="35">
        <v>240</v>
      </c>
      <c r="E15" s="35">
        <v>5</v>
      </c>
      <c r="F15" s="19">
        <f t="shared" si="2"/>
        <v>0.16800000000000001</v>
      </c>
      <c r="G15" s="23">
        <v>120</v>
      </c>
      <c r="H15" s="26">
        <f t="shared" si="3"/>
        <v>20.16</v>
      </c>
      <c r="I15" s="21">
        <v>18</v>
      </c>
      <c r="J15" s="205">
        <f t="shared" si="0"/>
        <v>3.024</v>
      </c>
      <c r="K15" s="21">
        <v>5</v>
      </c>
      <c r="L15" s="205">
        <f t="shared" si="8"/>
        <v>0.84000000000000008</v>
      </c>
      <c r="M15" s="21">
        <v>4</v>
      </c>
      <c r="N15" s="205">
        <f t="shared" ref="N15:N20" si="9">F15*M15</f>
        <v>0.67200000000000004</v>
      </c>
      <c r="O15" s="21">
        <v>0</v>
      </c>
      <c r="P15" s="205">
        <f t="shared" ref="P15:P20" si="10">F15*O15</f>
        <v>0</v>
      </c>
      <c r="Q15" s="21">
        <v>2</v>
      </c>
      <c r="R15" s="205">
        <f t="shared" ref="R15:R20" si="11">F15*Q15</f>
        <v>0.33600000000000002</v>
      </c>
      <c r="S15" s="39">
        <f t="shared" si="7"/>
        <v>91</v>
      </c>
      <c r="T15" s="38">
        <f t="shared" si="1"/>
        <v>15.288</v>
      </c>
      <c r="U15" s="21">
        <v>0</v>
      </c>
      <c r="V15" s="13">
        <f t="shared" si="4"/>
        <v>0</v>
      </c>
      <c r="W15" s="49">
        <f t="shared" si="5"/>
        <v>91</v>
      </c>
      <c r="X15" s="50">
        <f t="shared" si="6"/>
        <v>15.288</v>
      </c>
      <c r="Y15" s="238">
        <v>200</v>
      </c>
      <c r="Z15" s="101">
        <v>400</v>
      </c>
    </row>
    <row r="16" spans="1:26" x14ac:dyDescent="0.25">
      <c r="A16" s="264">
        <v>12</v>
      </c>
      <c r="B16" s="256" t="s">
        <v>145</v>
      </c>
      <c r="C16" s="34">
        <v>140</v>
      </c>
      <c r="D16" s="35">
        <v>240</v>
      </c>
      <c r="E16" s="35">
        <v>5</v>
      </c>
      <c r="F16" s="19">
        <f t="shared" si="2"/>
        <v>0.16800000000000001</v>
      </c>
      <c r="G16" s="23">
        <v>199</v>
      </c>
      <c r="H16" s="26">
        <f t="shared" si="3"/>
        <v>33.432000000000002</v>
      </c>
      <c r="I16" s="21">
        <v>18</v>
      </c>
      <c r="J16" s="205">
        <f t="shared" si="0"/>
        <v>3.024</v>
      </c>
      <c r="K16" s="21">
        <v>4</v>
      </c>
      <c r="L16" s="205">
        <f t="shared" si="8"/>
        <v>0.67200000000000004</v>
      </c>
      <c r="M16" s="21">
        <v>15</v>
      </c>
      <c r="N16" s="205">
        <f t="shared" si="9"/>
        <v>2.52</v>
      </c>
      <c r="O16" s="21">
        <v>0</v>
      </c>
      <c r="P16" s="205">
        <f t="shared" si="10"/>
        <v>0</v>
      </c>
      <c r="Q16" s="21">
        <v>25</v>
      </c>
      <c r="R16" s="205">
        <f t="shared" si="11"/>
        <v>4.2</v>
      </c>
      <c r="S16" s="39">
        <f t="shared" si="7"/>
        <v>137</v>
      </c>
      <c r="T16" s="38">
        <f t="shared" si="1"/>
        <v>23.016000000000002</v>
      </c>
      <c r="U16" s="21">
        <v>0</v>
      </c>
      <c r="V16" s="13">
        <f t="shared" si="4"/>
        <v>0</v>
      </c>
      <c r="W16" s="49">
        <f t="shared" si="5"/>
        <v>137</v>
      </c>
      <c r="X16" s="50">
        <f t="shared" si="6"/>
        <v>23.016000000000002</v>
      </c>
      <c r="Y16" s="238">
        <v>200</v>
      </c>
      <c r="Z16" s="101">
        <v>500</v>
      </c>
    </row>
    <row r="17" spans="1:26" x14ac:dyDescent="0.25">
      <c r="A17" s="264">
        <v>13</v>
      </c>
      <c r="B17" s="256" t="s">
        <v>146</v>
      </c>
      <c r="C17" s="34">
        <v>140</v>
      </c>
      <c r="D17" s="35">
        <v>240</v>
      </c>
      <c r="E17" s="35">
        <v>8</v>
      </c>
      <c r="F17" s="19">
        <f t="shared" si="2"/>
        <v>0.26879999999999998</v>
      </c>
      <c r="G17" s="23">
        <v>8</v>
      </c>
      <c r="H17" s="26">
        <f t="shared" si="3"/>
        <v>2.1503999999999999</v>
      </c>
      <c r="I17" s="21">
        <v>0</v>
      </c>
      <c r="J17" s="205">
        <f t="shared" si="0"/>
        <v>0</v>
      </c>
      <c r="K17" s="21">
        <v>1</v>
      </c>
      <c r="L17" s="205">
        <f t="shared" si="8"/>
        <v>0.26879999999999998</v>
      </c>
      <c r="M17" s="21">
        <v>0</v>
      </c>
      <c r="N17" s="205">
        <f t="shared" si="9"/>
        <v>0</v>
      </c>
      <c r="O17" s="21">
        <v>0</v>
      </c>
      <c r="P17" s="205">
        <f t="shared" si="10"/>
        <v>0</v>
      </c>
      <c r="Q17" s="21">
        <v>3</v>
      </c>
      <c r="R17" s="205">
        <f t="shared" si="11"/>
        <v>0.80640000000000001</v>
      </c>
      <c r="S17" s="39">
        <f t="shared" si="7"/>
        <v>4</v>
      </c>
      <c r="T17" s="38">
        <f t="shared" si="1"/>
        <v>1.0751999999999999</v>
      </c>
      <c r="U17" s="21">
        <v>0</v>
      </c>
      <c r="V17" s="13">
        <f t="shared" si="4"/>
        <v>0</v>
      </c>
      <c r="W17" s="49">
        <f t="shared" si="5"/>
        <v>4</v>
      </c>
      <c r="X17" s="50">
        <f t="shared" si="6"/>
        <v>1.0751999999999999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147</v>
      </c>
      <c r="C18" s="34">
        <v>77</v>
      </c>
      <c r="D18" s="35">
        <v>86</v>
      </c>
      <c r="E18" s="35">
        <v>8</v>
      </c>
      <c r="F18" s="19">
        <f t="shared" si="2"/>
        <v>5.2976000000000002E-2</v>
      </c>
      <c r="G18" s="23">
        <v>547</v>
      </c>
      <c r="H18" s="26">
        <f t="shared" si="3"/>
        <v>28.977872000000001</v>
      </c>
      <c r="I18" s="21">
        <v>0</v>
      </c>
      <c r="J18" s="205">
        <f t="shared" si="0"/>
        <v>0</v>
      </c>
      <c r="K18" s="21">
        <v>6</v>
      </c>
      <c r="L18" s="205">
        <f t="shared" si="8"/>
        <v>0.31785600000000003</v>
      </c>
      <c r="M18" s="21">
        <v>0</v>
      </c>
      <c r="N18" s="205">
        <f t="shared" si="9"/>
        <v>0</v>
      </c>
      <c r="O18" s="21">
        <v>0</v>
      </c>
      <c r="P18" s="205">
        <f t="shared" si="10"/>
        <v>0</v>
      </c>
      <c r="Q18" s="21">
        <v>18</v>
      </c>
      <c r="R18" s="205">
        <f t="shared" si="11"/>
        <v>0.95356800000000008</v>
      </c>
      <c r="S18" s="39">
        <f t="shared" si="7"/>
        <v>523</v>
      </c>
      <c r="T18" s="38">
        <f t="shared" si="1"/>
        <v>27.706448000000002</v>
      </c>
      <c r="U18" s="21">
        <v>0</v>
      </c>
      <c r="V18" s="13">
        <f t="shared" si="4"/>
        <v>0</v>
      </c>
      <c r="W18" s="49">
        <f t="shared" si="5"/>
        <v>523</v>
      </c>
      <c r="X18" s="50">
        <f t="shared" si="6"/>
        <v>27.706448000000002</v>
      </c>
      <c r="Y18" s="238">
        <v>100</v>
      </c>
      <c r="Z18" s="101">
        <v>300</v>
      </c>
    </row>
    <row r="19" spans="1:26" x14ac:dyDescent="0.25">
      <c r="A19" s="264">
        <v>15</v>
      </c>
      <c r="B19" s="256" t="s">
        <v>148</v>
      </c>
      <c r="C19" s="34">
        <v>77</v>
      </c>
      <c r="D19" s="35">
        <v>68</v>
      </c>
      <c r="E19" s="35">
        <v>8</v>
      </c>
      <c r="F19" s="19">
        <f t="shared" si="2"/>
        <v>4.1888000000000002E-2</v>
      </c>
      <c r="G19" s="23">
        <v>484</v>
      </c>
      <c r="H19" s="26">
        <f t="shared" si="3"/>
        <v>20.273792</v>
      </c>
      <c r="I19" s="21">
        <v>6</v>
      </c>
      <c r="J19" s="205">
        <f t="shared" si="0"/>
        <v>0.251328</v>
      </c>
      <c r="K19" s="21">
        <v>0</v>
      </c>
      <c r="L19" s="205">
        <f t="shared" si="8"/>
        <v>0</v>
      </c>
      <c r="M19" s="21">
        <v>0</v>
      </c>
      <c r="N19" s="205">
        <f t="shared" si="9"/>
        <v>0</v>
      </c>
      <c r="O19" s="21">
        <v>0</v>
      </c>
      <c r="P19" s="205">
        <f t="shared" si="10"/>
        <v>0</v>
      </c>
      <c r="Q19" s="21">
        <v>0</v>
      </c>
      <c r="R19" s="205">
        <f t="shared" si="11"/>
        <v>0</v>
      </c>
      <c r="S19" s="39">
        <f t="shared" si="7"/>
        <v>478</v>
      </c>
      <c r="T19" s="38">
        <f t="shared" si="1"/>
        <v>20.022463999999999</v>
      </c>
      <c r="U19" s="21">
        <v>0</v>
      </c>
      <c r="V19" s="13">
        <f t="shared" si="4"/>
        <v>0</v>
      </c>
      <c r="W19" s="49">
        <f t="shared" si="5"/>
        <v>478</v>
      </c>
      <c r="X19" s="50">
        <f t="shared" si="6"/>
        <v>20.022463999999999</v>
      </c>
      <c r="Y19" s="238">
        <v>100</v>
      </c>
      <c r="Z19" s="101">
        <v>300</v>
      </c>
    </row>
    <row r="20" spans="1:26" x14ac:dyDescent="0.25">
      <c r="A20" s="264">
        <v>16</v>
      </c>
      <c r="B20" s="256" t="s">
        <v>149</v>
      </c>
      <c r="C20" s="34">
        <v>76</v>
      </c>
      <c r="D20" s="35">
        <v>75</v>
      </c>
      <c r="E20" s="35">
        <v>8</v>
      </c>
      <c r="F20" s="19">
        <f t="shared" si="2"/>
        <v>4.5600000000000002E-2</v>
      </c>
      <c r="G20" s="23">
        <v>552</v>
      </c>
      <c r="H20" s="26">
        <f t="shared" si="3"/>
        <v>25.171200000000002</v>
      </c>
      <c r="I20" s="21">
        <v>6</v>
      </c>
      <c r="J20" s="205">
        <f t="shared" si="0"/>
        <v>0.27360000000000001</v>
      </c>
      <c r="K20" s="21">
        <v>0</v>
      </c>
      <c r="L20" s="205">
        <f t="shared" si="8"/>
        <v>0</v>
      </c>
      <c r="M20" s="21">
        <v>2</v>
      </c>
      <c r="N20" s="205">
        <f t="shared" si="9"/>
        <v>9.1200000000000003E-2</v>
      </c>
      <c r="O20" s="21">
        <v>0</v>
      </c>
      <c r="P20" s="205">
        <f t="shared" si="10"/>
        <v>0</v>
      </c>
      <c r="Q20" s="21">
        <v>7</v>
      </c>
      <c r="R20" s="205">
        <f t="shared" si="11"/>
        <v>0.31920000000000004</v>
      </c>
      <c r="S20" s="39">
        <f t="shared" si="7"/>
        <v>537</v>
      </c>
      <c r="T20" s="38">
        <f t="shared" si="1"/>
        <v>24.487200000000001</v>
      </c>
      <c r="U20" s="21">
        <v>0</v>
      </c>
      <c r="V20" s="13">
        <f t="shared" si="4"/>
        <v>0</v>
      </c>
      <c r="W20" s="49">
        <f t="shared" si="5"/>
        <v>537</v>
      </c>
      <c r="X20" s="50">
        <f t="shared" si="6"/>
        <v>24.487200000000001</v>
      </c>
      <c r="Y20" s="238">
        <v>100</v>
      </c>
      <c r="Z20" s="101">
        <v>300</v>
      </c>
    </row>
    <row r="21" spans="1:26" x14ac:dyDescent="0.25">
      <c r="A21" s="264">
        <v>17</v>
      </c>
      <c r="B21" s="256" t="s">
        <v>150</v>
      </c>
      <c r="C21" s="34">
        <v>60</v>
      </c>
      <c r="D21" s="35">
        <v>63</v>
      </c>
      <c r="E21" s="35">
        <v>10</v>
      </c>
      <c r="F21" s="19">
        <f t="shared" si="2"/>
        <v>3.78E-2</v>
      </c>
      <c r="G21" s="23">
        <v>263</v>
      </c>
      <c r="H21" s="26">
        <f t="shared" si="3"/>
        <v>9.9413999999999998</v>
      </c>
      <c r="I21" s="21">
        <v>0</v>
      </c>
      <c r="J21" s="205">
        <f t="shared" si="0"/>
        <v>0</v>
      </c>
      <c r="K21" s="21">
        <v>0</v>
      </c>
      <c r="L21" s="205">
        <f t="shared" si="0"/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39">
        <f t="shared" si="7"/>
        <v>263</v>
      </c>
      <c r="T21" s="38">
        <f t="shared" si="1"/>
        <v>9.9413999999999998</v>
      </c>
      <c r="U21" s="21">
        <v>0</v>
      </c>
      <c r="V21" s="13">
        <f t="shared" si="4"/>
        <v>0</v>
      </c>
      <c r="W21" s="49">
        <f t="shared" si="5"/>
        <v>263</v>
      </c>
      <c r="X21" s="50">
        <f t="shared" si="6"/>
        <v>9.9413999999999998</v>
      </c>
      <c r="Y21" s="238">
        <v>50</v>
      </c>
      <c r="Z21" s="101">
        <v>200</v>
      </c>
    </row>
    <row r="22" spans="1:26" x14ac:dyDescent="0.25">
      <c r="A22" s="264">
        <v>18</v>
      </c>
      <c r="B22" s="256" t="s">
        <v>151</v>
      </c>
      <c r="C22" s="34">
        <v>63</v>
      </c>
      <c r="D22" s="35">
        <v>60</v>
      </c>
      <c r="E22" s="35">
        <v>3</v>
      </c>
      <c r="F22" s="19">
        <f t="shared" si="2"/>
        <v>1.1339999999999999E-2</v>
      </c>
      <c r="G22" s="23">
        <v>16</v>
      </c>
      <c r="H22" s="26">
        <f t="shared" si="3"/>
        <v>0.18143999999999999</v>
      </c>
      <c r="I22" s="21">
        <v>0</v>
      </c>
      <c r="J22" s="205">
        <f t="shared" si="0"/>
        <v>0</v>
      </c>
      <c r="K22" s="21">
        <v>0</v>
      </c>
      <c r="L22" s="205">
        <f t="shared" si="0"/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39">
        <f t="shared" si="7"/>
        <v>16</v>
      </c>
      <c r="T22" s="38">
        <f t="shared" si="1"/>
        <v>0.18143999999999999</v>
      </c>
      <c r="U22" s="21">
        <v>0</v>
      </c>
      <c r="V22" s="13">
        <f t="shared" si="4"/>
        <v>0</v>
      </c>
      <c r="W22" s="49">
        <f t="shared" si="5"/>
        <v>16</v>
      </c>
      <c r="X22" s="50">
        <f t="shared" si="6"/>
        <v>0.18143999999999999</v>
      </c>
      <c r="Y22" s="238">
        <v>50</v>
      </c>
      <c r="Z22" s="101">
        <v>200</v>
      </c>
    </row>
    <row r="23" spans="1:26" x14ac:dyDescent="0.25">
      <c r="A23" s="264">
        <v>19</v>
      </c>
      <c r="B23" s="42" t="s">
        <v>152</v>
      </c>
      <c r="C23" s="34">
        <v>140</v>
      </c>
      <c r="D23" s="35">
        <v>240</v>
      </c>
      <c r="E23" s="35">
        <v>1.4</v>
      </c>
      <c r="F23" s="19">
        <f t="shared" si="2"/>
        <v>4.7039999999999998E-2</v>
      </c>
      <c r="G23" s="23">
        <v>1860</v>
      </c>
      <c r="H23" s="26">
        <f t="shared" si="3"/>
        <v>87.494399999999999</v>
      </c>
      <c r="I23" s="21">
        <v>65</v>
      </c>
      <c r="J23" s="205">
        <f t="shared" si="0"/>
        <v>3.0575999999999999</v>
      </c>
      <c r="K23" s="21">
        <v>38</v>
      </c>
      <c r="L23" s="205">
        <f t="shared" ref="L23:L36" si="12">F23*K23</f>
        <v>1.78752</v>
      </c>
      <c r="M23" s="21">
        <v>39</v>
      </c>
      <c r="N23" s="205">
        <f t="shared" ref="N23:N36" si="13">F23*M23</f>
        <v>1.83456</v>
      </c>
      <c r="O23" s="21">
        <v>0</v>
      </c>
      <c r="P23" s="205">
        <f t="shared" ref="P23:P36" si="14">F23*O23</f>
        <v>0</v>
      </c>
      <c r="Q23" s="21">
        <v>53</v>
      </c>
      <c r="R23" s="205">
        <f t="shared" ref="R23:R36" si="15">F23*Q23</f>
        <v>2.4931199999999998</v>
      </c>
      <c r="S23" s="39">
        <f t="shared" si="7"/>
        <v>1665</v>
      </c>
      <c r="T23" s="38">
        <f t="shared" si="1"/>
        <v>78.321600000000004</v>
      </c>
      <c r="U23" s="21">
        <v>100</v>
      </c>
      <c r="V23" s="13">
        <f t="shared" si="4"/>
        <v>4.7039999999999997</v>
      </c>
      <c r="W23" s="49">
        <f t="shared" si="5"/>
        <v>1765</v>
      </c>
      <c r="X23" s="50">
        <f t="shared" si="6"/>
        <v>83.025599999999997</v>
      </c>
      <c r="Y23" s="238">
        <v>200</v>
      </c>
      <c r="Z23" s="101">
        <v>500</v>
      </c>
    </row>
    <row r="24" spans="1:26" x14ac:dyDescent="0.25">
      <c r="A24" s="264">
        <v>20</v>
      </c>
      <c r="B24" s="256" t="s">
        <v>3</v>
      </c>
      <c r="C24" s="34">
        <v>140</v>
      </c>
      <c r="D24" s="35">
        <v>240</v>
      </c>
      <c r="E24" s="35">
        <v>0.8</v>
      </c>
      <c r="F24" s="19">
        <f t="shared" si="2"/>
        <v>2.6880000000000001E-2</v>
      </c>
      <c r="G24" s="23">
        <v>732</v>
      </c>
      <c r="H24" s="26">
        <f t="shared" si="3"/>
        <v>19.676159999999999</v>
      </c>
      <c r="I24" s="21">
        <v>8</v>
      </c>
      <c r="J24" s="205">
        <f t="shared" si="0"/>
        <v>0.21504000000000001</v>
      </c>
      <c r="K24" s="21">
        <v>13</v>
      </c>
      <c r="L24" s="205">
        <f t="shared" si="12"/>
        <v>0.34944000000000003</v>
      </c>
      <c r="M24" s="21">
        <v>16</v>
      </c>
      <c r="N24" s="205">
        <f t="shared" si="13"/>
        <v>0.43008000000000002</v>
      </c>
      <c r="O24" s="21">
        <v>0</v>
      </c>
      <c r="P24" s="205">
        <f t="shared" si="14"/>
        <v>0</v>
      </c>
      <c r="Q24" s="21">
        <v>81</v>
      </c>
      <c r="R24" s="205">
        <f t="shared" si="15"/>
        <v>2.1772800000000001</v>
      </c>
      <c r="S24" s="39">
        <f t="shared" si="7"/>
        <v>614</v>
      </c>
      <c r="T24" s="38">
        <f t="shared" si="1"/>
        <v>16.50432</v>
      </c>
      <c r="U24" s="21">
        <v>0</v>
      </c>
      <c r="V24" s="13">
        <f t="shared" si="4"/>
        <v>0</v>
      </c>
      <c r="W24" s="49">
        <f t="shared" si="5"/>
        <v>614</v>
      </c>
      <c r="X24" s="50">
        <f t="shared" si="6"/>
        <v>16.50432</v>
      </c>
      <c r="Y24" s="238">
        <v>100</v>
      </c>
      <c r="Z24" s="101">
        <v>300</v>
      </c>
    </row>
    <row r="25" spans="1:26" x14ac:dyDescent="0.25">
      <c r="A25" s="264">
        <v>21</v>
      </c>
      <c r="B25" s="256" t="s">
        <v>153</v>
      </c>
      <c r="C25" s="34">
        <v>58</v>
      </c>
      <c r="D25" s="35">
        <v>58</v>
      </c>
      <c r="E25" s="35">
        <v>2.2999999999999998</v>
      </c>
      <c r="F25" s="19">
        <f t="shared" si="2"/>
        <v>7.7371999999999996E-3</v>
      </c>
      <c r="G25" s="23">
        <v>262</v>
      </c>
      <c r="H25" s="26">
        <f t="shared" si="3"/>
        <v>2.0271463999999999</v>
      </c>
      <c r="I25" s="21">
        <v>84</v>
      </c>
      <c r="J25" s="205">
        <f t="shared" si="0"/>
        <v>0.64992479999999997</v>
      </c>
      <c r="K25" s="21">
        <v>84</v>
      </c>
      <c r="L25" s="205">
        <f t="shared" si="12"/>
        <v>0.64992479999999997</v>
      </c>
      <c r="M25" s="21">
        <v>13</v>
      </c>
      <c r="N25" s="205">
        <f t="shared" si="13"/>
        <v>0.1005836</v>
      </c>
      <c r="O25" s="21">
        <v>0</v>
      </c>
      <c r="P25" s="205">
        <f t="shared" si="14"/>
        <v>0</v>
      </c>
      <c r="Q25" s="21">
        <v>0</v>
      </c>
      <c r="R25" s="205">
        <f t="shared" si="15"/>
        <v>0</v>
      </c>
      <c r="S25" s="39">
        <f t="shared" si="7"/>
        <v>81</v>
      </c>
      <c r="T25" s="38">
        <f t="shared" si="1"/>
        <v>0.62671319999999997</v>
      </c>
      <c r="U25" s="21">
        <v>0</v>
      </c>
      <c r="V25" s="13">
        <f t="shared" si="4"/>
        <v>0</v>
      </c>
      <c r="W25" s="49">
        <f t="shared" si="5"/>
        <v>81</v>
      </c>
      <c r="X25" s="50">
        <f t="shared" si="6"/>
        <v>0.62671319999999997</v>
      </c>
      <c r="Y25" s="238">
        <v>200</v>
      </c>
      <c r="Z25" s="101">
        <v>750</v>
      </c>
    </row>
    <row r="26" spans="1:26" x14ac:dyDescent="0.25">
      <c r="A26" s="264">
        <v>22</v>
      </c>
      <c r="B26" s="256" t="s">
        <v>154</v>
      </c>
      <c r="C26" s="34">
        <v>140</v>
      </c>
      <c r="D26" s="35">
        <v>240</v>
      </c>
      <c r="E26" s="35">
        <v>7</v>
      </c>
      <c r="F26" s="19">
        <f t="shared" si="2"/>
        <v>0.23519999999999999</v>
      </c>
      <c r="G26" s="23">
        <v>13</v>
      </c>
      <c r="H26" s="26">
        <f t="shared" si="3"/>
        <v>3.0575999999999999</v>
      </c>
      <c r="I26" s="21">
        <v>5</v>
      </c>
      <c r="J26" s="205">
        <f t="shared" si="0"/>
        <v>1.1759999999999999</v>
      </c>
      <c r="K26" s="21">
        <v>25</v>
      </c>
      <c r="L26" s="205">
        <f t="shared" si="12"/>
        <v>5.88</v>
      </c>
      <c r="M26" s="21">
        <v>10</v>
      </c>
      <c r="N26" s="205">
        <f t="shared" si="13"/>
        <v>2.3519999999999999</v>
      </c>
      <c r="O26" s="21">
        <v>0</v>
      </c>
      <c r="P26" s="205">
        <f t="shared" si="14"/>
        <v>0</v>
      </c>
      <c r="Q26" s="21">
        <v>7</v>
      </c>
      <c r="R26" s="205">
        <f t="shared" si="15"/>
        <v>1.6463999999999999</v>
      </c>
      <c r="S26" s="39">
        <f t="shared" si="7"/>
        <v>-34</v>
      </c>
      <c r="T26" s="38">
        <f t="shared" si="1"/>
        <v>-7.9967999999999995</v>
      </c>
      <c r="U26" s="21">
        <v>100</v>
      </c>
      <c r="V26" s="13">
        <f t="shared" si="4"/>
        <v>23.52</v>
      </c>
      <c r="W26" s="49">
        <f t="shared" si="5"/>
        <v>66</v>
      </c>
      <c r="X26" s="50">
        <f t="shared" si="6"/>
        <v>15.523199999999999</v>
      </c>
      <c r="Y26" s="238">
        <v>50</v>
      </c>
      <c r="Z26" s="101">
        <v>200</v>
      </c>
    </row>
    <row r="27" spans="1:26" ht="15.75" x14ac:dyDescent="0.25">
      <c r="A27" s="264">
        <v>23</v>
      </c>
      <c r="B27" s="256" t="s">
        <v>55</v>
      </c>
      <c r="C27" s="111">
        <v>50</v>
      </c>
      <c r="D27" s="112">
        <v>45</v>
      </c>
      <c r="E27" s="112">
        <v>4</v>
      </c>
      <c r="F27" s="19">
        <f t="shared" si="2"/>
        <v>8.9999999999999993E-3</v>
      </c>
      <c r="G27" s="23">
        <v>784</v>
      </c>
      <c r="H27" s="26">
        <f t="shared" si="3"/>
        <v>7.0559999999999992</v>
      </c>
      <c r="I27" s="21">
        <v>0</v>
      </c>
      <c r="J27" s="205">
        <f t="shared" si="0"/>
        <v>0</v>
      </c>
      <c r="K27" s="21">
        <v>0</v>
      </c>
      <c r="L27" s="205">
        <f t="shared" si="12"/>
        <v>0</v>
      </c>
      <c r="M27" s="21">
        <v>0</v>
      </c>
      <c r="N27" s="205">
        <f t="shared" si="13"/>
        <v>0</v>
      </c>
      <c r="O27" s="21">
        <v>0</v>
      </c>
      <c r="P27" s="205">
        <f t="shared" si="14"/>
        <v>0</v>
      </c>
      <c r="Q27" s="21">
        <v>0</v>
      </c>
      <c r="R27" s="205">
        <f t="shared" si="15"/>
        <v>0</v>
      </c>
      <c r="S27" s="39">
        <f t="shared" si="7"/>
        <v>784</v>
      </c>
      <c r="T27" s="38">
        <f t="shared" si="1"/>
        <v>7.0559999999999992</v>
      </c>
      <c r="U27" s="21">
        <v>1230</v>
      </c>
      <c r="V27" s="13">
        <f t="shared" si="4"/>
        <v>11.069999999999999</v>
      </c>
      <c r="W27" s="49">
        <f t="shared" si="5"/>
        <v>2014</v>
      </c>
      <c r="X27" s="50">
        <f t="shared" si="6"/>
        <v>18.125999999999998</v>
      </c>
      <c r="Y27" s="238">
        <v>300</v>
      </c>
      <c r="Z27" s="101">
        <v>1000</v>
      </c>
    </row>
    <row r="28" spans="1:26" ht="15.75" x14ac:dyDescent="0.25">
      <c r="A28" s="264">
        <v>24</v>
      </c>
      <c r="B28" s="256" t="s">
        <v>56</v>
      </c>
      <c r="C28" s="111">
        <v>50</v>
      </c>
      <c r="D28" s="112">
        <v>35</v>
      </c>
      <c r="E28" s="112">
        <v>4</v>
      </c>
      <c r="F28" s="19">
        <f t="shared" si="2"/>
        <v>7.0000000000000001E-3</v>
      </c>
      <c r="G28" s="23">
        <v>0</v>
      </c>
      <c r="H28" s="26">
        <f t="shared" si="3"/>
        <v>0</v>
      </c>
      <c r="I28" s="21">
        <v>0</v>
      </c>
      <c r="J28" s="205">
        <f t="shared" si="0"/>
        <v>0</v>
      </c>
      <c r="K28" s="21">
        <v>0</v>
      </c>
      <c r="L28" s="205">
        <f t="shared" si="12"/>
        <v>0</v>
      </c>
      <c r="M28" s="21">
        <v>0</v>
      </c>
      <c r="N28" s="205">
        <f t="shared" si="13"/>
        <v>0</v>
      </c>
      <c r="O28" s="21">
        <v>0</v>
      </c>
      <c r="P28" s="205">
        <f t="shared" si="14"/>
        <v>0</v>
      </c>
      <c r="Q28" s="21">
        <v>0</v>
      </c>
      <c r="R28" s="205">
        <f t="shared" si="15"/>
        <v>0</v>
      </c>
      <c r="S28" s="39">
        <f t="shared" si="7"/>
        <v>0</v>
      </c>
      <c r="T28" s="38">
        <f t="shared" si="1"/>
        <v>0</v>
      </c>
      <c r="U28" s="21">
        <v>968</v>
      </c>
      <c r="V28" s="13">
        <f t="shared" si="4"/>
        <v>6.7759999999999998</v>
      </c>
      <c r="W28" s="49">
        <f t="shared" si="5"/>
        <v>968</v>
      </c>
      <c r="X28" s="50">
        <f t="shared" si="6"/>
        <v>6.7759999999999998</v>
      </c>
      <c r="Y28" s="238">
        <v>300</v>
      </c>
      <c r="Z28" s="101">
        <v>1000</v>
      </c>
    </row>
    <row r="29" spans="1:26" ht="15.75" x14ac:dyDescent="0.25">
      <c r="A29" s="264">
        <v>25</v>
      </c>
      <c r="B29" s="256" t="s">
        <v>57</v>
      </c>
      <c r="C29" s="111">
        <v>45</v>
      </c>
      <c r="D29" s="112">
        <v>44</v>
      </c>
      <c r="E29" s="112">
        <v>3</v>
      </c>
      <c r="F29" s="19">
        <f t="shared" si="2"/>
        <v>5.94E-3</v>
      </c>
      <c r="G29" s="23">
        <v>0</v>
      </c>
      <c r="H29" s="26">
        <f t="shared" si="3"/>
        <v>0</v>
      </c>
      <c r="I29" s="21">
        <v>0</v>
      </c>
      <c r="J29" s="205">
        <f t="shared" si="0"/>
        <v>0</v>
      </c>
      <c r="K29" s="21">
        <v>0</v>
      </c>
      <c r="L29" s="205">
        <f t="shared" si="12"/>
        <v>0</v>
      </c>
      <c r="M29" s="21">
        <v>0</v>
      </c>
      <c r="N29" s="205">
        <f t="shared" si="13"/>
        <v>0</v>
      </c>
      <c r="O29" s="21">
        <v>0</v>
      </c>
      <c r="P29" s="205">
        <f t="shared" si="14"/>
        <v>0</v>
      </c>
      <c r="Q29" s="21">
        <v>81</v>
      </c>
      <c r="R29" s="205">
        <f t="shared" si="15"/>
        <v>0.48114000000000001</v>
      </c>
      <c r="S29" s="39">
        <f t="shared" si="7"/>
        <v>-81</v>
      </c>
      <c r="T29" s="38">
        <f t="shared" si="1"/>
        <v>-0.48114000000000001</v>
      </c>
      <c r="U29" s="21">
        <v>1440</v>
      </c>
      <c r="V29" s="13">
        <f t="shared" si="4"/>
        <v>8.5535999999999994</v>
      </c>
      <c r="W29" s="49">
        <f t="shared" si="5"/>
        <v>1359</v>
      </c>
      <c r="X29" s="50">
        <f t="shared" si="6"/>
        <v>8.0724599999999995</v>
      </c>
      <c r="Y29" s="238">
        <v>500</v>
      </c>
      <c r="Z29" s="101">
        <v>1500</v>
      </c>
    </row>
    <row r="30" spans="1:26" ht="15.75" x14ac:dyDescent="0.25">
      <c r="A30" s="264">
        <v>26</v>
      </c>
      <c r="B30" s="256" t="s">
        <v>58</v>
      </c>
      <c r="C30" s="111">
        <v>45</v>
      </c>
      <c r="D30" s="112">
        <v>35.5</v>
      </c>
      <c r="E30" s="112">
        <v>3</v>
      </c>
      <c r="F30" s="19">
        <f t="shared" si="2"/>
        <v>4.7924999999999999E-3</v>
      </c>
      <c r="G30" s="23">
        <v>0</v>
      </c>
      <c r="H30" s="26">
        <f t="shared" si="3"/>
        <v>0</v>
      </c>
      <c r="I30" s="21">
        <v>0</v>
      </c>
      <c r="J30" s="205">
        <f t="shared" si="0"/>
        <v>0</v>
      </c>
      <c r="K30" s="21">
        <v>0</v>
      </c>
      <c r="L30" s="205">
        <f t="shared" si="12"/>
        <v>0</v>
      </c>
      <c r="M30" s="21">
        <v>0</v>
      </c>
      <c r="N30" s="205">
        <f t="shared" si="13"/>
        <v>0</v>
      </c>
      <c r="O30" s="21">
        <v>0</v>
      </c>
      <c r="P30" s="205">
        <f t="shared" si="14"/>
        <v>0</v>
      </c>
      <c r="Q30" s="21">
        <v>144</v>
      </c>
      <c r="R30" s="205">
        <f t="shared" si="15"/>
        <v>0.69011999999999996</v>
      </c>
      <c r="S30" s="39">
        <f t="shared" si="7"/>
        <v>-144</v>
      </c>
      <c r="T30" s="38">
        <f t="shared" si="1"/>
        <v>-0.69011999999999996</v>
      </c>
      <c r="U30" s="21">
        <v>1224</v>
      </c>
      <c r="V30" s="13">
        <f t="shared" si="4"/>
        <v>5.8660199999999998</v>
      </c>
      <c r="W30" s="49">
        <f t="shared" si="5"/>
        <v>1080</v>
      </c>
      <c r="X30" s="50">
        <f t="shared" si="6"/>
        <v>5.1758999999999995</v>
      </c>
      <c r="Y30" s="238">
        <v>500</v>
      </c>
      <c r="Z30" s="101">
        <v>1500</v>
      </c>
    </row>
    <row r="31" spans="1:26" x14ac:dyDescent="0.25">
      <c r="A31" s="264">
        <v>27</v>
      </c>
      <c r="B31" s="256" t="s">
        <v>155</v>
      </c>
      <c r="C31" s="34">
        <v>140</v>
      </c>
      <c r="D31" s="35">
        <v>9.5</v>
      </c>
      <c r="E31" s="35">
        <v>6.5</v>
      </c>
      <c r="F31" s="19">
        <f t="shared" si="2"/>
        <v>8.6449999999999999E-3</v>
      </c>
      <c r="G31" s="23">
        <v>3129</v>
      </c>
      <c r="H31" s="26">
        <f t="shared" si="3"/>
        <v>27.050204999999998</v>
      </c>
      <c r="I31" s="21">
        <v>25</v>
      </c>
      <c r="J31" s="205">
        <f t="shared" si="0"/>
        <v>0.21612500000000001</v>
      </c>
      <c r="K31" s="21">
        <v>120</v>
      </c>
      <c r="L31" s="205">
        <f t="shared" si="12"/>
        <v>1.0373999999999999</v>
      </c>
      <c r="M31" s="21">
        <v>0</v>
      </c>
      <c r="N31" s="205">
        <f t="shared" si="13"/>
        <v>0</v>
      </c>
      <c r="O31" s="21">
        <v>0</v>
      </c>
      <c r="P31" s="205">
        <f t="shared" si="14"/>
        <v>0</v>
      </c>
      <c r="Q31" s="21">
        <v>56</v>
      </c>
      <c r="R31" s="205">
        <f t="shared" si="15"/>
        <v>0.48411999999999999</v>
      </c>
      <c r="S31" s="39">
        <f t="shared" si="7"/>
        <v>2928</v>
      </c>
      <c r="T31" s="38">
        <f t="shared" si="1"/>
        <v>25.312560000000001</v>
      </c>
      <c r="U31" s="21">
        <v>0</v>
      </c>
      <c r="V31" s="13">
        <f t="shared" si="4"/>
        <v>0</v>
      </c>
      <c r="W31" s="49">
        <f t="shared" si="5"/>
        <v>2928</v>
      </c>
      <c r="X31" s="50">
        <f t="shared" si="6"/>
        <v>25.312560000000001</v>
      </c>
      <c r="Y31" s="238">
        <v>500</v>
      </c>
      <c r="Z31" s="101">
        <v>1500</v>
      </c>
    </row>
    <row r="32" spans="1:26" x14ac:dyDescent="0.25">
      <c r="A32" s="264">
        <v>28</v>
      </c>
      <c r="B32" s="256" t="s">
        <v>156</v>
      </c>
      <c r="C32" s="34">
        <v>140</v>
      </c>
      <c r="D32" s="35">
        <v>240</v>
      </c>
      <c r="E32" s="35">
        <v>1</v>
      </c>
      <c r="F32" s="19">
        <f t="shared" si="2"/>
        <v>3.3599999999999998E-2</v>
      </c>
      <c r="G32" s="23">
        <v>830</v>
      </c>
      <c r="H32" s="26">
        <f t="shared" si="3"/>
        <v>27.887999999999998</v>
      </c>
      <c r="I32" s="21">
        <v>138</v>
      </c>
      <c r="J32" s="205">
        <f t="shared" si="0"/>
        <v>4.6368</v>
      </c>
      <c r="K32" s="21">
        <v>123</v>
      </c>
      <c r="L32" s="205">
        <f t="shared" si="12"/>
        <v>4.1327999999999996</v>
      </c>
      <c r="M32" s="21">
        <v>95</v>
      </c>
      <c r="N32" s="205">
        <f t="shared" si="13"/>
        <v>3.1919999999999997</v>
      </c>
      <c r="O32" s="21">
        <v>0</v>
      </c>
      <c r="P32" s="205">
        <f t="shared" si="14"/>
        <v>0</v>
      </c>
      <c r="Q32" s="21">
        <v>126</v>
      </c>
      <c r="R32" s="205">
        <f>F32*Q32</f>
        <v>4.2336</v>
      </c>
      <c r="S32" s="39">
        <f t="shared" si="7"/>
        <v>348</v>
      </c>
      <c r="T32" s="38">
        <f t="shared" si="1"/>
        <v>11.6928</v>
      </c>
      <c r="U32" s="21">
        <v>99</v>
      </c>
      <c r="V32" s="205">
        <f>F32*U32</f>
        <v>3.3263999999999996</v>
      </c>
      <c r="W32" s="49">
        <f t="shared" si="5"/>
        <v>447</v>
      </c>
      <c r="X32" s="50">
        <f t="shared" si="6"/>
        <v>15.0192</v>
      </c>
      <c r="Y32" s="238">
        <v>250</v>
      </c>
      <c r="Z32" s="101">
        <v>750</v>
      </c>
    </row>
    <row r="33" spans="1:26" x14ac:dyDescent="0.25">
      <c r="A33" s="264">
        <v>29</v>
      </c>
      <c r="B33" s="256" t="s">
        <v>157</v>
      </c>
      <c r="C33" s="34">
        <v>140</v>
      </c>
      <c r="D33" s="35">
        <v>240</v>
      </c>
      <c r="E33" s="35">
        <v>2</v>
      </c>
      <c r="F33" s="19">
        <f t="shared" si="2"/>
        <v>6.7199999999999996E-2</v>
      </c>
      <c r="G33" s="23">
        <v>393</v>
      </c>
      <c r="H33" s="26">
        <f t="shared" si="3"/>
        <v>26.409599999999998</v>
      </c>
      <c r="I33" s="21">
        <v>31</v>
      </c>
      <c r="J33" s="205">
        <f t="shared" si="0"/>
        <v>2.0831999999999997</v>
      </c>
      <c r="K33" s="21">
        <v>40</v>
      </c>
      <c r="L33" s="205">
        <f t="shared" si="12"/>
        <v>2.6879999999999997</v>
      </c>
      <c r="M33" s="21">
        <v>17</v>
      </c>
      <c r="N33" s="205">
        <f t="shared" si="13"/>
        <v>1.1423999999999999</v>
      </c>
      <c r="O33" s="21">
        <v>0</v>
      </c>
      <c r="P33" s="205">
        <f t="shared" si="14"/>
        <v>0</v>
      </c>
      <c r="Q33" s="21">
        <v>14</v>
      </c>
      <c r="R33" s="205">
        <f>F33*Q33</f>
        <v>0.94079999999999997</v>
      </c>
      <c r="S33" s="39">
        <f t="shared" si="7"/>
        <v>291</v>
      </c>
      <c r="T33" s="38">
        <f t="shared" si="1"/>
        <v>19.555199999999999</v>
      </c>
      <c r="U33" s="21">
        <v>0</v>
      </c>
      <c r="V33" s="13">
        <f t="shared" si="4"/>
        <v>0</v>
      </c>
      <c r="W33" s="49">
        <f t="shared" si="5"/>
        <v>291</v>
      </c>
      <c r="X33" s="50">
        <f t="shared" si="6"/>
        <v>19.555199999999999</v>
      </c>
      <c r="Y33" s="238">
        <v>75</v>
      </c>
      <c r="Z33" s="101">
        <v>150</v>
      </c>
    </row>
    <row r="34" spans="1:26" x14ac:dyDescent="0.25">
      <c r="A34" s="264">
        <v>30</v>
      </c>
      <c r="B34" s="256" t="s">
        <v>158</v>
      </c>
      <c r="C34" s="34">
        <v>140</v>
      </c>
      <c r="D34" s="35">
        <v>240</v>
      </c>
      <c r="E34" s="35">
        <v>3</v>
      </c>
      <c r="F34" s="19">
        <f t="shared" si="2"/>
        <v>0.1008</v>
      </c>
      <c r="G34" s="23">
        <v>247</v>
      </c>
      <c r="H34" s="26">
        <f t="shared" si="3"/>
        <v>24.897600000000001</v>
      </c>
      <c r="I34" s="21">
        <v>26</v>
      </c>
      <c r="J34" s="205">
        <f>F34*I34</f>
        <v>2.6208</v>
      </c>
      <c r="K34" s="21">
        <v>79</v>
      </c>
      <c r="L34" s="205">
        <f t="shared" si="12"/>
        <v>7.9632000000000005</v>
      </c>
      <c r="M34" s="21">
        <v>28</v>
      </c>
      <c r="N34" s="205">
        <f t="shared" si="13"/>
        <v>2.8224</v>
      </c>
      <c r="O34" s="21">
        <v>0</v>
      </c>
      <c r="P34" s="205">
        <f t="shared" si="14"/>
        <v>0</v>
      </c>
      <c r="Q34" s="21">
        <v>12</v>
      </c>
      <c r="R34" s="205">
        <f t="shared" si="15"/>
        <v>1.2096</v>
      </c>
      <c r="S34" s="39">
        <f t="shared" si="7"/>
        <v>102</v>
      </c>
      <c r="T34" s="38">
        <f t="shared" si="1"/>
        <v>10.281600000000001</v>
      </c>
      <c r="U34" s="21">
        <v>33</v>
      </c>
      <c r="V34" s="13">
        <f t="shared" si="4"/>
        <v>3.3264</v>
      </c>
      <c r="W34" s="49">
        <f t="shared" si="5"/>
        <v>135</v>
      </c>
      <c r="X34" s="50">
        <f t="shared" si="6"/>
        <v>13.608000000000001</v>
      </c>
      <c r="Y34" s="238">
        <v>75</v>
      </c>
      <c r="Z34" s="101">
        <v>150</v>
      </c>
    </row>
    <row r="35" spans="1:26" x14ac:dyDescent="0.25">
      <c r="A35" s="264">
        <v>31</v>
      </c>
      <c r="B35" s="256" t="s">
        <v>159</v>
      </c>
      <c r="C35" s="34">
        <v>140</v>
      </c>
      <c r="D35" s="35">
        <v>240</v>
      </c>
      <c r="E35" s="35">
        <v>4</v>
      </c>
      <c r="F35" s="19">
        <f t="shared" si="2"/>
        <v>0.13439999999999999</v>
      </c>
      <c r="G35" s="23">
        <v>55</v>
      </c>
      <c r="H35" s="26">
        <f t="shared" si="3"/>
        <v>7.3919999999999995</v>
      </c>
      <c r="I35" s="21">
        <v>11</v>
      </c>
      <c r="J35" s="205">
        <f t="shared" si="0"/>
        <v>1.4783999999999999</v>
      </c>
      <c r="K35" s="21">
        <v>3</v>
      </c>
      <c r="L35" s="205">
        <f t="shared" si="12"/>
        <v>0.4032</v>
      </c>
      <c r="M35" s="21">
        <v>5</v>
      </c>
      <c r="N35" s="205">
        <f t="shared" si="13"/>
        <v>0.67199999999999993</v>
      </c>
      <c r="O35" s="21">
        <v>0</v>
      </c>
      <c r="P35" s="205">
        <f t="shared" si="14"/>
        <v>0</v>
      </c>
      <c r="Q35" s="21">
        <v>7</v>
      </c>
      <c r="R35" s="205">
        <f t="shared" si="15"/>
        <v>0.94079999999999997</v>
      </c>
      <c r="S35" s="39">
        <f t="shared" si="7"/>
        <v>29</v>
      </c>
      <c r="T35" s="38">
        <f t="shared" si="1"/>
        <v>3.8975999999999997</v>
      </c>
      <c r="U35" s="21">
        <v>0</v>
      </c>
      <c r="V35" s="13">
        <f t="shared" si="4"/>
        <v>0</v>
      </c>
      <c r="W35" s="49">
        <f t="shared" si="5"/>
        <v>29</v>
      </c>
      <c r="X35" s="50">
        <f t="shared" si="6"/>
        <v>3.8975999999999997</v>
      </c>
      <c r="Y35" s="238">
        <v>50</v>
      </c>
      <c r="Z35" s="101">
        <v>100</v>
      </c>
    </row>
    <row r="36" spans="1:26" x14ac:dyDescent="0.25">
      <c r="A36" s="264">
        <v>32</v>
      </c>
      <c r="B36" s="256" t="s">
        <v>160</v>
      </c>
      <c r="C36" s="34">
        <v>140</v>
      </c>
      <c r="D36" s="35">
        <v>240</v>
      </c>
      <c r="E36" s="35">
        <v>2</v>
      </c>
      <c r="F36" s="19">
        <f t="shared" si="2"/>
        <v>6.7199999999999996E-2</v>
      </c>
      <c r="G36" s="23">
        <v>347</v>
      </c>
      <c r="H36" s="26">
        <f t="shared" si="3"/>
        <v>23.318399999999997</v>
      </c>
      <c r="I36" s="21">
        <v>64</v>
      </c>
      <c r="J36" s="205">
        <f>F36*I36</f>
        <v>4.3007999999999997</v>
      </c>
      <c r="K36" s="21">
        <v>37</v>
      </c>
      <c r="L36" s="205">
        <f t="shared" si="12"/>
        <v>2.4863999999999997</v>
      </c>
      <c r="M36" s="21">
        <v>31</v>
      </c>
      <c r="N36" s="205">
        <f t="shared" si="13"/>
        <v>2.0831999999999997</v>
      </c>
      <c r="O36" s="21">
        <v>0</v>
      </c>
      <c r="P36" s="205">
        <f t="shared" si="14"/>
        <v>0</v>
      </c>
      <c r="Q36" s="21">
        <v>15</v>
      </c>
      <c r="R36" s="205">
        <f t="shared" si="15"/>
        <v>1.008</v>
      </c>
      <c r="S36" s="39">
        <f t="shared" si="7"/>
        <v>200</v>
      </c>
      <c r="T36" s="38">
        <f t="shared" si="1"/>
        <v>13.44</v>
      </c>
      <c r="U36" s="21">
        <v>80</v>
      </c>
      <c r="V36" s="13">
        <f t="shared" si="4"/>
        <v>5.3759999999999994</v>
      </c>
      <c r="W36" s="49">
        <f t="shared" si="5"/>
        <v>280</v>
      </c>
      <c r="X36" s="50">
        <f t="shared" si="6"/>
        <v>18.815999999999999</v>
      </c>
      <c r="Y36" s="238">
        <v>100</v>
      </c>
      <c r="Z36" s="101">
        <v>300</v>
      </c>
    </row>
    <row r="37" spans="1:26" x14ac:dyDescent="0.25">
      <c r="A37" s="264">
        <v>33</v>
      </c>
      <c r="B37" s="256" t="s">
        <v>161</v>
      </c>
      <c r="C37" s="34">
        <v>140</v>
      </c>
      <c r="D37" s="35">
        <v>240</v>
      </c>
      <c r="E37" s="35">
        <v>6</v>
      </c>
      <c r="F37" s="19">
        <f t="shared" si="2"/>
        <v>0.2016</v>
      </c>
      <c r="G37" s="23">
        <v>32</v>
      </c>
      <c r="H37" s="26">
        <f t="shared" si="3"/>
        <v>6.4512</v>
      </c>
      <c r="I37" s="21">
        <v>0</v>
      </c>
      <c r="J37" s="205">
        <f t="shared" si="0"/>
        <v>0</v>
      </c>
      <c r="K37" s="21">
        <v>0</v>
      </c>
      <c r="L37" s="205">
        <f>F37*K37</f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39">
        <f t="shared" si="7"/>
        <v>32</v>
      </c>
      <c r="T37" s="38">
        <f t="shared" si="1"/>
        <v>6.4512</v>
      </c>
      <c r="U37" s="21">
        <v>0</v>
      </c>
      <c r="V37" s="13">
        <f t="shared" si="4"/>
        <v>0</v>
      </c>
      <c r="W37" s="49">
        <f t="shared" si="5"/>
        <v>32</v>
      </c>
      <c r="X37" s="50">
        <f t="shared" si="6"/>
        <v>6.4512</v>
      </c>
      <c r="Y37" s="238">
        <v>10</v>
      </c>
      <c r="Z37" s="101">
        <v>30</v>
      </c>
    </row>
    <row r="38" spans="1:26" x14ac:dyDescent="0.25">
      <c r="A38" s="264">
        <v>34</v>
      </c>
      <c r="B38" s="256" t="s">
        <v>162</v>
      </c>
      <c r="C38" s="34">
        <v>84</v>
      </c>
      <c r="D38" s="35">
        <v>55</v>
      </c>
      <c r="E38" s="35">
        <v>3</v>
      </c>
      <c r="F38" s="19">
        <f t="shared" si="2"/>
        <v>1.3860000000000001E-2</v>
      </c>
      <c r="G38" s="23">
        <v>0</v>
      </c>
      <c r="H38" s="26">
        <f t="shared" si="3"/>
        <v>0</v>
      </c>
      <c r="I38" s="21">
        <v>0</v>
      </c>
      <c r="J38" s="205">
        <f t="shared" si="0"/>
        <v>0</v>
      </c>
      <c r="K38" s="21">
        <v>0</v>
      </c>
      <c r="L38" s="205">
        <f t="shared" si="0"/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39">
        <f t="shared" si="7"/>
        <v>0</v>
      </c>
      <c r="T38" s="38">
        <f t="shared" si="1"/>
        <v>0</v>
      </c>
      <c r="U38" s="21">
        <v>0</v>
      </c>
      <c r="V38" s="13">
        <f t="shared" si="4"/>
        <v>0</v>
      </c>
      <c r="W38" s="49">
        <f t="shared" si="5"/>
        <v>0</v>
      </c>
      <c r="X38" s="50">
        <f t="shared" si="6"/>
        <v>0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163</v>
      </c>
      <c r="C39" s="34">
        <v>90</v>
      </c>
      <c r="D39" s="35">
        <v>90</v>
      </c>
      <c r="E39" s="35">
        <v>3</v>
      </c>
      <c r="F39" s="19">
        <f t="shared" si="2"/>
        <v>2.4299999999999999E-2</v>
      </c>
      <c r="G39" s="23">
        <v>0</v>
      </c>
      <c r="H39" s="26">
        <f t="shared" si="3"/>
        <v>0</v>
      </c>
      <c r="I39" s="21">
        <v>0</v>
      </c>
      <c r="J39" s="205">
        <f t="shared" si="0"/>
        <v>0</v>
      </c>
      <c r="K39" s="21">
        <v>0</v>
      </c>
      <c r="L39" s="205">
        <f t="shared" si="0"/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39">
        <f t="shared" si="7"/>
        <v>0</v>
      </c>
      <c r="T39" s="38">
        <f t="shared" si="1"/>
        <v>0</v>
      </c>
      <c r="U39" s="21">
        <v>0</v>
      </c>
      <c r="V39" s="13">
        <f t="shared" si="4"/>
        <v>0</v>
      </c>
      <c r="W39" s="49">
        <f t="shared" si="5"/>
        <v>0</v>
      </c>
      <c r="X39" s="50">
        <f t="shared" si="6"/>
        <v>0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164</v>
      </c>
      <c r="C40" s="34">
        <v>140</v>
      </c>
      <c r="D40" s="35">
        <v>240</v>
      </c>
      <c r="E40" s="35">
        <v>10</v>
      </c>
      <c r="F40" s="19">
        <f t="shared" si="2"/>
        <v>0.33600000000000002</v>
      </c>
      <c r="G40" s="23">
        <v>0</v>
      </c>
      <c r="H40" s="26">
        <f t="shared" si="3"/>
        <v>0</v>
      </c>
      <c r="I40" s="21">
        <v>0</v>
      </c>
      <c r="J40" s="205">
        <f t="shared" si="0"/>
        <v>0</v>
      </c>
      <c r="K40" s="21">
        <v>0</v>
      </c>
      <c r="L40" s="205">
        <f>F40*K40</f>
        <v>0</v>
      </c>
      <c r="M40" s="21">
        <v>0</v>
      </c>
      <c r="N40" s="205">
        <f>F40*M40</f>
        <v>0</v>
      </c>
      <c r="O40" s="21">
        <v>0</v>
      </c>
      <c r="P40" s="205">
        <f>F40*O40</f>
        <v>0</v>
      </c>
      <c r="Q40" s="21">
        <v>0</v>
      </c>
      <c r="R40" s="205">
        <f>F40*Q40</f>
        <v>0</v>
      </c>
      <c r="S40" s="39">
        <f t="shared" si="7"/>
        <v>0</v>
      </c>
      <c r="T40" s="38">
        <f t="shared" si="1"/>
        <v>0</v>
      </c>
      <c r="U40" s="21">
        <v>0</v>
      </c>
      <c r="V40" s="13">
        <f t="shared" si="4"/>
        <v>0</v>
      </c>
      <c r="W40" s="49">
        <f t="shared" si="5"/>
        <v>0</v>
      </c>
      <c r="X40" s="50">
        <f t="shared" si="6"/>
        <v>0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165</v>
      </c>
      <c r="C41" s="34">
        <v>140</v>
      </c>
      <c r="D41" s="35">
        <v>240</v>
      </c>
      <c r="E41" s="35">
        <v>10</v>
      </c>
      <c r="F41" s="19">
        <f t="shared" si="2"/>
        <v>0.33600000000000002</v>
      </c>
      <c r="G41" s="23">
        <v>115</v>
      </c>
      <c r="H41" s="26">
        <f t="shared" si="3"/>
        <v>38.64</v>
      </c>
      <c r="I41" s="21">
        <v>8</v>
      </c>
      <c r="J41" s="205">
        <f>F41*I41</f>
        <v>2.6880000000000002</v>
      </c>
      <c r="K41" s="21">
        <v>10</v>
      </c>
      <c r="L41" s="205">
        <f>F41*K41</f>
        <v>3.3600000000000003</v>
      </c>
      <c r="M41" s="21">
        <v>10</v>
      </c>
      <c r="N41" s="205">
        <f>F41*M41</f>
        <v>3.3600000000000003</v>
      </c>
      <c r="O41" s="21">
        <v>0</v>
      </c>
      <c r="P41" s="205">
        <f>F41*O41</f>
        <v>0</v>
      </c>
      <c r="Q41" s="21">
        <v>3</v>
      </c>
      <c r="R41" s="205">
        <f>F41*Q41</f>
        <v>1.008</v>
      </c>
      <c r="S41" s="39">
        <f t="shared" si="7"/>
        <v>84</v>
      </c>
      <c r="T41" s="38">
        <f t="shared" si="1"/>
        <v>28.224</v>
      </c>
      <c r="U41" s="21">
        <v>0</v>
      </c>
      <c r="V41" s="13">
        <f t="shared" si="4"/>
        <v>0</v>
      </c>
      <c r="W41" s="49">
        <f t="shared" si="5"/>
        <v>84</v>
      </c>
      <c r="X41" s="50">
        <f t="shared" si="6"/>
        <v>28.224</v>
      </c>
      <c r="Y41" s="238">
        <v>50</v>
      </c>
      <c r="Z41" s="101">
        <v>100</v>
      </c>
    </row>
    <row r="42" spans="1:26" x14ac:dyDescent="0.25">
      <c r="A42" s="264">
        <v>38</v>
      </c>
      <c r="B42" s="256" t="s">
        <v>166</v>
      </c>
      <c r="C42" s="34">
        <v>92</v>
      </c>
      <c r="D42" s="35">
        <v>82</v>
      </c>
      <c r="E42" s="35">
        <v>2</v>
      </c>
      <c r="F42" s="19">
        <f t="shared" si="2"/>
        <v>1.5088000000000001E-2</v>
      </c>
      <c r="G42" s="23">
        <v>10</v>
      </c>
      <c r="H42" s="26">
        <f t="shared" si="3"/>
        <v>0.15088000000000001</v>
      </c>
      <c r="I42" s="21">
        <v>0</v>
      </c>
      <c r="J42" s="205">
        <f t="shared" si="0"/>
        <v>0</v>
      </c>
      <c r="K42" s="21">
        <v>0</v>
      </c>
      <c r="L42" s="205">
        <f>F42*K42</f>
        <v>0</v>
      </c>
      <c r="M42" s="21">
        <v>0</v>
      </c>
      <c r="N42" s="205">
        <f>F42*M42</f>
        <v>0</v>
      </c>
      <c r="O42" s="21">
        <v>0</v>
      </c>
      <c r="P42" s="205">
        <f>F42*O42</f>
        <v>0</v>
      </c>
      <c r="Q42" s="21">
        <v>10</v>
      </c>
      <c r="R42" s="205">
        <f>F42*Q42</f>
        <v>0.15088000000000001</v>
      </c>
      <c r="S42" s="39">
        <f t="shared" si="7"/>
        <v>0</v>
      </c>
      <c r="T42" s="38">
        <f t="shared" si="1"/>
        <v>0</v>
      </c>
      <c r="U42" s="21">
        <v>0</v>
      </c>
      <c r="V42" s="13">
        <f t="shared" si="4"/>
        <v>0</v>
      </c>
      <c r="W42" s="49">
        <f t="shared" si="5"/>
        <v>0</v>
      </c>
      <c r="X42" s="50">
        <f t="shared" si="6"/>
        <v>0</v>
      </c>
      <c r="Y42" s="238">
        <v>100</v>
      </c>
      <c r="Z42" s="101">
        <v>300</v>
      </c>
    </row>
    <row r="43" spans="1:26" x14ac:dyDescent="0.25">
      <c r="A43" s="264">
        <v>39</v>
      </c>
      <c r="B43" s="256" t="s">
        <v>167</v>
      </c>
      <c r="C43" s="34">
        <v>75</v>
      </c>
      <c r="D43" s="35">
        <v>55</v>
      </c>
      <c r="E43" s="35">
        <v>3</v>
      </c>
      <c r="F43" s="19">
        <f t="shared" si="2"/>
        <v>1.2375000000000001E-2</v>
      </c>
      <c r="G43" s="23">
        <v>0</v>
      </c>
      <c r="H43" s="26">
        <f t="shared" si="3"/>
        <v>0</v>
      </c>
      <c r="I43" s="21">
        <v>0</v>
      </c>
      <c r="J43" s="205">
        <f t="shared" si="0"/>
        <v>0</v>
      </c>
      <c r="K43" s="21">
        <v>0</v>
      </c>
      <c r="L43" s="205">
        <f t="shared" si="0"/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39">
        <f t="shared" si="7"/>
        <v>0</v>
      </c>
      <c r="T43" s="38">
        <f t="shared" si="1"/>
        <v>0</v>
      </c>
      <c r="U43" s="21">
        <v>0</v>
      </c>
      <c r="V43" s="13">
        <f t="shared" si="4"/>
        <v>0</v>
      </c>
      <c r="W43" s="49">
        <f t="shared" si="5"/>
        <v>0</v>
      </c>
      <c r="X43" s="50">
        <f t="shared" si="6"/>
        <v>0</v>
      </c>
      <c r="Y43" s="238">
        <v>0</v>
      </c>
      <c r="Z43" s="101">
        <v>0</v>
      </c>
    </row>
    <row r="44" spans="1:26" x14ac:dyDescent="0.25">
      <c r="A44" s="264">
        <v>40</v>
      </c>
      <c r="B44" s="256" t="s">
        <v>168</v>
      </c>
      <c r="C44" s="34">
        <v>140</v>
      </c>
      <c r="D44" s="35">
        <v>240</v>
      </c>
      <c r="E44" s="35">
        <v>3</v>
      </c>
      <c r="F44" s="19">
        <f t="shared" si="2"/>
        <v>0.1008</v>
      </c>
      <c r="G44" s="23">
        <v>0</v>
      </c>
      <c r="H44" s="26">
        <f t="shared" si="3"/>
        <v>0</v>
      </c>
      <c r="I44" s="21">
        <v>0</v>
      </c>
      <c r="J44" s="205">
        <f t="shared" si="0"/>
        <v>0</v>
      </c>
      <c r="K44" s="21">
        <v>0</v>
      </c>
      <c r="L44" s="205">
        <f t="shared" ref="L44:L52" si="16">F44*K44</f>
        <v>0</v>
      </c>
      <c r="M44" s="21">
        <v>0</v>
      </c>
      <c r="N44" s="205">
        <f t="shared" ref="N44:N52" si="17">F44*M44</f>
        <v>0</v>
      </c>
      <c r="O44" s="21">
        <v>0</v>
      </c>
      <c r="P44" s="205">
        <f t="shared" ref="P44:P52" si="18">F44*O44</f>
        <v>0</v>
      </c>
      <c r="Q44" s="21">
        <v>0</v>
      </c>
      <c r="R44" s="205">
        <f t="shared" ref="R44:R52" si="19">F44*Q44</f>
        <v>0</v>
      </c>
      <c r="S44" s="39">
        <f t="shared" si="7"/>
        <v>0</v>
      </c>
      <c r="T44" s="38">
        <f t="shared" si="1"/>
        <v>0</v>
      </c>
      <c r="U44" s="21">
        <v>0</v>
      </c>
      <c r="V44" s="13">
        <f t="shared" si="4"/>
        <v>0</v>
      </c>
      <c r="W44" s="49">
        <f t="shared" si="5"/>
        <v>0</v>
      </c>
      <c r="X44" s="50">
        <f t="shared" si="6"/>
        <v>0</v>
      </c>
      <c r="Y44" s="238">
        <v>0</v>
      </c>
      <c r="Z44" s="101">
        <v>0</v>
      </c>
    </row>
    <row r="45" spans="1:26" x14ac:dyDescent="0.25">
      <c r="A45" s="264">
        <v>41</v>
      </c>
      <c r="B45" s="256" t="s">
        <v>169</v>
      </c>
      <c r="C45" s="34">
        <v>82</v>
      </c>
      <c r="D45" s="34">
        <v>80</v>
      </c>
      <c r="E45" s="34">
        <v>2</v>
      </c>
      <c r="F45" s="19">
        <f t="shared" si="2"/>
        <v>1.312E-2</v>
      </c>
      <c r="G45" s="34">
        <v>0</v>
      </c>
      <c r="H45" s="26">
        <f t="shared" si="3"/>
        <v>0</v>
      </c>
      <c r="I45" s="21">
        <v>0</v>
      </c>
      <c r="J45" s="205">
        <f t="shared" si="0"/>
        <v>0</v>
      </c>
      <c r="K45" s="21">
        <v>0</v>
      </c>
      <c r="L45" s="205">
        <f t="shared" si="16"/>
        <v>0</v>
      </c>
      <c r="M45" s="21">
        <v>0</v>
      </c>
      <c r="N45" s="205">
        <f t="shared" si="17"/>
        <v>0</v>
      </c>
      <c r="O45" s="21">
        <v>0</v>
      </c>
      <c r="P45" s="205">
        <f t="shared" si="18"/>
        <v>0</v>
      </c>
      <c r="Q45" s="21">
        <v>0</v>
      </c>
      <c r="R45" s="205">
        <f t="shared" si="19"/>
        <v>0</v>
      </c>
      <c r="S45" s="39">
        <f t="shared" si="7"/>
        <v>0</v>
      </c>
      <c r="T45" s="38">
        <f t="shared" si="1"/>
        <v>0</v>
      </c>
      <c r="U45" s="21">
        <v>0</v>
      </c>
      <c r="V45" s="13">
        <f t="shared" si="4"/>
        <v>0</v>
      </c>
      <c r="W45" s="49">
        <f t="shared" si="5"/>
        <v>0</v>
      </c>
      <c r="X45" s="50">
        <f t="shared" si="6"/>
        <v>0</v>
      </c>
      <c r="Y45" s="238">
        <v>100</v>
      </c>
      <c r="Z45" s="101">
        <v>300</v>
      </c>
    </row>
    <row r="46" spans="1:26" x14ac:dyDescent="0.25">
      <c r="A46" s="264">
        <v>42</v>
      </c>
      <c r="B46" s="256" t="s">
        <v>170</v>
      </c>
      <c r="C46" s="34">
        <v>90</v>
      </c>
      <c r="D46" s="34">
        <v>83</v>
      </c>
      <c r="E46" s="34">
        <v>2</v>
      </c>
      <c r="F46" s="19">
        <f t="shared" si="2"/>
        <v>1.494E-2</v>
      </c>
      <c r="G46" s="34">
        <v>934</v>
      </c>
      <c r="H46" s="26">
        <f t="shared" si="3"/>
        <v>13.95396</v>
      </c>
      <c r="I46" s="21">
        <v>0</v>
      </c>
      <c r="J46" s="205">
        <f t="shared" si="0"/>
        <v>0</v>
      </c>
      <c r="K46" s="21">
        <v>0</v>
      </c>
      <c r="L46" s="205">
        <f t="shared" si="16"/>
        <v>0</v>
      </c>
      <c r="M46" s="21">
        <v>254</v>
      </c>
      <c r="N46" s="205">
        <f t="shared" si="17"/>
        <v>3.7947600000000001</v>
      </c>
      <c r="O46" s="21">
        <v>0</v>
      </c>
      <c r="P46" s="205">
        <f t="shared" si="18"/>
        <v>0</v>
      </c>
      <c r="Q46" s="21">
        <v>680</v>
      </c>
      <c r="R46" s="205">
        <f t="shared" si="19"/>
        <v>10.1592</v>
      </c>
      <c r="S46" s="39">
        <f t="shared" si="7"/>
        <v>0</v>
      </c>
      <c r="T46" s="38">
        <f t="shared" si="1"/>
        <v>0</v>
      </c>
      <c r="U46" s="21">
        <v>0</v>
      </c>
      <c r="V46" s="13">
        <f t="shared" si="4"/>
        <v>0</v>
      </c>
      <c r="W46" s="49">
        <f t="shared" si="5"/>
        <v>0</v>
      </c>
      <c r="X46" s="50">
        <f t="shared" si="6"/>
        <v>0</v>
      </c>
      <c r="Y46" s="238">
        <v>100</v>
      </c>
      <c r="Z46" s="101">
        <v>300</v>
      </c>
    </row>
    <row r="47" spans="1:26" x14ac:dyDescent="0.25">
      <c r="A47" s="264">
        <v>43</v>
      </c>
      <c r="B47" s="256" t="s">
        <v>171</v>
      </c>
      <c r="C47" s="34">
        <v>105</v>
      </c>
      <c r="D47" s="34">
        <v>55</v>
      </c>
      <c r="E47" s="34">
        <v>3</v>
      </c>
      <c r="F47" s="19">
        <f t="shared" si="2"/>
        <v>1.7325E-2</v>
      </c>
      <c r="G47" s="34">
        <v>0</v>
      </c>
      <c r="H47" s="26">
        <f t="shared" si="3"/>
        <v>0</v>
      </c>
      <c r="I47" s="21">
        <v>0</v>
      </c>
      <c r="J47" s="205">
        <f t="shared" si="0"/>
        <v>0</v>
      </c>
      <c r="K47" s="21">
        <v>0</v>
      </c>
      <c r="L47" s="205">
        <f t="shared" si="16"/>
        <v>0</v>
      </c>
      <c r="M47" s="21">
        <v>0</v>
      </c>
      <c r="N47" s="205">
        <f t="shared" si="17"/>
        <v>0</v>
      </c>
      <c r="O47" s="21">
        <v>0</v>
      </c>
      <c r="P47" s="205">
        <f t="shared" si="18"/>
        <v>0</v>
      </c>
      <c r="Q47" s="21">
        <v>0</v>
      </c>
      <c r="R47" s="205">
        <f t="shared" si="19"/>
        <v>0</v>
      </c>
      <c r="S47" s="39">
        <f t="shared" si="7"/>
        <v>0</v>
      </c>
      <c r="T47" s="38">
        <f t="shared" si="1"/>
        <v>0</v>
      </c>
      <c r="U47" s="21">
        <v>0</v>
      </c>
      <c r="V47" s="13">
        <f t="shared" si="4"/>
        <v>0</v>
      </c>
      <c r="W47" s="49">
        <f t="shared" si="5"/>
        <v>0</v>
      </c>
      <c r="X47" s="50">
        <f t="shared" si="6"/>
        <v>0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173</v>
      </c>
      <c r="C48" s="34">
        <v>140</v>
      </c>
      <c r="D48" s="34">
        <v>240</v>
      </c>
      <c r="E48" s="34">
        <v>4</v>
      </c>
      <c r="F48" s="19">
        <f t="shared" si="2"/>
        <v>0.13439999999999999</v>
      </c>
      <c r="G48" s="34">
        <v>0</v>
      </c>
      <c r="H48" s="26">
        <f t="shared" si="3"/>
        <v>0</v>
      </c>
      <c r="I48" s="21">
        <v>0</v>
      </c>
      <c r="J48" s="205">
        <f t="shared" si="0"/>
        <v>0</v>
      </c>
      <c r="K48" s="21">
        <v>0</v>
      </c>
      <c r="L48" s="205">
        <f t="shared" si="16"/>
        <v>0</v>
      </c>
      <c r="M48" s="21">
        <v>0</v>
      </c>
      <c r="N48" s="205">
        <f t="shared" si="17"/>
        <v>0</v>
      </c>
      <c r="O48" s="21">
        <v>0</v>
      </c>
      <c r="P48" s="205">
        <f t="shared" si="18"/>
        <v>0</v>
      </c>
      <c r="Q48" s="21">
        <v>0</v>
      </c>
      <c r="R48" s="205">
        <f t="shared" si="19"/>
        <v>0</v>
      </c>
      <c r="S48" s="39">
        <f t="shared" si="7"/>
        <v>0</v>
      </c>
      <c r="T48" s="38">
        <f t="shared" si="1"/>
        <v>0</v>
      </c>
      <c r="U48" s="21">
        <v>0</v>
      </c>
      <c r="V48" s="13">
        <f t="shared" si="4"/>
        <v>0</v>
      </c>
      <c r="W48" s="49">
        <f t="shared" si="5"/>
        <v>0</v>
      </c>
      <c r="X48" s="50">
        <f t="shared" si="6"/>
        <v>0</v>
      </c>
      <c r="Y48" s="238">
        <v>0</v>
      </c>
      <c r="Z48" s="101">
        <v>0</v>
      </c>
    </row>
    <row r="49" spans="1:26" x14ac:dyDescent="0.25">
      <c r="A49" s="264">
        <v>45</v>
      </c>
      <c r="B49" s="256" t="s">
        <v>174</v>
      </c>
      <c r="C49" s="34">
        <v>140</v>
      </c>
      <c r="D49" s="34">
        <v>240</v>
      </c>
      <c r="E49" s="34">
        <v>14</v>
      </c>
      <c r="F49" s="19">
        <f t="shared" si="2"/>
        <v>0.47039999999999998</v>
      </c>
      <c r="G49" s="34">
        <v>6</v>
      </c>
      <c r="H49" s="26">
        <f t="shared" si="3"/>
        <v>2.8224</v>
      </c>
      <c r="I49" s="21">
        <v>1</v>
      </c>
      <c r="J49" s="205">
        <f t="shared" si="0"/>
        <v>0.47039999999999998</v>
      </c>
      <c r="K49" s="21">
        <v>0</v>
      </c>
      <c r="L49" s="205">
        <f t="shared" si="16"/>
        <v>0</v>
      </c>
      <c r="M49" s="21">
        <v>1</v>
      </c>
      <c r="N49" s="205">
        <f t="shared" si="17"/>
        <v>0.47039999999999998</v>
      </c>
      <c r="O49" s="21">
        <v>0</v>
      </c>
      <c r="P49" s="205">
        <f t="shared" si="18"/>
        <v>0</v>
      </c>
      <c r="Q49" s="21">
        <v>0</v>
      </c>
      <c r="R49" s="205">
        <f t="shared" si="19"/>
        <v>0</v>
      </c>
      <c r="S49" s="39">
        <f t="shared" si="7"/>
        <v>4</v>
      </c>
      <c r="T49" s="38">
        <f t="shared" si="1"/>
        <v>1.8815999999999999</v>
      </c>
      <c r="U49" s="21">
        <v>0</v>
      </c>
      <c r="V49" s="13">
        <f t="shared" si="4"/>
        <v>0</v>
      </c>
      <c r="W49" s="49">
        <f t="shared" si="5"/>
        <v>4</v>
      </c>
      <c r="X49" s="50">
        <f t="shared" si="6"/>
        <v>1.8815999999999999</v>
      </c>
      <c r="Y49" s="238">
        <v>10</v>
      </c>
      <c r="Z49" s="101">
        <v>20</v>
      </c>
    </row>
    <row r="50" spans="1:26" x14ac:dyDescent="0.25">
      <c r="A50" s="264">
        <v>46</v>
      </c>
      <c r="B50" s="256" t="s">
        <v>175</v>
      </c>
      <c r="C50" s="34">
        <v>140</v>
      </c>
      <c r="D50" s="34">
        <v>240</v>
      </c>
      <c r="E50" s="34">
        <v>12</v>
      </c>
      <c r="F50" s="19">
        <f t="shared" si="2"/>
        <v>0.4032</v>
      </c>
      <c r="G50" s="34">
        <v>9</v>
      </c>
      <c r="H50" s="26">
        <f t="shared" si="3"/>
        <v>3.6288</v>
      </c>
      <c r="I50" s="21">
        <v>1</v>
      </c>
      <c r="J50" s="205">
        <f t="shared" si="0"/>
        <v>0.4032</v>
      </c>
      <c r="K50" s="21">
        <v>2</v>
      </c>
      <c r="L50" s="205">
        <f t="shared" si="16"/>
        <v>0.80640000000000001</v>
      </c>
      <c r="M50" s="21">
        <v>1</v>
      </c>
      <c r="N50" s="205">
        <f t="shared" si="17"/>
        <v>0.4032</v>
      </c>
      <c r="O50" s="21">
        <v>0</v>
      </c>
      <c r="P50" s="205">
        <f t="shared" si="18"/>
        <v>0</v>
      </c>
      <c r="Q50" s="21">
        <v>0</v>
      </c>
      <c r="R50" s="205">
        <f t="shared" si="19"/>
        <v>0</v>
      </c>
      <c r="S50" s="39">
        <f t="shared" si="7"/>
        <v>5</v>
      </c>
      <c r="T50" s="38">
        <f t="shared" si="1"/>
        <v>2.016</v>
      </c>
      <c r="U50" s="21">
        <v>0</v>
      </c>
      <c r="V50" s="13">
        <f t="shared" si="4"/>
        <v>0</v>
      </c>
      <c r="W50" s="49">
        <f t="shared" si="5"/>
        <v>5</v>
      </c>
      <c r="X50" s="50">
        <f t="shared" si="6"/>
        <v>2.016</v>
      </c>
      <c r="Y50" s="238">
        <v>10</v>
      </c>
      <c r="Z50" s="101">
        <v>20</v>
      </c>
    </row>
    <row r="51" spans="1:26" x14ac:dyDescent="0.25">
      <c r="A51" s="264">
        <v>47</v>
      </c>
      <c r="B51" s="256" t="s">
        <v>176</v>
      </c>
      <c r="C51" s="34">
        <v>130</v>
      </c>
      <c r="D51" s="34">
        <v>60</v>
      </c>
      <c r="E51" s="34">
        <v>5</v>
      </c>
      <c r="F51" s="19">
        <f t="shared" si="2"/>
        <v>3.9E-2</v>
      </c>
      <c r="G51" s="34">
        <v>162</v>
      </c>
      <c r="H51" s="26">
        <f t="shared" si="3"/>
        <v>6.3179999999999996</v>
      </c>
      <c r="I51" s="21">
        <v>0</v>
      </c>
      <c r="J51" s="205">
        <f t="shared" si="0"/>
        <v>0</v>
      </c>
      <c r="K51" s="21">
        <v>0</v>
      </c>
      <c r="L51" s="205">
        <f t="shared" si="16"/>
        <v>0</v>
      </c>
      <c r="M51" s="21">
        <v>0</v>
      </c>
      <c r="N51" s="205">
        <f t="shared" si="17"/>
        <v>0</v>
      </c>
      <c r="O51" s="21">
        <v>0</v>
      </c>
      <c r="P51" s="205">
        <f t="shared" si="18"/>
        <v>0</v>
      </c>
      <c r="Q51" s="21">
        <v>0</v>
      </c>
      <c r="R51" s="205">
        <f t="shared" si="19"/>
        <v>0</v>
      </c>
      <c r="S51" s="39">
        <f t="shared" si="7"/>
        <v>162</v>
      </c>
      <c r="T51" s="38">
        <f t="shared" si="1"/>
        <v>6.3179999999999996</v>
      </c>
      <c r="U51" s="21">
        <v>0</v>
      </c>
      <c r="V51" s="13">
        <f t="shared" si="4"/>
        <v>0</v>
      </c>
      <c r="W51" s="49">
        <f t="shared" si="5"/>
        <v>162</v>
      </c>
      <c r="X51" s="50">
        <f t="shared" si="6"/>
        <v>6.3179999999999996</v>
      </c>
      <c r="Y51" s="238">
        <v>30</v>
      </c>
      <c r="Z51" s="101">
        <v>100</v>
      </c>
    </row>
    <row r="52" spans="1:26" x14ac:dyDescent="0.25">
      <c r="A52" s="264">
        <v>48</v>
      </c>
      <c r="B52" s="256" t="s">
        <v>178</v>
      </c>
      <c r="C52" s="34">
        <v>140</v>
      </c>
      <c r="D52" s="34">
        <v>240</v>
      </c>
      <c r="E52" s="34">
        <v>3</v>
      </c>
      <c r="F52" s="19">
        <f t="shared" si="2"/>
        <v>0.1008</v>
      </c>
      <c r="G52" s="34">
        <v>1277</v>
      </c>
      <c r="H52" s="26">
        <f t="shared" si="3"/>
        <v>128.7216</v>
      </c>
      <c r="I52" s="21">
        <v>16</v>
      </c>
      <c r="J52" s="205">
        <f t="shared" si="0"/>
        <v>1.6128</v>
      </c>
      <c r="K52" s="21">
        <v>7</v>
      </c>
      <c r="L52" s="205">
        <f t="shared" si="16"/>
        <v>0.7056</v>
      </c>
      <c r="M52" s="21">
        <v>9</v>
      </c>
      <c r="N52" s="205">
        <f t="shared" si="17"/>
        <v>0.90720000000000001</v>
      </c>
      <c r="O52" s="21">
        <v>0</v>
      </c>
      <c r="P52" s="205">
        <f t="shared" si="18"/>
        <v>0</v>
      </c>
      <c r="Q52" s="21">
        <v>5</v>
      </c>
      <c r="R52" s="205">
        <f t="shared" si="19"/>
        <v>0.504</v>
      </c>
      <c r="S52" s="39">
        <f t="shared" si="7"/>
        <v>1240</v>
      </c>
      <c r="T52" s="38">
        <f t="shared" si="1"/>
        <v>124.992</v>
      </c>
      <c r="U52" s="21">
        <v>0</v>
      </c>
      <c r="V52" s="13">
        <f t="shared" si="4"/>
        <v>0</v>
      </c>
      <c r="W52" s="49">
        <f t="shared" si="5"/>
        <v>1240</v>
      </c>
      <c r="X52" s="50">
        <f t="shared" si="6"/>
        <v>124.992</v>
      </c>
      <c r="Y52" s="238">
        <v>100</v>
      </c>
      <c r="Z52" s="101">
        <v>300</v>
      </c>
    </row>
    <row r="53" spans="1:26" x14ac:dyDescent="0.25">
      <c r="A53" s="264">
        <v>49</v>
      </c>
      <c r="B53" s="256" t="s">
        <v>87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26">
        <f t="shared" si="3"/>
        <v>0</v>
      </c>
      <c r="I53" s="21">
        <v>0</v>
      </c>
      <c r="J53" s="205">
        <f t="shared" si="0"/>
        <v>0</v>
      </c>
      <c r="K53" s="21">
        <v>0</v>
      </c>
      <c r="L53" s="205">
        <f t="shared" si="0"/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39">
        <f t="shared" si="7"/>
        <v>0</v>
      </c>
      <c r="T53" s="38">
        <f t="shared" si="1"/>
        <v>0</v>
      </c>
      <c r="U53" s="21">
        <v>0</v>
      </c>
      <c r="V53" s="13">
        <f t="shared" si="4"/>
        <v>0</v>
      </c>
      <c r="W53" s="49">
        <f t="shared" si="5"/>
        <v>0</v>
      </c>
      <c r="X53" s="50">
        <f t="shared" si="6"/>
        <v>0</v>
      </c>
      <c r="Y53" s="238">
        <v>0</v>
      </c>
      <c r="Z53" s="101">
        <v>0</v>
      </c>
    </row>
    <row r="54" spans="1:26" x14ac:dyDescent="0.25">
      <c r="A54" s="264">
        <v>50</v>
      </c>
      <c r="B54" s="256" t="s">
        <v>87</v>
      </c>
      <c r="C54" s="34">
        <v>0</v>
      </c>
      <c r="D54" s="34">
        <v>0</v>
      </c>
      <c r="E54" s="34">
        <v>0</v>
      </c>
      <c r="F54" s="34">
        <v>0</v>
      </c>
      <c r="G54" s="34">
        <v>0</v>
      </c>
      <c r="H54" s="26">
        <f t="shared" si="3"/>
        <v>0</v>
      </c>
      <c r="I54" s="21">
        <v>0</v>
      </c>
      <c r="J54" s="205">
        <f t="shared" si="0"/>
        <v>0</v>
      </c>
      <c r="K54" s="21">
        <v>0</v>
      </c>
      <c r="L54" s="205">
        <f t="shared" si="0"/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39">
        <f t="shared" si="7"/>
        <v>0</v>
      </c>
      <c r="T54" s="38">
        <f t="shared" si="1"/>
        <v>0</v>
      </c>
      <c r="U54" s="21">
        <v>0</v>
      </c>
      <c r="V54" s="13">
        <f t="shared" si="4"/>
        <v>0</v>
      </c>
      <c r="W54" s="49">
        <f t="shared" si="5"/>
        <v>0</v>
      </c>
      <c r="X54" s="50">
        <f t="shared" si="6"/>
        <v>0</v>
      </c>
      <c r="Y54" s="238">
        <v>0</v>
      </c>
      <c r="Z54" s="101">
        <v>0</v>
      </c>
    </row>
    <row r="55" spans="1:26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6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6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6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6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6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6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6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6" x14ac:dyDescent="0.2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6" x14ac:dyDescent="0.2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</sheetData>
  <mergeCells count="24">
    <mergeCell ref="S4:T4"/>
    <mergeCell ref="U4:V4"/>
    <mergeCell ref="W4:X4"/>
    <mergeCell ref="G4:H4"/>
    <mergeCell ref="I4:J4"/>
    <mergeCell ref="K4:L4"/>
    <mergeCell ref="M4:N4"/>
    <mergeCell ref="O4:P4"/>
    <mergeCell ref="Q4:R4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C1:H1"/>
    <mergeCell ref="G2:H3"/>
    <mergeCell ref="I2:J2"/>
    <mergeCell ref="K2:L2"/>
    <mergeCell ref="M2:N2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Z78"/>
  <sheetViews>
    <sheetView topLeftCell="B10" workbookViewId="0">
      <selection activeCell="Q45" sqref="Q45"/>
    </sheetView>
  </sheetViews>
  <sheetFormatPr defaultRowHeight="15" x14ac:dyDescent="0.25"/>
  <cols>
    <col min="1" max="1" width="5" customWidth="1"/>
    <col min="2" max="2" width="29.140625" style="3" customWidth="1"/>
    <col min="3" max="3" width="8.140625" style="2" hidden="1" customWidth="1"/>
    <col min="4" max="4" width="11.140625" style="2" hidden="1" customWidth="1"/>
    <col min="5" max="5" width="13.85546875" style="2" hidden="1" customWidth="1"/>
    <col min="6" max="6" width="17.28515625" style="4" hidden="1" customWidth="1"/>
    <col min="7" max="7" width="8.7109375" style="5" customWidth="1"/>
    <col min="8" max="8" width="9" style="5" customWidth="1"/>
    <col min="9" max="18" width="8.140625" style="2" customWidth="1"/>
    <col min="19" max="19" width="0.140625" style="2" customWidth="1"/>
    <col min="20" max="20" width="8.140625" style="2" hidden="1" customWidth="1"/>
    <col min="21" max="21" width="9.42578125" customWidth="1"/>
    <col min="22" max="22" width="11.7109375" customWidth="1"/>
    <col min="25" max="25" width="10.28515625" customWidth="1"/>
  </cols>
  <sheetData>
    <row r="1" spans="1:26" ht="15.75" thickBot="1" x14ac:dyDescent="0.3">
      <c r="B1" s="4" t="s">
        <v>18</v>
      </c>
      <c r="C1" s="384">
        <v>45413</v>
      </c>
      <c r="D1" s="320"/>
      <c r="E1" s="320"/>
      <c r="F1" s="320"/>
      <c r="G1" s="320"/>
      <c r="H1" s="320"/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45415</v>
      </c>
      <c r="J2" s="326"/>
      <c r="K2" s="327">
        <v>45422</v>
      </c>
      <c r="L2" s="328"/>
      <c r="M2" s="325">
        <v>45429</v>
      </c>
      <c r="N2" s="329"/>
      <c r="O2" s="327">
        <v>45436</v>
      </c>
      <c r="P2" s="346"/>
      <c r="Q2" s="325">
        <v>45443</v>
      </c>
      <c r="R2" s="329"/>
      <c r="S2" s="330" t="s">
        <v>69</v>
      </c>
      <c r="T2" s="331"/>
      <c r="U2" s="334" t="s">
        <v>70</v>
      </c>
      <c r="V2" s="335"/>
      <c r="W2" s="338" t="s">
        <v>71</v>
      </c>
      <c r="X2" s="339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40"/>
      <c r="X3" s="341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51" t="s">
        <v>63</v>
      </c>
      <c r="X4" s="352"/>
      <c r="Y4" s="268" t="s">
        <v>179</v>
      </c>
      <c r="Z4" s="269" t="s">
        <v>99</v>
      </c>
    </row>
    <row r="5" spans="1:26" x14ac:dyDescent="0.25">
      <c r="A5" s="263">
        <v>1</v>
      </c>
      <c r="B5" s="256" t="s">
        <v>134</v>
      </c>
      <c r="C5" s="32">
        <v>70</v>
      </c>
      <c r="D5" s="33">
        <v>64</v>
      </c>
      <c r="E5" s="33">
        <v>8</v>
      </c>
      <c r="F5" s="15">
        <f>(C5*D5*E5)/1000000</f>
        <v>3.5839999999999997E-2</v>
      </c>
      <c r="G5" s="23">
        <v>647</v>
      </c>
      <c r="H5" s="24">
        <f>F5*G5</f>
        <v>23.188479999999998</v>
      </c>
      <c r="I5" s="21">
        <v>26</v>
      </c>
      <c r="J5" s="205">
        <f t="shared" ref="J5:R54" si="0">F5*I5</f>
        <v>0.93183999999999989</v>
      </c>
      <c r="K5" s="21">
        <v>62</v>
      </c>
      <c r="L5" s="205">
        <f>F5*K5</f>
        <v>2.2220799999999996</v>
      </c>
      <c r="M5" s="21">
        <v>22</v>
      </c>
      <c r="N5" s="205">
        <f>F5*M5</f>
        <v>0.78847999999999996</v>
      </c>
      <c r="O5" s="21">
        <v>0</v>
      </c>
      <c r="P5" s="205">
        <f>F5*O5</f>
        <v>0</v>
      </c>
      <c r="Q5" s="21">
        <v>21</v>
      </c>
      <c r="R5" s="205">
        <f>F5*Q5</f>
        <v>0.75263999999999998</v>
      </c>
      <c r="S5" s="39">
        <f>G5-I5-K5-M5-O5-Q5</f>
        <v>516</v>
      </c>
      <c r="T5" s="38">
        <f t="shared" ref="T5:T54" si="1">F5*S5</f>
        <v>18.49344</v>
      </c>
      <c r="U5" s="21">
        <v>0</v>
      </c>
      <c r="V5" s="13">
        <f>F5*U5</f>
        <v>0</v>
      </c>
      <c r="W5" s="49">
        <f>S5+U5</f>
        <v>516</v>
      </c>
      <c r="X5" s="50">
        <f>F5*W5</f>
        <v>18.49344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135</v>
      </c>
      <c r="C6" s="34">
        <v>70</v>
      </c>
      <c r="D6" s="35">
        <v>80</v>
      </c>
      <c r="E6" s="35">
        <v>8</v>
      </c>
      <c r="F6" s="19">
        <f t="shared" ref="F6:F52" si="2">(C6*D6*E6)/1000000</f>
        <v>4.48E-2</v>
      </c>
      <c r="G6" s="23">
        <v>658</v>
      </c>
      <c r="H6" s="26">
        <f t="shared" ref="H6:H54" si="3">F6*G6</f>
        <v>29.478400000000001</v>
      </c>
      <c r="I6" s="21">
        <v>30</v>
      </c>
      <c r="J6" s="205">
        <f t="shared" si="0"/>
        <v>1.3440000000000001</v>
      </c>
      <c r="K6" s="21">
        <v>70</v>
      </c>
      <c r="L6" s="205">
        <f>F6*K6</f>
        <v>3.1360000000000001</v>
      </c>
      <c r="M6" s="21">
        <v>44</v>
      </c>
      <c r="N6" s="205">
        <f>F6*M6</f>
        <v>1.9712000000000001</v>
      </c>
      <c r="O6" s="21">
        <v>0</v>
      </c>
      <c r="P6" s="205">
        <f>F6*O6</f>
        <v>0</v>
      </c>
      <c r="Q6" s="21">
        <v>22</v>
      </c>
      <c r="R6" s="205">
        <f>F6*Q6</f>
        <v>0.98560000000000003</v>
      </c>
      <c r="S6" s="39">
        <f>G6-I6-K6-M6-O6-Q6</f>
        <v>492</v>
      </c>
      <c r="T6" s="38">
        <f t="shared" si="1"/>
        <v>22.041599999999999</v>
      </c>
      <c r="U6" s="21">
        <v>0</v>
      </c>
      <c r="V6" s="13">
        <f t="shared" ref="V6:V54" si="4">F6*U6</f>
        <v>0</v>
      </c>
      <c r="W6" s="49">
        <f t="shared" ref="W6:W54" si="5">S6+U6</f>
        <v>492</v>
      </c>
      <c r="X6" s="50">
        <f t="shared" ref="X6:X54" si="6">F6*W6</f>
        <v>22.041599999999999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136</v>
      </c>
      <c r="C7" s="34">
        <v>70</v>
      </c>
      <c r="D7" s="35">
        <v>74</v>
      </c>
      <c r="E7" s="35">
        <v>8</v>
      </c>
      <c r="F7" s="19">
        <f t="shared" si="2"/>
        <v>4.1439999999999998E-2</v>
      </c>
      <c r="G7" s="23">
        <v>808</v>
      </c>
      <c r="H7" s="26">
        <f t="shared" si="3"/>
        <v>33.483519999999999</v>
      </c>
      <c r="I7" s="21">
        <v>47</v>
      </c>
      <c r="J7" s="205">
        <f t="shared" si="0"/>
        <v>1.9476799999999999</v>
      </c>
      <c r="K7" s="21">
        <v>147</v>
      </c>
      <c r="L7" s="205">
        <f>F7*K7</f>
        <v>6.0916799999999993</v>
      </c>
      <c r="M7" s="21">
        <v>41</v>
      </c>
      <c r="N7" s="205">
        <f>F7*M7</f>
        <v>1.6990399999999999</v>
      </c>
      <c r="O7" s="21">
        <v>0</v>
      </c>
      <c r="P7" s="205">
        <f>F7*O7</f>
        <v>0</v>
      </c>
      <c r="Q7" s="21">
        <v>42</v>
      </c>
      <c r="R7" s="205">
        <f>F7*Q7</f>
        <v>1.7404799999999998</v>
      </c>
      <c r="S7" s="39">
        <f t="shared" ref="S7:S54" si="7">G7-I7-K7-M7-O7-Q7</f>
        <v>531</v>
      </c>
      <c r="T7" s="38">
        <f t="shared" si="1"/>
        <v>22.004639999999998</v>
      </c>
      <c r="U7" s="21">
        <v>0</v>
      </c>
      <c r="V7" s="13">
        <f t="shared" si="4"/>
        <v>0</v>
      </c>
      <c r="W7" s="49">
        <f t="shared" si="5"/>
        <v>531</v>
      </c>
      <c r="X7" s="50">
        <f t="shared" si="6"/>
        <v>22.004639999999998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137</v>
      </c>
      <c r="C8" s="34">
        <v>80</v>
      </c>
      <c r="D8" s="35">
        <v>64</v>
      </c>
      <c r="E8" s="35">
        <v>5</v>
      </c>
      <c r="F8" s="19">
        <f t="shared" si="2"/>
        <v>2.5600000000000001E-2</v>
      </c>
      <c r="G8" s="23">
        <v>100</v>
      </c>
      <c r="H8" s="26">
        <f t="shared" si="3"/>
        <v>2.56</v>
      </c>
      <c r="I8" s="21">
        <v>0</v>
      </c>
      <c r="J8" s="205">
        <f t="shared" si="0"/>
        <v>0</v>
      </c>
      <c r="K8" s="21">
        <v>0</v>
      </c>
      <c r="L8" s="205">
        <f>F8*K8</f>
        <v>0</v>
      </c>
      <c r="M8" s="21">
        <v>0</v>
      </c>
      <c r="N8" s="205">
        <f>F8*M8</f>
        <v>0</v>
      </c>
      <c r="O8" s="21">
        <v>0</v>
      </c>
      <c r="P8" s="205">
        <f>F8*O8</f>
        <v>0</v>
      </c>
      <c r="Q8" s="21">
        <v>0</v>
      </c>
      <c r="R8" s="205">
        <f>F8*Q8</f>
        <v>0</v>
      </c>
      <c r="S8" s="39">
        <f t="shared" si="7"/>
        <v>100</v>
      </c>
      <c r="T8" s="38">
        <f t="shared" si="1"/>
        <v>2.56</v>
      </c>
      <c r="U8" s="21">
        <v>0</v>
      </c>
      <c r="V8" s="13">
        <f t="shared" si="4"/>
        <v>0</v>
      </c>
      <c r="W8" s="49">
        <f t="shared" si="5"/>
        <v>100</v>
      </c>
      <c r="X8" s="50">
        <f t="shared" si="6"/>
        <v>2.56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138</v>
      </c>
      <c r="C9" s="34">
        <v>140</v>
      </c>
      <c r="D9" s="35">
        <v>240</v>
      </c>
      <c r="E9" s="35">
        <v>5</v>
      </c>
      <c r="F9" s="19">
        <f t="shared" si="2"/>
        <v>0.16800000000000001</v>
      </c>
      <c r="G9" s="23">
        <v>115</v>
      </c>
      <c r="H9" s="26">
        <f t="shared" si="3"/>
        <v>19.32</v>
      </c>
      <c r="I9" s="21">
        <v>12</v>
      </c>
      <c r="J9" s="205">
        <f t="shared" si="0"/>
        <v>2.016</v>
      </c>
      <c r="K9" s="21">
        <v>4</v>
      </c>
      <c r="L9" s="205">
        <f>F9*K9</f>
        <v>0.67200000000000004</v>
      </c>
      <c r="M9" s="21">
        <v>31</v>
      </c>
      <c r="N9" s="205">
        <f>F9*M9</f>
        <v>5.2080000000000002</v>
      </c>
      <c r="O9" s="21">
        <v>0</v>
      </c>
      <c r="P9" s="205">
        <f>F9*O9</f>
        <v>0</v>
      </c>
      <c r="Q9" s="21">
        <v>21</v>
      </c>
      <c r="R9" s="205">
        <f>F9*Q9</f>
        <v>3.528</v>
      </c>
      <c r="S9" s="39">
        <f t="shared" si="7"/>
        <v>47</v>
      </c>
      <c r="T9" s="38">
        <f t="shared" si="1"/>
        <v>7.8960000000000008</v>
      </c>
      <c r="U9" s="21">
        <v>291</v>
      </c>
      <c r="V9" s="13">
        <f t="shared" si="4"/>
        <v>48.888000000000005</v>
      </c>
      <c r="W9" s="49">
        <f t="shared" si="5"/>
        <v>338</v>
      </c>
      <c r="X9" s="50">
        <f t="shared" si="6"/>
        <v>56.784000000000006</v>
      </c>
      <c r="Y9" s="238">
        <v>100</v>
      </c>
      <c r="Z9" s="101">
        <v>250</v>
      </c>
    </row>
    <row r="10" spans="1:26" x14ac:dyDescent="0.25">
      <c r="A10" s="264">
        <v>6</v>
      </c>
      <c r="B10" s="256" t="s">
        <v>139</v>
      </c>
      <c r="C10" s="34">
        <v>142</v>
      </c>
      <c r="D10" s="35">
        <v>67</v>
      </c>
      <c r="E10" s="35">
        <v>5</v>
      </c>
      <c r="F10" s="19">
        <f t="shared" si="2"/>
        <v>4.7570000000000001E-2</v>
      </c>
      <c r="G10" s="23">
        <v>8</v>
      </c>
      <c r="H10" s="26">
        <f t="shared" si="3"/>
        <v>0.38056000000000001</v>
      </c>
      <c r="I10" s="21">
        <v>0</v>
      </c>
      <c r="J10" s="205">
        <f t="shared" si="0"/>
        <v>0</v>
      </c>
      <c r="K10" s="21">
        <v>0</v>
      </c>
      <c r="L10" s="205">
        <f t="shared" si="0"/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39">
        <f t="shared" si="7"/>
        <v>8</v>
      </c>
      <c r="T10" s="38">
        <f t="shared" si="1"/>
        <v>0.38056000000000001</v>
      </c>
      <c r="U10" s="21">
        <v>0</v>
      </c>
      <c r="V10" s="13">
        <f t="shared" si="4"/>
        <v>0</v>
      </c>
      <c r="W10" s="49">
        <f t="shared" si="5"/>
        <v>8</v>
      </c>
      <c r="X10" s="50">
        <f t="shared" si="6"/>
        <v>0.38056000000000001</v>
      </c>
      <c r="Y10" s="238">
        <v>75</v>
      </c>
      <c r="Z10" s="101">
        <v>250</v>
      </c>
    </row>
    <row r="11" spans="1:26" x14ac:dyDescent="0.25">
      <c r="A11" s="264">
        <v>7</v>
      </c>
      <c r="B11" s="256" t="s">
        <v>140</v>
      </c>
      <c r="C11" s="34">
        <v>63</v>
      </c>
      <c r="D11" s="35">
        <v>60</v>
      </c>
      <c r="E11" s="35">
        <v>5</v>
      </c>
      <c r="F11" s="19">
        <f t="shared" si="2"/>
        <v>1.89E-2</v>
      </c>
      <c r="G11" s="23">
        <v>0</v>
      </c>
      <c r="H11" s="26">
        <f t="shared" si="3"/>
        <v>0</v>
      </c>
      <c r="I11" s="21">
        <v>0</v>
      </c>
      <c r="J11" s="205">
        <f t="shared" si="0"/>
        <v>0</v>
      </c>
      <c r="K11" s="21">
        <v>0</v>
      </c>
      <c r="L11" s="205">
        <f t="shared" si="0"/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39">
        <f t="shared" si="7"/>
        <v>0</v>
      </c>
      <c r="T11" s="38">
        <f t="shared" si="1"/>
        <v>0</v>
      </c>
      <c r="U11" s="21">
        <v>0</v>
      </c>
      <c r="V11" s="13">
        <f t="shared" si="4"/>
        <v>0</v>
      </c>
      <c r="W11" s="49">
        <f t="shared" si="5"/>
        <v>0</v>
      </c>
      <c r="X11" s="50">
        <f t="shared" si="6"/>
        <v>0</v>
      </c>
      <c r="Y11" s="238">
        <v>50</v>
      </c>
      <c r="Z11" s="101">
        <v>100</v>
      </c>
    </row>
    <row r="12" spans="1:26" x14ac:dyDescent="0.25">
      <c r="A12" s="264">
        <v>8</v>
      </c>
      <c r="B12" s="256" t="s">
        <v>141</v>
      </c>
      <c r="C12" s="34">
        <v>52</v>
      </c>
      <c r="D12" s="35">
        <v>52</v>
      </c>
      <c r="E12" s="35">
        <v>5</v>
      </c>
      <c r="F12" s="19">
        <f t="shared" si="2"/>
        <v>1.3520000000000001E-2</v>
      </c>
      <c r="G12" s="23">
        <v>0</v>
      </c>
      <c r="H12" s="26">
        <f t="shared" si="3"/>
        <v>0</v>
      </c>
      <c r="I12" s="21">
        <v>0</v>
      </c>
      <c r="J12" s="205">
        <f t="shared" si="0"/>
        <v>0</v>
      </c>
      <c r="K12" s="21">
        <v>0</v>
      </c>
      <c r="L12" s="205">
        <f>F12*K12</f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39">
        <f t="shared" si="7"/>
        <v>0</v>
      </c>
      <c r="T12" s="38">
        <f t="shared" si="1"/>
        <v>0</v>
      </c>
      <c r="U12" s="21">
        <v>0</v>
      </c>
      <c r="V12" s="13">
        <f t="shared" si="4"/>
        <v>0</v>
      </c>
      <c r="W12" s="49">
        <f t="shared" si="5"/>
        <v>0</v>
      </c>
      <c r="X12" s="50">
        <f t="shared" si="6"/>
        <v>0</v>
      </c>
      <c r="Y12" s="238">
        <v>50</v>
      </c>
      <c r="Z12" s="101">
        <v>100</v>
      </c>
    </row>
    <row r="13" spans="1:26" x14ac:dyDescent="0.25">
      <c r="A13" s="264">
        <v>9</v>
      </c>
      <c r="B13" s="256" t="s">
        <v>142</v>
      </c>
      <c r="C13" s="34">
        <v>140</v>
      </c>
      <c r="D13" s="35">
        <v>240</v>
      </c>
      <c r="E13" s="35">
        <v>5</v>
      </c>
      <c r="F13" s="19">
        <f t="shared" si="2"/>
        <v>0.16800000000000001</v>
      </c>
      <c r="G13" s="23">
        <v>162</v>
      </c>
      <c r="H13" s="26">
        <f t="shared" si="3"/>
        <v>27.216000000000001</v>
      </c>
      <c r="I13" s="21">
        <v>8</v>
      </c>
      <c r="J13" s="205">
        <f t="shared" si="0"/>
        <v>1.3440000000000001</v>
      </c>
      <c r="K13" s="21">
        <v>4</v>
      </c>
      <c r="L13" s="205">
        <f>F13*K13</f>
        <v>0.67200000000000004</v>
      </c>
      <c r="M13" s="21">
        <v>9</v>
      </c>
      <c r="N13" s="205">
        <f>F13*M13</f>
        <v>1.512</v>
      </c>
      <c r="O13" s="21">
        <v>0</v>
      </c>
      <c r="P13" s="205">
        <f>F13*O13</f>
        <v>0</v>
      </c>
      <c r="Q13" s="21">
        <v>10</v>
      </c>
      <c r="R13" s="205">
        <f>F13*Q13</f>
        <v>1.6800000000000002</v>
      </c>
      <c r="S13" s="39">
        <f t="shared" si="7"/>
        <v>131</v>
      </c>
      <c r="T13" s="38">
        <f t="shared" si="1"/>
        <v>22.008000000000003</v>
      </c>
      <c r="U13" s="21">
        <v>0</v>
      </c>
      <c r="V13" s="13">
        <f t="shared" si="4"/>
        <v>0</v>
      </c>
      <c r="W13" s="49">
        <f t="shared" si="5"/>
        <v>131</v>
      </c>
      <c r="X13" s="50">
        <f t="shared" si="6"/>
        <v>22.008000000000003</v>
      </c>
      <c r="Y13" s="238">
        <v>100</v>
      </c>
      <c r="Z13" s="101">
        <v>300</v>
      </c>
    </row>
    <row r="14" spans="1:26" x14ac:dyDescent="0.25">
      <c r="A14" s="264">
        <v>10</v>
      </c>
      <c r="B14" s="256" t="s">
        <v>143</v>
      </c>
      <c r="C14" s="34">
        <v>90</v>
      </c>
      <c r="D14" s="35">
        <v>85</v>
      </c>
      <c r="E14" s="35">
        <v>5</v>
      </c>
      <c r="F14" s="19">
        <f t="shared" si="2"/>
        <v>3.8249999999999999E-2</v>
      </c>
      <c r="G14" s="23">
        <v>56</v>
      </c>
      <c r="H14" s="26">
        <f t="shared" si="3"/>
        <v>2.1419999999999999</v>
      </c>
      <c r="I14" s="21">
        <v>0</v>
      </c>
      <c r="J14" s="205">
        <f t="shared" si="0"/>
        <v>0</v>
      </c>
      <c r="K14" s="21">
        <v>0</v>
      </c>
      <c r="L14" s="205">
        <f t="shared" ref="L14:L20" si="8">F14*K14</f>
        <v>0</v>
      </c>
      <c r="M14" s="21">
        <v>0</v>
      </c>
      <c r="N14" s="205">
        <f t="shared" si="0"/>
        <v>0</v>
      </c>
      <c r="O14" s="21">
        <v>0</v>
      </c>
      <c r="P14" s="205">
        <f t="shared" si="0"/>
        <v>0</v>
      </c>
      <c r="Q14" s="21">
        <v>0</v>
      </c>
      <c r="R14" s="205">
        <f t="shared" si="0"/>
        <v>0</v>
      </c>
      <c r="S14" s="39">
        <f t="shared" si="7"/>
        <v>56</v>
      </c>
      <c r="T14" s="38">
        <f t="shared" si="1"/>
        <v>2.1419999999999999</v>
      </c>
      <c r="U14" s="21">
        <v>0</v>
      </c>
      <c r="V14" s="13">
        <f t="shared" si="4"/>
        <v>0</v>
      </c>
      <c r="W14" s="49">
        <f t="shared" si="5"/>
        <v>56</v>
      </c>
      <c r="X14" s="50">
        <f t="shared" si="6"/>
        <v>2.1419999999999999</v>
      </c>
      <c r="Y14" s="238">
        <v>50</v>
      </c>
      <c r="Z14" s="101">
        <v>100</v>
      </c>
    </row>
    <row r="15" spans="1:26" x14ac:dyDescent="0.25">
      <c r="A15" s="264">
        <v>11</v>
      </c>
      <c r="B15" s="256" t="s">
        <v>144</v>
      </c>
      <c r="C15" s="34">
        <v>140</v>
      </c>
      <c r="D15" s="35">
        <v>240</v>
      </c>
      <c r="E15" s="35">
        <v>5</v>
      </c>
      <c r="F15" s="19">
        <f t="shared" si="2"/>
        <v>0.16800000000000001</v>
      </c>
      <c r="G15" s="23">
        <v>91</v>
      </c>
      <c r="H15" s="26">
        <f t="shared" si="3"/>
        <v>15.288</v>
      </c>
      <c r="I15" s="21">
        <v>2</v>
      </c>
      <c r="J15" s="205">
        <f t="shared" si="0"/>
        <v>0.33600000000000002</v>
      </c>
      <c r="K15" s="21">
        <v>3</v>
      </c>
      <c r="L15" s="205">
        <f t="shared" si="8"/>
        <v>0.504</v>
      </c>
      <c r="M15" s="21">
        <v>0</v>
      </c>
      <c r="N15" s="205">
        <f t="shared" ref="N15:N20" si="9">F15*M15</f>
        <v>0</v>
      </c>
      <c r="O15" s="21">
        <v>0</v>
      </c>
      <c r="P15" s="205">
        <f t="shared" ref="P15:P20" si="10">F15*O15</f>
        <v>0</v>
      </c>
      <c r="Q15" s="21">
        <v>0</v>
      </c>
      <c r="R15" s="205">
        <f t="shared" ref="R15:R20" si="11">F15*Q15</f>
        <v>0</v>
      </c>
      <c r="S15" s="39">
        <f t="shared" si="7"/>
        <v>86</v>
      </c>
      <c r="T15" s="38">
        <f t="shared" si="1"/>
        <v>14.448</v>
      </c>
      <c r="U15" s="21">
        <v>0</v>
      </c>
      <c r="V15" s="13">
        <f t="shared" si="4"/>
        <v>0</v>
      </c>
      <c r="W15" s="49">
        <f t="shared" si="5"/>
        <v>86</v>
      </c>
      <c r="X15" s="50">
        <f t="shared" si="6"/>
        <v>14.448</v>
      </c>
      <c r="Y15" s="238">
        <v>200</v>
      </c>
      <c r="Z15" s="101">
        <v>400</v>
      </c>
    </row>
    <row r="16" spans="1:26" x14ac:dyDescent="0.25">
      <c r="A16" s="264">
        <v>12</v>
      </c>
      <c r="B16" s="256" t="s">
        <v>145</v>
      </c>
      <c r="C16" s="34">
        <v>140</v>
      </c>
      <c r="D16" s="35">
        <v>240</v>
      </c>
      <c r="E16" s="35">
        <v>5</v>
      </c>
      <c r="F16" s="19">
        <f t="shared" si="2"/>
        <v>0.16800000000000001</v>
      </c>
      <c r="G16" s="23">
        <v>137</v>
      </c>
      <c r="H16" s="26">
        <f t="shared" si="3"/>
        <v>23.016000000000002</v>
      </c>
      <c r="I16" s="21">
        <v>6</v>
      </c>
      <c r="J16" s="205">
        <f t="shared" si="0"/>
        <v>1.008</v>
      </c>
      <c r="K16" s="21">
        <v>15</v>
      </c>
      <c r="L16" s="205">
        <f t="shared" si="8"/>
        <v>2.52</v>
      </c>
      <c r="M16" s="21">
        <v>4</v>
      </c>
      <c r="N16" s="205">
        <f t="shared" si="9"/>
        <v>0.67200000000000004</v>
      </c>
      <c r="O16" s="21">
        <v>0</v>
      </c>
      <c r="P16" s="205">
        <f t="shared" si="10"/>
        <v>0</v>
      </c>
      <c r="Q16" s="21">
        <v>6</v>
      </c>
      <c r="R16" s="205">
        <f t="shared" si="11"/>
        <v>1.008</v>
      </c>
      <c r="S16" s="39">
        <f t="shared" si="7"/>
        <v>106</v>
      </c>
      <c r="T16" s="38">
        <f t="shared" si="1"/>
        <v>17.808</v>
      </c>
      <c r="U16" s="21">
        <v>0</v>
      </c>
      <c r="V16" s="13">
        <f t="shared" si="4"/>
        <v>0</v>
      </c>
      <c r="W16" s="49">
        <f t="shared" si="5"/>
        <v>106</v>
      </c>
      <c r="X16" s="50">
        <f t="shared" si="6"/>
        <v>17.808</v>
      </c>
      <c r="Y16" s="238">
        <v>200</v>
      </c>
      <c r="Z16" s="101">
        <v>500</v>
      </c>
    </row>
    <row r="17" spans="1:26" x14ac:dyDescent="0.25">
      <c r="A17" s="264">
        <v>13</v>
      </c>
      <c r="B17" s="256" t="s">
        <v>146</v>
      </c>
      <c r="C17" s="34">
        <v>140</v>
      </c>
      <c r="D17" s="35">
        <v>240</v>
      </c>
      <c r="E17" s="35">
        <v>8</v>
      </c>
      <c r="F17" s="19">
        <f t="shared" si="2"/>
        <v>0.26879999999999998</v>
      </c>
      <c r="G17" s="23">
        <v>4</v>
      </c>
      <c r="H17" s="26">
        <f t="shared" si="3"/>
        <v>1.0751999999999999</v>
      </c>
      <c r="I17" s="21">
        <v>0</v>
      </c>
      <c r="J17" s="205">
        <f t="shared" si="0"/>
        <v>0</v>
      </c>
      <c r="K17" s="21">
        <v>0</v>
      </c>
      <c r="L17" s="205">
        <f t="shared" si="8"/>
        <v>0</v>
      </c>
      <c r="M17" s="21">
        <v>0</v>
      </c>
      <c r="N17" s="205">
        <f t="shared" si="9"/>
        <v>0</v>
      </c>
      <c r="O17" s="21">
        <v>0</v>
      </c>
      <c r="P17" s="205">
        <f t="shared" si="10"/>
        <v>0</v>
      </c>
      <c r="Q17" s="21">
        <v>0</v>
      </c>
      <c r="R17" s="205">
        <f t="shared" si="11"/>
        <v>0</v>
      </c>
      <c r="S17" s="39">
        <f t="shared" si="7"/>
        <v>4</v>
      </c>
      <c r="T17" s="38">
        <f t="shared" si="1"/>
        <v>1.0751999999999999</v>
      </c>
      <c r="U17" s="21">
        <v>0</v>
      </c>
      <c r="V17" s="13">
        <f t="shared" si="4"/>
        <v>0</v>
      </c>
      <c r="W17" s="49">
        <f t="shared" si="5"/>
        <v>4</v>
      </c>
      <c r="X17" s="50">
        <f t="shared" si="6"/>
        <v>1.0751999999999999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147</v>
      </c>
      <c r="C18" s="34">
        <v>77</v>
      </c>
      <c r="D18" s="35">
        <v>86</v>
      </c>
      <c r="E18" s="35">
        <v>8</v>
      </c>
      <c r="F18" s="19">
        <f t="shared" si="2"/>
        <v>5.2976000000000002E-2</v>
      </c>
      <c r="G18" s="23">
        <v>523</v>
      </c>
      <c r="H18" s="26">
        <f t="shared" si="3"/>
        <v>27.706448000000002</v>
      </c>
      <c r="I18" s="21">
        <v>30</v>
      </c>
      <c r="J18" s="205">
        <f t="shared" si="0"/>
        <v>1.58928</v>
      </c>
      <c r="K18" s="21">
        <v>70</v>
      </c>
      <c r="L18" s="205">
        <f t="shared" si="8"/>
        <v>3.7083200000000001</v>
      </c>
      <c r="M18" s="21">
        <v>44</v>
      </c>
      <c r="N18" s="205">
        <f t="shared" si="9"/>
        <v>2.3309440000000001</v>
      </c>
      <c r="O18" s="21">
        <v>0</v>
      </c>
      <c r="P18" s="205">
        <f t="shared" si="10"/>
        <v>0</v>
      </c>
      <c r="Q18" s="21">
        <v>22</v>
      </c>
      <c r="R18" s="205">
        <f t="shared" si="11"/>
        <v>1.1654720000000001</v>
      </c>
      <c r="S18" s="39">
        <f t="shared" si="7"/>
        <v>357</v>
      </c>
      <c r="T18" s="38">
        <f t="shared" si="1"/>
        <v>18.912432000000003</v>
      </c>
      <c r="U18" s="21">
        <v>0</v>
      </c>
      <c r="V18" s="13">
        <f t="shared" si="4"/>
        <v>0</v>
      </c>
      <c r="W18" s="49">
        <f t="shared" si="5"/>
        <v>357</v>
      </c>
      <c r="X18" s="50">
        <f t="shared" si="6"/>
        <v>18.912432000000003</v>
      </c>
      <c r="Y18" s="238">
        <v>100</v>
      </c>
      <c r="Z18" s="101">
        <v>300</v>
      </c>
    </row>
    <row r="19" spans="1:26" x14ac:dyDescent="0.25">
      <c r="A19" s="264">
        <v>15</v>
      </c>
      <c r="B19" s="256" t="s">
        <v>148</v>
      </c>
      <c r="C19" s="34">
        <v>77</v>
      </c>
      <c r="D19" s="35">
        <v>68</v>
      </c>
      <c r="E19" s="35">
        <v>8</v>
      </c>
      <c r="F19" s="19">
        <f t="shared" si="2"/>
        <v>4.1888000000000002E-2</v>
      </c>
      <c r="G19" s="23">
        <v>478</v>
      </c>
      <c r="H19" s="26">
        <f t="shared" si="3"/>
        <v>20.022463999999999</v>
      </c>
      <c r="I19" s="21">
        <v>19</v>
      </c>
      <c r="J19" s="205">
        <f t="shared" si="0"/>
        <v>0.79587200000000002</v>
      </c>
      <c r="K19" s="21">
        <v>63</v>
      </c>
      <c r="L19" s="205">
        <f t="shared" si="8"/>
        <v>2.638944</v>
      </c>
      <c r="M19" s="21">
        <v>22</v>
      </c>
      <c r="N19" s="205">
        <f t="shared" si="9"/>
        <v>0.92153600000000002</v>
      </c>
      <c r="O19" s="21">
        <v>0</v>
      </c>
      <c r="P19" s="205">
        <f t="shared" si="10"/>
        <v>0</v>
      </c>
      <c r="Q19" s="21">
        <v>21</v>
      </c>
      <c r="R19" s="205">
        <f t="shared" si="11"/>
        <v>0.87964799999999999</v>
      </c>
      <c r="S19" s="39">
        <f t="shared" si="7"/>
        <v>353</v>
      </c>
      <c r="T19" s="38">
        <f t="shared" si="1"/>
        <v>14.786464</v>
      </c>
      <c r="U19" s="21">
        <v>0</v>
      </c>
      <c r="V19" s="13">
        <f t="shared" si="4"/>
        <v>0</v>
      </c>
      <c r="W19" s="49">
        <f t="shared" si="5"/>
        <v>353</v>
      </c>
      <c r="X19" s="50">
        <f t="shared" si="6"/>
        <v>14.786464</v>
      </c>
      <c r="Y19" s="238">
        <v>100</v>
      </c>
      <c r="Z19" s="101">
        <v>300</v>
      </c>
    </row>
    <row r="20" spans="1:26" x14ac:dyDescent="0.25">
      <c r="A20" s="264">
        <v>16</v>
      </c>
      <c r="B20" s="256" t="s">
        <v>149</v>
      </c>
      <c r="C20" s="34">
        <v>76</v>
      </c>
      <c r="D20" s="35">
        <v>75</v>
      </c>
      <c r="E20" s="35">
        <v>8</v>
      </c>
      <c r="F20" s="19">
        <f t="shared" si="2"/>
        <v>4.5600000000000002E-2</v>
      </c>
      <c r="G20" s="23">
        <v>537</v>
      </c>
      <c r="H20" s="26">
        <f t="shared" si="3"/>
        <v>24.487200000000001</v>
      </c>
      <c r="I20" s="21">
        <v>50</v>
      </c>
      <c r="J20" s="205">
        <f t="shared" si="0"/>
        <v>2.2800000000000002</v>
      </c>
      <c r="K20" s="21">
        <v>128</v>
      </c>
      <c r="L20" s="205">
        <f t="shared" si="8"/>
        <v>5.8368000000000002</v>
      </c>
      <c r="M20" s="21">
        <v>44</v>
      </c>
      <c r="N20" s="205">
        <f t="shared" si="9"/>
        <v>2.0064000000000002</v>
      </c>
      <c r="O20" s="21">
        <v>0</v>
      </c>
      <c r="P20" s="205">
        <f t="shared" si="10"/>
        <v>0</v>
      </c>
      <c r="Q20" s="21">
        <v>42</v>
      </c>
      <c r="R20" s="205">
        <f t="shared" si="11"/>
        <v>1.9152</v>
      </c>
      <c r="S20" s="39">
        <f t="shared" si="7"/>
        <v>273</v>
      </c>
      <c r="T20" s="38">
        <f t="shared" si="1"/>
        <v>12.4488</v>
      </c>
      <c r="U20" s="21">
        <v>0</v>
      </c>
      <c r="V20" s="13">
        <f t="shared" si="4"/>
        <v>0</v>
      </c>
      <c r="W20" s="49">
        <f t="shared" si="5"/>
        <v>273</v>
      </c>
      <c r="X20" s="50">
        <f t="shared" si="6"/>
        <v>12.4488</v>
      </c>
      <c r="Y20" s="238">
        <v>100</v>
      </c>
      <c r="Z20" s="101">
        <v>300</v>
      </c>
    </row>
    <row r="21" spans="1:26" x14ac:dyDescent="0.25">
      <c r="A21" s="264">
        <v>17</v>
      </c>
      <c r="B21" s="256" t="s">
        <v>150</v>
      </c>
      <c r="C21" s="34">
        <v>60</v>
      </c>
      <c r="D21" s="35">
        <v>63</v>
      </c>
      <c r="E21" s="35">
        <v>10</v>
      </c>
      <c r="F21" s="19">
        <f t="shared" si="2"/>
        <v>3.78E-2</v>
      </c>
      <c r="G21" s="23">
        <v>263</v>
      </c>
      <c r="H21" s="26">
        <f t="shared" si="3"/>
        <v>9.9413999999999998</v>
      </c>
      <c r="I21" s="21">
        <v>0</v>
      </c>
      <c r="J21" s="205">
        <f t="shared" si="0"/>
        <v>0</v>
      </c>
      <c r="K21" s="21">
        <v>0</v>
      </c>
      <c r="L21" s="205">
        <f t="shared" si="0"/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39">
        <f t="shared" si="7"/>
        <v>263</v>
      </c>
      <c r="T21" s="38">
        <f t="shared" si="1"/>
        <v>9.9413999999999998</v>
      </c>
      <c r="U21" s="21">
        <v>546</v>
      </c>
      <c r="V21" s="13">
        <f t="shared" si="4"/>
        <v>20.6388</v>
      </c>
      <c r="W21" s="49">
        <f t="shared" si="5"/>
        <v>809</v>
      </c>
      <c r="X21" s="50">
        <f t="shared" si="6"/>
        <v>30.580200000000001</v>
      </c>
      <c r="Y21" s="238">
        <v>50</v>
      </c>
      <c r="Z21" s="101">
        <v>200</v>
      </c>
    </row>
    <row r="22" spans="1:26" x14ac:dyDescent="0.25">
      <c r="A22" s="264">
        <v>18</v>
      </c>
      <c r="B22" s="256" t="s">
        <v>151</v>
      </c>
      <c r="C22" s="34">
        <v>63</v>
      </c>
      <c r="D22" s="35">
        <v>60</v>
      </c>
      <c r="E22" s="35">
        <v>3</v>
      </c>
      <c r="F22" s="19">
        <f t="shared" si="2"/>
        <v>1.1339999999999999E-2</v>
      </c>
      <c r="G22" s="23">
        <v>16</v>
      </c>
      <c r="H22" s="26">
        <f t="shared" si="3"/>
        <v>0.18143999999999999</v>
      </c>
      <c r="I22" s="21">
        <v>0</v>
      </c>
      <c r="J22" s="205">
        <f t="shared" si="0"/>
        <v>0</v>
      </c>
      <c r="K22" s="21">
        <v>0</v>
      </c>
      <c r="L22" s="205">
        <f t="shared" si="0"/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39">
        <f t="shared" si="7"/>
        <v>16</v>
      </c>
      <c r="T22" s="38">
        <f t="shared" si="1"/>
        <v>0.18143999999999999</v>
      </c>
      <c r="U22" s="21">
        <v>0</v>
      </c>
      <c r="V22" s="13">
        <f t="shared" si="4"/>
        <v>0</v>
      </c>
      <c r="W22" s="49">
        <f t="shared" si="5"/>
        <v>16</v>
      </c>
      <c r="X22" s="50">
        <f t="shared" si="6"/>
        <v>0.18143999999999999</v>
      </c>
      <c r="Y22" s="238">
        <v>50</v>
      </c>
      <c r="Z22" s="101">
        <v>200</v>
      </c>
    </row>
    <row r="23" spans="1:26" x14ac:dyDescent="0.25">
      <c r="A23" s="264">
        <v>19</v>
      </c>
      <c r="B23" s="42" t="s">
        <v>152</v>
      </c>
      <c r="C23" s="34">
        <v>140</v>
      </c>
      <c r="D23" s="35">
        <v>240</v>
      </c>
      <c r="E23" s="35">
        <v>1.4</v>
      </c>
      <c r="F23" s="19">
        <f t="shared" si="2"/>
        <v>4.7039999999999998E-2</v>
      </c>
      <c r="G23" s="23">
        <v>1765</v>
      </c>
      <c r="H23" s="26">
        <f t="shared" si="3"/>
        <v>83.025599999999997</v>
      </c>
      <c r="I23" s="21">
        <v>61</v>
      </c>
      <c r="J23" s="205">
        <f t="shared" si="0"/>
        <v>2.86944</v>
      </c>
      <c r="K23" s="21">
        <v>10</v>
      </c>
      <c r="L23" s="205">
        <f t="shared" ref="L23:L36" si="12">F23*K23</f>
        <v>0.47039999999999998</v>
      </c>
      <c r="M23" s="21">
        <v>23</v>
      </c>
      <c r="N23" s="205">
        <f t="shared" ref="N23:N36" si="13">F23*M23</f>
        <v>1.08192</v>
      </c>
      <c r="O23" s="21">
        <v>0</v>
      </c>
      <c r="P23" s="205">
        <f t="shared" ref="P23:P36" si="14">F23*O23</f>
        <v>0</v>
      </c>
      <c r="Q23" s="21">
        <v>39</v>
      </c>
      <c r="R23" s="205">
        <f t="shared" ref="R23:R36" si="15">F23*Q23</f>
        <v>1.83456</v>
      </c>
      <c r="S23" s="39">
        <f t="shared" si="7"/>
        <v>1632</v>
      </c>
      <c r="T23" s="38">
        <f t="shared" si="1"/>
        <v>76.769279999999995</v>
      </c>
      <c r="U23" s="21">
        <v>0</v>
      </c>
      <c r="V23" s="13">
        <f t="shared" si="4"/>
        <v>0</v>
      </c>
      <c r="W23" s="49">
        <f t="shared" si="5"/>
        <v>1632</v>
      </c>
      <c r="X23" s="50">
        <f t="shared" si="6"/>
        <v>76.769279999999995</v>
      </c>
      <c r="Y23" s="238">
        <v>200</v>
      </c>
      <c r="Z23" s="101">
        <v>500</v>
      </c>
    </row>
    <row r="24" spans="1:26" x14ac:dyDescent="0.25">
      <c r="A24" s="264">
        <v>20</v>
      </c>
      <c r="B24" s="256" t="s">
        <v>3</v>
      </c>
      <c r="C24" s="34">
        <v>140</v>
      </c>
      <c r="D24" s="35">
        <v>240</v>
      </c>
      <c r="E24" s="35">
        <v>0.8</v>
      </c>
      <c r="F24" s="19">
        <f t="shared" si="2"/>
        <v>2.6880000000000001E-2</v>
      </c>
      <c r="G24" s="23">
        <v>614</v>
      </c>
      <c r="H24" s="26">
        <f t="shared" si="3"/>
        <v>16.50432</v>
      </c>
      <c r="I24" s="21">
        <v>2</v>
      </c>
      <c r="J24" s="205">
        <f t="shared" si="0"/>
        <v>5.3760000000000002E-2</v>
      </c>
      <c r="K24" s="21">
        <v>15</v>
      </c>
      <c r="L24" s="205">
        <f t="shared" si="12"/>
        <v>0.4032</v>
      </c>
      <c r="M24" s="21">
        <v>10</v>
      </c>
      <c r="N24" s="205">
        <f t="shared" si="13"/>
        <v>0.26880000000000004</v>
      </c>
      <c r="O24" s="21">
        <v>0</v>
      </c>
      <c r="P24" s="205">
        <f t="shared" si="14"/>
        <v>0</v>
      </c>
      <c r="Q24" s="21">
        <v>35</v>
      </c>
      <c r="R24" s="205">
        <f t="shared" si="15"/>
        <v>0.94080000000000008</v>
      </c>
      <c r="S24" s="39">
        <f t="shared" si="7"/>
        <v>552</v>
      </c>
      <c r="T24" s="38">
        <f t="shared" si="1"/>
        <v>14.837760000000001</v>
      </c>
      <c r="U24" s="21">
        <v>0</v>
      </c>
      <c r="V24" s="13">
        <f t="shared" si="4"/>
        <v>0</v>
      </c>
      <c r="W24" s="49">
        <f t="shared" si="5"/>
        <v>552</v>
      </c>
      <c r="X24" s="50">
        <f t="shared" si="6"/>
        <v>14.837760000000001</v>
      </c>
      <c r="Y24" s="238">
        <v>100</v>
      </c>
      <c r="Z24" s="101">
        <v>300</v>
      </c>
    </row>
    <row r="25" spans="1:26" x14ac:dyDescent="0.25">
      <c r="A25" s="264">
        <v>21</v>
      </c>
      <c r="B25" s="256" t="s">
        <v>153</v>
      </c>
      <c r="C25" s="34">
        <v>58</v>
      </c>
      <c r="D25" s="35">
        <v>58</v>
      </c>
      <c r="E25" s="35">
        <v>2.2999999999999998</v>
      </c>
      <c r="F25" s="19">
        <f t="shared" si="2"/>
        <v>7.7371999999999996E-3</v>
      </c>
      <c r="G25" s="23">
        <v>81</v>
      </c>
      <c r="H25" s="26">
        <f t="shared" si="3"/>
        <v>0.62671319999999997</v>
      </c>
      <c r="I25" s="21">
        <v>10</v>
      </c>
      <c r="J25" s="205">
        <f t="shared" si="0"/>
        <v>7.7371999999999996E-2</v>
      </c>
      <c r="K25" s="21">
        <v>0</v>
      </c>
      <c r="L25" s="205">
        <f t="shared" si="12"/>
        <v>0</v>
      </c>
      <c r="M25" s="21">
        <v>0</v>
      </c>
      <c r="N25" s="205">
        <f t="shared" si="13"/>
        <v>0</v>
      </c>
      <c r="O25" s="21">
        <v>0</v>
      </c>
      <c r="P25" s="205">
        <f t="shared" si="14"/>
        <v>0</v>
      </c>
      <c r="Q25" s="21">
        <v>0</v>
      </c>
      <c r="R25" s="205">
        <f t="shared" si="15"/>
        <v>0</v>
      </c>
      <c r="S25" s="39">
        <f t="shared" si="7"/>
        <v>71</v>
      </c>
      <c r="T25" s="38">
        <f t="shared" si="1"/>
        <v>0.54934119999999997</v>
      </c>
      <c r="U25" s="21">
        <v>0</v>
      </c>
      <c r="V25" s="13">
        <f t="shared" si="4"/>
        <v>0</v>
      </c>
      <c r="W25" s="49">
        <f t="shared" si="5"/>
        <v>71</v>
      </c>
      <c r="X25" s="50">
        <f t="shared" si="6"/>
        <v>0.54934119999999997</v>
      </c>
      <c r="Y25" s="238">
        <v>200</v>
      </c>
      <c r="Z25" s="101">
        <v>750</v>
      </c>
    </row>
    <row r="26" spans="1:26" x14ac:dyDescent="0.25">
      <c r="A26" s="264">
        <v>22</v>
      </c>
      <c r="B26" s="256" t="s">
        <v>154</v>
      </c>
      <c r="C26" s="34">
        <v>140</v>
      </c>
      <c r="D26" s="35">
        <v>240</v>
      </c>
      <c r="E26" s="35">
        <v>7</v>
      </c>
      <c r="F26" s="19">
        <f t="shared" si="2"/>
        <v>0.23519999999999999</v>
      </c>
      <c r="G26" s="23">
        <v>66</v>
      </c>
      <c r="H26" s="26">
        <f t="shared" si="3"/>
        <v>15.523199999999999</v>
      </c>
      <c r="I26" s="21">
        <v>5</v>
      </c>
      <c r="J26" s="205">
        <f t="shared" si="0"/>
        <v>1.1759999999999999</v>
      </c>
      <c r="K26" s="21">
        <v>4</v>
      </c>
      <c r="L26" s="205">
        <f t="shared" si="12"/>
        <v>0.94079999999999997</v>
      </c>
      <c r="M26" s="21">
        <v>4</v>
      </c>
      <c r="N26" s="205">
        <f t="shared" si="13"/>
        <v>0.94079999999999997</v>
      </c>
      <c r="O26" s="21">
        <v>0</v>
      </c>
      <c r="P26" s="205">
        <f t="shared" si="14"/>
        <v>0</v>
      </c>
      <c r="Q26" s="21">
        <v>11</v>
      </c>
      <c r="R26" s="205">
        <f t="shared" si="15"/>
        <v>2.5871999999999997</v>
      </c>
      <c r="S26" s="39">
        <f t="shared" si="7"/>
        <v>42</v>
      </c>
      <c r="T26" s="38">
        <f t="shared" si="1"/>
        <v>9.8783999999999992</v>
      </c>
      <c r="U26" s="21">
        <v>0</v>
      </c>
      <c r="V26" s="13">
        <f t="shared" si="4"/>
        <v>0</v>
      </c>
      <c r="W26" s="49">
        <f t="shared" si="5"/>
        <v>42</v>
      </c>
      <c r="X26" s="50">
        <f t="shared" si="6"/>
        <v>9.8783999999999992</v>
      </c>
      <c r="Y26" s="238">
        <v>50</v>
      </c>
      <c r="Z26" s="101">
        <v>200</v>
      </c>
    </row>
    <row r="27" spans="1:26" ht="15.75" x14ac:dyDescent="0.25">
      <c r="A27" s="264">
        <v>23</v>
      </c>
      <c r="B27" s="256" t="s">
        <v>55</v>
      </c>
      <c r="C27" s="111">
        <v>50</v>
      </c>
      <c r="D27" s="112">
        <v>45</v>
      </c>
      <c r="E27" s="112">
        <v>4</v>
      </c>
      <c r="F27" s="19">
        <f t="shared" si="2"/>
        <v>8.9999999999999993E-3</v>
      </c>
      <c r="G27" s="23">
        <v>2014</v>
      </c>
      <c r="H27" s="26">
        <f t="shared" si="3"/>
        <v>18.125999999999998</v>
      </c>
      <c r="I27" s="21">
        <v>0</v>
      </c>
      <c r="J27" s="205">
        <f t="shared" si="0"/>
        <v>0</v>
      </c>
      <c r="K27" s="21">
        <v>30</v>
      </c>
      <c r="L27" s="205">
        <f t="shared" si="12"/>
        <v>0.26999999999999996</v>
      </c>
      <c r="M27" s="21">
        <v>0</v>
      </c>
      <c r="N27" s="205">
        <f t="shared" si="13"/>
        <v>0</v>
      </c>
      <c r="O27" s="21">
        <v>0</v>
      </c>
      <c r="P27" s="205">
        <f t="shared" si="14"/>
        <v>0</v>
      </c>
      <c r="Q27" s="21">
        <v>0</v>
      </c>
      <c r="R27" s="205">
        <f t="shared" si="15"/>
        <v>0</v>
      </c>
      <c r="S27" s="39">
        <f t="shared" si="7"/>
        <v>1984</v>
      </c>
      <c r="T27" s="38">
        <f t="shared" si="1"/>
        <v>17.855999999999998</v>
      </c>
      <c r="U27" s="21">
        <v>0</v>
      </c>
      <c r="V27" s="13">
        <f t="shared" si="4"/>
        <v>0</v>
      </c>
      <c r="W27" s="49">
        <f t="shared" si="5"/>
        <v>1984</v>
      </c>
      <c r="X27" s="50">
        <f t="shared" si="6"/>
        <v>17.855999999999998</v>
      </c>
      <c r="Y27" s="238">
        <v>300</v>
      </c>
      <c r="Z27" s="101">
        <v>1000</v>
      </c>
    </row>
    <row r="28" spans="1:26" ht="15.75" x14ac:dyDescent="0.25">
      <c r="A28" s="264">
        <v>24</v>
      </c>
      <c r="B28" s="256" t="s">
        <v>56</v>
      </c>
      <c r="C28" s="111">
        <v>50</v>
      </c>
      <c r="D28" s="112">
        <v>35</v>
      </c>
      <c r="E28" s="112">
        <v>4</v>
      </c>
      <c r="F28" s="19">
        <f t="shared" si="2"/>
        <v>7.0000000000000001E-3</v>
      </c>
      <c r="G28" s="23">
        <v>968</v>
      </c>
      <c r="H28" s="26">
        <f t="shared" si="3"/>
        <v>6.7759999999999998</v>
      </c>
      <c r="I28" s="21">
        <v>0</v>
      </c>
      <c r="J28" s="205">
        <f t="shared" si="0"/>
        <v>0</v>
      </c>
      <c r="K28" s="21">
        <v>0</v>
      </c>
      <c r="L28" s="205">
        <f t="shared" si="12"/>
        <v>0</v>
      </c>
      <c r="M28" s="21">
        <v>0</v>
      </c>
      <c r="N28" s="205">
        <f t="shared" si="13"/>
        <v>0</v>
      </c>
      <c r="O28" s="21">
        <v>0</v>
      </c>
      <c r="P28" s="205">
        <f t="shared" si="14"/>
        <v>0</v>
      </c>
      <c r="Q28" s="21">
        <v>0</v>
      </c>
      <c r="R28" s="205">
        <f t="shared" si="15"/>
        <v>0</v>
      </c>
      <c r="S28" s="39">
        <f t="shared" si="7"/>
        <v>968</v>
      </c>
      <c r="T28" s="38">
        <f t="shared" si="1"/>
        <v>6.7759999999999998</v>
      </c>
      <c r="U28" s="21">
        <v>0</v>
      </c>
      <c r="V28" s="13">
        <f t="shared" si="4"/>
        <v>0</v>
      </c>
      <c r="W28" s="49">
        <f t="shared" si="5"/>
        <v>968</v>
      </c>
      <c r="X28" s="50">
        <f t="shared" si="6"/>
        <v>6.7759999999999998</v>
      </c>
      <c r="Y28" s="238">
        <v>300</v>
      </c>
      <c r="Z28" s="101">
        <v>1000</v>
      </c>
    </row>
    <row r="29" spans="1:26" ht="15.75" x14ac:dyDescent="0.25">
      <c r="A29" s="264">
        <v>25</v>
      </c>
      <c r="B29" s="256" t="s">
        <v>57</v>
      </c>
      <c r="C29" s="111">
        <v>45</v>
      </c>
      <c r="D29" s="112">
        <v>44</v>
      </c>
      <c r="E29" s="112">
        <v>3</v>
      </c>
      <c r="F29" s="19">
        <f t="shared" si="2"/>
        <v>5.94E-3</v>
      </c>
      <c r="G29" s="23">
        <v>1359</v>
      </c>
      <c r="H29" s="26">
        <f t="shared" si="3"/>
        <v>8.0724599999999995</v>
      </c>
      <c r="I29" s="21">
        <v>0</v>
      </c>
      <c r="J29" s="205">
        <f t="shared" si="0"/>
        <v>0</v>
      </c>
      <c r="K29" s="21">
        <v>32</v>
      </c>
      <c r="L29" s="205">
        <f t="shared" si="12"/>
        <v>0.19008</v>
      </c>
      <c r="M29" s="21">
        <v>0</v>
      </c>
      <c r="N29" s="205">
        <f t="shared" si="13"/>
        <v>0</v>
      </c>
      <c r="O29" s="21">
        <v>0</v>
      </c>
      <c r="P29" s="205">
        <f t="shared" si="14"/>
        <v>0</v>
      </c>
      <c r="Q29" s="21">
        <v>0</v>
      </c>
      <c r="R29" s="205">
        <f t="shared" si="15"/>
        <v>0</v>
      </c>
      <c r="S29" s="39">
        <f t="shared" si="7"/>
        <v>1327</v>
      </c>
      <c r="T29" s="38">
        <f t="shared" si="1"/>
        <v>7.8823800000000004</v>
      </c>
      <c r="U29" s="21">
        <v>0</v>
      </c>
      <c r="V29" s="13">
        <f t="shared" si="4"/>
        <v>0</v>
      </c>
      <c r="W29" s="49">
        <f t="shared" si="5"/>
        <v>1327</v>
      </c>
      <c r="X29" s="50">
        <f t="shared" si="6"/>
        <v>7.8823800000000004</v>
      </c>
      <c r="Y29" s="238">
        <v>500</v>
      </c>
      <c r="Z29" s="101">
        <v>1500</v>
      </c>
    </row>
    <row r="30" spans="1:26" ht="15.75" x14ac:dyDescent="0.25">
      <c r="A30" s="264">
        <v>26</v>
      </c>
      <c r="B30" s="256" t="s">
        <v>58</v>
      </c>
      <c r="C30" s="111">
        <v>45</v>
      </c>
      <c r="D30" s="112">
        <v>35.5</v>
      </c>
      <c r="E30" s="112">
        <v>3</v>
      </c>
      <c r="F30" s="19">
        <f t="shared" si="2"/>
        <v>4.7924999999999999E-3</v>
      </c>
      <c r="G30" s="23">
        <v>1080</v>
      </c>
      <c r="H30" s="26">
        <f t="shared" si="3"/>
        <v>5.1758999999999995</v>
      </c>
      <c r="I30" s="21">
        <v>0</v>
      </c>
      <c r="J30" s="205">
        <f t="shared" si="0"/>
        <v>0</v>
      </c>
      <c r="K30" s="21">
        <v>25</v>
      </c>
      <c r="L30" s="205">
        <f t="shared" si="12"/>
        <v>0.1198125</v>
      </c>
      <c r="M30" s="21">
        <v>0</v>
      </c>
      <c r="N30" s="205">
        <f t="shared" si="13"/>
        <v>0</v>
      </c>
      <c r="O30" s="21">
        <v>0</v>
      </c>
      <c r="P30" s="205">
        <f t="shared" si="14"/>
        <v>0</v>
      </c>
      <c r="Q30" s="21">
        <v>0</v>
      </c>
      <c r="R30" s="205">
        <f t="shared" si="15"/>
        <v>0</v>
      </c>
      <c r="S30" s="39">
        <f t="shared" si="7"/>
        <v>1055</v>
      </c>
      <c r="T30" s="38">
        <f t="shared" si="1"/>
        <v>5.0560875000000003</v>
      </c>
      <c r="U30" s="21">
        <v>0</v>
      </c>
      <c r="V30" s="13">
        <f t="shared" si="4"/>
        <v>0</v>
      </c>
      <c r="W30" s="49">
        <f t="shared" si="5"/>
        <v>1055</v>
      </c>
      <c r="X30" s="50">
        <f t="shared" si="6"/>
        <v>5.0560875000000003</v>
      </c>
      <c r="Y30" s="238">
        <v>500</v>
      </c>
      <c r="Z30" s="101">
        <v>1500</v>
      </c>
    </row>
    <row r="31" spans="1:26" x14ac:dyDescent="0.25">
      <c r="A31" s="264">
        <v>27</v>
      </c>
      <c r="B31" s="256" t="s">
        <v>155</v>
      </c>
      <c r="C31" s="34">
        <v>140</v>
      </c>
      <c r="D31" s="35">
        <v>9.5</v>
      </c>
      <c r="E31" s="35">
        <v>6.5</v>
      </c>
      <c r="F31" s="19">
        <f t="shared" si="2"/>
        <v>8.6449999999999999E-3</v>
      </c>
      <c r="G31" s="23">
        <v>2928</v>
      </c>
      <c r="H31" s="26">
        <f t="shared" si="3"/>
        <v>25.312560000000001</v>
      </c>
      <c r="I31" s="21">
        <v>163</v>
      </c>
      <c r="J31" s="205">
        <f t="shared" si="0"/>
        <v>1.409135</v>
      </c>
      <c r="K31" s="21">
        <v>0</v>
      </c>
      <c r="L31" s="205">
        <f t="shared" si="12"/>
        <v>0</v>
      </c>
      <c r="M31" s="21">
        <v>0</v>
      </c>
      <c r="N31" s="205">
        <f t="shared" si="13"/>
        <v>0</v>
      </c>
      <c r="O31" s="21">
        <v>0</v>
      </c>
      <c r="P31" s="205">
        <f t="shared" si="14"/>
        <v>0</v>
      </c>
      <c r="Q31" s="21">
        <v>60</v>
      </c>
      <c r="R31" s="205">
        <f t="shared" si="15"/>
        <v>0.51869999999999994</v>
      </c>
      <c r="S31" s="39">
        <f t="shared" si="7"/>
        <v>2705</v>
      </c>
      <c r="T31" s="38">
        <f t="shared" si="1"/>
        <v>23.384725</v>
      </c>
      <c r="U31" s="21">
        <v>0</v>
      </c>
      <c r="V31" s="13">
        <f t="shared" si="4"/>
        <v>0</v>
      </c>
      <c r="W31" s="49">
        <f t="shared" si="5"/>
        <v>2705</v>
      </c>
      <c r="X31" s="50">
        <f t="shared" si="6"/>
        <v>23.384725</v>
      </c>
      <c r="Y31" s="238">
        <v>500</v>
      </c>
      <c r="Z31" s="101">
        <v>1500</v>
      </c>
    </row>
    <row r="32" spans="1:26" x14ac:dyDescent="0.25">
      <c r="A32" s="264">
        <v>28</v>
      </c>
      <c r="B32" s="256" t="s">
        <v>156</v>
      </c>
      <c r="C32" s="34">
        <v>140</v>
      </c>
      <c r="D32" s="35">
        <v>240</v>
      </c>
      <c r="E32" s="35">
        <v>1</v>
      </c>
      <c r="F32" s="19">
        <f t="shared" si="2"/>
        <v>3.3599999999999998E-2</v>
      </c>
      <c r="G32" s="23">
        <v>447</v>
      </c>
      <c r="H32" s="26">
        <f t="shared" si="3"/>
        <v>15.0192</v>
      </c>
      <c r="I32" s="21">
        <v>599</v>
      </c>
      <c r="J32" s="205">
        <f t="shared" si="0"/>
        <v>20.1264</v>
      </c>
      <c r="K32" s="21">
        <v>104</v>
      </c>
      <c r="L32" s="205">
        <f t="shared" si="12"/>
        <v>3.4943999999999997</v>
      </c>
      <c r="M32" s="21">
        <v>169</v>
      </c>
      <c r="N32" s="205">
        <f t="shared" si="13"/>
        <v>5.6783999999999999</v>
      </c>
      <c r="O32" s="21">
        <v>0</v>
      </c>
      <c r="P32" s="205">
        <f t="shared" si="14"/>
        <v>0</v>
      </c>
      <c r="Q32" s="21">
        <v>122</v>
      </c>
      <c r="R32" s="205">
        <f>F32*Q32</f>
        <v>4.0991999999999997</v>
      </c>
      <c r="S32" s="39">
        <f t="shared" si="7"/>
        <v>-547</v>
      </c>
      <c r="T32" s="38">
        <f t="shared" si="1"/>
        <v>-18.379199999999997</v>
      </c>
      <c r="U32" s="21">
        <v>1028</v>
      </c>
      <c r="V32" s="205">
        <f>F32*U32</f>
        <v>34.540799999999997</v>
      </c>
      <c r="W32" s="49">
        <f t="shared" si="5"/>
        <v>481</v>
      </c>
      <c r="X32" s="50">
        <f t="shared" si="6"/>
        <v>16.1616</v>
      </c>
      <c r="Y32" s="238">
        <v>250</v>
      </c>
      <c r="Z32" s="101">
        <v>750</v>
      </c>
    </row>
    <row r="33" spans="1:26" x14ac:dyDescent="0.25">
      <c r="A33" s="264">
        <v>29</v>
      </c>
      <c r="B33" s="256" t="s">
        <v>157</v>
      </c>
      <c r="C33" s="34">
        <v>140</v>
      </c>
      <c r="D33" s="35">
        <v>240</v>
      </c>
      <c r="E33" s="35">
        <v>2</v>
      </c>
      <c r="F33" s="19">
        <f t="shared" si="2"/>
        <v>6.7199999999999996E-2</v>
      </c>
      <c r="G33" s="23">
        <v>291</v>
      </c>
      <c r="H33" s="26">
        <f t="shared" si="3"/>
        <v>19.555199999999999</v>
      </c>
      <c r="I33" s="21">
        <v>6</v>
      </c>
      <c r="J33" s="205">
        <f t="shared" si="0"/>
        <v>0.4032</v>
      </c>
      <c r="K33" s="21">
        <v>6</v>
      </c>
      <c r="L33" s="205">
        <f t="shared" si="12"/>
        <v>0.4032</v>
      </c>
      <c r="M33" s="21">
        <v>5</v>
      </c>
      <c r="N33" s="205">
        <f t="shared" si="13"/>
        <v>0.33599999999999997</v>
      </c>
      <c r="O33" s="21">
        <v>0</v>
      </c>
      <c r="P33" s="205">
        <f t="shared" si="14"/>
        <v>0</v>
      </c>
      <c r="Q33" s="21">
        <v>8</v>
      </c>
      <c r="R33" s="205">
        <f>F33*Q33</f>
        <v>0.53759999999999997</v>
      </c>
      <c r="S33" s="39">
        <f t="shared" si="7"/>
        <v>266</v>
      </c>
      <c r="T33" s="38">
        <f t="shared" si="1"/>
        <v>17.8752</v>
      </c>
      <c r="U33" s="21">
        <v>0</v>
      </c>
      <c r="V33" s="13">
        <f t="shared" si="4"/>
        <v>0</v>
      </c>
      <c r="W33" s="49">
        <f t="shared" si="5"/>
        <v>266</v>
      </c>
      <c r="X33" s="50">
        <f t="shared" si="6"/>
        <v>17.8752</v>
      </c>
      <c r="Y33" s="238">
        <v>75</v>
      </c>
      <c r="Z33" s="101">
        <v>150</v>
      </c>
    </row>
    <row r="34" spans="1:26" x14ac:dyDescent="0.25">
      <c r="A34" s="264">
        <v>30</v>
      </c>
      <c r="B34" s="256" t="s">
        <v>158</v>
      </c>
      <c r="C34" s="34">
        <v>140</v>
      </c>
      <c r="D34" s="35">
        <v>240</v>
      </c>
      <c r="E34" s="35">
        <v>3</v>
      </c>
      <c r="F34" s="19">
        <f t="shared" si="2"/>
        <v>0.1008</v>
      </c>
      <c r="G34" s="23">
        <v>135</v>
      </c>
      <c r="H34" s="26">
        <f t="shared" si="3"/>
        <v>13.608000000000001</v>
      </c>
      <c r="I34" s="21">
        <v>13</v>
      </c>
      <c r="J34" s="205">
        <f>F34*I34</f>
        <v>1.3104</v>
      </c>
      <c r="K34" s="21">
        <v>13</v>
      </c>
      <c r="L34" s="205">
        <f t="shared" si="12"/>
        <v>1.3104</v>
      </c>
      <c r="M34" s="21">
        <v>5</v>
      </c>
      <c r="N34" s="205">
        <f t="shared" si="13"/>
        <v>0.504</v>
      </c>
      <c r="O34" s="21">
        <v>0</v>
      </c>
      <c r="P34" s="205">
        <f t="shared" si="14"/>
        <v>0</v>
      </c>
      <c r="Q34" s="21">
        <v>51</v>
      </c>
      <c r="R34" s="205">
        <f t="shared" si="15"/>
        <v>5.1408000000000005</v>
      </c>
      <c r="S34" s="39">
        <f t="shared" si="7"/>
        <v>53</v>
      </c>
      <c r="T34" s="38">
        <f t="shared" si="1"/>
        <v>5.3423999999999996</v>
      </c>
      <c r="U34" s="21">
        <v>258</v>
      </c>
      <c r="V34" s="13">
        <f t="shared" si="4"/>
        <v>26.006399999999999</v>
      </c>
      <c r="W34" s="49">
        <f t="shared" si="5"/>
        <v>311</v>
      </c>
      <c r="X34" s="50">
        <f t="shared" si="6"/>
        <v>31.348800000000001</v>
      </c>
      <c r="Y34" s="238">
        <v>75</v>
      </c>
      <c r="Z34" s="101">
        <v>150</v>
      </c>
    </row>
    <row r="35" spans="1:26" x14ac:dyDescent="0.25">
      <c r="A35" s="264">
        <v>31</v>
      </c>
      <c r="B35" s="256" t="s">
        <v>159</v>
      </c>
      <c r="C35" s="34">
        <v>140</v>
      </c>
      <c r="D35" s="35">
        <v>240</v>
      </c>
      <c r="E35" s="35">
        <v>4</v>
      </c>
      <c r="F35" s="19">
        <f t="shared" si="2"/>
        <v>0.13439999999999999</v>
      </c>
      <c r="G35" s="23">
        <v>29</v>
      </c>
      <c r="H35" s="26">
        <f t="shared" si="3"/>
        <v>3.8975999999999997</v>
      </c>
      <c r="I35" s="21">
        <v>4</v>
      </c>
      <c r="J35" s="205">
        <f t="shared" si="0"/>
        <v>0.53759999999999997</v>
      </c>
      <c r="K35" s="21">
        <v>5</v>
      </c>
      <c r="L35" s="205">
        <f t="shared" si="12"/>
        <v>0.67199999999999993</v>
      </c>
      <c r="M35" s="21">
        <v>4</v>
      </c>
      <c r="N35" s="205">
        <f t="shared" si="13"/>
        <v>0.53759999999999997</v>
      </c>
      <c r="O35" s="21">
        <v>0</v>
      </c>
      <c r="P35" s="205">
        <f t="shared" si="14"/>
        <v>0</v>
      </c>
      <c r="Q35" s="21">
        <v>16</v>
      </c>
      <c r="R35" s="205">
        <f t="shared" si="15"/>
        <v>2.1503999999999999</v>
      </c>
      <c r="S35" s="39">
        <f t="shared" si="7"/>
        <v>0</v>
      </c>
      <c r="T35" s="38">
        <f t="shared" si="1"/>
        <v>0</v>
      </c>
      <c r="U35" s="21">
        <v>0</v>
      </c>
      <c r="V35" s="13">
        <f t="shared" si="4"/>
        <v>0</v>
      </c>
      <c r="W35" s="49">
        <f t="shared" si="5"/>
        <v>0</v>
      </c>
      <c r="X35" s="50">
        <f t="shared" si="6"/>
        <v>0</v>
      </c>
      <c r="Y35" s="238">
        <v>50</v>
      </c>
      <c r="Z35" s="101">
        <v>100</v>
      </c>
    </row>
    <row r="36" spans="1:26" x14ac:dyDescent="0.25">
      <c r="A36" s="264">
        <v>32</v>
      </c>
      <c r="B36" s="256" t="s">
        <v>160</v>
      </c>
      <c r="C36" s="34">
        <v>140</v>
      </c>
      <c r="D36" s="35">
        <v>240</v>
      </c>
      <c r="E36" s="35">
        <v>2</v>
      </c>
      <c r="F36" s="19">
        <f t="shared" si="2"/>
        <v>6.7199999999999996E-2</v>
      </c>
      <c r="G36" s="23">
        <v>280</v>
      </c>
      <c r="H36" s="26">
        <f t="shared" si="3"/>
        <v>18.815999999999999</v>
      </c>
      <c r="I36" s="21">
        <v>0</v>
      </c>
      <c r="J36" s="205">
        <f>F36*I36</f>
        <v>0</v>
      </c>
      <c r="K36" s="21">
        <v>31</v>
      </c>
      <c r="L36" s="205">
        <f t="shared" si="12"/>
        <v>2.0831999999999997</v>
      </c>
      <c r="M36" s="21">
        <v>41</v>
      </c>
      <c r="N36" s="205">
        <f t="shared" si="13"/>
        <v>2.7551999999999999</v>
      </c>
      <c r="O36" s="21">
        <v>0</v>
      </c>
      <c r="P36" s="205">
        <f t="shared" si="14"/>
        <v>0</v>
      </c>
      <c r="Q36" s="21">
        <v>54</v>
      </c>
      <c r="R36" s="205">
        <f t="shared" si="15"/>
        <v>3.6287999999999996</v>
      </c>
      <c r="S36" s="39">
        <f t="shared" si="7"/>
        <v>154</v>
      </c>
      <c r="T36" s="38">
        <f t="shared" si="1"/>
        <v>10.348799999999999</v>
      </c>
      <c r="U36" s="21">
        <v>302</v>
      </c>
      <c r="V36" s="13">
        <f t="shared" si="4"/>
        <v>20.2944</v>
      </c>
      <c r="W36" s="49">
        <f t="shared" si="5"/>
        <v>456</v>
      </c>
      <c r="X36" s="50">
        <f t="shared" si="6"/>
        <v>30.643199999999997</v>
      </c>
      <c r="Y36" s="238">
        <v>100</v>
      </c>
      <c r="Z36" s="101">
        <v>300</v>
      </c>
    </row>
    <row r="37" spans="1:26" x14ac:dyDescent="0.25">
      <c r="A37" s="264">
        <v>33</v>
      </c>
      <c r="B37" s="256" t="s">
        <v>161</v>
      </c>
      <c r="C37" s="34">
        <v>140</v>
      </c>
      <c r="D37" s="35">
        <v>240</v>
      </c>
      <c r="E37" s="35">
        <v>6</v>
      </c>
      <c r="F37" s="19">
        <f t="shared" si="2"/>
        <v>0.2016</v>
      </c>
      <c r="G37" s="23">
        <v>32</v>
      </c>
      <c r="H37" s="26">
        <f t="shared" si="3"/>
        <v>6.4512</v>
      </c>
      <c r="I37" s="21">
        <v>0</v>
      </c>
      <c r="J37" s="205">
        <f t="shared" si="0"/>
        <v>0</v>
      </c>
      <c r="K37" s="21">
        <v>1</v>
      </c>
      <c r="L37" s="205">
        <f>F37*K37</f>
        <v>0.2016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39">
        <f t="shared" si="7"/>
        <v>31</v>
      </c>
      <c r="T37" s="38">
        <f t="shared" si="1"/>
        <v>6.2496</v>
      </c>
      <c r="U37" s="21">
        <v>0</v>
      </c>
      <c r="V37" s="13">
        <f t="shared" si="4"/>
        <v>0</v>
      </c>
      <c r="W37" s="49">
        <f t="shared" si="5"/>
        <v>31</v>
      </c>
      <c r="X37" s="50">
        <f t="shared" si="6"/>
        <v>6.2496</v>
      </c>
      <c r="Y37" s="238">
        <v>10</v>
      </c>
      <c r="Z37" s="101">
        <v>30</v>
      </c>
    </row>
    <row r="38" spans="1:26" x14ac:dyDescent="0.25">
      <c r="A38" s="264">
        <v>34</v>
      </c>
      <c r="B38" s="256" t="s">
        <v>162</v>
      </c>
      <c r="C38" s="34">
        <v>84</v>
      </c>
      <c r="D38" s="35">
        <v>55</v>
      </c>
      <c r="E38" s="35">
        <v>3</v>
      </c>
      <c r="F38" s="19">
        <f t="shared" si="2"/>
        <v>1.3860000000000001E-2</v>
      </c>
      <c r="G38" s="23">
        <v>0</v>
      </c>
      <c r="H38" s="26">
        <f t="shared" si="3"/>
        <v>0</v>
      </c>
      <c r="I38" s="21">
        <v>0</v>
      </c>
      <c r="J38" s="205">
        <f t="shared" si="0"/>
        <v>0</v>
      </c>
      <c r="K38" s="21">
        <v>0</v>
      </c>
      <c r="L38" s="205">
        <f t="shared" si="0"/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39">
        <f t="shared" si="7"/>
        <v>0</v>
      </c>
      <c r="T38" s="38">
        <f t="shared" si="1"/>
        <v>0</v>
      </c>
      <c r="U38" s="21">
        <v>0</v>
      </c>
      <c r="V38" s="13">
        <f t="shared" si="4"/>
        <v>0</v>
      </c>
      <c r="W38" s="49">
        <f t="shared" si="5"/>
        <v>0</v>
      </c>
      <c r="X38" s="50">
        <f t="shared" si="6"/>
        <v>0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163</v>
      </c>
      <c r="C39" s="34">
        <v>90</v>
      </c>
      <c r="D39" s="35">
        <v>90</v>
      </c>
      <c r="E39" s="35">
        <v>3</v>
      </c>
      <c r="F39" s="19">
        <f t="shared" si="2"/>
        <v>2.4299999999999999E-2</v>
      </c>
      <c r="G39" s="23">
        <v>0</v>
      </c>
      <c r="H39" s="26">
        <f t="shared" si="3"/>
        <v>0</v>
      </c>
      <c r="I39" s="21">
        <v>0</v>
      </c>
      <c r="J39" s="205">
        <f t="shared" si="0"/>
        <v>0</v>
      </c>
      <c r="K39" s="21">
        <v>0</v>
      </c>
      <c r="L39" s="205">
        <f t="shared" si="0"/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39">
        <f t="shared" si="7"/>
        <v>0</v>
      </c>
      <c r="T39" s="38">
        <f t="shared" si="1"/>
        <v>0</v>
      </c>
      <c r="U39" s="21">
        <v>0</v>
      </c>
      <c r="V39" s="13">
        <f t="shared" si="4"/>
        <v>0</v>
      </c>
      <c r="W39" s="49">
        <f t="shared" si="5"/>
        <v>0</v>
      </c>
      <c r="X39" s="50">
        <f t="shared" si="6"/>
        <v>0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164</v>
      </c>
      <c r="C40" s="34">
        <v>140</v>
      </c>
      <c r="D40" s="35">
        <v>240</v>
      </c>
      <c r="E40" s="35">
        <v>10</v>
      </c>
      <c r="F40" s="19">
        <f t="shared" si="2"/>
        <v>0.33600000000000002</v>
      </c>
      <c r="G40" s="23">
        <v>0</v>
      </c>
      <c r="H40" s="26">
        <f t="shared" si="3"/>
        <v>0</v>
      </c>
      <c r="I40" s="21">
        <v>0</v>
      </c>
      <c r="J40" s="205">
        <f t="shared" si="0"/>
        <v>0</v>
      </c>
      <c r="K40" s="21">
        <v>0</v>
      </c>
      <c r="L40" s="205">
        <f>F40*K40</f>
        <v>0</v>
      </c>
      <c r="M40" s="21">
        <v>0</v>
      </c>
      <c r="N40" s="205">
        <f>F40*M40</f>
        <v>0</v>
      </c>
      <c r="O40" s="21">
        <v>0</v>
      </c>
      <c r="P40" s="205">
        <f>F40*O40</f>
        <v>0</v>
      </c>
      <c r="Q40" s="21">
        <v>0</v>
      </c>
      <c r="R40" s="205">
        <f>F40*Q40</f>
        <v>0</v>
      </c>
      <c r="S40" s="39">
        <f t="shared" si="7"/>
        <v>0</v>
      </c>
      <c r="T40" s="38">
        <f t="shared" si="1"/>
        <v>0</v>
      </c>
      <c r="U40" s="21">
        <v>0</v>
      </c>
      <c r="V40" s="13">
        <f t="shared" si="4"/>
        <v>0</v>
      </c>
      <c r="W40" s="49">
        <f t="shared" si="5"/>
        <v>0</v>
      </c>
      <c r="X40" s="50">
        <f t="shared" si="6"/>
        <v>0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165</v>
      </c>
      <c r="C41" s="34">
        <v>140</v>
      </c>
      <c r="D41" s="35">
        <v>240</v>
      </c>
      <c r="E41" s="35">
        <v>10</v>
      </c>
      <c r="F41" s="19">
        <f t="shared" si="2"/>
        <v>0.33600000000000002</v>
      </c>
      <c r="G41" s="23">
        <v>84</v>
      </c>
      <c r="H41" s="26">
        <f t="shared" si="3"/>
        <v>28.224</v>
      </c>
      <c r="I41" s="21">
        <v>5</v>
      </c>
      <c r="J41" s="205">
        <f>F41*I41</f>
        <v>1.6800000000000002</v>
      </c>
      <c r="K41" s="21">
        <v>5</v>
      </c>
      <c r="L41" s="205">
        <f>F41*K41</f>
        <v>1.6800000000000002</v>
      </c>
      <c r="M41" s="21">
        <v>4</v>
      </c>
      <c r="N41" s="205">
        <f>F41*M41</f>
        <v>1.3440000000000001</v>
      </c>
      <c r="O41" s="21">
        <v>0</v>
      </c>
      <c r="P41" s="205">
        <f>F41*O41</f>
        <v>0</v>
      </c>
      <c r="Q41" s="21">
        <v>4</v>
      </c>
      <c r="R41" s="205">
        <f>F41*Q41</f>
        <v>1.3440000000000001</v>
      </c>
      <c r="S41" s="39">
        <f t="shared" si="7"/>
        <v>66</v>
      </c>
      <c r="T41" s="38">
        <f t="shared" si="1"/>
        <v>22.176000000000002</v>
      </c>
      <c r="U41" s="21">
        <v>0</v>
      </c>
      <c r="V41" s="13">
        <f t="shared" si="4"/>
        <v>0</v>
      </c>
      <c r="W41" s="49">
        <f t="shared" si="5"/>
        <v>66</v>
      </c>
      <c r="X41" s="50">
        <f t="shared" si="6"/>
        <v>22.176000000000002</v>
      </c>
      <c r="Y41" s="238">
        <v>50</v>
      </c>
      <c r="Z41" s="101">
        <v>100</v>
      </c>
    </row>
    <row r="42" spans="1:26" x14ac:dyDescent="0.25">
      <c r="A42" s="264">
        <v>38</v>
      </c>
      <c r="B42" s="256" t="s">
        <v>166</v>
      </c>
      <c r="C42" s="34">
        <v>92</v>
      </c>
      <c r="D42" s="35">
        <v>82</v>
      </c>
      <c r="E42" s="35">
        <v>2</v>
      </c>
      <c r="F42" s="19">
        <f t="shared" si="2"/>
        <v>1.5088000000000001E-2</v>
      </c>
      <c r="G42" s="23">
        <v>0</v>
      </c>
      <c r="H42" s="26">
        <f t="shared" si="3"/>
        <v>0</v>
      </c>
      <c r="I42" s="21">
        <v>0</v>
      </c>
      <c r="J42" s="205">
        <f t="shared" si="0"/>
        <v>0</v>
      </c>
      <c r="K42" s="21">
        <v>241</v>
      </c>
      <c r="L42" s="205">
        <f>F42*K42</f>
        <v>3.6362080000000003</v>
      </c>
      <c r="M42" s="21">
        <v>0</v>
      </c>
      <c r="N42" s="205">
        <f>F42*M42</f>
        <v>0</v>
      </c>
      <c r="O42" s="21">
        <v>0</v>
      </c>
      <c r="P42" s="205">
        <f>F42*O42</f>
        <v>0</v>
      </c>
      <c r="Q42" s="21">
        <v>36</v>
      </c>
      <c r="R42" s="205">
        <f>F42*Q42</f>
        <v>0.54316799999999998</v>
      </c>
      <c r="S42" s="39">
        <f t="shared" si="7"/>
        <v>-277</v>
      </c>
      <c r="T42" s="38">
        <f t="shared" si="1"/>
        <v>-4.1793760000000004</v>
      </c>
      <c r="U42" s="21">
        <v>312</v>
      </c>
      <c r="V42" s="13">
        <f t="shared" si="4"/>
        <v>4.7074560000000005</v>
      </c>
      <c r="W42" s="49">
        <f t="shared" si="5"/>
        <v>35</v>
      </c>
      <c r="X42" s="50">
        <f t="shared" si="6"/>
        <v>0.52807999999999999</v>
      </c>
      <c r="Y42" s="238">
        <v>100</v>
      </c>
      <c r="Z42" s="101">
        <v>300</v>
      </c>
    </row>
    <row r="43" spans="1:26" x14ac:dyDescent="0.25">
      <c r="A43" s="264">
        <v>39</v>
      </c>
      <c r="B43" s="256" t="s">
        <v>167</v>
      </c>
      <c r="C43" s="34">
        <v>75</v>
      </c>
      <c r="D43" s="35">
        <v>55</v>
      </c>
      <c r="E43" s="35">
        <v>3</v>
      </c>
      <c r="F43" s="19">
        <f t="shared" si="2"/>
        <v>1.2375000000000001E-2</v>
      </c>
      <c r="G43" s="23">
        <v>0</v>
      </c>
      <c r="H43" s="26">
        <f t="shared" si="3"/>
        <v>0</v>
      </c>
      <c r="I43" s="21">
        <v>0</v>
      </c>
      <c r="J43" s="205">
        <f t="shared" si="0"/>
        <v>0</v>
      </c>
      <c r="K43" s="21">
        <v>0</v>
      </c>
      <c r="L43" s="205">
        <f t="shared" si="0"/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39">
        <f t="shared" si="7"/>
        <v>0</v>
      </c>
      <c r="T43" s="38">
        <f t="shared" si="1"/>
        <v>0</v>
      </c>
      <c r="U43" s="21">
        <v>0</v>
      </c>
      <c r="V43" s="13">
        <f t="shared" si="4"/>
        <v>0</v>
      </c>
      <c r="W43" s="49">
        <f t="shared" si="5"/>
        <v>0</v>
      </c>
      <c r="X43" s="50">
        <f t="shared" si="6"/>
        <v>0</v>
      </c>
      <c r="Y43" s="238">
        <v>0</v>
      </c>
      <c r="Z43" s="101">
        <v>0</v>
      </c>
    </row>
    <row r="44" spans="1:26" x14ac:dyDescent="0.25">
      <c r="A44" s="264">
        <v>40</v>
      </c>
      <c r="B44" s="256" t="s">
        <v>168</v>
      </c>
      <c r="C44" s="34">
        <v>140</v>
      </c>
      <c r="D44" s="35">
        <v>240</v>
      </c>
      <c r="E44" s="35">
        <v>3</v>
      </c>
      <c r="F44" s="19">
        <f t="shared" si="2"/>
        <v>0.1008</v>
      </c>
      <c r="G44" s="23">
        <v>0</v>
      </c>
      <c r="H44" s="26">
        <f t="shared" si="3"/>
        <v>0</v>
      </c>
      <c r="I44" s="21">
        <v>0</v>
      </c>
      <c r="J44" s="205">
        <f t="shared" si="0"/>
        <v>0</v>
      </c>
      <c r="K44" s="21">
        <v>0</v>
      </c>
      <c r="L44" s="205">
        <f t="shared" ref="L44:L52" si="16">F44*K44</f>
        <v>0</v>
      </c>
      <c r="M44" s="21">
        <v>0</v>
      </c>
      <c r="N44" s="205">
        <f t="shared" ref="N44:N52" si="17">F44*M44</f>
        <v>0</v>
      </c>
      <c r="O44" s="21">
        <v>0</v>
      </c>
      <c r="P44" s="205">
        <f t="shared" ref="P44:P52" si="18">F44*O44</f>
        <v>0</v>
      </c>
      <c r="Q44" s="21">
        <v>0</v>
      </c>
      <c r="R44" s="205">
        <f t="shared" ref="R44:R52" si="19">F44*Q44</f>
        <v>0</v>
      </c>
      <c r="S44" s="39">
        <f t="shared" si="7"/>
        <v>0</v>
      </c>
      <c r="T44" s="38">
        <f t="shared" si="1"/>
        <v>0</v>
      </c>
      <c r="U44" s="21">
        <v>0</v>
      </c>
      <c r="V44" s="13">
        <f t="shared" si="4"/>
        <v>0</v>
      </c>
      <c r="W44" s="49">
        <f t="shared" si="5"/>
        <v>0</v>
      </c>
      <c r="X44" s="50">
        <f t="shared" si="6"/>
        <v>0</v>
      </c>
      <c r="Y44" s="238">
        <v>0</v>
      </c>
      <c r="Z44" s="101">
        <v>0</v>
      </c>
    </row>
    <row r="45" spans="1:26" x14ac:dyDescent="0.25">
      <c r="A45" s="264">
        <v>41</v>
      </c>
      <c r="B45" s="256" t="s">
        <v>169</v>
      </c>
      <c r="C45" s="34">
        <v>82</v>
      </c>
      <c r="D45" s="34">
        <v>80</v>
      </c>
      <c r="E45" s="34">
        <v>2</v>
      </c>
      <c r="F45" s="19">
        <f t="shared" si="2"/>
        <v>1.312E-2</v>
      </c>
      <c r="G45" s="34">
        <v>0</v>
      </c>
      <c r="H45" s="26">
        <f t="shared" si="3"/>
        <v>0</v>
      </c>
      <c r="I45" s="21">
        <v>0</v>
      </c>
      <c r="J45" s="205">
        <f t="shared" si="0"/>
        <v>0</v>
      </c>
      <c r="K45" s="21">
        <v>43</v>
      </c>
      <c r="L45" s="205">
        <f t="shared" si="16"/>
        <v>0.56415999999999999</v>
      </c>
      <c r="M45" s="21">
        <v>106</v>
      </c>
      <c r="N45" s="205">
        <f t="shared" si="17"/>
        <v>1.39072</v>
      </c>
      <c r="O45" s="21">
        <v>0</v>
      </c>
      <c r="P45" s="205">
        <f t="shared" si="18"/>
        <v>0</v>
      </c>
      <c r="Q45" s="21">
        <v>162</v>
      </c>
      <c r="R45" s="205">
        <f t="shared" si="19"/>
        <v>2.1254399999999998</v>
      </c>
      <c r="S45" s="39">
        <f t="shared" si="7"/>
        <v>-311</v>
      </c>
      <c r="T45" s="38">
        <f t="shared" si="1"/>
        <v>-4.0803199999999995</v>
      </c>
      <c r="U45" s="21">
        <v>311</v>
      </c>
      <c r="V45" s="13">
        <f t="shared" si="4"/>
        <v>4.0803199999999995</v>
      </c>
      <c r="W45" s="49">
        <f t="shared" si="5"/>
        <v>0</v>
      </c>
      <c r="X45" s="50">
        <f t="shared" si="6"/>
        <v>0</v>
      </c>
      <c r="Y45" s="238">
        <v>100</v>
      </c>
      <c r="Z45" s="101">
        <v>300</v>
      </c>
    </row>
    <row r="46" spans="1:26" x14ac:dyDescent="0.25">
      <c r="A46" s="264">
        <v>42</v>
      </c>
      <c r="B46" s="256" t="s">
        <v>170</v>
      </c>
      <c r="C46" s="34">
        <v>90</v>
      </c>
      <c r="D46" s="34">
        <v>83</v>
      </c>
      <c r="E46" s="34">
        <v>2</v>
      </c>
      <c r="F46" s="19">
        <f t="shared" si="2"/>
        <v>1.494E-2</v>
      </c>
      <c r="G46" s="34">
        <v>0</v>
      </c>
      <c r="H46" s="26">
        <f t="shared" si="3"/>
        <v>0</v>
      </c>
      <c r="I46" s="21">
        <v>0</v>
      </c>
      <c r="J46" s="205">
        <f t="shared" si="0"/>
        <v>0</v>
      </c>
      <c r="K46" s="21">
        <v>0</v>
      </c>
      <c r="L46" s="205">
        <f t="shared" si="16"/>
        <v>0</v>
      </c>
      <c r="M46" s="21">
        <v>36</v>
      </c>
      <c r="N46" s="205">
        <f t="shared" si="17"/>
        <v>0.53783999999999998</v>
      </c>
      <c r="O46" s="21">
        <v>0</v>
      </c>
      <c r="P46" s="205">
        <f t="shared" si="18"/>
        <v>0</v>
      </c>
      <c r="Q46" s="21">
        <v>0</v>
      </c>
      <c r="R46" s="205">
        <f t="shared" si="19"/>
        <v>0</v>
      </c>
      <c r="S46" s="39">
        <f t="shared" si="7"/>
        <v>-36</v>
      </c>
      <c r="T46" s="38">
        <f t="shared" si="1"/>
        <v>-0.53783999999999998</v>
      </c>
      <c r="U46" s="21">
        <v>312</v>
      </c>
      <c r="V46" s="13">
        <f t="shared" si="4"/>
        <v>4.6612799999999996</v>
      </c>
      <c r="W46" s="49">
        <f t="shared" si="5"/>
        <v>276</v>
      </c>
      <c r="X46" s="50">
        <f t="shared" si="6"/>
        <v>4.1234400000000004</v>
      </c>
      <c r="Y46" s="238">
        <v>100</v>
      </c>
      <c r="Z46" s="101">
        <v>300</v>
      </c>
    </row>
    <row r="47" spans="1:26" x14ac:dyDescent="0.25">
      <c r="A47" s="264">
        <v>43</v>
      </c>
      <c r="B47" s="256" t="s">
        <v>171</v>
      </c>
      <c r="C47" s="34">
        <v>105</v>
      </c>
      <c r="D47" s="34">
        <v>55</v>
      </c>
      <c r="E47" s="34">
        <v>3</v>
      </c>
      <c r="F47" s="19">
        <f t="shared" si="2"/>
        <v>1.7325E-2</v>
      </c>
      <c r="G47" s="34">
        <v>0</v>
      </c>
      <c r="H47" s="26">
        <f t="shared" si="3"/>
        <v>0</v>
      </c>
      <c r="I47" s="21">
        <v>0</v>
      </c>
      <c r="J47" s="205">
        <f t="shared" si="0"/>
        <v>0</v>
      </c>
      <c r="K47" s="21">
        <v>0</v>
      </c>
      <c r="L47" s="205">
        <f t="shared" si="16"/>
        <v>0</v>
      </c>
      <c r="M47" s="21">
        <v>0</v>
      </c>
      <c r="N47" s="205">
        <f t="shared" si="17"/>
        <v>0</v>
      </c>
      <c r="O47" s="21">
        <v>0</v>
      </c>
      <c r="P47" s="205">
        <f t="shared" si="18"/>
        <v>0</v>
      </c>
      <c r="Q47" s="21">
        <v>0</v>
      </c>
      <c r="R47" s="205">
        <f t="shared" si="19"/>
        <v>0</v>
      </c>
      <c r="S47" s="39">
        <f t="shared" si="7"/>
        <v>0</v>
      </c>
      <c r="T47" s="38">
        <f t="shared" si="1"/>
        <v>0</v>
      </c>
      <c r="U47" s="21">
        <v>0</v>
      </c>
      <c r="V47" s="13">
        <f t="shared" si="4"/>
        <v>0</v>
      </c>
      <c r="W47" s="49">
        <f t="shared" si="5"/>
        <v>0</v>
      </c>
      <c r="X47" s="50">
        <f t="shared" si="6"/>
        <v>0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173</v>
      </c>
      <c r="C48" s="34">
        <v>140</v>
      </c>
      <c r="D48" s="34">
        <v>240</v>
      </c>
      <c r="E48" s="34">
        <v>4</v>
      </c>
      <c r="F48" s="19">
        <f t="shared" si="2"/>
        <v>0.13439999999999999</v>
      </c>
      <c r="G48" s="34">
        <v>0</v>
      </c>
      <c r="H48" s="26">
        <f t="shared" si="3"/>
        <v>0</v>
      </c>
      <c r="I48" s="21">
        <v>0</v>
      </c>
      <c r="J48" s="205">
        <f t="shared" si="0"/>
        <v>0</v>
      </c>
      <c r="K48" s="21">
        <v>0</v>
      </c>
      <c r="L48" s="205">
        <f t="shared" si="16"/>
        <v>0</v>
      </c>
      <c r="M48" s="21">
        <v>0</v>
      </c>
      <c r="N48" s="205">
        <f t="shared" si="17"/>
        <v>0</v>
      </c>
      <c r="O48" s="21">
        <v>0</v>
      </c>
      <c r="P48" s="205">
        <f t="shared" si="18"/>
        <v>0</v>
      </c>
      <c r="Q48" s="21">
        <v>0</v>
      </c>
      <c r="R48" s="205">
        <f t="shared" si="19"/>
        <v>0</v>
      </c>
      <c r="S48" s="39">
        <f t="shared" si="7"/>
        <v>0</v>
      </c>
      <c r="T48" s="38">
        <f t="shared" si="1"/>
        <v>0</v>
      </c>
      <c r="U48" s="21">
        <v>0</v>
      </c>
      <c r="V48" s="13">
        <f t="shared" si="4"/>
        <v>0</v>
      </c>
      <c r="W48" s="49">
        <f t="shared" si="5"/>
        <v>0</v>
      </c>
      <c r="X48" s="50">
        <f t="shared" si="6"/>
        <v>0</v>
      </c>
      <c r="Y48" s="238">
        <v>0</v>
      </c>
      <c r="Z48" s="101">
        <v>0</v>
      </c>
    </row>
    <row r="49" spans="1:26" x14ac:dyDescent="0.25">
      <c r="A49" s="264">
        <v>45</v>
      </c>
      <c r="B49" s="256" t="s">
        <v>174</v>
      </c>
      <c r="C49" s="34">
        <v>140</v>
      </c>
      <c r="D49" s="34">
        <v>240</v>
      </c>
      <c r="E49" s="34">
        <v>14</v>
      </c>
      <c r="F49" s="19">
        <f t="shared" si="2"/>
        <v>0.47039999999999998</v>
      </c>
      <c r="G49" s="34">
        <v>4</v>
      </c>
      <c r="H49" s="26">
        <f t="shared" si="3"/>
        <v>1.8815999999999999</v>
      </c>
      <c r="I49" s="21">
        <v>0</v>
      </c>
      <c r="J49" s="205">
        <f t="shared" si="0"/>
        <v>0</v>
      </c>
      <c r="K49" s="21">
        <v>0</v>
      </c>
      <c r="L49" s="205">
        <f t="shared" si="16"/>
        <v>0</v>
      </c>
      <c r="M49" s="21">
        <v>0</v>
      </c>
      <c r="N49" s="205">
        <f t="shared" si="17"/>
        <v>0</v>
      </c>
      <c r="O49" s="21">
        <v>0</v>
      </c>
      <c r="P49" s="205">
        <f t="shared" si="18"/>
        <v>0</v>
      </c>
      <c r="Q49" s="21">
        <v>0</v>
      </c>
      <c r="R49" s="205">
        <f t="shared" si="19"/>
        <v>0</v>
      </c>
      <c r="S49" s="39">
        <f t="shared" si="7"/>
        <v>4</v>
      </c>
      <c r="T49" s="38">
        <f t="shared" si="1"/>
        <v>1.8815999999999999</v>
      </c>
      <c r="U49" s="21">
        <v>0</v>
      </c>
      <c r="V49" s="13">
        <f t="shared" si="4"/>
        <v>0</v>
      </c>
      <c r="W49" s="49">
        <f t="shared" si="5"/>
        <v>4</v>
      </c>
      <c r="X49" s="50">
        <f t="shared" si="6"/>
        <v>1.8815999999999999</v>
      </c>
      <c r="Y49" s="238">
        <v>10</v>
      </c>
      <c r="Z49" s="101">
        <v>20</v>
      </c>
    </row>
    <row r="50" spans="1:26" x14ac:dyDescent="0.25">
      <c r="A50" s="264">
        <v>46</v>
      </c>
      <c r="B50" s="256" t="s">
        <v>175</v>
      </c>
      <c r="C50" s="34">
        <v>140</v>
      </c>
      <c r="D50" s="34">
        <v>240</v>
      </c>
      <c r="E50" s="34">
        <v>12</v>
      </c>
      <c r="F50" s="19">
        <f t="shared" si="2"/>
        <v>0.4032</v>
      </c>
      <c r="G50" s="34">
        <v>5</v>
      </c>
      <c r="H50" s="26">
        <f t="shared" si="3"/>
        <v>2.016</v>
      </c>
      <c r="I50" s="21">
        <v>0</v>
      </c>
      <c r="J50" s="205">
        <f t="shared" si="0"/>
        <v>0</v>
      </c>
      <c r="K50" s="21">
        <v>0</v>
      </c>
      <c r="L50" s="205">
        <f t="shared" si="16"/>
        <v>0</v>
      </c>
      <c r="M50" s="21">
        <v>0</v>
      </c>
      <c r="N50" s="205">
        <f t="shared" si="17"/>
        <v>0</v>
      </c>
      <c r="O50" s="21">
        <v>0</v>
      </c>
      <c r="P50" s="205">
        <f t="shared" si="18"/>
        <v>0</v>
      </c>
      <c r="Q50" s="21">
        <v>0</v>
      </c>
      <c r="R50" s="205">
        <f t="shared" si="19"/>
        <v>0</v>
      </c>
      <c r="S50" s="39">
        <f t="shared" si="7"/>
        <v>5</v>
      </c>
      <c r="T50" s="38">
        <f t="shared" si="1"/>
        <v>2.016</v>
      </c>
      <c r="U50" s="21">
        <v>0</v>
      </c>
      <c r="V50" s="13">
        <f t="shared" si="4"/>
        <v>0</v>
      </c>
      <c r="W50" s="49">
        <f t="shared" si="5"/>
        <v>5</v>
      </c>
      <c r="X50" s="50">
        <f t="shared" si="6"/>
        <v>2.016</v>
      </c>
      <c r="Y50" s="238">
        <v>10</v>
      </c>
      <c r="Z50" s="101">
        <v>20</v>
      </c>
    </row>
    <row r="51" spans="1:26" x14ac:dyDescent="0.25">
      <c r="A51" s="264">
        <v>47</v>
      </c>
      <c r="B51" s="256" t="s">
        <v>176</v>
      </c>
      <c r="C51" s="34">
        <v>130</v>
      </c>
      <c r="D51" s="34">
        <v>60</v>
      </c>
      <c r="E51" s="34">
        <v>5</v>
      </c>
      <c r="F51" s="19">
        <f t="shared" si="2"/>
        <v>3.9E-2</v>
      </c>
      <c r="G51" s="34">
        <v>162</v>
      </c>
      <c r="H51" s="26">
        <f t="shared" si="3"/>
        <v>6.3179999999999996</v>
      </c>
      <c r="I51" s="21">
        <v>0</v>
      </c>
      <c r="J51" s="205">
        <f t="shared" si="0"/>
        <v>0</v>
      </c>
      <c r="K51" s="21">
        <v>0</v>
      </c>
      <c r="L51" s="205">
        <f t="shared" si="16"/>
        <v>0</v>
      </c>
      <c r="M51" s="21">
        <v>0</v>
      </c>
      <c r="N51" s="205">
        <f t="shared" si="17"/>
        <v>0</v>
      </c>
      <c r="O51" s="21">
        <v>0</v>
      </c>
      <c r="P51" s="205">
        <f t="shared" si="18"/>
        <v>0</v>
      </c>
      <c r="Q51" s="21">
        <v>0</v>
      </c>
      <c r="R51" s="205">
        <f t="shared" si="19"/>
        <v>0</v>
      </c>
      <c r="S51" s="39">
        <f t="shared" si="7"/>
        <v>162</v>
      </c>
      <c r="T51" s="38">
        <f t="shared" si="1"/>
        <v>6.3179999999999996</v>
      </c>
      <c r="U51" s="21">
        <v>0</v>
      </c>
      <c r="V51" s="13">
        <f t="shared" si="4"/>
        <v>0</v>
      </c>
      <c r="W51" s="49">
        <f t="shared" si="5"/>
        <v>162</v>
      </c>
      <c r="X51" s="50">
        <f t="shared" si="6"/>
        <v>6.3179999999999996</v>
      </c>
      <c r="Y51" s="238">
        <v>30</v>
      </c>
      <c r="Z51" s="101">
        <v>100</v>
      </c>
    </row>
    <row r="52" spans="1:26" x14ac:dyDescent="0.25">
      <c r="A52" s="264">
        <v>48</v>
      </c>
      <c r="B52" s="256" t="s">
        <v>178</v>
      </c>
      <c r="C52" s="34">
        <v>140</v>
      </c>
      <c r="D52" s="34">
        <v>240</v>
      </c>
      <c r="E52" s="34">
        <v>3</v>
      </c>
      <c r="F52" s="19">
        <f t="shared" si="2"/>
        <v>0.1008</v>
      </c>
      <c r="G52" s="34">
        <v>1240</v>
      </c>
      <c r="H52" s="26">
        <f t="shared" si="3"/>
        <v>124.992</v>
      </c>
      <c r="I52" s="21">
        <v>11</v>
      </c>
      <c r="J52" s="205">
        <f t="shared" si="0"/>
        <v>1.1088</v>
      </c>
      <c r="K52" s="21">
        <v>3</v>
      </c>
      <c r="L52" s="205">
        <f t="shared" si="16"/>
        <v>0.3024</v>
      </c>
      <c r="M52" s="21">
        <v>0</v>
      </c>
      <c r="N52" s="205">
        <f t="shared" si="17"/>
        <v>0</v>
      </c>
      <c r="O52" s="21">
        <v>0</v>
      </c>
      <c r="P52" s="205">
        <f t="shared" si="18"/>
        <v>0</v>
      </c>
      <c r="Q52" s="21">
        <v>10</v>
      </c>
      <c r="R52" s="205">
        <f t="shared" si="19"/>
        <v>1.008</v>
      </c>
      <c r="S52" s="39">
        <f t="shared" si="7"/>
        <v>1216</v>
      </c>
      <c r="T52" s="38">
        <f t="shared" si="1"/>
        <v>122.5728</v>
      </c>
      <c r="U52" s="21">
        <v>0</v>
      </c>
      <c r="V52" s="13">
        <f t="shared" si="4"/>
        <v>0</v>
      </c>
      <c r="W52" s="49">
        <f t="shared" si="5"/>
        <v>1216</v>
      </c>
      <c r="X52" s="50">
        <f t="shared" si="6"/>
        <v>122.5728</v>
      </c>
      <c r="Y52" s="238">
        <v>100</v>
      </c>
      <c r="Z52" s="101">
        <v>300</v>
      </c>
    </row>
    <row r="53" spans="1:26" x14ac:dyDescent="0.25">
      <c r="A53" s="264">
        <v>49</v>
      </c>
      <c r="B53" s="256" t="s">
        <v>87</v>
      </c>
      <c r="C53" s="34">
        <v>0</v>
      </c>
      <c r="D53" s="34">
        <v>0</v>
      </c>
      <c r="E53" s="34">
        <v>0</v>
      </c>
      <c r="F53" s="34">
        <v>0</v>
      </c>
      <c r="G53" s="34">
        <v>0</v>
      </c>
      <c r="H53" s="26">
        <f t="shared" si="3"/>
        <v>0</v>
      </c>
      <c r="I53" s="21">
        <v>0</v>
      </c>
      <c r="J53" s="205">
        <f t="shared" si="0"/>
        <v>0</v>
      </c>
      <c r="K53" s="21">
        <v>0</v>
      </c>
      <c r="L53" s="205">
        <f t="shared" si="0"/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39">
        <f t="shared" si="7"/>
        <v>0</v>
      </c>
      <c r="T53" s="38">
        <f t="shared" si="1"/>
        <v>0</v>
      </c>
      <c r="U53" s="21">
        <v>0</v>
      </c>
      <c r="V53" s="13">
        <f t="shared" si="4"/>
        <v>0</v>
      </c>
      <c r="W53" s="49">
        <f t="shared" si="5"/>
        <v>0</v>
      </c>
      <c r="X53" s="50">
        <f t="shared" si="6"/>
        <v>0</v>
      </c>
      <c r="Y53" s="238">
        <v>0</v>
      </c>
      <c r="Z53" s="101">
        <v>0</v>
      </c>
    </row>
    <row r="54" spans="1:26" x14ac:dyDescent="0.25">
      <c r="A54" s="264">
        <v>50</v>
      </c>
      <c r="B54" s="256" t="s">
        <v>87</v>
      </c>
      <c r="C54" s="34">
        <v>0</v>
      </c>
      <c r="D54" s="34">
        <v>0</v>
      </c>
      <c r="E54" s="34">
        <v>0</v>
      </c>
      <c r="F54" s="34">
        <v>0</v>
      </c>
      <c r="G54" s="34">
        <v>0</v>
      </c>
      <c r="H54" s="26">
        <f t="shared" si="3"/>
        <v>0</v>
      </c>
      <c r="I54" s="21">
        <v>0</v>
      </c>
      <c r="J54" s="205">
        <f t="shared" si="0"/>
        <v>0</v>
      </c>
      <c r="K54" s="21">
        <v>0</v>
      </c>
      <c r="L54" s="205">
        <f t="shared" si="0"/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39">
        <f t="shared" si="7"/>
        <v>0</v>
      </c>
      <c r="T54" s="38">
        <f t="shared" si="1"/>
        <v>0</v>
      </c>
      <c r="U54" s="21">
        <v>0</v>
      </c>
      <c r="V54" s="13">
        <f t="shared" si="4"/>
        <v>0</v>
      </c>
      <c r="W54" s="49">
        <f t="shared" si="5"/>
        <v>0</v>
      </c>
      <c r="X54" s="50">
        <f t="shared" si="6"/>
        <v>0</v>
      </c>
      <c r="Y54" s="238">
        <v>0</v>
      </c>
      <c r="Z54" s="101">
        <v>0</v>
      </c>
    </row>
    <row r="55" spans="1:26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6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6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6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6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6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6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6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6" x14ac:dyDescent="0.2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6" x14ac:dyDescent="0.2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</sheetData>
  <mergeCells count="24">
    <mergeCell ref="S4:T4"/>
    <mergeCell ref="U4:V4"/>
    <mergeCell ref="W4:X4"/>
    <mergeCell ref="G4:H4"/>
    <mergeCell ref="I4:J4"/>
    <mergeCell ref="K4:L4"/>
    <mergeCell ref="M4:N4"/>
    <mergeCell ref="O4:P4"/>
    <mergeCell ref="Q4:R4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C1:H1"/>
    <mergeCell ref="G2:H3"/>
    <mergeCell ref="I2:J2"/>
    <mergeCell ref="K2:L2"/>
    <mergeCell ref="M2:N2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Z78"/>
  <sheetViews>
    <sheetView topLeftCell="A31" workbookViewId="0">
      <selection activeCell="R25" sqref="R25"/>
    </sheetView>
  </sheetViews>
  <sheetFormatPr defaultRowHeight="15" x14ac:dyDescent="0.25"/>
  <cols>
    <col min="1" max="1" width="5" customWidth="1"/>
    <col min="2" max="2" width="31.42578125" style="3" customWidth="1"/>
    <col min="3" max="3" width="10.5703125" style="2" hidden="1" customWidth="1"/>
    <col min="4" max="4" width="11.42578125" style="2" hidden="1" customWidth="1"/>
    <col min="5" max="5" width="12.28515625" style="2" hidden="1" customWidth="1"/>
    <col min="6" max="6" width="13" style="4" hidden="1" customWidth="1"/>
    <col min="7" max="7" width="8.7109375" style="5" customWidth="1"/>
    <col min="8" max="8" width="9" style="5" customWidth="1"/>
    <col min="9" max="18" width="8.140625" style="2" customWidth="1"/>
    <col min="19" max="19" width="0.140625" style="2" customWidth="1"/>
    <col min="20" max="20" width="8.140625" style="2" hidden="1" customWidth="1"/>
    <col min="21" max="21" width="9.42578125" customWidth="1"/>
    <col min="22" max="22" width="11.7109375" customWidth="1"/>
    <col min="25" max="25" width="10.28515625" customWidth="1"/>
  </cols>
  <sheetData>
    <row r="1" spans="1:26" ht="15.75" thickBot="1" x14ac:dyDescent="0.3">
      <c r="B1" s="4" t="s">
        <v>18</v>
      </c>
      <c r="C1" s="384">
        <v>45444</v>
      </c>
      <c r="D1" s="320"/>
      <c r="E1" s="320"/>
      <c r="F1" s="320"/>
      <c r="G1" s="320"/>
      <c r="H1" s="320"/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45450</v>
      </c>
      <c r="J2" s="326"/>
      <c r="K2" s="327">
        <v>45457</v>
      </c>
      <c r="L2" s="328"/>
      <c r="M2" s="325">
        <v>45461</v>
      </c>
      <c r="N2" s="329"/>
      <c r="O2" s="327">
        <v>45467</v>
      </c>
      <c r="P2" s="346"/>
      <c r="Q2" s="325">
        <v>45473</v>
      </c>
      <c r="R2" s="329"/>
      <c r="S2" s="330" t="s">
        <v>69</v>
      </c>
      <c r="T2" s="331"/>
      <c r="U2" s="334" t="s">
        <v>70</v>
      </c>
      <c r="V2" s="335"/>
      <c r="W2" s="385" t="s">
        <v>71</v>
      </c>
      <c r="X2" s="386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87"/>
      <c r="X3" s="388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89" t="s">
        <v>63</v>
      </c>
      <c r="X4" s="390"/>
      <c r="Y4" s="268" t="s">
        <v>179</v>
      </c>
      <c r="Z4" s="269" t="s">
        <v>99</v>
      </c>
    </row>
    <row r="5" spans="1:26" x14ac:dyDescent="0.25">
      <c r="A5" s="263">
        <v>1</v>
      </c>
      <c r="B5" s="256" t="s">
        <v>134</v>
      </c>
      <c r="C5" s="32">
        <v>70</v>
      </c>
      <c r="D5" s="33">
        <v>64</v>
      </c>
      <c r="E5" s="33">
        <v>8</v>
      </c>
      <c r="F5" s="15">
        <f>(C5*D5*E5)/1000000</f>
        <v>3.5839999999999997E-2</v>
      </c>
      <c r="G5" s="286">
        <v>516</v>
      </c>
      <c r="H5" s="287">
        <f>F5*G5</f>
        <v>18.49344</v>
      </c>
      <c r="I5" s="290">
        <v>0</v>
      </c>
      <c r="J5" s="205">
        <f t="shared" ref="J5:R54" si="0">F5*I5</f>
        <v>0</v>
      </c>
      <c r="K5" s="290">
        <v>0</v>
      </c>
      <c r="L5" s="205">
        <f>F5*K5</f>
        <v>0</v>
      </c>
      <c r="M5" s="290">
        <v>0</v>
      </c>
      <c r="N5" s="205">
        <f>F5*M5</f>
        <v>0</v>
      </c>
      <c r="O5" s="290">
        <v>0</v>
      </c>
      <c r="P5" s="205">
        <f>F5*O5</f>
        <v>0</v>
      </c>
      <c r="Q5" s="290">
        <v>0</v>
      </c>
      <c r="R5" s="205">
        <f>F5*Q5</f>
        <v>0</v>
      </c>
      <c r="S5" s="39">
        <f>G5-I5-K5-M5-O5-Q5</f>
        <v>516</v>
      </c>
      <c r="T5" s="38">
        <f t="shared" ref="T5:T54" si="1">F5*S5</f>
        <v>18.49344</v>
      </c>
      <c r="U5" s="292">
        <v>0</v>
      </c>
      <c r="V5" s="13">
        <f>F5*U5</f>
        <v>0</v>
      </c>
      <c r="W5" s="294">
        <f>S5+U5</f>
        <v>516</v>
      </c>
      <c r="X5" s="295">
        <f>F5*W5</f>
        <v>18.49344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135</v>
      </c>
      <c r="C6" s="34">
        <v>70</v>
      </c>
      <c r="D6" s="35">
        <v>80</v>
      </c>
      <c r="E6" s="35">
        <v>8</v>
      </c>
      <c r="F6" s="19">
        <f t="shared" ref="F6:F57" si="2">(C6*D6*E6)/1000000</f>
        <v>4.48E-2</v>
      </c>
      <c r="G6" s="286">
        <v>492</v>
      </c>
      <c r="H6" s="288">
        <f t="shared" ref="H6:H54" si="3">F6*G6</f>
        <v>22.041599999999999</v>
      </c>
      <c r="I6" s="290">
        <v>0</v>
      </c>
      <c r="J6" s="205">
        <f t="shared" si="0"/>
        <v>0</v>
      </c>
      <c r="K6" s="290">
        <v>0</v>
      </c>
      <c r="L6" s="205">
        <f>F6*K6</f>
        <v>0</v>
      </c>
      <c r="M6" s="290">
        <v>0</v>
      </c>
      <c r="N6" s="205">
        <f>F6*M6</f>
        <v>0</v>
      </c>
      <c r="O6" s="290">
        <v>0</v>
      </c>
      <c r="P6" s="205">
        <f>F6*O6</f>
        <v>0</v>
      </c>
      <c r="Q6" s="290">
        <v>0</v>
      </c>
      <c r="R6" s="205">
        <f>F6*Q6</f>
        <v>0</v>
      </c>
      <c r="S6" s="39">
        <f>G6-I6-K6-M6-O6-Q6</f>
        <v>492</v>
      </c>
      <c r="T6" s="38">
        <f t="shared" si="1"/>
        <v>22.041599999999999</v>
      </c>
      <c r="U6" s="292">
        <v>0</v>
      </c>
      <c r="V6" s="13">
        <f t="shared" ref="V6:V57" si="4">F6*U6</f>
        <v>0</v>
      </c>
      <c r="W6" s="294">
        <f t="shared" ref="W6:W57" si="5">S6+U6</f>
        <v>492</v>
      </c>
      <c r="X6" s="295">
        <f t="shared" ref="X6:X57" si="6">F6*W6</f>
        <v>22.041599999999999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136</v>
      </c>
      <c r="C7" s="34">
        <v>70</v>
      </c>
      <c r="D7" s="35">
        <v>74</v>
      </c>
      <c r="E7" s="35">
        <v>8</v>
      </c>
      <c r="F7" s="19">
        <f t="shared" si="2"/>
        <v>4.1439999999999998E-2</v>
      </c>
      <c r="G7" s="286">
        <v>531</v>
      </c>
      <c r="H7" s="288">
        <f t="shared" si="3"/>
        <v>22.004639999999998</v>
      </c>
      <c r="I7" s="290">
        <v>0</v>
      </c>
      <c r="J7" s="205">
        <f t="shared" si="0"/>
        <v>0</v>
      </c>
      <c r="K7" s="290">
        <v>0</v>
      </c>
      <c r="L7" s="205">
        <f>F7*K7</f>
        <v>0</v>
      </c>
      <c r="M7" s="290">
        <v>0</v>
      </c>
      <c r="N7" s="205">
        <f>F7*M7</f>
        <v>0</v>
      </c>
      <c r="O7" s="290">
        <v>0</v>
      </c>
      <c r="P7" s="205">
        <f>F7*O7</f>
        <v>0</v>
      </c>
      <c r="Q7" s="290">
        <v>14</v>
      </c>
      <c r="R7" s="205">
        <f>F7*Q7</f>
        <v>0.58016000000000001</v>
      </c>
      <c r="S7" s="39">
        <f t="shared" ref="S7:S54" si="7">G7-I7-K7-M7-O7-Q7</f>
        <v>517</v>
      </c>
      <c r="T7" s="38">
        <f t="shared" si="1"/>
        <v>21.424479999999999</v>
      </c>
      <c r="U7" s="292">
        <v>0</v>
      </c>
      <c r="V7" s="13">
        <f t="shared" si="4"/>
        <v>0</v>
      </c>
      <c r="W7" s="294">
        <f t="shared" si="5"/>
        <v>517</v>
      </c>
      <c r="X7" s="295">
        <f t="shared" si="6"/>
        <v>21.424479999999999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137</v>
      </c>
      <c r="C8" s="34">
        <v>80</v>
      </c>
      <c r="D8" s="35">
        <v>64</v>
      </c>
      <c r="E8" s="35">
        <v>5</v>
      </c>
      <c r="F8" s="19">
        <f t="shared" si="2"/>
        <v>2.5600000000000001E-2</v>
      </c>
      <c r="G8" s="286">
        <v>100</v>
      </c>
      <c r="H8" s="288">
        <f t="shared" si="3"/>
        <v>2.56</v>
      </c>
      <c r="I8" s="290">
        <v>0</v>
      </c>
      <c r="J8" s="205">
        <f t="shared" si="0"/>
        <v>0</v>
      </c>
      <c r="K8" s="290">
        <v>0</v>
      </c>
      <c r="L8" s="205">
        <f>F8*K8</f>
        <v>0</v>
      </c>
      <c r="M8" s="290">
        <v>0</v>
      </c>
      <c r="N8" s="205">
        <f>F8*M8</f>
        <v>0</v>
      </c>
      <c r="O8" s="290">
        <v>0</v>
      </c>
      <c r="P8" s="205">
        <f>F8*O8</f>
        <v>0</v>
      </c>
      <c r="Q8" s="290">
        <v>0</v>
      </c>
      <c r="R8" s="205">
        <f>F8*Q8</f>
        <v>0</v>
      </c>
      <c r="S8" s="39">
        <f t="shared" si="7"/>
        <v>100</v>
      </c>
      <c r="T8" s="38">
        <f t="shared" si="1"/>
        <v>2.56</v>
      </c>
      <c r="U8" s="292">
        <v>0</v>
      </c>
      <c r="V8" s="13">
        <f t="shared" si="4"/>
        <v>0</v>
      </c>
      <c r="W8" s="294">
        <f t="shared" si="5"/>
        <v>100</v>
      </c>
      <c r="X8" s="295">
        <f t="shared" si="6"/>
        <v>2.56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138</v>
      </c>
      <c r="C9" s="34">
        <v>140</v>
      </c>
      <c r="D9" s="35">
        <v>240</v>
      </c>
      <c r="E9" s="35">
        <v>5</v>
      </c>
      <c r="F9" s="19">
        <f t="shared" si="2"/>
        <v>0.16800000000000001</v>
      </c>
      <c r="G9" s="286">
        <v>338</v>
      </c>
      <c r="H9" s="288">
        <f t="shared" si="3"/>
        <v>56.784000000000006</v>
      </c>
      <c r="I9" s="290">
        <v>18</v>
      </c>
      <c r="J9" s="205">
        <f t="shared" si="0"/>
        <v>3.024</v>
      </c>
      <c r="K9" s="290">
        <v>4</v>
      </c>
      <c r="L9" s="205">
        <f>F9*K9</f>
        <v>0.67200000000000004</v>
      </c>
      <c r="M9" s="290">
        <v>0</v>
      </c>
      <c r="N9" s="205">
        <f>F9*M9</f>
        <v>0</v>
      </c>
      <c r="O9" s="290">
        <v>0</v>
      </c>
      <c r="P9" s="205">
        <f>F9*O9</f>
        <v>0</v>
      </c>
      <c r="Q9" s="290">
        <v>60</v>
      </c>
      <c r="R9" s="205">
        <f>F9*Q9</f>
        <v>10.08</v>
      </c>
      <c r="S9" s="39">
        <f t="shared" si="7"/>
        <v>256</v>
      </c>
      <c r="T9" s="38">
        <f t="shared" si="1"/>
        <v>43.008000000000003</v>
      </c>
      <c r="U9" s="292">
        <v>43</v>
      </c>
      <c r="V9" s="13">
        <f t="shared" si="4"/>
        <v>7.2240000000000002</v>
      </c>
      <c r="W9" s="294">
        <f t="shared" si="5"/>
        <v>299</v>
      </c>
      <c r="X9" s="295">
        <f t="shared" si="6"/>
        <v>50.232000000000006</v>
      </c>
      <c r="Y9" s="238">
        <v>100</v>
      </c>
      <c r="Z9" s="101">
        <v>250</v>
      </c>
    </row>
    <row r="10" spans="1:26" x14ac:dyDescent="0.25">
      <c r="A10" s="264">
        <v>6</v>
      </c>
      <c r="B10" s="256" t="s">
        <v>139</v>
      </c>
      <c r="C10" s="34">
        <v>142</v>
      </c>
      <c r="D10" s="35">
        <v>67</v>
      </c>
      <c r="E10" s="35">
        <v>5</v>
      </c>
      <c r="F10" s="19">
        <f t="shared" si="2"/>
        <v>4.7570000000000001E-2</v>
      </c>
      <c r="G10" s="286">
        <v>8</v>
      </c>
      <c r="H10" s="288">
        <f t="shared" si="3"/>
        <v>0.38056000000000001</v>
      </c>
      <c r="I10" s="290">
        <v>0</v>
      </c>
      <c r="J10" s="205">
        <f t="shared" si="0"/>
        <v>0</v>
      </c>
      <c r="K10" s="290">
        <v>102</v>
      </c>
      <c r="L10" s="205">
        <f t="shared" ref="L10:R10" si="8">F10*K10</f>
        <v>4.8521400000000003</v>
      </c>
      <c r="M10" s="290">
        <v>0</v>
      </c>
      <c r="N10" s="205">
        <f t="shared" si="8"/>
        <v>0</v>
      </c>
      <c r="O10" s="290">
        <v>0</v>
      </c>
      <c r="P10" s="205">
        <f t="shared" si="8"/>
        <v>0</v>
      </c>
      <c r="Q10" s="290">
        <v>0</v>
      </c>
      <c r="R10" s="205">
        <f t="shared" si="8"/>
        <v>0</v>
      </c>
      <c r="S10" s="39">
        <f t="shared" si="7"/>
        <v>-94</v>
      </c>
      <c r="T10" s="38">
        <f t="shared" si="1"/>
        <v>-4.4715800000000003</v>
      </c>
      <c r="U10" s="292">
        <v>198</v>
      </c>
      <c r="V10" s="13">
        <f t="shared" si="4"/>
        <v>9.4188600000000005</v>
      </c>
      <c r="W10" s="294">
        <f t="shared" si="5"/>
        <v>104</v>
      </c>
      <c r="X10" s="295">
        <f t="shared" si="6"/>
        <v>4.9472800000000001</v>
      </c>
      <c r="Y10" s="238">
        <v>75</v>
      </c>
      <c r="Z10" s="101">
        <v>250</v>
      </c>
    </row>
    <row r="11" spans="1:26" x14ac:dyDescent="0.25">
      <c r="A11" s="264">
        <v>7</v>
      </c>
      <c r="B11" s="256" t="s">
        <v>140</v>
      </c>
      <c r="C11" s="34">
        <v>63</v>
      </c>
      <c r="D11" s="35">
        <v>60</v>
      </c>
      <c r="E11" s="35">
        <v>5</v>
      </c>
      <c r="F11" s="19">
        <f t="shared" si="2"/>
        <v>1.89E-2</v>
      </c>
      <c r="G11" s="286">
        <v>0</v>
      </c>
      <c r="H11" s="288">
        <f t="shared" si="3"/>
        <v>0</v>
      </c>
      <c r="I11" s="290">
        <v>0</v>
      </c>
      <c r="J11" s="205">
        <f t="shared" si="0"/>
        <v>0</v>
      </c>
      <c r="K11" s="290">
        <v>0</v>
      </c>
      <c r="L11" s="205">
        <f t="shared" si="0"/>
        <v>0</v>
      </c>
      <c r="M11" s="290">
        <v>0</v>
      </c>
      <c r="N11" s="21">
        <v>0</v>
      </c>
      <c r="O11" s="290">
        <v>0</v>
      </c>
      <c r="P11" s="21">
        <v>0</v>
      </c>
      <c r="Q11" s="290">
        <v>0</v>
      </c>
      <c r="R11" s="21">
        <v>0</v>
      </c>
      <c r="S11" s="39">
        <f t="shared" si="7"/>
        <v>0</v>
      </c>
      <c r="T11" s="38">
        <f t="shared" si="1"/>
        <v>0</v>
      </c>
      <c r="U11" s="292">
        <v>0</v>
      </c>
      <c r="V11" s="13">
        <f t="shared" si="4"/>
        <v>0</v>
      </c>
      <c r="W11" s="294">
        <f t="shared" si="5"/>
        <v>0</v>
      </c>
      <c r="X11" s="295">
        <f t="shared" si="6"/>
        <v>0</v>
      </c>
      <c r="Y11" s="238">
        <v>50</v>
      </c>
      <c r="Z11" s="101">
        <v>100</v>
      </c>
    </row>
    <row r="12" spans="1:26" x14ac:dyDescent="0.25">
      <c r="A12" s="264">
        <v>8</v>
      </c>
      <c r="B12" s="256" t="s">
        <v>141</v>
      </c>
      <c r="C12" s="34">
        <v>52</v>
      </c>
      <c r="D12" s="35">
        <v>52</v>
      </c>
      <c r="E12" s="35">
        <v>5</v>
      </c>
      <c r="F12" s="19">
        <f t="shared" si="2"/>
        <v>1.3520000000000001E-2</v>
      </c>
      <c r="G12" s="286">
        <v>0</v>
      </c>
      <c r="H12" s="288">
        <f t="shared" si="3"/>
        <v>0</v>
      </c>
      <c r="I12" s="290">
        <v>0</v>
      </c>
      <c r="J12" s="205">
        <f t="shared" si="0"/>
        <v>0</v>
      </c>
      <c r="K12" s="290">
        <v>0</v>
      </c>
      <c r="L12" s="205">
        <f>F12*K12</f>
        <v>0</v>
      </c>
      <c r="M12" s="290">
        <v>0</v>
      </c>
      <c r="N12" s="21">
        <v>0</v>
      </c>
      <c r="O12" s="290">
        <v>0</v>
      </c>
      <c r="P12" s="21">
        <v>0</v>
      </c>
      <c r="Q12" s="290">
        <v>0</v>
      </c>
      <c r="R12" s="21">
        <v>0</v>
      </c>
      <c r="S12" s="39">
        <f t="shared" si="7"/>
        <v>0</v>
      </c>
      <c r="T12" s="38">
        <f t="shared" si="1"/>
        <v>0</v>
      </c>
      <c r="U12" s="292">
        <v>0</v>
      </c>
      <c r="V12" s="13">
        <f t="shared" si="4"/>
        <v>0</v>
      </c>
      <c r="W12" s="294">
        <f t="shared" si="5"/>
        <v>0</v>
      </c>
      <c r="X12" s="295">
        <f t="shared" si="6"/>
        <v>0</v>
      </c>
      <c r="Y12" s="238">
        <v>50</v>
      </c>
      <c r="Z12" s="101">
        <v>100</v>
      </c>
    </row>
    <row r="13" spans="1:26" x14ac:dyDescent="0.25">
      <c r="A13" s="264">
        <v>9</v>
      </c>
      <c r="B13" s="256" t="s">
        <v>142</v>
      </c>
      <c r="C13" s="34">
        <v>140</v>
      </c>
      <c r="D13" s="35">
        <v>240</v>
      </c>
      <c r="E13" s="35">
        <v>5</v>
      </c>
      <c r="F13" s="19">
        <f t="shared" si="2"/>
        <v>0.16800000000000001</v>
      </c>
      <c r="G13" s="286">
        <v>131</v>
      </c>
      <c r="H13" s="288">
        <f t="shared" si="3"/>
        <v>22.008000000000003</v>
      </c>
      <c r="I13" s="290">
        <v>5</v>
      </c>
      <c r="J13" s="205">
        <f t="shared" si="0"/>
        <v>0.84000000000000008</v>
      </c>
      <c r="K13" s="290">
        <v>8</v>
      </c>
      <c r="L13" s="205">
        <f>F13*K13</f>
        <v>1.3440000000000001</v>
      </c>
      <c r="M13" s="290">
        <v>0</v>
      </c>
      <c r="N13" s="205">
        <f>F13*M13</f>
        <v>0</v>
      </c>
      <c r="O13" s="290">
        <v>0</v>
      </c>
      <c r="P13" s="205">
        <f>F13*O13</f>
        <v>0</v>
      </c>
      <c r="Q13" s="290">
        <v>1</v>
      </c>
      <c r="R13" s="205">
        <f>F13*Q13</f>
        <v>0.16800000000000001</v>
      </c>
      <c r="S13" s="39">
        <f t="shared" si="7"/>
        <v>117</v>
      </c>
      <c r="T13" s="38">
        <f t="shared" si="1"/>
        <v>19.656000000000002</v>
      </c>
      <c r="U13" s="292">
        <v>0</v>
      </c>
      <c r="V13" s="13">
        <f t="shared" si="4"/>
        <v>0</v>
      </c>
      <c r="W13" s="294">
        <f t="shared" si="5"/>
        <v>117</v>
      </c>
      <c r="X13" s="295">
        <f t="shared" si="6"/>
        <v>19.656000000000002</v>
      </c>
      <c r="Y13" s="238">
        <v>100</v>
      </c>
      <c r="Z13" s="101">
        <v>300</v>
      </c>
    </row>
    <row r="14" spans="1:26" x14ac:dyDescent="0.25">
      <c r="A14" s="264">
        <v>10</v>
      </c>
      <c r="B14" s="256" t="s">
        <v>143</v>
      </c>
      <c r="C14" s="34">
        <v>90</v>
      </c>
      <c r="D14" s="35">
        <v>85</v>
      </c>
      <c r="E14" s="35">
        <v>5</v>
      </c>
      <c r="F14" s="19">
        <f t="shared" si="2"/>
        <v>3.8249999999999999E-2</v>
      </c>
      <c r="G14" s="286">
        <v>56</v>
      </c>
      <c r="H14" s="288">
        <f t="shared" si="3"/>
        <v>2.1419999999999999</v>
      </c>
      <c r="I14" s="290">
        <v>0</v>
      </c>
      <c r="J14" s="205">
        <f t="shared" si="0"/>
        <v>0</v>
      </c>
      <c r="K14" s="290">
        <v>0</v>
      </c>
      <c r="L14" s="205">
        <f t="shared" ref="L14:L20" si="9">F14*K14</f>
        <v>0</v>
      </c>
      <c r="M14" s="290">
        <v>0</v>
      </c>
      <c r="N14" s="205">
        <f t="shared" si="0"/>
        <v>0</v>
      </c>
      <c r="O14" s="290">
        <v>0</v>
      </c>
      <c r="P14" s="205">
        <f t="shared" si="0"/>
        <v>0</v>
      </c>
      <c r="Q14" s="290">
        <v>0</v>
      </c>
      <c r="R14" s="205">
        <f t="shared" si="0"/>
        <v>0</v>
      </c>
      <c r="S14" s="39">
        <f t="shared" si="7"/>
        <v>56</v>
      </c>
      <c r="T14" s="38">
        <f t="shared" si="1"/>
        <v>2.1419999999999999</v>
      </c>
      <c r="U14" s="292">
        <v>0</v>
      </c>
      <c r="V14" s="13">
        <f t="shared" si="4"/>
        <v>0</v>
      </c>
      <c r="W14" s="294">
        <f t="shared" si="5"/>
        <v>56</v>
      </c>
      <c r="X14" s="295">
        <f t="shared" si="6"/>
        <v>2.1419999999999999</v>
      </c>
      <c r="Y14" s="238">
        <v>50</v>
      </c>
      <c r="Z14" s="101">
        <v>100</v>
      </c>
    </row>
    <row r="15" spans="1:26" x14ac:dyDescent="0.25">
      <c r="A15" s="264">
        <v>11</v>
      </c>
      <c r="B15" s="256" t="s">
        <v>144</v>
      </c>
      <c r="C15" s="34">
        <v>140</v>
      </c>
      <c r="D15" s="35">
        <v>240</v>
      </c>
      <c r="E15" s="35">
        <v>5</v>
      </c>
      <c r="F15" s="19">
        <f t="shared" si="2"/>
        <v>0.16800000000000001</v>
      </c>
      <c r="G15" s="286">
        <v>86</v>
      </c>
      <c r="H15" s="288">
        <f t="shared" si="3"/>
        <v>14.448</v>
      </c>
      <c r="I15" s="290">
        <v>7</v>
      </c>
      <c r="J15" s="205">
        <f t="shared" si="0"/>
        <v>1.1760000000000002</v>
      </c>
      <c r="K15" s="290">
        <v>3</v>
      </c>
      <c r="L15" s="205">
        <f t="shared" si="9"/>
        <v>0.504</v>
      </c>
      <c r="M15" s="290">
        <v>0</v>
      </c>
      <c r="N15" s="205">
        <f t="shared" ref="N15:N20" si="10">F15*M15</f>
        <v>0</v>
      </c>
      <c r="O15" s="290">
        <v>0</v>
      </c>
      <c r="P15" s="205">
        <f t="shared" ref="P15:P20" si="11">F15*O15</f>
        <v>0</v>
      </c>
      <c r="Q15" s="290">
        <v>0</v>
      </c>
      <c r="R15" s="205">
        <f t="shared" ref="R15:R20" si="12">F15*Q15</f>
        <v>0</v>
      </c>
      <c r="S15" s="39">
        <f t="shared" si="7"/>
        <v>76</v>
      </c>
      <c r="T15" s="38">
        <f t="shared" si="1"/>
        <v>12.768000000000001</v>
      </c>
      <c r="U15" s="292">
        <v>0</v>
      </c>
      <c r="V15" s="13">
        <f t="shared" si="4"/>
        <v>0</v>
      </c>
      <c r="W15" s="294">
        <f t="shared" si="5"/>
        <v>76</v>
      </c>
      <c r="X15" s="295">
        <f t="shared" si="6"/>
        <v>12.768000000000001</v>
      </c>
      <c r="Y15" s="238">
        <v>200</v>
      </c>
      <c r="Z15" s="101">
        <v>400</v>
      </c>
    </row>
    <row r="16" spans="1:26" x14ac:dyDescent="0.25">
      <c r="A16" s="264">
        <v>12</v>
      </c>
      <c r="B16" s="256" t="s">
        <v>145</v>
      </c>
      <c r="C16" s="34">
        <v>140</v>
      </c>
      <c r="D16" s="35">
        <v>240</v>
      </c>
      <c r="E16" s="35">
        <v>5</v>
      </c>
      <c r="F16" s="19">
        <f t="shared" si="2"/>
        <v>0.16800000000000001</v>
      </c>
      <c r="G16" s="286">
        <v>106</v>
      </c>
      <c r="H16" s="288">
        <f t="shared" si="3"/>
        <v>17.808</v>
      </c>
      <c r="I16" s="290">
        <v>11</v>
      </c>
      <c r="J16" s="205">
        <f t="shared" si="0"/>
        <v>1.8480000000000001</v>
      </c>
      <c r="K16" s="290">
        <v>7</v>
      </c>
      <c r="L16" s="205">
        <f t="shared" si="9"/>
        <v>1.1760000000000002</v>
      </c>
      <c r="M16" s="290">
        <v>0</v>
      </c>
      <c r="N16" s="205">
        <f t="shared" si="10"/>
        <v>0</v>
      </c>
      <c r="O16" s="290">
        <v>0</v>
      </c>
      <c r="P16" s="205">
        <f t="shared" si="11"/>
        <v>0</v>
      </c>
      <c r="Q16" s="290">
        <v>30</v>
      </c>
      <c r="R16" s="205">
        <f t="shared" si="12"/>
        <v>5.04</v>
      </c>
      <c r="S16" s="39">
        <f t="shared" si="7"/>
        <v>58</v>
      </c>
      <c r="T16" s="38">
        <f t="shared" si="1"/>
        <v>9.7439999999999998</v>
      </c>
      <c r="U16" s="292">
        <v>0</v>
      </c>
      <c r="V16" s="13">
        <f t="shared" si="4"/>
        <v>0</v>
      </c>
      <c r="W16" s="294">
        <f t="shared" si="5"/>
        <v>58</v>
      </c>
      <c r="X16" s="295">
        <f t="shared" si="6"/>
        <v>9.7439999999999998</v>
      </c>
      <c r="Y16" s="238">
        <v>200</v>
      </c>
      <c r="Z16" s="101">
        <v>500</v>
      </c>
    </row>
    <row r="17" spans="1:26" x14ac:dyDescent="0.25">
      <c r="A17" s="264">
        <v>13</v>
      </c>
      <c r="B17" s="256" t="s">
        <v>146</v>
      </c>
      <c r="C17" s="34">
        <v>140</v>
      </c>
      <c r="D17" s="35">
        <v>240</v>
      </c>
      <c r="E17" s="35">
        <v>8</v>
      </c>
      <c r="F17" s="19">
        <f t="shared" si="2"/>
        <v>0.26879999999999998</v>
      </c>
      <c r="G17" s="286">
        <v>4</v>
      </c>
      <c r="H17" s="288">
        <f t="shared" si="3"/>
        <v>1.0751999999999999</v>
      </c>
      <c r="I17" s="290">
        <v>0</v>
      </c>
      <c r="J17" s="205">
        <f t="shared" si="0"/>
        <v>0</v>
      </c>
      <c r="K17" s="290">
        <v>2</v>
      </c>
      <c r="L17" s="205">
        <f t="shared" si="9"/>
        <v>0.53759999999999997</v>
      </c>
      <c r="M17" s="290">
        <v>0</v>
      </c>
      <c r="N17" s="205">
        <f t="shared" si="10"/>
        <v>0</v>
      </c>
      <c r="O17" s="290">
        <v>0</v>
      </c>
      <c r="P17" s="205">
        <f t="shared" si="11"/>
        <v>0</v>
      </c>
      <c r="Q17" s="290">
        <v>0</v>
      </c>
      <c r="R17" s="205">
        <f t="shared" si="12"/>
        <v>0</v>
      </c>
      <c r="S17" s="39">
        <f t="shared" si="7"/>
        <v>2</v>
      </c>
      <c r="T17" s="38">
        <f t="shared" si="1"/>
        <v>0.53759999999999997</v>
      </c>
      <c r="U17" s="292">
        <v>20</v>
      </c>
      <c r="V17" s="13">
        <f t="shared" si="4"/>
        <v>5.3759999999999994</v>
      </c>
      <c r="W17" s="294">
        <f t="shared" si="5"/>
        <v>22</v>
      </c>
      <c r="X17" s="295">
        <f t="shared" si="6"/>
        <v>5.9135999999999997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147</v>
      </c>
      <c r="C18" s="34">
        <v>77</v>
      </c>
      <c r="D18" s="35">
        <v>86</v>
      </c>
      <c r="E18" s="35">
        <v>8</v>
      </c>
      <c r="F18" s="19">
        <f t="shared" si="2"/>
        <v>5.2976000000000002E-2</v>
      </c>
      <c r="G18" s="286">
        <v>357</v>
      </c>
      <c r="H18" s="288">
        <f t="shared" si="3"/>
        <v>18.912432000000003</v>
      </c>
      <c r="I18" s="290">
        <v>0</v>
      </c>
      <c r="J18" s="205">
        <f t="shared" si="0"/>
        <v>0</v>
      </c>
      <c r="K18" s="290">
        <v>0</v>
      </c>
      <c r="L18" s="205">
        <f t="shared" si="9"/>
        <v>0</v>
      </c>
      <c r="M18" s="290">
        <v>0</v>
      </c>
      <c r="N18" s="205">
        <f t="shared" si="10"/>
        <v>0</v>
      </c>
      <c r="O18" s="290">
        <v>0</v>
      </c>
      <c r="P18" s="205">
        <f t="shared" si="11"/>
        <v>0</v>
      </c>
      <c r="Q18" s="290">
        <v>0</v>
      </c>
      <c r="R18" s="205">
        <f t="shared" si="12"/>
        <v>0</v>
      </c>
      <c r="S18" s="39">
        <f t="shared" si="7"/>
        <v>357</v>
      </c>
      <c r="T18" s="38">
        <f t="shared" si="1"/>
        <v>18.912432000000003</v>
      </c>
      <c r="U18" s="292">
        <v>0</v>
      </c>
      <c r="V18" s="13">
        <f t="shared" si="4"/>
        <v>0</v>
      </c>
      <c r="W18" s="294">
        <f t="shared" si="5"/>
        <v>357</v>
      </c>
      <c r="X18" s="295">
        <f t="shared" si="6"/>
        <v>18.912432000000003</v>
      </c>
      <c r="Y18" s="238">
        <v>100</v>
      </c>
      <c r="Z18" s="101">
        <v>300</v>
      </c>
    </row>
    <row r="19" spans="1:26" x14ac:dyDescent="0.25">
      <c r="A19" s="264">
        <v>15</v>
      </c>
      <c r="B19" s="256" t="s">
        <v>148</v>
      </c>
      <c r="C19" s="34">
        <v>77</v>
      </c>
      <c r="D19" s="35">
        <v>68</v>
      </c>
      <c r="E19" s="35">
        <v>8</v>
      </c>
      <c r="F19" s="19">
        <f t="shared" si="2"/>
        <v>4.1888000000000002E-2</v>
      </c>
      <c r="G19" s="286">
        <v>353</v>
      </c>
      <c r="H19" s="288">
        <f t="shared" si="3"/>
        <v>14.786464</v>
      </c>
      <c r="I19" s="290">
        <v>0</v>
      </c>
      <c r="J19" s="205">
        <f t="shared" si="0"/>
        <v>0</v>
      </c>
      <c r="K19" s="290">
        <v>0</v>
      </c>
      <c r="L19" s="205">
        <f t="shared" si="9"/>
        <v>0</v>
      </c>
      <c r="M19" s="290">
        <v>0</v>
      </c>
      <c r="N19" s="205">
        <f t="shared" si="10"/>
        <v>0</v>
      </c>
      <c r="O19" s="290">
        <v>0</v>
      </c>
      <c r="P19" s="205">
        <f t="shared" si="11"/>
        <v>0</v>
      </c>
      <c r="Q19" s="290">
        <v>0</v>
      </c>
      <c r="R19" s="205">
        <f t="shared" si="12"/>
        <v>0</v>
      </c>
      <c r="S19" s="39">
        <f t="shared" si="7"/>
        <v>353</v>
      </c>
      <c r="T19" s="38">
        <f t="shared" si="1"/>
        <v>14.786464</v>
      </c>
      <c r="U19" s="292">
        <v>0</v>
      </c>
      <c r="V19" s="13">
        <f t="shared" si="4"/>
        <v>0</v>
      </c>
      <c r="W19" s="294">
        <f t="shared" si="5"/>
        <v>353</v>
      </c>
      <c r="X19" s="295">
        <f t="shared" si="6"/>
        <v>14.786464</v>
      </c>
      <c r="Y19" s="238">
        <v>100</v>
      </c>
      <c r="Z19" s="101">
        <v>300</v>
      </c>
    </row>
    <row r="20" spans="1:26" x14ac:dyDescent="0.25">
      <c r="A20" s="264">
        <v>16</v>
      </c>
      <c r="B20" s="256" t="s">
        <v>149</v>
      </c>
      <c r="C20" s="34">
        <v>76</v>
      </c>
      <c r="D20" s="35">
        <v>75</v>
      </c>
      <c r="E20" s="35">
        <v>8</v>
      </c>
      <c r="F20" s="19">
        <f t="shared" si="2"/>
        <v>4.5600000000000002E-2</v>
      </c>
      <c r="G20" s="286">
        <v>273</v>
      </c>
      <c r="H20" s="288">
        <f t="shared" si="3"/>
        <v>12.4488</v>
      </c>
      <c r="I20" s="290">
        <v>0</v>
      </c>
      <c r="J20" s="205">
        <f t="shared" si="0"/>
        <v>0</v>
      </c>
      <c r="K20" s="290">
        <v>0</v>
      </c>
      <c r="L20" s="205">
        <f t="shared" si="9"/>
        <v>0</v>
      </c>
      <c r="M20" s="290">
        <v>0</v>
      </c>
      <c r="N20" s="205">
        <f t="shared" si="10"/>
        <v>0</v>
      </c>
      <c r="O20" s="290">
        <v>0</v>
      </c>
      <c r="P20" s="205">
        <f t="shared" si="11"/>
        <v>0</v>
      </c>
      <c r="Q20" s="290">
        <v>0</v>
      </c>
      <c r="R20" s="205">
        <f t="shared" si="12"/>
        <v>0</v>
      </c>
      <c r="S20" s="39">
        <f t="shared" si="7"/>
        <v>273</v>
      </c>
      <c r="T20" s="38">
        <f t="shared" si="1"/>
        <v>12.4488</v>
      </c>
      <c r="U20" s="292">
        <v>0</v>
      </c>
      <c r="V20" s="13">
        <f t="shared" si="4"/>
        <v>0</v>
      </c>
      <c r="W20" s="294">
        <f t="shared" si="5"/>
        <v>273</v>
      </c>
      <c r="X20" s="295">
        <f t="shared" si="6"/>
        <v>12.4488</v>
      </c>
      <c r="Y20" s="238">
        <v>100</v>
      </c>
      <c r="Z20" s="101">
        <v>300</v>
      </c>
    </row>
    <row r="21" spans="1:26" x14ac:dyDescent="0.25">
      <c r="A21" s="264">
        <v>17</v>
      </c>
      <c r="B21" s="256" t="s">
        <v>150</v>
      </c>
      <c r="C21" s="34">
        <v>60</v>
      </c>
      <c r="D21" s="35">
        <v>63</v>
      </c>
      <c r="E21" s="35">
        <v>10</v>
      </c>
      <c r="F21" s="19">
        <f t="shared" si="2"/>
        <v>3.78E-2</v>
      </c>
      <c r="G21" s="286">
        <v>809</v>
      </c>
      <c r="H21" s="288">
        <f t="shared" si="3"/>
        <v>30.580200000000001</v>
      </c>
      <c r="I21" s="290">
        <v>0</v>
      </c>
      <c r="J21" s="205">
        <f t="shared" si="0"/>
        <v>0</v>
      </c>
      <c r="K21" s="290">
        <v>0</v>
      </c>
      <c r="L21" s="205">
        <f t="shared" si="0"/>
        <v>0</v>
      </c>
      <c r="M21" s="290">
        <v>0</v>
      </c>
      <c r="N21" s="21">
        <v>0</v>
      </c>
      <c r="O21" s="290">
        <v>0</v>
      </c>
      <c r="P21" s="21">
        <v>0</v>
      </c>
      <c r="Q21" s="290">
        <v>0</v>
      </c>
      <c r="R21" s="21">
        <v>0</v>
      </c>
      <c r="S21" s="39">
        <f t="shared" si="7"/>
        <v>809</v>
      </c>
      <c r="T21" s="38">
        <f t="shared" si="1"/>
        <v>30.580200000000001</v>
      </c>
      <c r="U21" s="292">
        <v>266</v>
      </c>
      <c r="V21" s="13">
        <f t="shared" si="4"/>
        <v>10.0548</v>
      </c>
      <c r="W21" s="294">
        <f t="shared" si="5"/>
        <v>1075</v>
      </c>
      <c r="X21" s="295">
        <f t="shared" si="6"/>
        <v>40.634999999999998</v>
      </c>
      <c r="Y21" s="238">
        <v>50</v>
      </c>
      <c r="Z21" s="101">
        <v>200</v>
      </c>
    </row>
    <row r="22" spans="1:26" x14ac:dyDescent="0.25">
      <c r="A22" s="264">
        <v>18</v>
      </c>
      <c r="B22" s="256" t="s">
        <v>151</v>
      </c>
      <c r="C22" s="34">
        <v>63</v>
      </c>
      <c r="D22" s="35">
        <v>60</v>
      </c>
      <c r="E22" s="35">
        <v>3</v>
      </c>
      <c r="F22" s="19">
        <f t="shared" si="2"/>
        <v>1.1339999999999999E-2</v>
      </c>
      <c r="G22" s="286">
        <v>16</v>
      </c>
      <c r="H22" s="288">
        <f t="shared" si="3"/>
        <v>0.18143999999999999</v>
      </c>
      <c r="I22" s="290">
        <v>0</v>
      </c>
      <c r="J22" s="205">
        <f t="shared" si="0"/>
        <v>0</v>
      </c>
      <c r="K22" s="290">
        <v>0</v>
      </c>
      <c r="L22" s="205">
        <f t="shared" si="0"/>
        <v>0</v>
      </c>
      <c r="M22" s="290">
        <v>0</v>
      </c>
      <c r="N22" s="21">
        <v>0</v>
      </c>
      <c r="O22" s="290">
        <v>0</v>
      </c>
      <c r="P22" s="21">
        <v>0</v>
      </c>
      <c r="Q22" s="290">
        <v>0</v>
      </c>
      <c r="R22" s="21">
        <v>0</v>
      </c>
      <c r="S22" s="39">
        <f t="shared" si="7"/>
        <v>16</v>
      </c>
      <c r="T22" s="38">
        <f t="shared" si="1"/>
        <v>0.18143999999999999</v>
      </c>
      <c r="U22" s="292">
        <v>314</v>
      </c>
      <c r="V22" s="13">
        <f t="shared" si="4"/>
        <v>3.5607599999999997</v>
      </c>
      <c r="W22" s="294">
        <f t="shared" si="5"/>
        <v>330</v>
      </c>
      <c r="X22" s="295">
        <f t="shared" si="6"/>
        <v>3.7422</v>
      </c>
      <c r="Y22" s="238">
        <v>50</v>
      </c>
      <c r="Z22" s="101">
        <v>200</v>
      </c>
    </row>
    <row r="23" spans="1:26" x14ac:dyDescent="0.25">
      <c r="A23" s="264">
        <v>19</v>
      </c>
      <c r="B23" s="42" t="s">
        <v>152</v>
      </c>
      <c r="C23" s="34">
        <v>140</v>
      </c>
      <c r="D23" s="35">
        <v>240</v>
      </c>
      <c r="E23" s="35">
        <v>1.4</v>
      </c>
      <c r="F23" s="19">
        <f t="shared" si="2"/>
        <v>4.7039999999999998E-2</v>
      </c>
      <c r="G23" s="286">
        <v>1632</v>
      </c>
      <c r="H23" s="288">
        <f t="shared" si="3"/>
        <v>76.769279999999995</v>
      </c>
      <c r="I23" s="290">
        <v>48</v>
      </c>
      <c r="J23" s="205">
        <f t="shared" si="0"/>
        <v>2.2579199999999999</v>
      </c>
      <c r="K23" s="290">
        <v>53</v>
      </c>
      <c r="L23" s="205">
        <f t="shared" ref="L23:L36" si="13">F23*K23</f>
        <v>2.4931199999999998</v>
      </c>
      <c r="M23" s="290">
        <v>0</v>
      </c>
      <c r="N23" s="205">
        <f t="shared" ref="N23:N36" si="14">F23*M23</f>
        <v>0</v>
      </c>
      <c r="O23" s="290">
        <v>0</v>
      </c>
      <c r="P23" s="205">
        <f t="shared" ref="P23:P36" si="15">F23*O23</f>
        <v>0</v>
      </c>
      <c r="Q23" s="290">
        <v>58</v>
      </c>
      <c r="R23" s="205">
        <f t="shared" ref="R23:R36" si="16">F23*Q23</f>
        <v>2.7283200000000001</v>
      </c>
      <c r="S23" s="39">
        <f t="shared" si="7"/>
        <v>1473</v>
      </c>
      <c r="T23" s="38">
        <f t="shared" si="1"/>
        <v>69.289919999999995</v>
      </c>
      <c r="U23" s="292">
        <v>0</v>
      </c>
      <c r="V23" s="13">
        <f t="shared" si="4"/>
        <v>0</v>
      </c>
      <c r="W23" s="294">
        <f t="shared" si="5"/>
        <v>1473</v>
      </c>
      <c r="X23" s="295">
        <f t="shared" si="6"/>
        <v>69.289919999999995</v>
      </c>
      <c r="Y23" s="238">
        <v>200</v>
      </c>
      <c r="Z23" s="101">
        <v>500</v>
      </c>
    </row>
    <row r="24" spans="1:26" x14ac:dyDescent="0.25">
      <c r="A24" s="264">
        <v>20</v>
      </c>
      <c r="B24" s="256" t="s">
        <v>3</v>
      </c>
      <c r="C24" s="34">
        <v>140</v>
      </c>
      <c r="D24" s="35">
        <v>240</v>
      </c>
      <c r="E24" s="35">
        <v>0.8</v>
      </c>
      <c r="F24" s="19">
        <f t="shared" si="2"/>
        <v>2.6880000000000001E-2</v>
      </c>
      <c r="G24" s="286">
        <v>552</v>
      </c>
      <c r="H24" s="288">
        <f t="shared" si="3"/>
        <v>14.837760000000001</v>
      </c>
      <c r="I24" s="290">
        <v>5</v>
      </c>
      <c r="J24" s="205">
        <f t="shared" si="0"/>
        <v>0.13440000000000002</v>
      </c>
      <c r="K24" s="290">
        <v>5</v>
      </c>
      <c r="L24" s="205">
        <f t="shared" si="13"/>
        <v>0.13440000000000002</v>
      </c>
      <c r="M24" s="290">
        <v>0</v>
      </c>
      <c r="N24" s="205">
        <f t="shared" si="14"/>
        <v>0</v>
      </c>
      <c r="O24" s="290">
        <v>0</v>
      </c>
      <c r="P24" s="205">
        <f t="shared" si="15"/>
        <v>0</v>
      </c>
      <c r="Q24" s="290">
        <v>12</v>
      </c>
      <c r="R24" s="205">
        <f t="shared" si="16"/>
        <v>0.32256000000000001</v>
      </c>
      <c r="S24" s="39">
        <f t="shared" si="7"/>
        <v>530</v>
      </c>
      <c r="T24" s="38">
        <f t="shared" si="1"/>
        <v>14.246400000000001</v>
      </c>
      <c r="U24" s="292">
        <v>0</v>
      </c>
      <c r="V24" s="13">
        <f t="shared" si="4"/>
        <v>0</v>
      </c>
      <c r="W24" s="294">
        <f t="shared" si="5"/>
        <v>530</v>
      </c>
      <c r="X24" s="295">
        <f t="shared" si="6"/>
        <v>14.246400000000001</v>
      </c>
      <c r="Y24" s="238">
        <v>100</v>
      </c>
      <c r="Z24" s="101">
        <v>300</v>
      </c>
    </row>
    <row r="25" spans="1:26" x14ac:dyDescent="0.25">
      <c r="A25" s="264">
        <v>21</v>
      </c>
      <c r="B25" s="256" t="s">
        <v>153</v>
      </c>
      <c r="C25" s="34">
        <v>58</v>
      </c>
      <c r="D25" s="35">
        <v>58</v>
      </c>
      <c r="E25" s="35">
        <v>2.2999999999999998</v>
      </c>
      <c r="F25" s="19">
        <f t="shared" si="2"/>
        <v>7.7371999999999996E-3</v>
      </c>
      <c r="G25" s="286">
        <v>71</v>
      </c>
      <c r="H25" s="288">
        <f t="shared" si="3"/>
        <v>0.54934119999999997</v>
      </c>
      <c r="I25" s="290">
        <v>0</v>
      </c>
      <c r="J25" s="205">
        <f t="shared" si="0"/>
        <v>0</v>
      </c>
      <c r="K25" s="290">
        <v>0</v>
      </c>
      <c r="L25" s="205">
        <f t="shared" si="13"/>
        <v>0</v>
      </c>
      <c r="M25" s="290">
        <v>0</v>
      </c>
      <c r="N25" s="205">
        <f t="shared" si="14"/>
        <v>0</v>
      </c>
      <c r="O25" s="290">
        <v>0</v>
      </c>
      <c r="P25" s="205">
        <f t="shared" si="15"/>
        <v>0</v>
      </c>
      <c r="Q25" s="290">
        <v>340</v>
      </c>
      <c r="R25" s="205">
        <f t="shared" si="16"/>
        <v>2.6306479999999999</v>
      </c>
      <c r="S25" s="39">
        <f t="shared" si="7"/>
        <v>-269</v>
      </c>
      <c r="T25" s="38">
        <f t="shared" si="1"/>
        <v>-2.0813068000000001</v>
      </c>
      <c r="U25" s="292">
        <v>1078</v>
      </c>
      <c r="V25" s="13">
        <f t="shared" si="4"/>
        <v>8.3407015999999992</v>
      </c>
      <c r="W25" s="294">
        <f t="shared" si="5"/>
        <v>809</v>
      </c>
      <c r="X25" s="295">
        <f t="shared" si="6"/>
        <v>6.2593947999999999</v>
      </c>
      <c r="Y25" s="238">
        <v>200</v>
      </c>
      <c r="Z25" s="101">
        <v>750</v>
      </c>
    </row>
    <row r="26" spans="1:26" x14ac:dyDescent="0.25">
      <c r="A26" s="264">
        <v>22</v>
      </c>
      <c r="B26" s="256" t="s">
        <v>154</v>
      </c>
      <c r="C26" s="34">
        <v>140</v>
      </c>
      <c r="D26" s="35">
        <v>240</v>
      </c>
      <c r="E26" s="35">
        <v>7</v>
      </c>
      <c r="F26" s="19">
        <f t="shared" si="2"/>
        <v>0.23519999999999999</v>
      </c>
      <c r="G26" s="286">
        <v>42</v>
      </c>
      <c r="H26" s="288">
        <f t="shared" si="3"/>
        <v>9.8783999999999992</v>
      </c>
      <c r="I26" s="290">
        <v>4</v>
      </c>
      <c r="J26" s="205">
        <f t="shared" si="0"/>
        <v>0.94079999999999997</v>
      </c>
      <c r="K26" s="290">
        <v>3</v>
      </c>
      <c r="L26" s="205">
        <f t="shared" si="13"/>
        <v>0.7056</v>
      </c>
      <c r="M26" s="290">
        <v>0</v>
      </c>
      <c r="N26" s="205">
        <f t="shared" si="14"/>
        <v>0</v>
      </c>
      <c r="O26" s="290">
        <v>0</v>
      </c>
      <c r="P26" s="205">
        <f t="shared" si="15"/>
        <v>0</v>
      </c>
      <c r="Q26" s="290">
        <v>8</v>
      </c>
      <c r="R26" s="205">
        <f t="shared" si="16"/>
        <v>1.8815999999999999</v>
      </c>
      <c r="S26" s="39">
        <f t="shared" si="7"/>
        <v>27</v>
      </c>
      <c r="T26" s="38">
        <f t="shared" si="1"/>
        <v>6.3503999999999996</v>
      </c>
      <c r="U26" s="292">
        <v>108</v>
      </c>
      <c r="V26" s="13">
        <f t="shared" si="4"/>
        <v>25.401599999999998</v>
      </c>
      <c r="W26" s="294">
        <f t="shared" si="5"/>
        <v>135</v>
      </c>
      <c r="X26" s="295">
        <f t="shared" si="6"/>
        <v>31.751999999999999</v>
      </c>
      <c r="Y26" s="238">
        <v>50</v>
      </c>
      <c r="Z26" s="101">
        <v>200</v>
      </c>
    </row>
    <row r="27" spans="1:26" ht="15.75" x14ac:dyDescent="0.25">
      <c r="A27" s="264">
        <v>23</v>
      </c>
      <c r="B27" s="256" t="s">
        <v>55</v>
      </c>
      <c r="C27" s="111">
        <v>50</v>
      </c>
      <c r="D27" s="112">
        <v>45</v>
      </c>
      <c r="E27" s="112">
        <v>4</v>
      </c>
      <c r="F27" s="19">
        <f t="shared" si="2"/>
        <v>8.9999999999999993E-3</v>
      </c>
      <c r="G27" s="286">
        <v>1984</v>
      </c>
      <c r="H27" s="288">
        <f t="shared" si="3"/>
        <v>17.855999999999998</v>
      </c>
      <c r="I27" s="290">
        <v>0</v>
      </c>
      <c r="J27" s="205">
        <f t="shared" si="0"/>
        <v>0</v>
      </c>
      <c r="K27" s="290">
        <v>0</v>
      </c>
      <c r="L27" s="205">
        <f t="shared" si="13"/>
        <v>0</v>
      </c>
      <c r="M27" s="290">
        <v>0</v>
      </c>
      <c r="N27" s="205">
        <f t="shared" si="14"/>
        <v>0</v>
      </c>
      <c r="O27" s="290">
        <v>0</v>
      </c>
      <c r="P27" s="205">
        <f t="shared" si="15"/>
        <v>0</v>
      </c>
      <c r="Q27" s="290">
        <v>0</v>
      </c>
      <c r="R27" s="205">
        <f t="shared" si="16"/>
        <v>0</v>
      </c>
      <c r="S27" s="39">
        <f t="shared" si="7"/>
        <v>1984</v>
      </c>
      <c r="T27" s="38">
        <f t="shared" si="1"/>
        <v>17.855999999999998</v>
      </c>
      <c r="U27" s="292">
        <v>0</v>
      </c>
      <c r="V27" s="13">
        <f t="shared" si="4"/>
        <v>0</v>
      </c>
      <c r="W27" s="294">
        <f t="shared" si="5"/>
        <v>1984</v>
      </c>
      <c r="X27" s="295">
        <f t="shared" si="6"/>
        <v>17.855999999999998</v>
      </c>
      <c r="Y27" s="238">
        <v>300</v>
      </c>
      <c r="Z27" s="101">
        <v>1000</v>
      </c>
    </row>
    <row r="28" spans="1:26" ht="15.75" x14ac:dyDescent="0.25">
      <c r="A28" s="264">
        <v>24</v>
      </c>
      <c r="B28" s="256" t="s">
        <v>56</v>
      </c>
      <c r="C28" s="111">
        <v>50</v>
      </c>
      <c r="D28" s="112">
        <v>35</v>
      </c>
      <c r="E28" s="112">
        <v>4</v>
      </c>
      <c r="F28" s="19">
        <f t="shared" si="2"/>
        <v>7.0000000000000001E-3</v>
      </c>
      <c r="G28" s="286">
        <v>968</v>
      </c>
      <c r="H28" s="288">
        <f t="shared" si="3"/>
        <v>6.7759999999999998</v>
      </c>
      <c r="I28" s="290">
        <v>0</v>
      </c>
      <c r="J28" s="205">
        <f t="shared" si="0"/>
        <v>0</v>
      </c>
      <c r="K28" s="290">
        <v>0</v>
      </c>
      <c r="L28" s="205">
        <f t="shared" si="13"/>
        <v>0</v>
      </c>
      <c r="M28" s="290">
        <v>0</v>
      </c>
      <c r="N28" s="205">
        <f t="shared" si="14"/>
        <v>0</v>
      </c>
      <c r="O28" s="290">
        <v>0</v>
      </c>
      <c r="P28" s="205">
        <f t="shared" si="15"/>
        <v>0</v>
      </c>
      <c r="Q28" s="290">
        <v>0</v>
      </c>
      <c r="R28" s="205">
        <f t="shared" si="16"/>
        <v>0</v>
      </c>
      <c r="S28" s="39">
        <f t="shared" si="7"/>
        <v>968</v>
      </c>
      <c r="T28" s="38">
        <f t="shared" si="1"/>
        <v>6.7759999999999998</v>
      </c>
      <c r="U28" s="292">
        <v>0</v>
      </c>
      <c r="V28" s="13">
        <f t="shared" si="4"/>
        <v>0</v>
      </c>
      <c r="W28" s="294">
        <f t="shared" si="5"/>
        <v>968</v>
      </c>
      <c r="X28" s="295">
        <f t="shared" si="6"/>
        <v>6.7759999999999998</v>
      </c>
      <c r="Y28" s="238">
        <v>300</v>
      </c>
      <c r="Z28" s="101">
        <v>1000</v>
      </c>
    </row>
    <row r="29" spans="1:26" ht="15.75" x14ac:dyDescent="0.25">
      <c r="A29" s="264">
        <v>25</v>
      </c>
      <c r="B29" s="256" t="s">
        <v>57</v>
      </c>
      <c r="C29" s="111">
        <v>45</v>
      </c>
      <c r="D29" s="112">
        <v>44</v>
      </c>
      <c r="E29" s="112">
        <v>3</v>
      </c>
      <c r="F29" s="19">
        <f t="shared" si="2"/>
        <v>5.94E-3</v>
      </c>
      <c r="G29" s="286">
        <v>1327</v>
      </c>
      <c r="H29" s="288">
        <f t="shared" si="3"/>
        <v>7.8823800000000004</v>
      </c>
      <c r="I29" s="290">
        <v>206</v>
      </c>
      <c r="J29" s="205">
        <f t="shared" si="0"/>
        <v>1.2236400000000001</v>
      </c>
      <c r="K29" s="290">
        <v>50</v>
      </c>
      <c r="L29" s="205">
        <f t="shared" si="13"/>
        <v>0.29699999999999999</v>
      </c>
      <c r="M29" s="290">
        <v>0</v>
      </c>
      <c r="N29" s="205">
        <f t="shared" si="14"/>
        <v>0</v>
      </c>
      <c r="O29" s="290">
        <v>0</v>
      </c>
      <c r="P29" s="205">
        <f t="shared" si="15"/>
        <v>0</v>
      </c>
      <c r="Q29" s="290">
        <v>0</v>
      </c>
      <c r="R29" s="205">
        <f t="shared" si="16"/>
        <v>0</v>
      </c>
      <c r="S29" s="39">
        <f t="shared" si="7"/>
        <v>1071</v>
      </c>
      <c r="T29" s="38">
        <f t="shared" si="1"/>
        <v>6.3617400000000002</v>
      </c>
      <c r="U29" s="292">
        <v>1502</v>
      </c>
      <c r="V29" s="13">
        <f t="shared" si="4"/>
        <v>8.9218799999999998</v>
      </c>
      <c r="W29" s="294">
        <f t="shared" si="5"/>
        <v>2573</v>
      </c>
      <c r="X29" s="295">
        <f t="shared" si="6"/>
        <v>15.283619999999999</v>
      </c>
      <c r="Y29" s="238">
        <v>500</v>
      </c>
      <c r="Z29" s="101">
        <v>1500</v>
      </c>
    </row>
    <row r="30" spans="1:26" ht="15.75" x14ac:dyDescent="0.25">
      <c r="A30" s="264">
        <v>26</v>
      </c>
      <c r="B30" s="256" t="s">
        <v>58</v>
      </c>
      <c r="C30" s="111">
        <v>45</v>
      </c>
      <c r="D30" s="112">
        <v>35.5</v>
      </c>
      <c r="E30" s="112">
        <v>3</v>
      </c>
      <c r="F30" s="19">
        <f t="shared" si="2"/>
        <v>4.7924999999999999E-3</v>
      </c>
      <c r="G30" s="286">
        <v>1055</v>
      </c>
      <c r="H30" s="288">
        <f t="shared" si="3"/>
        <v>5.0560875000000003</v>
      </c>
      <c r="I30" s="290">
        <v>206</v>
      </c>
      <c r="J30" s="205">
        <f t="shared" si="0"/>
        <v>0.98725499999999999</v>
      </c>
      <c r="K30" s="290">
        <v>50</v>
      </c>
      <c r="L30" s="205">
        <f t="shared" si="13"/>
        <v>0.239625</v>
      </c>
      <c r="M30" s="290">
        <v>0</v>
      </c>
      <c r="N30" s="205">
        <f t="shared" si="14"/>
        <v>0</v>
      </c>
      <c r="O30" s="290">
        <v>0</v>
      </c>
      <c r="P30" s="205">
        <f t="shared" si="15"/>
        <v>0</v>
      </c>
      <c r="Q30" s="290">
        <v>0</v>
      </c>
      <c r="R30" s="205">
        <f t="shared" si="16"/>
        <v>0</v>
      </c>
      <c r="S30" s="39">
        <f t="shared" si="7"/>
        <v>799</v>
      </c>
      <c r="T30" s="38">
        <f t="shared" si="1"/>
        <v>3.8292074999999999</v>
      </c>
      <c r="U30" s="292">
        <v>1632</v>
      </c>
      <c r="V30" s="13">
        <f t="shared" si="4"/>
        <v>7.8213599999999994</v>
      </c>
      <c r="W30" s="294">
        <f t="shared" si="5"/>
        <v>2431</v>
      </c>
      <c r="X30" s="295">
        <f t="shared" si="6"/>
        <v>11.650567499999999</v>
      </c>
      <c r="Y30" s="238">
        <v>500</v>
      </c>
      <c r="Z30" s="101">
        <v>1500</v>
      </c>
    </row>
    <row r="31" spans="1:26" x14ac:dyDescent="0.25">
      <c r="A31" s="264">
        <v>27</v>
      </c>
      <c r="B31" s="256" t="s">
        <v>155</v>
      </c>
      <c r="C31" s="34">
        <v>140</v>
      </c>
      <c r="D31" s="35">
        <v>9.5</v>
      </c>
      <c r="E31" s="35">
        <v>6.5</v>
      </c>
      <c r="F31" s="19">
        <f t="shared" si="2"/>
        <v>8.6449999999999999E-3</v>
      </c>
      <c r="G31" s="286">
        <v>2705</v>
      </c>
      <c r="H31" s="288">
        <f t="shared" si="3"/>
        <v>23.384725</v>
      </c>
      <c r="I31" s="290">
        <v>63</v>
      </c>
      <c r="J31" s="205">
        <f t="shared" si="0"/>
        <v>0.54463499999999998</v>
      </c>
      <c r="K31" s="290">
        <v>112</v>
      </c>
      <c r="L31" s="205">
        <f t="shared" si="13"/>
        <v>0.96823999999999999</v>
      </c>
      <c r="M31" s="290">
        <v>0</v>
      </c>
      <c r="N31" s="205">
        <f t="shared" si="14"/>
        <v>0</v>
      </c>
      <c r="O31" s="290">
        <v>0</v>
      </c>
      <c r="P31" s="205">
        <f t="shared" si="15"/>
        <v>0</v>
      </c>
      <c r="Q31" s="290">
        <v>100</v>
      </c>
      <c r="R31" s="205">
        <f t="shared" si="16"/>
        <v>0.86450000000000005</v>
      </c>
      <c r="S31" s="39">
        <f t="shared" si="7"/>
        <v>2430</v>
      </c>
      <c r="T31" s="38">
        <f t="shared" si="1"/>
        <v>21.007349999999999</v>
      </c>
      <c r="U31" s="292">
        <v>0</v>
      </c>
      <c r="V31" s="13">
        <f t="shared" si="4"/>
        <v>0</v>
      </c>
      <c r="W31" s="294">
        <f t="shared" si="5"/>
        <v>2430</v>
      </c>
      <c r="X31" s="295">
        <f t="shared" si="6"/>
        <v>21.007349999999999</v>
      </c>
      <c r="Y31" s="238">
        <v>500</v>
      </c>
      <c r="Z31" s="101">
        <v>1500</v>
      </c>
    </row>
    <row r="32" spans="1:26" x14ac:dyDescent="0.25">
      <c r="A32" s="264">
        <v>28</v>
      </c>
      <c r="B32" s="256" t="s">
        <v>156</v>
      </c>
      <c r="C32" s="34">
        <v>140</v>
      </c>
      <c r="D32" s="35">
        <v>240</v>
      </c>
      <c r="E32" s="35">
        <v>1</v>
      </c>
      <c r="F32" s="19">
        <f t="shared" si="2"/>
        <v>3.3599999999999998E-2</v>
      </c>
      <c r="G32" s="286">
        <v>481</v>
      </c>
      <c r="H32" s="288">
        <f t="shared" si="3"/>
        <v>16.1616</v>
      </c>
      <c r="I32" s="290">
        <v>59</v>
      </c>
      <c r="J32" s="205">
        <f t="shared" si="0"/>
        <v>1.9823999999999999</v>
      </c>
      <c r="K32" s="290">
        <v>119</v>
      </c>
      <c r="L32" s="205">
        <f t="shared" si="13"/>
        <v>3.9983999999999997</v>
      </c>
      <c r="M32" s="290">
        <v>0</v>
      </c>
      <c r="N32" s="205">
        <f t="shared" si="14"/>
        <v>0</v>
      </c>
      <c r="O32" s="290">
        <v>0</v>
      </c>
      <c r="P32" s="205">
        <f t="shared" si="15"/>
        <v>0</v>
      </c>
      <c r="Q32" s="290">
        <v>66</v>
      </c>
      <c r="R32" s="205">
        <f>F32*Q32</f>
        <v>2.2176</v>
      </c>
      <c r="S32" s="39">
        <f t="shared" si="7"/>
        <v>237</v>
      </c>
      <c r="T32" s="38">
        <f t="shared" si="1"/>
        <v>7.9631999999999996</v>
      </c>
      <c r="U32" s="292">
        <v>1128</v>
      </c>
      <c r="V32" s="205">
        <f>F32*U32</f>
        <v>37.900799999999997</v>
      </c>
      <c r="W32" s="294">
        <f t="shared" si="5"/>
        <v>1365</v>
      </c>
      <c r="X32" s="295">
        <f t="shared" si="6"/>
        <v>45.863999999999997</v>
      </c>
      <c r="Y32" s="238">
        <v>250</v>
      </c>
      <c r="Z32" s="101">
        <v>750</v>
      </c>
    </row>
    <row r="33" spans="1:26" x14ac:dyDescent="0.25">
      <c r="A33" s="264">
        <v>29</v>
      </c>
      <c r="B33" s="256" t="s">
        <v>157</v>
      </c>
      <c r="C33" s="34">
        <v>140</v>
      </c>
      <c r="D33" s="35">
        <v>240</v>
      </c>
      <c r="E33" s="35">
        <v>2</v>
      </c>
      <c r="F33" s="19">
        <f t="shared" si="2"/>
        <v>6.7199999999999996E-2</v>
      </c>
      <c r="G33" s="286">
        <v>266</v>
      </c>
      <c r="H33" s="288">
        <f t="shared" si="3"/>
        <v>17.8752</v>
      </c>
      <c r="I33" s="290">
        <v>16</v>
      </c>
      <c r="J33" s="205">
        <f t="shared" si="0"/>
        <v>1.0751999999999999</v>
      </c>
      <c r="K33" s="290">
        <v>14</v>
      </c>
      <c r="L33" s="205">
        <f t="shared" si="13"/>
        <v>0.94079999999999997</v>
      </c>
      <c r="M33" s="290">
        <v>0</v>
      </c>
      <c r="N33" s="205">
        <f t="shared" si="14"/>
        <v>0</v>
      </c>
      <c r="O33" s="290">
        <v>0</v>
      </c>
      <c r="P33" s="205">
        <f t="shared" si="15"/>
        <v>0</v>
      </c>
      <c r="Q33" s="290">
        <v>11</v>
      </c>
      <c r="R33" s="205">
        <f>F33*Q33</f>
        <v>0.73919999999999997</v>
      </c>
      <c r="S33" s="39">
        <f t="shared" si="7"/>
        <v>225</v>
      </c>
      <c r="T33" s="38">
        <f t="shared" si="1"/>
        <v>15.12</v>
      </c>
      <c r="U33" s="292">
        <v>0</v>
      </c>
      <c r="V33" s="13">
        <f t="shared" si="4"/>
        <v>0</v>
      </c>
      <c r="W33" s="294">
        <f t="shared" si="5"/>
        <v>225</v>
      </c>
      <c r="X33" s="295">
        <f t="shared" si="6"/>
        <v>15.12</v>
      </c>
      <c r="Y33" s="238">
        <v>75</v>
      </c>
      <c r="Z33" s="101">
        <v>150</v>
      </c>
    </row>
    <row r="34" spans="1:26" x14ac:dyDescent="0.25">
      <c r="A34" s="264">
        <v>30</v>
      </c>
      <c r="B34" s="256" t="s">
        <v>158</v>
      </c>
      <c r="C34" s="34">
        <v>140</v>
      </c>
      <c r="D34" s="35">
        <v>240</v>
      </c>
      <c r="E34" s="35">
        <v>3</v>
      </c>
      <c r="F34" s="19">
        <f t="shared" si="2"/>
        <v>0.1008</v>
      </c>
      <c r="G34" s="286">
        <v>311</v>
      </c>
      <c r="H34" s="288">
        <f t="shared" si="3"/>
        <v>31.348800000000001</v>
      </c>
      <c r="I34" s="290">
        <v>20</v>
      </c>
      <c r="J34" s="205">
        <f>F34*I34</f>
        <v>2.016</v>
      </c>
      <c r="K34" s="290">
        <v>16</v>
      </c>
      <c r="L34" s="205">
        <f t="shared" si="13"/>
        <v>1.6128</v>
      </c>
      <c r="M34" s="290">
        <v>0</v>
      </c>
      <c r="N34" s="205">
        <f t="shared" si="14"/>
        <v>0</v>
      </c>
      <c r="O34" s="290">
        <v>0</v>
      </c>
      <c r="P34" s="205">
        <f t="shared" si="15"/>
        <v>0</v>
      </c>
      <c r="Q34" s="290">
        <v>34</v>
      </c>
      <c r="R34" s="205">
        <f t="shared" si="16"/>
        <v>3.4272</v>
      </c>
      <c r="S34" s="39">
        <f t="shared" si="7"/>
        <v>241</v>
      </c>
      <c r="T34" s="38">
        <f t="shared" si="1"/>
        <v>24.2928</v>
      </c>
      <c r="U34" s="292">
        <v>9</v>
      </c>
      <c r="V34" s="13">
        <f t="shared" si="4"/>
        <v>0.90720000000000001</v>
      </c>
      <c r="W34" s="294">
        <f t="shared" si="5"/>
        <v>250</v>
      </c>
      <c r="X34" s="295">
        <f t="shared" si="6"/>
        <v>25.2</v>
      </c>
      <c r="Y34" s="238">
        <v>75</v>
      </c>
      <c r="Z34" s="101">
        <v>150</v>
      </c>
    </row>
    <row r="35" spans="1:26" x14ac:dyDescent="0.25">
      <c r="A35" s="264">
        <v>31</v>
      </c>
      <c r="B35" s="256" t="s">
        <v>159</v>
      </c>
      <c r="C35" s="34">
        <v>140</v>
      </c>
      <c r="D35" s="35">
        <v>240</v>
      </c>
      <c r="E35" s="35">
        <v>4</v>
      </c>
      <c r="F35" s="19">
        <f t="shared" si="2"/>
        <v>0.13439999999999999</v>
      </c>
      <c r="G35" s="286">
        <v>0</v>
      </c>
      <c r="H35" s="288">
        <f t="shared" si="3"/>
        <v>0</v>
      </c>
      <c r="I35" s="290">
        <v>0</v>
      </c>
      <c r="J35" s="205">
        <f t="shared" si="0"/>
        <v>0</v>
      </c>
      <c r="K35" s="290">
        <v>10</v>
      </c>
      <c r="L35" s="205">
        <f t="shared" si="13"/>
        <v>1.3439999999999999</v>
      </c>
      <c r="M35" s="290">
        <v>0</v>
      </c>
      <c r="N35" s="205">
        <f t="shared" si="14"/>
        <v>0</v>
      </c>
      <c r="O35" s="290">
        <v>0</v>
      </c>
      <c r="P35" s="205">
        <f t="shared" si="15"/>
        <v>0</v>
      </c>
      <c r="Q35" s="290">
        <v>3</v>
      </c>
      <c r="R35" s="205">
        <f t="shared" si="16"/>
        <v>0.4032</v>
      </c>
      <c r="S35" s="39">
        <f t="shared" si="7"/>
        <v>-13</v>
      </c>
      <c r="T35" s="38">
        <f t="shared" si="1"/>
        <v>-1.7471999999999999</v>
      </c>
      <c r="U35" s="292">
        <v>108</v>
      </c>
      <c r="V35" s="13">
        <f t="shared" si="4"/>
        <v>14.515199999999998</v>
      </c>
      <c r="W35" s="294">
        <f t="shared" si="5"/>
        <v>95</v>
      </c>
      <c r="X35" s="295">
        <f t="shared" si="6"/>
        <v>12.767999999999999</v>
      </c>
      <c r="Y35" s="238">
        <v>50</v>
      </c>
      <c r="Z35" s="101">
        <v>100</v>
      </c>
    </row>
    <row r="36" spans="1:26" x14ac:dyDescent="0.25">
      <c r="A36" s="264">
        <v>32</v>
      </c>
      <c r="B36" s="256" t="s">
        <v>160</v>
      </c>
      <c r="C36" s="34">
        <v>140</v>
      </c>
      <c r="D36" s="35">
        <v>240</v>
      </c>
      <c r="E36" s="35">
        <v>2</v>
      </c>
      <c r="F36" s="19">
        <f t="shared" si="2"/>
        <v>6.7199999999999996E-2</v>
      </c>
      <c r="G36" s="286">
        <v>456</v>
      </c>
      <c r="H36" s="288">
        <f t="shared" si="3"/>
        <v>30.643199999999997</v>
      </c>
      <c r="I36" s="290">
        <v>34</v>
      </c>
      <c r="J36" s="205">
        <f>F36*I36</f>
        <v>2.2847999999999997</v>
      </c>
      <c r="K36" s="290">
        <v>49</v>
      </c>
      <c r="L36" s="205">
        <f t="shared" si="13"/>
        <v>3.2927999999999997</v>
      </c>
      <c r="M36" s="290">
        <v>0</v>
      </c>
      <c r="N36" s="205">
        <f t="shared" si="14"/>
        <v>0</v>
      </c>
      <c r="O36" s="290">
        <v>0</v>
      </c>
      <c r="P36" s="205">
        <f t="shared" si="15"/>
        <v>0</v>
      </c>
      <c r="Q36" s="290">
        <v>195</v>
      </c>
      <c r="R36" s="205">
        <f t="shared" si="16"/>
        <v>13.103999999999999</v>
      </c>
      <c r="S36" s="39">
        <f t="shared" si="7"/>
        <v>178</v>
      </c>
      <c r="T36" s="38">
        <f t="shared" si="1"/>
        <v>11.961599999999999</v>
      </c>
      <c r="U36" s="292">
        <v>0</v>
      </c>
      <c r="V36" s="13">
        <f t="shared" si="4"/>
        <v>0</v>
      </c>
      <c r="W36" s="294">
        <f t="shared" si="5"/>
        <v>178</v>
      </c>
      <c r="X36" s="295">
        <f t="shared" si="6"/>
        <v>11.961599999999999</v>
      </c>
      <c r="Y36" s="238">
        <v>100</v>
      </c>
      <c r="Z36" s="101">
        <v>300</v>
      </c>
    </row>
    <row r="37" spans="1:26" x14ac:dyDescent="0.25">
      <c r="A37" s="264">
        <v>33</v>
      </c>
      <c r="B37" s="256" t="s">
        <v>161</v>
      </c>
      <c r="C37" s="34">
        <v>140</v>
      </c>
      <c r="D37" s="35">
        <v>240</v>
      </c>
      <c r="E37" s="35">
        <v>6</v>
      </c>
      <c r="F37" s="19">
        <f t="shared" si="2"/>
        <v>0.2016</v>
      </c>
      <c r="G37" s="286">
        <v>31</v>
      </c>
      <c r="H37" s="288">
        <f t="shared" si="3"/>
        <v>6.2496</v>
      </c>
      <c r="I37" s="290">
        <v>0</v>
      </c>
      <c r="J37" s="205">
        <f t="shared" si="0"/>
        <v>0</v>
      </c>
      <c r="K37" s="290">
        <v>0</v>
      </c>
      <c r="L37" s="205">
        <f>F37*K37</f>
        <v>0</v>
      </c>
      <c r="M37" s="290">
        <v>0</v>
      </c>
      <c r="N37" s="21">
        <v>0</v>
      </c>
      <c r="O37" s="290">
        <v>0</v>
      </c>
      <c r="P37" s="21">
        <v>0</v>
      </c>
      <c r="Q37" s="290">
        <v>0</v>
      </c>
      <c r="R37" s="21">
        <v>0</v>
      </c>
      <c r="S37" s="39">
        <f t="shared" si="7"/>
        <v>31</v>
      </c>
      <c r="T37" s="38">
        <f t="shared" si="1"/>
        <v>6.2496</v>
      </c>
      <c r="U37" s="292">
        <v>0</v>
      </c>
      <c r="V37" s="13">
        <f t="shared" si="4"/>
        <v>0</v>
      </c>
      <c r="W37" s="294">
        <f t="shared" si="5"/>
        <v>31</v>
      </c>
      <c r="X37" s="295">
        <f t="shared" si="6"/>
        <v>6.2496</v>
      </c>
      <c r="Y37" s="238">
        <v>10</v>
      </c>
      <c r="Z37" s="101">
        <v>30</v>
      </c>
    </row>
    <row r="38" spans="1:26" x14ac:dyDescent="0.25">
      <c r="A38" s="264">
        <v>34</v>
      </c>
      <c r="B38" s="256" t="s">
        <v>181</v>
      </c>
      <c r="C38" s="34">
        <v>80</v>
      </c>
      <c r="D38" s="35">
        <v>75</v>
      </c>
      <c r="E38" s="35">
        <v>5</v>
      </c>
      <c r="F38" s="19">
        <f t="shared" si="2"/>
        <v>0.03</v>
      </c>
      <c r="G38" s="286">
        <v>0</v>
      </c>
      <c r="H38" s="288">
        <f t="shared" si="3"/>
        <v>0</v>
      </c>
      <c r="I38" s="290">
        <v>0</v>
      </c>
      <c r="J38" s="205">
        <f t="shared" si="0"/>
        <v>0</v>
      </c>
      <c r="K38" s="290">
        <v>0</v>
      </c>
      <c r="L38" s="205">
        <f t="shared" si="0"/>
        <v>0</v>
      </c>
      <c r="M38" s="290">
        <v>0</v>
      </c>
      <c r="N38" s="21">
        <v>0</v>
      </c>
      <c r="O38" s="290">
        <v>0</v>
      </c>
      <c r="P38" s="21">
        <v>0</v>
      </c>
      <c r="Q38" s="290">
        <v>0</v>
      </c>
      <c r="R38" s="21">
        <v>0</v>
      </c>
      <c r="S38" s="39">
        <f t="shared" si="7"/>
        <v>0</v>
      </c>
      <c r="T38" s="38">
        <f t="shared" si="1"/>
        <v>0</v>
      </c>
      <c r="U38" s="292">
        <v>94</v>
      </c>
      <c r="V38" s="13">
        <f t="shared" si="4"/>
        <v>2.82</v>
      </c>
      <c r="W38" s="294">
        <f t="shared" si="5"/>
        <v>94</v>
      </c>
      <c r="X38" s="295">
        <f t="shared" si="6"/>
        <v>2.82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182</v>
      </c>
      <c r="C39" s="34">
        <v>100</v>
      </c>
      <c r="D39" s="35">
        <v>95</v>
      </c>
      <c r="E39" s="35">
        <v>5</v>
      </c>
      <c r="F39" s="19">
        <f t="shared" si="2"/>
        <v>4.7500000000000001E-2</v>
      </c>
      <c r="G39" s="286">
        <v>0</v>
      </c>
      <c r="H39" s="288">
        <f t="shared" si="3"/>
        <v>0</v>
      </c>
      <c r="I39" s="290">
        <v>0</v>
      </c>
      <c r="J39" s="205">
        <f t="shared" si="0"/>
        <v>0</v>
      </c>
      <c r="K39" s="290">
        <v>2</v>
      </c>
      <c r="L39" s="205">
        <f>F39*K39</f>
        <v>9.5000000000000001E-2</v>
      </c>
      <c r="M39" s="290">
        <v>0</v>
      </c>
      <c r="N39" s="205">
        <f>H39*M39</f>
        <v>0</v>
      </c>
      <c r="O39" s="290">
        <v>0</v>
      </c>
      <c r="P39" s="205">
        <f>J39*O39</f>
        <v>0</v>
      </c>
      <c r="Q39" s="290">
        <v>0</v>
      </c>
      <c r="R39" s="205">
        <f>L39*Q39</f>
        <v>0</v>
      </c>
      <c r="S39" s="39">
        <f t="shared" si="7"/>
        <v>-2</v>
      </c>
      <c r="T39" s="38">
        <f t="shared" si="1"/>
        <v>-9.5000000000000001E-2</v>
      </c>
      <c r="U39" s="292">
        <v>187</v>
      </c>
      <c r="V39" s="13">
        <f t="shared" si="4"/>
        <v>8.8825000000000003</v>
      </c>
      <c r="W39" s="294">
        <f t="shared" si="5"/>
        <v>185</v>
      </c>
      <c r="X39" s="295">
        <f t="shared" si="6"/>
        <v>8.7874999999999996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164</v>
      </c>
      <c r="C40" s="34">
        <v>140</v>
      </c>
      <c r="D40" s="35">
        <v>240</v>
      </c>
      <c r="E40" s="35">
        <v>10</v>
      </c>
      <c r="F40" s="19">
        <f t="shared" si="2"/>
        <v>0.33600000000000002</v>
      </c>
      <c r="G40" s="286">
        <v>0</v>
      </c>
      <c r="H40" s="288">
        <f t="shared" si="3"/>
        <v>0</v>
      </c>
      <c r="I40" s="290">
        <v>0</v>
      </c>
      <c r="J40" s="205">
        <f t="shared" si="0"/>
        <v>0</v>
      </c>
      <c r="K40" s="290">
        <v>0</v>
      </c>
      <c r="L40" s="205">
        <f>F40*K40</f>
        <v>0</v>
      </c>
      <c r="M40" s="290">
        <v>0</v>
      </c>
      <c r="N40" s="205">
        <f>F40*M40</f>
        <v>0</v>
      </c>
      <c r="O40" s="290">
        <v>0</v>
      </c>
      <c r="P40" s="205">
        <f>F40*O40</f>
        <v>0</v>
      </c>
      <c r="Q40" s="290">
        <v>0</v>
      </c>
      <c r="R40" s="205">
        <f>F40*Q40</f>
        <v>0</v>
      </c>
      <c r="S40" s="39">
        <f t="shared" si="7"/>
        <v>0</v>
      </c>
      <c r="T40" s="38">
        <f t="shared" si="1"/>
        <v>0</v>
      </c>
      <c r="U40" s="292">
        <v>0</v>
      </c>
      <c r="V40" s="13">
        <f t="shared" si="4"/>
        <v>0</v>
      </c>
      <c r="W40" s="294">
        <f t="shared" si="5"/>
        <v>0</v>
      </c>
      <c r="X40" s="295">
        <f t="shared" si="6"/>
        <v>0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165</v>
      </c>
      <c r="C41" s="34">
        <v>140</v>
      </c>
      <c r="D41" s="35">
        <v>240</v>
      </c>
      <c r="E41" s="35">
        <v>10</v>
      </c>
      <c r="F41" s="19">
        <f t="shared" si="2"/>
        <v>0.33600000000000002</v>
      </c>
      <c r="G41" s="286">
        <v>66</v>
      </c>
      <c r="H41" s="288">
        <f t="shared" si="3"/>
        <v>22.176000000000002</v>
      </c>
      <c r="I41" s="290">
        <v>4</v>
      </c>
      <c r="J41" s="205">
        <f>F41*I41</f>
        <v>1.3440000000000001</v>
      </c>
      <c r="K41" s="290">
        <v>4</v>
      </c>
      <c r="L41" s="205">
        <f>F41*K41</f>
        <v>1.3440000000000001</v>
      </c>
      <c r="M41" s="290">
        <v>0</v>
      </c>
      <c r="N41" s="205">
        <f>F41*M41</f>
        <v>0</v>
      </c>
      <c r="O41" s="290">
        <v>0</v>
      </c>
      <c r="P41" s="205">
        <f>F41*O41</f>
        <v>0</v>
      </c>
      <c r="Q41" s="290">
        <v>3</v>
      </c>
      <c r="R41" s="205">
        <f>F41*Q41</f>
        <v>1.008</v>
      </c>
      <c r="S41" s="39">
        <f t="shared" si="7"/>
        <v>55</v>
      </c>
      <c r="T41" s="38">
        <f t="shared" si="1"/>
        <v>18.48</v>
      </c>
      <c r="U41" s="292">
        <v>0</v>
      </c>
      <c r="V41" s="13">
        <f t="shared" si="4"/>
        <v>0</v>
      </c>
      <c r="W41" s="294">
        <f t="shared" si="5"/>
        <v>55</v>
      </c>
      <c r="X41" s="295">
        <f t="shared" si="6"/>
        <v>18.48</v>
      </c>
      <c r="Y41" s="238">
        <v>50</v>
      </c>
      <c r="Z41" s="101">
        <v>100</v>
      </c>
    </row>
    <row r="42" spans="1:26" x14ac:dyDescent="0.25">
      <c r="A42" s="264">
        <v>38</v>
      </c>
      <c r="B42" s="256" t="s">
        <v>166</v>
      </c>
      <c r="C42" s="34">
        <v>92</v>
      </c>
      <c r="D42" s="35">
        <v>82</v>
      </c>
      <c r="E42" s="35">
        <v>2</v>
      </c>
      <c r="F42" s="19">
        <f t="shared" si="2"/>
        <v>1.5088000000000001E-2</v>
      </c>
      <c r="G42" s="286">
        <v>35</v>
      </c>
      <c r="H42" s="288">
        <f t="shared" si="3"/>
        <v>0.52807999999999999</v>
      </c>
      <c r="I42" s="290">
        <v>0</v>
      </c>
      <c r="J42" s="205">
        <f t="shared" si="0"/>
        <v>0</v>
      </c>
      <c r="K42" s="290">
        <v>0</v>
      </c>
      <c r="L42" s="205">
        <f>F42*K42</f>
        <v>0</v>
      </c>
      <c r="M42" s="290">
        <v>0</v>
      </c>
      <c r="N42" s="205">
        <f>F42*M42</f>
        <v>0</v>
      </c>
      <c r="O42" s="290">
        <v>0</v>
      </c>
      <c r="P42" s="205">
        <f>F42*O42</f>
        <v>0</v>
      </c>
      <c r="Q42" s="290">
        <v>0</v>
      </c>
      <c r="R42" s="205">
        <f>F42*Q42</f>
        <v>0</v>
      </c>
      <c r="S42" s="39">
        <f t="shared" si="7"/>
        <v>35</v>
      </c>
      <c r="T42" s="38">
        <f t="shared" si="1"/>
        <v>0.52807999999999999</v>
      </c>
      <c r="U42" s="292">
        <v>0</v>
      </c>
      <c r="V42" s="13">
        <f t="shared" si="4"/>
        <v>0</v>
      </c>
      <c r="W42" s="294">
        <f t="shared" si="5"/>
        <v>35</v>
      </c>
      <c r="X42" s="295">
        <f t="shared" si="6"/>
        <v>0.52807999999999999</v>
      </c>
      <c r="Y42" s="238">
        <v>100</v>
      </c>
      <c r="Z42" s="101">
        <v>300</v>
      </c>
    </row>
    <row r="43" spans="1:26" x14ac:dyDescent="0.25">
      <c r="A43" s="264">
        <v>39</v>
      </c>
      <c r="B43" s="256" t="s">
        <v>183</v>
      </c>
      <c r="C43" s="34">
        <v>90</v>
      </c>
      <c r="D43" s="35">
        <v>90</v>
      </c>
      <c r="E43" s="35">
        <v>3</v>
      </c>
      <c r="F43" s="19">
        <f t="shared" si="2"/>
        <v>2.4299999999999999E-2</v>
      </c>
      <c r="G43" s="286">
        <v>0</v>
      </c>
      <c r="H43" s="288">
        <f t="shared" si="3"/>
        <v>0</v>
      </c>
      <c r="I43" s="290">
        <v>0</v>
      </c>
      <c r="J43" s="205">
        <f t="shared" si="0"/>
        <v>0</v>
      </c>
      <c r="K43" s="290">
        <v>0</v>
      </c>
      <c r="L43" s="205">
        <f t="shared" si="0"/>
        <v>0</v>
      </c>
      <c r="M43" s="290">
        <v>0</v>
      </c>
      <c r="N43" s="21">
        <v>0</v>
      </c>
      <c r="O43" s="290">
        <v>0</v>
      </c>
      <c r="P43" s="21">
        <v>0</v>
      </c>
      <c r="Q43" s="290">
        <v>0</v>
      </c>
      <c r="R43" s="21">
        <v>0</v>
      </c>
      <c r="S43" s="39">
        <f t="shared" si="7"/>
        <v>0</v>
      </c>
      <c r="T43" s="38">
        <f t="shared" si="1"/>
        <v>0</v>
      </c>
      <c r="U43" s="292">
        <v>171</v>
      </c>
      <c r="V43" s="13">
        <f t="shared" si="4"/>
        <v>4.1552999999999995</v>
      </c>
      <c r="W43" s="294">
        <f t="shared" si="5"/>
        <v>171</v>
      </c>
      <c r="X43" s="295">
        <f t="shared" si="6"/>
        <v>4.1552999999999995</v>
      </c>
      <c r="Y43" s="238">
        <v>0</v>
      </c>
      <c r="Z43" s="101">
        <v>0</v>
      </c>
    </row>
    <row r="44" spans="1:26" x14ac:dyDescent="0.25">
      <c r="A44" s="264">
        <v>40</v>
      </c>
      <c r="B44" s="256" t="s">
        <v>168</v>
      </c>
      <c r="C44" s="34">
        <v>140</v>
      </c>
      <c r="D44" s="35">
        <v>240</v>
      </c>
      <c r="E44" s="35">
        <v>3</v>
      </c>
      <c r="F44" s="19">
        <f t="shared" si="2"/>
        <v>0.1008</v>
      </c>
      <c r="G44" s="286">
        <v>0</v>
      </c>
      <c r="H44" s="288">
        <f t="shared" si="3"/>
        <v>0</v>
      </c>
      <c r="I44" s="290">
        <v>0</v>
      </c>
      <c r="J44" s="205">
        <f t="shared" si="0"/>
        <v>0</v>
      </c>
      <c r="K44" s="290">
        <v>0</v>
      </c>
      <c r="L44" s="205">
        <f t="shared" ref="L44:L52" si="17">F44*K44</f>
        <v>0</v>
      </c>
      <c r="M44" s="290">
        <v>0</v>
      </c>
      <c r="N44" s="205">
        <f t="shared" ref="N44:N52" si="18">F44*M44</f>
        <v>0</v>
      </c>
      <c r="O44" s="290">
        <v>0</v>
      </c>
      <c r="P44" s="205">
        <f t="shared" ref="P44:P52" si="19">F44*O44</f>
        <v>0</v>
      </c>
      <c r="Q44" s="290">
        <v>0</v>
      </c>
      <c r="R44" s="205">
        <f t="shared" ref="R44:R52" si="20">F44*Q44</f>
        <v>0</v>
      </c>
      <c r="S44" s="39">
        <f t="shared" si="7"/>
        <v>0</v>
      </c>
      <c r="T44" s="38">
        <f t="shared" si="1"/>
        <v>0</v>
      </c>
      <c r="U44" s="292">
        <v>0</v>
      </c>
      <c r="V44" s="13">
        <f t="shared" si="4"/>
        <v>0</v>
      </c>
      <c r="W44" s="294">
        <f t="shared" si="5"/>
        <v>0</v>
      </c>
      <c r="X44" s="295">
        <f t="shared" si="6"/>
        <v>0</v>
      </c>
      <c r="Y44" s="238">
        <v>0</v>
      </c>
      <c r="Z44" s="101">
        <v>0</v>
      </c>
    </row>
    <row r="45" spans="1:26" x14ac:dyDescent="0.25">
      <c r="A45" s="264">
        <v>41</v>
      </c>
      <c r="B45" s="256" t="s">
        <v>169</v>
      </c>
      <c r="C45" s="34">
        <v>82</v>
      </c>
      <c r="D45" s="34">
        <v>80</v>
      </c>
      <c r="E45" s="34">
        <v>2</v>
      </c>
      <c r="F45" s="19">
        <f t="shared" si="2"/>
        <v>1.312E-2</v>
      </c>
      <c r="G45" s="284">
        <v>0</v>
      </c>
      <c r="H45" s="288">
        <f t="shared" si="3"/>
        <v>0</v>
      </c>
      <c r="I45" s="290">
        <v>0</v>
      </c>
      <c r="J45" s="205">
        <f t="shared" si="0"/>
        <v>0</v>
      </c>
      <c r="K45" s="290">
        <v>0</v>
      </c>
      <c r="L45" s="205">
        <f t="shared" si="17"/>
        <v>0</v>
      </c>
      <c r="M45" s="290">
        <v>0</v>
      </c>
      <c r="N45" s="205">
        <f t="shared" si="18"/>
        <v>0</v>
      </c>
      <c r="O45" s="290">
        <v>0</v>
      </c>
      <c r="P45" s="205">
        <f t="shared" si="19"/>
        <v>0</v>
      </c>
      <c r="Q45" s="290">
        <v>0</v>
      </c>
      <c r="R45" s="205">
        <f t="shared" si="20"/>
        <v>0</v>
      </c>
      <c r="S45" s="39">
        <f t="shared" si="7"/>
        <v>0</v>
      </c>
      <c r="T45" s="38">
        <f t="shared" si="1"/>
        <v>0</v>
      </c>
      <c r="U45" s="292">
        <v>0</v>
      </c>
      <c r="V45" s="13">
        <f t="shared" si="4"/>
        <v>0</v>
      </c>
      <c r="W45" s="294">
        <f t="shared" si="5"/>
        <v>0</v>
      </c>
      <c r="X45" s="295">
        <f t="shared" si="6"/>
        <v>0</v>
      </c>
      <c r="Y45" s="238">
        <v>100</v>
      </c>
      <c r="Z45" s="101">
        <v>300</v>
      </c>
    </row>
    <row r="46" spans="1:26" x14ac:dyDescent="0.25">
      <c r="A46" s="264">
        <v>42</v>
      </c>
      <c r="B46" s="256" t="s">
        <v>170</v>
      </c>
      <c r="C46" s="34">
        <v>90</v>
      </c>
      <c r="D46" s="34">
        <v>83</v>
      </c>
      <c r="E46" s="34">
        <v>2</v>
      </c>
      <c r="F46" s="19">
        <f t="shared" si="2"/>
        <v>1.494E-2</v>
      </c>
      <c r="G46" s="284">
        <v>276</v>
      </c>
      <c r="H46" s="288">
        <f t="shared" si="3"/>
        <v>4.1234400000000004</v>
      </c>
      <c r="I46" s="290">
        <v>108</v>
      </c>
      <c r="J46" s="205">
        <f t="shared" si="0"/>
        <v>1.6135200000000001</v>
      </c>
      <c r="K46" s="290">
        <v>0</v>
      </c>
      <c r="L46" s="205">
        <f t="shared" si="17"/>
        <v>0</v>
      </c>
      <c r="M46" s="290">
        <v>0</v>
      </c>
      <c r="N46" s="205">
        <f t="shared" si="18"/>
        <v>0</v>
      </c>
      <c r="O46" s="290">
        <v>0</v>
      </c>
      <c r="P46" s="205">
        <f t="shared" si="19"/>
        <v>0</v>
      </c>
      <c r="Q46" s="290">
        <v>72</v>
      </c>
      <c r="R46" s="205">
        <f t="shared" si="20"/>
        <v>1.07568</v>
      </c>
      <c r="S46" s="39">
        <f t="shared" si="7"/>
        <v>96</v>
      </c>
      <c r="T46" s="38">
        <f t="shared" si="1"/>
        <v>1.43424</v>
      </c>
      <c r="U46" s="292">
        <v>0</v>
      </c>
      <c r="V46" s="13">
        <f t="shared" si="4"/>
        <v>0</v>
      </c>
      <c r="W46" s="294">
        <f t="shared" si="5"/>
        <v>96</v>
      </c>
      <c r="X46" s="295">
        <f t="shared" si="6"/>
        <v>1.43424</v>
      </c>
      <c r="Y46" s="238">
        <v>100</v>
      </c>
      <c r="Z46" s="101">
        <v>300</v>
      </c>
    </row>
    <row r="47" spans="1:26" x14ac:dyDescent="0.25">
      <c r="A47" s="264">
        <v>43</v>
      </c>
      <c r="B47" s="256" t="s">
        <v>184</v>
      </c>
      <c r="C47" s="34">
        <v>112</v>
      </c>
      <c r="D47" s="34">
        <v>67</v>
      </c>
      <c r="E47" s="34">
        <v>3</v>
      </c>
      <c r="F47" s="19">
        <f t="shared" si="2"/>
        <v>2.2512000000000001E-2</v>
      </c>
      <c r="G47" s="284">
        <v>0</v>
      </c>
      <c r="H47" s="288">
        <f t="shared" si="3"/>
        <v>0</v>
      </c>
      <c r="I47" s="290">
        <v>0</v>
      </c>
      <c r="J47" s="205">
        <f t="shared" si="0"/>
        <v>0</v>
      </c>
      <c r="K47" s="290">
        <v>0</v>
      </c>
      <c r="L47" s="205">
        <f t="shared" si="17"/>
        <v>0</v>
      </c>
      <c r="M47" s="290">
        <v>0</v>
      </c>
      <c r="N47" s="205">
        <f t="shared" si="18"/>
        <v>0</v>
      </c>
      <c r="O47" s="290">
        <v>0</v>
      </c>
      <c r="P47" s="205">
        <f t="shared" si="19"/>
        <v>0</v>
      </c>
      <c r="Q47" s="290">
        <v>0</v>
      </c>
      <c r="R47" s="205">
        <f t="shared" si="20"/>
        <v>0</v>
      </c>
      <c r="S47" s="39">
        <f t="shared" si="7"/>
        <v>0</v>
      </c>
      <c r="T47" s="38">
        <f t="shared" si="1"/>
        <v>0</v>
      </c>
      <c r="U47" s="292">
        <v>99</v>
      </c>
      <c r="V47" s="13">
        <f t="shared" si="4"/>
        <v>2.228688</v>
      </c>
      <c r="W47" s="294">
        <f t="shared" si="5"/>
        <v>99</v>
      </c>
      <c r="X47" s="295">
        <f t="shared" si="6"/>
        <v>2.228688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173</v>
      </c>
      <c r="C48" s="34">
        <v>140</v>
      </c>
      <c r="D48" s="34">
        <v>240</v>
      </c>
      <c r="E48" s="34">
        <v>4</v>
      </c>
      <c r="F48" s="19">
        <f t="shared" si="2"/>
        <v>0.13439999999999999</v>
      </c>
      <c r="G48" s="284">
        <v>0</v>
      </c>
      <c r="H48" s="288">
        <f t="shared" si="3"/>
        <v>0</v>
      </c>
      <c r="I48" s="290">
        <v>0</v>
      </c>
      <c r="J48" s="205">
        <f t="shared" si="0"/>
        <v>0</v>
      </c>
      <c r="K48" s="290">
        <v>0</v>
      </c>
      <c r="L48" s="205">
        <f t="shared" si="17"/>
        <v>0</v>
      </c>
      <c r="M48" s="290">
        <v>0</v>
      </c>
      <c r="N48" s="205">
        <f t="shared" si="18"/>
        <v>0</v>
      </c>
      <c r="O48" s="290">
        <v>0</v>
      </c>
      <c r="P48" s="205">
        <f t="shared" si="19"/>
        <v>0</v>
      </c>
      <c r="Q48" s="290">
        <v>0</v>
      </c>
      <c r="R48" s="205">
        <f t="shared" si="20"/>
        <v>0</v>
      </c>
      <c r="S48" s="39">
        <f t="shared" si="7"/>
        <v>0</v>
      </c>
      <c r="T48" s="38">
        <f t="shared" si="1"/>
        <v>0</v>
      </c>
      <c r="U48" s="292">
        <v>0</v>
      </c>
      <c r="V48" s="13">
        <f t="shared" si="4"/>
        <v>0</v>
      </c>
      <c r="W48" s="294">
        <f t="shared" si="5"/>
        <v>0</v>
      </c>
      <c r="X48" s="295">
        <f t="shared" si="6"/>
        <v>0</v>
      </c>
      <c r="Y48" s="238">
        <v>0</v>
      </c>
      <c r="Z48" s="101">
        <v>0</v>
      </c>
    </row>
    <row r="49" spans="1:26" x14ac:dyDescent="0.25">
      <c r="A49" s="264">
        <v>45</v>
      </c>
      <c r="B49" s="256" t="s">
        <v>174</v>
      </c>
      <c r="C49" s="34">
        <v>140</v>
      </c>
      <c r="D49" s="34">
        <v>240</v>
      </c>
      <c r="E49" s="34">
        <v>14</v>
      </c>
      <c r="F49" s="19">
        <f t="shared" si="2"/>
        <v>0.47039999999999998</v>
      </c>
      <c r="G49" s="284">
        <v>4</v>
      </c>
      <c r="H49" s="288">
        <f t="shared" si="3"/>
        <v>1.8815999999999999</v>
      </c>
      <c r="I49" s="290">
        <v>0</v>
      </c>
      <c r="J49" s="205">
        <f t="shared" si="0"/>
        <v>0</v>
      </c>
      <c r="K49" s="290">
        <v>0</v>
      </c>
      <c r="L49" s="205">
        <f t="shared" si="17"/>
        <v>0</v>
      </c>
      <c r="M49" s="290">
        <v>0</v>
      </c>
      <c r="N49" s="205">
        <f t="shared" si="18"/>
        <v>0</v>
      </c>
      <c r="O49" s="290">
        <v>0</v>
      </c>
      <c r="P49" s="205">
        <f t="shared" si="19"/>
        <v>0</v>
      </c>
      <c r="Q49" s="290">
        <v>0</v>
      </c>
      <c r="R49" s="205">
        <f t="shared" si="20"/>
        <v>0</v>
      </c>
      <c r="S49" s="39">
        <f t="shared" si="7"/>
        <v>4</v>
      </c>
      <c r="T49" s="38">
        <f t="shared" si="1"/>
        <v>1.8815999999999999</v>
      </c>
      <c r="U49" s="292">
        <v>0</v>
      </c>
      <c r="V49" s="13">
        <f t="shared" si="4"/>
        <v>0</v>
      </c>
      <c r="W49" s="294">
        <f t="shared" si="5"/>
        <v>4</v>
      </c>
      <c r="X49" s="295">
        <f t="shared" si="6"/>
        <v>1.8815999999999999</v>
      </c>
      <c r="Y49" s="238">
        <v>10</v>
      </c>
      <c r="Z49" s="101">
        <v>20</v>
      </c>
    </row>
    <row r="50" spans="1:26" x14ac:dyDescent="0.25">
      <c r="A50" s="264">
        <v>46</v>
      </c>
      <c r="B50" s="256" t="s">
        <v>175</v>
      </c>
      <c r="C50" s="34">
        <v>140</v>
      </c>
      <c r="D50" s="34">
        <v>240</v>
      </c>
      <c r="E50" s="34">
        <v>12</v>
      </c>
      <c r="F50" s="19">
        <f t="shared" si="2"/>
        <v>0.4032</v>
      </c>
      <c r="G50" s="284">
        <v>5</v>
      </c>
      <c r="H50" s="288">
        <f t="shared" si="3"/>
        <v>2.016</v>
      </c>
      <c r="I50" s="290">
        <v>0</v>
      </c>
      <c r="J50" s="205">
        <f t="shared" si="0"/>
        <v>0</v>
      </c>
      <c r="K50" s="290">
        <v>0</v>
      </c>
      <c r="L50" s="205">
        <f t="shared" si="17"/>
        <v>0</v>
      </c>
      <c r="M50" s="290">
        <v>0</v>
      </c>
      <c r="N50" s="205">
        <f t="shared" si="18"/>
        <v>0</v>
      </c>
      <c r="O50" s="290">
        <v>0</v>
      </c>
      <c r="P50" s="205">
        <f t="shared" si="19"/>
        <v>0</v>
      </c>
      <c r="Q50" s="290">
        <v>0</v>
      </c>
      <c r="R50" s="205">
        <f t="shared" si="20"/>
        <v>0</v>
      </c>
      <c r="S50" s="39">
        <f t="shared" si="7"/>
        <v>5</v>
      </c>
      <c r="T50" s="38">
        <f t="shared" si="1"/>
        <v>2.016</v>
      </c>
      <c r="U50" s="292">
        <v>0</v>
      </c>
      <c r="V50" s="13">
        <f t="shared" si="4"/>
        <v>0</v>
      </c>
      <c r="W50" s="294">
        <f t="shared" si="5"/>
        <v>5</v>
      </c>
      <c r="X50" s="295">
        <f t="shared" si="6"/>
        <v>2.016</v>
      </c>
      <c r="Y50" s="238">
        <v>10</v>
      </c>
      <c r="Z50" s="101">
        <v>20</v>
      </c>
    </row>
    <row r="51" spans="1:26" x14ac:dyDescent="0.25">
      <c r="A51" s="264">
        <v>47</v>
      </c>
      <c r="B51" s="256" t="s">
        <v>176</v>
      </c>
      <c r="C51" s="34">
        <v>130</v>
      </c>
      <c r="D51" s="34">
        <v>60</v>
      </c>
      <c r="E51" s="34">
        <v>5</v>
      </c>
      <c r="F51" s="19">
        <f t="shared" si="2"/>
        <v>3.9E-2</v>
      </c>
      <c r="G51" s="284">
        <v>162</v>
      </c>
      <c r="H51" s="288">
        <f t="shared" si="3"/>
        <v>6.3179999999999996</v>
      </c>
      <c r="I51" s="290">
        <v>0</v>
      </c>
      <c r="J51" s="205">
        <f t="shared" si="0"/>
        <v>0</v>
      </c>
      <c r="K51" s="290">
        <v>0</v>
      </c>
      <c r="L51" s="205">
        <f t="shared" si="17"/>
        <v>0</v>
      </c>
      <c r="M51" s="290">
        <v>0</v>
      </c>
      <c r="N51" s="205">
        <f t="shared" si="18"/>
        <v>0</v>
      </c>
      <c r="O51" s="290">
        <v>0</v>
      </c>
      <c r="P51" s="205">
        <f t="shared" si="19"/>
        <v>0</v>
      </c>
      <c r="Q51" s="290">
        <v>24</v>
      </c>
      <c r="R51" s="205">
        <f t="shared" si="20"/>
        <v>0.93599999999999994</v>
      </c>
      <c r="S51" s="39">
        <f t="shared" si="7"/>
        <v>138</v>
      </c>
      <c r="T51" s="38">
        <f t="shared" si="1"/>
        <v>5.3819999999999997</v>
      </c>
      <c r="U51" s="292">
        <v>0</v>
      </c>
      <c r="V51" s="13">
        <f t="shared" si="4"/>
        <v>0</v>
      </c>
      <c r="W51" s="294">
        <f t="shared" si="5"/>
        <v>138</v>
      </c>
      <c r="X51" s="295">
        <f t="shared" si="6"/>
        <v>5.3819999999999997</v>
      </c>
      <c r="Y51" s="238">
        <v>30</v>
      </c>
      <c r="Z51" s="101">
        <v>100</v>
      </c>
    </row>
    <row r="52" spans="1:26" x14ac:dyDescent="0.25">
      <c r="A52" s="264">
        <v>48</v>
      </c>
      <c r="B52" s="256" t="s">
        <v>178</v>
      </c>
      <c r="C52" s="34">
        <v>140</v>
      </c>
      <c r="D52" s="34">
        <v>240</v>
      </c>
      <c r="E52" s="34">
        <v>3</v>
      </c>
      <c r="F52" s="19">
        <f t="shared" si="2"/>
        <v>0.1008</v>
      </c>
      <c r="G52" s="284">
        <v>1216</v>
      </c>
      <c r="H52" s="288">
        <f t="shared" si="3"/>
        <v>122.5728</v>
      </c>
      <c r="I52" s="290">
        <v>5</v>
      </c>
      <c r="J52" s="205">
        <f t="shared" si="0"/>
        <v>0.504</v>
      </c>
      <c r="K52" s="290">
        <v>4</v>
      </c>
      <c r="L52" s="205">
        <f t="shared" si="17"/>
        <v>0.4032</v>
      </c>
      <c r="M52" s="290">
        <v>0</v>
      </c>
      <c r="N52" s="205">
        <f t="shared" si="18"/>
        <v>0</v>
      </c>
      <c r="O52" s="290">
        <v>0</v>
      </c>
      <c r="P52" s="205">
        <f t="shared" si="19"/>
        <v>0</v>
      </c>
      <c r="Q52" s="290">
        <v>1</v>
      </c>
      <c r="R52" s="205">
        <f t="shared" si="20"/>
        <v>0.1008</v>
      </c>
      <c r="S52" s="39">
        <f t="shared" si="7"/>
        <v>1206</v>
      </c>
      <c r="T52" s="38">
        <f t="shared" si="1"/>
        <v>121.56480000000001</v>
      </c>
      <c r="U52" s="292">
        <v>0</v>
      </c>
      <c r="V52" s="13">
        <f t="shared" si="4"/>
        <v>0</v>
      </c>
      <c r="W52" s="294">
        <f t="shared" si="5"/>
        <v>1206</v>
      </c>
      <c r="X52" s="295">
        <f t="shared" si="6"/>
        <v>121.56480000000001</v>
      </c>
      <c r="Y52" s="238">
        <v>100</v>
      </c>
      <c r="Z52" s="101">
        <v>300</v>
      </c>
    </row>
    <row r="53" spans="1:26" x14ac:dyDescent="0.25">
      <c r="A53" s="264">
        <v>49</v>
      </c>
      <c r="B53" s="256" t="s">
        <v>185</v>
      </c>
      <c r="C53" s="34">
        <v>140</v>
      </c>
      <c r="D53" s="34">
        <v>240</v>
      </c>
      <c r="E53" s="34">
        <v>1</v>
      </c>
      <c r="F53" s="19">
        <f t="shared" si="2"/>
        <v>3.3599999999999998E-2</v>
      </c>
      <c r="G53" s="284">
        <v>0</v>
      </c>
      <c r="H53" s="288">
        <f t="shared" si="3"/>
        <v>0</v>
      </c>
      <c r="I53" s="290">
        <v>0</v>
      </c>
      <c r="J53" s="205">
        <f t="shared" si="0"/>
        <v>0</v>
      </c>
      <c r="K53" s="290">
        <v>0</v>
      </c>
      <c r="L53" s="205">
        <f t="shared" si="0"/>
        <v>0</v>
      </c>
      <c r="M53" s="290">
        <v>0</v>
      </c>
      <c r="N53" s="21">
        <v>0</v>
      </c>
      <c r="O53" s="290">
        <v>0</v>
      </c>
      <c r="P53" s="21">
        <v>0</v>
      </c>
      <c r="Q53" s="290">
        <v>0</v>
      </c>
      <c r="R53" s="21">
        <v>0</v>
      </c>
      <c r="S53" s="39">
        <f t="shared" si="7"/>
        <v>0</v>
      </c>
      <c r="T53" s="38">
        <f t="shared" si="1"/>
        <v>0</v>
      </c>
      <c r="U53" s="292">
        <v>264</v>
      </c>
      <c r="V53" s="13">
        <f t="shared" si="4"/>
        <v>8.8704000000000001</v>
      </c>
      <c r="W53" s="294">
        <f t="shared" si="5"/>
        <v>264</v>
      </c>
      <c r="X53" s="295">
        <f t="shared" si="6"/>
        <v>8.8704000000000001</v>
      </c>
      <c r="Y53" s="238">
        <v>50</v>
      </c>
      <c r="Z53" s="101">
        <v>0</v>
      </c>
    </row>
    <row r="54" spans="1:26" x14ac:dyDescent="0.25">
      <c r="A54" s="264">
        <v>50</v>
      </c>
      <c r="B54" s="256" t="s">
        <v>186</v>
      </c>
      <c r="C54" s="34">
        <v>140</v>
      </c>
      <c r="D54" s="34">
        <v>240</v>
      </c>
      <c r="E54" s="34">
        <v>3</v>
      </c>
      <c r="F54" s="19">
        <f t="shared" si="2"/>
        <v>0.1008</v>
      </c>
      <c r="G54" s="284">
        <v>0</v>
      </c>
      <c r="H54" s="288">
        <f t="shared" si="3"/>
        <v>0</v>
      </c>
      <c r="I54" s="290">
        <v>0</v>
      </c>
      <c r="J54" s="205">
        <f t="shared" si="0"/>
        <v>0</v>
      </c>
      <c r="K54" s="290">
        <v>0</v>
      </c>
      <c r="L54" s="205">
        <f t="shared" si="0"/>
        <v>0</v>
      </c>
      <c r="M54" s="290">
        <v>0</v>
      </c>
      <c r="N54" s="21">
        <v>0</v>
      </c>
      <c r="O54" s="290">
        <v>0</v>
      </c>
      <c r="P54" s="21">
        <v>0</v>
      </c>
      <c r="Q54" s="290">
        <v>0</v>
      </c>
      <c r="R54" s="21">
        <v>0</v>
      </c>
      <c r="S54" s="39">
        <f t="shared" si="7"/>
        <v>0</v>
      </c>
      <c r="T54" s="38">
        <f t="shared" si="1"/>
        <v>0</v>
      </c>
      <c r="U54" s="292">
        <v>149</v>
      </c>
      <c r="V54" s="13">
        <f t="shared" si="4"/>
        <v>15.0192</v>
      </c>
      <c r="W54" s="294">
        <f t="shared" si="5"/>
        <v>149</v>
      </c>
      <c r="X54" s="295">
        <f t="shared" si="6"/>
        <v>15.0192</v>
      </c>
      <c r="Y54" s="238">
        <v>50</v>
      </c>
      <c r="Z54" s="101">
        <v>0</v>
      </c>
    </row>
    <row r="55" spans="1:26" x14ac:dyDescent="0.25">
      <c r="A55" s="277">
        <v>51</v>
      </c>
      <c r="B55" s="283" t="s">
        <v>187</v>
      </c>
      <c r="C55" s="264">
        <v>140</v>
      </c>
      <c r="D55" s="264">
        <v>240</v>
      </c>
      <c r="E55" s="264">
        <v>5</v>
      </c>
      <c r="F55" s="19">
        <f t="shared" si="2"/>
        <v>0.16800000000000001</v>
      </c>
      <c r="G55" s="285"/>
      <c r="H55" s="289"/>
      <c r="I55" s="291"/>
      <c r="J55" s="101"/>
      <c r="K55" s="291"/>
      <c r="L55" s="101"/>
      <c r="M55" s="291"/>
      <c r="N55" s="101"/>
      <c r="O55" s="291"/>
      <c r="P55" s="101"/>
      <c r="Q55" s="291"/>
      <c r="R55" s="101"/>
      <c r="S55" s="101"/>
      <c r="T55" s="101"/>
      <c r="U55" s="293">
        <v>150</v>
      </c>
      <c r="V55" s="13">
        <f t="shared" si="4"/>
        <v>25.200000000000003</v>
      </c>
      <c r="W55" s="294">
        <f t="shared" si="5"/>
        <v>150</v>
      </c>
      <c r="X55" s="295">
        <f t="shared" si="6"/>
        <v>25.200000000000003</v>
      </c>
      <c r="Y55" s="101">
        <v>30</v>
      </c>
      <c r="Z55" s="101"/>
    </row>
    <row r="56" spans="1:26" x14ac:dyDescent="0.25">
      <c r="A56" s="277">
        <v>52</v>
      </c>
      <c r="B56" s="283" t="s">
        <v>188</v>
      </c>
      <c r="C56" s="264">
        <v>140</v>
      </c>
      <c r="D56" s="264">
        <v>240</v>
      </c>
      <c r="E56" s="264">
        <v>10</v>
      </c>
      <c r="F56" s="19">
        <f t="shared" si="2"/>
        <v>0.33600000000000002</v>
      </c>
      <c r="G56" s="285"/>
      <c r="H56" s="289"/>
      <c r="I56" s="291"/>
      <c r="J56" s="101"/>
      <c r="K56" s="291"/>
      <c r="L56" s="101"/>
      <c r="M56" s="291"/>
      <c r="N56" s="101"/>
      <c r="O56" s="291"/>
      <c r="P56" s="101"/>
      <c r="Q56" s="291"/>
      <c r="R56" s="101"/>
      <c r="S56" s="101"/>
      <c r="T56" s="101"/>
      <c r="U56" s="293">
        <v>55</v>
      </c>
      <c r="V56" s="13">
        <f t="shared" si="4"/>
        <v>18.48</v>
      </c>
      <c r="W56" s="294">
        <f t="shared" si="5"/>
        <v>55</v>
      </c>
      <c r="X56" s="295">
        <f t="shared" si="6"/>
        <v>18.48</v>
      </c>
      <c r="Y56" s="101">
        <v>20</v>
      </c>
      <c r="Z56" s="101"/>
    </row>
    <row r="57" spans="1:26" x14ac:dyDescent="0.25">
      <c r="A57" s="101"/>
      <c r="B57" s="101"/>
      <c r="C57" s="101"/>
      <c r="D57" s="101"/>
      <c r="E57" s="101"/>
      <c r="F57" s="19">
        <f t="shared" si="2"/>
        <v>0</v>
      </c>
      <c r="G57" s="285"/>
      <c r="H57" s="289"/>
      <c r="I57" s="291"/>
      <c r="J57" s="101"/>
      <c r="K57" s="291"/>
      <c r="L57" s="101"/>
      <c r="M57" s="291"/>
      <c r="N57" s="101"/>
      <c r="O57" s="291"/>
      <c r="P57" s="101"/>
      <c r="Q57" s="291"/>
      <c r="R57" s="101"/>
      <c r="S57" s="101"/>
      <c r="T57" s="101"/>
      <c r="U57" s="293"/>
      <c r="V57" s="13">
        <f t="shared" si="4"/>
        <v>0</v>
      </c>
      <c r="W57" s="294">
        <f t="shared" si="5"/>
        <v>0</v>
      </c>
      <c r="X57" s="295">
        <f t="shared" si="6"/>
        <v>0</v>
      </c>
      <c r="Y57" s="101"/>
      <c r="Z57" s="101"/>
    </row>
    <row r="58" spans="1:26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6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6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6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6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6" x14ac:dyDescent="0.2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6" x14ac:dyDescent="0.2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</sheetData>
  <mergeCells count="24">
    <mergeCell ref="S4:T4"/>
    <mergeCell ref="U4:V4"/>
    <mergeCell ref="W4:X4"/>
    <mergeCell ref="G4:H4"/>
    <mergeCell ref="I4:J4"/>
    <mergeCell ref="K4:L4"/>
    <mergeCell ref="M4:N4"/>
    <mergeCell ref="O4:P4"/>
    <mergeCell ref="Q4:R4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C1:H1"/>
    <mergeCell ref="G2:H3"/>
    <mergeCell ref="I2:J2"/>
    <mergeCell ref="K2:L2"/>
    <mergeCell ref="M2:N2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Z78"/>
  <sheetViews>
    <sheetView topLeftCell="A37" workbookViewId="0">
      <selection activeCell="N52" sqref="N52"/>
    </sheetView>
  </sheetViews>
  <sheetFormatPr defaultRowHeight="15" x14ac:dyDescent="0.25"/>
  <cols>
    <col min="1" max="1" width="5" customWidth="1"/>
    <col min="2" max="2" width="38.85546875" style="3" customWidth="1"/>
    <col min="3" max="3" width="8.42578125" style="2" hidden="1" customWidth="1"/>
    <col min="4" max="4" width="10.7109375" style="2" hidden="1" customWidth="1"/>
    <col min="5" max="5" width="12.28515625" style="2" hidden="1" customWidth="1"/>
    <col min="6" max="6" width="12.5703125" style="4" hidden="1" customWidth="1"/>
    <col min="7" max="7" width="8.7109375" style="5" customWidth="1"/>
    <col min="8" max="8" width="9" style="5" customWidth="1"/>
    <col min="9" max="9" width="8.140625" style="2" customWidth="1"/>
    <col min="10" max="10" width="7.85546875" style="2" customWidth="1"/>
    <col min="11" max="18" width="8.140625" style="2" customWidth="1"/>
    <col min="19" max="19" width="0.140625" style="2" customWidth="1"/>
    <col min="20" max="20" width="10.42578125" style="2" hidden="1" customWidth="1"/>
    <col min="21" max="21" width="9.42578125" customWidth="1"/>
    <col min="22" max="22" width="11.7109375" customWidth="1"/>
    <col min="25" max="25" width="10.28515625" customWidth="1"/>
  </cols>
  <sheetData>
    <row r="1" spans="1:26" ht="15.75" thickBot="1" x14ac:dyDescent="0.3">
      <c r="B1" s="4" t="s">
        <v>18</v>
      </c>
      <c r="C1" s="384">
        <v>45474</v>
      </c>
      <c r="D1" s="320"/>
      <c r="E1" s="320"/>
      <c r="F1" s="320"/>
      <c r="G1" s="320"/>
      <c r="H1" s="320"/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45478</v>
      </c>
      <c r="J2" s="326"/>
      <c r="K2" s="327">
        <v>45485</v>
      </c>
      <c r="L2" s="328"/>
      <c r="M2" s="325">
        <v>45492</v>
      </c>
      <c r="N2" s="329"/>
      <c r="O2" s="327">
        <v>45499</v>
      </c>
      <c r="P2" s="346"/>
      <c r="Q2" s="325">
        <v>45504</v>
      </c>
      <c r="R2" s="329"/>
      <c r="S2" s="330" t="s">
        <v>69</v>
      </c>
      <c r="T2" s="331"/>
      <c r="U2" s="334" t="s">
        <v>70</v>
      </c>
      <c r="V2" s="335"/>
      <c r="W2" s="385" t="s">
        <v>71</v>
      </c>
      <c r="X2" s="386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87"/>
      <c r="X3" s="388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89" t="s">
        <v>63</v>
      </c>
      <c r="X4" s="390"/>
      <c r="Y4" s="268" t="s">
        <v>179</v>
      </c>
      <c r="Z4" s="269" t="s">
        <v>99</v>
      </c>
    </row>
    <row r="5" spans="1:26" x14ac:dyDescent="0.25">
      <c r="A5" s="263">
        <v>1</v>
      </c>
      <c r="B5" s="256" t="s">
        <v>134</v>
      </c>
      <c r="C5" s="32">
        <v>70</v>
      </c>
      <c r="D5" s="33">
        <v>64</v>
      </c>
      <c r="E5" s="33">
        <v>8</v>
      </c>
      <c r="F5" s="15">
        <f>(C5*D5*E5)/1000000</f>
        <v>3.5839999999999997E-2</v>
      </c>
      <c r="G5" s="286">
        <v>516</v>
      </c>
      <c r="H5" s="287">
        <f>F5*G5</f>
        <v>18.49344</v>
      </c>
      <c r="I5" s="290">
        <v>4</v>
      </c>
      <c r="J5" s="205">
        <f t="shared" ref="J5:R55" si="0">F5*I5</f>
        <v>0.14335999999999999</v>
      </c>
      <c r="K5" s="290">
        <v>0</v>
      </c>
      <c r="L5" s="205">
        <f>F5*K5</f>
        <v>0</v>
      </c>
      <c r="M5" s="290">
        <v>0</v>
      </c>
      <c r="N5" s="205">
        <f>F5*M5</f>
        <v>0</v>
      </c>
      <c r="O5" s="290">
        <v>0</v>
      </c>
      <c r="P5" s="205">
        <f t="shared" ref="P5:P10" si="1">F5*O5</f>
        <v>0</v>
      </c>
      <c r="Q5" s="290">
        <v>0</v>
      </c>
      <c r="R5" s="205">
        <f t="shared" ref="R5:R11" si="2">F5*Q5</f>
        <v>0</v>
      </c>
      <c r="S5" s="39">
        <f>G5-I5-K5-M5-O5-Q5</f>
        <v>512</v>
      </c>
      <c r="T5" s="38">
        <f t="shared" ref="T5:T54" si="3">F5*S5</f>
        <v>18.350079999999998</v>
      </c>
      <c r="U5" s="297">
        <v>0</v>
      </c>
      <c r="V5" s="13">
        <f>F5*U5</f>
        <v>0</v>
      </c>
      <c r="W5" s="294">
        <f>S5+U5</f>
        <v>512</v>
      </c>
      <c r="X5" s="295">
        <f>F5*W5</f>
        <v>18.350079999999998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135</v>
      </c>
      <c r="C6" s="34">
        <v>70</v>
      </c>
      <c r="D6" s="35">
        <v>80</v>
      </c>
      <c r="E6" s="35">
        <v>8</v>
      </c>
      <c r="F6" s="19">
        <f t="shared" ref="F6:F64" si="4">(C6*D6*E6)/1000000</f>
        <v>4.48E-2</v>
      </c>
      <c r="G6" s="286">
        <v>492</v>
      </c>
      <c r="H6" s="288">
        <f t="shared" ref="H6:H64" si="5">F6*G6</f>
        <v>22.041599999999999</v>
      </c>
      <c r="I6" s="290">
        <v>0</v>
      </c>
      <c r="J6" s="205">
        <f t="shared" si="0"/>
        <v>0</v>
      </c>
      <c r="K6" s="290">
        <v>8</v>
      </c>
      <c r="L6" s="205">
        <f>F6*K6</f>
        <v>0.3584</v>
      </c>
      <c r="M6" s="290">
        <v>0</v>
      </c>
      <c r="N6" s="205">
        <f>F6*M6</f>
        <v>0</v>
      </c>
      <c r="O6" s="290">
        <v>0</v>
      </c>
      <c r="P6" s="205">
        <f t="shared" si="1"/>
        <v>0</v>
      </c>
      <c r="Q6" s="290">
        <v>0</v>
      </c>
      <c r="R6" s="205">
        <f t="shared" si="2"/>
        <v>0</v>
      </c>
      <c r="S6" s="39">
        <f>G6-I6-K6-M6-O6-Q6</f>
        <v>484</v>
      </c>
      <c r="T6" s="38">
        <f t="shared" si="3"/>
        <v>21.683199999999999</v>
      </c>
      <c r="U6" s="297">
        <v>0</v>
      </c>
      <c r="V6" s="13">
        <f t="shared" ref="V6:V64" si="6">F6*U6</f>
        <v>0</v>
      </c>
      <c r="W6" s="294">
        <f t="shared" ref="W6:W65" si="7">S6+U6</f>
        <v>484</v>
      </c>
      <c r="X6" s="295">
        <f t="shared" ref="X6:X64" si="8">F6*W6</f>
        <v>21.683199999999999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136</v>
      </c>
      <c r="C7" s="34">
        <v>70</v>
      </c>
      <c r="D7" s="35">
        <v>74</v>
      </c>
      <c r="E7" s="35">
        <v>8</v>
      </c>
      <c r="F7" s="19">
        <f t="shared" si="4"/>
        <v>4.1439999999999998E-2</v>
      </c>
      <c r="G7" s="286">
        <v>517</v>
      </c>
      <c r="H7" s="288">
        <f t="shared" si="5"/>
        <v>21.424479999999999</v>
      </c>
      <c r="I7" s="290">
        <v>10</v>
      </c>
      <c r="J7" s="205">
        <f t="shared" si="0"/>
        <v>0.41439999999999999</v>
      </c>
      <c r="K7" s="290">
        <v>0</v>
      </c>
      <c r="L7" s="205">
        <f>F7*K7</f>
        <v>0</v>
      </c>
      <c r="M7" s="290">
        <v>5</v>
      </c>
      <c r="N7" s="205">
        <f>F7*M7</f>
        <v>0.2072</v>
      </c>
      <c r="O7" s="290">
        <v>0</v>
      </c>
      <c r="P7" s="205">
        <f t="shared" si="1"/>
        <v>0</v>
      </c>
      <c r="Q7" s="290">
        <v>0</v>
      </c>
      <c r="R7" s="205">
        <f t="shared" si="2"/>
        <v>0</v>
      </c>
      <c r="S7" s="39">
        <f t="shared" ref="S7:S54" si="9">G7-I7-K7-M7-O7-Q7</f>
        <v>502</v>
      </c>
      <c r="T7" s="38">
        <f t="shared" si="3"/>
        <v>20.802879999999998</v>
      </c>
      <c r="U7" s="297">
        <v>0</v>
      </c>
      <c r="V7" s="13">
        <f t="shared" si="6"/>
        <v>0</v>
      </c>
      <c r="W7" s="294">
        <f t="shared" si="7"/>
        <v>502</v>
      </c>
      <c r="X7" s="295">
        <f t="shared" si="8"/>
        <v>20.802879999999998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137</v>
      </c>
      <c r="C8" s="34">
        <v>80</v>
      </c>
      <c r="D8" s="35">
        <v>64</v>
      </c>
      <c r="E8" s="35">
        <v>5</v>
      </c>
      <c r="F8" s="19">
        <f t="shared" si="4"/>
        <v>2.5600000000000001E-2</v>
      </c>
      <c r="G8" s="286">
        <v>100</v>
      </c>
      <c r="H8" s="288">
        <f t="shared" si="5"/>
        <v>2.56</v>
      </c>
      <c r="I8" s="290">
        <v>0</v>
      </c>
      <c r="J8" s="205">
        <f t="shared" si="0"/>
        <v>0</v>
      </c>
      <c r="K8" s="290">
        <v>0</v>
      </c>
      <c r="L8" s="205">
        <f>F8*K8</f>
        <v>0</v>
      </c>
      <c r="M8" s="290">
        <v>0</v>
      </c>
      <c r="N8" s="205">
        <f>F8*M8</f>
        <v>0</v>
      </c>
      <c r="O8" s="290">
        <v>0</v>
      </c>
      <c r="P8" s="205">
        <f t="shared" si="1"/>
        <v>0</v>
      </c>
      <c r="Q8" s="290">
        <v>0</v>
      </c>
      <c r="R8" s="205">
        <f t="shared" si="2"/>
        <v>0</v>
      </c>
      <c r="S8" s="39">
        <f t="shared" si="9"/>
        <v>100</v>
      </c>
      <c r="T8" s="38">
        <f t="shared" si="3"/>
        <v>2.56</v>
      </c>
      <c r="U8" s="297">
        <v>0</v>
      </c>
      <c r="V8" s="13">
        <f t="shared" si="6"/>
        <v>0</v>
      </c>
      <c r="W8" s="294">
        <f t="shared" si="7"/>
        <v>100</v>
      </c>
      <c r="X8" s="295">
        <f t="shared" si="8"/>
        <v>2.56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138</v>
      </c>
      <c r="C9" s="34">
        <v>140</v>
      </c>
      <c r="D9" s="35">
        <v>240</v>
      </c>
      <c r="E9" s="35">
        <v>5</v>
      </c>
      <c r="F9" s="19">
        <f t="shared" si="4"/>
        <v>0.16800000000000001</v>
      </c>
      <c r="G9" s="286">
        <v>299</v>
      </c>
      <c r="H9" s="288">
        <f t="shared" si="5"/>
        <v>50.232000000000006</v>
      </c>
      <c r="I9" s="290">
        <v>26</v>
      </c>
      <c r="J9" s="205">
        <f t="shared" si="0"/>
        <v>4.3680000000000003</v>
      </c>
      <c r="K9" s="290">
        <v>35</v>
      </c>
      <c r="L9" s="205">
        <f>F9*K9</f>
        <v>5.8800000000000008</v>
      </c>
      <c r="M9" s="290">
        <v>5</v>
      </c>
      <c r="N9" s="205">
        <f>F9*M9</f>
        <v>0.84000000000000008</v>
      </c>
      <c r="O9" s="290">
        <v>8</v>
      </c>
      <c r="P9" s="205">
        <f t="shared" si="1"/>
        <v>1.3440000000000001</v>
      </c>
      <c r="Q9" s="290">
        <v>9</v>
      </c>
      <c r="R9" s="205">
        <f t="shared" si="2"/>
        <v>1.512</v>
      </c>
      <c r="S9" s="39">
        <f t="shared" si="9"/>
        <v>216</v>
      </c>
      <c r="T9" s="38">
        <f t="shared" si="3"/>
        <v>36.288000000000004</v>
      </c>
      <c r="U9" s="297">
        <v>0</v>
      </c>
      <c r="V9" s="13">
        <f t="shared" si="6"/>
        <v>0</v>
      </c>
      <c r="W9" s="294">
        <f t="shared" si="7"/>
        <v>216</v>
      </c>
      <c r="X9" s="295">
        <f t="shared" si="8"/>
        <v>36.288000000000004</v>
      </c>
      <c r="Y9" s="238">
        <v>100</v>
      </c>
      <c r="Z9" s="101">
        <v>250</v>
      </c>
    </row>
    <row r="10" spans="1:26" x14ac:dyDescent="0.25">
      <c r="A10" s="264">
        <v>6</v>
      </c>
      <c r="B10" s="256" t="s">
        <v>139</v>
      </c>
      <c r="C10" s="34">
        <v>142</v>
      </c>
      <c r="D10" s="35">
        <v>67</v>
      </c>
      <c r="E10" s="35">
        <v>5</v>
      </c>
      <c r="F10" s="19">
        <f t="shared" si="4"/>
        <v>4.7570000000000001E-2</v>
      </c>
      <c r="G10" s="286">
        <v>104</v>
      </c>
      <c r="H10" s="288">
        <f t="shared" si="5"/>
        <v>4.9472800000000001</v>
      </c>
      <c r="I10" s="290">
        <v>0</v>
      </c>
      <c r="J10" s="205">
        <f t="shared" si="0"/>
        <v>0</v>
      </c>
      <c r="K10" s="290">
        <v>0</v>
      </c>
      <c r="L10" s="205">
        <f t="shared" ref="L10:N10" si="10">F10*K10</f>
        <v>0</v>
      </c>
      <c r="M10" s="290">
        <v>0</v>
      </c>
      <c r="N10" s="205">
        <f t="shared" si="10"/>
        <v>0</v>
      </c>
      <c r="O10" s="290">
        <v>10</v>
      </c>
      <c r="P10" s="205">
        <f t="shared" si="1"/>
        <v>0.47570000000000001</v>
      </c>
      <c r="Q10" s="290">
        <v>10</v>
      </c>
      <c r="R10" s="205">
        <f t="shared" si="2"/>
        <v>0.47570000000000001</v>
      </c>
      <c r="S10" s="39">
        <f t="shared" si="9"/>
        <v>84</v>
      </c>
      <c r="T10" s="38">
        <f t="shared" si="3"/>
        <v>3.9958800000000001</v>
      </c>
      <c r="U10" s="297">
        <v>0</v>
      </c>
      <c r="V10" s="13">
        <f t="shared" si="6"/>
        <v>0</v>
      </c>
      <c r="W10" s="294">
        <f t="shared" si="7"/>
        <v>84</v>
      </c>
      <c r="X10" s="295">
        <f t="shared" si="8"/>
        <v>3.9958800000000001</v>
      </c>
      <c r="Y10" s="238">
        <v>75</v>
      </c>
      <c r="Z10" s="101">
        <v>250</v>
      </c>
    </row>
    <row r="11" spans="1:26" x14ac:dyDescent="0.25">
      <c r="A11" s="264">
        <v>7</v>
      </c>
      <c r="B11" s="256" t="s">
        <v>190</v>
      </c>
      <c r="C11" s="34">
        <v>87</v>
      </c>
      <c r="D11" s="35">
        <v>54</v>
      </c>
      <c r="E11" s="35">
        <v>5</v>
      </c>
      <c r="F11" s="19">
        <f t="shared" si="4"/>
        <v>2.349E-2</v>
      </c>
      <c r="G11" s="286">
        <v>0</v>
      </c>
      <c r="H11" s="288">
        <f t="shared" si="5"/>
        <v>0</v>
      </c>
      <c r="I11" s="290">
        <v>0</v>
      </c>
      <c r="J11" s="205">
        <f t="shared" si="0"/>
        <v>0</v>
      </c>
      <c r="K11" s="290">
        <v>75</v>
      </c>
      <c r="L11" s="205">
        <f>F11*K11</f>
        <v>1.7617499999999999</v>
      </c>
      <c r="M11" s="290">
        <v>0</v>
      </c>
      <c r="N11" s="21">
        <v>0</v>
      </c>
      <c r="O11" s="290">
        <v>0</v>
      </c>
      <c r="P11" s="21">
        <v>0</v>
      </c>
      <c r="Q11" s="290">
        <v>12</v>
      </c>
      <c r="R11" s="205">
        <f t="shared" si="2"/>
        <v>0.28188000000000002</v>
      </c>
      <c r="S11" s="39">
        <f t="shared" si="9"/>
        <v>-87</v>
      </c>
      <c r="T11" s="38">
        <f t="shared" si="3"/>
        <v>-2.0436299999999998</v>
      </c>
      <c r="U11" s="297">
        <v>87</v>
      </c>
      <c r="V11" s="13">
        <f t="shared" si="6"/>
        <v>2.0436299999999998</v>
      </c>
      <c r="W11" s="294">
        <f t="shared" si="7"/>
        <v>0</v>
      </c>
      <c r="X11" s="295">
        <f t="shared" si="8"/>
        <v>0</v>
      </c>
      <c r="Y11" s="238">
        <v>50</v>
      </c>
      <c r="Z11" s="101">
        <v>100</v>
      </c>
    </row>
    <row r="12" spans="1:26" x14ac:dyDescent="0.25">
      <c r="A12" s="264">
        <v>8</v>
      </c>
      <c r="B12" s="256" t="s">
        <v>191</v>
      </c>
      <c r="C12" s="34">
        <v>75</v>
      </c>
      <c r="D12" s="35">
        <v>54</v>
      </c>
      <c r="E12" s="35">
        <v>5</v>
      </c>
      <c r="F12" s="19">
        <f t="shared" si="4"/>
        <v>2.0250000000000001E-2</v>
      </c>
      <c r="G12" s="286">
        <v>0</v>
      </c>
      <c r="H12" s="288">
        <f t="shared" si="5"/>
        <v>0</v>
      </c>
      <c r="I12" s="290">
        <v>0</v>
      </c>
      <c r="J12" s="205">
        <f t="shared" si="0"/>
        <v>0</v>
      </c>
      <c r="K12" s="290">
        <v>64</v>
      </c>
      <c r="L12" s="205">
        <f>F12*K12</f>
        <v>1.296</v>
      </c>
      <c r="M12" s="290">
        <v>54</v>
      </c>
      <c r="N12" s="205">
        <f>F12*M12</f>
        <v>1.0935000000000001</v>
      </c>
      <c r="O12" s="290">
        <v>122</v>
      </c>
      <c r="P12" s="205">
        <f>F12*O12</f>
        <v>2.4704999999999999</v>
      </c>
      <c r="Q12" s="290">
        <v>0</v>
      </c>
      <c r="R12" s="21">
        <v>0</v>
      </c>
      <c r="S12" s="39">
        <f t="shared" si="9"/>
        <v>-240</v>
      </c>
      <c r="T12" s="38">
        <f t="shared" si="3"/>
        <v>-4.8600000000000003</v>
      </c>
      <c r="U12" s="297">
        <v>240</v>
      </c>
      <c r="V12" s="13">
        <f t="shared" si="6"/>
        <v>4.8600000000000003</v>
      </c>
      <c r="W12" s="294">
        <f t="shared" si="7"/>
        <v>0</v>
      </c>
      <c r="X12" s="295">
        <f t="shared" si="8"/>
        <v>0</v>
      </c>
      <c r="Y12" s="238">
        <v>50</v>
      </c>
      <c r="Z12" s="101">
        <v>100</v>
      </c>
    </row>
    <row r="13" spans="1:26" x14ac:dyDescent="0.25">
      <c r="A13" s="264">
        <v>9</v>
      </c>
      <c r="B13" s="256" t="s">
        <v>142</v>
      </c>
      <c r="C13" s="34">
        <v>140</v>
      </c>
      <c r="D13" s="35">
        <v>240</v>
      </c>
      <c r="E13" s="35">
        <v>5</v>
      </c>
      <c r="F13" s="19">
        <f t="shared" si="4"/>
        <v>0.16800000000000001</v>
      </c>
      <c r="G13" s="286">
        <v>117</v>
      </c>
      <c r="H13" s="288">
        <f t="shared" si="5"/>
        <v>19.656000000000002</v>
      </c>
      <c r="I13" s="290">
        <v>1</v>
      </c>
      <c r="J13" s="205">
        <f t="shared" si="0"/>
        <v>0.16800000000000001</v>
      </c>
      <c r="K13" s="290">
        <v>2</v>
      </c>
      <c r="L13" s="205">
        <f>F13*K13</f>
        <v>0.33600000000000002</v>
      </c>
      <c r="M13" s="290">
        <v>53</v>
      </c>
      <c r="N13" s="205">
        <f>F13*M13</f>
        <v>8.9039999999999999</v>
      </c>
      <c r="O13" s="290">
        <v>2</v>
      </c>
      <c r="P13" s="205">
        <f>F13*O13</f>
        <v>0.33600000000000002</v>
      </c>
      <c r="Q13" s="290">
        <v>1</v>
      </c>
      <c r="R13" s="205">
        <f>F13*Q13</f>
        <v>0.16800000000000001</v>
      </c>
      <c r="S13" s="39">
        <f t="shared" si="9"/>
        <v>58</v>
      </c>
      <c r="T13" s="38">
        <f t="shared" si="3"/>
        <v>9.7439999999999998</v>
      </c>
      <c r="U13" s="297">
        <v>0</v>
      </c>
      <c r="V13" s="13">
        <f t="shared" si="6"/>
        <v>0</v>
      </c>
      <c r="W13" s="294">
        <f t="shared" si="7"/>
        <v>58</v>
      </c>
      <c r="X13" s="295">
        <f t="shared" si="8"/>
        <v>9.7439999999999998</v>
      </c>
      <c r="Y13" s="238">
        <v>100</v>
      </c>
      <c r="Z13" s="101">
        <v>300</v>
      </c>
    </row>
    <row r="14" spans="1:26" x14ac:dyDescent="0.25">
      <c r="A14" s="264">
        <v>10</v>
      </c>
      <c r="B14" s="256" t="s">
        <v>143</v>
      </c>
      <c r="C14" s="34">
        <v>90</v>
      </c>
      <c r="D14" s="35">
        <v>85</v>
      </c>
      <c r="E14" s="35">
        <v>5</v>
      </c>
      <c r="F14" s="19">
        <f t="shared" si="4"/>
        <v>3.8249999999999999E-2</v>
      </c>
      <c r="G14" s="286">
        <v>56</v>
      </c>
      <c r="H14" s="288">
        <f t="shared" si="5"/>
        <v>2.1419999999999999</v>
      </c>
      <c r="I14" s="290">
        <v>0</v>
      </c>
      <c r="J14" s="205">
        <f t="shared" si="0"/>
        <v>0</v>
      </c>
      <c r="K14" s="290">
        <v>0</v>
      </c>
      <c r="L14" s="205">
        <f t="shared" ref="L14:L20" si="11">F14*K14</f>
        <v>0</v>
      </c>
      <c r="M14" s="290">
        <v>0</v>
      </c>
      <c r="N14" s="205">
        <f t="shared" si="0"/>
        <v>0</v>
      </c>
      <c r="O14" s="290">
        <v>0</v>
      </c>
      <c r="P14" s="205">
        <f t="shared" si="0"/>
        <v>0</v>
      </c>
      <c r="Q14" s="290">
        <v>0</v>
      </c>
      <c r="R14" s="205">
        <f t="shared" si="0"/>
        <v>0</v>
      </c>
      <c r="S14" s="39">
        <f t="shared" si="9"/>
        <v>56</v>
      </c>
      <c r="T14" s="38">
        <f t="shared" si="3"/>
        <v>2.1419999999999999</v>
      </c>
      <c r="U14" s="297">
        <v>0</v>
      </c>
      <c r="V14" s="13">
        <f t="shared" si="6"/>
        <v>0</v>
      </c>
      <c r="W14" s="294">
        <f t="shared" si="7"/>
        <v>56</v>
      </c>
      <c r="X14" s="295">
        <f t="shared" si="8"/>
        <v>2.1419999999999999</v>
      </c>
      <c r="Y14" s="238">
        <v>50</v>
      </c>
      <c r="Z14" s="101">
        <v>100</v>
      </c>
    </row>
    <row r="15" spans="1:26" x14ac:dyDescent="0.25">
      <c r="A15" s="264">
        <v>11</v>
      </c>
      <c r="B15" s="256" t="s">
        <v>144</v>
      </c>
      <c r="C15" s="34">
        <v>140</v>
      </c>
      <c r="D15" s="35">
        <v>240</v>
      </c>
      <c r="E15" s="35">
        <v>5</v>
      </c>
      <c r="F15" s="19">
        <f t="shared" si="4"/>
        <v>0.16800000000000001</v>
      </c>
      <c r="G15" s="286">
        <v>76</v>
      </c>
      <c r="H15" s="288">
        <f t="shared" si="5"/>
        <v>12.768000000000001</v>
      </c>
      <c r="I15" s="290">
        <v>4</v>
      </c>
      <c r="J15" s="205">
        <f t="shared" si="0"/>
        <v>0.67200000000000004</v>
      </c>
      <c r="K15" s="290">
        <v>1</v>
      </c>
      <c r="L15" s="205">
        <f t="shared" si="11"/>
        <v>0.16800000000000001</v>
      </c>
      <c r="M15" s="290">
        <v>4</v>
      </c>
      <c r="N15" s="205">
        <f t="shared" ref="N15:N20" si="12">F15*M15</f>
        <v>0.67200000000000004</v>
      </c>
      <c r="O15" s="290">
        <v>8</v>
      </c>
      <c r="P15" s="205">
        <f t="shared" ref="P15:P20" si="13">F15*O15</f>
        <v>1.3440000000000001</v>
      </c>
      <c r="Q15" s="290">
        <v>3</v>
      </c>
      <c r="R15" s="205">
        <f t="shared" ref="R15:R20" si="14">F15*Q15</f>
        <v>0.504</v>
      </c>
      <c r="S15" s="39">
        <f t="shared" si="9"/>
        <v>56</v>
      </c>
      <c r="T15" s="38">
        <f t="shared" si="3"/>
        <v>9.4080000000000013</v>
      </c>
      <c r="U15" s="297">
        <v>0</v>
      </c>
      <c r="V15" s="13">
        <f t="shared" si="6"/>
        <v>0</v>
      </c>
      <c r="W15" s="294">
        <f t="shared" si="7"/>
        <v>56</v>
      </c>
      <c r="X15" s="295">
        <f t="shared" si="8"/>
        <v>9.4080000000000013</v>
      </c>
      <c r="Y15" s="238">
        <v>200</v>
      </c>
      <c r="Z15" s="101">
        <v>400</v>
      </c>
    </row>
    <row r="16" spans="1:26" x14ac:dyDescent="0.25">
      <c r="A16" s="264">
        <v>12</v>
      </c>
      <c r="B16" s="256" t="s">
        <v>145</v>
      </c>
      <c r="C16" s="34">
        <v>140</v>
      </c>
      <c r="D16" s="35">
        <v>240</v>
      </c>
      <c r="E16" s="35">
        <v>5</v>
      </c>
      <c r="F16" s="19">
        <f t="shared" si="4"/>
        <v>0.16800000000000001</v>
      </c>
      <c r="G16" s="286">
        <v>58</v>
      </c>
      <c r="H16" s="288">
        <f t="shared" si="5"/>
        <v>9.7439999999999998</v>
      </c>
      <c r="I16" s="290">
        <v>3</v>
      </c>
      <c r="J16" s="205">
        <f t="shared" si="0"/>
        <v>0.504</v>
      </c>
      <c r="K16" s="290">
        <v>9</v>
      </c>
      <c r="L16" s="205">
        <f t="shared" si="11"/>
        <v>1.512</v>
      </c>
      <c r="M16" s="290">
        <v>3</v>
      </c>
      <c r="N16" s="205">
        <f t="shared" si="12"/>
        <v>0.504</v>
      </c>
      <c r="O16" s="290">
        <v>14</v>
      </c>
      <c r="P16" s="205">
        <f t="shared" si="13"/>
        <v>2.3520000000000003</v>
      </c>
      <c r="Q16" s="290">
        <v>23</v>
      </c>
      <c r="R16" s="205">
        <f t="shared" si="14"/>
        <v>3.8640000000000003</v>
      </c>
      <c r="S16" s="39">
        <f t="shared" si="9"/>
        <v>6</v>
      </c>
      <c r="T16" s="38">
        <f t="shared" si="3"/>
        <v>1.008</v>
      </c>
      <c r="U16" s="297">
        <v>0</v>
      </c>
      <c r="V16" s="13">
        <f t="shared" si="6"/>
        <v>0</v>
      </c>
      <c r="W16" s="294">
        <f t="shared" si="7"/>
        <v>6</v>
      </c>
      <c r="X16" s="295">
        <f t="shared" si="8"/>
        <v>1.008</v>
      </c>
      <c r="Y16" s="238">
        <v>200</v>
      </c>
      <c r="Z16" s="101">
        <v>500</v>
      </c>
    </row>
    <row r="17" spans="1:26" x14ac:dyDescent="0.25">
      <c r="A17" s="264">
        <v>13</v>
      </c>
      <c r="B17" s="256" t="s">
        <v>146</v>
      </c>
      <c r="C17" s="34">
        <v>140</v>
      </c>
      <c r="D17" s="35">
        <v>240</v>
      </c>
      <c r="E17" s="35">
        <v>8</v>
      </c>
      <c r="F17" s="19">
        <f t="shared" si="4"/>
        <v>0.26879999999999998</v>
      </c>
      <c r="G17" s="286">
        <v>22</v>
      </c>
      <c r="H17" s="288">
        <f t="shared" si="5"/>
        <v>5.9135999999999997</v>
      </c>
      <c r="I17" s="290">
        <v>0</v>
      </c>
      <c r="J17" s="205">
        <f t="shared" si="0"/>
        <v>0</v>
      </c>
      <c r="K17" s="290">
        <v>10</v>
      </c>
      <c r="L17" s="205">
        <f t="shared" si="11"/>
        <v>2.6879999999999997</v>
      </c>
      <c r="M17" s="290">
        <v>0</v>
      </c>
      <c r="N17" s="205">
        <f t="shared" si="12"/>
        <v>0</v>
      </c>
      <c r="O17" s="290">
        <v>12</v>
      </c>
      <c r="P17" s="205">
        <f t="shared" si="13"/>
        <v>3.2256</v>
      </c>
      <c r="Q17" s="290">
        <v>0</v>
      </c>
      <c r="R17" s="205">
        <f t="shared" si="14"/>
        <v>0</v>
      </c>
      <c r="S17" s="39">
        <f t="shared" si="9"/>
        <v>0</v>
      </c>
      <c r="T17" s="38">
        <f t="shared" si="3"/>
        <v>0</v>
      </c>
      <c r="U17" s="297">
        <v>0</v>
      </c>
      <c r="V17" s="13">
        <f t="shared" si="6"/>
        <v>0</v>
      </c>
      <c r="W17" s="294">
        <f t="shared" si="7"/>
        <v>0</v>
      </c>
      <c r="X17" s="295">
        <f t="shared" si="8"/>
        <v>0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147</v>
      </c>
      <c r="C18" s="34">
        <v>77</v>
      </c>
      <c r="D18" s="35">
        <v>86</v>
      </c>
      <c r="E18" s="35">
        <v>8</v>
      </c>
      <c r="F18" s="19">
        <f t="shared" si="4"/>
        <v>5.2976000000000002E-2</v>
      </c>
      <c r="G18" s="286">
        <v>357</v>
      </c>
      <c r="H18" s="288">
        <f t="shared" si="5"/>
        <v>18.912432000000003</v>
      </c>
      <c r="I18" s="290">
        <v>0</v>
      </c>
      <c r="J18" s="205">
        <f t="shared" si="0"/>
        <v>0</v>
      </c>
      <c r="K18" s="290">
        <v>8</v>
      </c>
      <c r="L18" s="205">
        <f t="shared" si="11"/>
        <v>0.42380800000000002</v>
      </c>
      <c r="M18" s="290">
        <v>0</v>
      </c>
      <c r="N18" s="205">
        <f t="shared" si="12"/>
        <v>0</v>
      </c>
      <c r="O18" s="290">
        <v>48</v>
      </c>
      <c r="P18" s="205">
        <f t="shared" si="13"/>
        <v>2.5428480000000002</v>
      </c>
      <c r="Q18" s="290">
        <v>0</v>
      </c>
      <c r="R18" s="205">
        <f t="shared" si="14"/>
        <v>0</v>
      </c>
      <c r="S18" s="39">
        <f t="shared" si="9"/>
        <v>301</v>
      </c>
      <c r="T18" s="38">
        <f t="shared" si="3"/>
        <v>15.945776</v>
      </c>
      <c r="U18" s="297">
        <v>0</v>
      </c>
      <c r="V18" s="13">
        <f t="shared" si="6"/>
        <v>0</v>
      </c>
      <c r="W18" s="294">
        <f t="shared" si="7"/>
        <v>301</v>
      </c>
      <c r="X18" s="295">
        <f t="shared" si="8"/>
        <v>15.945776</v>
      </c>
      <c r="Y18" s="238">
        <v>100</v>
      </c>
      <c r="Z18" s="101">
        <v>300</v>
      </c>
    </row>
    <row r="19" spans="1:26" x14ac:dyDescent="0.25">
      <c r="A19" s="264">
        <v>15</v>
      </c>
      <c r="B19" s="256" t="s">
        <v>148</v>
      </c>
      <c r="C19" s="34">
        <v>77</v>
      </c>
      <c r="D19" s="35">
        <v>68</v>
      </c>
      <c r="E19" s="35">
        <v>8</v>
      </c>
      <c r="F19" s="19">
        <f t="shared" si="4"/>
        <v>4.1888000000000002E-2</v>
      </c>
      <c r="G19" s="286">
        <v>353</v>
      </c>
      <c r="H19" s="288">
        <f t="shared" si="5"/>
        <v>14.786464</v>
      </c>
      <c r="I19" s="290">
        <v>0</v>
      </c>
      <c r="J19" s="205">
        <f t="shared" si="0"/>
        <v>0</v>
      </c>
      <c r="K19" s="290">
        <v>0</v>
      </c>
      <c r="L19" s="205">
        <f t="shared" si="11"/>
        <v>0</v>
      </c>
      <c r="M19" s="290">
        <v>0</v>
      </c>
      <c r="N19" s="205">
        <f t="shared" si="12"/>
        <v>0</v>
      </c>
      <c r="O19" s="290">
        <v>7</v>
      </c>
      <c r="P19" s="205">
        <f t="shared" si="13"/>
        <v>0.29321600000000003</v>
      </c>
      <c r="Q19" s="290">
        <v>0</v>
      </c>
      <c r="R19" s="205">
        <f t="shared" si="14"/>
        <v>0</v>
      </c>
      <c r="S19" s="39">
        <f t="shared" si="9"/>
        <v>346</v>
      </c>
      <c r="T19" s="38">
        <f t="shared" si="3"/>
        <v>14.493248000000001</v>
      </c>
      <c r="U19" s="297">
        <v>0</v>
      </c>
      <c r="V19" s="13">
        <f t="shared" si="6"/>
        <v>0</v>
      </c>
      <c r="W19" s="294">
        <f t="shared" si="7"/>
        <v>346</v>
      </c>
      <c r="X19" s="295">
        <f t="shared" si="8"/>
        <v>14.493248000000001</v>
      </c>
      <c r="Y19" s="238">
        <v>100</v>
      </c>
      <c r="Z19" s="101">
        <v>300</v>
      </c>
    </row>
    <row r="20" spans="1:26" x14ac:dyDescent="0.25">
      <c r="A20" s="264">
        <v>16</v>
      </c>
      <c r="B20" s="256" t="s">
        <v>149</v>
      </c>
      <c r="C20" s="34">
        <v>76</v>
      </c>
      <c r="D20" s="35">
        <v>75</v>
      </c>
      <c r="E20" s="35">
        <v>8</v>
      </c>
      <c r="F20" s="19">
        <f t="shared" si="4"/>
        <v>4.5600000000000002E-2</v>
      </c>
      <c r="G20" s="286">
        <v>273</v>
      </c>
      <c r="H20" s="288">
        <f t="shared" si="5"/>
        <v>12.4488</v>
      </c>
      <c r="I20" s="290">
        <v>0</v>
      </c>
      <c r="J20" s="205">
        <f t="shared" si="0"/>
        <v>0</v>
      </c>
      <c r="K20" s="290">
        <v>0</v>
      </c>
      <c r="L20" s="205">
        <f t="shared" si="11"/>
        <v>0</v>
      </c>
      <c r="M20" s="290">
        <v>0</v>
      </c>
      <c r="N20" s="205">
        <f t="shared" si="12"/>
        <v>0</v>
      </c>
      <c r="O20" s="290">
        <v>0</v>
      </c>
      <c r="P20" s="205">
        <f t="shared" si="13"/>
        <v>0</v>
      </c>
      <c r="Q20" s="290">
        <v>0</v>
      </c>
      <c r="R20" s="205">
        <f t="shared" si="14"/>
        <v>0</v>
      </c>
      <c r="S20" s="39">
        <f t="shared" si="9"/>
        <v>273</v>
      </c>
      <c r="T20" s="38">
        <f t="shared" si="3"/>
        <v>12.4488</v>
      </c>
      <c r="U20" s="297">
        <v>0</v>
      </c>
      <c r="V20" s="13">
        <f t="shared" si="6"/>
        <v>0</v>
      </c>
      <c r="W20" s="294">
        <f t="shared" si="7"/>
        <v>273</v>
      </c>
      <c r="X20" s="295">
        <f t="shared" si="8"/>
        <v>12.4488</v>
      </c>
      <c r="Y20" s="238">
        <v>100</v>
      </c>
      <c r="Z20" s="101">
        <v>300</v>
      </c>
    </row>
    <row r="21" spans="1:26" x14ac:dyDescent="0.25">
      <c r="A21" s="264">
        <v>17</v>
      </c>
      <c r="B21" s="256" t="s">
        <v>150</v>
      </c>
      <c r="C21" s="34">
        <v>60</v>
      </c>
      <c r="D21" s="35">
        <v>63</v>
      </c>
      <c r="E21" s="35">
        <v>10</v>
      </c>
      <c r="F21" s="19">
        <f t="shared" si="4"/>
        <v>3.78E-2</v>
      </c>
      <c r="G21" s="286">
        <v>1075</v>
      </c>
      <c r="H21" s="288">
        <f t="shared" si="5"/>
        <v>40.634999999999998</v>
      </c>
      <c r="I21" s="290">
        <v>0</v>
      </c>
      <c r="J21" s="205">
        <f t="shared" si="0"/>
        <v>0</v>
      </c>
      <c r="K21" s="290">
        <v>0</v>
      </c>
      <c r="L21" s="205">
        <f t="shared" si="0"/>
        <v>0</v>
      </c>
      <c r="M21" s="290">
        <v>0</v>
      </c>
      <c r="N21" s="21">
        <v>0</v>
      </c>
      <c r="O21" s="290">
        <v>0</v>
      </c>
      <c r="P21" s="21">
        <v>0</v>
      </c>
      <c r="Q21" s="290">
        <v>0</v>
      </c>
      <c r="R21" s="21">
        <v>0</v>
      </c>
      <c r="S21" s="39">
        <f t="shared" si="9"/>
        <v>1075</v>
      </c>
      <c r="T21" s="38">
        <f t="shared" si="3"/>
        <v>40.634999999999998</v>
      </c>
      <c r="U21" s="297">
        <v>357</v>
      </c>
      <c r="V21" s="13">
        <f t="shared" si="6"/>
        <v>13.4946</v>
      </c>
      <c r="W21" s="294">
        <f t="shared" si="7"/>
        <v>1432</v>
      </c>
      <c r="X21" s="295">
        <f t="shared" si="8"/>
        <v>54.129600000000003</v>
      </c>
      <c r="Y21" s="238">
        <v>50</v>
      </c>
      <c r="Z21" s="101">
        <v>200</v>
      </c>
    </row>
    <row r="22" spans="1:26" x14ac:dyDescent="0.25">
      <c r="A22" s="264">
        <v>18</v>
      </c>
      <c r="B22" s="256" t="s">
        <v>151</v>
      </c>
      <c r="C22" s="34">
        <v>63</v>
      </c>
      <c r="D22" s="35">
        <v>60</v>
      </c>
      <c r="E22" s="35">
        <v>3</v>
      </c>
      <c r="F22" s="19">
        <f t="shared" si="4"/>
        <v>1.1339999999999999E-2</v>
      </c>
      <c r="G22" s="286">
        <v>330</v>
      </c>
      <c r="H22" s="288">
        <f t="shared" si="5"/>
        <v>3.7422</v>
      </c>
      <c r="I22" s="290">
        <v>0</v>
      </c>
      <c r="J22" s="205">
        <f t="shared" si="0"/>
        <v>0</v>
      </c>
      <c r="K22" s="290">
        <v>0</v>
      </c>
      <c r="L22" s="205">
        <f t="shared" si="0"/>
        <v>0</v>
      </c>
      <c r="M22" s="290">
        <v>0</v>
      </c>
      <c r="N22" s="21">
        <v>0</v>
      </c>
      <c r="O22" s="290">
        <v>0</v>
      </c>
      <c r="P22" s="21">
        <v>0</v>
      </c>
      <c r="Q22" s="290">
        <v>0</v>
      </c>
      <c r="R22" s="21">
        <v>0</v>
      </c>
      <c r="S22" s="39">
        <f t="shared" si="9"/>
        <v>330</v>
      </c>
      <c r="T22" s="38">
        <f t="shared" si="3"/>
        <v>3.7422</v>
      </c>
      <c r="U22" s="297">
        <v>0</v>
      </c>
      <c r="V22" s="13">
        <f t="shared" si="6"/>
        <v>0</v>
      </c>
      <c r="W22" s="294">
        <f t="shared" si="7"/>
        <v>330</v>
      </c>
      <c r="X22" s="295">
        <f t="shared" si="8"/>
        <v>3.7422</v>
      </c>
      <c r="Y22" s="238">
        <v>50</v>
      </c>
      <c r="Z22" s="101">
        <v>200</v>
      </c>
    </row>
    <row r="23" spans="1:26" x14ac:dyDescent="0.25">
      <c r="A23" s="264">
        <v>19</v>
      </c>
      <c r="B23" s="42" t="s">
        <v>152</v>
      </c>
      <c r="C23" s="34">
        <v>140</v>
      </c>
      <c r="D23" s="35">
        <v>240</v>
      </c>
      <c r="E23" s="35">
        <v>1.4</v>
      </c>
      <c r="F23" s="19">
        <f t="shared" si="4"/>
        <v>4.7039999999999998E-2</v>
      </c>
      <c r="G23" s="286">
        <v>1473</v>
      </c>
      <c r="H23" s="288">
        <f t="shared" si="5"/>
        <v>69.289919999999995</v>
      </c>
      <c r="I23" s="290">
        <v>61</v>
      </c>
      <c r="J23" s="205">
        <f t="shared" si="0"/>
        <v>2.86944</v>
      </c>
      <c r="K23" s="290">
        <v>36</v>
      </c>
      <c r="L23" s="205">
        <f t="shared" ref="L23:L36" si="15">F23*K23</f>
        <v>1.6934399999999998</v>
      </c>
      <c r="M23" s="290">
        <v>18</v>
      </c>
      <c r="N23" s="205">
        <f t="shared" ref="N23:N36" si="16">F23*M23</f>
        <v>0.84671999999999992</v>
      </c>
      <c r="O23" s="290">
        <v>62</v>
      </c>
      <c r="P23" s="205">
        <f t="shared" ref="P23:P36" si="17">F23*O23</f>
        <v>2.91648</v>
      </c>
      <c r="Q23" s="290">
        <v>29</v>
      </c>
      <c r="R23" s="205">
        <f t="shared" ref="R23:R36" si="18">F23*Q23</f>
        <v>1.36416</v>
      </c>
      <c r="S23" s="39">
        <f t="shared" si="9"/>
        <v>1267</v>
      </c>
      <c r="T23" s="38">
        <f t="shared" si="3"/>
        <v>59.599679999999999</v>
      </c>
      <c r="U23" s="297">
        <v>0</v>
      </c>
      <c r="V23" s="13">
        <f t="shared" si="6"/>
        <v>0</v>
      </c>
      <c r="W23" s="294">
        <f t="shared" si="7"/>
        <v>1267</v>
      </c>
      <c r="X23" s="295">
        <f t="shared" si="8"/>
        <v>59.599679999999999</v>
      </c>
      <c r="Y23" s="238">
        <v>200</v>
      </c>
      <c r="Z23" s="101">
        <v>500</v>
      </c>
    </row>
    <row r="24" spans="1:26" x14ac:dyDescent="0.25">
      <c r="A24" s="264">
        <v>20</v>
      </c>
      <c r="B24" s="256" t="s">
        <v>3</v>
      </c>
      <c r="C24" s="34">
        <v>140</v>
      </c>
      <c r="D24" s="35">
        <v>240</v>
      </c>
      <c r="E24" s="35">
        <v>0.8</v>
      </c>
      <c r="F24" s="19">
        <f t="shared" si="4"/>
        <v>2.6880000000000001E-2</v>
      </c>
      <c r="G24" s="286">
        <v>530</v>
      </c>
      <c r="H24" s="288">
        <f t="shared" si="5"/>
        <v>14.246400000000001</v>
      </c>
      <c r="I24" s="290">
        <v>3</v>
      </c>
      <c r="J24" s="205">
        <f t="shared" si="0"/>
        <v>8.0640000000000003E-2</v>
      </c>
      <c r="K24" s="290">
        <v>4</v>
      </c>
      <c r="L24" s="205">
        <f t="shared" si="15"/>
        <v>0.10752</v>
      </c>
      <c r="M24" s="290">
        <v>16</v>
      </c>
      <c r="N24" s="205">
        <f t="shared" si="16"/>
        <v>0.43008000000000002</v>
      </c>
      <c r="O24" s="290">
        <v>43</v>
      </c>
      <c r="P24" s="205">
        <f t="shared" si="17"/>
        <v>1.15584</v>
      </c>
      <c r="Q24" s="290">
        <v>8</v>
      </c>
      <c r="R24" s="205">
        <f t="shared" si="18"/>
        <v>0.21504000000000001</v>
      </c>
      <c r="S24" s="39">
        <f t="shared" si="9"/>
        <v>456</v>
      </c>
      <c r="T24" s="38">
        <f t="shared" si="3"/>
        <v>12.25728</v>
      </c>
      <c r="U24" s="297">
        <v>0</v>
      </c>
      <c r="V24" s="13">
        <f t="shared" si="6"/>
        <v>0</v>
      </c>
      <c r="W24" s="294">
        <f t="shared" si="7"/>
        <v>456</v>
      </c>
      <c r="X24" s="295">
        <f t="shared" si="8"/>
        <v>12.25728</v>
      </c>
      <c r="Y24" s="238">
        <v>100</v>
      </c>
      <c r="Z24" s="101">
        <v>300</v>
      </c>
    </row>
    <row r="25" spans="1:26" x14ac:dyDescent="0.25">
      <c r="A25" s="264">
        <v>21</v>
      </c>
      <c r="B25" s="256" t="s">
        <v>153</v>
      </c>
      <c r="C25" s="34">
        <v>58</v>
      </c>
      <c r="D25" s="35">
        <v>58</v>
      </c>
      <c r="E25" s="35">
        <v>2.2999999999999998</v>
      </c>
      <c r="F25" s="19">
        <f t="shared" si="4"/>
        <v>7.7371999999999996E-3</v>
      </c>
      <c r="G25" s="286">
        <v>809</v>
      </c>
      <c r="H25" s="288">
        <f t="shared" si="5"/>
        <v>6.2593947999999999</v>
      </c>
      <c r="I25" s="290">
        <v>90</v>
      </c>
      <c r="J25" s="205">
        <f t="shared" si="0"/>
        <v>0.69634799999999997</v>
      </c>
      <c r="K25" s="290">
        <v>0</v>
      </c>
      <c r="L25" s="205">
        <f t="shared" si="15"/>
        <v>0</v>
      </c>
      <c r="M25" s="290">
        <v>0</v>
      </c>
      <c r="N25" s="205">
        <f t="shared" si="16"/>
        <v>0</v>
      </c>
      <c r="O25" s="290">
        <v>0</v>
      </c>
      <c r="P25" s="205">
        <f t="shared" si="17"/>
        <v>0</v>
      </c>
      <c r="Q25" s="290">
        <v>90</v>
      </c>
      <c r="R25" s="205">
        <f t="shared" si="18"/>
        <v>0.69634799999999997</v>
      </c>
      <c r="S25" s="39">
        <f t="shared" si="9"/>
        <v>629</v>
      </c>
      <c r="T25" s="38">
        <f t="shared" si="3"/>
        <v>4.8666988</v>
      </c>
      <c r="U25" s="297">
        <v>0</v>
      </c>
      <c r="V25" s="13">
        <f t="shared" si="6"/>
        <v>0</v>
      </c>
      <c r="W25" s="294">
        <f t="shared" si="7"/>
        <v>629</v>
      </c>
      <c r="X25" s="295">
        <f t="shared" si="8"/>
        <v>4.8666988</v>
      </c>
      <c r="Y25" s="238">
        <v>200</v>
      </c>
      <c r="Z25" s="101">
        <v>750</v>
      </c>
    </row>
    <row r="26" spans="1:26" x14ac:dyDescent="0.25">
      <c r="A26" s="264">
        <v>22</v>
      </c>
      <c r="B26" s="256" t="s">
        <v>154</v>
      </c>
      <c r="C26" s="34">
        <v>140</v>
      </c>
      <c r="D26" s="35">
        <v>240</v>
      </c>
      <c r="E26" s="35">
        <v>7</v>
      </c>
      <c r="F26" s="19">
        <f t="shared" si="4"/>
        <v>0.23519999999999999</v>
      </c>
      <c r="G26" s="286">
        <v>135</v>
      </c>
      <c r="H26" s="288">
        <f t="shared" si="5"/>
        <v>31.751999999999999</v>
      </c>
      <c r="I26" s="290">
        <v>8</v>
      </c>
      <c r="J26" s="205">
        <f t="shared" si="0"/>
        <v>1.8815999999999999</v>
      </c>
      <c r="K26" s="290">
        <v>14</v>
      </c>
      <c r="L26" s="205">
        <f t="shared" si="15"/>
        <v>3.2927999999999997</v>
      </c>
      <c r="M26" s="290">
        <v>4</v>
      </c>
      <c r="N26" s="205">
        <f t="shared" si="16"/>
        <v>0.94079999999999997</v>
      </c>
      <c r="O26" s="290">
        <v>16</v>
      </c>
      <c r="P26" s="205">
        <f t="shared" si="17"/>
        <v>3.7631999999999999</v>
      </c>
      <c r="Q26" s="290">
        <v>15</v>
      </c>
      <c r="R26" s="205">
        <f t="shared" si="18"/>
        <v>3.528</v>
      </c>
      <c r="S26" s="39">
        <f t="shared" si="9"/>
        <v>78</v>
      </c>
      <c r="T26" s="38">
        <f t="shared" si="3"/>
        <v>18.345600000000001</v>
      </c>
      <c r="U26" s="297">
        <v>0</v>
      </c>
      <c r="V26" s="13">
        <f t="shared" si="6"/>
        <v>0</v>
      </c>
      <c r="W26" s="294">
        <f t="shared" si="7"/>
        <v>78</v>
      </c>
      <c r="X26" s="295">
        <f t="shared" si="8"/>
        <v>18.345600000000001</v>
      </c>
      <c r="Y26" s="238">
        <v>50</v>
      </c>
      <c r="Z26" s="101">
        <v>200</v>
      </c>
    </row>
    <row r="27" spans="1:26" ht="15.75" x14ac:dyDescent="0.25">
      <c r="A27" s="264">
        <v>23</v>
      </c>
      <c r="B27" s="256" t="s">
        <v>55</v>
      </c>
      <c r="C27" s="111">
        <v>50</v>
      </c>
      <c r="D27" s="112">
        <v>45</v>
      </c>
      <c r="E27" s="112">
        <v>4</v>
      </c>
      <c r="F27" s="19">
        <f t="shared" si="4"/>
        <v>8.9999999999999993E-3</v>
      </c>
      <c r="G27" s="286">
        <v>1984</v>
      </c>
      <c r="H27" s="288">
        <f t="shared" si="5"/>
        <v>17.855999999999998</v>
      </c>
      <c r="I27" s="290">
        <v>0</v>
      </c>
      <c r="J27" s="205">
        <f t="shared" si="0"/>
        <v>0</v>
      </c>
      <c r="K27" s="290">
        <v>0</v>
      </c>
      <c r="L27" s="205">
        <f t="shared" si="15"/>
        <v>0</v>
      </c>
      <c r="M27" s="290">
        <v>0</v>
      </c>
      <c r="N27" s="205">
        <f t="shared" si="16"/>
        <v>0</v>
      </c>
      <c r="O27" s="290">
        <v>0</v>
      </c>
      <c r="P27" s="205">
        <f t="shared" si="17"/>
        <v>0</v>
      </c>
      <c r="Q27" s="290">
        <v>0</v>
      </c>
      <c r="R27" s="205">
        <f t="shared" si="18"/>
        <v>0</v>
      </c>
      <c r="S27" s="39">
        <f t="shared" si="9"/>
        <v>1984</v>
      </c>
      <c r="T27" s="38">
        <f t="shared" si="3"/>
        <v>17.855999999999998</v>
      </c>
      <c r="U27" s="297">
        <v>0</v>
      </c>
      <c r="V27" s="13">
        <f t="shared" si="6"/>
        <v>0</v>
      </c>
      <c r="W27" s="294">
        <f t="shared" si="7"/>
        <v>1984</v>
      </c>
      <c r="X27" s="295">
        <f t="shared" si="8"/>
        <v>17.855999999999998</v>
      </c>
      <c r="Y27" s="238">
        <v>300</v>
      </c>
      <c r="Z27" s="101">
        <v>1000</v>
      </c>
    </row>
    <row r="28" spans="1:26" ht="15.75" x14ac:dyDescent="0.25">
      <c r="A28" s="264">
        <v>24</v>
      </c>
      <c r="B28" s="256" t="s">
        <v>56</v>
      </c>
      <c r="C28" s="111">
        <v>50</v>
      </c>
      <c r="D28" s="112">
        <v>35</v>
      </c>
      <c r="E28" s="112">
        <v>4</v>
      </c>
      <c r="F28" s="19">
        <f t="shared" si="4"/>
        <v>7.0000000000000001E-3</v>
      </c>
      <c r="G28" s="286">
        <v>968</v>
      </c>
      <c r="H28" s="288">
        <f t="shared" si="5"/>
        <v>6.7759999999999998</v>
      </c>
      <c r="I28" s="290">
        <v>20</v>
      </c>
      <c r="J28" s="205">
        <f t="shared" si="0"/>
        <v>0.14000000000000001</v>
      </c>
      <c r="K28" s="290">
        <v>0</v>
      </c>
      <c r="L28" s="205">
        <f t="shared" si="15"/>
        <v>0</v>
      </c>
      <c r="M28" s="290">
        <v>0</v>
      </c>
      <c r="N28" s="205">
        <f t="shared" si="16"/>
        <v>0</v>
      </c>
      <c r="O28" s="290">
        <v>0</v>
      </c>
      <c r="P28" s="205">
        <f t="shared" si="17"/>
        <v>0</v>
      </c>
      <c r="Q28" s="290">
        <v>0</v>
      </c>
      <c r="R28" s="205">
        <f t="shared" si="18"/>
        <v>0</v>
      </c>
      <c r="S28" s="39">
        <f t="shared" si="9"/>
        <v>948</v>
      </c>
      <c r="T28" s="38">
        <f t="shared" si="3"/>
        <v>6.6360000000000001</v>
      </c>
      <c r="U28" s="297">
        <v>0</v>
      </c>
      <c r="V28" s="13">
        <f t="shared" si="6"/>
        <v>0</v>
      </c>
      <c r="W28" s="294">
        <f t="shared" si="7"/>
        <v>948</v>
      </c>
      <c r="X28" s="295">
        <f t="shared" si="8"/>
        <v>6.6360000000000001</v>
      </c>
      <c r="Y28" s="238">
        <v>300</v>
      </c>
      <c r="Z28" s="101">
        <v>1000</v>
      </c>
    </row>
    <row r="29" spans="1:26" ht="15.75" x14ac:dyDescent="0.25">
      <c r="A29" s="264">
        <v>25</v>
      </c>
      <c r="B29" s="256" t="s">
        <v>57</v>
      </c>
      <c r="C29" s="111">
        <v>45</v>
      </c>
      <c r="D29" s="112">
        <v>44</v>
      </c>
      <c r="E29" s="112">
        <v>3</v>
      </c>
      <c r="F29" s="19">
        <f t="shared" si="4"/>
        <v>5.94E-3</v>
      </c>
      <c r="G29" s="286">
        <v>2573</v>
      </c>
      <c r="H29" s="288">
        <f t="shared" si="5"/>
        <v>15.283619999999999</v>
      </c>
      <c r="I29" s="290">
        <v>110</v>
      </c>
      <c r="J29" s="205">
        <f t="shared" si="0"/>
        <v>0.65339999999999998</v>
      </c>
      <c r="K29" s="290">
        <v>0</v>
      </c>
      <c r="L29" s="205">
        <f t="shared" si="15"/>
        <v>0</v>
      </c>
      <c r="M29" s="290">
        <v>0</v>
      </c>
      <c r="N29" s="205">
        <f t="shared" si="16"/>
        <v>0</v>
      </c>
      <c r="O29" s="290">
        <v>0</v>
      </c>
      <c r="P29" s="205">
        <f t="shared" si="17"/>
        <v>0</v>
      </c>
      <c r="Q29" s="290">
        <v>20</v>
      </c>
      <c r="R29" s="205">
        <f t="shared" si="18"/>
        <v>0.1188</v>
      </c>
      <c r="S29" s="39">
        <f t="shared" si="9"/>
        <v>2443</v>
      </c>
      <c r="T29" s="38">
        <f t="shared" si="3"/>
        <v>14.511419999999999</v>
      </c>
      <c r="U29" s="297">
        <v>0</v>
      </c>
      <c r="V29" s="13">
        <f t="shared" si="6"/>
        <v>0</v>
      </c>
      <c r="W29" s="294">
        <f t="shared" si="7"/>
        <v>2443</v>
      </c>
      <c r="X29" s="295">
        <f t="shared" si="8"/>
        <v>14.511419999999999</v>
      </c>
      <c r="Y29" s="238">
        <v>500</v>
      </c>
      <c r="Z29" s="101">
        <v>1500</v>
      </c>
    </row>
    <row r="30" spans="1:26" ht="15.75" x14ac:dyDescent="0.25">
      <c r="A30" s="264">
        <v>26</v>
      </c>
      <c r="B30" s="256" t="s">
        <v>58</v>
      </c>
      <c r="C30" s="111">
        <v>45</v>
      </c>
      <c r="D30" s="112">
        <v>35.5</v>
      </c>
      <c r="E30" s="112">
        <v>3</v>
      </c>
      <c r="F30" s="19">
        <f t="shared" si="4"/>
        <v>4.7924999999999999E-3</v>
      </c>
      <c r="G30" s="286">
        <v>2431</v>
      </c>
      <c r="H30" s="288">
        <f t="shared" si="5"/>
        <v>11.650567499999999</v>
      </c>
      <c r="I30" s="290">
        <v>110</v>
      </c>
      <c r="J30" s="205">
        <f t="shared" si="0"/>
        <v>0.52717499999999995</v>
      </c>
      <c r="K30" s="290">
        <v>0</v>
      </c>
      <c r="L30" s="205">
        <f t="shared" si="15"/>
        <v>0</v>
      </c>
      <c r="M30" s="290">
        <v>0</v>
      </c>
      <c r="N30" s="205">
        <f t="shared" si="16"/>
        <v>0</v>
      </c>
      <c r="O30" s="290">
        <v>0</v>
      </c>
      <c r="P30" s="205">
        <f t="shared" si="17"/>
        <v>0</v>
      </c>
      <c r="Q30" s="290">
        <v>20</v>
      </c>
      <c r="R30" s="205">
        <f t="shared" si="18"/>
        <v>9.5849999999999991E-2</v>
      </c>
      <c r="S30" s="39">
        <f t="shared" si="9"/>
        <v>2301</v>
      </c>
      <c r="T30" s="38">
        <f t="shared" si="3"/>
        <v>11.027542499999999</v>
      </c>
      <c r="U30" s="297">
        <v>0</v>
      </c>
      <c r="V30" s="13">
        <f t="shared" si="6"/>
        <v>0</v>
      </c>
      <c r="W30" s="294">
        <f t="shared" si="7"/>
        <v>2301</v>
      </c>
      <c r="X30" s="295">
        <f t="shared" si="8"/>
        <v>11.027542499999999</v>
      </c>
      <c r="Y30" s="238">
        <v>500</v>
      </c>
      <c r="Z30" s="101">
        <v>1500</v>
      </c>
    </row>
    <row r="31" spans="1:26" x14ac:dyDescent="0.25">
      <c r="A31" s="264">
        <v>27</v>
      </c>
      <c r="B31" s="256" t="s">
        <v>155</v>
      </c>
      <c r="C31" s="34">
        <v>140</v>
      </c>
      <c r="D31" s="35">
        <v>9.5</v>
      </c>
      <c r="E31" s="35">
        <v>6.5</v>
      </c>
      <c r="F31" s="19">
        <f t="shared" si="4"/>
        <v>8.6449999999999999E-3</v>
      </c>
      <c r="G31" s="286">
        <v>2430</v>
      </c>
      <c r="H31" s="288">
        <f t="shared" si="5"/>
        <v>21.007349999999999</v>
      </c>
      <c r="I31" s="290">
        <v>0</v>
      </c>
      <c r="J31" s="205">
        <f t="shared" si="0"/>
        <v>0</v>
      </c>
      <c r="K31" s="290">
        <v>113</v>
      </c>
      <c r="L31" s="205">
        <f t="shared" si="15"/>
        <v>0.976885</v>
      </c>
      <c r="M31" s="290">
        <v>0</v>
      </c>
      <c r="N31" s="205">
        <f t="shared" si="16"/>
        <v>0</v>
      </c>
      <c r="O31" s="290">
        <v>0</v>
      </c>
      <c r="P31" s="205">
        <f t="shared" si="17"/>
        <v>0</v>
      </c>
      <c r="Q31" s="290">
        <v>0</v>
      </c>
      <c r="R31" s="205">
        <f t="shared" si="18"/>
        <v>0</v>
      </c>
      <c r="S31" s="39">
        <f t="shared" si="9"/>
        <v>2317</v>
      </c>
      <c r="T31" s="38">
        <f t="shared" si="3"/>
        <v>20.030465</v>
      </c>
      <c r="U31" s="297">
        <v>0</v>
      </c>
      <c r="V31" s="13">
        <f t="shared" si="6"/>
        <v>0</v>
      </c>
      <c r="W31" s="294">
        <f t="shared" si="7"/>
        <v>2317</v>
      </c>
      <c r="X31" s="295">
        <f t="shared" si="8"/>
        <v>20.030465</v>
      </c>
      <c r="Y31" s="238">
        <v>500</v>
      </c>
      <c r="Z31" s="101">
        <v>1500</v>
      </c>
    </row>
    <row r="32" spans="1:26" x14ac:dyDescent="0.25">
      <c r="A32" s="264">
        <v>28</v>
      </c>
      <c r="B32" s="256" t="s">
        <v>156</v>
      </c>
      <c r="C32" s="34">
        <v>140</v>
      </c>
      <c r="D32" s="35">
        <v>240</v>
      </c>
      <c r="E32" s="35">
        <v>1</v>
      </c>
      <c r="F32" s="19">
        <f t="shared" si="4"/>
        <v>3.3599999999999998E-2</v>
      </c>
      <c r="G32" s="286">
        <v>1365</v>
      </c>
      <c r="H32" s="288">
        <f t="shared" si="5"/>
        <v>45.863999999999997</v>
      </c>
      <c r="I32" s="290">
        <v>84</v>
      </c>
      <c r="J32" s="205">
        <f t="shared" si="0"/>
        <v>2.8224</v>
      </c>
      <c r="K32" s="290">
        <v>230</v>
      </c>
      <c r="L32" s="205">
        <f t="shared" si="15"/>
        <v>7.7279999999999998</v>
      </c>
      <c r="M32" s="290">
        <v>151</v>
      </c>
      <c r="N32" s="205">
        <f t="shared" si="16"/>
        <v>5.0735999999999999</v>
      </c>
      <c r="O32" s="290">
        <v>375</v>
      </c>
      <c r="P32" s="205">
        <f t="shared" si="17"/>
        <v>12.6</v>
      </c>
      <c r="Q32" s="290">
        <v>144</v>
      </c>
      <c r="R32" s="205">
        <f>F32*Q32</f>
        <v>4.8384</v>
      </c>
      <c r="S32" s="39">
        <f t="shared" si="9"/>
        <v>381</v>
      </c>
      <c r="T32" s="38">
        <f t="shared" si="3"/>
        <v>12.801599999999999</v>
      </c>
      <c r="U32" s="297">
        <v>0</v>
      </c>
      <c r="V32" s="205">
        <f>F32*U32</f>
        <v>0</v>
      </c>
      <c r="W32" s="294">
        <f t="shared" si="7"/>
        <v>381</v>
      </c>
      <c r="X32" s="295">
        <f t="shared" si="8"/>
        <v>12.801599999999999</v>
      </c>
      <c r="Y32" s="238">
        <v>250</v>
      </c>
      <c r="Z32" s="101">
        <v>750</v>
      </c>
    </row>
    <row r="33" spans="1:26" x14ac:dyDescent="0.25">
      <c r="A33" s="264">
        <v>29</v>
      </c>
      <c r="B33" s="256" t="s">
        <v>157</v>
      </c>
      <c r="C33" s="34">
        <v>140</v>
      </c>
      <c r="D33" s="35">
        <v>240</v>
      </c>
      <c r="E33" s="35">
        <v>2</v>
      </c>
      <c r="F33" s="19">
        <f t="shared" si="4"/>
        <v>6.7199999999999996E-2</v>
      </c>
      <c r="G33" s="286">
        <v>225</v>
      </c>
      <c r="H33" s="288">
        <f t="shared" si="5"/>
        <v>15.12</v>
      </c>
      <c r="I33" s="290">
        <v>17</v>
      </c>
      <c r="J33" s="205">
        <f t="shared" si="0"/>
        <v>1.1423999999999999</v>
      </c>
      <c r="K33" s="290">
        <v>21</v>
      </c>
      <c r="L33" s="205">
        <f t="shared" si="15"/>
        <v>1.4112</v>
      </c>
      <c r="M33" s="290">
        <v>10</v>
      </c>
      <c r="N33" s="205">
        <f t="shared" si="16"/>
        <v>0.67199999999999993</v>
      </c>
      <c r="O33" s="290">
        <v>6</v>
      </c>
      <c r="P33" s="205">
        <f t="shared" si="17"/>
        <v>0.4032</v>
      </c>
      <c r="Q33" s="290">
        <v>7</v>
      </c>
      <c r="R33" s="205">
        <f>F33*Q33</f>
        <v>0.47039999999999998</v>
      </c>
      <c r="S33" s="39">
        <f t="shared" si="9"/>
        <v>164</v>
      </c>
      <c r="T33" s="38">
        <f t="shared" si="3"/>
        <v>11.020799999999999</v>
      </c>
      <c r="U33" s="297">
        <v>0</v>
      </c>
      <c r="V33" s="13">
        <f t="shared" si="6"/>
        <v>0</v>
      </c>
      <c r="W33" s="294">
        <f t="shared" si="7"/>
        <v>164</v>
      </c>
      <c r="X33" s="295">
        <f t="shared" si="8"/>
        <v>11.020799999999999</v>
      </c>
      <c r="Y33" s="238">
        <v>75</v>
      </c>
      <c r="Z33" s="101">
        <v>150</v>
      </c>
    </row>
    <row r="34" spans="1:26" x14ac:dyDescent="0.25">
      <c r="A34" s="264">
        <v>30</v>
      </c>
      <c r="B34" s="256" t="s">
        <v>158</v>
      </c>
      <c r="C34" s="34">
        <v>140</v>
      </c>
      <c r="D34" s="35">
        <v>240</v>
      </c>
      <c r="E34" s="35">
        <v>3</v>
      </c>
      <c r="F34" s="19">
        <f t="shared" si="4"/>
        <v>0.1008</v>
      </c>
      <c r="G34" s="286">
        <v>250</v>
      </c>
      <c r="H34" s="288">
        <f t="shared" si="5"/>
        <v>25.2</v>
      </c>
      <c r="I34" s="290">
        <v>8</v>
      </c>
      <c r="J34" s="205">
        <f>F34*I34</f>
        <v>0.80640000000000001</v>
      </c>
      <c r="K34" s="290">
        <v>38</v>
      </c>
      <c r="L34" s="205">
        <f t="shared" si="15"/>
        <v>3.8304</v>
      </c>
      <c r="M34" s="290">
        <v>25</v>
      </c>
      <c r="N34" s="205">
        <f t="shared" si="16"/>
        <v>2.52</v>
      </c>
      <c r="O34" s="290">
        <v>18</v>
      </c>
      <c r="P34" s="205">
        <f t="shared" si="17"/>
        <v>1.8144</v>
      </c>
      <c r="Q34" s="290">
        <v>35</v>
      </c>
      <c r="R34" s="205">
        <f t="shared" si="18"/>
        <v>3.528</v>
      </c>
      <c r="S34" s="39">
        <f t="shared" si="9"/>
        <v>126</v>
      </c>
      <c r="T34" s="38">
        <f t="shared" si="3"/>
        <v>12.700800000000001</v>
      </c>
      <c r="U34" s="297">
        <v>0</v>
      </c>
      <c r="V34" s="13">
        <f t="shared" si="6"/>
        <v>0</v>
      </c>
      <c r="W34" s="294">
        <f t="shared" si="7"/>
        <v>126</v>
      </c>
      <c r="X34" s="295">
        <f t="shared" si="8"/>
        <v>12.700800000000001</v>
      </c>
      <c r="Y34" s="238">
        <v>75</v>
      </c>
      <c r="Z34" s="101">
        <v>150</v>
      </c>
    </row>
    <row r="35" spans="1:26" x14ac:dyDescent="0.25">
      <c r="A35" s="264">
        <v>31</v>
      </c>
      <c r="B35" s="256" t="s">
        <v>159</v>
      </c>
      <c r="C35" s="34">
        <v>140</v>
      </c>
      <c r="D35" s="35">
        <v>240</v>
      </c>
      <c r="E35" s="35">
        <v>4</v>
      </c>
      <c r="F35" s="19">
        <f t="shared" si="4"/>
        <v>0.13439999999999999</v>
      </c>
      <c r="G35" s="286">
        <v>95</v>
      </c>
      <c r="H35" s="288">
        <f t="shared" si="5"/>
        <v>12.767999999999999</v>
      </c>
      <c r="I35" s="290">
        <v>0</v>
      </c>
      <c r="J35" s="205">
        <f t="shared" si="0"/>
        <v>0</v>
      </c>
      <c r="K35" s="290">
        <v>2</v>
      </c>
      <c r="L35" s="205">
        <f t="shared" si="15"/>
        <v>0.26879999999999998</v>
      </c>
      <c r="M35" s="290">
        <v>1</v>
      </c>
      <c r="N35" s="205">
        <f t="shared" si="16"/>
        <v>0.13439999999999999</v>
      </c>
      <c r="O35" s="290">
        <v>4</v>
      </c>
      <c r="P35" s="205">
        <f t="shared" si="17"/>
        <v>0.53759999999999997</v>
      </c>
      <c r="Q35" s="290">
        <v>2</v>
      </c>
      <c r="R35" s="205">
        <f t="shared" si="18"/>
        <v>0.26879999999999998</v>
      </c>
      <c r="S35" s="39">
        <f t="shared" si="9"/>
        <v>86</v>
      </c>
      <c r="T35" s="38">
        <f t="shared" si="3"/>
        <v>11.558399999999999</v>
      </c>
      <c r="U35" s="297">
        <v>0</v>
      </c>
      <c r="V35" s="13">
        <f t="shared" si="6"/>
        <v>0</v>
      </c>
      <c r="W35" s="294">
        <f t="shared" si="7"/>
        <v>86</v>
      </c>
      <c r="X35" s="295">
        <f t="shared" si="8"/>
        <v>11.558399999999999</v>
      </c>
      <c r="Y35" s="238">
        <v>50</v>
      </c>
      <c r="Z35" s="101">
        <v>100</v>
      </c>
    </row>
    <row r="36" spans="1:26" x14ac:dyDescent="0.25">
      <c r="A36" s="264">
        <v>32</v>
      </c>
      <c r="B36" s="256" t="s">
        <v>160</v>
      </c>
      <c r="C36" s="34">
        <v>140</v>
      </c>
      <c r="D36" s="35">
        <v>240</v>
      </c>
      <c r="E36" s="35">
        <v>2</v>
      </c>
      <c r="F36" s="19">
        <f t="shared" si="4"/>
        <v>6.7199999999999996E-2</v>
      </c>
      <c r="G36" s="286">
        <v>178</v>
      </c>
      <c r="H36" s="288">
        <f t="shared" si="5"/>
        <v>11.961599999999999</v>
      </c>
      <c r="I36" s="290">
        <v>232</v>
      </c>
      <c r="J36" s="205">
        <f>F36*I36</f>
        <v>15.590399999999999</v>
      </c>
      <c r="K36" s="290">
        <v>139</v>
      </c>
      <c r="L36" s="205">
        <f t="shared" si="15"/>
        <v>9.3407999999999998</v>
      </c>
      <c r="M36" s="290">
        <v>71</v>
      </c>
      <c r="N36" s="205">
        <f t="shared" si="16"/>
        <v>4.7711999999999994</v>
      </c>
      <c r="O36" s="290">
        <v>128</v>
      </c>
      <c r="P36" s="205">
        <f t="shared" si="17"/>
        <v>8.6015999999999995</v>
      </c>
      <c r="Q36" s="290">
        <v>148</v>
      </c>
      <c r="R36" s="205">
        <f t="shared" si="18"/>
        <v>9.9455999999999989</v>
      </c>
      <c r="S36" s="39">
        <f t="shared" si="9"/>
        <v>-540</v>
      </c>
      <c r="T36" s="38">
        <f t="shared" si="3"/>
        <v>-36.287999999999997</v>
      </c>
      <c r="U36" s="297">
        <v>540</v>
      </c>
      <c r="V36" s="13">
        <f t="shared" si="6"/>
        <v>36.287999999999997</v>
      </c>
      <c r="W36" s="294">
        <f t="shared" si="7"/>
        <v>0</v>
      </c>
      <c r="X36" s="295">
        <f t="shared" si="8"/>
        <v>0</v>
      </c>
      <c r="Y36" s="238">
        <v>100</v>
      </c>
      <c r="Z36" s="101">
        <v>300</v>
      </c>
    </row>
    <row r="37" spans="1:26" x14ac:dyDescent="0.25">
      <c r="A37" s="264">
        <v>33</v>
      </c>
      <c r="B37" s="256" t="s">
        <v>161</v>
      </c>
      <c r="C37" s="34">
        <v>140</v>
      </c>
      <c r="D37" s="35">
        <v>240</v>
      </c>
      <c r="E37" s="35">
        <v>6</v>
      </c>
      <c r="F37" s="19">
        <f t="shared" si="4"/>
        <v>0.2016</v>
      </c>
      <c r="G37" s="286">
        <v>31</v>
      </c>
      <c r="H37" s="288">
        <f t="shared" si="5"/>
        <v>6.2496</v>
      </c>
      <c r="I37" s="290">
        <v>0</v>
      </c>
      <c r="J37" s="205">
        <f t="shared" si="0"/>
        <v>0</v>
      </c>
      <c r="K37" s="290">
        <v>0</v>
      </c>
      <c r="L37" s="205">
        <f>F37*K37</f>
        <v>0</v>
      </c>
      <c r="M37" s="290">
        <v>0</v>
      </c>
      <c r="N37" s="21">
        <v>0</v>
      </c>
      <c r="O37" s="290">
        <v>0</v>
      </c>
      <c r="P37" s="21">
        <v>0</v>
      </c>
      <c r="Q37" s="290">
        <v>0</v>
      </c>
      <c r="R37" s="21">
        <v>0</v>
      </c>
      <c r="S37" s="39">
        <f t="shared" si="9"/>
        <v>31</v>
      </c>
      <c r="T37" s="38">
        <f t="shared" si="3"/>
        <v>6.2496</v>
      </c>
      <c r="U37" s="297">
        <v>0</v>
      </c>
      <c r="V37" s="13">
        <f t="shared" si="6"/>
        <v>0</v>
      </c>
      <c r="W37" s="294">
        <f t="shared" si="7"/>
        <v>31</v>
      </c>
      <c r="X37" s="295">
        <f t="shared" si="8"/>
        <v>6.2496</v>
      </c>
      <c r="Y37" s="238">
        <v>10</v>
      </c>
      <c r="Z37" s="101">
        <v>30</v>
      </c>
    </row>
    <row r="38" spans="1:26" x14ac:dyDescent="0.25">
      <c r="A38" s="264">
        <v>34</v>
      </c>
      <c r="B38" s="256" t="s">
        <v>181</v>
      </c>
      <c r="C38" s="34">
        <v>80</v>
      </c>
      <c r="D38" s="35">
        <v>75</v>
      </c>
      <c r="E38" s="35">
        <v>5</v>
      </c>
      <c r="F38" s="19">
        <f t="shared" si="4"/>
        <v>0.03</v>
      </c>
      <c r="G38" s="286">
        <v>94</v>
      </c>
      <c r="H38" s="288">
        <f t="shared" si="5"/>
        <v>2.82</v>
      </c>
      <c r="I38" s="290">
        <v>0</v>
      </c>
      <c r="J38" s="205">
        <f t="shared" si="0"/>
        <v>0</v>
      </c>
      <c r="K38" s="290">
        <v>0</v>
      </c>
      <c r="L38" s="205">
        <f t="shared" si="0"/>
        <v>0</v>
      </c>
      <c r="M38" s="290">
        <v>0</v>
      </c>
      <c r="N38" s="21">
        <v>0</v>
      </c>
      <c r="O38" s="290">
        <v>0</v>
      </c>
      <c r="P38" s="21">
        <v>0</v>
      </c>
      <c r="Q38" s="290">
        <v>0</v>
      </c>
      <c r="R38" s="21">
        <v>0</v>
      </c>
      <c r="S38" s="39">
        <f t="shared" si="9"/>
        <v>94</v>
      </c>
      <c r="T38" s="38">
        <f t="shared" si="3"/>
        <v>2.82</v>
      </c>
      <c r="U38" s="297">
        <v>0</v>
      </c>
      <c r="V38" s="13">
        <f t="shared" si="6"/>
        <v>0</v>
      </c>
      <c r="W38" s="294">
        <f t="shared" si="7"/>
        <v>94</v>
      </c>
      <c r="X38" s="295">
        <f t="shared" si="8"/>
        <v>2.82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182</v>
      </c>
      <c r="C39" s="34">
        <v>100</v>
      </c>
      <c r="D39" s="35">
        <v>95</v>
      </c>
      <c r="E39" s="35">
        <v>5</v>
      </c>
      <c r="F39" s="19">
        <f t="shared" si="4"/>
        <v>4.7500000000000001E-2</v>
      </c>
      <c r="G39" s="286">
        <v>185</v>
      </c>
      <c r="H39" s="288">
        <f t="shared" si="5"/>
        <v>8.7874999999999996</v>
      </c>
      <c r="I39" s="290">
        <v>0</v>
      </c>
      <c r="J39" s="205">
        <f t="shared" si="0"/>
        <v>0</v>
      </c>
      <c r="K39" s="290">
        <v>0</v>
      </c>
      <c r="L39" s="205">
        <f>F39*K39</f>
        <v>0</v>
      </c>
      <c r="M39" s="290">
        <v>0</v>
      </c>
      <c r="N39" s="205">
        <f>H39*M39</f>
        <v>0</v>
      </c>
      <c r="O39" s="290">
        <v>0</v>
      </c>
      <c r="P39" s="205">
        <f>J39*O39</f>
        <v>0</v>
      </c>
      <c r="Q39" s="290">
        <v>0</v>
      </c>
      <c r="R39" s="205">
        <f>L39*Q39</f>
        <v>0</v>
      </c>
      <c r="S39" s="39">
        <f t="shared" si="9"/>
        <v>185</v>
      </c>
      <c r="T39" s="38">
        <f t="shared" si="3"/>
        <v>8.7874999999999996</v>
      </c>
      <c r="U39" s="297">
        <v>0</v>
      </c>
      <c r="V39" s="13">
        <f t="shared" si="6"/>
        <v>0</v>
      </c>
      <c r="W39" s="294">
        <f t="shared" si="7"/>
        <v>185</v>
      </c>
      <c r="X39" s="295">
        <f t="shared" si="8"/>
        <v>8.7874999999999996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196</v>
      </c>
      <c r="C40" s="34">
        <v>65</v>
      </c>
      <c r="D40" s="35">
        <v>60</v>
      </c>
      <c r="E40" s="35">
        <v>5</v>
      </c>
      <c r="F40" s="19">
        <f t="shared" si="4"/>
        <v>1.95E-2</v>
      </c>
      <c r="G40" s="286">
        <v>0</v>
      </c>
      <c r="H40" s="288">
        <f t="shared" si="5"/>
        <v>0</v>
      </c>
      <c r="I40" s="290">
        <v>0</v>
      </c>
      <c r="J40" s="205">
        <f t="shared" si="0"/>
        <v>0</v>
      </c>
      <c r="K40" s="290">
        <v>0</v>
      </c>
      <c r="L40" s="205">
        <f>F40*K40</f>
        <v>0</v>
      </c>
      <c r="M40" s="290">
        <v>0</v>
      </c>
      <c r="N40" s="205">
        <f>F40*M40</f>
        <v>0</v>
      </c>
      <c r="O40" s="290">
        <v>0</v>
      </c>
      <c r="P40" s="205">
        <f>F40*O40</f>
        <v>0</v>
      </c>
      <c r="Q40" s="290">
        <v>0</v>
      </c>
      <c r="R40" s="205">
        <f>F40*Q40</f>
        <v>0</v>
      </c>
      <c r="S40" s="39">
        <f t="shared" si="9"/>
        <v>0</v>
      </c>
      <c r="T40" s="38">
        <f t="shared" si="3"/>
        <v>0</v>
      </c>
      <c r="U40" s="297">
        <v>407</v>
      </c>
      <c r="V40" s="13">
        <f t="shared" si="6"/>
        <v>7.9364999999999997</v>
      </c>
      <c r="W40" s="294">
        <f t="shared" si="7"/>
        <v>407</v>
      </c>
      <c r="X40" s="295">
        <f t="shared" si="8"/>
        <v>7.9364999999999997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165</v>
      </c>
      <c r="C41" s="34">
        <v>140</v>
      </c>
      <c r="D41" s="35">
        <v>240</v>
      </c>
      <c r="E41" s="35">
        <v>10</v>
      </c>
      <c r="F41" s="19">
        <f t="shared" si="4"/>
        <v>0.33600000000000002</v>
      </c>
      <c r="G41" s="286">
        <v>55</v>
      </c>
      <c r="H41" s="288">
        <f t="shared" si="5"/>
        <v>18.48</v>
      </c>
      <c r="I41" s="290">
        <v>3</v>
      </c>
      <c r="J41" s="205">
        <f>F41*I41</f>
        <v>1.008</v>
      </c>
      <c r="K41" s="290">
        <v>4</v>
      </c>
      <c r="L41" s="205">
        <f>F41*K41</f>
        <v>1.3440000000000001</v>
      </c>
      <c r="M41" s="290">
        <v>1</v>
      </c>
      <c r="N41" s="205">
        <f>F41*M41</f>
        <v>0.33600000000000002</v>
      </c>
      <c r="O41" s="290">
        <v>29</v>
      </c>
      <c r="P41" s="205">
        <f>F41*O41</f>
        <v>9.7439999999999998</v>
      </c>
      <c r="Q41" s="290">
        <v>1</v>
      </c>
      <c r="R41" s="205">
        <f>F41*Q41</f>
        <v>0.33600000000000002</v>
      </c>
      <c r="S41" s="39">
        <f t="shared" si="9"/>
        <v>17</v>
      </c>
      <c r="T41" s="38">
        <f t="shared" si="3"/>
        <v>5.7120000000000006</v>
      </c>
      <c r="U41" s="297">
        <v>50</v>
      </c>
      <c r="V41" s="13">
        <f t="shared" si="6"/>
        <v>16.8</v>
      </c>
      <c r="W41" s="294">
        <f t="shared" si="7"/>
        <v>67</v>
      </c>
      <c r="X41" s="295">
        <f t="shared" si="8"/>
        <v>22.512</v>
      </c>
      <c r="Y41" s="238">
        <v>50</v>
      </c>
      <c r="Z41" s="101">
        <v>100</v>
      </c>
    </row>
    <row r="42" spans="1:26" x14ac:dyDescent="0.25">
      <c r="A42" s="264">
        <v>38</v>
      </c>
      <c r="B42" s="256" t="s">
        <v>166</v>
      </c>
      <c r="C42" s="34">
        <v>92</v>
      </c>
      <c r="D42" s="35">
        <v>82</v>
      </c>
      <c r="E42" s="35">
        <v>2</v>
      </c>
      <c r="F42" s="19">
        <f t="shared" si="4"/>
        <v>1.5088000000000001E-2</v>
      </c>
      <c r="G42" s="286">
        <v>35</v>
      </c>
      <c r="H42" s="288">
        <f t="shared" si="5"/>
        <v>0.52807999999999999</v>
      </c>
      <c r="I42" s="290">
        <v>0</v>
      </c>
      <c r="J42" s="205">
        <f t="shared" si="0"/>
        <v>0</v>
      </c>
      <c r="K42" s="290">
        <v>36</v>
      </c>
      <c r="L42" s="205">
        <f>F42*K42</f>
        <v>0.54316799999999998</v>
      </c>
      <c r="M42" s="290">
        <v>0</v>
      </c>
      <c r="N42" s="205">
        <f>F42*M42</f>
        <v>0</v>
      </c>
      <c r="O42" s="290">
        <v>30</v>
      </c>
      <c r="P42" s="205">
        <f>F42*O42</f>
        <v>0.45264000000000004</v>
      </c>
      <c r="Q42" s="290">
        <v>104</v>
      </c>
      <c r="R42" s="205">
        <f>F42*Q42</f>
        <v>1.5691520000000001</v>
      </c>
      <c r="S42" s="39">
        <f t="shared" si="9"/>
        <v>-135</v>
      </c>
      <c r="T42" s="38">
        <f t="shared" si="3"/>
        <v>-2.03688</v>
      </c>
      <c r="U42" s="297">
        <v>220</v>
      </c>
      <c r="V42" s="13">
        <f t="shared" si="6"/>
        <v>3.3193600000000001</v>
      </c>
      <c r="W42" s="294">
        <f t="shared" si="7"/>
        <v>85</v>
      </c>
      <c r="X42" s="295">
        <f t="shared" si="8"/>
        <v>1.2824800000000001</v>
      </c>
      <c r="Y42" s="238">
        <v>100</v>
      </c>
      <c r="Z42" s="101">
        <v>300</v>
      </c>
    </row>
    <row r="43" spans="1:26" x14ac:dyDescent="0.25">
      <c r="A43" s="264">
        <v>39</v>
      </c>
      <c r="B43" s="256" t="s">
        <v>183</v>
      </c>
      <c r="C43" s="34">
        <v>90</v>
      </c>
      <c r="D43" s="35">
        <v>90</v>
      </c>
      <c r="E43" s="35">
        <v>3</v>
      </c>
      <c r="F43" s="19">
        <f t="shared" si="4"/>
        <v>2.4299999999999999E-2</v>
      </c>
      <c r="G43" s="286">
        <v>171</v>
      </c>
      <c r="H43" s="288">
        <f t="shared" si="5"/>
        <v>4.1552999999999995</v>
      </c>
      <c r="I43" s="290">
        <v>0</v>
      </c>
      <c r="J43" s="205">
        <f t="shared" si="0"/>
        <v>0</v>
      </c>
      <c r="K43" s="290">
        <v>0</v>
      </c>
      <c r="L43" s="205">
        <f t="shared" si="0"/>
        <v>0</v>
      </c>
      <c r="M43" s="290">
        <v>0</v>
      </c>
      <c r="N43" s="21">
        <v>0</v>
      </c>
      <c r="O43" s="290">
        <v>0</v>
      </c>
      <c r="P43" s="21">
        <v>0</v>
      </c>
      <c r="Q43" s="290">
        <v>0</v>
      </c>
      <c r="R43" s="21">
        <v>0</v>
      </c>
      <c r="S43" s="39">
        <f t="shared" si="9"/>
        <v>171</v>
      </c>
      <c r="T43" s="38">
        <f t="shared" si="3"/>
        <v>4.1552999999999995</v>
      </c>
      <c r="U43" s="297">
        <v>0</v>
      </c>
      <c r="V43" s="13">
        <f t="shared" si="6"/>
        <v>0</v>
      </c>
      <c r="W43" s="294">
        <f t="shared" si="7"/>
        <v>171</v>
      </c>
      <c r="X43" s="295">
        <f t="shared" si="8"/>
        <v>4.1552999999999995</v>
      </c>
      <c r="Y43" s="238">
        <v>0</v>
      </c>
      <c r="Z43" s="101">
        <v>0</v>
      </c>
    </row>
    <row r="44" spans="1:26" x14ac:dyDescent="0.25">
      <c r="A44" s="264">
        <v>40</v>
      </c>
      <c r="B44" s="256" t="s">
        <v>168</v>
      </c>
      <c r="C44" s="34">
        <v>140</v>
      </c>
      <c r="D44" s="35">
        <v>240</v>
      </c>
      <c r="E44" s="35">
        <v>3</v>
      </c>
      <c r="F44" s="19">
        <f t="shared" si="4"/>
        <v>0.1008</v>
      </c>
      <c r="G44" s="286">
        <v>0</v>
      </c>
      <c r="H44" s="288">
        <f t="shared" si="5"/>
        <v>0</v>
      </c>
      <c r="I44" s="290">
        <v>0</v>
      </c>
      <c r="J44" s="205">
        <f t="shared" si="0"/>
        <v>0</v>
      </c>
      <c r="K44" s="290">
        <v>0</v>
      </c>
      <c r="L44" s="205">
        <f t="shared" ref="L44:L52" si="19">F44*K44</f>
        <v>0</v>
      </c>
      <c r="M44" s="290">
        <v>0</v>
      </c>
      <c r="N44" s="205">
        <f t="shared" ref="N44:N65" si="20">F44*M44</f>
        <v>0</v>
      </c>
      <c r="O44" s="290">
        <v>0</v>
      </c>
      <c r="P44" s="205">
        <f t="shared" ref="P44:P65" si="21">F44*O44</f>
        <v>0</v>
      </c>
      <c r="Q44" s="290">
        <v>0</v>
      </c>
      <c r="R44" s="205">
        <f t="shared" ref="R44:R58" si="22">F44*Q44</f>
        <v>0</v>
      </c>
      <c r="S44" s="39">
        <f t="shared" si="9"/>
        <v>0</v>
      </c>
      <c r="T44" s="38">
        <f t="shared" si="3"/>
        <v>0</v>
      </c>
      <c r="U44" s="297">
        <v>0</v>
      </c>
      <c r="V44" s="13">
        <f t="shared" si="6"/>
        <v>0</v>
      </c>
      <c r="W44" s="294">
        <f t="shared" si="7"/>
        <v>0</v>
      </c>
      <c r="X44" s="295">
        <f t="shared" si="8"/>
        <v>0</v>
      </c>
      <c r="Y44" s="238">
        <v>0</v>
      </c>
      <c r="Z44" s="101">
        <v>0</v>
      </c>
    </row>
    <row r="45" spans="1:26" x14ac:dyDescent="0.25">
      <c r="A45" s="264">
        <v>41</v>
      </c>
      <c r="B45" s="256" t="s">
        <v>169</v>
      </c>
      <c r="C45" s="34">
        <v>82</v>
      </c>
      <c r="D45" s="34">
        <v>80</v>
      </c>
      <c r="E45" s="34">
        <v>2</v>
      </c>
      <c r="F45" s="19">
        <f t="shared" si="4"/>
        <v>1.312E-2</v>
      </c>
      <c r="G45" s="284">
        <v>0</v>
      </c>
      <c r="H45" s="288">
        <f t="shared" si="5"/>
        <v>0</v>
      </c>
      <c r="I45" s="290">
        <v>0</v>
      </c>
      <c r="J45" s="205">
        <f t="shared" si="0"/>
        <v>0</v>
      </c>
      <c r="K45" s="290">
        <v>0</v>
      </c>
      <c r="L45" s="205">
        <f t="shared" si="19"/>
        <v>0</v>
      </c>
      <c r="M45" s="290">
        <v>0</v>
      </c>
      <c r="N45" s="205">
        <f t="shared" si="20"/>
        <v>0</v>
      </c>
      <c r="O45" s="290">
        <v>0</v>
      </c>
      <c r="P45" s="205">
        <f t="shared" si="21"/>
        <v>0</v>
      </c>
      <c r="Q45" s="290">
        <v>30</v>
      </c>
      <c r="R45" s="205">
        <f t="shared" si="22"/>
        <v>0.39360000000000001</v>
      </c>
      <c r="S45" s="39">
        <f t="shared" si="9"/>
        <v>-30</v>
      </c>
      <c r="T45" s="38">
        <f t="shared" si="3"/>
        <v>-0.39360000000000001</v>
      </c>
      <c r="U45" s="297">
        <v>485</v>
      </c>
      <c r="V45" s="13">
        <f t="shared" si="6"/>
        <v>6.3632</v>
      </c>
      <c r="W45" s="294">
        <f t="shared" si="7"/>
        <v>455</v>
      </c>
      <c r="X45" s="295">
        <f t="shared" si="8"/>
        <v>5.9695999999999998</v>
      </c>
      <c r="Y45" s="238">
        <v>100</v>
      </c>
      <c r="Z45" s="101">
        <v>300</v>
      </c>
    </row>
    <row r="46" spans="1:26" x14ac:dyDescent="0.25">
      <c r="A46" s="264">
        <v>42</v>
      </c>
      <c r="B46" s="256" t="s">
        <v>170</v>
      </c>
      <c r="C46" s="34">
        <v>90</v>
      </c>
      <c r="D46" s="34">
        <v>83</v>
      </c>
      <c r="E46" s="34">
        <v>2</v>
      </c>
      <c r="F46" s="19">
        <f t="shared" si="4"/>
        <v>1.494E-2</v>
      </c>
      <c r="G46" s="284">
        <v>96</v>
      </c>
      <c r="H46" s="288">
        <f t="shared" si="5"/>
        <v>1.43424</v>
      </c>
      <c r="I46" s="290">
        <v>0</v>
      </c>
      <c r="J46" s="205">
        <f t="shared" si="0"/>
        <v>0</v>
      </c>
      <c r="K46" s="290">
        <v>0</v>
      </c>
      <c r="L46" s="205">
        <f t="shared" si="19"/>
        <v>0</v>
      </c>
      <c r="M46" s="290">
        <v>0</v>
      </c>
      <c r="N46" s="205">
        <f t="shared" si="20"/>
        <v>0</v>
      </c>
      <c r="O46" s="290">
        <v>0</v>
      </c>
      <c r="P46" s="205">
        <f t="shared" si="21"/>
        <v>0</v>
      </c>
      <c r="Q46" s="290">
        <v>0</v>
      </c>
      <c r="R46" s="205">
        <f t="shared" si="22"/>
        <v>0</v>
      </c>
      <c r="S46" s="39">
        <f t="shared" si="9"/>
        <v>96</v>
      </c>
      <c r="T46" s="38">
        <f t="shared" si="3"/>
        <v>1.43424</v>
      </c>
      <c r="U46" s="297">
        <v>0</v>
      </c>
      <c r="V46" s="13">
        <f t="shared" si="6"/>
        <v>0</v>
      </c>
      <c r="W46" s="294">
        <f t="shared" si="7"/>
        <v>96</v>
      </c>
      <c r="X46" s="295">
        <f t="shared" si="8"/>
        <v>1.43424</v>
      </c>
      <c r="Y46" s="238">
        <v>100</v>
      </c>
      <c r="Z46" s="101">
        <v>300</v>
      </c>
    </row>
    <row r="47" spans="1:26" x14ac:dyDescent="0.25">
      <c r="A47" s="264">
        <v>43</v>
      </c>
      <c r="B47" s="256" t="s">
        <v>184</v>
      </c>
      <c r="C47" s="34">
        <v>112</v>
      </c>
      <c r="D47" s="34">
        <v>67</v>
      </c>
      <c r="E47" s="34">
        <v>3</v>
      </c>
      <c r="F47" s="19">
        <f t="shared" si="4"/>
        <v>2.2512000000000001E-2</v>
      </c>
      <c r="G47" s="284">
        <v>99</v>
      </c>
      <c r="H47" s="288">
        <f t="shared" si="5"/>
        <v>2.228688</v>
      </c>
      <c r="I47" s="290">
        <v>0</v>
      </c>
      <c r="J47" s="205">
        <f t="shared" si="0"/>
        <v>0</v>
      </c>
      <c r="K47" s="290">
        <v>0</v>
      </c>
      <c r="L47" s="205">
        <f t="shared" si="19"/>
        <v>0</v>
      </c>
      <c r="M47" s="290">
        <v>0</v>
      </c>
      <c r="N47" s="205">
        <f t="shared" si="20"/>
        <v>0</v>
      </c>
      <c r="O47" s="290">
        <v>0</v>
      </c>
      <c r="P47" s="205">
        <f t="shared" si="21"/>
        <v>0</v>
      </c>
      <c r="Q47" s="290">
        <v>0</v>
      </c>
      <c r="R47" s="205">
        <f t="shared" si="22"/>
        <v>0</v>
      </c>
      <c r="S47" s="39">
        <f t="shared" si="9"/>
        <v>99</v>
      </c>
      <c r="T47" s="38">
        <f t="shared" si="3"/>
        <v>2.228688</v>
      </c>
      <c r="U47" s="297">
        <v>0</v>
      </c>
      <c r="V47" s="13">
        <f t="shared" si="6"/>
        <v>0</v>
      </c>
      <c r="W47" s="294">
        <f t="shared" si="7"/>
        <v>99</v>
      </c>
      <c r="X47" s="295">
        <f t="shared" si="8"/>
        <v>2.228688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189</v>
      </c>
      <c r="C48" s="34">
        <v>70</v>
      </c>
      <c r="D48" s="34">
        <v>54</v>
      </c>
      <c r="E48" s="34">
        <v>7</v>
      </c>
      <c r="F48" s="19">
        <f t="shared" si="4"/>
        <v>2.6460000000000001E-2</v>
      </c>
      <c r="G48" s="284">
        <v>0</v>
      </c>
      <c r="H48" s="288">
        <f t="shared" si="5"/>
        <v>0</v>
      </c>
      <c r="I48" s="290">
        <v>0</v>
      </c>
      <c r="J48" s="205">
        <f t="shared" si="0"/>
        <v>0</v>
      </c>
      <c r="K48" s="290">
        <v>141</v>
      </c>
      <c r="L48" s="205">
        <f t="shared" si="19"/>
        <v>3.7308600000000003</v>
      </c>
      <c r="M48" s="290">
        <v>51</v>
      </c>
      <c r="N48" s="205">
        <f t="shared" si="20"/>
        <v>1.3494600000000001</v>
      </c>
      <c r="O48" s="290">
        <v>161</v>
      </c>
      <c r="P48" s="205">
        <f t="shared" si="21"/>
        <v>4.2600600000000002</v>
      </c>
      <c r="Q48" s="290">
        <v>39</v>
      </c>
      <c r="R48" s="205">
        <f t="shared" si="22"/>
        <v>1.0319400000000001</v>
      </c>
      <c r="S48" s="39">
        <f t="shared" si="9"/>
        <v>-392</v>
      </c>
      <c r="T48" s="38">
        <f t="shared" si="3"/>
        <v>-10.37232</v>
      </c>
      <c r="U48" s="297">
        <v>410</v>
      </c>
      <c r="V48" s="13">
        <f t="shared" si="6"/>
        <v>10.848600000000001</v>
      </c>
      <c r="W48" s="294">
        <f t="shared" si="7"/>
        <v>18</v>
      </c>
      <c r="X48" s="295">
        <f t="shared" si="8"/>
        <v>0.47628000000000004</v>
      </c>
      <c r="Y48" s="238">
        <v>0</v>
      </c>
      <c r="Z48" s="101">
        <v>0</v>
      </c>
    </row>
    <row r="49" spans="1:26" x14ac:dyDescent="0.25">
      <c r="A49" s="264">
        <v>45</v>
      </c>
      <c r="B49" s="256" t="s">
        <v>174</v>
      </c>
      <c r="C49" s="34">
        <v>140</v>
      </c>
      <c r="D49" s="34">
        <v>240</v>
      </c>
      <c r="E49" s="34">
        <v>14</v>
      </c>
      <c r="F49" s="19">
        <f t="shared" si="4"/>
        <v>0.47039999999999998</v>
      </c>
      <c r="G49" s="284">
        <v>4</v>
      </c>
      <c r="H49" s="288">
        <f t="shared" si="5"/>
        <v>1.8815999999999999</v>
      </c>
      <c r="I49" s="290">
        <v>0</v>
      </c>
      <c r="J49" s="205">
        <f t="shared" si="0"/>
        <v>0</v>
      </c>
      <c r="K49" s="290">
        <v>0</v>
      </c>
      <c r="L49" s="205">
        <f t="shared" si="19"/>
        <v>0</v>
      </c>
      <c r="M49" s="290">
        <v>0</v>
      </c>
      <c r="N49" s="205">
        <f t="shared" si="20"/>
        <v>0</v>
      </c>
      <c r="O49" s="290">
        <v>0</v>
      </c>
      <c r="P49" s="205">
        <f t="shared" si="21"/>
        <v>0</v>
      </c>
      <c r="Q49" s="290">
        <v>1</v>
      </c>
      <c r="R49" s="205">
        <f t="shared" si="22"/>
        <v>0.47039999999999998</v>
      </c>
      <c r="S49" s="39">
        <f t="shared" si="9"/>
        <v>3</v>
      </c>
      <c r="T49" s="38">
        <f t="shared" si="3"/>
        <v>1.4112</v>
      </c>
      <c r="U49" s="297">
        <v>0</v>
      </c>
      <c r="V49" s="13">
        <f t="shared" si="6"/>
        <v>0</v>
      </c>
      <c r="W49" s="294">
        <f t="shared" si="7"/>
        <v>3</v>
      </c>
      <c r="X49" s="295">
        <f t="shared" si="8"/>
        <v>1.4112</v>
      </c>
      <c r="Y49" s="238">
        <v>10</v>
      </c>
      <c r="Z49" s="101">
        <v>20</v>
      </c>
    </row>
    <row r="50" spans="1:26" x14ac:dyDescent="0.25">
      <c r="A50" s="264">
        <v>46</v>
      </c>
      <c r="B50" s="256" t="s">
        <v>175</v>
      </c>
      <c r="C50" s="34">
        <v>140</v>
      </c>
      <c r="D50" s="34">
        <v>240</v>
      </c>
      <c r="E50" s="34">
        <v>12</v>
      </c>
      <c r="F50" s="19">
        <f t="shared" si="4"/>
        <v>0.4032</v>
      </c>
      <c r="G50" s="284">
        <v>5</v>
      </c>
      <c r="H50" s="288">
        <f t="shared" si="5"/>
        <v>2.016</v>
      </c>
      <c r="I50" s="290">
        <v>1</v>
      </c>
      <c r="J50" s="205">
        <f t="shared" si="0"/>
        <v>0.4032</v>
      </c>
      <c r="K50" s="290">
        <v>0</v>
      </c>
      <c r="L50" s="205">
        <f t="shared" si="19"/>
        <v>0</v>
      </c>
      <c r="M50" s="290">
        <v>0</v>
      </c>
      <c r="N50" s="205">
        <f t="shared" si="20"/>
        <v>0</v>
      </c>
      <c r="O50" s="290">
        <v>0</v>
      </c>
      <c r="P50" s="205">
        <f t="shared" si="21"/>
        <v>0</v>
      </c>
      <c r="Q50" s="290">
        <v>0</v>
      </c>
      <c r="R50" s="205">
        <f t="shared" si="22"/>
        <v>0</v>
      </c>
      <c r="S50" s="39">
        <f t="shared" si="9"/>
        <v>4</v>
      </c>
      <c r="T50" s="38">
        <f t="shared" si="3"/>
        <v>1.6128</v>
      </c>
      <c r="U50" s="297">
        <v>0</v>
      </c>
      <c r="V50" s="13">
        <f t="shared" si="6"/>
        <v>0</v>
      </c>
      <c r="W50" s="294">
        <f t="shared" si="7"/>
        <v>4</v>
      </c>
      <c r="X50" s="295">
        <f t="shared" si="8"/>
        <v>1.6128</v>
      </c>
      <c r="Y50" s="238">
        <v>10</v>
      </c>
      <c r="Z50" s="101">
        <v>20</v>
      </c>
    </row>
    <row r="51" spans="1:26" x14ac:dyDescent="0.25">
      <c r="A51" s="264">
        <v>47</v>
      </c>
      <c r="B51" s="256" t="s">
        <v>176</v>
      </c>
      <c r="C51" s="34">
        <v>130</v>
      </c>
      <c r="D51" s="34">
        <v>60</v>
      </c>
      <c r="E51" s="34">
        <v>5</v>
      </c>
      <c r="F51" s="19">
        <f t="shared" si="4"/>
        <v>3.9E-2</v>
      </c>
      <c r="G51" s="284">
        <v>138</v>
      </c>
      <c r="H51" s="288">
        <f t="shared" si="5"/>
        <v>5.3819999999999997</v>
      </c>
      <c r="I51" s="290">
        <v>48</v>
      </c>
      <c r="J51" s="205">
        <f t="shared" si="0"/>
        <v>1.8719999999999999</v>
      </c>
      <c r="K51" s="290">
        <v>0</v>
      </c>
      <c r="L51" s="205">
        <f t="shared" si="19"/>
        <v>0</v>
      </c>
      <c r="M51" s="290">
        <v>0</v>
      </c>
      <c r="N51" s="205">
        <f t="shared" si="20"/>
        <v>0</v>
      </c>
      <c r="O51" s="290">
        <v>0</v>
      </c>
      <c r="P51" s="205">
        <f t="shared" si="21"/>
        <v>0</v>
      </c>
      <c r="Q51" s="290">
        <v>0</v>
      </c>
      <c r="R51" s="205">
        <f t="shared" si="22"/>
        <v>0</v>
      </c>
      <c r="S51" s="39">
        <f t="shared" si="9"/>
        <v>90</v>
      </c>
      <c r="T51" s="38">
        <f t="shared" si="3"/>
        <v>3.51</v>
      </c>
      <c r="U51" s="297">
        <v>0</v>
      </c>
      <c r="V51" s="13">
        <f t="shared" si="6"/>
        <v>0</v>
      </c>
      <c r="W51" s="294">
        <f t="shared" si="7"/>
        <v>90</v>
      </c>
      <c r="X51" s="295">
        <f t="shared" si="8"/>
        <v>3.51</v>
      </c>
      <c r="Y51" s="238">
        <v>30</v>
      </c>
      <c r="Z51" s="101">
        <v>100</v>
      </c>
    </row>
    <row r="52" spans="1:26" x14ac:dyDescent="0.25">
      <c r="A52" s="264">
        <v>48</v>
      </c>
      <c r="B52" s="256" t="s">
        <v>178</v>
      </c>
      <c r="C52" s="34">
        <v>140</v>
      </c>
      <c r="D52" s="34">
        <v>240</v>
      </c>
      <c r="E52" s="34">
        <v>3</v>
      </c>
      <c r="F52" s="19">
        <f t="shared" si="4"/>
        <v>0.1008</v>
      </c>
      <c r="G52" s="284">
        <v>1206</v>
      </c>
      <c r="H52" s="288">
        <f t="shared" si="5"/>
        <v>121.56480000000001</v>
      </c>
      <c r="I52" s="290">
        <v>3</v>
      </c>
      <c r="J52" s="205">
        <f t="shared" si="0"/>
        <v>0.3024</v>
      </c>
      <c r="K52" s="290">
        <v>0</v>
      </c>
      <c r="L52" s="205">
        <f t="shared" si="19"/>
        <v>0</v>
      </c>
      <c r="M52" s="290">
        <v>15</v>
      </c>
      <c r="N52" s="205">
        <f t="shared" si="20"/>
        <v>1.512</v>
      </c>
      <c r="O52" s="290">
        <v>5</v>
      </c>
      <c r="P52" s="205">
        <f t="shared" si="21"/>
        <v>0.504</v>
      </c>
      <c r="Q52" s="290">
        <v>0</v>
      </c>
      <c r="R52" s="205">
        <f t="shared" si="22"/>
        <v>0</v>
      </c>
      <c r="S52" s="39">
        <f t="shared" si="9"/>
        <v>1183</v>
      </c>
      <c r="T52" s="38">
        <f t="shared" si="3"/>
        <v>119.24639999999999</v>
      </c>
      <c r="U52" s="297">
        <v>0</v>
      </c>
      <c r="V52" s="13">
        <f t="shared" si="6"/>
        <v>0</v>
      </c>
      <c r="W52" s="294">
        <f t="shared" si="7"/>
        <v>1183</v>
      </c>
      <c r="X52" s="295">
        <f t="shared" si="8"/>
        <v>119.24639999999999</v>
      </c>
      <c r="Y52" s="238">
        <v>100</v>
      </c>
      <c r="Z52" s="101">
        <v>300</v>
      </c>
    </row>
    <row r="53" spans="1:26" x14ac:dyDescent="0.25">
      <c r="A53" s="264">
        <v>49</v>
      </c>
      <c r="B53" s="256" t="s">
        <v>185</v>
      </c>
      <c r="C53" s="34">
        <v>140</v>
      </c>
      <c r="D53" s="34">
        <v>240</v>
      </c>
      <c r="E53" s="34">
        <v>1</v>
      </c>
      <c r="F53" s="19">
        <f t="shared" si="4"/>
        <v>3.3599999999999998E-2</v>
      </c>
      <c r="G53" s="284">
        <v>264</v>
      </c>
      <c r="H53" s="288">
        <f t="shared" si="5"/>
        <v>8.8704000000000001</v>
      </c>
      <c r="I53" s="290">
        <v>0</v>
      </c>
      <c r="J53" s="205">
        <f t="shared" si="0"/>
        <v>0</v>
      </c>
      <c r="K53" s="290">
        <v>0</v>
      </c>
      <c r="L53" s="205">
        <f t="shared" si="0"/>
        <v>0</v>
      </c>
      <c r="M53" s="290">
        <v>0</v>
      </c>
      <c r="N53" s="205">
        <f t="shared" si="20"/>
        <v>0</v>
      </c>
      <c r="O53" s="290">
        <v>0</v>
      </c>
      <c r="P53" s="205">
        <f t="shared" si="21"/>
        <v>0</v>
      </c>
      <c r="Q53" s="290">
        <v>26</v>
      </c>
      <c r="R53" s="205">
        <f t="shared" si="22"/>
        <v>0.87359999999999993</v>
      </c>
      <c r="S53" s="39">
        <f t="shared" si="9"/>
        <v>238</v>
      </c>
      <c r="T53" s="38">
        <f t="shared" si="3"/>
        <v>7.9967999999999995</v>
      </c>
      <c r="U53" s="297">
        <v>49</v>
      </c>
      <c r="V53" s="13">
        <f t="shared" si="6"/>
        <v>1.6463999999999999</v>
      </c>
      <c r="W53" s="294">
        <f t="shared" si="7"/>
        <v>287</v>
      </c>
      <c r="X53" s="295">
        <f t="shared" si="8"/>
        <v>9.6432000000000002</v>
      </c>
      <c r="Y53" s="238">
        <v>50</v>
      </c>
      <c r="Z53" s="101">
        <v>0</v>
      </c>
    </row>
    <row r="54" spans="1:26" x14ac:dyDescent="0.25">
      <c r="A54" s="264">
        <v>50</v>
      </c>
      <c r="B54" s="256" t="s">
        <v>186</v>
      </c>
      <c r="C54" s="34">
        <v>140</v>
      </c>
      <c r="D54" s="34">
        <v>240</v>
      </c>
      <c r="E54" s="34">
        <v>3</v>
      </c>
      <c r="F54" s="19">
        <f t="shared" si="4"/>
        <v>0.1008</v>
      </c>
      <c r="G54" s="284">
        <v>149</v>
      </c>
      <c r="H54" s="288">
        <f t="shared" si="5"/>
        <v>15.0192</v>
      </c>
      <c r="I54" s="290">
        <v>0</v>
      </c>
      <c r="J54" s="205">
        <f t="shared" si="0"/>
        <v>0</v>
      </c>
      <c r="K54" s="290">
        <v>0</v>
      </c>
      <c r="L54" s="205">
        <f t="shared" si="0"/>
        <v>0</v>
      </c>
      <c r="M54" s="290">
        <v>8</v>
      </c>
      <c r="N54" s="205">
        <f t="shared" si="20"/>
        <v>0.80640000000000001</v>
      </c>
      <c r="O54" s="290">
        <v>13</v>
      </c>
      <c r="P54" s="205">
        <f t="shared" si="21"/>
        <v>1.3104</v>
      </c>
      <c r="Q54" s="290">
        <v>0</v>
      </c>
      <c r="R54" s="205">
        <f t="shared" si="22"/>
        <v>0</v>
      </c>
      <c r="S54" s="39">
        <f t="shared" si="9"/>
        <v>128</v>
      </c>
      <c r="T54" s="38">
        <f t="shared" si="3"/>
        <v>12.9024</v>
      </c>
      <c r="U54" s="297">
        <v>4</v>
      </c>
      <c r="V54" s="13">
        <f t="shared" si="6"/>
        <v>0.4032</v>
      </c>
      <c r="W54" s="294">
        <f t="shared" si="7"/>
        <v>132</v>
      </c>
      <c r="X54" s="295">
        <f t="shared" si="8"/>
        <v>13.3056</v>
      </c>
      <c r="Y54" s="238">
        <v>50</v>
      </c>
      <c r="Z54" s="101">
        <v>0</v>
      </c>
    </row>
    <row r="55" spans="1:26" x14ac:dyDescent="0.25">
      <c r="A55" s="277">
        <v>51</v>
      </c>
      <c r="B55" s="283" t="s">
        <v>187</v>
      </c>
      <c r="C55" s="264">
        <v>140</v>
      </c>
      <c r="D55" s="264">
        <v>240</v>
      </c>
      <c r="E55" s="264">
        <v>5</v>
      </c>
      <c r="F55" s="19">
        <f t="shared" si="4"/>
        <v>0.16800000000000001</v>
      </c>
      <c r="G55" s="296">
        <v>150</v>
      </c>
      <c r="H55" s="299">
        <f t="shared" si="5"/>
        <v>25.200000000000003</v>
      </c>
      <c r="I55" s="290">
        <v>0</v>
      </c>
      <c r="J55" s="205">
        <f t="shared" si="0"/>
        <v>0</v>
      </c>
      <c r="K55" s="290">
        <v>0</v>
      </c>
      <c r="L55" s="205">
        <f t="shared" si="0"/>
        <v>0</v>
      </c>
      <c r="M55" s="290">
        <v>0</v>
      </c>
      <c r="N55" s="205">
        <f t="shared" si="20"/>
        <v>0</v>
      </c>
      <c r="O55" s="291"/>
      <c r="P55" s="205">
        <f t="shared" si="21"/>
        <v>0</v>
      </c>
      <c r="Q55" s="290">
        <v>0</v>
      </c>
      <c r="R55" s="205">
        <f t="shared" si="22"/>
        <v>0</v>
      </c>
      <c r="S55" s="101"/>
      <c r="T55" s="101"/>
      <c r="U55" s="297">
        <v>0</v>
      </c>
      <c r="V55" s="13">
        <f t="shared" si="6"/>
        <v>0</v>
      </c>
      <c r="W55" s="294">
        <f t="shared" si="7"/>
        <v>0</v>
      </c>
      <c r="X55" s="295">
        <f t="shared" si="8"/>
        <v>0</v>
      </c>
      <c r="Y55" s="101">
        <v>30</v>
      </c>
      <c r="Z55" s="101"/>
    </row>
    <row r="56" spans="1:26" x14ac:dyDescent="0.25">
      <c r="A56" s="277">
        <v>52</v>
      </c>
      <c r="B56" s="283" t="s">
        <v>188</v>
      </c>
      <c r="C56" s="264">
        <v>140</v>
      </c>
      <c r="D56" s="264">
        <v>240</v>
      </c>
      <c r="E56" s="264">
        <v>10</v>
      </c>
      <c r="F56" s="19">
        <f t="shared" si="4"/>
        <v>0.33600000000000002</v>
      </c>
      <c r="G56" s="296">
        <v>55</v>
      </c>
      <c r="H56" s="299">
        <f t="shared" si="5"/>
        <v>18.48</v>
      </c>
      <c r="I56" s="290">
        <v>0</v>
      </c>
      <c r="J56" s="205">
        <f t="shared" ref="J56:J65" si="23">F56*I56</f>
        <v>0</v>
      </c>
      <c r="K56" s="290">
        <v>1</v>
      </c>
      <c r="L56" s="205">
        <f>F56*K56</f>
        <v>0.33600000000000002</v>
      </c>
      <c r="M56" s="290">
        <v>0</v>
      </c>
      <c r="N56" s="205">
        <f t="shared" si="20"/>
        <v>0</v>
      </c>
      <c r="O56" s="291"/>
      <c r="P56" s="205">
        <f t="shared" si="21"/>
        <v>0</v>
      </c>
      <c r="Q56" s="290">
        <v>0</v>
      </c>
      <c r="R56" s="205">
        <f t="shared" si="22"/>
        <v>0</v>
      </c>
      <c r="S56" s="101"/>
      <c r="T56" s="101"/>
      <c r="U56" s="297">
        <v>9</v>
      </c>
      <c r="V56" s="13">
        <f t="shared" si="6"/>
        <v>3.024</v>
      </c>
      <c r="W56" s="294">
        <f t="shared" si="7"/>
        <v>9</v>
      </c>
      <c r="X56" s="295">
        <f t="shared" si="8"/>
        <v>3.024</v>
      </c>
      <c r="Y56" s="101">
        <v>20</v>
      </c>
      <c r="Z56" s="101"/>
    </row>
    <row r="57" spans="1:26" x14ac:dyDescent="0.25">
      <c r="A57" s="264">
        <v>53</v>
      </c>
      <c r="B57" s="101" t="s">
        <v>192</v>
      </c>
      <c r="C57" s="264">
        <v>112</v>
      </c>
      <c r="D57" s="264">
        <v>67</v>
      </c>
      <c r="E57" s="264">
        <v>3</v>
      </c>
      <c r="F57" s="19">
        <f t="shared" si="4"/>
        <v>2.2512000000000001E-2</v>
      </c>
      <c r="G57" s="285"/>
      <c r="H57" s="299">
        <f t="shared" si="5"/>
        <v>0</v>
      </c>
      <c r="I57" s="291"/>
      <c r="J57" s="205">
        <f t="shared" si="23"/>
        <v>0</v>
      </c>
      <c r="K57" s="290">
        <v>0</v>
      </c>
      <c r="L57" s="205">
        <f t="shared" ref="L57:L65" si="24">F57*K57</f>
        <v>0</v>
      </c>
      <c r="M57" s="290">
        <v>0</v>
      </c>
      <c r="N57" s="205">
        <f t="shared" si="20"/>
        <v>0</v>
      </c>
      <c r="O57" s="291"/>
      <c r="P57" s="205">
        <f t="shared" si="21"/>
        <v>0</v>
      </c>
      <c r="Q57" s="302">
        <v>0</v>
      </c>
      <c r="R57" s="205">
        <f t="shared" si="22"/>
        <v>0</v>
      </c>
      <c r="S57" s="101"/>
      <c r="T57" s="101"/>
      <c r="U57" s="297">
        <v>102</v>
      </c>
      <c r="V57" s="13">
        <f t="shared" si="6"/>
        <v>2.296224</v>
      </c>
      <c r="W57" s="294">
        <f t="shared" si="7"/>
        <v>102</v>
      </c>
      <c r="X57" s="295">
        <f t="shared" si="8"/>
        <v>2.296224</v>
      </c>
      <c r="Y57" s="101"/>
      <c r="Z57" s="101"/>
    </row>
    <row r="58" spans="1:26" x14ac:dyDescent="0.25">
      <c r="A58" s="264">
        <v>54</v>
      </c>
      <c r="B58" s="101" t="s">
        <v>193</v>
      </c>
      <c r="C58" s="264">
        <v>80</v>
      </c>
      <c r="D58" s="264">
        <v>75</v>
      </c>
      <c r="E58" s="264">
        <v>5</v>
      </c>
      <c r="F58" s="19">
        <f t="shared" si="4"/>
        <v>0.03</v>
      </c>
      <c r="G58" s="101"/>
      <c r="H58" s="299">
        <f t="shared" si="5"/>
        <v>0</v>
      </c>
      <c r="I58" s="291"/>
      <c r="J58" s="205">
        <f t="shared" si="23"/>
        <v>0</v>
      </c>
      <c r="K58" s="291"/>
      <c r="L58" s="205">
        <f t="shared" si="24"/>
        <v>0</v>
      </c>
      <c r="M58" s="291"/>
      <c r="N58" s="205">
        <f t="shared" si="20"/>
        <v>0</v>
      </c>
      <c r="O58" s="291"/>
      <c r="P58" s="205">
        <f t="shared" si="21"/>
        <v>0</v>
      </c>
      <c r="Q58" s="304"/>
      <c r="R58" s="205">
        <f t="shared" si="22"/>
        <v>0</v>
      </c>
      <c r="S58" s="101"/>
      <c r="T58" s="101"/>
      <c r="U58" s="306">
        <v>117</v>
      </c>
      <c r="V58" s="308">
        <f t="shared" si="6"/>
        <v>3.51</v>
      </c>
      <c r="W58" s="294">
        <f t="shared" si="7"/>
        <v>117</v>
      </c>
      <c r="X58" s="300">
        <f t="shared" si="8"/>
        <v>3.51</v>
      </c>
      <c r="Y58" s="101"/>
      <c r="Z58" s="101"/>
    </row>
    <row r="59" spans="1:26" x14ac:dyDescent="0.25">
      <c r="A59" s="264">
        <v>55</v>
      </c>
      <c r="B59" s="101" t="s">
        <v>194</v>
      </c>
      <c r="C59" s="264">
        <v>58</v>
      </c>
      <c r="D59" s="264">
        <v>25</v>
      </c>
      <c r="E59" s="264">
        <v>3</v>
      </c>
      <c r="F59" s="298">
        <f t="shared" si="4"/>
        <v>4.3499999999999997E-3</v>
      </c>
      <c r="G59" s="101"/>
      <c r="H59" s="299">
        <f t="shared" si="5"/>
        <v>0</v>
      </c>
      <c r="I59" s="291"/>
      <c r="J59" s="205">
        <f t="shared" si="23"/>
        <v>0</v>
      </c>
      <c r="K59" s="291"/>
      <c r="L59" s="205">
        <f t="shared" si="24"/>
        <v>0</v>
      </c>
      <c r="M59" s="291"/>
      <c r="N59" s="205">
        <f t="shared" si="20"/>
        <v>0</v>
      </c>
      <c r="O59" s="291"/>
      <c r="P59" s="205">
        <f t="shared" si="21"/>
        <v>0</v>
      </c>
      <c r="Q59" s="305">
        <v>144</v>
      </c>
      <c r="R59" s="303">
        <f>F59*Q59</f>
        <v>0.62639999999999996</v>
      </c>
      <c r="S59" s="101"/>
      <c r="T59" s="101"/>
      <c r="U59" s="306">
        <v>1954</v>
      </c>
      <c r="V59" s="309">
        <f t="shared" si="6"/>
        <v>8.4999000000000002</v>
      </c>
      <c r="W59" s="294">
        <v>1810</v>
      </c>
      <c r="X59" s="300">
        <f t="shared" si="8"/>
        <v>7.8734999999999991</v>
      </c>
      <c r="Y59" s="101"/>
      <c r="Z59" s="101"/>
    </row>
    <row r="60" spans="1:26" x14ac:dyDescent="0.25">
      <c r="A60" s="264">
        <v>56</v>
      </c>
      <c r="B60" s="101" t="s">
        <v>195</v>
      </c>
      <c r="C60" s="264">
        <v>64</v>
      </c>
      <c r="D60" s="264">
        <v>58</v>
      </c>
      <c r="E60" s="264">
        <v>5</v>
      </c>
      <c r="F60" s="298">
        <f t="shared" si="4"/>
        <v>1.856E-2</v>
      </c>
      <c r="G60" s="101"/>
      <c r="H60" s="299">
        <f t="shared" si="5"/>
        <v>0</v>
      </c>
      <c r="I60" s="291"/>
      <c r="J60" s="205">
        <f t="shared" si="23"/>
        <v>0</v>
      </c>
      <c r="K60" s="291"/>
      <c r="L60" s="205">
        <f t="shared" si="24"/>
        <v>0</v>
      </c>
      <c r="M60" s="291"/>
      <c r="N60" s="205">
        <f t="shared" si="20"/>
        <v>0</v>
      </c>
      <c r="O60" s="291"/>
      <c r="P60" s="205">
        <f t="shared" si="21"/>
        <v>0</v>
      </c>
      <c r="Q60" s="305">
        <v>83</v>
      </c>
      <c r="R60" s="303">
        <f t="shared" ref="R60:R65" si="25">F60*Q60</f>
        <v>1.5404800000000001</v>
      </c>
      <c r="S60" s="101"/>
      <c r="T60" s="101"/>
      <c r="U60" s="306">
        <v>1847</v>
      </c>
      <c r="V60" s="309">
        <f t="shared" si="6"/>
        <v>34.280320000000003</v>
      </c>
      <c r="W60" s="294">
        <v>1764</v>
      </c>
      <c r="X60" s="301">
        <f t="shared" si="8"/>
        <v>32.739840000000001</v>
      </c>
      <c r="Y60" s="101"/>
      <c r="Z60" s="101"/>
    </row>
    <row r="61" spans="1:26" x14ac:dyDescent="0.25">
      <c r="A61" s="264">
        <v>57</v>
      </c>
      <c r="B61" s="101" t="s">
        <v>197</v>
      </c>
      <c r="C61" s="101">
        <v>65</v>
      </c>
      <c r="D61" s="101">
        <v>65</v>
      </c>
      <c r="E61" s="101">
        <v>5</v>
      </c>
      <c r="F61" s="101">
        <f t="shared" si="4"/>
        <v>2.1125000000000001E-2</v>
      </c>
      <c r="G61" s="101"/>
      <c r="H61" s="299">
        <f t="shared" si="5"/>
        <v>0</v>
      </c>
      <c r="I61" s="291"/>
      <c r="J61" s="205">
        <f t="shared" si="23"/>
        <v>0</v>
      </c>
      <c r="K61" s="291"/>
      <c r="L61" s="205">
        <f t="shared" si="24"/>
        <v>0</v>
      </c>
      <c r="M61" s="291"/>
      <c r="N61" s="174">
        <f t="shared" si="20"/>
        <v>0</v>
      </c>
      <c r="O61" s="291"/>
      <c r="P61" s="205">
        <f t="shared" si="21"/>
        <v>0</v>
      </c>
      <c r="Q61" s="305"/>
      <c r="R61" s="303">
        <f t="shared" si="25"/>
        <v>0</v>
      </c>
      <c r="S61" s="101"/>
      <c r="T61" s="101"/>
      <c r="U61" s="306">
        <v>240</v>
      </c>
      <c r="V61" s="309">
        <f t="shared" si="6"/>
        <v>5.07</v>
      </c>
      <c r="W61" s="294">
        <f t="shared" si="7"/>
        <v>240</v>
      </c>
      <c r="X61" s="300">
        <f t="shared" si="8"/>
        <v>5.07</v>
      </c>
      <c r="Y61" s="101"/>
      <c r="Z61" s="101"/>
    </row>
    <row r="62" spans="1:26" x14ac:dyDescent="0.25">
      <c r="A62" s="264">
        <v>58</v>
      </c>
      <c r="B62" s="101" t="s">
        <v>198</v>
      </c>
      <c r="C62" s="101">
        <v>83</v>
      </c>
      <c r="D62" s="101">
        <v>55</v>
      </c>
      <c r="E62" s="101">
        <v>3</v>
      </c>
      <c r="F62" s="101">
        <f t="shared" si="4"/>
        <v>1.3695000000000001E-2</v>
      </c>
      <c r="G62" s="101"/>
      <c r="H62" s="299">
        <f t="shared" si="5"/>
        <v>0</v>
      </c>
      <c r="I62" s="291"/>
      <c r="J62" s="205">
        <f t="shared" si="23"/>
        <v>0</v>
      </c>
      <c r="K62" s="291"/>
      <c r="L62" s="205">
        <f t="shared" si="24"/>
        <v>0</v>
      </c>
      <c r="M62" s="291"/>
      <c r="N62" s="174">
        <f t="shared" si="20"/>
        <v>0</v>
      </c>
      <c r="O62" s="291"/>
      <c r="P62" s="205">
        <f t="shared" si="21"/>
        <v>0</v>
      </c>
      <c r="Q62" s="305">
        <v>84</v>
      </c>
      <c r="R62" s="303">
        <f t="shared" si="25"/>
        <v>1.15038</v>
      </c>
      <c r="S62" s="101"/>
      <c r="T62" s="101"/>
      <c r="U62" s="306">
        <v>612</v>
      </c>
      <c r="V62" s="309">
        <f t="shared" si="6"/>
        <v>8.3813399999999998</v>
      </c>
      <c r="W62" s="294">
        <v>528</v>
      </c>
      <c r="X62" s="300">
        <f t="shared" si="8"/>
        <v>7.2309600000000005</v>
      </c>
      <c r="Y62" s="101"/>
      <c r="Z62" s="101"/>
    </row>
    <row r="63" spans="1:26" x14ac:dyDescent="0.25">
      <c r="A63" s="264">
        <v>59</v>
      </c>
      <c r="B63" s="101" t="s">
        <v>199</v>
      </c>
      <c r="C63" s="101">
        <v>75</v>
      </c>
      <c r="D63" s="101">
        <v>55</v>
      </c>
      <c r="E63" s="101">
        <v>3</v>
      </c>
      <c r="F63" s="101">
        <f t="shared" si="4"/>
        <v>1.2375000000000001E-2</v>
      </c>
      <c r="G63" s="101"/>
      <c r="H63" s="299">
        <f t="shared" si="5"/>
        <v>0</v>
      </c>
      <c r="I63" s="291"/>
      <c r="J63" s="205">
        <f t="shared" si="23"/>
        <v>0</v>
      </c>
      <c r="K63" s="291"/>
      <c r="L63" s="205">
        <f t="shared" si="24"/>
        <v>0</v>
      </c>
      <c r="M63" s="291"/>
      <c r="N63" s="174">
        <f t="shared" si="20"/>
        <v>0</v>
      </c>
      <c r="O63" s="291"/>
      <c r="P63" s="205">
        <f t="shared" si="21"/>
        <v>0</v>
      </c>
      <c r="Q63" s="305"/>
      <c r="R63" s="303">
        <f t="shared" si="25"/>
        <v>0</v>
      </c>
      <c r="S63" s="101"/>
      <c r="T63" s="101"/>
      <c r="U63" s="306">
        <v>1428</v>
      </c>
      <c r="V63" s="309">
        <f t="shared" si="6"/>
        <v>17.671500000000002</v>
      </c>
      <c r="W63" s="294">
        <f t="shared" si="7"/>
        <v>1428</v>
      </c>
      <c r="X63" s="300">
        <f t="shared" si="8"/>
        <v>17.671500000000002</v>
      </c>
      <c r="Y63" s="101"/>
      <c r="Z63" s="101"/>
    </row>
    <row r="64" spans="1:26" x14ac:dyDescent="0.25">
      <c r="A64" s="264">
        <v>60</v>
      </c>
      <c r="B64" s="101" t="s">
        <v>200</v>
      </c>
      <c r="C64" s="101">
        <v>58</v>
      </c>
      <c r="D64" s="101">
        <v>19</v>
      </c>
      <c r="E64" s="101">
        <v>3</v>
      </c>
      <c r="F64" s="101">
        <f t="shared" si="4"/>
        <v>3.3059999999999999E-3</v>
      </c>
      <c r="G64" s="101"/>
      <c r="H64" s="299">
        <f t="shared" si="5"/>
        <v>0</v>
      </c>
      <c r="I64" s="291"/>
      <c r="J64" s="205">
        <f t="shared" si="23"/>
        <v>0</v>
      </c>
      <c r="K64" s="291"/>
      <c r="L64" s="205">
        <f t="shared" si="24"/>
        <v>0</v>
      </c>
      <c r="M64" s="291"/>
      <c r="N64" s="174">
        <f t="shared" si="20"/>
        <v>0</v>
      </c>
      <c r="O64" s="291"/>
      <c r="P64" s="205">
        <f t="shared" si="21"/>
        <v>0</v>
      </c>
      <c r="Q64" s="305">
        <v>90</v>
      </c>
      <c r="R64" s="303">
        <f t="shared" si="25"/>
        <v>0.29753999999999997</v>
      </c>
      <c r="S64" s="101"/>
      <c r="T64" s="101"/>
      <c r="U64" s="306">
        <v>1380</v>
      </c>
      <c r="V64" s="309">
        <f t="shared" si="6"/>
        <v>4.5622799999999994</v>
      </c>
      <c r="W64" s="294">
        <v>1290</v>
      </c>
      <c r="X64" s="300">
        <f t="shared" si="8"/>
        <v>4.2647399999999998</v>
      </c>
      <c r="Y64" s="101"/>
      <c r="Z64" s="101"/>
    </row>
    <row r="65" spans="1:26" x14ac:dyDescent="0.25">
      <c r="A65" s="264"/>
      <c r="B65" s="101"/>
      <c r="C65" s="101"/>
      <c r="D65" s="101"/>
      <c r="E65" s="101"/>
      <c r="F65" s="101"/>
      <c r="G65" s="101"/>
      <c r="H65" s="101"/>
      <c r="I65" s="291"/>
      <c r="J65" s="205">
        <f t="shared" si="23"/>
        <v>0</v>
      </c>
      <c r="K65" s="291"/>
      <c r="L65" s="205">
        <f t="shared" si="24"/>
        <v>0</v>
      </c>
      <c r="M65" s="291"/>
      <c r="N65" s="174">
        <f t="shared" si="20"/>
        <v>0</v>
      </c>
      <c r="O65" s="291"/>
      <c r="P65" s="205">
        <f t="shared" si="21"/>
        <v>0</v>
      </c>
      <c r="Q65" s="305"/>
      <c r="R65" s="205">
        <f t="shared" si="25"/>
        <v>0</v>
      </c>
      <c r="S65" s="101"/>
      <c r="T65" s="101"/>
      <c r="U65" s="307"/>
      <c r="V65" s="310"/>
      <c r="W65" s="294">
        <f t="shared" si="7"/>
        <v>0</v>
      </c>
      <c r="X65" s="301"/>
      <c r="Y65" s="101"/>
      <c r="Z65" s="101"/>
    </row>
    <row r="66" spans="1:26" x14ac:dyDescent="0.25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spans="1:26" x14ac:dyDescent="0.25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 spans="1:26" x14ac:dyDescent="0.2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</row>
    <row r="69" spans="1:26" x14ac:dyDescent="0.2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</row>
    <row r="70" spans="1:26" x14ac:dyDescent="0.25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</row>
    <row r="71" spans="1:26" x14ac:dyDescent="0.2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spans="1:26" x14ac:dyDescent="0.2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1:26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1:26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1:26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1:26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1:26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1:26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</sheetData>
  <mergeCells count="24">
    <mergeCell ref="C1:H1"/>
    <mergeCell ref="G2:H3"/>
    <mergeCell ref="I2:J2"/>
    <mergeCell ref="K2:L2"/>
    <mergeCell ref="M2:N2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S4:T4"/>
    <mergeCell ref="U4:V4"/>
    <mergeCell ref="W4:X4"/>
    <mergeCell ref="G4:H4"/>
    <mergeCell ref="I4:J4"/>
    <mergeCell ref="K4:L4"/>
    <mergeCell ref="M4:N4"/>
    <mergeCell ref="O4:P4"/>
    <mergeCell ref="Q4:R4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Z78"/>
  <sheetViews>
    <sheetView topLeftCell="A7" workbookViewId="0">
      <selection activeCell="B29" sqref="B29"/>
    </sheetView>
  </sheetViews>
  <sheetFormatPr defaultRowHeight="15" x14ac:dyDescent="0.25"/>
  <cols>
    <col min="1" max="1" width="5" customWidth="1"/>
    <col min="2" max="2" width="38.85546875" style="3" customWidth="1"/>
    <col min="3" max="3" width="16.85546875" style="2" hidden="1" customWidth="1"/>
    <col min="4" max="4" width="14" style="2" hidden="1" customWidth="1"/>
    <col min="5" max="5" width="12" style="2" hidden="1" customWidth="1"/>
    <col min="6" max="6" width="11.42578125" style="4" hidden="1" customWidth="1"/>
    <col min="7" max="7" width="8.7109375" style="5" customWidth="1"/>
    <col min="8" max="8" width="9" style="5" customWidth="1"/>
    <col min="9" max="9" width="8.140625" style="2" customWidth="1"/>
    <col min="10" max="10" width="7.85546875" style="2" customWidth="1"/>
    <col min="11" max="18" width="8.140625" style="2" customWidth="1"/>
    <col min="19" max="19" width="13.7109375" style="2" hidden="1" customWidth="1"/>
    <col min="20" max="20" width="0.140625" style="2" customWidth="1"/>
    <col min="21" max="21" width="9.42578125" customWidth="1"/>
    <col min="22" max="22" width="11.7109375" customWidth="1"/>
    <col min="25" max="25" width="10.28515625" customWidth="1"/>
  </cols>
  <sheetData>
    <row r="1" spans="1:26" ht="15.75" thickBot="1" x14ac:dyDescent="0.3">
      <c r="B1" s="4" t="s">
        <v>18</v>
      </c>
      <c r="C1" s="384">
        <v>45505</v>
      </c>
      <c r="D1" s="320"/>
      <c r="E1" s="320"/>
      <c r="F1" s="320"/>
      <c r="G1" s="320"/>
      <c r="H1" s="320"/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45509</v>
      </c>
      <c r="J2" s="326"/>
      <c r="K2" s="327">
        <v>45516</v>
      </c>
      <c r="L2" s="328"/>
      <c r="M2" s="325">
        <v>45527</v>
      </c>
      <c r="N2" s="329"/>
      <c r="O2" s="327">
        <v>45530</v>
      </c>
      <c r="P2" s="346"/>
      <c r="Q2" s="325">
        <v>45534</v>
      </c>
      <c r="R2" s="329"/>
      <c r="S2" s="330" t="s">
        <v>69</v>
      </c>
      <c r="T2" s="331"/>
      <c r="U2" s="334" t="s">
        <v>70</v>
      </c>
      <c r="V2" s="335"/>
      <c r="W2" s="385" t="s">
        <v>71</v>
      </c>
      <c r="X2" s="386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87"/>
      <c r="X3" s="388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89" t="s">
        <v>63</v>
      </c>
      <c r="X4" s="390"/>
      <c r="Y4" s="268" t="s">
        <v>179</v>
      </c>
      <c r="Z4" s="269" t="s">
        <v>99</v>
      </c>
    </row>
    <row r="5" spans="1:26" x14ac:dyDescent="0.25">
      <c r="A5" s="263">
        <v>1</v>
      </c>
      <c r="B5" s="256" t="s">
        <v>134</v>
      </c>
      <c r="C5" s="32">
        <v>70</v>
      </c>
      <c r="D5" s="33">
        <v>64</v>
      </c>
      <c r="E5" s="33">
        <v>8</v>
      </c>
      <c r="F5" s="15">
        <f>(C5*D5*E5)/1000000</f>
        <v>3.5839999999999997E-2</v>
      </c>
      <c r="G5" s="286">
        <v>512</v>
      </c>
      <c r="H5" s="287">
        <f>F5*G5</f>
        <v>18.350079999999998</v>
      </c>
      <c r="I5" s="290">
        <v>23</v>
      </c>
      <c r="J5" s="205">
        <f t="shared" ref="J5:R55" si="0">F5*I5</f>
        <v>0.82431999999999994</v>
      </c>
      <c r="K5" s="290">
        <v>0</v>
      </c>
      <c r="L5" s="205">
        <f>F5*K5</f>
        <v>0</v>
      </c>
      <c r="M5" s="290">
        <v>0</v>
      </c>
      <c r="N5" s="205">
        <f t="shared" ref="N5:N10" si="1">F5*M5</f>
        <v>0</v>
      </c>
      <c r="O5" s="290">
        <v>0</v>
      </c>
      <c r="P5" s="205">
        <f t="shared" ref="P5:P10" si="2">F5*O5</f>
        <v>0</v>
      </c>
      <c r="Q5" s="290">
        <v>13</v>
      </c>
      <c r="R5" s="205">
        <f t="shared" ref="R5:R11" si="3">F5*Q5</f>
        <v>0.46591999999999995</v>
      </c>
      <c r="S5" s="39">
        <f>G5-I5-K5-M5-O5-Q5</f>
        <v>476</v>
      </c>
      <c r="T5" s="38">
        <f t="shared" ref="T5:T54" si="4">F5*S5</f>
        <v>17.059839999999998</v>
      </c>
      <c r="U5" s="220">
        <v>0</v>
      </c>
      <c r="V5" s="13">
        <f>F5*U5</f>
        <v>0</v>
      </c>
      <c r="W5" s="294">
        <f>S5+U5</f>
        <v>476</v>
      </c>
      <c r="X5" s="295">
        <f>F5*W5</f>
        <v>17.059839999999998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135</v>
      </c>
      <c r="C6" s="34">
        <v>70</v>
      </c>
      <c r="D6" s="35">
        <v>80</v>
      </c>
      <c r="E6" s="35">
        <v>8</v>
      </c>
      <c r="F6" s="19">
        <f t="shared" ref="F6:F64" si="5">(C6*D6*E6)/1000000</f>
        <v>4.48E-2</v>
      </c>
      <c r="G6" s="286">
        <v>484</v>
      </c>
      <c r="H6" s="288">
        <f t="shared" ref="H6:H64" si="6">F6*G6</f>
        <v>21.683199999999999</v>
      </c>
      <c r="I6" s="290">
        <v>10</v>
      </c>
      <c r="J6" s="205">
        <f t="shared" si="0"/>
        <v>0.44800000000000001</v>
      </c>
      <c r="K6" s="290">
        <v>0</v>
      </c>
      <c r="L6" s="205">
        <f>F6*K6</f>
        <v>0</v>
      </c>
      <c r="M6" s="290">
        <v>40</v>
      </c>
      <c r="N6" s="205">
        <f t="shared" si="1"/>
        <v>1.792</v>
      </c>
      <c r="O6" s="290">
        <v>0</v>
      </c>
      <c r="P6" s="205">
        <f t="shared" si="2"/>
        <v>0</v>
      </c>
      <c r="Q6" s="290">
        <v>28</v>
      </c>
      <c r="R6" s="205">
        <f t="shared" si="3"/>
        <v>1.2544</v>
      </c>
      <c r="S6" s="39">
        <f>G6-I6-K6-M6-O6-Q6</f>
        <v>406</v>
      </c>
      <c r="T6" s="38">
        <f t="shared" si="4"/>
        <v>18.188800000000001</v>
      </c>
      <c r="U6" s="220">
        <v>0</v>
      </c>
      <c r="V6" s="13">
        <f t="shared" ref="V6:V64" si="7">F6*U6</f>
        <v>0</v>
      </c>
      <c r="W6" s="294">
        <f t="shared" ref="W6:W65" si="8">S6+U6</f>
        <v>406</v>
      </c>
      <c r="X6" s="295">
        <f t="shared" ref="X6:X64" si="9">F6*W6</f>
        <v>18.188800000000001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136</v>
      </c>
      <c r="C7" s="34">
        <v>70</v>
      </c>
      <c r="D7" s="35">
        <v>74</v>
      </c>
      <c r="E7" s="35">
        <v>8</v>
      </c>
      <c r="F7" s="19">
        <f t="shared" si="5"/>
        <v>4.1439999999999998E-2</v>
      </c>
      <c r="G7" s="286">
        <v>502</v>
      </c>
      <c r="H7" s="288">
        <f t="shared" si="6"/>
        <v>20.802879999999998</v>
      </c>
      <c r="I7" s="290">
        <v>14</v>
      </c>
      <c r="J7" s="205">
        <f t="shared" si="0"/>
        <v>0.58016000000000001</v>
      </c>
      <c r="K7" s="290">
        <v>10</v>
      </c>
      <c r="L7" s="205">
        <f>F7*K7</f>
        <v>0.41439999999999999</v>
      </c>
      <c r="M7" s="290">
        <v>20</v>
      </c>
      <c r="N7" s="205">
        <f t="shared" si="1"/>
        <v>0.82879999999999998</v>
      </c>
      <c r="O7" s="290">
        <v>0</v>
      </c>
      <c r="P7" s="205">
        <f t="shared" si="2"/>
        <v>0</v>
      </c>
      <c r="Q7" s="290">
        <v>28</v>
      </c>
      <c r="R7" s="205">
        <f t="shared" si="3"/>
        <v>1.16032</v>
      </c>
      <c r="S7" s="39">
        <f t="shared" ref="S7:S65" si="10">G7-I7-K7-M7-O7-Q7</f>
        <v>430</v>
      </c>
      <c r="T7" s="38">
        <f t="shared" si="4"/>
        <v>17.819199999999999</v>
      </c>
      <c r="U7" s="220">
        <v>0</v>
      </c>
      <c r="V7" s="13">
        <f t="shared" si="7"/>
        <v>0</v>
      </c>
      <c r="W7" s="294">
        <f t="shared" si="8"/>
        <v>430</v>
      </c>
      <c r="X7" s="295">
        <f t="shared" si="9"/>
        <v>17.819199999999999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137</v>
      </c>
      <c r="C8" s="34">
        <v>80</v>
      </c>
      <c r="D8" s="35">
        <v>64</v>
      </c>
      <c r="E8" s="35">
        <v>5</v>
      </c>
      <c r="F8" s="19">
        <f t="shared" si="5"/>
        <v>2.5600000000000001E-2</v>
      </c>
      <c r="G8" s="286">
        <v>100</v>
      </c>
      <c r="H8" s="288">
        <f t="shared" si="6"/>
        <v>2.56</v>
      </c>
      <c r="I8" s="290">
        <v>0</v>
      </c>
      <c r="J8" s="205">
        <f t="shared" si="0"/>
        <v>0</v>
      </c>
      <c r="K8" s="290">
        <v>0</v>
      </c>
      <c r="L8" s="205">
        <f>F8*K8</f>
        <v>0</v>
      </c>
      <c r="M8" s="290">
        <v>0</v>
      </c>
      <c r="N8" s="205">
        <f t="shared" si="1"/>
        <v>0</v>
      </c>
      <c r="O8" s="290">
        <v>0</v>
      </c>
      <c r="P8" s="205">
        <f t="shared" si="2"/>
        <v>0</v>
      </c>
      <c r="Q8" s="290">
        <v>0</v>
      </c>
      <c r="R8" s="205">
        <f t="shared" si="3"/>
        <v>0</v>
      </c>
      <c r="S8" s="39">
        <f t="shared" si="10"/>
        <v>100</v>
      </c>
      <c r="T8" s="38">
        <f t="shared" si="4"/>
        <v>2.56</v>
      </c>
      <c r="U8" s="220">
        <v>0</v>
      </c>
      <c r="V8" s="13">
        <f t="shared" si="7"/>
        <v>0</v>
      </c>
      <c r="W8" s="294">
        <f t="shared" si="8"/>
        <v>100</v>
      </c>
      <c r="X8" s="295">
        <f t="shared" si="9"/>
        <v>2.56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138</v>
      </c>
      <c r="C9" s="34">
        <v>140</v>
      </c>
      <c r="D9" s="35">
        <v>240</v>
      </c>
      <c r="E9" s="35">
        <v>5</v>
      </c>
      <c r="F9" s="19">
        <f t="shared" si="5"/>
        <v>0.16800000000000001</v>
      </c>
      <c r="G9" s="286">
        <v>216</v>
      </c>
      <c r="H9" s="288">
        <f t="shared" si="6"/>
        <v>36.288000000000004</v>
      </c>
      <c r="I9" s="290">
        <v>6</v>
      </c>
      <c r="J9" s="205">
        <f t="shared" si="0"/>
        <v>1.008</v>
      </c>
      <c r="K9" s="290">
        <v>3</v>
      </c>
      <c r="L9" s="205">
        <f>F9*K9</f>
        <v>0.504</v>
      </c>
      <c r="M9" s="290">
        <v>3</v>
      </c>
      <c r="N9" s="205">
        <f t="shared" si="1"/>
        <v>0.504</v>
      </c>
      <c r="O9" s="290">
        <v>0</v>
      </c>
      <c r="P9" s="205">
        <f t="shared" si="2"/>
        <v>0</v>
      </c>
      <c r="Q9" s="290">
        <v>3</v>
      </c>
      <c r="R9" s="205">
        <f t="shared" si="3"/>
        <v>0.504</v>
      </c>
      <c r="S9" s="39">
        <f t="shared" si="10"/>
        <v>201</v>
      </c>
      <c r="T9" s="38">
        <f t="shared" si="4"/>
        <v>33.768000000000001</v>
      </c>
      <c r="U9" s="220">
        <v>0</v>
      </c>
      <c r="V9" s="13">
        <f t="shared" si="7"/>
        <v>0</v>
      </c>
      <c r="W9" s="294">
        <f t="shared" si="8"/>
        <v>201</v>
      </c>
      <c r="X9" s="295">
        <f t="shared" si="9"/>
        <v>33.768000000000001</v>
      </c>
      <c r="Y9" s="238">
        <v>100</v>
      </c>
      <c r="Z9" s="101">
        <v>250</v>
      </c>
    </row>
    <row r="10" spans="1:26" x14ac:dyDescent="0.25">
      <c r="A10" s="264">
        <v>6</v>
      </c>
      <c r="B10" s="256" t="s">
        <v>139</v>
      </c>
      <c r="C10" s="34">
        <v>142</v>
      </c>
      <c r="D10" s="35">
        <v>67</v>
      </c>
      <c r="E10" s="35">
        <v>5</v>
      </c>
      <c r="F10" s="19">
        <f t="shared" si="5"/>
        <v>4.7570000000000001E-2</v>
      </c>
      <c r="G10" s="286">
        <v>84</v>
      </c>
      <c r="H10" s="288">
        <f t="shared" si="6"/>
        <v>3.9958800000000001</v>
      </c>
      <c r="I10" s="290">
        <v>0</v>
      </c>
      <c r="J10" s="205">
        <f t="shared" si="0"/>
        <v>0</v>
      </c>
      <c r="K10" s="290">
        <v>10</v>
      </c>
      <c r="L10" s="205">
        <f t="shared" ref="L10" si="11">F10*K10</f>
        <v>0.47570000000000001</v>
      </c>
      <c r="M10" s="290">
        <v>10</v>
      </c>
      <c r="N10" s="205">
        <f t="shared" si="1"/>
        <v>0.47570000000000001</v>
      </c>
      <c r="O10" s="290">
        <v>0</v>
      </c>
      <c r="P10" s="205">
        <f t="shared" si="2"/>
        <v>0</v>
      </c>
      <c r="Q10" s="290">
        <v>8</v>
      </c>
      <c r="R10" s="205">
        <f t="shared" si="3"/>
        <v>0.38056000000000001</v>
      </c>
      <c r="S10" s="39">
        <f t="shared" si="10"/>
        <v>56</v>
      </c>
      <c r="T10" s="38">
        <f t="shared" si="4"/>
        <v>2.6639200000000001</v>
      </c>
      <c r="U10" s="220">
        <v>0</v>
      </c>
      <c r="V10" s="13">
        <f t="shared" si="7"/>
        <v>0</v>
      </c>
      <c r="W10" s="294">
        <f t="shared" si="8"/>
        <v>56</v>
      </c>
      <c r="X10" s="295">
        <f t="shared" si="9"/>
        <v>2.6639200000000001</v>
      </c>
      <c r="Y10" s="238">
        <v>75</v>
      </c>
      <c r="Z10" s="101">
        <v>250</v>
      </c>
    </row>
    <row r="11" spans="1:26" x14ac:dyDescent="0.25">
      <c r="A11" s="264">
        <v>7</v>
      </c>
      <c r="B11" s="256" t="s">
        <v>190</v>
      </c>
      <c r="C11" s="34">
        <v>87</v>
      </c>
      <c r="D11" s="35">
        <v>54</v>
      </c>
      <c r="E11" s="35">
        <v>5</v>
      </c>
      <c r="F11" s="19">
        <f t="shared" si="5"/>
        <v>2.349E-2</v>
      </c>
      <c r="G11" s="286">
        <v>0</v>
      </c>
      <c r="H11" s="288">
        <f t="shared" si="6"/>
        <v>0</v>
      </c>
      <c r="I11" s="290">
        <v>0</v>
      </c>
      <c r="J11" s="205">
        <f t="shared" si="0"/>
        <v>0</v>
      </c>
      <c r="K11" s="290">
        <v>0</v>
      </c>
      <c r="L11" s="205">
        <f>F11*K11</f>
        <v>0</v>
      </c>
      <c r="M11" s="290">
        <v>0</v>
      </c>
      <c r="N11" s="21">
        <v>0</v>
      </c>
      <c r="O11" s="290">
        <v>0</v>
      </c>
      <c r="P11" s="21">
        <v>0</v>
      </c>
      <c r="Q11" s="290">
        <v>0</v>
      </c>
      <c r="R11" s="205">
        <f t="shared" si="3"/>
        <v>0</v>
      </c>
      <c r="S11" s="39">
        <f t="shared" si="10"/>
        <v>0</v>
      </c>
      <c r="T11" s="38">
        <f t="shared" si="4"/>
        <v>0</v>
      </c>
      <c r="U11" s="220">
        <v>0</v>
      </c>
      <c r="V11" s="13">
        <f t="shared" si="7"/>
        <v>0</v>
      </c>
      <c r="W11" s="294">
        <f t="shared" si="8"/>
        <v>0</v>
      </c>
      <c r="X11" s="295">
        <f t="shared" si="9"/>
        <v>0</v>
      </c>
      <c r="Y11" s="238">
        <v>50</v>
      </c>
      <c r="Z11" s="101">
        <v>100</v>
      </c>
    </row>
    <row r="12" spans="1:26" x14ac:dyDescent="0.25">
      <c r="A12" s="264">
        <v>8</v>
      </c>
      <c r="B12" s="256" t="s">
        <v>191</v>
      </c>
      <c r="C12" s="34">
        <v>75</v>
      </c>
      <c r="D12" s="35">
        <v>54</v>
      </c>
      <c r="E12" s="35">
        <v>5</v>
      </c>
      <c r="F12" s="19">
        <f t="shared" si="5"/>
        <v>2.0250000000000001E-2</v>
      </c>
      <c r="G12" s="286">
        <v>0</v>
      </c>
      <c r="H12" s="288">
        <f t="shared" si="6"/>
        <v>0</v>
      </c>
      <c r="I12" s="290">
        <v>0</v>
      </c>
      <c r="J12" s="205">
        <f t="shared" si="0"/>
        <v>0</v>
      </c>
      <c r="K12" s="290">
        <v>0</v>
      </c>
      <c r="L12" s="205">
        <f>F12*K12</f>
        <v>0</v>
      </c>
      <c r="M12" s="290">
        <v>0</v>
      </c>
      <c r="N12" s="205">
        <f>F12*M12</f>
        <v>0</v>
      </c>
      <c r="O12" s="290">
        <v>0</v>
      </c>
      <c r="P12" s="205">
        <f>F12*O12</f>
        <v>0</v>
      </c>
      <c r="Q12" s="290">
        <v>0</v>
      </c>
      <c r="R12" s="21">
        <v>0</v>
      </c>
      <c r="S12" s="39">
        <f t="shared" si="10"/>
        <v>0</v>
      </c>
      <c r="T12" s="38">
        <f t="shared" si="4"/>
        <v>0</v>
      </c>
      <c r="U12" s="220">
        <v>0</v>
      </c>
      <c r="V12" s="13">
        <f t="shared" si="7"/>
        <v>0</v>
      </c>
      <c r="W12" s="294">
        <f t="shared" si="8"/>
        <v>0</v>
      </c>
      <c r="X12" s="295">
        <f t="shared" si="9"/>
        <v>0</v>
      </c>
      <c r="Y12" s="238">
        <v>50</v>
      </c>
      <c r="Z12" s="101">
        <v>100</v>
      </c>
    </row>
    <row r="13" spans="1:26" x14ac:dyDescent="0.25">
      <c r="A13" s="264">
        <v>9</v>
      </c>
      <c r="B13" s="256" t="s">
        <v>142</v>
      </c>
      <c r="C13" s="34">
        <v>140</v>
      </c>
      <c r="D13" s="35">
        <v>240</v>
      </c>
      <c r="E13" s="35">
        <v>5</v>
      </c>
      <c r="F13" s="19">
        <f t="shared" si="5"/>
        <v>0.16800000000000001</v>
      </c>
      <c r="G13" s="286">
        <v>58</v>
      </c>
      <c r="H13" s="288">
        <f t="shared" si="6"/>
        <v>9.7439999999999998</v>
      </c>
      <c r="I13" s="290">
        <v>5</v>
      </c>
      <c r="J13" s="205">
        <f t="shared" si="0"/>
        <v>0.84000000000000008</v>
      </c>
      <c r="K13" s="290">
        <v>7</v>
      </c>
      <c r="L13" s="205">
        <f>F13*K13</f>
        <v>1.1760000000000002</v>
      </c>
      <c r="M13" s="290">
        <v>3</v>
      </c>
      <c r="N13" s="205">
        <f>F13*M13</f>
        <v>0.504</v>
      </c>
      <c r="O13" s="290">
        <v>0</v>
      </c>
      <c r="P13" s="205">
        <f>F13*O13</f>
        <v>0</v>
      </c>
      <c r="Q13" s="290">
        <v>2</v>
      </c>
      <c r="R13" s="205">
        <f>F13*Q13</f>
        <v>0.33600000000000002</v>
      </c>
      <c r="S13" s="39">
        <f t="shared" si="10"/>
        <v>41</v>
      </c>
      <c r="T13" s="38">
        <f t="shared" si="4"/>
        <v>6.8880000000000008</v>
      </c>
      <c r="U13" s="220">
        <v>100</v>
      </c>
      <c r="V13" s="13">
        <f t="shared" si="7"/>
        <v>16.8</v>
      </c>
      <c r="W13" s="294">
        <f t="shared" si="8"/>
        <v>141</v>
      </c>
      <c r="X13" s="295">
        <f t="shared" si="9"/>
        <v>23.688000000000002</v>
      </c>
      <c r="Y13" s="238">
        <v>100</v>
      </c>
      <c r="Z13" s="101">
        <v>300</v>
      </c>
    </row>
    <row r="14" spans="1:26" x14ac:dyDescent="0.25">
      <c r="A14" s="264">
        <v>10</v>
      </c>
      <c r="B14" s="256" t="s">
        <v>143</v>
      </c>
      <c r="C14" s="34">
        <v>90</v>
      </c>
      <c r="D14" s="35">
        <v>85</v>
      </c>
      <c r="E14" s="35">
        <v>5</v>
      </c>
      <c r="F14" s="19">
        <f t="shared" si="5"/>
        <v>3.8249999999999999E-2</v>
      </c>
      <c r="G14" s="286">
        <v>56</v>
      </c>
      <c r="H14" s="288">
        <f t="shared" si="6"/>
        <v>2.1419999999999999</v>
      </c>
      <c r="I14" s="290">
        <v>0</v>
      </c>
      <c r="J14" s="205">
        <f t="shared" si="0"/>
        <v>0</v>
      </c>
      <c r="K14" s="290">
        <v>0</v>
      </c>
      <c r="L14" s="205">
        <f t="shared" ref="L14:L20" si="12">F14*K14</f>
        <v>0</v>
      </c>
      <c r="M14" s="290">
        <v>0</v>
      </c>
      <c r="N14" s="205">
        <f t="shared" si="0"/>
        <v>0</v>
      </c>
      <c r="O14" s="290">
        <v>0</v>
      </c>
      <c r="P14" s="205">
        <f t="shared" si="0"/>
        <v>0</v>
      </c>
      <c r="Q14" s="290">
        <v>0</v>
      </c>
      <c r="R14" s="205">
        <f t="shared" si="0"/>
        <v>0</v>
      </c>
      <c r="S14" s="39">
        <f t="shared" si="10"/>
        <v>56</v>
      </c>
      <c r="T14" s="38">
        <f t="shared" si="4"/>
        <v>2.1419999999999999</v>
      </c>
      <c r="U14" s="220">
        <v>0</v>
      </c>
      <c r="V14" s="13">
        <f t="shared" si="7"/>
        <v>0</v>
      </c>
      <c r="W14" s="294">
        <f t="shared" si="8"/>
        <v>56</v>
      </c>
      <c r="X14" s="295">
        <f t="shared" si="9"/>
        <v>2.1419999999999999</v>
      </c>
      <c r="Y14" s="238">
        <v>50</v>
      </c>
      <c r="Z14" s="101">
        <v>100</v>
      </c>
    </row>
    <row r="15" spans="1:26" x14ac:dyDescent="0.25">
      <c r="A15" s="264">
        <v>11</v>
      </c>
      <c r="B15" s="256" t="s">
        <v>144</v>
      </c>
      <c r="C15" s="34">
        <v>140</v>
      </c>
      <c r="D15" s="35">
        <v>240</v>
      </c>
      <c r="E15" s="35">
        <v>5</v>
      </c>
      <c r="F15" s="19">
        <f t="shared" si="5"/>
        <v>0.16800000000000001</v>
      </c>
      <c r="G15" s="286">
        <v>56</v>
      </c>
      <c r="H15" s="288">
        <f t="shared" si="6"/>
        <v>9.4080000000000013</v>
      </c>
      <c r="I15" s="290">
        <v>0</v>
      </c>
      <c r="J15" s="205">
        <f t="shared" si="0"/>
        <v>0</v>
      </c>
      <c r="K15" s="290">
        <v>0</v>
      </c>
      <c r="L15" s="205">
        <f t="shared" si="12"/>
        <v>0</v>
      </c>
      <c r="M15" s="290">
        <v>20</v>
      </c>
      <c r="N15" s="205">
        <f t="shared" ref="N15:N20" si="13">F15*M15</f>
        <v>3.3600000000000003</v>
      </c>
      <c r="O15" s="290">
        <v>0</v>
      </c>
      <c r="P15" s="205">
        <f t="shared" ref="P15:P20" si="14">F15*O15</f>
        <v>0</v>
      </c>
      <c r="Q15" s="290">
        <v>2</v>
      </c>
      <c r="R15" s="205">
        <f t="shared" ref="R15:R20" si="15">F15*Q15</f>
        <v>0.33600000000000002</v>
      </c>
      <c r="S15" s="39">
        <f t="shared" si="10"/>
        <v>34</v>
      </c>
      <c r="T15" s="38">
        <f t="shared" si="4"/>
        <v>5.7120000000000006</v>
      </c>
      <c r="U15" s="220">
        <v>0</v>
      </c>
      <c r="V15" s="13">
        <f t="shared" si="7"/>
        <v>0</v>
      </c>
      <c r="W15" s="294">
        <f t="shared" si="8"/>
        <v>34</v>
      </c>
      <c r="X15" s="295">
        <f t="shared" si="9"/>
        <v>5.7120000000000006</v>
      </c>
      <c r="Y15" s="238">
        <v>200</v>
      </c>
      <c r="Z15" s="101">
        <v>400</v>
      </c>
    </row>
    <row r="16" spans="1:26" x14ac:dyDescent="0.25">
      <c r="A16" s="264">
        <v>12</v>
      </c>
      <c r="B16" s="256" t="s">
        <v>145</v>
      </c>
      <c r="C16" s="34">
        <v>140</v>
      </c>
      <c r="D16" s="35">
        <v>240</v>
      </c>
      <c r="E16" s="35">
        <v>5</v>
      </c>
      <c r="F16" s="19">
        <f t="shared" si="5"/>
        <v>0.16800000000000001</v>
      </c>
      <c r="G16" s="286">
        <v>17</v>
      </c>
      <c r="H16" s="288">
        <f t="shared" si="6"/>
        <v>2.8560000000000003</v>
      </c>
      <c r="I16" s="290">
        <v>4</v>
      </c>
      <c r="J16" s="205">
        <f t="shared" si="0"/>
        <v>0.67200000000000004</v>
      </c>
      <c r="K16" s="290">
        <v>0</v>
      </c>
      <c r="L16" s="205">
        <f t="shared" si="12"/>
        <v>0</v>
      </c>
      <c r="M16" s="290">
        <v>5</v>
      </c>
      <c r="N16" s="205">
        <f t="shared" si="13"/>
        <v>0.84000000000000008</v>
      </c>
      <c r="O16" s="290">
        <v>0</v>
      </c>
      <c r="P16" s="205">
        <f t="shared" si="14"/>
        <v>0</v>
      </c>
      <c r="Q16" s="290">
        <v>15</v>
      </c>
      <c r="R16" s="205">
        <f t="shared" si="15"/>
        <v>2.52</v>
      </c>
      <c r="S16" s="39">
        <f t="shared" si="10"/>
        <v>-7</v>
      </c>
      <c r="T16" s="38">
        <f t="shared" si="4"/>
        <v>-1.1760000000000002</v>
      </c>
      <c r="U16" s="220">
        <v>442</v>
      </c>
      <c r="V16" s="13">
        <f t="shared" si="7"/>
        <v>74.256</v>
      </c>
      <c r="W16" s="294">
        <f t="shared" si="8"/>
        <v>435</v>
      </c>
      <c r="X16" s="295">
        <f t="shared" si="9"/>
        <v>73.08</v>
      </c>
      <c r="Y16" s="238">
        <v>200</v>
      </c>
      <c r="Z16" s="101">
        <v>500</v>
      </c>
    </row>
    <row r="17" spans="1:26" x14ac:dyDescent="0.25">
      <c r="A17" s="264">
        <v>13</v>
      </c>
      <c r="B17" s="256" t="s">
        <v>146</v>
      </c>
      <c r="C17" s="34">
        <v>140</v>
      </c>
      <c r="D17" s="35">
        <v>240</v>
      </c>
      <c r="E17" s="35">
        <v>8</v>
      </c>
      <c r="F17" s="19">
        <f t="shared" si="5"/>
        <v>0.26879999999999998</v>
      </c>
      <c r="G17" s="286">
        <v>0</v>
      </c>
      <c r="H17" s="288">
        <f t="shared" si="6"/>
        <v>0</v>
      </c>
      <c r="I17" s="290">
        <v>0</v>
      </c>
      <c r="J17" s="205">
        <f t="shared" si="0"/>
        <v>0</v>
      </c>
      <c r="K17" s="290">
        <v>0</v>
      </c>
      <c r="L17" s="205">
        <f t="shared" si="12"/>
        <v>0</v>
      </c>
      <c r="M17" s="290">
        <v>0</v>
      </c>
      <c r="N17" s="205">
        <f t="shared" si="13"/>
        <v>0</v>
      </c>
      <c r="O17" s="290">
        <v>0</v>
      </c>
      <c r="P17" s="205">
        <f t="shared" si="14"/>
        <v>0</v>
      </c>
      <c r="Q17" s="290">
        <v>0</v>
      </c>
      <c r="R17" s="205">
        <f t="shared" si="15"/>
        <v>0</v>
      </c>
      <c r="S17" s="39">
        <f t="shared" si="10"/>
        <v>0</v>
      </c>
      <c r="T17" s="38">
        <f t="shared" si="4"/>
        <v>0</v>
      </c>
      <c r="U17" s="220">
        <v>23</v>
      </c>
      <c r="V17" s="13">
        <f t="shared" si="7"/>
        <v>6.1823999999999995</v>
      </c>
      <c r="W17" s="294">
        <f t="shared" si="8"/>
        <v>23</v>
      </c>
      <c r="X17" s="295">
        <f t="shared" si="9"/>
        <v>6.1823999999999995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147</v>
      </c>
      <c r="C18" s="34">
        <v>77</v>
      </c>
      <c r="D18" s="35">
        <v>86</v>
      </c>
      <c r="E18" s="35">
        <v>8</v>
      </c>
      <c r="F18" s="19">
        <f t="shared" si="5"/>
        <v>5.2976000000000002E-2</v>
      </c>
      <c r="G18" s="286">
        <v>301</v>
      </c>
      <c r="H18" s="288">
        <f t="shared" si="6"/>
        <v>15.945776</v>
      </c>
      <c r="I18" s="290">
        <v>12</v>
      </c>
      <c r="J18" s="205">
        <f t="shared" si="0"/>
        <v>0.63571200000000005</v>
      </c>
      <c r="K18" s="290">
        <v>0</v>
      </c>
      <c r="L18" s="205">
        <f t="shared" si="12"/>
        <v>0</v>
      </c>
      <c r="M18" s="290">
        <v>60</v>
      </c>
      <c r="N18" s="205">
        <f t="shared" si="13"/>
        <v>3.1785600000000001</v>
      </c>
      <c r="O18" s="290">
        <v>0</v>
      </c>
      <c r="P18" s="205">
        <f t="shared" si="14"/>
        <v>0</v>
      </c>
      <c r="Q18" s="290">
        <v>30</v>
      </c>
      <c r="R18" s="205">
        <f t="shared" si="15"/>
        <v>1.58928</v>
      </c>
      <c r="S18" s="39">
        <f t="shared" si="10"/>
        <v>199</v>
      </c>
      <c r="T18" s="38">
        <f t="shared" si="4"/>
        <v>10.542224000000001</v>
      </c>
      <c r="U18" s="220">
        <v>0</v>
      </c>
      <c r="V18" s="13">
        <f t="shared" si="7"/>
        <v>0</v>
      </c>
      <c r="W18" s="294">
        <f t="shared" si="8"/>
        <v>199</v>
      </c>
      <c r="X18" s="295">
        <f t="shared" si="9"/>
        <v>10.542224000000001</v>
      </c>
      <c r="Y18" s="238">
        <v>100</v>
      </c>
      <c r="Z18" s="101">
        <v>300</v>
      </c>
    </row>
    <row r="19" spans="1:26" x14ac:dyDescent="0.25">
      <c r="A19" s="264">
        <v>15</v>
      </c>
      <c r="B19" s="256" t="s">
        <v>148</v>
      </c>
      <c r="C19" s="34">
        <v>77</v>
      </c>
      <c r="D19" s="35">
        <v>68</v>
      </c>
      <c r="E19" s="35">
        <v>8</v>
      </c>
      <c r="F19" s="19">
        <f t="shared" si="5"/>
        <v>4.1888000000000002E-2</v>
      </c>
      <c r="G19" s="286">
        <v>346</v>
      </c>
      <c r="H19" s="288">
        <f t="shared" si="6"/>
        <v>14.493248000000001</v>
      </c>
      <c r="I19" s="290">
        <v>5</v>
      </c>
      <c r="J19" s="205">
        <f t="shared" si="0"/>
        <v>0.20944000000000002</v>
      </c>
      <c r="K19" s="290">
        <v>0</v>
      </c>
      <c r="L19" s="205">
        <f t="shared" si="12"/>
        <v>0</v>
      </c>
      <c r="M19" s="290">
        <v>0</v>
      </c>
      <c r="N19" s="205">
        <f t="shared" si="13"/>
        <v>0</v>
      </c>
      <c r="O19" s="290">
        <v>0</v>
      </c>
      <c r="P19" s="205">
        <f t="shared" si="14"/>
        <v>0</v>
      </c>
      <c r="Q19" s="290">
        <v>13</v>
      </c>
      <c r="R19" s="205">
        <f t="shared" si="15"/>
        <v>0.54454400000000003</v>
      </c>
      <c r="S19" s="39">
        <f t="shared" si="10"/>
        <v>328</v>
      </c>
      <c r="T19" s="38">
        <f t="shared" si="4"/>
        <v>13.739264</v>
      </c>
      <c r="U19" s="220">
        <v>0</v>
      </c>
      <c r="V19" s="13">
        <f t="shared" si="7"/>
        <v>0</v>
      </c>
      <c r="W19" s="294">
        <f t="shared" si="8"/>
        <v>328</v>
      </c>
      <c r="X19" s="295">
        <f t="shared" si="9"/>
        <v>13.739264</v>
      </c>
      <c r="Y19" s="238">
        <v>100</v>
      </c>
      <c r="Z19" s="101">
        <v>300</v>
      </c>
    </row>
    <row r="20" spans="1:26" x14ac:dyDescent="0.25">
      <c r="A20" s="264">
        <v>16</v>
      </c>
      <c r="B20" s="256" t="s">
        <v>149</v>
      </c>
      <c r="C20" s="34">
        <v>76</v>
      </c>
      <c r="D20" s="35">
        <v>75</v>
      </c>
      <c r="E20" s="35">
        <v>8</v>
      </c>
      <c r="F20" s="19">
        <f t="shared" si="5"/>
        <v>4.5600000000000002E-2</v>
      </c>
      <c r="G20" s="286">
        <v>273</v>
      </c>
      <c r="H20" s="288">
        <f t="shared" si="6"/>
        <v>12.4488</v>
      </c>
      <c r="I20" s="290">
        <v>10</v>
      </c>
      <c r="J20" s="205">
        <f t="shared" si="0"/>
        <v>0.45600000000000002</v>
      </c>
      <c r="K20" s="290">
        <v>2</v>
      </c>
      <c r="L20" s="205">
        <f t="shared" si="12"/>
        <v>9.1200000000000003E-2</v>
      </c>
      <c r="M20" s="290">
        <v>0</v>
      </c>
      <c r="N20" s="205">
        <f t="shared" si="13"/>
        <v>0</v>
      </c>
      <c r="O20" s="290">
        <v>0</v>
      </c>
      <c r="P20" s="205">
        <f t="shared" si="14"/>
        <v>0</v>
      </c>
      <c r="Q20" s="290">
        <v>26</v>
      </c>
      <c r="R20" s="205">
        <f t="shared" si="15"/>
        <v>1.1856</v>
      </c>
      <c r="S20" s="39">
        <f t="shared" si="10"/>
        <v>235</v>
      </c>
      <c r="T20" s="38">
        <f t="shared" si="4"/>
        <v>10.716000000000001</v>
      </c>
      <c r="U20" s="220">
        <v>0</v>
      </c>
      <c r="V20" s="13">
        <f t="shared" si="7"/>
        <v>0</v>
      </c>
      <c r="W20" s="294">
        <f t="shared" si="8"/>
        <v>235</v>
      </c>
      <c r="X20" s="295">
        <f t="shared" si="9"/>
        <v>10.716000000000001</v>
      </c>
      <c r="Y20" s="238">
        <v>100</v>
      </c>
      <c r="Z20" s="101">
        <v>300</v>
      </c>
    </row>
    <row r="21" spans="1:26" x14ac:dyDescent="0.25">
      <c r="A21" s="264">
        <v>17</v>
      </c>
      <c r="B21" s="256" t="s">
        <v>150</v>
      </c>
      <c r="C21" s="34">
        <v>60</v>
      </c>
      <c r="D21" s="35">
        <v>63</v>
      </c>
      <c r="E21" s="35">
        <v>10</v>
      </c>
      <c r="F21" s="19">
        <f t="shared" si="5"/>
        <v>3.78E-2</v>
      </c>
      <c r="G21" s="286">
        <v>1432</v>
      </c>
      <c r="H21" s="288">
        <f t="shared" si="6"/>
        <v>54.129600000000003</v>
      </c>
      <c r="I21" s="290">
        <v>0</v>
      </c>
      <c r="J21" s="205">
        <f t="shared" si="0"/>
        <v>0</v>
      </c>
      <c r="K21" s="290">
        <v>0</v>
      </c>
      <c r="L21" s="205">
        <f t="shared" si="0"/>
        <v>0</v>
      </c>
      <c r="M21" s="290">
        <v>0</v>
      </c>
      <c r="N21" s="21">
        <v>0</v>
      </c>
      <c r="O21" s="290">
        <v>0</v>
      </c>
      <c r="P21" s="21">
        <v>0</v>
      </c>
      <c r="Q21" s="290">
        <v>0</v>
      </c>
      <c r="R21" s="21">
        <v>0</v>
      </c>
      <c r="S21" s="39">
        <f t="shared" si="10"/>
        <v>1432</v>
      </c>
      <c r="T21" s="38">
        <f t="shared" si="4"/>
        <v>54.129600000000003</v>
      </c>
      <c r="U21" s="220">
        <v>0</v>
      </c>
      <c r="V21" s="13">
        <f t="shared" si="7"/>
        <v>0</v>
      </c>
      <c r="W21" s="294">
        <f t="shared" si="8"/>
        <v>1432</v>
      </c>
      <c r="X21" s="295">
        <f t="shared" si="9"/>
        <v>54.129600000000003</v>
      </c>
      <c r="Y21" s="238">
        <v>50</v>
      </c>
      <c r="Z21" s="101">
        <v>200</v>
      </c>
    </row>
    <row r="22" spans="1:26" x14ac:dyDescent="0.25">
      <c r="A22" s="264">
        <v>18</v>
      </c>
      <c r="B22" s="256" t="s">
        <v>151</v>
      </c>
      <c r="C22" s="34">
        <v>63</v>
      </c>
      <c r="D22" s="35">
        <v>60</v>
      </c>
      <c r="E22" s="35">
        <v>3</v>
      </c>
      <c r="F22" s="19">
        <f t="shared" si="5"/>
        <v>1.1339999999999999E-2</v>
      </c>
      <c r="G22" s="286">
        <v>330</v>
      </c>
      <c r="H22" s="288">
        <f t="shared" si="6"/>
        <v>3.7422</v>
      </c>
      <c r="I22" s="290">
        <v>0</v>
      </c>
      <c r="J22" s="205">
        <f t="shared" si="0"/>
        <v>0</v>
      </c>
      <c r="K22" s="290">
        <v>0</v>
      </c>
      <c r="L22" s="205">
        <f t="shared" si="0"/>
        <v>0</v>
      </c>
      <c r="M22" s="290">
        <v>0</v>
      </c>
      <c r="N22" s="21">
        <v>0</v>
      </c>
      <c r="O22" s="290">
        <v>0</v>
      </c>
      <c r="P22" s="21">
        <v>0</v>
      </c>
      <c r="Q22" s="290">
        <v>0</v>
      </c>
      <c r="R22" s="21">
        <v>0</v>
      </c>
      <c r="S22" s="39">
        <f t="shared" si="10"/>
        <v>330</v>
      </c>
      <c r="T22" s="38">
        <f t="shared" si="4"/>
        <v>3.7422</v>
      </c>
      <c r="U22" s="220">
        <v>0</v>
      </c>
      <c r="V22" s="13">
        <f t="shared" si="7"/>
        <v>0</v>
      </c>
      <c r="W22" s="294">
        <f t="shared" si="8"/>
        <v>330</v>
      </c>
      <c r="X22" s="295">
        <f t="shared" si="9"/>
        <v>3.7422</v>
      </c>
      <c r="Y22" s="238">
        <v>50</v>
      </c>
      <c r="Z22" s="101">
        <v>200</v>
      </c>
    </row>
    <row r="23" spans="1:26" x14ac:dyDescent="0.25">
      <c r="A23" s="264">
        <v>19</v>
      </c>
      <c r="B23" s="42" t="s">
        <v>152</v>
      </c>
      <c r="C23" s="34">
        <v>140</v>
      </c>
      <c r="D23" s="35">
        <v>240</v>
      </c>
      <c r="E23" s="35">
        <v>1.4</v>
      </c>
      <c r="F23" s="19">
        <f t="shared" si="5"/>
        <v>4.7039999999999998E-2</v>
      </c>
      <c r="G23" s="286">
        <v>1267</v>
      </c>
      <c r="H23" s="288">
        <f t="shared" si="6"/>
        <v>59.599679999999999</v>
      </c>
      <c r="I23" s="290">
        <v>29</v>
      </c>
      <c r="J23" s="205">
        <f t="shared" si="0"/>
        <v>1.36416</v>
      </c>
      <c r="K23" s="290">
        <v>63</v>
      </c>
      <c r="L23" s="205">
        <f t="shared" ref="L23:L36" si="16">F23*K23</f>
        <v>2.9635199999999999</v>
      </c>
      <c r="M23" s="290">
        <v>27</v>
      </c>
      <c r="N23" s="205">
        <f t="shared" ref="N23:N36" si="17">F23*M23</f>
        <v>1.2700799999999999</v>
      </c>
      <c r="O23" s="290">
        <v>0</v>
      </c>
      <c r="P23" s="205">
        <f t="shared" ref="P23:P36" si="18">F23*O23</f>
        <v>0</v>
      </c>
      <c r="Q23" s="290">
        <v>38</v>
      </c>
      <c r="R23" s="205">
        <f t="shared" ref="R23:R37" si="19">F23*Q23</f>
        <v>1.78752</v>
      </c>
      <c r="S23" s="39">
        <f t="shared" si="10"/>
        <v>1110</v>
      </c>
      <c r="T23" s="38">
        <f t="shared" si="4"/>
        <v>52.214399999999998</v>
      </c>
      <c r="U23" s="220">
        <v>0</v>
      </c>
      <c r="V23" s="13">
        <f t="shared" si="7"/>
        <v>0</v>
      </c>
      <c r="W23" s="294">
        <f t="shared" si="8"/>
        <v>1110</v>
      </c>
      <c r="X23" s="295">
        <f t="shared" si="9"/>
        <v>52.214399999999998</v>
      </c>
      <c r="Y23" s="238">
        <v>200</v>
      </c>
      <c r="Z23" s="101">
        <v>500</v>
      </c>
    </row>
    <row r="24" spans="1:26" x14ac:dyDescent="0.25">
      <c r="A24" s="264">
        <v>20</v>
      </c>
      <c r="B24" s="256" t="s">
        <v>3</v>
      </c>
      <c r="C24" s="34">
        <v>140</v>
      </c>
      <c r="D24" s="35">
        <v>240</v>
      </c>
      <c r="E24" s="35">
        <v>0.8</v>
      </c>
      <c r="F24" s="19">
        <f t="shared" si="5"/>
        <v>2.6880000000000001E-2</v>
      </c>
      <c r="G24" s="286">
        <v>456</v>
      </c>
      <c r="H24" s="288">
        <f t="shared" si="6"/>
        <v>12.25728</v>
      </c>
      <c r="I24" s="290">
        <v>5</v>
      </c>
      <c r="J24" s="205">
        <f t="shared" si="0"/>
        <v>0.13440000000000002</v>
      </c>
      <c r="K24" s="290">
        <v>9</v>
      </c>
      <c r="L24" s="205">
        <f t="shared" si="16"/>
        <v>0.24192000000000002</v>
      </c>
      <c r="M24" s="290">
        <v>8</v>
      </c>
      <c r="N24" s="205">
        <f t="shared" si="17"/>
        <v>0.21504000000000001</v>
      </c>
      <c r="O24" s="290">
        <v>0</v>
      </c>
      <c r="P24" s="205">
        <f t="shared" si="18"/>
        <v>0</v>
      </c>
      <c r="Q24" s="290">
        <v>45</v>
      </c>
      <c r="R24" s="205">
        <f t="shared" si="19"/>
        <v>1.2096</v>
      </c>
      <c r="S24" s="39">
        <f t="shared" si="10"/>
        <v>389</v>
      </c>
      <c r="T24" s="38">
        <f t="shared" si="4"/>
        <v>10.45632</v>
      </c>
      <c r="U24" s="220">
        <v>0</v>
      </c>
      <c r="V24" s="13">
        <f t="shared" si="7"/>
        <v>0</v>
      </c>
      <c r="W24" s="294">
        <f t="shared" si="8"/>
        <v>389</v>
      </c>
      <c r="X24" s="295">
        <f t="shared" si="9"/>
        <v>10.45632</v>
      </c>
      <c r="Y24" s="238">
        <v>100</v>
      </c>
      <c r="Z24" s="101">
        <v>300</v>
      </c>
    </row>
    <row r="25" spans="1:26" x14ac:dyDescent="0.25">
      <c r="A25" s="264">
        <v>21</v>
      </c>
      <c r="B25" s="256" t="s">
        <v>153</v>
      </c>
      <c r="C25" s="34">
        <v>58</v>
      </c>
      <c r="D25" s="35">
        <v>58</v>
      </c>
      <c r="E25" s="35">
        <v>2.2999999999999998</v>
      </c>
      <c r="F25" s="19">
        <f t="shared" si="5"/>
        <v>7.7371999999999996E-3</v>
      </c>
      <c r="G25" s="286">
        <v>629</v>
      </c>
      <c r="H25" s="288">
        <f t="shared" si="6"/>
        <v>4.8666988</v>
      </c>
      <c r="I25" s="290">
        <v>190</v>
      </c>
      <c r="J25" s="205">
        <f t="shared" si="0"/>
        <v>1.4700679999999999</v>
      </c>
      <c r="K25" s="290">
        <v>0</v>
      </c>
      <c r="L25" s="205">
        <f t="shared" si="16"/>
        <v>0</v>
      </c>
      <c r="M25" s="290">
        <v>0</v>
      </c>
      <c r="N25" s="205">
        <f t="shared" si="17"/>
        <v>0</v>
      </c>
      <c r="O25" s="290">
        <v>0</v>
      </c>
      <c r="P25" s="205">
        <f t="shared" si="18"/>
        <v>0</v>
      </c>
      <c r="Q25" s="290">
        <v>0</v>
      </c>
      <c r="R25" s="205">
        <f t="shared" si="19"/>
        <v>0</v>
      </c>
      <c r="S25" s="39">
        <f t="shared" si="10"/>
        <v>439</v>
      </c>
      <c r="T25" s="38">
        <f t="shared" si="4"/>
        <v>3.3966307999999996</v>
      </c>
      <c r="U25" s="220">
        <v>0</v>
      </c>
      <c r="V25" s="13">
        <f t="shared" si="7"/>
        <v>0</v>
      </c>
      <c r="W25" s="294">
        <f t="shared" si="8"/>
        <v>439</v>
      </c>
      <c r="X25" s="295">
        <f t="shared" si="9"/>
        <v>3.3966307999999996</v>
      </c>
      <c r="Y25" s="238">
        <v>200</v>
      </c>
      <c r="Z25" s="101">
        <v>750</v>
      </c>
    </row>
    <row r="26" spans="1:26" x14ac:dyDescent="0.25">
      <c r="A26" s="264">
        <v>22</v>
      </c>
      <c r="B26" s="256" t="s">
        <v>154</v>
      </c>
      <c r="C26" s="34">
        <v>140</v>
      </c>
      <c r="D26" s="35">
        <v>240</v>
      </c>
      <c r="E26" s="35">
        <v>7</v>
      </c>
      <c r="F26" s="19">
        <f t="shared" si="5"/>
        <v>0.23519999999999999</v>
      </c>
      <c r="G26" s="286">
        <v>78</v>
      </c>
      <c r="H26" s="288">
        <f t="shared" si="6"/>
        <v>18.345600000000001</v>
      </c>
      <c r="I26" s="290">
        <v>15</v>
      </c>
      <c r="J26" s="205">
        <f t="shared" si="0"/>
        <v>3.528</v>
      </c>
      <c r="K26" s="290">
        <v>10</v>
      </c>
      <c r="L26" s="205">
        <f t="shared" si="16"/>
        <v>2.3519999999999999</v>
      </c>
      <c r="M26" s="290">
        <v>20</v>
      </c>
      <c r="N26" s="205">
        <f t="shared" si="17"/>
        <v>4.7039999999999997</v>
      </c>
      <c r="O26" s="290">
        <v>0</v>
      </c>
      <c r="P26" s="205">
        <f t="shared" si="18"/>
        <v>0</v>
      </c>
      <c r="Q26" s="290">
        <v>7</v>
      </c>
      <c r="R26" s="205">
        <f t="shared" si="19"/>
        <v>1.6463999999999999</v>
      </c>
      <c r="S26" s="39">
        <f t="shared" si="10"/>
        <v>26</v>
      </c>
      <c r="T26" s="38">
        <f t="shared" si="4"/>
        <v>6.1151999999999997</v>
      </c>
      <c r="U26" s="220">
        <v>0</v>
      </c>
      <c r="V26" s="13">
        <f t="shared" si="7"/>
        <v>0</v>
      </c>
      <c r="W26" s="294">
        <f t="shared" si="8"/>
        <v>26</v>
      </c>
      <c r="X26" s="295">
        <f t="shared" si="9"/>
        <v>6.1151999999999997</v>
      </c>
      <c r="Y26" s="238">
        <v>50</v>
      </c>
      <c r="Z26" s="101">
        <v>200</v>
      </c>
    </row>
    <row r="27" spans="1:26" ht="15.75" x14ac:dyDescent="0.25">
      <c r="A27" s="264">
        <v>23</v>
      </c>
      <c r="B27" s="256" t="s">
        <v>55</v>
      </c>
      <c r="C27" s="111">
        <v>50</v>
      </c>
      <c r="D27" s="112">
        <v>45</v>
      </c>
      <c r="E27" s="112">
        <v>4</v>
      </c>
      <c r="F27" s="19">
        <f t="shared" si="5"/>
        <v>8.9999999999999993E-3</v>
      </c>
      <c r="G27" s="286">
        <v>1984</v>
      </c>
      <c r="H27" s="288">
        <f t="shared" si="6"/>
        <v>17.855999999999998</v>
      </c>
      <c r="I27" s="290">
        <v>0</v>
      </c>
      <c r="J27" s="205">
        <f t="shared" si="0"/>
        <v>0</v>
      </c>
      <c r="K27" s="290">
        <v>0</v>
      </c>
      <c r="L27" s="205">
        <f t="shared" si="16"/>
        <v>0</v>
      </c>
      <c r="M27" s="290">
        <v>0</v>
      </c>
      <c r="N27" s="205">
        <f t="shared" si="17"/>
        <v>0</v>
      </c>
      <c r="O27" s="290">
        <v>0</v>
      </c>
      <c r="P27" s="205">
        <f t="shared" si="18"/>
        <v>0</v>
      </c>
      <c r="Q27" s="290">
        <v>0</v>
      </c>
      <c r="R27" s="205">
        <f t="shared" si="19"/>
        <v>0</v>
      </c>
      <c r="S27" s="39">
        <f t="shared" si="10"/>
        <v>1984</v>
      </c>
      <c r="T27" s="38">
        <f t="shared" si="4"/>
        <v>17.855999999999998</v>
      </c>
      <c r="U27" s="220">
        <v>0</v>
      </c>
      <c r="V27" s="13">
        <f t="shared" si="7"/>
        <v>0</v>
      </c>
      <c r="W27" s="294">
        <f t="shared" si="8"/>
        <v>1984</v>
      </c>
      <c r="X27" s="295">
        <f t="shared" si="9"/>
        <v>17.855999999999998</v>
      </c>
      <c r="Y27" s="238">
        <v>300</v>
      </c>
      <c r="Z27" s="101">
        <v>1000</v>
      </c>
    </row>
    <row r="28" spans="1:26" ht="15.75" x14ac:dyDescent="0.25">
      <c r="A28" s="264">
        <v>24</v>
      </c>
      <c r="B28" s="256" t="s">
        <v>56</v>
      </c>
      <c r="C28" s="111">
        <v>50</v>
      </c>
      <c r="D28" s="112">
        <v>35</v>
      </c>
      <c r="E28" s="112">
        <v>4</v>
      </c>
      <c r="F28" s="19">
        <f t="shared" si="5"/>
        <v>7.0000000000000001E-3</v>
      </c>
      <c r="G28" s="286">
        <v>948</v>
      </c>
      <c r="H28" s="288">
        <f t="shared" si="6"/>
        <v>6.6360000000000001</v>
      </c>
      <c r="I28" s="290">
        <v>0</v>
      </c>
      <c r="J28" s="205">
        <f t="shared" si="0"/>
        <v>0</v>
      </c>
      <c r="K28" s="290">
        <v>0</v>
      </c>
      <c r="L28" s="205">
        <f t="shared" si="16"/>
        <v>0</v>
      </c>
      <c r="M28" s="290">
        <v>0</v>
      </c>
      <c r="N28" s="205">
        <f t="shared" si="17"/>
        <v>0</v>
      </c>
      <c r="O28" s="290">
        <v>0</v>
      </c>
      <c r="P28" s="205">
        <f t="shared" si="18"/>
        <v>0</v>
      </c>
      <c r="Q28" s="290">
        <v>0</v>
      </c>
      <c r="R28" s="205">
        <f t="shared" si="19"/>
        <v>0</v>
      </c>
      <c r="S28" s="39">
        <f t="shared" si="10"/>
        <v>948</v>
      </c>
      <c r="T28" s="38">
        <f t="shared" si="4"/>
        <v>6.6360000000000001</v>
      </c>
      <c r="U28" s="220">
        <v>0</v>
      </c>
      <c r="V28" s="13">
        <f t="shared" si="7"/>
        <v>0</v>
      </c>
      <c r="W28" s="294">
        <f t="shared" si="8"/>
        <v>948</v>
      </c>
      <c r="X28" s="295">
        <f t="shared" si="9"/>
        <v>6.6360000000000001</v>
      </c>
      <c r="Y28" s="238">
        <v>300</v>
      </c>
      <c r="Z28" s="101">
        <v>1000</v>
      </c>
    </row>
    <row r="29" spans="1:26" ht="15.75" x14ac:dyDescent="0.25">
      <c r="A29" s="264">
        <v>25</v>
      </c>
      <c r="B29" s="256" t="s">
        <v>57</v>
      </c>
      <c r="C29" s="111">
        <v>45</v>
      </c>
      <c r="D29" s="112">
        <v>44</v>
      </c>
      <c r="E29" s="112">
        <v>3</v>
      </c>
      <c r="F29" s="19">
        <f t="shared" si="5"/>
        <v>5.94E-3</v>
      </c>
      <c r="G29" s="286">
        <v>2443</v>
      </c>
      <c r="H29" s="288">
        <f t="shared" si="6"/>
        <v>14.511419999999999</v>
      </c>
      <c r="I29" s="290">
        <v>0</v>
      </c>
      <c r="J29" s="205">
        <f t="shared" si="0"/>
        <v>0</v>
      </c>
      <c r="K29" s="290">
        <v>0</v>
      </c>
      <c r="L29" s="205">
        <f t="shared" si="16"/>
        <v>0</v>
      </c>
      <c r="M29" s="290">
        <v>0</v>
      </c>
      <c r="N29" s="205">
        <f t="shared" si="17"/>
        <v>0</v>
      </c>
      <c r="O29" s="290">
        <v>0</v>
      </c>
      <c r="P29" s="205">
        <f t="shared" si="18"/>
        <v>0</v>
      </c>
      <c r="Q29" s="290">
        <v>25</v>
      </c>
      <c r="R29" s="205">
        <f t="shared" si="19"/>
        <v>0.14849999999999999</v>
      </c>
      <c r="S29" s="39">
        <f t="shared" si="10"/>
        <v>2418</v>
      </c>
      <c r="T29" s="38">
        <f t="shared" si="4"/>
        <v>14.362920000000001</v>
      </c>
      <c r="U29" s="220">
        <v>0</v>
      </c>
      <c r="V29" s="13">
        <f t="shared" si="7"/>
        <v>0</v>
      </c>
      <c r="W29" s="294">
        <f t="shared" si="8"/>
        <v>2418</v>
      </c>
      <c r="X29" s="295">
        <f t="shared" si="9"/>
        <v>14.362920000000001</v>
      </c>
      <c r="Y29" s="238">
        <v>500</v>
      </c>
      <c r="Z29" s="101">
        <v>1500</v>
      </c>
    </row>
    <row r="30" spans="1:26" ht="15.75" x14ac:dyDescent="0.25">
      <c r="A30" s="264">
        <v>26</v>
      </c>
      <c r="B30" s="256" t="s">
        <v>58</v>
      </c>
      <c r="C30" s="111">
        <v>45</v>
      </c>
      <c r="D30" s="112">
        <v>35.5</v>
      </c>
      <c r="E30" s="112">
        <v>3</v>
      </c>
      <c r="F30" s="19">
        <f t="shared" si="5"/>
        <v>4.7924999999999999E-3</v>
      </c>
      <c r="G30" s="286">
        <v>2301</v>
      </c>
      <c r="H30" s="288">
        <f t="shared" si="6"/>
        <v>11.027542499999999</v>
      </c>
      <c r="I30" s="290">
        <v>0</v>
      </c>
      <c r="J30" s="205">
        <f t="shared" si="0"/>
        <v>0</v>
      </c>
      <c r="K30" s="290">
        <v>0</v>
      </c>
      <c r="L30" s="205">
        <f t="shared" si="16"/>
        <v>0</v>
      </c>
      <c r="M30" s="290">
        <v>0</v>
      </c>
      <c r="N30" s="205">
        <f t="shared" si="17"/>
        <v>0</v>
      </c>
      <c r="O30" s="290">
        <v>0</v>
      </c>
      <c r="P30" s="205">
        <f t="shared" si="18"/>
        <v>0</v>
      </c>
      <c r="Q30" s="290">
        <v>25</v>
      </c>
      <c r="R30" s="205">
        <f t="shared" si="19"/>
        <v>0.1198125</v>
      </c>
      <c r="S30" s="39">
        <f t="shared" si="10"/>
        <v>2276</v>
      </c>
      <c r="T30" s="38">
        <f t="shared" si="4"/>
        <v>10.907729999999999</v>
      </c>
      <c r="U30" s="220">
        <v>0</v>
      </c>
      <c r="V30" s="13">
        <f t="shared" si="7"/>
        <v>0</v>
      </c>
      <c r="W30" s="294">
        <f t="shared" si="8"/>
        <v>2276</v>
      </c>
      <c r="X30" s="295">
        <f t="shared" si="9"/>
        <v>10.907729999999999</v>
      </c>
      <c r="Y30" s="238">
        <v>500</v>
      </c>
      <c r="Z30" s="101">
        <v>1500</v>
      </c>
    </row>
    <row r="31" spans="1:26" x14ac:dyDescent="0.25">
      <c r="A31" s="264">
        <v>27</v>
      </c>
      <c r="B31" s="256" t="s">
        <v>155</v>
      </c>
      <c r="C31" s="34">
        <v>140</v>
      </c>
      <c r="D31" s="35">
        <v>9.5</v>
      </c>
      <c r="E31" s="35">
        <v>6.5</v>
      </c>
      <c r="F31" s="19">
        <f t="shared" si="5"/>
        <v>8.6449999999999999E-3</v>
      </c>
      <c r="G31" s="286">
        <v>2317</v>
      </c>
      <c r="H31" s="288">
        <f t="shared" si="6"/>
        <v>20.030465</v>
      </c>
      <c r="I31" s="290">
        <v>0</v>
      </c>
      <c r="J31" s="205">
        <f t="shared" si="0"/>
        <v>0</v>
      </c>
      <c r="K31" s="290">
        <v>0</v>
      </c>
      <c r="L31" s="205">
        <f t="shared" si="16"/>
        <v>0</v>
      </c>
      <c r="M31" s="290">
        <v>0</v>
      </c>
      <c r="N31" s="205">
        <f t="shared" si="17"/>
        <v>0</v>
      </c>
      <c r="O31" s="290">
        <v>0</v>
      </c>
      <c r="P31" s="205">
        <f t="shared" si="18"/>
        <v>0</v>
      </c>
      <c r="Q31" s="290">
        <v>0</v>
      </c>
      <c r="R31" s="205">
        <f t="shared" si="19"/>
        <v>0</v>
      </c>
      <c r="S31" s="39">
        <f t="shared" si="10"/>
        <v>2317</v>
      </c>
      <c r="T31" s="38">
        <f t="shared" si="4"/>
        <v>20.030465</v>
      </c>
      <c r="U31" s="220">
        <v>0</v>
      </c>
      <c r="V31" s="13">
        <f t="shared" si="7"/>
        <v>0</v>
      </c>
      <c r="W31" s="294">
        <f t="shared" si="8"/>
        <v>2317</v>
      </c>
      <c r="X31" s="295">
        <f t="shared" si="9"/>
        <v>20.030465</v>
      </c>
      <c r="Y31" s="238">
        <v>500</v>
      </c>
      <c r="Z31" s="101">
        <v>1500</v>
      </c>
    </row>
    <row r="32" spans="1:26" x14ac:dyDescent="0.25">
      <c r="A32" s="264">
        <v>28</v>
      </c>
      <c r="B32" s="256" t="s">
        <v>156</v>
      </c>
      <c r="C32" s="34">
        <v>140</v>
      </c>
      <c r="D32" s="35">
        <v>240</v>
      </c>
      <c r="E32" s="35">
        <v>1</v>
      </c>
      <c r="F32" s="19">
        <f t="shared" si="5"/>
        <v>3.3599999999999998E-2</v>
      </c>
      <c r="G32" s="286">
        <v>381</v>
      </c>
      <c r="H32" s="288">
        <f t="shared" si="6"/>
        <v>12.801599999999999</v>
      </c>
      <c r="I32" s="290">
        <v>117</v>
      </c>
      <c r="J32" s="205">
        <f t="shared" si="0"/>
        <v>3.9311999999999996</v>
      </c>
      <c r="K32" s="290">
        <v>121</v>
      </c>
      <c r="L32" s="205">
        <f t="shared" si="16"/>
        <v>4.0655999999999999</v>
      </c>
      <c r="M32" s="290">
        <v>237</v>
      </c>
      <c r="N32" s="205">
        <f t="shared" si="17"/>
        <v>7.9631999999999996</v>
      </c>
      <c r="O32" s="290">
        <v>0</v>
      </c>
      <c r="P32" s="205">
        <f t="shared" si="18"/>
        <v>0</v>
      </c>
      <c r="Q32" s="290">
        <v>142</v>
      </c>
      <c r="R32" s="205">
        <f>F32*Q32</f>
        <v>4.7711999999999994</v>
      </c>
      <c r="S32" s="39">
        <f t="shared" si="10"/>
        <v>-236</v>
      </c>
      <c r="T32" s="38">
        <f t="shared" si="4"/>
        <v>-7.9295999999999998</v>
      </c>
      <c r="U32" s="220">
        <v>1001</v>
      </c>
      <c r="V32" s="205">
        <f>F32*U32</f>
        <v>33.633600000000001</v>
      </c>
      <c r="W32" s="294">
        <f t="shared" si="8"/>
        <v>765</v>
      </c>
      <c r="X32" s="295">
        <f t="shared" si="9"/>
        <v>25.703999999999997</v>
      </c>
      <c r="Y32" s="238">
        <v>250</v>
      </c>
      <c r="Z32" s="101">
        <v>750</v>
      </c>
    </row>
    <row r="33" spans="1:26" x14ac:dyDescent="0.25">
      <c r="A33" s="264">
        <v>29</v>
      </c>
      <c r="B33" s="256" t="s">
        <v>157</v>
      </c>
      <c r="C33" s="34">
        <v>140</v>
      </c>
      <c r="D33" s="35">
        <v>240</v>
      </c>
      <c r="E33" s="35">
        <v>2</v>
      </c>
      <c r="F33" s="19">
        <f t="shared" si="5"/>
        <v>6.7199999999999996E-2</v>
      </c>
      <c r="G33" s="286">
        <v>164</v>
      </c>
      <c r="H33" s="288">
        <f t="shared" si="6"/>
        <v>11.020799999999999</v>
      </c>
      <c r="I33" s="290">
        <v>2</v>
      </c>
      <c r="J33" s="205">
        <f t="shared" si="0"/>
        <v>0.13439999999999999</v>
      </c>
      <c r="K33" s="290">
        <v>3</v>
      </c>
      <c r="L33" s="205">
        <f t="shared" si="16"/>
        <v>0.2016</v>
      </c>
      <c r="M33" s="290">
        <v>13</v>
      </c>
      <c r="N33" s="205">
        <f t="shared" si="17"/>
        <v>0.87359999999999993</v>
      </c>
      <c r="O33" s="290">
        <v>0</v>
      </c>
      <c r="P33" s="205">
        <f t="shared" si="18"/>
        <v>0</v>
      </c>
      <c r="Q33" s="290">
        <v>5</v>
      </c>
      <c r="R33" s="205">
        <f>F33*Q33</f>
        <v>0.33599999999999997</v>
      </c>
      <c r="S33" s="39">
        <f t="shared" si="10"/>
        <v>141</v>
      </c>
      <c r="T33" s="38">
        <f t="shared" si="4"/>
        <v>9.4751999999999992</v>
      </c>
      <c r="U33" s="220">
        <v>0</v>
      </c>
      <c r="V33" s="13">
        <f t="shared" si="7"/>
        <v>0</v>
      </c>
      <c r="W33" s="294">
        <f t="shared" si="8"/>
        <v>141</v>
      </c>
      <c r="X33" s="295">
        <f t="shared" si="9"/>
        <v>9.4751999999999992</v>
      </c>
      <c r="Y33" s="238">
        <v>75</v>
      </c>
      <c r="Z33" s="101">
        <v>150</v>
      </c>
    </row>
    <row r="34" spans="1:26" x14ac:dyDescent="0.25">
      <c r="A34" s="264">
        <v>30</v>
      </c>
      <c r="B34" s="256" t="s">
        <v>158</v>
      </c>
      <c r="C34" s="34">
        <v>140</v>
      </c>
      <c r="D34" s="35">
        <v>240</v>
      </c>
      <c r="E34" s="35">
        <v>3</v>
      </c>
      <c r="F34" s="19">
        <f t="shared" si="5"/>
        <v>0.1008</v>
      </c>
      <c r="G34" s="286">
        <v>26</v>
      </c>
      <c r="H34" s="288">
        <f t="shared" si="6"/>
        <v>2.6208</v>
      </c>
      <c r="I34" s="290">
        <v>25</v>
      </c>
      <c r="J34" s="205">
        <f>F34*I34</f>
        <v>2.52</v>
      </c>
      <c r="K34" s="290">
        <v>8</v>
      </c>
      <c r="L34" s="205">
        <f t="shared" si="16"/>
        <v>0.80640000000000001</v>
      </c>
      <c r="M34" s="290">
        <v>27</v>
      </c>
      <c r="N34" s="205">
        <f t="shared" si="17"/>
        <v>2.7216</v>
      </c>
      <c r="O34" s="290">
        <v>0</v>
      </c>
      <c r="P34" s="205">
        <f t="shared" si="18"/>
        <v>0</v>
      </c>
      <c r="Q34" s="290">
        <v>22</v>
      </c>
      <c r="R34" s="205">
        <f t="shared" si="19"/>
        <v>2.2176</v>
      </c>
      <c r="S34" s="39">
        <f t="shared" si="10"/>
        <v>-56</v>
      </c>
      <c r="T34" s="38">
        <f t="shared" si="4"/>
        <v>-5.6448</v>
      </c>
      <c r="U34" s="220">
        <v>214</v>
      </c>
      <c r="V34" s="13">
        <f t="shared" si="7"/>
        <v>21.571200000000001</v>
      </c>
      <c r="W34" s="294">
        <f t="shared" si="8"/>
        <v>158</v>
      </c>
      <c r="X34" s="295">
        <f t="shared" si="9"/>
        <v>15.926400000000001</v>
      </c>
      <c r="Y34" s="238">
        <v>75</v>
      </c>
      <c r="Z34" s="101">
        <v>150</v>
      </c>
    </row>
    <row r="35" spans="1:26" x14ac:dyDescent="0.25">
      <c r="A35" s="264">
        <v>31</v>
      </c>
      <c r="B35" s="256" t="s">
        <v>159</v>
      </c>
      <c r="C35" s="34">
        <v>140</v>
      </c>
      <c r="D35" s="35">
        <v>240</v>
      </c>
      <c r="E35" s="35">
        <v>4</v>
      </c>
      <c r="F35" s="19">
        <f t="shared" si="5"/>
        <v>0.13439999999999999</v>
      </c>
      <c r="G35" s="286">
        <v>86</v>
      </c>
      <c r="H35" s="288">
        <f t="shared" si="6"/>
        <v>11.558399999999999</v>
      </c>
      <c r="I35" s="290">
        <v>0</v>
      </c>
      <c r="J35" s="205">
        <f t="shared" si="0"/>
        <v>0</v>
      </c>
      <c r="K35" s="290">
        <v>3</v>
      </c>
      <c r="L35" s="205">
        <f t="shared" si="16"/>
        <v>0.4032</v>
      </c>
      <c r="M35" s="290">
        <v>2</v>
      </c>
      <c r="N35" s="205">
        <f t="shared" si="17"/>
        <v>0.26879999999999998</v>
      </c>
      <c r="O35" s="290">
        <v>0</v>
      </c>
      <c r="P35" s="205">
        <f t="shared" si="18"/>
        <v>0</v>
      </c>
      <c r="Q35" s="290">
        <v>4</v>
      </c>
      <c r="R35" s="205">
        <f t="shared" si="19"/>
        <v>0.53759999999999997</v>
      </c>
      <c r="S35" s="39">
        <f t="shared" si="10"/>
        <v>77</v>
      </c>
      <c r="T35" s="38">
        <f t="shared" si="4"/>
        <v>10.348799999999999</v>
      </c>
      <c r="U35" s="220">
        <v>0</v>
      </c>
      <c r="V35" s="13">
        <f t="shared" si="7"/>
        <v>0</v>
      </c>
      <c r="W35" s="294">
        <f t="shared" si="8"/>
        <v>77</v>
      </c>
      <c r="X35" s="295">
        <f t="shared" si="9"/>
        <v>10.348799999999999</v>
      </c>
      <c r="Y35" s="238">
        <v>50</v>
      </c>
      <c r="Z35" s="101">
        <v>100</v>
      </c>
    </row>
    <row r="36" spans="1:26" x14ac:dyDescent="0.25">
      <c r="A36" s="264">
        <v>32</v>
      </c>
      <c r="B36" s="256" t="s">
        <v>160</v>
      </c>
      <c r="C36" s="34">
        <v>140</v>
      </c>
      <c r="D36" s="35">
        <v>240</v>
      </c>
      <c r="E36" s="35">
        <v>2</v>
      </c>
      <c r="F36" s="19">
        <f t="shared" si="5"/>
        <v>6.7199999999999996E-2</v>
      </c>
      <c r="G36" s="286">
        <v>0</v>
      </c>
      <c r="H36" s="288">
        <f t="shared" si="6"/>
        <v>0</v>
      </c>
      <c r="I36" s="290">
        <v>73</v>
      </c>
      <c r="J36" s="205">
        <f>F36*I36</f>
        <v>4.9055999999999997</v>
      </c>
      <c r="K36" s="290">
        <v>0</v>
      </c>
      <c r="L36" s="205">
        <f t="shared" si="16"/>
        <v>0</v>
      </c>
      <c r="M36" s="290">
        <v>91</v>
      </c>
      <c r="N36" s="205">
        <f t="shared" si="17"/>
        <v>6.1151999999999997</v>
      </c>
      <c r="O36" s="290">
        <v>0</v>
      </c>
      <c r="P36" s="205">
        <f t="shared" si="18"/>
        <v>0</v>
      </c>
      <c r="Q36" s="290">
        <v>65</v>
      </c>
      <c r="R36" s="205">
        <f t="shared" si="19"/>
        <v>4.3679999999999994</v>
      </c>
      <c r="S36" s="39">
        <f t="shared" si="10"/>
        <v>-229</v>
      </c>
      <c r="T36" s="38">
        <f t="shared" si="4"/>
        <v>-15.3888</v>
      </c>
      <c r="U36" s="220">
        <v>1135</v>
      </c>
      <c r="V36" s="13">
        <f t="shared" si="7"/>
        <v>76.271999999999991</v>
      </c>
      <c r="W36" s="294">
        <f t="shared" si="8"/>
        <v>906</v>
      </c>
      <c r="X36" s="295">
        <f t="shared" si="9"/>
        <v>60.883199999999995</v>
      </c>
      <c r="Y36" s="238">
        <v>100</v>
      </c>
      <c r="Z36" s="101">
        <v>300</v>
      </c>
    </row>
    <row r="37" spans="1:26" x14ac:dyDescent="0.25">
      <c r="A37" s="264">
        <v>33</v>
      </c>
      <c r="B37" s="256" t="s">
        <v>161</v>
      </c>
      <c r="C37" s="34">
        <v>140</v>
      </c>
      <c r="D37" s="35">
        <v>240</v>
      </c>
      <c r="E37" s="35">
        <v>6</v>
      </c>
      <c r="F37" s="19">
        <f t="shared" si="5"/>
        <v>0.2016</v>
      </c>
      <c r="G37" s="286">
        <v>31</v>
      </c>
      <c r="H37" s="288">
        <f t="shared" si="6"/>
        <v>6.2496</v>
      </c>
      <c r="I37" s="290">
        <v>0</v>
      </c>
      <c r="J37" s="205">
        <f t="shared" si="0"/>
        <v>0</v>
      </c>
      <c r="K37" s="290">
        <v>0</v>
      </c>
      <c r="L37" s="205">
        <f>F37*K37</f>
        <v>0</v>
      </c>
      <c r="M37" s="290">
        <v>0</v>
      </c>
      <c r="N37" s="21">
        <v>0</v>
      </c>
      <c r="O37" s="290">
        <v>0</v>
      </c>
      <c r="P37" s="21">
        <v>0</v>
      </c>
      <c r="Q37" s="290">
        <v>4</v>
      </c>
      <c r="R37" s="205">
        <f t="shared" si="19"/>
        <v>0.80640000000000001</v>
      </c>
      <c r="S37" s="39">
        <f t="shared" si="10"/>
        <v>27</v>
      </c>
      <c r="T37" s="38">
        <f t="shared" si="4"/>
        <v>5.4432</v>
      </c>
      <c r="U37" s="220">
        <v>0</v>
      </c>
      <c r="V37" s="13">
        <f t="shared" si="7"/>
        <v>0</v>
      </c>
      <c r="W37" s="294">
        <f t="shared" si="8"/>
        <v>27</v>
      </c>
      <c r="X37" s="295">
        <f t="shared" si="9"/>
        <v>5.4432</v>
      </c>
      <c r="Y37" s="238">
        <v>10</v>
      </c>
      <c r="Z37" s="101">
        <v>30</v>
      </c>
    </row>
    <row r="38" spans="1:26" x14ac:dyDescent="0.25">
      <c r="A38" s="264">
        <v>34</v>
      </c>
      <c r="B38" s="256" t="s">
        <v>181</v>
      </c>
      <c r="C38" s="34">
        <v>80</v>
      </c>
      <c r="D38" s="35">
        <v>75</v>
      </c>
      <c r="E38" s="35">
        <v>5</v>
      </c>
      <c r="F38" s="19">
        <f t="shared" si="5"/>
        <v>0.03</v>
      </c>
      <c r="G38" s="286">
        <v>94</v>
      </c>
      <c r="H38" s="288">
        <f t="shared" si="6"/>
        <v>2.82</v>
      </c>
      <c r="I38" s="290">
        <v>0</v>
      </c>
      <c r="J38" s="205">
        <f t="shared" si="0"/>
        <v>0</v>
      </c>
      <c r="K38" s="290">
        <v>0</v>
      </c>
      <c r="L38" s="205">
        <f t="shared" si="0"/>
        <v>0</v>
      </c>
      <c r="M38" s="290">
        <v>0</v>
      </c>
      <c r="N38" s="21">
        <v>0</v>
      </c>
      <c r="O38" s="290">
        <v>0</v>
      </c>
      <c r="P38" s="21">
        <v>0</v>
      </c>
      <c r="Q38" s="290">
        <v>0</v>
      </c>
      <c r="R38" s="21">
        <v>0</v>
      </c>
      <c r="S38" s="39">
        <f t="shared" si="10"/>
        <v>94</v>
      </c>
      <c r="T38" s="38">
        <f t="shared" si="4"/>
        <v>2.82</v>
      </c>
      <c r="U38" s="220">
        <v>0</v>
      </c>
      <c r="V38" s="13">
        <f t="shared" si="7"/>
        <v>0</v>
      </c>
      <c r="W38" s="294">
        <f t="shared" si="8"/>
        <v>94</v>
      </c>
      <c r="X38" s="295">
        <f t="shared" si="9"/>
        <v>2.82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182</v>
      </c>
      <c r="C39" s="34">
        <v>100</v>
      </c>
      <c r="D39" s="35">
        <v>95</v>
      </c>
      <c r="E39" s="35">
        <v>5</v>
      </c>
      <c r="F39" s="19">
        <f t="shared" si="5"/>
        <v>4.7500000000000001E-2</v>
      </c>
      <c r="G39" s="286">
        <v>185</v>
      </c>
      <c r="H39" s="288">
        <f t="shared" si="6"/>
        <v>8.7874999999999996</v>
      </c>
      <c r="I39" s="290">
        <v>0</v>
      </c>
      <c r="J39" s="205">
        <f t="shared" si="0"/>
        <v>0</v>
      </c>
      <c r="K39" s="290">
        <v>0</v>
      </c>
      <c r="L39" s="205">
        <f>F39*K39</f>
        <v>0</v>
      </c>
      <c r="M39" s="290">
        <v>8</v>
      </c>
      <c r="N39" s="205">
        <f>F39*M39</f>
        <v>0.38</v>
      </c>
      <c r="O39" s="290">
        <v>0</v>
      </c>
      <c r="P39" s="205">
        <f>J39*O39</f>
        <v>0</v>
      </c>
      <c r="Q39" s="290">
        <v>0</v>
      </c>
      <c r="R39" s="205">
        <f>L39*Q39</f>
        <v>0</v>
      </c>
      <c r="S39" s="39">
        <f t="shared" si="10"/>
        <v>177</v>
      </c>
      <c r="T39" s="38">
        <f t="shared" si="4"/>
        <v>8.4075000000000006</v>
      </c>
      <c r="U39" s="220">
        <v>0</v>
      </c>
      <c r="V39" s="13">
        <f t="shared" si="7"/>
        <v>0</v>
      </c>
      <c r="W39" s="294">
        <f t="shared" si="8"/>
        <v>177</v>
      </c>
      <c r="X39" s="295">
        <f t="shared" si="9"/>
        <v>8.4075000000000006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196</v>
      </c>
      <c r="C40" s="34">
        <v>65</v>
      </c>
      <c r="D40" s="35">
        <v>60</v>
      </c>
      <c r="E40" s="35">
        <v>5</v>
      </c>
      <c r="F40" s="19">
        <f t="shared" si="5"/>
        <v>1.95E-2</v>
      </c>
      <c r="G40" s="286">
        <v>407</v>
      </c>
      <c r="H40" s="288">
        <f t="shared" si="6"/>
        <v>7.9364999999999997</v>
      </c>
      <c r="I40" s="290">
        <v>10</v>
      </c>
      <c r="J40" s="205">
        <f t="shared" si="0"/>
        <v>0.19500000000000001</v>
      </c>
      <c r="K40" s="290">
        <v>0</v>
      </c>
      <c r="L40" s="205">
        <f>F40*K40</f>
        <v>0</v>
      </c>
      <c r="M40" s="290">
        <v>0</v>
      </c>
      <c r="N40" s="205">
        <f>F40*M40</f>
        <v>0</v>
      </c>
      <c r="O40" s="290">
        <v>0</v>
      </c>
      <c r="P40" s="205">
        <f>F40*O40</f>
        <v>0</v>
      </c>
      <c r="Q40" s="290">
        <v>0</v>
      </c>
      <c r="R40" s="205">
        <f>F40*Q40</f>
        <v>0</v>
      </c>
      <c r="S40" s="39">
        <f t="shared" si="10"/>
        <v>397</v>
      </c>
      <c r="T40" s="38">
        <f t="shared" si="4"/>
        <v>7.7415000000000003</v>
      </c>
      <c r="U40" s="220">
        <v>0</v>
      </c>
      <c r="V40" s="13">
        <f t="shared" si="7"/>
        <v>0</v>
      </c>
      <c r="W40" s="294">
        <f t="shared" si="8"/>
        <v>397</v>
      </c>
      <c r="X40" s="295">
        <f t="shared" si="9"/>
        <v>7.7415000000000003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165</v>
      </c>
      <c r="C41" s="34">
        <v>140</v>
      </c>
      <c r="D41" s="35">
        <v>240</v>
      </c>
      <c r="E41" s="35">
        <v>10</v>
      </c>
      <c r="F41" s="19">
        <f t="shared" si="5"/>
        <v>0.33600000000000002</v>
      </c>
      <c r="G41" s="286">
        <v>67</v>
      </c>
      <c r="H41" s="288">
        <f t="shared" si="6"/>
        <v>22.512</v>
      </c>
      <c r="I41" s="290">
        <v>9</v>
      </c>
      <c r="J41" s="205">
        <f>F41*I41</f>
        <v>3.024</v>
      </c>
      <c r="K41" s="290">
        <v>15</v>
      </c>
      <c r="L41" s="205">
        <f>F41*K41</f>
        <v>5.04</v>
      </c>
      <c r="M41" s="290">
        <v>10</v>
      </c>
      <c r="N41" s="205">
        <f>F41*M41</f>
        <v>3.3600000000000003</v>
      </c>
      <c r="O41" s="290">
        <v>0</v>
      </c>
      <c r="P41" s="205">
        <f>F41*O41</f>
        <v>0</v>
      </c>
      <c r="Q41" s="290">
        <v>3</v>
      </c>
      <c r="R41" s="205">
        <f>F41*Q41</f>
        <v>1.008</v>
      </c>
      <c r="S41" s="39">
        <f t="shared" si="10"/>
        <v>30</v>
      </c>
      <c r="T41" s="38">
        <f t="shared" si="4"/>
        <v>10.08</v>
      </c>
      <c r="U41" s="220">
        <v>50</v>
      </c>
      <c r="V41" s="13">
        <f t="shared" si="7"/>
        <v>16.8</v>
      </c>
      <c r="W41" s="294">
        <f t="shared" si="8"/>
        <v>80</v>
      </c>
      <c r="X41" s="295">
        <f t="shared" si="9"/>
        <v>26.880000000000003</v>
      </c>
      <c r="Y41" s="238">
        <v>50</v>
      </c>
      <c r="Z41" s="101">
        <v>100</v>
      </c>
    </row>
    <row r="42" spans="1:26" x14ac:dyDescent="0.25">
      <c r="A42" s="264">
        <v>38</v>
      </c>
      <c r="B42" s="256" t="s">
        <v>166</v>
      </c>
      <c r="C42" s="34">
        <v>92</v>
      </c>
      <c r="D42" s="35">
        <v>82</v>
      </c>
      <c r="E42" s="35">
        <v>2</v>
      </c>
      <c r="F42" s="19">
        <f t="shared" si="5"/>
        <v>1.5088000000000001E-2</v>
      </c>
      <c r="G42" s="286">
        <v>85</v>
      </c>
      <c r="H42" s="288">
        <f t="shared" si="6"/>
        <v>1.2824800000000001</v>
      </c>
      <c r="I42" s="290">
        <v>85</v>
      </c>
      <c r="J42" s="205">
        <f t="shared" si="0"/>
        <v>1.2824800000000001</v>
      </c>
      <c r="K42" s="290">
        <v>0</v>
      </c>
      <c r="L42" s="205">
        <f>F42*K42</f>
        <v>0</v>
      </c>
      <c r="M42" s="290">
        <v>136</v>
      </c>
      <c r="N42" s="205">
        <f>F42*M42</f>
        <v>2.051968</v>
      </c>
      <c r="O42" s="290">
        <v>0</v>
      </c>
      <c r="P42" s="205">
        <f>F42*O42</f>
        <v>0</v>
      </c>
      <c r="Q42" s="290">
        <v>0</v>
      </c>
      <c r="R42" s="205">
        <f>F42*Q42</f>
        <v>0</v>
      </c>
      <c r="S42" s="39">
        <f t="shared" si="10"/>
        <v>-136</v>
      </c>
      <c r="T42" s="38">
        <f t="shared" si="4"/>
        <v>-2.051968</v>
      </c>
      <c r="U42" s="220">
        <v>548</v>
      </c>
      <c r="V42" s="13">
        <f t="shared" si="7"/>
        <v>8.268224</v>
      </c>
      <c r="W42" s="294">
        <f t="shared" si="8"/>
        <v>412</v>
      </c>
      <c r="X42" s="295">
        <f t="shared" si="9"/>
        <v>6.2162560000000004</v>
      </c>
      <c r="Y42" s="238">
        <v>100</v>
      </c>
      <c r="Z42" s="101">
        <v>300</v>
      </c>
    </row>
    <row r="43" spans="1:26" x14ac:dyDescent="0.25">
      <c r="A43" s="264">
        <v>39</v>
      </c>
      <c r="B43" s="256" t="s">
        <v>183</v>
      </c>
      <c r="C43" s="34">
        <v>90</v>
      </c>
      <c r="D43" s="35">
        <v>90</v>
      </c>
      <c r="E43" s="35">
        <v>3</v>
      </c>
      <c r="F43" s="19">
        <f t="shared" si="5"/>
        <v>2.4299999999999999E-2</v>
      </c>
      <c r="G43" s="286">
        <v>171</v>
      </c>
      <c r="H43" s="288">
        <f t="shared" si="6"/>
        <v>4.1552999999999995</v>
      </c>
      <c r="I43" s="290">
        <v>0</v>
      </c>
      <c r="J43" s="205">
        <f t="shared" si="0"/>
        <v>0</v>
      </c>
      <c r="K43" s="290">
        <v>0</v>
      </c>
      <c r="L43" s="205">
        <f t="shared" si="0"/>
        <v>0</v>
      </c>
      <c r="M43" s="290">
        <v>0</v>
      </c>
      <c r="N43" s="21">
        <v>0</v>
      </c>
      <c r="O43" s="290">
        <v>0</v>
      </c>
      <c r="P43" s="21">
        <v>0</v>
      </c>
      <c r="Q43" s="290">
        <v>0</v>
      </c>
      <c r="R43" s="21">
        <v>0</v>
      </c>
      <c r="S43" s="39">
        <f t="shared" si="10"/>
        <v>171</v>
      </c>
      <c r="T43" s="38">
        <f t="shared" si="4"/>
        <v>4.1552999999999995</v>
      </c>
      <c r="U43" s="220">
        <v>0</v>
      </c>
      <c r="V43" s="13">
        <f t="shared" si="7"/>
        <v>0</v>
      </c>
      <c r="W43" s="294">
        <f t="shared" si="8"/>
        <v>171</v>
      </c>
      <c r="X43" s="295">
        <f t="shared" si="9"/>
        <v>4.1552999999999995</v>
      </c>
      <c r="Y43" s="238">
        <v>0</v>
      </c>
      <c r="Z43" s="101">
        <v>0</v>
      </c>
    </row>
    <row r="44" spans="1:26" x14ac:dyDescent="0.25">
      <c r="A44" s="264">
        <v>40</v>
      </c>
      <c r="B44" s="256" t="s">
        <v>168</v>
      </c>
      <c r="C44" s="34">
        <v>140</v>
      </c>
      <c r="D44" s="35">
        <v>240</v>
      </c>
      <c r="E44" s="35">
        <v>3</v>
      </c>
      <c r="F44" s="19">
        <f t="shared" si="5"/>
        <v>0.1008</v>
      </c>
      <c r="G44" s="286">
        <v>0</v>
      </c>
      <c r="H44" s="288">
        <f t="shared" si="6"/>
        <v>0</v>
      </c>
      <c r="I44" s="290">
        <v>0</v>
      </c>
      <c r="J44" s="205">
        <f t="shared" si="0"/>
        <v>0</v>
      </c>
      <c r="K44" s="290">
        <v>0</v>
      </c>
      <c r="L44" s="205">
        <f t="shared" ref="L44:L52" si="20">F44*K44</f>
        <v>0</v>
      </c>
      <c r="M44" s="290">
        <v>0</v>
      </c>
      <c r="N44" s="205">
        <f t="shared" ref="N44:N65" si="21">F44*M44</f>
        <v>0</v>
      </c>
      <c r="O44" s="290">
        <v>0</v>
      </c>
      <c r="P44" s="205">
        <f t="shared" ref="P44:P65" si="22">F44*O44</f>
        <v>0</v>
      </c>
      <c r="Q44" s="290">
        <v>0</v>
      </c>
      <c r="R44" s="205">
        <f t="shared" ref="R44:R58" si="23">F44*Q44</f>
        <v>0</v>
      </c>
      <c r="S44" s="39">
        <f t="shared" si="10"/>
        <v>0</v>
      </c>
      <c r="T44" s="38">
        <f t="shared" si="4"/>
        <v>0</v>
      </c>
      <c r="U44" s="220">
        <v>0</v>
      </c>
      <c r="V44" s="13">
        <f t="shared" si="7"/>
        <v>0</v>
      </c>
      <c r="W44" s="294">
        <f t="shared" si="8"/>
        <v>0</v>
      </c>
      <c r="X44" s="295">
        <f t="shared" si="9"/>
        <v>0</v>
      </c>
      <c r="Y44" s="238">
        <v>0</v>
      </c>
      <c r="Z44" s="101">
        <v>0</v>
      </c>
    </row>
    <row r="45" spans="1:26" x14ac:dyDescent="0.25">
      <c r="A45" s="264">
        <v>41</v>
      </c>
      <c r="B45" s="256" t="s">
        <v>169</v>
      </c>
      <c r="C45" s="34">
        <v>82</v>
      </c>
      <c r="D45" s="34">
        <v>80</v>
      </c>
      <c r="E45" s="34">
        <v>2</v>
      </c>
      <c r="F45" s="19">
        <f t="shared" si="5"/>
        <v>1.312E-2</v>
      </c>
      <c r="G45" s="284">
        <v>455</v>
      </c>
      <c r="H45" s="288">
        <f t="shared" si="6"/>
        <v>5.9695999999999998</v>
      </c>
      <c r="I45" s="290">
        <v>72</v>
      </c>
      <c r="J45" s="205">
        <f t="shared" si="0"/>
        <v>0.94463999999999992</v>
      </c>
      <c r="K45" s="290">
        <v>49</v>
      </c>
      <c r="L45" s="205">
        <f t="shared" si="20"/>
        <v>0.64288000000000001</v>
      </c>
      <c r="M45" s="290">
        <v>220</v>
      </c>
      <c r="N45" s="205">
        <f t="shared" si="21"/>
        <v>2.8864000000000001</v>
      </c>
      <c r="O45" s="290">
        <v>0</v>
      </c>
      <c r="P45" s="205">
        <f t="shared" si="22"/>
        <v>0</v>
      </c>
      <c r="Q45" s="290">
        <v>114</v>
      </c>
      <c r="R45" s="205">
        <f t="shared" si="23"/>
        <v>1.4956799999999999</v>
      </c>
      <c r="S45" s="39">
        <f t="shared" si="10"/>
        <v>0</v>
      </c>
      <c r="T45" s="38">
        <f t="shared" si="4"/>
        <v>0</v>
      </c>
      <c r="U45" s="220">
        <v>0</v>
      </c>
      <c r="V45" s="13">
        <f t="shared" si="7"/>
        <v>0</v>
      </c>
      <c r="W45" s="294">
        <f t="shared" si="8"/>
        <v>0</v>
      </c>
      <c r="X45" s="295">
        <f t="shared" si="9"/>
        <v>0</v>
      </c>
      <c r="Y45" s="238">
        <v>100</v>
      </c>
      <c r="Z45" s="101">
        <v>300</v>
      </c>
    </row>
    <row r="46" spans="1:26" x14ac:dyDescent="0.25">
      <c r="A46" s="264">
        <v>42</v>
      </c>
      <c r="B46" s="256" t="s">
        <v>170</v>
      </c>
      <c r="C46" s="34">
        <v>90</v>
      </c>
      <c r="D46" s="34">
        <v>83</v>
      </c>
      <c r="E46" s="34">
        <v>2</v>
      </c>
      <c r="F46" s="19">
        <f t="shared" si="5"/>
        <v>1.494E-2</v>
      </c>
      <c r="G46" s="284">
        <v>96</v>
      </c>
      <c r="H46" s="288">
        <f t="shared" si="6"/>
        <v>1.43424</v>
      </c>
      <c r="I46" s="290">
        <v>0</v>
      </c>
      <c r="J46" s="205">
        <f t="shared" si="0"/>
        <v>0</v>
      </c>
      <c r="K46" s="290">
        <v>25</v>
      </c>
      <c r="L46" s="205">
        <f t="shared" si="20"/>
        <v>0.3735</v>
      </c>
      <c r="M46" s="290">
        <v>0</v>
      </c>
      <c r="N46" s="205">
        <f t="shared" si="21"/>
        <v>0</v>
      </c>
      <c r="O46" s="290">
        <v>0</v>
      </c>
      <c r="P46" s="205">
        <f t="shared" si="22"/>
        <v>0</v>
      </c>
      <c r="Q46" s="290">
        <v>100</v>
      </c>
      <c r="R46" s="205">
        <f t="shared" si="23"/>
        <v>1.494</v>
      </c>
      <c r="S46" s="39">
        <f t="shared" si="10"/>
        <v>-29</v>
      </c>
      <c r="T46" s="38">
        <f t="shared" si="4"/>
        <v>-0.43325999999999998</v>
      </c>
      <c r="U46" s="220">
        <v>133</v>
      </c>
      <c r="V46" s="13">
        <f t="shared" si="7"/>
        <v>1.98702</v>
      </c>
      <c r="W46" s="294">
        <f t="shared" si="8"/>
        <v>104</v>
      </c>
      <c r="X46" s="295">
        <f t="shared" si="9"/>
        <v>1.55376</v>
      </c>
      <c r="Y46" s="238">
        <v>100</v>
      </c>
      <c r="Z46" s="101">
        <v>300</v>
      </c>
    </row>
    <row r="47" spans="1:26" x14ac:dyDescent="0.25">
      <c r="A47" s="264">
        <v>43</v>
      </c>
      <c r="B47" s="256" t="s">
        <v>184</v>
      </c>
      <c r="C47" s="34">
        <v>112</v>
      </c>
      <c r="D47" s="34">
        <v>67</v>
      </c>
      <c r="E47" s="34">
        <v>3</v>
      </c>
      <c r="F47" s="19">
        <f t="shared" si="5"/>
        <v>2.2512000000000001E-2</v>
      </c>
      <c r="G47" s="284">
        <v>201</v>
      </c>
      <c r="H47" s="288">
        <f t="shared" si="6"/>
        <v>4.5249120000000005</v>
      </c>
      <c r="I47" s="290">
        <v>0</v>
      </c>
      <c r="J47" s="205">
        <f t="shared" si="0"/>
        <v>0</v>
      </c>
      <c r="K47" s="290">
        <v>0</v>
      </c>
      <c r="L47" s="205">
        <f t="shared" si="20"/>
        <v>0</v>
      </c>
      <c r="M47" s="290">
        <v>0</v>
      </c>
      <c r="N47" s="205">
        <f t="shared" si="21"/>
        <v>0</v>
      </c>
      <c r="O47" s="290">
        <v>0</v>
      </c>
      <c r="P47" s="205">
        <f t="shared" si="22"/>
        <v>0</v>
      </c>
      <c r="Q47" s="290">
        <v>0</v>
      </c>
      <c r="R47" s="205">
        <f t="shared" si="23"/>
        <v>0</v>
      </c>
      <c r="S47" s="39">
        <f t="shared" si="10"/>
        <v>201</v>
      </c>
      <c r="T47" s="38">
        <f t="shared" si="4"/>
        <v>4.5249120000000005</v>
      </c>
      <c r="U47" s="220">
        <v>0</v>
      </c>
      <c r="V47" s="13">
        <f t="shared" si="7"/>
        <v>0</v>
      </c>
      <c r="W47" s="294">
        <f t="shared" si="8"/>
        <v>201</v>
      </c>
      <c r="X47" s="295">
        <f t="shared" si="9"/>
        <v>4.5249120000000005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189</v>
      </c>
      <c r="C48" s="34">
        <v>70</v>
      </c>
      <c r="D48" s="34">
        <v>54</v>
      </c>
      <c r="E48" s="34">
        <v>7</v>
      </c>
      <c r="F48" s="19">
        <f t="shared" si="5"/>
        <v>2.6460000000000001E-2</v>
      </c>
      <c r="G48" s="284">
        <v>18</v>
      </c>
      <c r="H48" s="288">
        <f t="shared" si="6"/>
        <v>0.47628000000000004</v>
      </c>
      <c r="I48" s="290">
        <v>0</v>
      </c>
      <c r="J48" s="205">
        <f t="shared" si="0"/>
        <v>0</v>
      </c>
      <c r="K48" s="290">
        <v>0</v>
      </c>
      <c r="L48" s="205">
        <f t="shared" si="20"/>
        <v>0</v>
      </c>
      <c r="M48" s="290">
        <v>0</v>
      </c>
      <c r="N48" s="205">
        <f t="shared" si="21"/>
        <v>0</v>
      </c>
      <c r="O48" s="290">
        <v>0</v>
      </c>
      <c r="P48" s="205">
        <f t="shared" si="22"/>
        <v>0</v>
      </c>
      <c r="Q48" s="290">
        <v>0</v>
      </c>
      <c r="R48" s="205">
        <f t="shared" si="23"/>
        <v>0</v>
      </c>
      <c r="S48" s="39">
        <f t="shared" si="10"/>
        <v>18</v>
      </c>
      <c r="T48" s="38">
        <f t="shared" si="4"/>
        <v>0.47628000000000004</v>
      </c>
      <c r="U48" s="220">
        <v>0</v>
      </c>
      <c r="V48" s="13">
        <f t="shared" si="7"/>
        <v>0</v>
      </c>
      <c r="W48" s="294">
        <f t="shared" si="8"/>
        <v>18</v>
      </c>
      <c r="X48" s="295">
        <f t="shared" si="9"/>
        <v>0.47628000000000004</v>
      </c>
      <c r="Y48" s="238">
        <v>0</v>
      </c>
      <c r="Z48" s="101">
        <v>0</v>
      </c>
    </row>
    <row r="49" spans="1:26" x14ac:dyDescent="0.25">
      <c r="A49" s="264">
        <v>45</v>
      </c>
      <c r="B49" s="256" t="s">
        <v>174</v>
      </c>
      <c r="C49" s="34">
        <v>140</v>
      </c>
      <c r="D49" s="34">
        <v>240</v>
      </c>
      <c r="E49" s="34">
        <v>14</v>
      </c>
      <c r="F49" s="19">
        <f t="shared" si="5"/>
        <v>0.47039999999999998</v>
      </c>
      <c r="G49" s="284">
        <v>3</v>
      </c>
      <c r="H49" s="288">
        <f t="shared" si="6"/>
        <v>1.4112</v>
      </c>
      <c r="I49" s="290">
        <v>0</v>
      </c>
      <c r="J49" s="205">
        <f t="shared" si="0"/>
        <v>0</v>
      </c>
      <c r="K49" s="290">
        <v>0</v>
      </c>
      <c r="L49" s="205">
        <f t="shared" si="20"/>
        <v>0</v>
      </c>
      <c r="M49" s="290">
        <v>0</v>
      </c>
      <c r="N49" s="205">
        <f t="shared" si="21"/>
        <v>0</v>
      </c>
      <c r="O49" s="290">
        <v>0</v>
      </c>
      <c r="P49" s="205">
        <f t="shared" si="22"/>
        <v>0</v>
      </c>
      <c r="Q49" s="290">
        <v>0</v>
      </c>
      <c r="R49" s="205">
        <f t="shared" si="23"/>
        <v>0</v>
      </c>
      <c r="S49" s="39">
        <f t="shared" si="10"/>
        <v>3</v>
      </c>
      <c r="T49" s="38">
        <f t="shared" si="4"/>
        <v>1.4112</v>
      </c>
      <c r="U49" s="220">
        <v>0</v>
      </c>
      <c r="V49" s="13">
        <f t="shared" si="7"/>
        <v>0</v>
      </c>
      <c r="W49" s="294">
        <f t="shared" si="8"/>
        <v>3</v>
      </c>
      <c r="X49" s="295">
        <f t="shared" si="9"/>
        <v>1.4112</v>
      </c>
      <c r="Y49" s="238">
        <v>10</v>
      </c>
      <c r="Z49" s="101">
        <v>20</v>
      </c>
    </row>
    <row r="50" spans="1:26" x14ac:dyDescent="0.25">
      <c r="A50" s="264">
        <v>46</v>
      </c>
      <c r="B50" s="256" t="s">
        <v>175</v>
      </c>
      <c r="C50" s="34">
        <v>140</v>
      </c>
      <c r="D50" s="34">
        <v>240</v>
      </c>
      <c r="E50" s="34">
        <v>12</v>
      </c>
      <c r="F50" s="19">
        <f t="shared" si="5"/>
        <v>0.4032</v>
      </c>
      <c r="G50" s="284">
        <v>4</v>
      </c>
      <c r="H50" s="288">
        <f t="shared" si="6"/>
        <v>1.6128</v>
      </c>
      <c r="I50" s="290">
        <v>0</v>
      </c>
      <c r="J50" s="205">
        <f t="shared" si="0"/>
        <v>0</v>
      </c>
      <c r="K50" s="290">
        <v>0</v>
      </c>
      <c r="L50" s="205">
        <f t="shared" si="20"/>
        <v>0</v>
      </c>
      <c r="M50" s="290">
        <v>0</v>
      </c>
      <c r="N50" s="205">
        <f t="shared" si="21"/>
        <v>0</v>
      </c>
      <c r="O50" s="290">
        <v>0</v>
      </c>
      <c r="P50" s="205">
        <f t="shared" si="22"/>
        <v>0</v>
      </c>
      <c r="Q50" s="290">
        <v>0</v>
      </c>
      <c r="R50" s="205">
        <f t="shared" si="23"/>
        <v>0</v>
      </c>
      <c r="S50" s="39">
        <f t="shared" si="10"/>
        <v>4</v>
      </c>
      <c r="T50" s="38">
        <f t="shared" si="4"/>
        <v>1.6128</v>
      </c>
      <c r="U50" s="220">
        <v>0</v>
      </c>
      <c r="V50" s="13">
        <f t="shared" si="7"/>
        <v>0</v>
      </c>
      <c r="W50" s="294">
        <f t="shared" si="8"/>
        <v>4</v>
      </c>
      <c r="X50" s="295">
        <f t="shared" si="9"/>
        <v>1.6128</v>
      </c>
      <c r="Y50" s="238">
        <v>10</v>
      </c>
      <c r="Z50" s="101">
        <v>20</v>
      </c>
    </row>
    <row r="51" spans="1:26" x14ac:dyDescent="0.25">
      <c r="A51" s="264">
        <v>47</v>
      </c>
      <c r="B51" s="256" t="s">
        <v>176</v>
      </c>
      <c r="C51" s="34">
        <v>130</v>
      </c>
      <c r="D51" s="34">
        <v>60</v>
      </c>
      <c r="E51" s="34">
        <v>5</v>
      </c>
      <c r="F51" s="19">
        <f t="shared" si="5"/>
        <v>3.9E-2</v>
      </c>
      <c r="G51" s="284">
        <v>90</v>
      </c>
      <c r="H51" s="288">
        <f t="shared" si="6"/>
        <v>3.51</v>
      </c>
      <c r="I51" s="290">
        <v>0</v>
      </c>
      <c r="J51" s="205">
        <f t="shared" si="0"/>
        <v>0</v>
      </c>
      <c r="K51" s="290">
        <v>0</v>
      </c>
      <c r="L51" s="205">
        <f t="shared" si="20"/>
        <v>0</v>
      </c>
      <c r="M51" s="290">
        <v>0</v>
      </c>
      <c r="N51" s="205">
        <f t="shared" si="21"/>
        <v>0</v>
      </c>
      <c r="O51" s="290">
        <v>0</v>
      </c>
      <c r="P51" s="205">
        <f t="shared" si="22"/>
        <v>0</v>
      </c>
      <c r="Q51" s="290">
        <v>0</v>
      </c>
      <c r="R51" s="205">
        <f t="shared" si="23"/>
        <v>0</v>
      </c>
      <c r="S51" s="39">
        <f t="shared" si="10"/>
        <v>90</v>
      </c>
      <c r="T51" s="38">
        <f t="shared" si="4"/>
        <v>3.51</v>
      </c>
      <c r="U51" s="220">
        <v>0</v>
      </c>
      <c r="V51" s="13">
        <f t="shared" si="7"/>
        <v>0</v>
      </c>
      <c r="W51" s="294">
        <f t="shared" si="8"/>
        <v>90</v>
      </c>
      <c r="X51" s="295">
        <f t="shared" si="9"/>
        <v>3.51</v>
      </c>
      <c r="Y51" s="238">
        <v>30</v>
      </c>
      <c r="Z51" s="101">
        <v>100</v>
      </c>
    </row>
    <row r="52" spans="1:26" x14ac:dyDescent="0.25">
      <c r="A52" s="264">
        <v>48</v>
      </c>
      <c r="B52" s="256" t="s">
        <v>178</v>
      </c>
      <c r="C52" s="34">
        <v>140</v>
      </c>
      <c r="D52" s="34">
        <v>240</v>
      </c>
      <c r="E52" s="34">
        <v>3</v>
      </c>
      <c r="F52" s="19">
        <f t="shared" si="5"/>
        <v>0.1008</v>
      </c>
      <c r="G52" s="284">
        <v>1183</v>
      </c>
      <c r="H52" s="288">
        <f t="shared" si="6"/>
        <v>119.24639999999999</v>
      </c>
      <c r="I52" s="290">
        <v>3</v>
      </c>
      <c r="J52" s="205">
        <f t="shared" si="0"/>
        <v>0.3024</v>
      </c>
      <c r="K52" s="290">
        <v>2</v>
      </c>
      <c r="L52" s="205">
        <f t="shared" si="20"/>
        <v>0.2016</v>
      </c>
      <c r="M52" s="290">
        <v>9</v>
      </c>
      <c r="N52" s="205">
        <f t="shared" si="21"/>
        <v>0.90720000000000001</v>
      </c>
      <c r="O52" s="290">
        <v>0</v>
      </c>
      <c r="P52" s="205">
        <f t="shared" si="22"/>
        <v>0</v>
      </c>
      <c r="Q52" s="290">
        <v>3</v>
      </c>
      <c r="R52" s="205">
        <f t="shared" si="23"/>
        <v>0.3024</v>
      </c>
      <c r="S52" s="39">
        <f t="shared" si="10"/>
        <v>1166</v>
      </c>
      <c r="T52" s="38">
        <f t="shared" si="4"/>
        <v>117.53279999999999</v>
      </c>
      <c r="U52" s="220">
        <v>0</v>
      </c>
      <c r="V52" s="13">
        <f t="shared" si="7"/>
        <v>0</v>
      </c>
      <c r="W52" s="294">
        <f t="shared" si="8"/>
        <v>1166</v>
      </c>
      <c r="X52" s="295">
        <f t="shared" si="9"/>
        <v>117.53279999999999</v>
      </c>
      <c r="Y52" s="238">
        <v>100</v>
      </c>
      <c r="Z52" s="101">
        <v>300</v>
      </c>
    </row>
    <row r="53" spans="1:26" x14ac:dyDescent="0.25">
      <c r="A53" s="264">
        <v>49</v>
      </c>
      <c r="B53" s="256" t="s">
        <v>185</v>
      </c>
      <c r="C53" s="34">
        <v>140</v>
      </c>
      <c r="D53" s="34">
        <v>240</v>
      </c>
      <c r="E53" s="34">
        <v>1</v>
      </c>
      <c r="F53" s="19">
        <f t="shared" si="5"/>
        <v>3.3599999999999998E-2</v>
      </c>
      <c r="G53" s="284">
        <v>287</v>
      </c>
      <c r="H53" s="288">
        <f t="shared" si="6"/>
        <v>9.6432000000000002</v>
      </c>
      <c r="I53" s="290">
        <v>0</v>
      </c>
      <c r="J53" s="205">
        <f t="shared" si="0"/>
        <v>0</v>
      </c>
      <c r="K53" s="290">
        <v>4</v>
      </c>
      <c r="L53" s="205">
        <f>F53*K53</f>
        <v>0.13439999999999999</v>
      </c>
      <c r="M53" s="290">
        <v>0</v>
      </c>
      <c r="N53" s="205">
        <f t="shared" si="21"/>
        <v>0</v>
      </c>
      <c r="O53" s="290">
        <v>0</v>
      </c>
      <c r="P53" s="205">
        <f t="shared" si="22"/>
        <v>0</v>
      </c>
      <c r="Q53" s="290">
        <v>0</v>
      </c>
      <c r="R53" s="205">
        <f t="shared" si="23"/>
        <v>0</v>
      </c>
      <c r="S53" s="39">
        <f t="shared" si="10"/>
        <v>283</v>
      </c>
      <c r="T53" s="38">
        <f t="shared" si="4"/>
        <v>9.508799999999999</v>
      </c>
      <c r="U53" s="220">
        <v>0</v>
      </c>
      <c r="V53" s="13">
        <f t="shared" si="7"/>
        <v>0</v>
      </c>
      <c r="W53" s="294">
        <f t="shared" si="8"/>
        <v>283</v>
      </c>
      <c r="X53" s="295">
        <f t="shared" si="9"/>
        <v>9.508799999999999</v>
      </c>
      <c r="Y53" s="238">
        <v>50</v>
      </c>
      <c r="Z53" s="101">
        <v>0</v>
      </c>
    </row>
    <row r="54" spans="1:26" x14ac:dyDescent="0.25">
      <c r="A54" s="264">
        <v>50</v>
      </c>
      <c r="B54" s="256" t="s">
        <v>186</v>
      </c>
      <c r="C54" s="34">
        <v>140</v>
      </c>
      <c r="D54" s="34">
        <v>240</v>
      </c>
      <c r="E54" s="34">
        <v>3</v>
      </c>
      <c r="F54" s="19">
        <f t="shared" si="5"/>
        <v>0.1008</v>
      </c>
      <c r="G54" s="284">
        <v>132</v>
      </c>
      <c r="H54" s="288">
        <f t="shared" si="6"/>
        <v>13.3056</v>
      </c>
      <c r="I54" s="290">
        <v>1</v>
      </c>
      <c r="J54" s="205">
        <f t="shared" si="0"/>
        <v>0.1008</v>
      </c>
      <c r="K54" s="290">
        <v>3</v>
      </c>
      <c r="L54" s="205">
        <f>F54*K54</f>
        <v>0.3024</v>
      </c>
      <c r="M54" s="290">
        <v>11</v>
      </c>
      <c r="N54" s="205">
        <f t="shared" si="21"/>
        <v>1.1088</v>
      </c>
      <c r="O54" s="290">
        <v>0</v>
      </c>
      <c r="P54" s="205">
        <f t="shared" si="22"/>
        <v>0</v>
      </c>
      <c r="Q54" s="290">
        <v>4</v>
      </c>
      <c r="R54" s="205">
        <f t="shared" si="23"/>
        <v>0.4032</v>
      </c>
      <c r="S54" s="39">
        <f t="shared" si="10"/>
        <v>113</v>
      </c>
      <c r="T54" s="38">
        <f t="shared" si="4"/>
        <v>11.3904</v>
      </c>
      <c r="U54" s="220">
        <v>0</v>
      </c>
      <c r="V54" s="13">
        <f t="shared" si="7"/>
        <v>0</v>
      </c>
      <c r="W54" s="294">
        <f t="shared" si="8"/>
        <v>113</v>
      </c>
      <c r="X54" s="295">
        <f t="shared" si="9"/>
        <v>11.3904</v>
      </c>
      <c r="Y54" s="238">
        <v>50</v>
      </c>
      <c r="Z54" s="101">
        <v>0</v>
      </c>
    </row>
    <row r="55" spans="1:26" x14ac:dyDescent="0.25">
      <c r="A55" s="277">
        <v>51</v>
      </c>
      <c r="B55" s="283" t="s">
        <v>187</v>
      </c>
      <c r="C55" s="264">
        <v>140</v>
      </c>
      <c r="D55" s="264">
        <v>240</v>
      </c>
      <c r="E55" s="264">
        <v>5</v>
      </c>
      <c r="F55" s="19">
        <f t="shared" si="5"/>
        <v>0.16800000000000001</v>
      </c>
      <c r="G55" s="296">
        <v>150</v>
      </c>
      <c r="H55" s="299">
        <f t="shared" si="6"/>
        <v>25.200000000000003</v>
      </c>
      <c r="I55" s="290">
        <v>0</v>
      </c>
      <c r="J55" s="205">
        <f t="shared" si="0"/>
        <v>0</v>
      </c>
      <c r="K55" s="290">
        <v>0</v>
      </c>
      <c r="L55" s="205">
        <f t="shared" si="0"/>
        <v>0</v>
      </c>
      <c r="M55" s="290">
        <v>0</v>
      </c>
      <c r="N55" s="205">
        <f t="shared" si="21"/>
        <v>0</v>
      </c>
      <c r="O55" s="290">
        <v>0</v>
      </c>
      <c r="P55" s="205">
        <f t="shared" si="22"/>
        <v>0</v>
      </c>
      <c r="Q55" s="290">
        <v>0</v>
      </c>
      <c r="R55" s="205">
        <f t="shared" si="23"/>
        <v>0</v>
      </c>
      <c r="S55" s="39">
        <f t="shared" si="10"/>
        <v>150</v>
      </c>
      <c r="T55" s="101"/>
      <c r="U55" s="220">
        <v>0</v>
      </c>
      <c r="V55" s="13">
        <f t="shared" si="7"/>
        <v>0</v>
      </c>
      <c r="W55" s="294">
        <f t="shared" si="8"/>
        <v>150</v>
      </c>
      <c r="X55" s="295">
        <f t="shared" si="9"/>
        <v>25.200000000000003</v>
      </c>
      <c r="Y55" s="101">
        <v>30</v>
      </c>
      <c r="Z55" s="101"/>
    </row>
    <row r="56" spans="1:26" x14ac:dyDescent="0.25">
      <c r="A56" s="277">
        <v>52</v>
      </c>
      <c r="B56" s="283" t="s">
        <v>188</v>
      </c>
      <c r="C56" s="264">
        <v>140</v>
      </c>
      <c r="D56" s="264">
        <v>240</v>
      </c>
      <c r="E56" s="264">
        <v>10</v>
      </c>
      <c r="F56" s="19">
        <f t="shared" si="5"/>
        <v>0.33600000000000002</v>
      </c>
      <c r="G56" s="296">
        <v>9</v>
      </c>
      <c r="H56" s="299">
        <f t="shared" si="6"/>
        <v>3.024</v>
      </c>
      <c r="I56" s="290">
        <v>0</v>
      </c>
      <c r="J56" s="205">
        <f t="shared" ref="J56:J65" si="24">F56*I56</f>
        <v>0</v>
      </c>
      <c r="K56" s="290">
        <v>0</v>
      </c>
      <c r="L56" s="205">
        <f>F56*K56</f>
        <v>0</v>
      </c>
      <c r="M56" s="290">
        <v>0</v>
      </c>
      <c r="N56" s="205">
        <f t="shared" si="21"/>
        <v>0</v>
      </c>
      <c r="O56" s="290">
        <v>0</v>
      </c>
      <c r="P56" s="205">
        <f t="shared" si="22"/>
        <v>0</v>
      </c>
      <c r="Q56" s="290">
        <v>0</v>
      </c>
      <c r="R56" s="205">
        <f t="shared" si="23"/>
        <v>0</v>
      </c>
      <c r="S56" s="39">
        <f t="shared" si="10"/>
        <v>9</v>
      </c>
      <c r="T56" s="101"/>
      <c r="U56" s="220">
        <v>0</v>
      </c>
      <c r="V56" s="13">
        <f t="shared" si="7"/>
        <v>0</v>
      </c>
      <c r="W56" s="294">
        <f t="shared" si="8"/>
        <v>9</v>
      </c>
      <c r="X56" s="295">
        <f t="shared" si="9"/>
        <v>3.024</v>
      </c>
      <c r="Y56" s="101">
        <v>20</v>
      </c>
      <c r="Z56" s="101"/>
    </row>
    <row r="57" spans="1:26" x14ac:dyDescent="0.25">
      <c r="A57" s="264">
        <v>53</v>
      </c>
      <c r="B57" s="101" t="s">
        <v>201</v>
      </c>
      <c r="C57" s="264">
        <v>52</v>
      </c>
      <c r="D57" s="264">
        <v>52</v>
      </c>
      <c r="E57" s="264">
        <v>5</v>
      </c>
      <c r="F57" s="19">
        <f t="shared" si="5"/>
        <v>1.3520000000000001E-2</v>
      </c>
      <c r="G57" s="296">
        <v>0</v>
      </c>
      <c r="H57" s="299">
        <f t="shared" si="6"/>
        <v>0</v>
      </c>
      <c r="I57" s="290">
        <v>0</v>
      </c>
      <c r="J57" s="205">
        <f t="shared" si="24"/>
        <v>0</v>
      </c>
      <c r="K57" s="290">
        <v>0</v>
      </c>
      <c r="L57" s="205">
        <f t="shared" ref="L57:L65" si="25">F57*K57</f>
        <v>0</v>
      </c>
      <c r="M57" s="290">
        <v>0</v>
      </c>
      <c r="N57" s="205">
        <f t="shared" si="21"/>
        <v>0</v>
      </c>
      <c r="O57" s="290">
        <v>0</v>
      </c>
      <c r="P57" s="205">
        <f t="shared" si="22"/>
        <v>0</v>
      </c>
      <c r="Q57" s="290">
        <v>0</v>
      </c>
      <c r="R57" s="205">
        <f t="shared" si="23"/>
        <v>0</v>
      </c>
      <c r="S57" s="39">
        <f t="shared" si="10"/>
        <v>0</v>
      </c>
      <c r="T57" s="101"/>
      <c r="U57" s="220">
        <v>575</v>
      </c>
      <c r="V57" s="13">
        <f t="shared" si="7"/>
        <v>7.774</v>
      </c>
      <c r="W57" s="294">
        <f t="shared" si="8"/>
        <v>575</v>
      </c>
      <c r="X57" s="295">
        <f t="shared" si="9"/>
        <v>7.774</v>
      </c>
      <c r="Y57" s="101"/>
      <c r="Z57" s="101"/>
    </row>
    <row r="58" spans="1:26" x14ac:dyDescent="0.25">
      <c r="A58" s="264">
        <v>54</v>
      </c>
      <c r="B58" s="101" t="s">
        <v>193</v>
      </c>
      <c r="C58" s="264">
        <v>80</v>
      </c>
      <c r="D58" s="264">
        <v>75</v>
      </c>
      <c r="E58" s="264">
        <v>5</v>
      </c>
      <c r="F58" s="19">
        <f t="shared" si="5"/>
        <v>0.03</v>
      </c>
      <c r="G58" s="264">
        <v>117</v>
      </c>
      <c r="H58" s="299">
        <f t="shared" si="6"/>
        <v>3.51</v>
      </c>
      <c r="I58" s="290">
        <v>0</v>
      </c>
      <c r="J58" s="205">
        <f t="shared" si="24"/>
        <v>0</v>
      </c>
      <c r="K58" s="290">
        <v>0</v>
      </c>
      <c r="L58" s="205">
        <f t="shared" si="25"/>
        <v>0</v>
      </c>
      <c r="M58" s="290">
        <v>0</v>
      </c>
      <c r="N58" s="205">
        <f t="shared" si="21"/>
        <v>0</v>
      </c>
      <c r="O58" s="290">
        <v>0</v>
      </c>
      <c r="P58" s="205">
        <f t="shared" si="22"/>
        <v>0</v>
      </c>
      <c r="Q58" s="290">
        <v>0</v>
      </c>
      <c r="R58" s="205">
        <f t="shared" si="23"/>
        <v>0</v>
      </c>
      <c r="S58" s="39">
        <f t="shared" si="10"/>
        <v>117</v>
      </c>
      <c r="T58" s="101"/>
      <c r="U58" s="220">
        <v>0</v>
      </c>
      <c r="V58" s="308">
        <f t="shared" si="7"/>
        <v>0</v>
      </c>
      <c r="W58" s="294">
        <f t="shared" si="8"/>
        <v>117</v>
      </c>
      <c r="X58" s="300">
        <f t="shared" si="9"/>
        <v>3.51</v>
      </c>
      <c r="Y58" s="101"/>
      <c r="Z58" s="101"/>
    </row>
    <row r="59" spans="1:26" x14ac:dyDescent="0.25">
      <c r="A59" s="264">
        <v>55</v>
      </c>
      <c r="B59" s="101" t="s">
        <v>194</v>
      </c>
      <c r="C59" s="264">
        <v>58</v>
      </c>
      <c r="D59" s="264">
        <v>25</v>
      </c>
      <c r="E59" s="264">
        <v>3</v>
      </c>
      <c r="F59" s="298">
        <f t="shared" si="5"/>
        <v>4.3499999999999997E-3</v>
      </c>
      <c r="G59" s="264">
        <v>1810</v>
      </c>
      <c r="H59" s="299">
        <f t="shared" si="6"/>
        <v>7.8734999999999991</v>
      </c>
      <c r="I59" s="290">
        <v>136</v>
      </c>
      <c r="J59" s="205">
        <f t="shared" si="24"/>
        <v>0.5915999999999999</v>
      </c>
      <c r="K59" s="290">
        <v>100</v>
      </c>
      <c r="L59" s="205">
        <f t="shared" si="25"/>
        <v>0.43499999999999994</v>
      </c>
      <c r="M59" s="290">
        <v>0</v>
      </c>
      <c r="N59" s="205">
        <f t="shared" si="21"/>
        <v>0</v>
      </c>
      <c r="O59" s="290">
        <v>0</v>
      </c>
      <c r="P59" s="205">
        <f t="shared" si="22"/>
        <v>0</v>
      </c>
      <c r="Q59" s="290">
        <v>100</v>
      </c>
      <c r="R59" s="205">
        <f>F59*Q59</f>
        <v>0.43499999999999994</v>
      </c>
      <c r="S59" s="39">
        <f t="shared" si="10"/>
        <v>1474</v>
      </c>
      <c r="T59" s="101"/>
      <c r="U59" s="220">
        <v>0</v>
      </c>
      <c r="V59" s="309">
        <f t="shared" si="7"/>
        <v>0</v>
      </c>
      <c r="W59" s="294">
        <v>1810</v>
      </c>
      <c r="X59" s="300">
        <f t="shared" si="9"/>
        <v>7.8734999999999991</v>
      </c>
      <c r="Y59" s="101"/>
      <c r="Z59" s="101"/>
    </row>
    <row r="60" spans="1:26" x14ac:dyDescent="0.25">
      <c r="A60" s="264">
        <v>56</v>
      </c>
      <c r="B60" s="101" t="s">
        <v>195</v>
      </c>
      <c r="C60" s="264">
        <v>64</v>
      </c>
      <c r="D60" s="264">
        <v>58</v>
      </c>
      <c r="E60" s="264">
        <v>5</v>
      </c>
      <c r="F60" s="298">
        <f t="shared" si="5"/>
        <v>1.856E-2</v>
      </c>
      <c r="G60" s="264">
        <v>1764</v>
      </c>
      <c r="H60" s="299">
        <f t="shared" si="6"/>
        <v>32.739840000000001</v>
      </c>
      <c r="I60" s="290">
        <v>100</v>
      </c>
      <c r="J60" s="205">
        <f t="shared" si="24"/>
        <v>1.8560000000000001</v>
      </c>
      <c r="K60" s="290">
        <v>180</v>
      </c>
      <c r="L60" s="205">
        <f t="shared" si="25"/>
        <v>3.3408000000000002</v>
      </c>
      <c r="M60" s="290">
        <v>0</v>
      </c>
      <c r="N60" s="205">
        <f t="shared" si="21"/>
        <v>0</v>
      </c>
      <c r="O60" s="290">
        <v>0</v>
      </c>
      <c r="P60" s="205">
        <f t="shared" si="22"/>
        <v>0</v>
      </c>
      <c r="Q60" s="290">
        <v>100</v>
      </c>
      <c r="R60" s="205">
        <f t="shared" ref="R60:R65" si="26">F60*Q60</f>
        <v>1.8560000000000001</v>
      </c>
      <c r="S60" s="39">
        <f t="shared" si="10"/>
        <v>1384</v>
      </c>
      <c r="T60" s="101"/>
      <c r="U60" s="220">
        <v>0</v>
      </c>
      <c r="V60" s="309">
        <f t="shared" si="7"/>
        <v>0</v>
      </c>
      <c r="W60" s="294">
        <v>1764</v>
      </c>
      <c r="X60" s="301">
        <f t="shared" si="9"/>
        <v>32.739840000000001</v>
      </c>
      <c r="Y60" s="101"/>
      <c r="Z60" s="101"/>
    </row>
    <row r="61" spans="1:26" x14ac:dyDescent="0.25">
      <c r="A61" s="264">
        <v>57</v>
      </c>
      <c r="B61" s="101" t="s">
        <v>197</v>
      </c>
      <c r="C61" s="101">
        <v>65</v>
      </c>
      <c r="D61" s="101">
        <v>65</v>
      </c>
      <c r="E61" s="101">
        <v>5</v>
      </c>
      <c r="F61" s="101">
        <f t="shared" si="5"/>
        <v>2.1125000000000001E-2</v>
      </c>
      <c r="G61" s="264">
        <v>240</v>
      </c>
      <c r="H61" s="299">
        <f t="shared" si="6"/>
        <v>5.07</v>
      </c>
      <c r="I61" s="290">
        <v>0</v>
      </c>
      <c r="J61" s="205">
        <f t="shared" si="24"/>
        <v>0</v>
      </c>
      <c r="K61" s="290">
        <v>0</v>
      </c>
      <c r="L61" s="205">
        <f t="shared" si="25"/>
        <v>0</v>
      </c>
      <c r="M61" s="290">
        <v>0</v>
      </c>
      <c r="N61" s="174">
        <f t="shared" si="21"/>
        <v>0</v>
      </c>
      <c r="O61" s="290">
        <v>0</v>
      </c>
      <c r="P61" s="205">
        <f t="shared" si="22"/>
        <v>0</v>
      </c>
      <c r="Q61" s="290">
        <v>0</v>
      </c>
      <c r="R61" s="205">
        <f t="shared" si="26"/>
        <v>0</v>
      </c>
      <c r="S61" s="39">
        <f t="shared" si="10"/>
        <v>240</v>
      </c>
      <c r="T61" s="101"/>
      <c r="U61" s="220">
        <v>0</v>
      </c>
      <c r="V61" s="309">
        <f t="shared" si="7"/>
        <v>0</v>
      </c>
      <c r="W61" s="294">
        <f t="shared" si="8"/>
        <v>240</v>
      </c>
      <c r="X61" s="300">
        <f t="shared" si="9"/>
        <v>5.07</v>
      </c>
      <c r="Y61" s="101"/>
      <c r="Z61" s="101"/>
    </row>
    <row r="62" spans="1:26" x14ac:dyDescent="0.25">
      <c r="A62" s="264">
        <v>58</v>
      </c>
      <c r="B62" s="101" t="s">
        <v>198</v>
      </c>
      <c r="C62" s="101">
        <v>83</v>
      </c>
      <c r="D62" s="101">
        <v>55</v>
      </c>
      <c r="E62" s="101">
        <v>3</v>
      </c>
      <c r="F62" s="101">
        <f t="shared" si="5"/>
        <v>1.3695000000000001E-2</v>
      </c>
      <c r="G62" s="264">
        <v>528</v>
      </c>
      <c r="H62" s="299">
        <f t="shared" si="6"/>
        <v>7.2309600000000005</v>
      </c>
      <c r="I62" s="290">
        <v>100</v>
      </c>
      <c r="J62" s="205">
        <f t="shared" si="24"/>
        <v>1.3695000000000002</v>
      </c>
      <c r="K62" s="290">
        <v>100</v>
      </c>
      <c r="L62" s="205">
        <f t="shared" si="25"/>
        <v>1.3695000000000002</v>
      </c>
      <c r="M62" s="290">
        <v>0</v>
      </c>
      <c r="N62" s="174">
        <f t="shared" si="21"/>
        <v>0</v>
      </c>
      <c r="O62" s="290">
        <v>0</v>
      </c>
      <c r="P62" s="205">
        <f t="shared" si="22"/>
        <v>0</v>
      </c>
      <c r="Q62" s="290">
        <v>100</v>
      </c>
      <c r="R62" s="205">
        <f t="shared" si="26"/>
        <v>1.3695000000000002</v>
      </c>
      <c r="S62" s="39">
        <f t="shared" si="10"/>
        <v>228</v>
      </c>
      <c r="T62" s="101"/>
      <c r="U62" s="220">
        <v>0</v>
      </c>
      <c r="V62" s="309">
        <f t="shared" si="7"/>
        <v>0</v>
      </c>
      <c r="W62" s="294">
        <v>528</v>
      </c>
      <c r="X62" s="300">
        <f t="shared" si="9"/>
        <v>7.2309600000000005</v>
      </c>
      <c r="Y62" s="101"/>
      <c r="Z62" s="101"/>
    </row>
    <row r="63" spans="1:26" x14ac:dyDescent="0.25">
      <c r="A63" s="264">
        <v>59</v>
      </c>
      <c r="B63" s="101" t="s">
        <v>199</v>
      </c>
      <c r="C63" s="101">
        <v>75</v>
      </c>
      <c r="D63" s="101">
        <v>55</v>
      </c>
      <c r="E63" s="101">
        <v>3</v>
      </c>
      <c r="F63" s="101">
        <f t="shared" si="5"/>
        <v>1.2375000000000001E-2</v>
      </c>
      <c r="G63" s="264">
        <v>1428</v>
      </c>
      <c r="H63" s="299">
        <f t="shared" si="6"/>
        <v>17.671500000000002</v>
      </c>
      <c r="I63" s="290">
        <v>0</v>
      </c>
      <c r="J63" s="205">
        <f t="shared" si="24"/>
        <v>0</v>
      </c>
      <c r="K63" s="290">
        <v>80</v>
      </c>
      <c r="L63" s="205">
        <f t="shared" si="25"/>
        <v>0.99</v>
      </c>
      <c r="M63" s="290">
        <v>72</v>
      </c>
      <c r="N63" s="174">
        <f t="shared" si="21"/>
        <v>0.89100000000000001</v>
      </c>
      <c r="O63" s="290">
        <v>0</v>
      </c>
      <c r="P63" s="205">
        <f t="shared" si="22"/>
        <v>0</v>
      </c>
      <c r="Q63" s="290">
        <v>0</v>
      </c>
      <c r="R63" s="205">
        <f t="shared" si="26"/>
        <v>0</v>
      </c>
      <c r="S63" s="39">
        <f t="shared" si="10"/>
        <v>1276</v>
      </c>
      <c r="T63" s="101"/>
      <c r="U63" s="220">
        <v>0</v>
      </c>
      <c r="V63" s="309">
        <f t="shared" si="7"/>
        <v>0</v>
      </c>
      <c r="W63" s="294">
        <f t="shared" si="8"/>
        <v>1276</v>
      </c>
      <c r="X63" s="300">
        <f t="shared" si="9"/>
        <v>15.790500000000002</v>
      </c>
      <c r="Y63" s="101"/>
      <c r="Z63" s="101"/>
    </row>
    <row r="64" spans="1:26" x14ac:dyDescent="0.25">
      <c r="A64" s="264">
        <v>60</v>
      </c>
      <c r="B64" s="101" t="s">
        <v>200</v>
      </c>
      <c r="C64" s="101">
        <v>58</v>
      </c>
      <c r="D64" s="101">
        <v>19</v>
      </c>
      <c r="E64" s="101">
        <v>3</v>
      </c>
      <c r="F64" s="101">
        <f t="shared" si="5"/>
        <v>3.3059999999999999E-3</v>
      </c>
      <c r="G64" s="264">
        <v>1290</v>
      </c>
      <c r="H64" s="299">
        <f t="shared" si="6"/>
        <v>4.2647399999999998</v>
      </c>
      <c r="I64" s="290">
        <v>150</v>
      </c>
      <c r="J64" s="205">
        <f t="shared" si="24"/>
        <v>0.49590000000000001</v>
      </c>
      <c r="K64" s="290">
        <v>100</v>
      </c>
      <c r="L64" s="205">
        <f t="shared" si="25"/>
        <v>0.3306</v>
      </c>
      <c r="M64" s="290">
        <v>0</v>
      </c>
      <c r="N64" s="174">
        <f t="shared" si="21"/>
        <v>0</v>
      </c>
      <c r="O64" s="290">
        <v>0</v>
      </c>
      <c r="P64" s="205">
        <f t="shared" si="22"/>
        <v>0</v>
      </c>
      <c r="Q64" s="290">
        <v>100</v>
      </c>
      <c r="R64" s="205">
        <f t="shared" si="26"/>
        <v>0.3306</v>
      </c>
      <c r="S64" s="39">
        <f t="shared" si="10"/>
        <v>940</v>
      </c>
      <c r="T64" s="101"/>
      <c r="U64" s="220">
        <v>800</v>
      </c>
      <c r="V64" s="309">
        <f t="shared" si="7"/>
        <v>2.6448</v>
      </c>
      <c r="W64" s="294">
        <v>1290</v>
      </c>
      <c r="X64" s="300">
        <f t="shared" si="9"/>
        <v>4.2647399999999998</v>
      </c>
      <c r="Y64" s="101"/>
      <c r="Z64" s="101"/>
    </row>
    <row r="65" spans="1:26" x14ac:dyDescent="0.25">
      <c r="A65" s="264"/>
      <c r="B65" s="101"/>
      <c r="C65" s="101"/>
      <c r="D65" s="101"/>
      <c r="E65" s="101"/>
      <c r="F65" s="101"/>
      <c r="G65" s="101"/>
      <c r="H65" s="101"/>
      <c r="I65" s="290">
        <v>0</v>
      </c>
      <c r="J65" s="205">
        <f t="shared" si="24"/>
        <v>0</v>
      </c>
      <c r="K65" s="290">
        <v>0</v>
      </c>
      <c r="L65" s="205">
        <f t="shared" si="25"/>
        <v>0</v>
      </c>
      <c r="M65" s="290">
        <v>0</v>
      </c>
      <c r="N65" s="174">
        <f t="shared" si="21"/>
        <v>0</v>
      </c>
      <c r="O65" s="290">
        <v>0</v>
      </c>
      <c r="P65" s="205">
        <f t="shared" si="22"/>
        <v>0</v>
      </c>
      <c r="Q65" s="290">
        <v>0</v>
      </c>
      <c r="R65" s="205">
        <f t="shared" si="26"/>
        <v>0</v>
      </c>
      <c r="S65" s="39">
        <f t="shared" si="10"/>
        <v>0</v>
      </c>
      <c r="T65" s="101"/>
      <c r="U65" s="138"/>
      <c r="V65" s="310"/>
      <c r="W65" s="294">
        <f t="shared" si="8"/>
        <v>0</v>
      </c>
      <c r="X65" s="301"/>
      <c r="Y65" s="101"/>
      <c r="Z65" s="101"/>
    </row>
    <row r="66" spans="1:26" x14ac:dyDescent="0.25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spans="1:26" x14ac:dyDescent="0.25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 spans="1:26" x14ac:dyDescent="0.2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</row>
    <row r="69" spans="1:26" x14ac:dyDescent="0.2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</row>
    <row r="70" spans="1:26" x14ac:dyDescent="0.25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</row>
    <row r="71" spans="1:26" x14ac:dyDescent="0.2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spans="1:26" x14ac:dyDescent="0.2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1:26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1:26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1:26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1:26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1:26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1:26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</sheetData>
  <mergeCells count="24">
    <mergeCell ref="C1:H1"/>
    <mergeCell ref="G2:H3"/>
    <mergeCell ref="I2:J2"/>
    <mergeCell ref="K2:L2"/>
    <mergeCell ref="M2:N2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S4:T4"/>
    <mergeCell ref="U4:V4"/>
    <mergeCell ref="W4:X4"/>
    <mergeCell ref="G4:H4"/>
    <mergeCell ref="I4:J4"/>
    <mergeCell ref="K4:L4"/>
    <mergeCell ref="M4:N4"/>
    <mergeCell ref="O4:P4"/>
    <mergeCell ref="Q4:R4"/>
  </mergeCell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Z78"/>
  <sheetViews>
    <sheetView workbookViewId="0">
      <selection activeCell="P55" sqref="P55"/>
    </sheetView>
  </sheetViews>
  <sheetFormatPr defaultRowHeight="15" x14ac:dyDescent="0.25"/>
  <cols>
    <col min="1" max="1" width="5" customWidth="1"/>
    <col min="2" max="2" width="32.140625" style="3" customWidth="1"/>
    <col min="3" max="3" width="9.7109375" style="2" hidden="1" customWidth="1"/>
    <col min="4" max="4" width="14" style="2" hidden="1" customWidth="1"/>
    <col min="5" max="5" width="11" style="2" hidden="1" customWidth="1"/>
    <col min="6" max="6" width="13.85546875" style="4" hidden="1" customWidth="1"/>
    <col min="7" max="7" width="7.5703125" style="5" customWidth="1"/>
    <col min="8" max="8" width="9" style="5" customWidth="1"/>
    <col min="9" max="9" width="6" style="2" customWidth="1"/>
    <col min="10" max="10" width="7.85546875" style="2" customWidth="1"/>
    <col min="11" max="11" width="6.28515625" style="2" customWidth="1"/>
    <col min="12" max="12" width="7.7109375" style="2" customWidth="1"/>
    <col min="13" max="13" width="5.7109375" style="2" customWidth="1"/>
    <col min="14" max="14" width="8.140625" style="2" customWidth="1"/>
    <col min="15" max="15" width="6.5703125" style="2" customWidth="1"/>
    <col min="16" max="16" width="7.28515625" style="2" customWidth="1"/>
    <col min="17" max="17" width="5" style="2" customWidth="1"/>
    <col min="18" max="18" width="7.5703125" style="2" customWidth="1"/>
    <col min="19" max="19" width="8.28515625" style="2" customWidth="1"/>
    <col min="20" max="20" width="9.7109375" style="2" customWidth="1"/>
    <col min="21" max="21" width="6.7109375" customWidth="1"/>
    <col min="22" max="22" width="8" customWidth="1"/>
    <col min="23" max="23" width="8.42578125" customWidth="1"/>
    <col min="24" max="24" width="9.5703125" customWidth="1"/>
    <col min="25" max="25" width="10.28515625" customWidth="1"/>
  </cols>
  <sheetData>
    <row r="1" spans="1:26" ht="15.75" thickBot="1" x14ac:dyDescent="0.3">
      <c r="B1" s="4" t="s">
        <v>18</v>
      </c>
      <c r="C1" s="384">
        <v>45536</v>
      </c>
      <c r="D1" s="320"/>
      <c r="E1" s="320"/>
      <c r="F1" s="320"/>
      <c r="G1" s="320"/>
      <c r="H1" s="320"/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45541</v>
      </c>
      <c r="J2" s="326"/>
      <c r="K2" s="327">
        <v>45548</v>
      </c>
      <c r="L2" s="328"/>
      <c r="M2" s="325">
        <v>45555</v>
      </c>
      <c r="N2" s="329"/>
      <c r="O2" s="327">
        <v>45562</v>
      </c>
      <c r="P2" s="346"/>
      <c r="Q2" s="325">
        <v>45565</v>
      </c>
      <c r="R2" s="329"/>
      <c r="S2" s="330" t="s">
        <v>69</v>
      </c>
      <c r="T2" s="331"/>
      <c r="U2" s="334" t="s">
        <v>70</v>
      </c>
      <c r="V2" s="335"/>
      <c r="W2" s="385" t="s">
        <v>71</v>
      </c>
      <c r="X2" s="386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87"/>
      <c r="X3" s="388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89" t="s">
        <v>63</v>
      </c>
      <c r="X4" s="390"/>
      <c r="Y4" s="268" t="s">
        <v>179</v>
      </c>
      <c r="Z4" s="269" t="s">
        <v>99</v>
      </c>
    </row>
    <row r="5" spans="1:26" x14ac:dyDescent="0.25">
      <c r="A5" s="263">
        <v>1</v>
      </c>
      <c r="B5" s="256" t="s">
        <v>134</v>
      </c>
      <c r="C5" s="32">
        <v>70</v>
      </c>
      <c r="D5" s="33">
        <v>64</v>
      </c>
      <c r="E5" s="33">
        <v>8</v>
      </c>
      <c r="F5" s="15">
        <f>(C5*D5*E5)/1000000</f>
        <v>3.5839999999999997E-2</v>
      </c>
      <c r="G5" s="286">
        <v>476</v>
      </c>
      <c r="H5" s="287">
        <f>F5*G5</f>
        <v>17.059839999999998</v>
      </c>
      <c r="I5" s="290">
        <v>66</v>
      </c>
      <c r="J5" s="205">
        <f t="shared" ref="J5:R55" si="0">F5*I5</f>
        <v>2.36544</v>
      </c>
      <c r="K5" s="290">
        <v>15</v>
      </c>
      <c r="L5" s="205">
        <f>F5*K5</f>
        <v>0.53759999999999997</v>
      </c>
      <c r="M5" s="290">
        <v>3</v>
      </c>
      <c r="N5" s="205">
        <f t="shared" ref="N5:N10" si="1">F5*M5</f>
        <v>0.10751999999999999</v>
      </c>
      <c r="O5" s="290">
        <v>0</v>
      </c>
      <c r="P5" s="205">
        <f t="shared" ref="P5:P10" si="2">F5*O5</f>
        <v>0</v>
      </c>
      <c r="Q5" s="290">
        <v>0</v>
      </c>
      <c r="R5" s="205">
        <f t="shared" ref="R5:R11" si="3">F5*Q5</f>
        <v>0</v>
      </c>
      <c r="S5" s="39">
        <f>G5-I5-K5-M5-O5-Q5</f>
        <v>392</v>
      </c>
      <c r="T5" s="38">
        <f t="shared" ref="T5:T68" si="4">F5*S5</f>
        <v>14.04928</v>
      </c>
      <c r="U5" s="290">
        <v>0</v>
      </c>
      <c r="V5" s="13">
        <f>F5*U5</f>
        <v>0</v>
      </c>
      <c r="W5" s="294">
        <f>S5+U5</f>
        <v>392</v>
      </c>
      <c r="X5" s="295">
        <f>F5*W5</f>
        <v>14.04928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135</v>
      </c>
      <c r="C6" s="34">
        <v>70</v>
      </c>
      <c r="D6" s="35">
        <v>80</v>
      </c>
      <c r="E6" s="35">
        <v>8</v>
      </c>
      <c r="F6" s="19">
        <f t="shared" ref="F6:F67" si="5">(C6*D6*E6)/1000000</f>
        <v>4.48E-2</v>
      </c>
      <c r="G6" s="286">
        <v>406</v>
      </c>
      <c r="H6" s="288">
        <f t="shared" ref="H6:H65" si="6">F6*G6</f>
        <v>18.188800000000001</v>
      </c>
      <c r="I6" s="290">
        <v>128</v>
      </c>
      <c r="J6" s="205">
        <f t="shared" si="0"/>
        <v>5.7343999999999999</v>
      </c>
      <c r="K6" s="290">
        <v>58</v>
      </c>
      <c r="L6" s="205">
        <f>F6*K6</f>
        <v>2.5983999999999998</v>
      </c>
      <c r="M6" s="290">
        <v>8</v>
      </c>
      <c r="N6" s="205">
        <f t="shared" si="1"/>
        <v>0.3584</v>
      </c>
      <c r="O6" s="290">
        <v>24</v>
      </c>
      <c r="P6" s="205">
        <f t="shared" si="2"/>
        <v>1.0751999999999999</v>
      </c>
      <c r="Q6" s="290">
        <v>0</v>
      </c>
      <c r="R6" s="205">
        <f t="shared" si="3"/>
        <v>0</v>
      </c>
      <c r="S6" s="39">
        <f>G6-I6-K6-M6-O6-Q6</f>
        <v>188</v>
      </c>
      <c r="T6" s="38">
        <f t="shared" si="4"/>
        <v>8.4223999999999997</v>
      </c>
      <c r="U6" s="290">
        <v>0</v>
      </c>
      <c r="V6" s="13">
        <f t="shared" ref="V6:V67" si="7">F6*U6</f>
        <v>0</v>
      </c>
      <c r="W6" s="294">
        <f t="shared" ref="W6:W69" si="8">S6+U6</f>
        <v>188</v>
      </c>
      <c r="X6" s="295">
        <f t="shared" ref="X6:X69" si="9">F6*W6</f>
        <v>8.4223999999999997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136</v>
      </c>
      <c r="C7" s="34">
        <v>70</v>
      </c>
      <c r="D7" s="35">
        <v>74</v>
      </c>
      <c r="E7" s="35">
        <v>8</v>
      </c>
      <c r="F7" s="19">
        <f t="shared" si="5"/>
        <v>4.1439999999999998E-2</v>
      </c>
      <c r="G7" s="286">
        <v>430</v>
      </c>
      <c r="H7" s="288">
        <f t="shared" si="6"/>
        <v>17.819199999999999</v>
      </c>
      <c r="I7" s="290">
        <v>80</v>
      </c>
      <c r="J7" s="205">
        <f t="shared" si="0"/>
        <v>3.3151999999999999</v>
      </c>
      <c r="K7" s="290">
        <v>0</v>
      </c>
      <c r="L7" s="205">
        <f>F7*K7</f>
        <v>0</v>
      </c>
      <c r="M7" s="290">
        <v>12</v>
      </c>
      <c r="N7" s="205">
        <f t="shared" si="1"/>
        <v>0.49727999999999994</v>
      </c>
      <c r="O7" s="290">
        <v>0</v>
      </c>
      <c r="P7" s="205">
        <f t="shared" si="2"/>
        <v>0</v>
      </c>
      <c r="Q7" s="290">
        <v>0</v>
      </c>
      <c r="R7" s="205">
        <f t="shared" si="3"/>
        <v>0</v>
      </c>
      <c r="S7" s="39">
        <f t="shared" ref="S7:S70" si="10">G7-I7-K7-M7-O7-Q7</f>
        <v>338</v>
      </c>
      <c r="T7" s="38">
        <f t="shared" si="4"/>
        <v>14.00672</v>
      </c>
      <c r="U7" s="290">
        <v>0</v>
      </c>
      <c r="V7" s="13">
        <f t="shared" si="7"/>
        <v>0</v>
      </c>
      <c r="W7" s="294">
        <f t="shared" si="8"/>
        <v>338</v>
      </c>
      <c r="X7" s="295">
        <f t="shared" si="9"/>
        <v>14.00672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137</v>
      </c>
      <c r="C8" s="34">
        <v>80</v>
      </c>
      <c r="D8" s="35">
        <v>64</v>
      </c>
      <c r="E8" s="35">
        <v>5</v>
      </c>
      <c r="F8" s="19">
        <f t="shared" si="5"/>
        <v>2.5600000000000001E-2</v>
      </c>
      <c r="G8" s="286">
        <v>100</v>
      </c>
      <c r="H8" s="288">
        <f t="shared" si="6"/>
        <v>2.56</v>
      </c>
      <c r="I8" s="290">
        <v>0</v>
      </c>
      <c r="J8" s="205">
        <f t="shared" si="0"/>
        <v>0</v>
      </c>
      <c r="K8" s="290">
        <v>0</v>
      </c>
      <c r="L8" s="205">
        <f>F8*K8</f>
        <v>0</v>
      </c>
      <c r="M8" s="290">
        <v>0</v>
      </c>
      <c r="N8" s="205">
        <f t="shared" si="1"/>
        <v>0</v>
      </c>
      <c r="O8" s="290">
        <v>0</v>
      </c>
      <c r="P8" s="205">
        <f t="shared" si="2"/>
        <v>0</v>
      </c>
      <c r="Q8" s="290">
        <v>0</v>
      </c>
      <c r="R8" s="205">
        <f t="shared" si="3"/>
        <v>0</v>
      </c>
      <c r="S8" s="39">
        <f t="shared" si="10"/>
        <v>100</v>
      </c>
      <c r="T8" s="38">
        <f t="shared" si="4"/>
        <v>2.56</v>
      </c>
      <c r="U8" s="290">
        <v>0</v>
      </c>
      <c r="V8" s="13">
        <f t="shared" si="7"/>
        <v>0</v>
      </c>
      <c r="W8" s="294">
        <f t="shared" si="8"/>
        <v>100</v>
      </c>
      <c r="X8" s="295">
        <f t="shared" si="9"/>
        <v>2.56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138</v>
      </c>
      <c r="C9" s="34">
        <v>140</v>
      </c>
      <c r="D9" s="35">
        <v>240</v>
      </c>
      <c r="E9" s="35">
        <v>5</v>
      </c>
      <c r="F9" s="19">
        <f t="shared" si="5"/>
        <v>0.16800000000000001</v>
      </c>
      <c r="G9" s="286">
        <v>201</v>
      </c>
      <c r="H9" s="288">
        <f t="shared" si="6"/>
        <v>33.768000000000001</v>
      </c>
      <c r="I9" s="290">
        <v>0</v>
      </c>
      <c r="J9" s="205">
        <f t="shared" si="0"/>
        <v>0</v>
      </c>
      <c r="K9" s="290">
        <v>10</v>
      </c>
      <c r="L9" s="205">
        <f>F9*K9</f>
        <v>1.6800000000000002</v>
      </c>
      <c r="M9" s="290">
        <v>19</v>
      </c>
      <c r="N9" s="205">
        <f t="shared" si="1"/>
        <v>3.1920000000000002</v>
      </c>
      <c r="O9" s="290">
        <v>8</v>
      </c>
      <c r="P9" s="205">
        <f t="shared" si="2"/>
        <v>1.3440000000000001</v>
      </c>
      <c r="Q9" s="290">
        <v>0</v>
      </c>
      <c r="R9" s="205">
        <f t="shared" si="3"/>
        <v>0</v>
      </c>
      <c r="S9" s="39">
        <f t="shared" si="10"/>
        <v>164</v>
      </c>
      <c r="T9" s="38">
        <f t="shared" si="4"/>
        <v>27.552000000000003</v>
      </c>
      <c r="U9" s="290">
        <v>0</v>
      </c>
      <c r="V9" s="13">
        <f t="shared" si="7"/>
        <v>0</v>
      </c>
      <c r="W9" s="294">
        <f t="shared" si="8"/>
        <v>164</v>
      </c>
      <c r="X9" s="295">
        <f t="shared" si="9"/>
        <v>27.552000000000003</v>
      </c>
      <c r="Y9" s="238">
        <v>100</v>
      </c>
      <c r="Z9" s="101">
        <v>250</v>
      </c>
    </row>
    <row r="10" spans="1:26" x14ac:dyDescent="0.25">
      <c r="A10" s="264">
        <v>6</v>
      </c>
      <c r="B10" s="256" t="s">
        <v>139</v>
      </c>
      <c r="C10" s="34">
        <v>142</v>
      </c>
      <c r="D10" s="35">
        <v>67</v>
      </c>
      <c r="E10" s="35">
        <v>5</v>
      </c>
      <c r="F10" s="19">
        <f t="shared" si="5"/>
        <v>4.7570000000000001E-2</v>
      </c>
      <c r="G10" s="286">
        <v>56</v>
      </c>
      <c r="H10" s="288">
        <f t="shared" si="6"/>
        <v>2.6639200000000001</v>
      </c>
      <c r="I10" s="290">
        <v>0</v>
      </c>
      <c r="J10" s="205">
        <f t="shared" si="0"/>
        <v>0</v>
      </c>
      <c r="K10" s="290">
        <v>56</v>
      </c>
      <c r="L10" s="205">
        <f t="shared" ref="L10" si="11">F10*K10</f>
        <v>2.6639200000000001</v>
      </c>
      <c r="M10" s="290">
        <v>0</v>
      </c>
      <c r="N10" s="205">
        <f t="shared" si="1"/>
        <v>0</v>
      </c>
      <c r="O10" s="290">
        <v>0</v>
      </c>
      <c r="P10" s="205">
        <f t="shared" si="2"/>
        <v>0</v>
      </c>
      <c r="Q10" s="290">
        <v>0</v>
      </c>
      <c r="R10" s="205">
        <f t="shared" si="3"/>
        <v>0</v>
      </c>
      <c r="S10" s="39">
        <f t="shared" si="10"/>
        <v>0</v>
      </c>
      <c r="T10" s="38">
        <f t="shared" si="4"/>
        <v>0</v>
      </c>
      <c r="U10" s="290">
        <v>0</v>
      </c>
      <c r="V10" s="13">
        <f t="shared" si="7"/>
        <v>0</v>
      </c>
      <c r="W10" s="294">
        <f t="shared" si="8"/>
        <v>0</v>
      </c>
      <c r="X10" s="295">
        <f t="shared" si="9"/>
        <v>0</v>
      </c>
      <c r="Y10" s="238">
        <v>75</v>
      </c>
      <c r="Z10" s="101">
        <v>250</v>
      </c>
    </row>
    <row r="11" spans="1:26" x14ac:dyDescent="0.25">
      <c r="A11" s="264">
        <v>7</v>
      </c>
      <c r="B11" s="256" t="s">
        <v>190</v>
      </c>
      <c r="C11" s="34">
        <v>87</v>
      </c>
      <c r="D11" s="35">
        <v>54</v>
      </c>
      <c r="E11" s="35">
        <v>5</v>
      </c>
      <c r="F11" s="19">
        <f t="shared" si="5"/>
        <v>2.349E-2</v>
      </c>
      <c r="G11" s="286">
        <v>0</v>
      </c>
      <c r="H11" s="288">
        <f t="shared" si="6"/>
        <v>0</v>
      </c>
      <c r="I11" s="290">
        <v>0</v>
      </c>
      <c r="J11" s="205">
        <f t="shared" si="0"/>
        <v>0</v>
      </c>
      <c r="K11" s="290">
        <v>0</v>
      </c>
      <c r="L11" s="205">
        <f>F11*K11</f>
        <v>0</v>
      </c>
      <c r="M11" s="290">
        <v>0</v>
      </c>
      <c r="N11" s="21">
        <v>0</v>
      </c>
      <c r="O11" s="290">
        <v>0</v>
      </c>
      <c r="P11" s="21">
        <v>0</v>
      </c>
      <c r="Q11" s="290">
        <v>0</v>
      </c>
      <c r="R11" s="205">
        <f t="shared" si="3"/>
        <v>0</v>
      </c>
      <c r="S11" s="39">
        <f t="shared" si="10"/>
        <v>0</v>
      </c>
      <c r="T11" s="38">
        <f t="shared" si="4"/>
        <v>0</v>
      </c>
      <c r="U11" s="290">
        <v>0</v>
      </c>
      <c r="V11" s="13">
        <f t="shared" si="7"/>
        <v>0</v>
      </c>
      <c r="W11" s="294">
        <f t="shared" si="8"/>
        <v>0</v>
      </c>
      <c r="X11" s="295">
        <f t="shared" si="9"/>
        <v>0</v>
      </c>
      <c r="Y11" s="238">
        <v>50</v>
      </c>
      <c r="Z11" s="101">
        <v>100</v>
      </c>
    </row>
    <row r="12" spans="1:26" x14ac:dyDescent="0.25">
      <c r="A12" s="264">
        <v>8</v>
      </c>
      <c r="B12" s="256" t="s">
        <v>191</v>
      </c>
      <c r="C12" s="34">
        <v>75</v>
      </c>
      <c r="D12" s="35">
        <v>54</v>
      </c>
      <c r="E12" s="35">
        <v>5</v>
      </c>
      <c r="F12" s="19">
        <f t="shared" si="5"/>
        <v>2.0250000000000001E-2</v>
      </c>
      <c r="G12" s="286">
        <v>0</v>
      </c>
      <c r="H12" s="288">
        <f t="shared" si="6"/>
        <v>0</v>
      </c>
      <c r="I12" s="290">
        <v>0</v>
      </c>
      <c r="J12" s="205">
        <f t="shared" si="0"/>
        <v>0</v>
      </c>
      <c r="K12" s="290">
        <v>0</v>
      </c>
      <c r="L12" s="205">
        <f>F12*K12</f>
        <v>0</v>
      </c>
      <c r="M12" s="290">
        <v>0</v>
      </c>
      <c r="N12" s="205">
        <f>F12*M12</f>
        <v>0</v>
      </c>
      <c r="O12" s="290">
        <v>0</v>
      </c>
      <c r="P12" s="205">
        <f>F12*O12</f>
        <v>0</v>
      </c>
      <c r="Q12" s="290">
        <v>0</v>
      </c>
      <c r="R12" s="21">
        <v>0</v>
      </c>
      <c r="S12" s="39">
        <f t="shared" si="10"/>
        <v>0</v>
      </c>
      <c r="T12" s="38">
        <f t="shared" si="4"/>
        <v>0</v>
      </c>
      <c r="U12" s="290">
        <v>0</v>
      </c>
      <c r="V12" s="13">
        <f t="shared" si="7"/>
        <v>0</v>
      </c>
      <c r="W12" s="294">
        <f t="shared" si="8"/>
        <v>0</v>
      </c>
      <c r="X12" s="295">
        <f t="shared" si="9"/>
        <v>0</v>
      </c>
      <c r="Y12" s="238">
        <v>50</v>
      </c>
      <c r="Z12" s="101">
        <v>100</v>
      </c>
    </row>
    <row r="13" spans="1:26" x14ac:dyDescent="0.25">
      <c r="A13" s="264">
        <v>9</v>
      </c>
      <c r="B13" s="256" t="s">
        <v>142</v>
      </c>
      <c r="C13" s="34">
        <v>140</v>
      </c>
      <c r="D13" s="35">
        <v>240</v>
      </c>
      <c r="E13" s="35">
        <v>5</v>
      </c>
      <c r="F13" s="19">
        <f t="shared" si="5"/>
        <v>0.16800000000000001</v>
      </c>
      <c r="G13" s="286">
        <v>141</v>
      </c>
      <c r="H13" s="288">
        <f t="shared" si="6"/>
        <v>23.688000000000002</v>
      </c>
      <c r="I13" s="290">
        <v>7</v>
      </c>
      <c r="J13" s="205">
        <f t="shared" si="0"/>
        <v>1.1760000000000002</v>
      </c>
      <c r="K13" s="290">
        <v>7</v>
      </c>
      <c r="L13" s="205">
        <f>F13*K13</f>
        <v>1.1760000000000002</v>
      </c>
      <c r="M13" s="290">
        <v>0</v>
      </c>
      <c r="N13" s="205">
        <f>F13*M13</f>
        <v>0</v>
      </c>
      <c r="O13" s="290">
        <v>54</v>
      </c>
      <c r="P13" s="205">
        <f>F13*O13</f>
        <v>9.072000000000001</v>
      </c>
      <c r="Q13" s="290">
        <v>0</v>
      </c>
      <c r="R13" s="205">
        <f>F13*Q13</f>
        <v>0</v>
      </c>
      <c r="S13" s="39">
        <f t="shared" si="10"/>
        <v>73</v>
      </c>
      <c r="T13" s="38">
        <f t="shared" si="4"/>
        <v>12.264000000000001</v>
      </c>
      <c r="U13" s="290">
        <v>0</v>
      </c>
      <c r="V13" s="13">
        <f t="shared" si="7"/>
        <v>0</v>
      </c>
      <c r="W13" s="294">
        <f t="shared" si="8"/>
        <v>73</v>
      </c>
      <c r="X13" s="295">
        <f t="shared" si="9"/>
        <v>12.264000000000001</v>
      </c>
      <c r="Y13" s="238">
        <v>100</v>
      </c>
      <c r="Z13" s="101">
        <v>300</v>
      </c>
    </row>
    <row r="14" spans="1:26" x14ac:dyDescent="0.25">
      <c r="A14" s="264">
        <v>10</v>
      </c>
      <c r="B14" s="256" t="s">
        <v>143</v>
      </c>
      <c r="C14" s="34">
        <v>90</v>
      </c>
      <c r="D14" s="35">
        <v>85</v>
      </c>
      <c r="E14" s="35">
        <v>5</v>
      </c>
      <c r="F14" s="19">
        <f t="shared" si="5"/>
        <v>3.8249999999999999E-2</v>
      </c>
      <c r="G14" s="286">
        <v>56</v>
      </c>
      <c r="H14" s="288">
        <f t="shared" si="6"/>
        <v>2.1419999999999999</v>
      </c>
      <c r="I14" s="290">
        <v>0</v>
      </c>
      <c r="J14" s="205">
        <f t="shared" si="0"/>
        <v>0</v>
      </c>
      <c r="K14" s="290">
        <v>0</v>
      </c>
      <c r="L14" s="205">
        <f t="shared" ref="L14:L20" si="12">F14*K14</f>
        <v>0</v>
      </c>
      <c r="M14" s="290">
        <v>12</v>
      </c>
      <c r="N14" s="205">
        <f>F14*M14</f>
        <v>0.45899999999999996</v>
      </c>
      <c r="O14" s="290">
        <v>0</v>
      </c>
      <c r="P14" s="205">
        <f t="shared" si="0"/>
        <v>0</v>
      </c>
      <c r="Q14" s="290">
        <v>0</v>
      </c>
      <c r="R14" s="205">
        <f t="shared" si="0"/>
        <v>0</v>
      </c>
      <c r="S14" s="39">
        <f t="shared" si="10"/>
        <v>44</v>
      </c>
      <c r="T14" s="38">
        <f t="shared" si="4"/>
        <v>1.6830000000000001</v>
      </c>
      <c r="U14" s="290">
        <v>0</v>
      </c>
      <c r="V14" s="13">
        <f t="shared" si="7"/>
        <v>0</v>
      </c>
      <c r="W14" s="294">
        <f t="shared" si="8"/>
        <v>44</v>
      </c>
      <c r="X14" s="295">
        <f t="shared" si="9"/>
        <v>1.6830000000000001</v>
      </c>
      <c r="Y14" s="238">
        <v>50</v>
      </c>
      <c r="Z14" s="101">
        <v>100</v>
      </c>
    </row>
    <row r="15" spans="1:26" x14ac:dyDescent="0.25">
      <c r="A15" s="264">
        <v>11</v>
      </c>
      <c r="B15" s="256" t="s">
        <v>144</v>
      </c>
      <c r="C15" s="34">
        <v>140</v>
      </c>
      <c r="D15" s="35">
        <v>240</v>
      </c>
      <c r="E15" s="35">
        <v>5</v>
      </c>
      <c r="F15" s="19">
        <f t="shared" si="5"/>
        <v>0.16800000000000001</v>
      </c>
      <c r="G15" s="286">
        <v>34</v>
      </c>
      <c r="H15" s="288">
        <f t="shared" si="6"/>
        <v>5.7120000000000006</v>
      </c>
      <c r="I15" s="290">
        <v>3</v>
      </c>
      <c r="J15" s="205">
        <f t="shared" si="0"/>
        <v>0.504</v>
      </c>
      <c r="K15" s="290">
        <v>1</v>
      </c>
      <c r="L15" s="205">
        <f t="shared" si="12"/>
        <v>0.16800000000000001</v>
      </c>
      <c r="M15" s="290">
        <v>3</v>
      </c>
      <c r="N15" s="205">
        <f t="shared" ref="N15:N20" si="13">F15*M15</f>
        <v>0.504</v>
      </c>
      <c r="O15" s="290">
        <v>2</v>
      </c>
      <c r="P15" s="205">
        <f t="shared" ref="P15:P20" si="14">F15*O15</f>
        <v>0.33600000000000002</v>
      </c>
      <c r="Q15" s="290">
        <v>0</v>
      </c>
      <c r="R15" s="205">
        <f t="shared" ref="R15:R20" si="15">F15*Q15</f>
        <v>0</v>
      </c>
      <c r="S15" s="39">
        <f t="shared" si="10"/>
        <v>25</v>
      </c>
      <c r="T15" s="38">
        <f t="shared" si="4"/>
        <v>4.2</v>
      </c>
      <c r="U15" s="290">
        <v>0</v>
      </c>
      <c r="V15" s="13">
        <f t="shared" si="7"/>
        <v>0</v>
      </c>
      <c r="W15" s="294">
        <f t="shared" si="8"/>
        <v>25</v>
      </c>
      <c r="X15" s="295">
        <f t="shared" si="9"/>
        <v>4.2</v>
      </c>
      <c r="Y15" s="238">
        <v>200</v>
      </c>
      <c r="Z15" s="101">
        <v>400</v>
      </c>
    </row>
    <row r="16" spans="1:26" x14ac:dyDescent="0.25">
      <c r="A16" s="264">
        <v>12</v>
      </c>
      <c r="B16" s="256" t="s">
        <v>145</v>
      </c>
      <c r="C16" s="34">
        <v>140</v>
      </c>
      <c r="D16" s="35">
        <v>240</v>
      </c>
      <c r="E16" s="35">
        <v>5</v>
      </c>
      <c r="F16" s="19">
        <f t="shared" si="5"/>
        <v>0.16800000000000001</v>
      </c>
      <c r="G16" s="286">
        <v>435</v>
      </c>
      <c r="H16" s="288">
        <f t="shared" si="6"/>
        <v>73.08</v>
      </c>
      <c r="I16" s="290">
        <v>25</v>
      </c>
      <c r="J16" s="205">
        <f t="shared" si="0"/>
        <v>4.2</v>
      </c>
      <c r="K16" s="290">
        <v>5</v>
      </c>
      <c r="L16" s="205">
        <f t="shared" si="12"/>
        <v>0.84000000000000008</v>
      </c>
      <c r="M16" s="290">
        <v>8</v>
      </c>
      <c r="N16" s="205">
        <f t="shared" si="13"/>
        <v>1.3440000000000001</v>
      </c>
      <c r="O16" s="290">
        <v>2</v>
      </c>
      <c r="P16" s="205">
        <f t="shared" si="14"/>
        <v>0.33600000000000002</v>
      </c>
      <c r="Q16" s="290">
        <v>0</v>
      </c>
      <c r="R16" s="205">
        <f t="shared" si="15"/>
        <v>0</v>
      </c>
      <c r="S16" s="39">
        <f t="shared" si="10"/>
        <v>395</v>
      </c>
      <c r="T16" s="38">
        <f t="shared" si="4"/>
        <v>66.36</v>
      </c>
      <c r="U16" s="290">
        <v>0</v>
      </c>
      <c r="V16" s="13">
        <f t="shared" si="7"/>
        <v>0</v>
      </c>
      <c r="W16" s="294">
        <f t="shared" si="8"/>
        <v>395</v>
      </c>
      <c r="X16" s="295">
        <f t="shared" si="9"/>
        <v>66.36</v>
      </c>
      <c r="Y16" s="238">
        <v>200</v>
      </c>
      <c r="Z16" s="101">
        <v>500</v>
      </c>
    </row>
    <row r="17" spans="1:26" x14ac:dyDescent="0.25">
      <c r="A17" s="264">
        <v>13</v>
      </c>
      <c r="B17" s="256" t="s">
        <v>146</v>
      </c>
      <c r="C17" s="34">
        <v>140</v>
      </c>
      <c r="D17" s="35">
        <v>240</v>
      </c>
      <c r="E17" s="35">
        <v>8</v>
      </c>
      <c r="F17" s="19">
        <f t="shared" si="5"/>
        <v>0.26879999999999998</v>
      </c>
      <c r="G17" s="286">
        <v>23</v>
      </c>
      <c r="H17" s="288">
        <f t="shared" si="6"/>
        <v>6.1823999999999995</v>
      </c>
      <c r="I17" s="290">
        <v>0</v>
      </c>
      <c r="J17" s="205">
        <f t="shared" si="0"/>
        <v>0</v>
      </c>
      <c r="K17" s="290">
        <v>1</v>
      </c>
      <c r="L17" s="205">
        <f t="shared" si="12"/>
        <v>0.26879999999999998</v>
      </c>
      <c r="M17" s="290">
        <v>0</v>
      </c>
      <c r="N17" s="205">
        <f t="shared" si="13"/>
        <v>0</v>
      </c>
      <c r="O17" s="290">
        <v>0</v>
      </c>
      <c r="P17" s="205">
        <f t="shared" si="14"/>
        <v>0</v>
      </c>
      <c r="Q17" s="290">
        <v>0</v>
      </c>
      <c r="R17" s="205">
        <f t="shared" si="15"/>
        <v>0</v>
      </c>
      <c r="S17" s="39">
        <f t="shared" si="10"/>
        <v>22</v>
      </c>
      <c r="T17" s="38">
        <f t="shared" si="4"/>
        <v>5.9135999999999997</v>
      </c>
      <c r="U17" s="290">
        <v>0</v>
      </c>
      <c r="V17" s="13">
        <f t="shared" si="7"/>
        <v>0</v>
      </c>
      <c r="W17" s="294">
        <f t="shared" si="8"/>
        <v>22</v>
      </c>
      <c r="X17" s="295">
        <f t="shared" si="9"/>
        <v>5.9135999999999997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147</v>
      </c>
      <c r="C18" s="34">
        <v>77</v>
      </c>
      <c r="D18" s="35">
        <v>86</v>
      </c>
      <c r="E18" s="35">
        <v>8</v>
      </c>
      <c r="F18" s="19">
        <f t="shared" si="5"/>
        <v>5.2976000000000002E-2</v>
      </c>
      <c r="G18" s="286">
        <v>199</v>
      </c>
      <c r="H18" s="288">
        <f t="shared" si="6"/>
        <v>10.542224000000001</v>
      </c>
      <c r="I18" s="290">
        <v>67</v>
      </c>
      <c r="J18" s="205">
        <f t="shared" si="0"/>
        <v>3.5493920000000001</v>
      </c>
      <c r="K18" s="290">
        <v>26</v>
      </c>
      <c r="L18" s="205">
        <f t="shared" si="12"/>
        <v>1.3773760000000002</v>
      </c>
      <c r="M18" s="290">
        <v>4</v>
      </c>
      <c r="N18" s="205">
        <f t="shared" si="13"/>
        <v>0.21190400000000001</v>
      </c>
      <c r="O18" s="290">
        <v>0</v>
      </c>
      <c r="P18" s="205">
        <f t="shared" si="14"/>
        <v>0</v>
      </c>
      <c r="Q18" s="290">
        <v>0</v>
      </c>
      <c r="R18" s="205">
        <f t="shared" si="15"/>
        <v>0</v>
      </c>
      <c r="S18" s="39">
        <f t="shared" si="10"/>
        <v>102</v>
      </c>
      <c r="T18" s="38">
        <f t="shared" si="4"/>
        <v>5.4035520000000004</v>
      </c>
      <c r="U18" s="290">
        <v>0</v>
      </c>
      <c r="V18" s="13">
        <f t="shared" si="7"/>
        <v>0</v>
      </c>
      <c r="W18" s="294">
        <f t="shared" si="8"/>
        <v>102</v>
      </c>
      <c r="X18" s="295">
        <f t="shared" si="9"/>
        <v>5.4035520000000004</v>
      </c>
      <c r="Y18" s="238">
        <v>100</v>
      </c>
      <c r="Z18" s="101">
        <v>300</v>
      </c>
    </row>
    <row r="19" spans="1:26" x14ac:dyDescent="0.25">
      <c r="A19" s="264">
        <v>15</v>
      </c>
      <c r="B19" s="256" t="s">
        <v>148</v>
      </c>
      <c r="C19" s="34">
        <v>77</v>
      </c>
      <c r="D19" s="35">
        <v>68</v>
      </c>
      <c r="E19" s="35">
        <v>8</v>
      </c>
      <c r="F19" s="19">
        <f t="shared" si="5"/>
        <v>4.1888000000000002E-2</v>
      </c>
      <c r="G19" s="286">
        <v>328</v>
      </c>
      <c r="H19" s="288">
        <f t="shared" si="6"/>
        <v>13.739264</v>
      </c>
      <c r="I19" s="290">
        <v>66</v>
      </c>
      <c r="J19" s="205">
        <f t="shared" si="0"/>
        <v>2.764608</v>
      </c>
      <c r="K19" s="290">
        <v>15</v>
      </c>
      <c r="L19" s="205">
        <f t="shared" si="12"/>
        <v>0.62831999999999999</v>
      </c>
      <c r="M19" s="290">
        <v>3</v>
      </c>
      <c r="N19" s="205">
        <f t="shared" si="13"/>
        <v>0.125664</v>
      </c>
      <c r="O19" s="290">
        <v>0</v>
      </c>
      <c r="P19" s="205">
        <f t="shared" si="14"/>
        <v>0</v>
      </c>
      <c r="Q19" s="290">
        <v>0</v>
      </c>
      <c r="R19" s="205">
        <f t="shared" si="15"/>
        <v>0</v>
      </c>
      <c r="S19" s="39">
        <f t="shared" si="10"/>
        <v>244</v>
      </c>
      <c r="T19" s="38">
        <f t="shared" si="4"/>
        <v>10.220672</v>
      </c>
      <c r="U19" s="290">
        <v>0</v>
      </c>
      <c r="V19" s="13">
        <f t="shared" si="7"/>
        <v>0</v>
      </c>
      <c r="W19" s="294">
        <f t="shared" si="8"/>
        <v>244</v>
      </c>
      <c r="X19" s="295">
        <f t="shared" si="9"/>
        <v>10.220672</v>
      </c>
      <c r="Y19" s="238">
        <v>100</v>
      </c>
      <c r="Z19" s="101">
        <v>300</v>
      </c>
    </row>
    <row r="20" spans="1:26" x14ac:dyDescent="0.25">
      <c r="A20" s="264">
        <v>16</v>
      </c>
      <c r="B20" s="256" t="s">
        <v>149</v>
      </c>
      <c r="C20" s="34">
        <v>76</v>
      </c>
      <c r="D20" s="35">
        <v>75</v>
      </c>
      <c r="E20" s="35">
        <v>8</v>
      </c>
      <c r="F20" s="19">
        <f t="shared" si="5"/>
        <v>4.5600000000000002E-2</v>
      </c>
      <c r="G20" s="286">
        <v>235</v>
      </c>
      <c r="H20" s="288">
        <f t="shared" si="6"/>
        <v>10.716000000000001</v>
      </c>
      <c r="I20" s="290">
        <v>132</v>
      </c>
      <c r="J20" s="205">
        <f t="shared" si="0"/>
        <v>6.0192000000000005</v>
      </c>
      <c r="K20" s="290">
        <v>30</v>
      </c>
      <c r="L20" s="205">
        <f t="shared" si="12"/>
        <v>1.3680000000000001</v>
      </c>
      <c r="M20" s="290">
        <v>6</v>
      </c>
      <c r="N20" s="205">
        <f t="shared" si="13"/>
        <v>0.27360000000000001</v>
      </c>
      <c r="O20" s="290">
        <v>0</v>
      </c>
      <c r="P20" s="205">
        <f t="shared" si="14"/>
        <v>0</v>
      </c>
      <c r="Q20" s="290">
        <v>0</v>
      </c>
      <c r="R20" s="205">
        <f t="shared" si="15"/>
        <v>0</v>
      </c>
      <c r="S20" s="39">
        <f t="shared" si="10"/>
        <v>67</v>
      </c>
      <c r="T20" s="38">
        <f t="shared" si="4"/>
        <v>3.0552000000000001</v>
      </c>
      <c r="U20" s="290">
        <v>0</v>
      </c>
      <c r="V20" s="13">
        <f t="shared" si="7"/>
        <v>0</v>
      </c>
      <c r="W20" s="294">
        <f t="shared" si="8"/>
        <v>67</v>
      </c>
      <c r="X20" s="295">
        <f t="shared" si="9"/>
        <v>3.0552000000000001</v>
      </c>
      <c r="Y20" s="238">
        <v>100</v>
      </c>
      <c r="Z20" s="101">
        <v>300</v>
      </c>
    </row>
    <row r="21" spans="1:26" x14ac:dyDescent="0.25">
      <c r="A21" s="264">
        <v>17</v>
      </c>
      <c r="B21" s="256" t="s">
        <v>150</v>
      </c>
      <c r="C21" s="34">
        <v>60</v>
      </c>
      <c r="D21" s="35">
        <v>63</v>
      </c>
      <c r="E21" s="35">
        <v>10</v>
      </c>
      <c r="F21" s="19">
        <f t="shared" si="5"/>
        <v>3.78E-2</v>
      </c>
      <c r="G21" s="286">
        <v>1432</v>
      </c>
      <c r="H21" s="288">
        <f t="shared" si="6"/>
        <v>54.129600000000003</v>
      </c>
      <c r="I21" s="290">
        <v>0</v>
      </c>
      <c r="J21" s="205">
        <f t="shared" si="0"/>
        <v>0</v>
      </c>
      <c r="K21" s="290">
        <v>0</v>
      </c>
      <c r="L21" s="205">
        <f t="shared" si="0"/>
        <v>0</v>
      </c>
      <c r="M21" s="290">
        <v>0</v>
      </c>
      <c r="N21" s="21">
        <v>0</v>
      </c>
      <c r="O21" s="290">
        <v>0</v>
      </c>
      <c r="P21" s="21">
        <v>0</v>
      </c>
      <c r="Q21" s="290">
        <v>0</v>
      </c>
      <c r="R21" s="21">
        <v>0</v>
      </c>
      <c r="S21" s="39">
        <f t="shared" si="10"/>
        <v>1432</v>
      </c>
      <c r="T21" s="38">
        <f t="shared" si="4"/>
        <v>54.129600000000003</v>
      </c>
      <c r="U21" s="290">
        <v>0</v>
      </c>
      <c r="V21" s="13">
        <f t="shared" si="7"/>
        <v>0</v>
      </c>
      <c r="W21" s="294">
        <f t="shared" si="8"/>
        <v>1432</v>
      </c>
      <c r="X21" s="295">
        <f t="shared" si="9"/>
        <v>54.129600000000003</v>
      </c>
      <c r="Y21" s="238">
        <v>50</v>
      </c>
      <c r="Z21" s="101">
        <v>200</v>
      </c>
    </row>
    <row r="22" spans="1:26" x14ac:dyDescent="0.25">
      <c r="A22" s="264">
        <v>18</v>
      </c>
      <c r="B22" s="256" t="s">
        <v>151</v>
      </c>
      <c r="C22" s="34">
        <v>63</v>
      </c>
      <c r="D22" s="35">
        <v>60</v>
      </c>
      <c r="E22" s="35">
        <v>3</v>
      </c>
      <c r="F22" s="19">
        <f t="shared" si="5"/>
        <v>1.1339999999999999E-2</v>
      </c>
      <c r="G22" s="286">
        <v>330</v>
      </c>
      <c r="H22" s="288">
        <f t="shared" si="6"/>
        <v>3.7422</v>
      </c>
      <c r="I22" s="290">
        <v>0</v>
      </c>
      <c r="J22" s="205">
        <f t="shared" si="0"/>
        <v>0</v>
      </c>
      <c r="K22" s="290">
        <v>0</v>
      </c>
      <c r="L22" s="205">
        <f t="shared" si="0"/>
        <v>0</v>
      </c>
      <c r="M22" s="290">
        <v>0</v>
      </c>
      <c r="N22" s="21">
        <v>0</v>
      </c>
      <c r="O22" s="290">
        <v>0</v>
      </c>
      <c r="P22" s="21">
        <v>0</v>
      </c>
      <c r="Q22" s="290">
        <v>0</v>
      </c>
      <c r="R22" s="21">
        <v>0</v>
      </c>
      <c r="S22" s="39">
        <f t="shared" si="10"/>
        <v>330</v>
      </c>
      <c r="T22" s="38">
        <f t="shared" si="4"/>
        <v>3.7422</v>
      </c>
      <c r="U22" s="290">
        <v>0</v>
      </c>
      <c r="V22" s="13">
        <f t="shared" si="7"/>
        <v>0</v>
      </c>
      <c r="W22" s="294">
        <f t="shared" si="8"/>
        <v>330</v>
      </c>
      <c r="X22" s="295">
        <f t="shared" si="9"/>
        <v>3.7422</v>
      </c>
      <c r="Y22" s="238">
        <v>50</v>
      </c>
      <c r="Z22" s="101">
        <v>200</v>
      </c>
    </row>
    <row r="23" spans="1:26" x14ac:dyDescent="0.25">
      <c r="A23" s="264">
        <v>19</v>
      </c>
      <c r="B23" s="42" t="s">
        <v>152</v>
      </c>
      <c r="C23" s="34">
        <v>140</v>
      </c>
      <c r="D23" s="35">
        <v>240</v>
      </c>
      <c r="E23" s="35">
        <v>1.4</v>
      </c>
      <c r="F23" s="19">
        <f t="shared" si="5"/>
        <v>4.7039999999999998E-2</v>
      </c>
      <c r="G23" s="286">
        <v>1110</v>
      </c>
      <c r="H23" s="288">
        <f t="shared" si="6"/>
        <v>52.214399999999998</v>
      </c>
      <c r="I23" s="290">
        <v>105</v>
      </c>
      <c r="J23" s="205">
        <f t="shared" si="0"/>
        <v>4.9391999999999996</v>
      </c>
      <c r="K23" s="290">
        <v>48</v>
      </c>
      <c r="L23" s="205">
        <f t="shared" ref="L23:L36" si="16">F23*K23</f>
        <v>2.2579199999999999</v>
      </c>
      <c r="M23" s="290">
        <v>64</v>
      </c>
      <c r="N23" s="205">
        <f t="shared" ref="N23:N36" si="17">F23*M23</f>
        <v>3.0105599999999999</v>
      </c>
      <c r="O23" s="290">
        <v>104</v>
      </c>
      <c r="P23" s="205">
        <f t="shared" ref="P23:P36" si="18">F23*O23</f>
        <v>4.8921599999999996</v>
      </c>
      <c r="Q23" s="290">
        <v>0</v>
      </c>
      <c r="R23" s="205">
        <f t="shared" ref="R23:R37" si="19">F23*Q23</f>
        <v>0</v>
      </c>
      <c r="S23" s="39">
        <f t="shared" si="10"/>
        <v>789</v>
      </c>
      <c r="T23" s="38">
        <f t="shared" si="4"/>
        <v>37.114559999999997</v>
      </c>
      <c r="U23" s="290">
        <v>0</v>
      </c>
      <c r="V23" s="13">
        <f t="shared" si="7"/>
        <v>0</v>
      </c>
      <c r="W23" s="294">
        <f t="shared" si="8"/>
        <v>789</v>
      </c>
      <c r="X23" s="295">
        <f t="shared" si="9"/>
        <v>37.114559999999997</v>
      </c>
      <c r="Y23" s="238">
        <v>200</v>
      </c>
      <c r="Z23" s="101">
        <v>500</v>
      </c>
    </row>
    <row r="24" spans="1:26" x14ac:dyDescent="0.25">
      <c r="A24" s="264">
        <v>20</v>
      </c>
      <c r="B24" s="256" t="s">
        <v>3</v>
      </c>
      <c r="C24" s="34">
        <v>140</v>
      </c>
      <c r="D24" s="35">
        <v>240</v>
      </c>
      <c r="E24" s="35">
        <v>0.8</v>
      </c>
      <c r="F24" s="19">
        <f t="shared" si="5"/>
        <v>2.6880000000000001E-2</v>
      </c>
      <c r="G24" s="286">
        <v>389</v>
      </c>
      <c r="H24" s="288">
        <f t="shared" si="6"/>
        <v>10.45632</v>
      </c>
      <c r="I24" s="290">
        <v>2</v>
      </c>
      <c r="J24" s="205">
        <f t="shared" si="0"/>
        <v>5.3760000000000002E-2</v>
      </c>
      <c r="K24" s="290">
        <v>8</v>
      </c>
      <c r="L24" s="205">
        <f t="shared" si="16"/>
        <v>0.21504000000000001</v>
      </c>
      <c r="M24" s="290">
        <v>10</v>
      </c>
      <c r="N24" s="205">
        <f t="shared" si="17"/>
        <v>0.26880000000000004</v>
      </c>
      <c r="O24" s="290">
        <v>59</v>
      </c>
      <c r="P24" s="205">
        <f t="shared" si="18"/>
        <v>1.58592</v>
      </c>
      <c r="Q24" s="290">
        <v>0</v>
      </c>
      <c r="R24" s="205">
        <f t="shared" si="19"/>
        <v>0</v>
      </c>
      <c r="S24" s="39">
        <f t="shared" si="10"/>
        <v>310</v>
      </c>
      <c r="T24" s="38">
        <f t="shared" si="4"/>
        <v>8.3328000000000007</v>
      </c>
      <c r="U24" s="290">
        <v>0</v>
      </c>
      <c r="V24" s="13">
        <f t="shared" si="7"/>
        <v>0</v>
      </c>
      <c r="W24" s="294">
        <f t="shared" si="8"/>
        <v>310</v>
      </c>
      <c r="X24" s="295">
        <f t="shared" si="9"/>
        <v>8.3328000000000007</v>
      </c>
      <c r="Y24" s="238">
        <v>100</v>
      </c>
      <c r="Z24" s="101">
        <v>300</v>
      </c>
    </row>
    <row r="25" spans="1:26" x14ac:dyDescent="0.25">
      <c r="A25" s="264">
        <v>21</v>
      </c>
      <c r="B25" s="256" t="s">
        <v>153</v>
      </c>
      <c r="C25" s="34">
        <v>58</v>
      </c>
      <c r="D25" s="35">
        <v>58</v>
      </c>
      <c r="E25" s="35">
        <v>2.2999999999999998</v>
      </c>
      <c r="F25" s="19">
        <f t="shared" si="5"/>
        <v>7.7371999999999996E-3</v>
      </c>
      <c r="G25" s="286">
        <v>439</v>
      </c>
      <c r="H25" s="288">
        <f t="shared" si="6"/>
        <v>3.3966307999999996</v>
      </c>
      <c r="I25" s="290">
        <v>90</v>
      </c>
      <c r="J25" s="205">
        <f t="shared" si="0"/>
        <v>0.69634799999999997</v>
      </c>
      <c r="K25" s="290">
        <v>0</v>
      </c>
      <c r="L25" s="205">
        <f t="shared" si="16"/>
        <v>0</v>
      </c>
      <c r="M25" s="290">
        <v>0</v>
      </c>
      <c r="N25" s="205">
        <f t="shared" si="17"/>
        <v>0</v>
      </c>
      <c r="O25" s="290">
        <v>0</v>
      </c>
      <c r="P25" s="205">
        <f t="shared" si="18"/>
        <v>0</v>
      </c>
      <c r="Q25" s="290">
        <v>0</v>
      </c>
      <c r="R25" s="205">
        <f t="shared" si="19"/>
        <v>0</v>
      </c>
      <c r="S25" s="39">
        <f t="shared" si="10"/>
        <v>349</v>
      </c>
      <c r="T25" s="38">
        <f t="shared" si="4"/>
        <v>2.7002828000000001</v>
      </c>
      <c r="U25" s="290">
        <v>0</v>
      </c>
      <c r="V25" s="13">
        <f t="shared" si="7"/>
        <v>0</v>
      </c>
      <c r="W25" s="294">
        <f t="shared" si="8"/>
        <v>349</v>
      </c>
      <c r="X25" s="295">
        <f t="shared" si="9"/>
        <v>2.7002828000000001</v>
      </c>
      <c r="Y25" s="238">
        <v>200</v>
      </c>
      <c r="Z25" s="101">
        <v>750</v>
      </c>
    </row>
    <row r="26" spans="1:26" x14ac:dyDescent="0.25">
      <c r="A26" s="264">
        <v>22</v>
      </c>
      <c r="B26" s="256" t="s">
        <v>154</v>
      </c>
      <c r="C26" s="34">
        <v>140</v>
      </c>
      <c r="D26" s="35">
        <v>240</v>
      </c>
      <c r="E26" s="35">
        <v>7</v>
      </c>
      <c r="F26" s="19">
        <f t="shared" si="5"/>
        <v>0.23519999999999999</v>
      </c>
      <c r="G26" s="286">
        <v>26</v>
      </c>
      <c r="H26" s="288">
        <f t="shared" si="6"/>
        <v>6.1151999999999997</v>
      </c>
      <c r="I26" s="290">
        <v>0</v>
      </c>
      <c r="J26" s="205">
        <f t="shared" si="0"/>
        <v>0</v>
      </c>
      <c r="K26" s="290">
        <v>5</v>
      </c>
      <c r="L26" s="205">
        <f t="shared" si="16"/>
        <v>1.1759999999999999</v>
      </c>
      <c r="M26" s="290">
        <v>18</v>
      </c>
      <c r="N26" s="205">
        <f t="shared" si="17"/>
        <v>4.2336</v>
      </c>
      <c r="O26" s="290">
        <v>31</v>
      </c>
      <c r="P26" s="205">
        <f t="shared" si="18"/>
        <v>7.2911999999999999</v>
      </c>
      <c r="Q26" s="290">
        <v>0</v>
      </c>
      <c r="R26" s="205">
        <f t="shared" si="19"/>
        <v>0</v>
      </c>
      <c r="S26" s="39">
        <f t="shared" si="10"/>
        <v>-28</v>
      </c>
      <c r="T26" s="38">
        <f t="shared" si="4"/>
        <v>-6.5855999999999995</v>
      </c>
      <c r="U26" s="290">
        <v>40</v>
      </c>
      <c r="V26" s="13">
        <f t="shared" si="7"/>
        <v>9.4079999999999995</v>
      </c>
      <c r="W26" s="294">
        <f t="shared" si="8"/>
        <v>12</v>
      </c>
      <c r="X26" s="295">
        <f t="shared" si="9"/>
        <v>2.8224</v>
      </c>
      <c r="Y26" s="238">
        <v>50</v>
      </c>
      <c r="Z26" s="101">
        <v>200</v>
      </c>
    </row>
    <row r="27" spans="1:26" ht="15.75" x14ac:dyDescent="0.25">
      <c r="A27" s="264">
        <v>23</v>
      </c>
      <c r="B27" s="256" t="s">
        <v>55</v>
      </c>
      <c r="C27" s="111">
        <v>50</v>
      </c>
      <c r="D27" s="112">
        <v>45</v>
      </c>
      <c r="E27" s="112">
        <v>4</v>
      </c>
      <c r="F27" s="19">
        <f t="shared" si="5"/>
        <v>8.9999999999999993E-3</v>
      </c>
      <c r="G27" s="286">
        <v>1984</v>
      </c>
      <c r="H27" s="288">
        <f t="shared" si="6"/>
        <v>17.855999999999998</v>
      </c>
      <c r="I27" s="290">
        <v>0</v>
      </c>
      <c r="J27" s="205">
        <f t="shared" si="0"/>
        <v>0</v>
      </c>
      <c r="K27" s="290">
        <v>0</v>
      </c>
      <c r="L27" s="205">
        <f t="shared" si="16"/>
        <v>0</v>
      </c>
      <c r="M27" s="290">
        <v>0</v>
      </c>
      <c r="N27" s="205">
        <f t="shared" si="17"/>
        <v>0</v>
      </c>
      <c r="O27" s="290">
        <v>0</v>
      </c>
      <c r="P27" s="205">
        <f t="shared" si="18"/>
        <v>0</v>
      </c>
      <c r="Q27" s="290">
        <v>0</v>
      </c>
      <c r="R27" s="205">
        <f t="shared" si="19"/>
        <v>0</v>
      </c>
      <c r="S27" s="39">
        <f t="shared" si="10"/>
        <v>1984</v>
      </c>
      <c r="T27" s="38">
        <f t="shared" si="4"/>
        <v>17.855999999999998</v>
      </c>
      <c r="U27" s="290">
        <v>0</v>
      </c>
      <c r="V27" s="13">
        <f t="shared" si="7"/>
        <v>0</v>
      </c>
      <c r="W27" s="294">
        <f t="shared" si="8"/>
        <v>1984</v>
      </c>
      <c r="X27" s="295">
        <f t="shared" si="9"/>
        <v>17.855999999999998</v>
      </c>
      <c r="Y27" s="238">
        <v>300</v>
      </c>
      <c r="Z27" s="101">
        <v>1000</v>
      </c>
    </row>
    <row r="28" spans="1:26" ht="15.75" x14ac:dyDescent="0.25">
      <c r="A28" s="264">
        <v>24</v>
      </c>
      <c r="B28" s="256" t="s">
        <v>56</v>
      </c>
      <c r="C28" s="111">
        <v>50</v>
      </c>
      <c r="D28" s="112">
        <v>35</v>
      </c>
      <c r="E28" s="112">
        <v>4</v>
      </c>
      <c r="F28" s="19">
        <f t="shared" si="5"/>
        <v>7.0000000000000001E-3</v>
      </c>
      <c r="G28" s="286">
        <v>948</v>
      </c>
      <c r="H28" s="288">
        <f t="shared" si="6"/>
        <v>6.6360000000000001</v>
      </c>
      <c r="I28" s="290">
        <v>0</v>
      </c>
      <c r="J28" s="205">
        <f t="shared" si="0"/>
        <v>0</v>
      </c>
      <c r="K28" s="290">
        <v>0</v>
      </c>
      <c r="L28" s="205">
        <f t="shared" si="16"/>
        <v>0</v>
      </c>
      <c r="M28" s="290">
        <v>80</v>
      </c>
      <c r="N28" s="205">
        <f t="shared" si="17"/>
        <v>0.56000000000000005</v>
      </c>
      <c r="O28" s="290">
        <v>70</v>
      </c>
      <c r="P28" s="205">
        <f t="shared" si="18"/>
        <v>0.49</v>
      </c>
      <c r="Q28" s="290">
        <v>0</v>
      </c>
      <c r="R28" s="205">
        <f t="shared" si="19"/>
        <v>0</v>
      </c>
      <c r="S28" s="39">
        <f t="shared" si="10"/>
        <v>798</v>
      </c>
      <c r="T28" s="38">
        <f t="shared" si="4"/>
        <v>5.5860000000000003</v>
      </c>
      <c r="U28" s="290">
        <v>0</v>
      </c>
      <c r="V28" s="13">
        <f t="shared" si="7"/>
        <v>0</v>
      </c>
      <c r="W28" s="294">
        <f t="shared" si="8"/>
        <v>798</v>
      </c>
      <c r="X28" s="295">
        <f t="shared" si="9"/>
        <v>5.5860000000000003</v>
      </c>
      <c r="Y28" s="238">
        <v>300</v>
      </c>
      <c r="Z28" s="101">
        <v>1000</v>
      </c>
    </row>
    <row r="29" spans="1:26" ht="15.75" x14ac:dyDescent="0.25">
      <c r="A29" s="264">
        <v>25</v>
      </c>
      <c r="B29" s="256" t="s">
        <v>57</v>
      </c>
      <c r="C29" s="111">
        <v>45</v>
      </c>
      <c r="D29" s="112">
        <v>44</v>
      </c>
      <c r="E29" s="112">
        <v>3</v>
      </c>
      <c r="F29" s="19">
        <f t="shared" si="5"/>
        <v>5.94E-3</v>
      </c>
      <c r="G29" s="286">
        <v>2418</v>
      </c>
      <c r="H29" s="288">
        <f t="shared" si="6"/>
        <v>14.362920000000001</v>
      </c>
      <c r="I29" s="290">
        <v>182</v>
      </c>
      <c r="J29" s="205">
        <f t="shared" si="0"/>
        <v>1.08108</v>
      </c>
      <c r="K29" s="290">
        <v>0</v>
      </c>
      <c r="L29" s="205">
        <f t="shared" si="16"/>
        <v>0</v>
      </c>
      <c r="M29" s="290">
        <v>0</v>
      </c>
      <c r="N29" s="205">
        <f t="shared" si="17"/>
        <v>0</v>
      </c>
      <c r="O29" s="290">
        <v>0</v>
      </c>
      <c r="P29" s="205">
        <f t="shared" si="18"/>
        <v>0</v>
      </c>
      <c r="Q29" s="290">
        <v>0</v>
      </c>
      <c r="R29" s="205">
        <f t="shared" si="19"/>
        <v>0</v>
      </c>
      <c r="S29" s="39">
        <f t="shared" si="10"/>
        <v>2236</v>
      </c>
      <c r="T29" s="38">
        <f t="shared" si="4"/>
        <v>13.281840000000001</v>
      </c>
      <c r="U29" s="290">
        <v>0</v>
      </c>
      <c r="V29" s="13">
        <f t="shared" si="7"/>
        <v>0</v>
      </c>
      <c r="W29" s="294">
        <f t="shared" si="8"/>
        <v>2236</v>
      </c>
      <c r="X29" s="295">
        <f t="shared" si="9"/>
        <v>13.281840000000001</v>
      </c>
      <c r="Y29" s="238">
        <v>500</v>
      </c>
      <c r="Z29" s="101">
        <v>1500</v>
      </c>
    </row>
    <row r="30" spans="1:26" ht="15.75" x14ac:dyDescent="0.25">
      <c r="A30" s="264">
        <v>26</v>
      </c>
      <c r="B30" s="256" t="s">
        <v>58</v>
      </c>
      <c r="C30" s="111">
        <v>45</v>
      </c>
      <c r="D30" s="112">
        <v>35.5</v>
      </c>
      <c r="E30" s="112">
        <v>3</v>
      </c>
      <c r="F30" s="19">
        <f t="shared" si="5"/>
        <v>4.7924999999999999E-3</v>
      </c>
      <c r="G30" s="286">
        <v>2276</v>
      </c>
      <c r="H30" s="288">
        <f t="shared" si="6"/>
        <v>10.907729999999999</v>
      </c>
      <c r="I30" s="290">
        <v>197</v>
      </c>
      <c r="J30" s="205">
        <f t="shared" si="0"/>
        <v>0.94412249999999998</v>
      </c>
      <c r="K30" s="290">
        <v>0</v>
      </c>
      <c r="L30" s="205">
        <f t="shared" si="16"/>
        <v>0</v>
      </c>
      <c r="M30" s="290">
        <v>0</v>
      </c>
      <c r="N30" s="205">
        <f t="shared" si="17"/>
        <v>0</v>
      </c>
      <c r="O30" s="290">
        <v>0</v>
      </c>
      <c r="P30" s="205">
        <f t="shared" si="18"/>
        <v>0</v>
      </c>
      <c r="Q30" s="290">
        <v>0</v>
      </c>
      <c r="R30" s="205">
        <f t="shared" si="19"/>
        <v>0</v>
      </c>
      <c r="S30" s="39">
        <f t="shared" si="10"/>
        <v>2079</v>
      </c>
      <c r="T30" s="38">
        <f t="shared" si="4"/>
        <v>9.9636075000000002</v>
      </c>
      <c r="U30" s="290">
        <v>0</v>
      </c>
      <c r="V30" s="13">
        <f t="shared" si="7"/>
        <v>0</v>
      </c>
      <c r="W30" s="294">
        <f t="shared" si="8"/>
        <v>2079</v>
      </c>
      <c r="X30" s="295">
        <f t="shared" si="9"/>
        <v>9.9636075000000002</v>
      </c>
      <c r="Y30" s="238">
        <v>500</v>
      </c>
      <c r="Z30" s="101">
        <v>1500</v>
      </c>
    </row>
    <row r="31" spans="1:26" x14ac:dyDescent="0.25">
      <c r="A31" s="264">
        <v>27</v>
      </c>
      <c r="B31" s="256" t="s">
        <v>155</v>
      </c>
      <c r="C31" s="34">
        <v>140</v>
      </c>
      <c r="D31" s="35">
        <v>9.5</v>
      </c>
      <c r="E31" s="35">
        <v>6.5</v>
      </c>
      <c r="F31" s="19">
        <f t="shared" si="5"/>
        <v>8.6449999999999999E-3</v>
      </c>
      <c r="G31" s="286">
        <v>2317</v>
      </c>
      <c r="H31" s="288">
        <f t="shared" si="6"/>
        <v>20.030465</v>
      </c>
      <c r="I31" s="290">
        <v>0</v>
      </c>
      <c r="J31" s="205">
        <f t="shared" si="0"/>
        <v>0</v>
      </c>
      <c r="K31" s="290">
        <v>0</v>
      </c>
      <c r="L31" s="205">
        <f t="shared" si="16"/>
        <v>0</v>
      </c>
      <c r="M31" s="290">
        <v>0</v>
      </c>
      <c r="N31" s="205">
        <f t="shared" si="17"/>
        <v>0</v>
      </c>
      <c r="O31" s="290">
        <v>0</v>
      </c>
      <c r="P31" s="205">
        <f t="shared" si="18"/>
        <v>0</v>
      </c>
      <c r="Q31" s="290">
        <v>0</v>
      </c>
      <c r="R31" s="205">
        <f t="shared" si="19"/>
        <v>0</v>
      </c>
      <c r="S31" s="39">
        <f t="shared" si="10"/>
        <v>2317</v>
      </c>
      <c r="T31" s="38">
        <f t="shared" si="4"/>
        <v>20.030465</v>
      </c>
      <c r="U31" s="290">
        <v>0</v>
      </c>
      <c r="V31" s="13">
        <f t="shared" si="7"/>
        <v>0</v>
      </c>
      <c r="W31" s="294">
        <f t="shared" si="8"/>
        <v>2317</v>
      </c>
      <c r="X31" s="295">
        <f t="shared" si="9"/>
        <v>20.030465</v>
      </c>
      <c r="Y31" s="238">
        <v>500</v>
      </c>
      <c r="Z31" s="101">
        <v>1500</v>
      </c>
    </row>
    <row r="32" spans="1:26" x14ac:dyDescent="0.25">
      <c r="A32" s="264">
        <v>28</v>
      </c>
      <c r="B32" s="256" t="s">
        <v>156</v>
      </c>
      <c r="C32" s="34">
        <v>140</v>
      </c>
      <c r="D32" s="35">
        <v>240</v>
      </c>
      <c r="E32" s="35">
        <v>1</v>
      </c>
      <c r="F32" s="19">
        <f t="shared" si="5"/>
        <v>3.3599999999999998E-2</v>
      </c>
      <c r="G32" s="286">
        <v>765</v>
      </c>
      <c r="H32" s="288">
        <f t="shared" si="6"/>
        <v>25.703999999999997</v>
      </c>
      <c r="I32" s="290">
        <v>360</v>
      </c>
      <c r="J32" s="205">
        <f t="shared" si="0"/>
        <v>12.096</v>
      </c>
      <c r="K32" s="290">
        <v>106</v>
      </c>
      <c r="L32" s="205">
        <f t="shared" si="16"/>
        <v>3.5615999999999999</v>
      </c>
      <c r="M32" s="290">
        <v>164</v>
      </c>
      <c r="N32" s="205">
        <f t="shared" si="17"/>
        <v>5.5103999999999997</v>
      </c>
      <c r="O32" s="290">
        <v>208</v>
      </c>
      <c r="P32" s="205">
        <f t="shared" si="18"/>
        <v>6.9887999999999995</v>
      </c>
      <c r="Q32" s="290">
        <v>0</v>
      </c>
      <c r="R32" s="205">
        <f>F32*Q32</f>
        <v>0</v>
      </c>
      <c r="S32" s="39">
        <f t="shared" si="10"/>
        <v>-73</v>
      </c>
      <c r="T32" s="38">
        <f t="shared" si="4"/>
        <v>-2.4527999999999999</v>
      </c>
      <c r="U32" s="290">
        <v>175</v>
      </c>
      <c r="V32" s="205">
        <f>F32*U32</f>
        <v>5.88</v>
      </c>
      <c r="W32" s="294">
        <f t="shared" si="8"/>
        <v>102</v>
      </c>
      <c r="X32" s="295">
        <f t="shared" si="9"/>
        <v>3.4271999999999996</v>
      </c>
      <c r="Y32" s="238">
        <v>250</v>
      </c>
      <c r="Z32" s="101">
        <v>750</v>
      </c>
    </row>
    <row r="33" spans="1:26" x14ac:dyDescent="0.25">
      <c r="A33" s="264">
        <v>29</v>
      </c>
      <c r="B33" s="256" t="s">
        <v>157</v>
      </c>
      <c r="C33" s="34">
        <v>140</v>
      </c>
      <c r="D33" s="35">
        <v>240</v>
      </c>
      <c r="E33" s="35">
        <v>2</v>
      </c>
      <c r="F33" s="19">
        <f t="shared" si="5"/>
        <v>6.7199999999999996E-2</v>
      </c>
      <c r="G33" s="286">
        <v>141</v>
      </c>
      <c r="H33" s="288">
        <f t="shared" si="6"/>
        <v>9.4751999999999992</v>
      </c>
      <c r="I33" s="290">
        <v>7</v>
      </c>
      <c r="J33" s="205">
        <f t="shared" si="0"/>
        <v>0.47039999999999998</v>
      </c>
      <c r="K33" s="290">
        <v>9</v>
      </c>
      <c r="L33" s="205">
        <f t="shared" si="16"/>
        <v>0.6048</v>
      </c>
      <c r="M33" s="290">
        <v>14</v>
      </c>
      <c r="N33" s="205">
        <f t="shared" si="17"/>
        <v>0.94079999999999997</v>
      </c>
      <c r="O33" s="290">
        <v>9</v>
      </c>
      <c r="P33" s="205">
        <f t="shared" si="18"/>
        <v>0.6048</v>
      </c>
      <c r="Q33" s="290">
        <v>0</v>
      </c>
      <c r="R33" s="205">
        <f>F33*Q33</f>
        <v>0</v>
      </c>
      <c r="S33" s="39">
        <f t="shared" si="10"/>
        <v>102</v>
      </c>
      <c r="T33" s="38">
        <f t="shared" si="4"/>
        <v>6.8543999999999992</v>
      </c>
      <c r="U33" s="290">
        <v>0</v>
      </c>
      <c r="V33" s="13">
        <f t="shared" si="7"/>
        <v>0</v>
      </c>
      <c r="W33" s="294">
        <f t="shared" si="8"/>
        <v>102</v>
      </c>
      <c r="X33" s="295">
        <f t="shared" si="9"/>
        <v>6.8543999999999992</v>
      </c>
      <c r="Y33" s="238">
        <v>75</v>
      </c>
      <c r="Z33" s="101">
        <v>150</v>
      </c>
    </row>
    <row r="34" spans="1:26" x14ac:dyDescent="0.25">
      <c r="A34" s="264">
        <v>30</v>
      </c>
      <c r="B34" s="256" t="s">
        <v>158</v>
      </c>
      <c r="C34" s="34">
        <v>140</v>
      </c>
      <c r="D34" s="35">
        <v>240</v>
      </c>
      <c r="E34" s="35">
        <v>3</v>
      </c>
      <c r="F34" s="19">
        <f t="shared" si="5"/>
        <v>0.1008</v>
      </c>
      <c r="G34" s="286">
        <v>158</v>
      </c>
      <c r="H34" s="288">
        <f t="shared" si="6"/>
        <v>15.926400000000001</v>
      </c>
      <c r="I34" s="290">
        <v>8</v>
      </c>
      <c r="J34" s="205">
        <f>F34*I34</f>
        <v>0.80640000000000001</v>
      </c>
      <c r="K34" s="290">
        <v>27</v>
      </c>
      <c r="L34" s="205">
        <f t="shared" si="16"/>
        <v>2.7216</v>
      </c>
      <c r="M34" s="290">
        <v>12</v>
      </c>
      <c r="N34" s="205">
        <f t="shared" si="17"/>
        <v>1.2096</v>
      </c>
      <c r="O34" s="290">
        <v>22</v>
      </c>
      <c r="P34" s="205">
        <f t="shared" si="18"/>
        <v>2.2176</v>
      </c>
      <c r="Q34" s="290">
        <v>0</v>
      </c>
      <c r="R34" s="205">
        <f t="shared" si="19"/>
        <v>0</v>
      </c>
      <c r="S34" s="39">
        <f t="shared" si="10"/>
        <v>89</v>
      </c>
      <c r="T34" s="38">
        <f t="shared" si="4"/>
        <v>8.9711999999999996</v>
      </c>
      <c r="U34" s="290">
        <v>0</v>
      </c>
      <c r="V34" s="13">
        <f t="shared" si="7"/>
        <v>0</v>
      </c>
      <c r="W34" s="294">
        <f t="shared" si="8"/>
        <v>89</v>
      </c>
      <c r="X34" s="295">
        <f t="shared" si="9"/>
        <v>8.9711999999999996</v>
      </c>
      <c r="Y34" s="238">
        <v>75</v>
      </c>
      <c r="Z34" s="101">
        <v>150</v>
      </c>
    </row>
    <row r="35" spans="1:26" x14ac:dyDescent="0.25">
      <c r="A35" s="264">
        <v>31</v>
      </c>
      <c r="B35" s="256" t="s">
        <v>159</v>
      </c>
      <c r="C35" s="34">
        <v>140</v>
      </c>
      <c r="D35" s="35">
        <v>240</v>
      </c>
      <c r="E35" s="35">
        <v>4</v>
      </c>
      <c r="F35" s="19">
        <f t="shared" si="5"/>
        <v>0.13439999999999999</v>
      </c>
      <c r="G35" s="286">
        <v>77</v>
      </c>
      <c r="H35" s="288">
        <f t="shared" si="6"/>
        <v>10.348799999999999</v>
      </c>
      <c r="I35" s="290">
        <v>8</v>
      </c>
      <c r="J35" s="205">
        <f t="shared" si="0"/>
        <v>1.0751999999999999</v>
      </c>
      <c r="K35" s="290">
        <v>4</v>
      </c>
      <c r="L35" s="205">
        <f t="shared" si="16"/>
        <v>0.53759999999999997</v>
      </c>
      <c r="M35" s="290">
        <v>4</v>
      </c>
      <c r="N35" s="205">
        <f t="shared" si="17"/>
        <v>0.53759999999999997</v>
      </c>
      <c r="O35" s="290">
        <v>4</v>
      </c>
      <c r="P35" s="205">
        <f t="shared" si="18"/>
        <v>0.53759999999999997</v>
      </c>
      <c r="Q35" s="290">
        <v>0</v>
      </c>
      <c r="R35" s="205">
        <f t="shared" si="19"/>
        <v>0</v>
      </c>
      <c r="S35" s="39">
        <f t="shared" si="10"/>
        <v>57</v>
      </c>
      <c r="T35" s="38">
        <f t="shared" si="4"/>
        <v>7.6607999999999992</v>
      </c>
      <c r="U35" s="290">
        <v>0</v>
      </c>
      <c r="V35" s="13">
        <f t="shared" si="7"/>
        <v>0</v>
      </c>
      <c r="W35" s="294">
        <f t="shared" si="8"/>
        <v>57</v>
      </c>
      <c r="X35" s="295">
        <f t="shared" si="9"/>
        <v>7.6607999999999992</v>
      </c>
      <c r="Y35" s="238">
        <v>50</v>
      </c>
      <c r="Z35" s="101">
        <v>100</v>
      </c>
    </row>
    <row r="36" spans="1:26" x14ac:dyDescent="0.25">
      <c r="A36" s="264">
        <v>32</v>
      </c>
      <c r="B36" s="256" t="s">
        <v>160</v>
      </c>
      <c r="C36" s="34">
        <v>140</v>
      </c>
      <c r="D36" s="35">
        <v>240</v>
      </c>
      <c r="E36" s="35">
        <v>2</v>
      </c>
      <c r="F36" s="19">
        <f t="shared" si="5"/>
        <v>6.7199999999999996E-2</v>
      </c>
      <c r="G36" s="286">
        <v>906</v>
      </c>
      <c r="H36" s="288">
        <f t="shared" si="6"/>
        <v>60.883199999999995</v>
      </c>
      <c r="I36" s="290">
        <v>66</v>
      </c>
      <c r="J36" s="205">
        <f>F36*I36</f>
        <v>4.4352</v>
      </c>
      <c r="K36" s="290">
        <v>75</v>
      </c>
      <c r="L36" s="205">
        <f t="shared" si="16"/>
        <v>5.04</v>
      </c>
      <c r="M36" s="290">
        <v>75</v>
      </c>
      <c r="N36" s="205">
        <f t="shared" si="17"/>
        <v>5.04</v>
      </c>
      <c r="O36" s="290">
        <v>86</v>
      </c>
      <c r="P36" s="205">
        <f t="shared" si="18"/>
        <v>5.7791999999999994</v>
      </c>
      <c r="Q36" s="290">
        <v>0</v>
      </c>
      <c r="R36" s="205">
        <f t="shared" si="19"/>
        <v>0</v>
      </c>
      <c r="S36" s="39">
        <f t="shared" si="10"/>
        <v>604</v>
      </c>
      <c r="T36" s="38">
        <f t="shared" si="4"/>
        <v>40.588799999999999</v>
      </c>
      <c r="U36" s="290">
        <v>0</v>
      </c>
      <c r="V36" s="13">
        <f t="shared" si="7"/>
        <v>0</v>
      </c>
      <c r="W36" s="294">
        <f t="shared" si="8"/>
        <v>604</v>
      </c>
      <c r="X36" s="295">
        <f t="shared" si="9"/>
        <v>40.588799999999999</v>
      </c>
      <c r="Y36" s="238">
        <v>100</v>
      </c>
      <c r="Z36" s="101">
        <v>300</v>
      </c>
    </row>
    <row r="37" spans="1:26" x14ac:dyDescent="0.25">
      <c r="A37" s="264">
        <v>33</v>
      </c>
      <c r="B37" s="256" t="s">
        <v>161</v>
      </c>
      <c r="C37" s="34">
        <v>140</v>
      </c>
      <c r="D37" s="35">
        <v>240</v>
      </c>
      <c r="E37" s="35">
        <v>6</v>
      </c>
      <c r="F37" s="19">
        <f t="shared" si="5"/>
        <v>0.2016</v>
      </c>
      <c r="G37" s="286">
        <v>27</v>
      </c>
      <c r="H37" s="288">
        <f t="shared" si="6"/>
        <v>5.4432</v>
      </c>
      <c r="I37" s="290">
        <v>0</v>
      </c>
      <c r="J37" s="205">
        <f t="shared" si="0"/>
        <v>0</v>
      </c>
      <c r="K37" s="290">
        <v>0</v>
      </c>
      <c r="L37" s="205">
        <f>F37*K37</f>
        <v>0</v>
      </c>
      <c r="M37" s="290">
        <v>0</v>
      </c>
      <c r="N37" s="21">
        <v>0</v>
      </c>
      <c r="O37" s="290">
        <v>0</v>
      </c>
      <c r="P37" s="21">
        <v>0</v>
      </c>
      <c r="Q37" s="290">
        <v>0</v>
      </c>
      <c r="R37" s="205">
        <f t="shared" si="19"/>
        <v>0</v>
      </c>
      <c r="S37" s="39">
        <f t="shared" si="10"/>
        <v>27</v>
      </c>
      <c r="T37" s="38">
        <f t="shared" si="4"/>
        <v>5.4432</v>
      </c>
      <c r="U37" s="290">
        <v>0</v>
      </c>
      <c r="V37" s="13">
        <f t="shared" si="7"/>
        <v>0</v>
      </c>
      <c r="W37" s="294">
        <f t="shared" si="8"/>
        <v>27</v>
      </c>
      <c r="X37" s="295">
        <f t="shared" si="9"/>
        <v>5.4432</v>
      </c>
      <c r="Y37" s="238">
        <v>10</v>
      </c>
      <c r="Z37" s="101">
        <v>30</v>
      </c>
    </row>
    <row r="38" spans="1:26" x14ac:dyDescent="0.25">
      <c r="A38" s="264">
        <v>34</v>
      </c>
      <c r="B38" s="256" t="s">
        <v>181</v>
      </c>
      <c r="C38" s="34">
        <v>80</v>
      </c>
      <c r="D38" s="35">
        <v>75</v>
      </c>
      <c r="E38" s="35">
        <v>5</v>
      </c>
      <c r="F38" s="19">
        <f t="shared" si="5"/>
        <v>0.03</v>
      </c>
      <c r="G38" s="286">
        <v>94</v>
      </c>
      <c r="H38" s="288">
        <f t="shared" si="6"/>
        <v>2.82</v>
      </c>
      <c r="I38" s="290">
        <v>0</v>
      </c>
      <c r="J38" s="205">
        <f t="shared" si="0"/>
        <v>0</v>
      </c>
      <c r="K38" s="290">
        <v>0</v>
      </c>
      <c r="L38" s="205">
        <f t="shared" si="0"/>
        <v>0</v>
      </c>
      <c r="M38" s="290">
        <v>0</v>
      </c>
      <c r="N38" s="21">
        <v>0</v>
      </c>
      <c r="O38" s="290">
        <v>0</v>
      </c>
      <c r="P38" s="21">
        <v>0</v>
      </c>
      <c r="Q38" s="290">
        <v>0</v>
      </c>
      <c r="R38" s="21">
        <v>0</v>
      </c>
      <c r="S38" s="39">
        <f t="shared" si="10"/>
        <v>94</v>
      </c>
      <c r="T38" s="38">
        <f t="shared" si="4"/>
        <v>2.82</v>
      </c>
      <c r="U38" s="290">
        <v>0</v>
      </c>
      <c r="V38" s="13">
        <f t="shared" si="7"/>
        <v>0</v>
      </c>
      <c r="W38" s="294">
        <f t="shared" si="8"/>
        <v>94</v>
      </c>
      <c r="X38" s="295">
        <f t="shared" si="9"/>
        <v>2.82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182</v>
      </c>
      <c r="C39" s="34">
        <v>100</v>
      </c>
      <c r="D39" s="35">
        <v>95</v>
      </c>
      <c r="E39" s="35">
        <v>5</v>
      </c>
      <c r="F39" s="19">
        <f t="shared" si="5"/>
        <v>4.7500000000000001E-2</v>
      </c>
      <c r="G39" s="286">
        <v>177</v>
      </c>
      <c r="H39" s="288">
        <f t="shared" si="6"/>
        <v>8.4075000000000006</v>
      </c>
      <c r="I39" s="290">
        <v>0</v>
      </c>
      <c r="J39" s="205">
        <f t="shared" si="0"/>
        <v>0</v>
      </c>
      <c r="K39" s="290">
        <v>0</v>
      </c>
      <c r="L39" s="205">
        <f>F39*K39</f>
        <v>0</v>
      </c>
      <c r="M39" s="290">
        <v>0</v>
      </c>
      <c r="N39" s="205">
        <f>F39*M39</f>
        <v>0</v>
      </c>
      <c r="O39" s="290">
        <v>0</v>
      </c>
      <c r="P39" s="205">
        <f>J39*O39</f>
        <v>0</v>
      </c>
      <c r="Q39" s="290">
        <v>0</v>
      </c>
      <c r="R39" s="205">
        <f>L39*Q39</f>
        <v>0</v>
      </c>
      <c r="S39" s="39">
        <f t="shared" si="10"/>
        <v>177</v>
      </c>
      <c r="T39" s="38">
        <f t="shared" si="4"/>
        <v>8.4075000000000006</v>
      </c>
      <c r="U39" s="290">
        <v>0</v>
      </c>
      <c r="V39" s="13">
        <f t="shared" si="7"/>
        <v>0</v>
      </c>
      <c r="W39" s="294">
        <f t="shared" si="8"/>
        <v>177</v>
      </c>
      <c r="X39" s="295">
        <f t="shared" si="9"/>
        <v>8.4075000000000006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196</v>
      </c>
      <c r="C40" s="34">
        <v>65</v>
      </c>
      <c r="D40" s="35">
        <v>60</v>
      </c>
      <c r="E40" s="35">
        <v>5</v>
      </c>
      <c r="F40" s="19">
        <f t="shared" si="5"/>
        <v>1.95E-2</v>
      </c>
      <c r="G40" s="286">
        <v>397</v>
      </c>
      <c r="H40" s="288">
        <f t="shared" si="6"/>
        <v>7.7415000000000003</v>
      </c>
      <c r="I40" s="290">
        <v>0</v>
      </c>
      <c r="J40" s="205">
        <f t="shared" si="0"/>
        <v>0</v>
      </c>
      <c r="K40" s="290">
        <v>0</v>
      </c>
      <c r="L40" s="205">
        <f>F40*K40</f>
        <v>0</v>
      </c>
      <c r="M40" s="290">
        <v>0</v>
      </c>
      <c r="N40" s="205">
        <f>F40*M40</f>
        <v>0</v>
      </c>
      <c r="O40" s="290">
        <v>0</v>
      </c>
      <c r="P40" s="205">
        <f>F40*O40</f>
        <v>0</v>
      </c>
      <c r="Q40" s="290">
        <v>0</v>
      </c>
      <c r="R40" s="205">
        <f>F40*Q40</f>
        <v>0</v>
      </c>
      <c r="S40" s="39">
        <f t="shared" si="10"/>
        <v>397</v>
      </c>
      <c r="T40" s="38">
        <f t="shared" si="4"/>
        <v>7.7415000000000003</v>
      </c>
      <c r="U40" s="290">
        <v>0</v>
      </c>
      <c r="V40" s="13">
        <f t="shared" si="7"/>
        <v>0</v>
      </c>
      <c r="W40" s="294">
        <f t="shared" si="8"/>
        <v>397</v>
      </c>
      <c r="X40" s="295">
        <f t="shared" si="9"/>
        <v>7.7415000000000003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165</v>
      </c>
      <c r="C41" s="34">
        <v>140</v>
      </c>
      <c r="D41" s="35">
        <v>240</v>
      </c>
      <c r="E41" s="35">
        <v>10</v>
      </c>
      <c r="F41" s="19">
        <f t="shared" si="5"/>
        <v>0.33600000000000002</v>
      </c>
      <c r="G41" s="286">
        <v>80</v>
      </c>
      <c r="H41" s="288">
        <f t="shared" si="6"/>
        <v>26.880000000000003</v>
      </c>
      <c r="I41" s="290">
        <v>0</v>
      </c>
      <c r="J41" s="205">
        <f>F41*I41</f>
        <v>0</v>
      </c>
      <c r="K41" s="290">
        <v>5</v>
      </c>
      <c r="L41" s="205">
        <f>F41*K41</f>
        <v>1.6800000000000002</v>
      </c>
      <c r="M41" s="290">
        <v>28</v>
      </c>
      <c r="N41" s="205">
        <f>F41*M41</f>
        <v>9.4080000000000013</v>
      </c>
      <c r="O41" s="290">
        <v>32</v>
      </c>
      <c r="P41" s="205">
        <f>F41*O41</f>
        <v>10.752000000000001</v>
      </c>
      <c r="Q41" s="290">
        <v>0</v>
      </c>
      <c r="R41" s="205">
        <f>F41*Q41</f>
        <v>0</v>
      </c>
      <c r="S41" s="39">
        <f t="shared" si="10"/>
        <v>15</v>
      </c>
      <c r="T41" s="38">
        <f t="shared" si="4"/>
        <v>5.04</v>
      </c>
      <c r="U41" s="290">
        <v>20</v>
      </c>
      <c r="V41" s="13">
        <f t="shared" si="7"/>
        <v>6.7200000000000006</v>
      </c>
      <c r="W41" s="294">
        <f t="shared" si="8"/>
        <v>35</v>
      </c>
      <c r="X41" s="295">
        <f t="shared" si="9"/>
        <v>11.760000000000002</v>
      </c>
      <c r="Y41" s="238">
        <v>50</v>
      </c>
      <c r="Z41" s="101">
        <v>100</v>
      </c>
    </row>
    <row r="42" spans="1:26" x14ac:dyDescent="0.25">
      <c r="A42" s="264">
        <v>38</v>
      </c>
      <c r="B42" s="256" t="s">
        <v>166</v>
      </c>
      <c r="C42" s="34">
        <v>92</v>
      </c>
      <c r="D42" s="35">
        <v>82</v>
      </c>
      <c r="E42" s="35">
        <v>2</v>
      </c>
      <c r="F42" s="19">
        <f t="shared" si="5"/>
        <v>1.5088000000000001E-2</v>
      </c>
      <c r="G42" s="286">
        <v>412</v>
      </c>
      <c r="H42" s="288">
        <f t="shared" si="6"/>
        <v>6.2162560000000004</v>
      </c>
      <c r="I42" s="290">
        <v>30</v>
      </c>
      <c r="J42" s="205">
        <f t="shared" si="0"/>
        <v>0.45264000000000004</v>
      </c>
      <c r="K42" s="290">
        <v>20</v>
      </c>
      <c r="L42" s="205">
        <f>F42*K42</f>
        <v>0.30176000000000003</v>
      </c>
      <c r="M42" s="290">
        <v>0</v>
      </c>
      <c r="N42" s="205">
        <f>F42*M42</f>
        <v>0</v>
      </c>
      <c r="O42" s="290">
        <v>0</v>
      </c>
      <c r="P42" s="205">
        <f>F42*O42</f>
        <v>0</v>
      </c>
      <c r="Q42" s="290">
        <v>0</v>
      </c>
      <c r="R42" s="205">
        <f>F42*Q42</f>
        <v>0</v>
      </c>
      <c r="S42" s="39">
        <f t="shared" si="10"/>
        <v>362</v>
      </c>
      <c r="T42" s="38">
        <f t="shared" si="4"/>
        <v>5.461856</v>
      </c>
      <c r="U42" s="290">
        <v>0</v>
      </c>
      <c r="V42" s="13">
        <f t="shared" si="7"/>
        <v>0</v>
      </c>
      <c r="W42" s="294">
        <f t="shared" si="8"/>
        <v>362</v>
      </c>
      <c r="X42" s="295">
        <f t="shared" si="9"/>
        <v>5.461856</v>
      </c>
      <c r="Y42" s="238">
        <v>100</v>
      </c>
      <c r="Z42" s="101">
        <v>300</v>
      </c>
    </row>
    <row r="43" spans="1:26" x14ac:dyDescent="0.25">
      <c r="A43" s="264">
        <v>39</v>
      </c>
      <c r="B43" s="256" t="s">
        <v>183</v>
      </c>
      <c r="C43" s="34">
        <v>90</v>
      </c>
      <c r="D43" s="35">
        <v>90</v>
      </c>
      <c r="E43" s="35">
        <v>3</v>
      </c>
      <c r="F43" s="19">
        <f t="shared" si="5"/>
        <v>2.4299999999999999E-2</v>
      </c>
      <c r="G43" s="286">
        <v>171</v>
      </c>
      <c r="H43" s="288">
        <f t="shared" si="6"/>
        <v>4.1552999999999995</v>
      </c>
      <c r="I43" s="290">
        <v>0</v>
      </c>
      <c r="J43" s="205">
        <f t="shared" si="0"/>
        <v>0</v>
      </c>
      <c r="K43" s="290">
        <v>0</v>
      </c>
      <c r="L43" s="205">
        <f t="shared" si="0"/>
        <v>0</v>
      </c>
      <c r="M43" s="290">
        <v>0</v>
      </c>
      <c r="N43" s="21">
        <v>0</v>
      </c>
      <c r="O43" s="290">
        <v>0</v>
      </c>
      <c r="P43" s="21">
        <v>0</v>
      </c>
      <c r="Q43" s="290">
        <v>0</v>
      </c>
      <c r="R43" s="21">
        <v>0</v>
      </c>
      <c r="S43" s="39">
        <f t="shared" si="10"/>
        <v>171</v>
      </c>
      <c r="T43" s="38">
        <f t="shared" si="4"/>
        <v>4.1552999999999995</v>
      </c>
      <c r="U43" s="290">
        <v>0</v>
      </c>
      <c r="V43" s="13">
        <f t="shared" si="7"/>
        <v>0</v>
      </c>
      <c r="W43" s="294">
        <f t="shared" si="8"/>
        <v>171</v>
      </c>
      <c r="X43" s="295">
        <f t="shared" si="9"/>
        <v>4.1552999999999995</v>
      </c>
      <c r="Y43" s="238">
        <v>0</v>
      </c>
      <c r="Z43" s="101">
        <v>0</v>
      </c>
    </row>
    <row r="44" spans="1:26" x14ac:dyDescent="0.25">
      <c r="A44" s="264">
        <v>40</v>
      </c>
      <c r="B44" s="256" t="s">
        <v>168</v>
      </c>
      <c r="C44" s="34">
        <v>140</v>
      </c>
      <c r="D44" s="35">
        <v>240</v>
      </c>
      <c r="E44" s="35">
        <v>3</v>
      </c>
      <c r="F44" s="19">
        <f t="shared" si="5"/>
        <v>0.1008</v>
      </c>
      <c r="G44" s="286">
        <v>0</v>
      </c>
      <c r="H44" s="288">
        <f t="shared" si="6"/>
        <v>0</v>
      </c>
      <c r="I44" s="290">
        <v>0</v>
      </c>
      <c r="J44" s="205">
        <f t="shared" si="0"/>
        <v>0</v>
      </c>
      <c r="K44" s="290">
        <v>0</v>
      </c>
      <c r="L44" s="205">
        <f t="shared" ref="L44:L52" si="20">F44*K44</f>
        <v>0</v>
      </c>
      <c r="M44" s="290">
        <v>0</v>
      </c>
      <c r="N44" s="205">
        <f t="shared" ref="N44:N66" si="21">F44*M44</f>
        <v>0</v>
      </c>
      <c r="O44" s="290">
        <v>0</v>
      </c>
      <c r="P44" s="205">
        <f t="shared" ref="P44:P66" si="22">F44*O44</f>
        <v>0</v>
      </c>
      <c r="Q44" s="290">
        <v>0</v>
      </c>
      <c r="R44" s="205">
        <f t="shared" ref="R44:R58" si="23">F44*Q44</f>
        <v>0</v>
      </c>
      <c r="S44" s="39">
        <f t="shared" si="10"/>
        <v>0</v>
      </c>
      <c r="T44" s="38">
        <f t="shared" si="4"/>
        <v>0</v>
      </c>
      <c r="U44" s="290">
        <v>0</v>
      </c>
      <c r="V44" s="13">
        <f t="shared" si="7"/>
        <v>0</v>
      </c>
      <c r="W44" s="294">
        <f t="shared" si="8"/>
        <v>0</v>
      </c>
      <c r="X44" s="295">
        <f t="shared" si="9"/>
        <v>0</v>
      </c>
      <c r="Y44" s="238">
        <v>0</v>
      </c>
      <c r="Z44" s="101">
        <v>0</v>
      </c>
    </row>
    <row r="45" spans="1:26" x14ac:dyDescent="0.25">
      <c r="A45" s="264">
        <v>41</v>
      </c>
      <c r="B45" s="256" t="s">
        <v>169</v>
      </c>
      <c r="C45" s="34">
        <v>82</v>
      </c>
      <c r="D45" s="34">
        <v>80</v>
      </c>
      <c r="E45" s="34">
        <v>2</v>
      </c>
      <c r="F45" s="19">
        <f t="shared" si="5"/>
        <v>1.312E-2</v>
      </c>
      <c r="G45" s="284">
        <v>0</v>
      </c>
      <c r="H45" s="288">
        <f t="shared" si="6"/>
        <v>0</v>
      </c>
      <c r="I45" s="290">
        <v>0</v>
      </c>
      <c r="J45" s="205">
        <f t="shared" si="0"/>
        <v>0</v>
      </c>
      <c r="K45" s="290">
        <v>0</v>
      </c>
      <c r="L45" s="205">
        <f t="shared" si="20"/>
        <v>0</v>
      </c>
      <c r="M45" s="290">
        <v>0</v>
      </c>
      <c r="N45" s="205">
        <f t="shared" si="21"/>
        <v>0</v>
      </c>
      <c r="O45" s="290">
        <v>0</v>
      </c>
      <c r="P45" s="205">
        <f t="shared" si="22"/>
        <v>0</v>
      </c>
      <c r="Q45" s="290">
        <v>0</v>
      </c>
      <c r="R45" s="205">
        <f t="shared" si="23"/>
        <v>0</v>
      </c>
      <c r="S45" s="39">
        <f t="shared" si="10"/>
        <v>0</v>
      </c>
      <c r="T45" s="38">
        <f t="shared" si="4"/>
        <v>0</v>
      </c>
      <c r="U45" s="290">
        <v>0</v>
      </c>
      <c r="V45" s="13">
        <f t="shared" si="7"/>
        <v>0</v>
      </c>
      <c r="W45" s="294">
        <f t="shared" si="8"/>
        <v>0</v>
      </c>
      <c r="X45" s="295">
        <f t="shared" si="9"/>
        <v>0</v>
      </c>
      <c r="Y45" s="238">
        <v>100</v>
      </c>
      <c r="Z45" s="101">
        <v>300</v>
      </c>
    </row>
    <row r="46" spans="1:26" x14ac:dyDescent="0.25">
      <c r="A46" s="264">
        <v>42</v>
      </c>
      <c r="B46" s="256" t="s">
        <v>170</v>
      </c>
      <c r="C46" s="34">
        <v>90</v>
      </c>
      <c r="D46" s="34">
        <v>83</v>
      </c>
      <c r="E46" s="34">
        <v>2</v>
      </c>
      <c r="F46" s="19">
        <f t="shared" si="5"/>
        <v>1.494E-2</v>
      </c>
      <c r="G46" s="284">
        <v>104</v>
      </c>
      <c r="H46" s="288">
        <f t="shared" si="6"/>
        <v>1.55376</v>
      </c>
      <c r="I46" s="290">
        <v>0</v>
      </c>
      <c r="J46" s="205">
        <f t="shared" si="0"/>
        <v>0</v>
      </c>
      <c r="K46" s="290">
        <v>0</v>
      </c>
      <c r="L46" s="205">
        <f t="shared" si="20"/>
        <v>0</v>
      </c>
      <c r="M46" s="290">
        <v>0</v>
      </c>
      <c r="N46" s="205">
        <f t="shared" si="21"/>
        <v>0</v>
      </c>
      <c r="O46" s="290">
        <v>0</v>
      </c>
      <c r="P46" s="205">
        <f t="shared" si="22"/>
        <v>0</v>
      </c>
      <c r="Q46" s="290">
        <v>0</v>
      </c>
      <c r="R46" s="205">
        <f t="shared" si="23"/>
        <v>0</v>
      </c>
      <c r="S46" s="39">
        <f t="shared" si="10"/>
        <v>104</v>
      </c>
      <c r="T46" s="38">
        <f t="shared" si="4"/>
        <v>1.55376</v>
      </c>
      <c r="U46" s="290">
        <v>0</v>
      </c>
      <c r="V46" s="13">
        <f t="shared" si="7"/>
        <v>0</v>
      </c>
      <c r="W46" s="294">
        <f t="shared" si="8"/>
        <v>104</v>
      </c>
      <c r="X46" s="295">
        <f t="shared" si="9"/>
        <v>1.55376</v>
      </c>
      <c r="Y46" s="238">
        <v>100</v>
      </c>
      <c r="Z46" s="101">
        <v>300</v>
      </c>
    </row>
    <row r="47" spans="1:26" x14ac:dyDescent="0.25">
      <c r="A47" s="264">
        <v>43</v>
      </c>
      <c r="B47" s="256" t="s">
        <v>184</v>
      </c>
      <c r="C47" s="34">
        <v>112</v>
      </c>
      <c r="D47" s="34">
        <v>67</v>
      </c>
      <c r="E47" s="34">
        <v>3</v>
      </c>
      <c r="F47" s="19">
        <f t="shared" si="5"/>
        <v>2.2512000000000001E-2</v>
      </c>
      <c r="G47" s="284">
        <v>201</v>
      </c>
      <c r="H47" s="288">
        <f t="shared" si="6"/>
        <v>4.5249120000000005</v>
      </c>
      <c r="I47" s="290">
        <v>0</v>
      </c>
      <c r="J47" s="205">
        <f t="shared" si="0"/>
        <v>0</v>
      </c>
      <c r="K47" s="290">
        <v>0</v>
      </c>
      <c r="L47" s="205">
        <f t="shared" si="20"/>
        <v>0</v>
      </c>
      <c r="M47" s="290">
        <v>0</v>
      </c>
      <c r="N47" s="205">
        <f t="shared" si="21"/>
        <v>0</v>
      </c>
      <c r="O47" s="290">
        <v>0</v>
      </c>
      <c r="P47" s="205">
        <f t="shared" si="22"/>
        <v>0</v>
      </c>
      <c r="Q47" s="290">
        <v>0</v>
      </c>
      <c r="R47" s="205">
        <f t="shared" si="23"/>
        <v>0</v>
      </c>
      <c r="S47" s="39">
        <f t="shared" si="10"/>
        <v>201</v>
      </c>
      <c r="T47" s="38">
        <f t="shared" si="4"/>
        <v>4.5249120000000005</v>
      </c>
      <c r="U47" s="290">
        <v>0</v>
      </c>
      <c r="V47" s="13">
        <f t="shared" si="7"/>
        <v>0</v>
      </c>
      <c r="W47" s="294">
        <f t="shared" si="8"/>
        <v>201</v>
      </c>
      <c r="X47" s="295">
        <f t="shared" si="9"/>
        <v>4.5249120000000005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189</v>
      </c>
      <c r="C48" s="34">
        <v>70</v>
      </c>
      <c r="D48" s="34">
        <v>54</v>
      </c>
      <c r="E48" s="34">
        <v>7</v>
      </c>
      <c r="F48" s="19">
        <f t="shared" si="5"/>
        <v>2.6460000000000001E-2</v>
      </c>
      <c r="G48" s="284">
        <v>18</v>
      </c>
      <c r="H48" s="288">
        <f t="shared" si="6"/>
        <v>0.47628000000000004</v>
      </c>
      <c r="I48" s="290">
        <v>0</v>
      </c>
      <c r="J48" s="205">
        <f t="shared" si="0"/>
        <v>0</v>
      </c>
      <c r="K48" s="290">
        <v>0</v>
      </c>
      <c r="L48" s="205">
        <f t="shared" si="20"/>
        <v>0</v>
      </c>
      <c r="M48" s="290">
        <v>0</v>
      </c>
      <c r="N48" s="205">
        <f t="shared" si="21"/>
        <v>0</v>
      </c>
      <c r="O48" s="290">
        <v>0</v>
      </c>
      <c r="P48" s="205">
        <f t="shared" si="22"/>
        <v>0</v>
      </c>
      <c r="Q48" s="290">
        <v>0</v>
      </c>
      <c r="R48" s="205">
        <f t="shared" si="23"/>
        <v>0</v>
      </c>
      <c r="S48" s="39">
        <f t="shared" si="10"/>
        <v>18</v>
      </c>
      <c r="T48" s="38">
        <f t="shared" si="4"/>
        <v>0.47628000000000004</v>
      </c>
      <c r="U48" s="290">
        <v>0</v>
      </c>
      <c r="V48" s="13">
        <f t="shared" si="7"/>
        <v>0</v>
      </c>
      <c r="W48" s="294">
        <f t="shared" si="8"/>
        <v>18</v>
      </c>
      <c r="X48" s="295">
        <f t="shared" si="9"/>
        <v>0.47628000000000004</v>
      </c>
      <c r="Y48" s="238">
        <v>0</v>
      </c>
      <c r="Z48" s="101">
        <v>0</v>
      </c>
    </row>
    <row r="49" spans="1:26" x14ac:dyDescent="0.25">
      <c r="A49" s="264">
        <v>45</v>
      </c>
      <c r="B49" s="256" t="s">
        <v>174</v>
      </c>
      <c r="C49" s="34">
        <v>140</v>
      </c>
      <c r="D49" s="34">
        <v>240</v>
      </c>
      <c r="E49" s="34">
        <v>14</v>
      </c>
      <c r="F49" s="19">
        <f t="shared" si="5"/>
        <v>0.47039999999999998</v>
      </c>
      <c r="G49" s="284">
        <v>3</v>
      </c>
      <c r="H49" s="288">
        <f t="shared" si="6"/>
        <v>1.4112</v>
      </c>
      <c r="I49" s="290">
        <v>0</v>
      </c>
      <c r="J49" s="205">
        <f t="shared" si="0"/>
        <v>0</v>
      </c>
      <c r="K49" s="290">
        <v>0</v>
      </c>
      <c r="L49" s="205">
        <f t="shared" si="20"/>
        <v>0</v>
      </c>
      <c r="M49" s="290">
        <v>0</v>
      </c>
      <c r="N49" s="205">
        <f t="shared" si="21"/>
        <v>0</v>
      </c>
      <c r="O49" s="290">
        <v>0</v>
      </c>
      <c r="P49" s="205">
        <f t="shared" si="22"/>
        <v>0</v>
      </c>
      <c r="Q49" s="290">
        <v>0</v>
      </c>
      <c r="R49" s="205">
        <f t="shared" si="23"/>
        <v>0</v>
      </c>
      <c r="S49" s="39">
        <f t="shared" si="10"/>
        <v>3</v>
      </c>
      <c r="T49" s="38">
        <f t="shared" si="4"/>
        <v>1.4112</v>
      </c>
      <c r="U49" s="290">
        <v>0</v>
      </c>
      <c r="V49" s="13">
        <f t="shared" si="7"/>
        <v>0</v>
      </c>
      <c r="W49" s="294">
        <f t="shared" si="8"/>
        <v>3</v>
      </c>
      <c r="X49" s="295">
        <f t="shared" si="9"/>
        <v>1.4112</v>
      </c>
      <c r="Y49" s="238">
        <v>10</v>
      </c>
      <c r="Z49" s="101">
        <v>20</v>
      </c>
    </row>
    <row r="50" spans="1:26" x14ac:dyDescent="0.25">
      <c r="A50" s="264">
        <v>46</v>
      </c>
      <c r="B50" s="256" t="s">
        <v>175</v>
      </c>
      <c r="C50" s="34">
        <v>140</v>
      </c>
      <c r="D50" s="34">
        <v>240</v>
      </c>
      <c r="E50" s="34">
        <v>12</v>
      </c>
      <c r="F50" s="19">
        <f t="shared" si="5"/>
        <v>0.4032</v>
      </c>
      <c r="G50" s="284">
        <v>4</v>
      </c>
      <c r="H50" s="288">
        <f t="shared" si="6"/>
        <v>1.6128</v>
      </c>
      <c r="I50" s="290">
        <v>0</v>
      </c>
      <c r="J50" s="205">
        <f t="shared" si="0"/>
        <v>0</v>
      </c>
      <c r="K50" s="290">
        <v>0</v>
      </c>
      <c r="L50" s="205">
        <f t="shared" si="20"/>
        <v>0</v>
      </c>
      <c r="M50" s="290">
        <v>0</v>
      </c>
      <c r="N50" s="205">
        <f t="shared" si="21"/>
        <v>0</v>
      </c>
      <c r="O50" s="290">
        <v>0</v>
      </c>
      <c r="P50" s="205">
        <f t="shared" si="22"/>
        <v>0</v>
      </c>
      <c r="Q50" s="290">
        <v>0</v>
      </c>
      <c r="R50" s="205">
        <f t="shared" si="23"/>
        <v>0</v>
      </c>
      <c r="S50" s="39">
        <f t="shared" si="10"/>
        <v>4</v>
      </c>
      <c r="T50" s="38">
        <f t="shared" si="4"/>
        <v>1.6128</v>
      </c>
      <c r="U50" s="290">
        <v>0</v>
      </c>
      <c r="V50" s="13">
        <f t="shared" si="7"/>
        <v>0</v>
      </c>
      <c r="W50" s="294">
        <f t="shared" si="8"/>
        <v>4</v>
      </c>
      <c r="X50" s="295">
        <f t="shared" si="9"/>
        <v>1.6128</v>
      </c>
      <c r="Y50" s="238">
        <v>10</v>
      </c>
      <c r="Z50" s="101">
        <v>20</v>
      </c>
    </row>
    <row r="51" spans="1:26" x14ac:dyDescent="0.25">
      <c r="A51" s="264">
        <v>47</v>
      </c>
      <c r="B51" s="256" t="s">
        <v>176</v>
      </c>
      <c r="C51" s="34">
        <v>130</v>
      </c>
      <c r="D51" s="34">
        <v>60</v>
      </c>
      <c r="E51" s="34">
        <v>5</v>
      </c>
      <c r="F51" s="19">
        <f t="shared" si="5"/>
        <v>3.9E-2</v>
      </c>
      <c r="G51" s="284">
        <v>90</v>
      </c>
      <c r="H51" s="288">
        <f t="shared" si="6"/>
        <v>3.51</v>
      </c>
      <c r="I51" s="290">
        <v>0</v>
      </c>
      <c r="J51" s="205">
        <f t="shared" si="0"/>
        <v>0</v>
      </c>
      <c r="K51" s="290">
        <v>0</v>
      </c>
      <c r="L51" s="205">
        <f t="shared" si="20"/>
        <v>0</v>
      </c>
      <c r="M51" s="290">
        <v>0</v>
      </c>
      <c r="N51" s="205">
        <f t="shared" si="21"/>
        <v>0</v>
      </c>
      <c r="O51" s="290">
        <v>0</v>
      </c>
      <c r="P51" s="205">
        <f t="shared" si="22"/>
        <v>0</v>
      </c>
      <c r="Q51" s="290">
        <v>0</v>
      </c>
      <c r="R51" s="205">
        <f t="shared" si="23"/>
        <v>0</v>
      </c>
      <c r="S51" s="39">
        <f t="shared" si="10"/>
        <v>90</v>
      </c>
      <c r="T51" s="38">
        <f t="shared" si="4"/>
        <v>3.51</v>
      </c>
      <c r="U51" s="290">
        <v>0</v>
      </c>
      <c r="V51" s="13">
        <f t="shared" si="7"/>
        <v>0</v>
      </c>
      <c r="W51" s="294">
        <f t="shared" si="8"/>
        <v>90</v>
      </c>
      <c r="X51" s="295">
        <f t="shared" si="9"/>
        <v>3.51</v>
      </c>
      <c r="Y51" s="238">
        <v>30</v>
      </c>
      <c r="Z51" s="101">
        <v>100</v>
      </c>
    </row>
    <row r="52" spans="1:26" x14ac:dyDescent="0.25">
      <c r="A52" s="264">
        <v>48</v>
      </c>
      <c r="B52" s="256" t="s">
        <v>178</v>
      </c>
      <c r="C52" s="34">
        <v>140</v>
      </c>
      <c r="D52" s="34">
        <v>240</v>
      </c>
      <c r="E52" s="34">
        <v>3</v>
      </c>
      <c r="F52" s="19">
        <f t="shared" si="5"/>
        <v>0.1008</v>
      </c>
      <c r="G52" s="284">
        <v>1166</v>
      </c>
      <c r="H52" s="288">
        <f t="shared" si="6"/>
        <v>117.53279999999999</v>
      </c>
      <c r="I52" s="290">
        <v>0</v>
      </c>
      <c r="J52" s="205">
        <f t="shared" si="0"/>
        <v>0</v>
      </c>
      <c r="K52" s="290">
        <v>2</v>
      </c>
      <c r="L52" s="205">
        <f t="shared" si="20"/>
        <v>0.2016</v>
      </c>
      <c r="M52" s="290">
        <v>6</v>
      </c>
      <c r="N52" s="205">
        <f t="shared" si="21"/>
        <v>0.6048</v>
      </c>
      <c r="O52" s="290">
        <v>22</v>
      </c>
      <c r="P52" s="205">
        <f t="shared" si="22"/>
        <v>2.2176</v>
      </c>
      <c r="Q52" s="290">
        <v>0</v>
      </c>
      <c r="R52" s="205">
        <f t="shared" si="23"/>
        <v>0</v>
      </c>
      <c r="S52" s="39">
        <f t="shared" si="10"/>
        <v>1136</v>
      </c>
      <c r="T52" s="38">
        <f t="shared" si="4"/>
        <v>114.50880000000001</v>
      </c>
      <c r="U52" s="290">
        <v>0</v>
      </c>
      <c r="V52" s="13">
        <f t="shared" si="7"/>
        <v>0</v>
      </c>
      <c r="W52" s="294">
        <f t="shared" si="8"/>
        <v>1136</v>
      </c>
      <c r="X52" s="295">
        <f t="shared" si="9"/>
        <v>114.50880000000001</v>
      </c>
      <c r="Y52" s="238">
        <v>100</v>
      </c>
      <c r="Z52" s="101">
        <v>300</v>
      </c>
    </row>
    <row r="53" spans="1:26" x14ac:dyDescent="0.25">
      <c r="A53" s="264">
        <v>49</v>
      </c>
      <c r="B53" s="256" t="s">
        <v>185</v>
      </c>
      <c r="C53" s="34">
        <v>140</v>
      </c>
      <c r="D53" s="34">
        <v>240</v>
      </c>
      <c r="E53" s="34">
        <v>1</v>
      </c>
      <c r="F53" s="19">
        <f t="shared" si="5"/>
        <v>3.3599999999999998E-2</v>
      </c>
      <c r="G53" s="284">
        <v>283</v>
      </c>
      <c r="H53" s="288">
        <f t="shared" si="6"/>
        <v>9.508799999999999</v>
      </c>
      <c r="I53" s="290">
        <v>0</v>
      </c>
      <c r="J53" s="205">
        <f t="shared" si="0"/>
        <v>0</v>
      </c>
      <c r="K53" s="290">
        <v>0</v>
      </c>
      <c r="L53" s="205">
        <f>F53*K53</f>
        <v>0</v>
      </c>
      <c r="M53" s="290">
        <v>0</v>
      </c>
      <c r="N53" s="205">
        <f t="shared" si="21"/>
        <v>0</v>
      </c>
      <c r="O53" s="290">
        <v>20</v>
      </c>
      <c r="P53" s="205">
        <f t="shared" si="22"/>
        <v>0.67199999999999993</v>
      </c>
      <c r="Q53" s="290">
        <v>0</v>
      </c>
      <c r="R53" s="205">
        <f t="shared" si="23"/>
        <v>0</v>
      </c>
      <c r="S53" s="39">
        <f t="shared" si="10"/>
        <v>263</v>
      </c>
      <c r="T53" s="38">
        <f t="shared" si="4"/>
        <v>8.8368000000000002</v>
      </c>
      <c r="U53" s="290">
        <v>0</v>
      </c>
      <c r="V53" s="13">
        <f t="shared" si="7"/>
        <v>0</v>
      </c>
      <c r="W53" s="294">
        <f t="shared" si="8"/>
        <v>263</v>
      </c>
      <c r="X53" s="295">
        <f t="shared" si="9"/>
        <v>8.8368000000000002</v>
      </c>
      <c r="Y53" s="238">
        <v>50</v>
      </c>
      <c r="Z53" s="101">
        <v>0</v>
      </c>
    </row>
    <row r="54" spans="1:26" x14ac:dyDescent="0.25">
      <c r="A54" s="264">
        <v>50</v>
      </c>
      <c r="B54" s="256" t="s">
        <v>186</v>
      </c>
      <c r="C54" s="34">
        <v>140</v>
      </c>
      <c r="D54" s="34">
        <v>240</v>
      </c>
      <c r="E54" s="34">
        <v>3</v>
      </c>
      <c r="F54" s="19">
        <f t="shared" si="5"/>
        <v>0.1008</v>
      </c>
      <c r="G54" s="284">
        <v>113</v>
      </c>
      <c r="H54" s="288">
        <f t="shared" si="6"/>
        <v>11.3904</v>
      </c>
      <c r="I54" s="290">
        <v>8</v>
      </c>
      <c r="J54" s="205">
        <f t="shared" si="0"/>
        <v>0.80640000000000001</v>
      </c>
      <c r="K54" s="290">
        <v>40</v>
      </c>
      <c r="L54" s="205">
        <f>F54*K54</f>
        <v>4.032</v>
      </c>
      <c r="M54" s="290">
        <v>39</v>
      </c>
      <c r="N54" s="205">
        <f t="shared" si="21"/>
        <v>3.9312</v>
      </c>
      <c r="O54" s="290">
        <v>0</v>
      </c>
      <c r="P54" s="205">
        <f t="shared" si="22"/>
        <v>0</v>
      </c>
      <c r="Q54" s="290">
        <v>0</v>
      </c>
      <c r="R54" s="205">
        <f t="shared" si="23"/>
        <v>0</v>
      </c>
      <c r="S54" s="39">
        <f t="shared" si="10"/>
        <v>26</v>
      </c>
      <c r="T54" s="38">
        <f t="shared" si="4"/>
        <v>2.6208</v>
      </c>
      <c r="U54" s="290">
        <v>0</v>
      </c>
      <c r="V54" s="13">
        <f t="shared" si="7"/>
        <v>0</v>
      </c>
      <c r="W54" s="294">
        <f t="shared" si="8"/>
        <v>26</v>
      </c>
      <c r="X54" s="295">
        <f t="shared" si="9"/>
        <v>2.6208</v>
      </c>
      <c r="Y54" s="238">
        <v>50</v>
      </c>
      <c r="Z54" s="101">
        <v>0</v>
      </c>
    </row>
    <row r="55" spans="1:26" x14ac:dyDescent="0.25">
      <c r="A55" s="277">
        <v>51</v>
      </c>
      <c r="B55" s="283" t="s">
        <v>187</v>
      </c>
      <c r="C55" s="264">
        <v>140</v>
      </c>
      <c r="D55" s="264">
        <v>240</v>
      </c>
      <c r="E55" s="264">
        <v>5</v>
      </c>
      <c r="F55" s="19">
        <f t="shared" si="5"/>
        <v>0.16800000000000001</v>
      </c>
      <c r="G55" s="296">
        <v>150</v>
      </c>
      <c r="H55" s="299">
        <f t="shared" si="6"/>
        <v>25.200000000000003</v>
      </c>
      <c r="I55" s="290">
        <v>0</v>
      </c>
      <c r="J55" s="205">
        <f t="shared" si="0"/>
        <v>0</v>
      </c>
      <c r="K55" s="290">
        <v>0</v>
      </c>
      <c r="L55" s="205">
        <f t="shared" si="0"/>
        <v>0</v>
      </c>
      <c r="M55" s="290">
        <v>0</v>
      </c>
      <c r="N55" s="205">
        <f t="shared" si="21"/>
        <v>0</v>
      </c>
      <c r="O55" s="290">
        <v>6</v>
      </c>
      <c r="P55" s="205">
        <f t="shared" si="22"/>
        <v>1.008</v>
      </c>
      <c r="Q55" s="290">
        <v>0</v>
      </c>
      <c r="R55" s="205">
        <f t="shared" si="23"/>
        <v>0</v>
      </c>
      <c r="S55" s="39">
        <f t="shared" si="10"/>
        <v>144</v>
      </c>
      <c r="T55" s="38">
        <f t="shared" si="4"/>
        <v>24.192</v>
      </c>
      <c r="U55" s="290">
        <v>0</v>
      </c>
      <c r="V55" s="13">
        <f t="shared" si="7"/>
        <v>0</v>
      </c>
      <c r="W55" s="294">
        <f t="shared" si="8"/>
        <v>144</v>
      </c>
      <c r="X55" s="295">
        <f t="shared" si="9"/>
        <v>24.192</v>
      </c>
      <c r="Y55" s="101">
        <v>30</v>
      </c>
      <c r="Z55" s="101"/>
    </row>
    <row r="56" spans="1:26" x14ac:dyDescent="0.25">
      <c r="A56" s="277">
        <v>52</v>
      </c>
      <c r="B56" s="283" t="s">
        <v>188</v>
      </c>
      <c r="C56" s="264">
        <v>140</v>
      </c>
      <c r="D56" s="264">
        <v>240</v>
      </c>
      <c r="E56" s="264">
        <v>10</v>
      </c>
      <c r="F56" s="19">
        <f t="shared" si="5"/>
        <v>0.33600000000000002</v>
      </c>
      <c r="G56" s="296">
        <v>9</v>
      </c>
      <c r="H56" s="299">
        <f t="shared" si="6"/>
        <v>3.024</v>
      </c>
      <c r="I56" s="290">
        <v>0</v>
      </c>
      <c r="J56" s="205">
        <f t="shared" ref="J56:J65" si="24">F56*I56</f>
        <v>0</v>
      </c>
      <c r="K56" s="290">
        <v>0</v>
      </c>
      <c r="L56" s="205">
        <f>F56*K56</f>
        <v>0</v>
      </c>
      <c r="M56" s="290">
        <v>0</v>
      </c>
      <c r="N56" s="205">
        <f t="shared" si="21"/>
        <v>0</v>
      </c>
      <c r="O56" s="290">
        <v>0</v>
      </c>
      <c r="P56" s="205">
        <f t="shared" si="22"/>
        <v>0</v>
      </c>
      <c r="Q56" s="290">
        <v>0</v>
      </c>
      <c r="R56" s="205">
        <f t="shared" si="23"/>
        <v>0</v>
      </c>
      <c r="S56" s="39">
        <f t="shared" si="10"/>
        <v>9</v>
      </c>
      <c r="T56" s="38">
        <f t="shared" si="4"/>
        <v>3.024</v>
      </c>
      <c r="U56" s="290">
        <v>0</v>
      </c>
      <c r="V56" s="13">
        <f t="shared" si="7"/>
        <v>0</v>
      </c>
      <c r="W56" s="294">
        <f t="shared" si="8"/>
        <v>9</v>
      </c>
      <c r="X56" s="295">
        <f t="shared" si="9"/>
        <v>3.024</v>
      </c>
      <c r="Y56" s="101">
        <v>20</v>
      </c>
      <c r="Z56" s="101"/>
    </row>
    <row r="57" spans="1:26" x14ac:dyDescent="0.25">
      <c r="A57" s="264">
        <v>53</v>
      </c>
      <c r="B57" s="101" t="s">
        <v>201</v>
      </c>
      <c r="C57" s="264">
        <v>52</v>
      </c>
      <c r="D57" s="264">
        <v>52</v>
      </c>
      <c r="E57" s="264">
        <v>5</v>
      </c>
      <c r="F57" s="19">
        <f t="shared" si="5"/>
        <v>1.3520000000000001E-2</v>
      </c>
      <c r="G57" s="296">
        <v>575</v>
      </c>
      <c r="H57" s="299">
        <f t="shared" si="6"/>
        <v>7.774</v>
      </c>
      <c r="I57" s="290">
        <v>0</v>
      </c>
      <c r="J57" s="205">
        <f t="shared" si="24"/>
        <v>0</v>
      </c>
      <c r="K57" s="290">
        <v>80</v>
      </c>
      <c r="L57" s="205">
        <f t="shared" ref="L57:L64" si="25">F57*K57</f>
        <v>1.0816000000000001</v>
      </c>
      <c r="M57" s="290">
        <v>0</v>
      </c>
      <c r="N57" s="205">
        <f t="shared" si="21"/>
        <v>0</v>
      </c>
      <c r="O57" s="290">
        <v>0</v>
      </c>
      <c r="P57" s="205">
        <f t="shared" si="22"/>
        <v>0</v>
      </c>
      <c r="Q57" s="290">
        <v>0</v>
      </c>
      <c r="R57" s="205">
        <f t="shared" si="23"/>
        <v>0</v>
      </c>
      <c r="S57" s="39">
        <f t="shared" si="10"/>
        <v>495</v>
      </c>
      <c r="T57" s="38">
        <f t="shared" si="4"/>
        <v>6.6924000000000001</v>
      </c>
      <c r="U57" s="290">
        <v>0</v>
      </c>
      <c r="V57" s="13">
        <f t="shared" si="7"/>
        <v>0</v>
      </c>
      <c r="W57" s="294">
        <f t="shared" si="8"/>
        <v>495</v>
      </c>
      <c r="X57" s="295">
        <f t="shared" si="9"/>
        <v>6.6924000000000001</v>
      </c>
      <c r="Y57" s="101"/>
      <c r="Z57" s="101"/>
    </row>
    <row r="58" spans="1:26" x14ac:dyDescent="0.25">
      <c r="A58" s="264">
        <v>54</v>
      </c>
      <c r="B58" s="101" t="s">
        <v>193</v>
      </c>
      <c r="C58" s="264">
        <v>80</v>
      </c>
      <c r="D58" s="264">
        <v>75</v>
      </c>
      <c r="E58" s="264">
        <v>5</v>
      </c>
      <c r="F58" s="19">
        <f t="shared" si="5"/>
        <v>0.03</v>
      </c>
      <c r="G58" s="264">
        <v>117</v>
      </c>
      <c r="H58" s="299">
        <f t="shared" si="6"/>
        <v>3.51</v>
      </c>
      <c r="I58" s="290">
        <v>0</v>
      </c>
      <c r="J58" s="205">
        <f t="shared" si="24"/>
        <v>0</v>
      </c>
      <c r="K58" s="290">
        <v>0</v>
      </c>
      <c r="L58" s="205">
        <f t="shared" si="25"/>
        <v>0</v>
      </c>
      <c r="M58" s="290">
        <v>0</v>
      </c>
      <c r="N58" s="205">
        <f t="shared" si="21"/>
        <v>0</v>
      </c>
      <c r="O58" s="290">
        <v>0</v>
      </c>
      <c r="P58" s="205">
        <f t="shared" si="22"/>
        <v>0</v>
      </c>
      <c r="Q58" s="290">
        <v>0</v>
      </c>
      <c r="R58" s="205">
        <f t="shared" si="23"/>
        <v>0</v>
      </c>
      <c r="S58" s="39">
        <f t="shared" si="10"/>
        <v>117</v>
      </c>
      <c r="T58" s="38">
        <f t="shared" si="4"/>
        <v>3.51</v>
      </c>
      <c r="U58" s="290">
        <v>0</v>
      </c>
      <c r="V58" s="308">
        <f t="shared" si="7"/>
        <v>0</v>
      </c>
      <c r="W58" s="294">
        <f t="shared" si="8"/>
        <v>117</v>
      </c>
      <c r="X58" s="300">
        <f t="shared" si="9"/>
        <v>3.51</v>
      </c>
      <c r="Y58" s="101"/>
      <c r="Z58" s="101"/>
    </row>
    <row r="59" spans="1:26" x14ac:dyDescent="0.25">
      <c r="A59" s="264">
        <v>55</v>
      </c>
      <c r="B59" s="101" t="s">
        <v>194</v>
      </c>
      <c r="C59" s="264">
        <v>58</v>
      </c>
      <c r="D59" s="264">
        <v>25</v>
      </c>
      <c r="E59" s="264">
        <v>3</v>
      </c>
      <c r="F59" s="298">
        <f t="shared" si="5"/>
        <v>4.3499999999999997E-3</v>
      </c>
      <c r="G59" s="264">
        <v>1810</v>
      </c>
      <c r="H59" s="299">
        <f t="shared" si="6"/>
        <v>7.8734999999999991</v>
      </c>
      <c r="I59" s="290">
        <v>100</v>
      </c>
      <c r="J59" s="205">
        <f t="shared" si="24"/>
        <v>0.43499999999999994</v>
      </c>
      <c r="K59" s="290">
        <v>100</v>
      </c>
      <c r="L59" s="205">
        <f t="shared" si="25"/>
        <v>0.43499999999999994</v>
      </c>
      <c r="M59" s="290">
        <v>170</v>
      </c>
      <c r="N59" s="205">
        <f t="shared" si="21"/>
        <v>0.73949999999999994</v>
      </c>
      <c r="O59" s="290">
        <v>0</v>
      </c>
      <c r="P59" s="205">
        <f t="shared" si="22"/>
        <v>0</v>
      </c>
      <c r="Q59" s="290">
        <v>0</v>
      </c>
      <c r="R59" s="205">
        <f>F59*Q59</f>
        <v>0</v>
      </c>
      <c r="S59" s="39">
        <f t="shared" si="10"/>
        <v>1440</v>
      </c>
      <c r="T59" s="38">
        <f t="shared" si="4"/>
        <v>6.2639999999999993</v>
      </c>
      <c r="U59" s="290">
        <v>0</v>
      </c>
      <c r="V59" s="309">
        <f t="shared" si="7"/>
        <v>0</v>
      </c>
      <c r="W59" s="294">
        <v>1810</v>
      </c>
      <c r="X59" s="300">
        <f t="shared" si="9"/>
        <v>7.8734999999999991</v>
      </c>
      <c r="Y59" s="101"/>
      <c r="Z59" s="101"/>
    </row>
    <row r="60" spans="1:26" x14ac:dyDescent="0.25">
      <c r="A60" s="264">
        <v>56</v>
      </c>
      <c r="B60" s="101" t="s">
        <v>195</v>
      </c>
      <c r="C60" s="264">
        <v>64</v>
      </c>
      <c r="D60" s="264">
        <v>58</v>
      </c>
      <c r="E60" s="264">
        <v>5</v>
      </c>
      <c r="F60" s="298">
        <f t="shared" si="5"/>
        <v>1.856E-2</v>
      </c>
      <c r="G60" s="264">
        <v>1764</v>
      </c>
      <c r="H60" s="299">
        <f t="shared" si="6"/>
        <v>32.739840000000001</v>
      </c>
      <c r="I60" s="290">
        <v>107</v>
      </c>
      <c r="J60" s="205">
        <f t="shared" si="24"/>
        <v>1.9859199999999999</v>
      </c>
      <c r="K60" s="290">
        <v>100</v>
      </c>
      <c r="L60" s="205">
        <f t="shared" si="25"/>
        <v>1.8560000000000001</v>
      </c>
      <c r="M60" s="290">
        <v>164</v>
      </c>
      <c r="N60" s="205">
        <f t="shared" si="21"/>
        <v>3.0438399999999999</v>
      </c>
      <c r="O60" s="290">
        <v>0</v>
      </c>
      <c r="P60" s="205">
        <f t="shared" si="22"/>
        <v>0</v>
      </c>
      <c r="Q60" s="290">
        <v>0</v>
      </c>
      <c r="R60" s="205">
        <f t="shared" ref="R60:R65" si="26">F60*Q60</f>
        <v>0</v>
      </c>
      <c r="S60" s="39">
        <f t="shared" si="10"/>
        <v>1393</v>
      </c>
      <c r="T60" s="38">
        <f t="shared" si="4"/>
        <v>25.85408</v>
      </c>
      <c r="U60" s="290">
        <v>0</v>
      </c>
      <c r="V60" s="309">
        <f t="shared" si="7"/>
        <v>0</v>
      </c>
      <c r="W60" s="294">
        <v>1764</v>
      </c>
      <c r="X60" s="301">
        <f t="shared" si="9"/>
        <v>32.739840000000001</v>
      </c>
      <c r="Y60" s="101"/>
      <c r="Z60" s="101"/>
    </row>
    <row r="61" spans="1:26" x14ac:dyDescent="0.25">
      <c r="A61" s="264">
        <v>57</v>
      </c>
      <c r="B61" s="101" t="s">
        <v>197</v>
      </c>
      <c r="C61" s="264">
        <v>65</v>
      </c>
      <c r="D61" s="264">
        <v>65</v>
      </c>
      <c r="E61" s="264">
        <v>5</v>
      </c>
      <c r="F61" s="101">
        <f t="shared" si="5"/>
        <v>2.1125000000000001E-2</v>
      </c>
      <c r="G61" s="264">
        <v>240</v>
      </c>
      <c r="H61" s="299">
        <f t="shared" si="6"/>
        <v>5.07</v>
      </c>
      <c r="I61" s="290">
        <v>0</v>
      </c>
      <c r="J61" s="205">
        <f t="shared" si="24"/>
        <v>0</v>
      </c>
      <c r="K61" s="290">
        <v>0</v>
      </c>
      <c r="L61" s="205">
        <f t="shared" si="25"/>
        <v>0</v>
      </c>
      <c r="M61" s="290">
        <v>0</v>
      </c>
      <c r="N61" s="174">
        <f t="shared" si="21"/>
        <v>0</v>
      </c>
      <c r="O61" s="290">
        <v>0</v>
      </c>
      <c r="P61" s="205">
        <f t="shared" si="22"/>
        <v>0</v>
      </c>
      <c r="Q61" s="290">
        <v>0</v>
      </c>
      <c r="R61" s="205">
        <f t="shared" si="26"/>
        <v>0</v>
      </c>
      <c r="S61" s="39">
        <f t="shared" si="10"/>
        <v>240</v>
      </c>
      <c r="T61" s="38">
        <f t="shared" si="4"/>
        <v>5.07</v>
      </c>
      <c r="U61" s="290">
        <v>72</v>
      </c>
      <c r="V61" s="309">
        <f t="shared" si="7"/>
        <v>1.5210000000000001</v>
      </c>
      <c r="W61" s="294">
        <f t="shared" si="8"/>
        <v>312</v>
      </c>
      <c r="X61" s="300">
        <f t="shared" si="9"/>
        <v>6.5910000000000002</v>
      </c>
      <c r="Y61" s="101"/>
      <c r="Z61" s="101"/>
    </row>
    <row r="62" spans="1:26" x14ac:dyDescent="0.25">
      <c r="A62" s="264">
        <v>58</v>
      </c>
      <c r="B62" s="101" t="s">
        <v>198</v>
      </c>
      <c r="C62" s="264">
        <v>83</v>
      </c>
      <c r="D62" s="264">
        <v>55</v>
      </c>
      <c r="E62" s="264">
        <v>3</v>
      </c>
      <c r="F62" s="101">
        <f t="shared" si="5"/>
        <v>1.3695000000000001E-2</v>
      </c>
      <c r="G62" s="264">
        <v>528</v>
      </c>
      <c r="H62" s="299">
        <f t="shared" si="6"/>
        <v>7.2309600000000005</v>
      </c>
      <c r="I62" s="290">
        <v>80</v>
      </c>
      <c r="J62" s="205">
        <f t="shared" si="24"/>
        <v>1.0956000000000001</v>
      </c>
      <c r="K62" s="290">
        <v>0</v>
      </c>
      <c r="L62" s="205">
        <f t="shared" si="25"/>
        <v>0</v>
      </c>
      <c r="M62" s="290">
        <v>48</v>
      </c>
      <c r="N62" s="174">
        <f t="shared" si="21"/>
        <v>0.65736000000000006</v>
      </c>
      <c r="O62" s="290">
        <v>0</v>
      </c>
      <c r="P62" s="205">
        <f t="shared" si="22"/>
        <v>0</v>
      </c>
      <c r="Q62" s="290">
        <v>0</v>
      </c>
      <c r="R62" s="205">
        <f t="shared" si="26"/>
        <v>0</v>
      </c>
      <c r="S62" s="39">
        <f t="shared" si="10"/>
        <v>400</v>
      </c>
      <c r="T62" s="38">
        <f t="shared" si="4"/>
        <v>5.4780000000000006</v>
      </c>
      <c r="U62" s="290">
        <v>0</v>
      </c>
      <c r="V62" s="309">
        <f t="shared" si="7"/>
        <v>0</v>
      </c>
      <c r="W62" s="294">
        <v>528</v>
      </c>
      <c r="X62" s="300">
        <f t="shared" si="9"/>
        <v>7.2309600000000005</v>
      </c>
      <c r="Y62" s="101"/>
      <c r="Z62" s="101"/>
    </row>
    <row r="63" spans="1:26" x14ac:dyDescent="0.25">
      <c r="A63" s="264">
        <v>59</v>
      </c>
      <c r="B63" s="101" t="s">
        <v>199</v>
      </c>
      <c r="C63" s="264">
        <v>75</v>
      </c>
      <c r="D63" s="264">
        <v>55</v>
      </c>
      <c r="E63" s="264">
        <v>3</v>
      </c>
      <c r="F63" s="101">
        <f t="shared" si="5"/>
        <v>1.2375000000000001E-2</v>
      </c>
      <c r="G63" s="264">
        <v>1276</v>
      </c>
      <c r="H63" s="299">
        <f t="shared" si="6"/>
        <v>15.790500000000002</v>
      </c>
      <c r="I63" s="290">
        <v>0</v>
      </c>
      <c r="J63" s="205">
        <f t="shared" si="24"/>
        <v>0</v>
      </c>
      <c r="K63" s="290">
        <v>100</v>
      </c>
      <c r="L63" s="205">
        <f t="shared" si="25"/>
        <v>1.2375</v>
      </c>
      <c r="M63" s="290">
        <v>50</v>
      </c>
      <c r="N63" s="174">
        <f t="shared" si="21"/>
        <v>0.61875000000000002</v>
      </c>
      <c r="O63" s="290">
        <v>0</v>
      </c>
      <c r="P63" s="205">
        <f t="shared" si="22"/>
        <v>0</v>
      </c>
      <c r="Q63" s="290">
        <v>0</v>
      </c>
      <c r="R63" s="205">
        <f t="shared" si="26"/>
        <v>0</v>
      </c>
      <c r="S63" s="39">
        <f t="shared" si="10"/>
        <v>1126</v>
      </c>
      <c r="T63" s="38">
        <f t="shared" si="4"/>
        <v>13.93425</v>
      </c>
      <c r="U63" s="290">
        <v>0</v>
      </c>
      <c r="V63" s="309">
        <f t="shared" si="7"/>
        <v>0</v>
      </c>
      <c r="W63" s="294">
        <f t="shared" si="8"/>
        <v>1126</v>
      </c>
      <c r="X63" s="300">
        <f t="shared" si="9"/>
        <v>13.93425</v>
      </c>
      <c r="Y63" s="101"/>
      <c r="Z63" s="101"/>
    </row>
    <row r="64" spans="1:26" x14ac:dyDescent="0.25">
      <c r="A64" s="264">
        <v>60</v>
      </c>
      <c r="B64" s="101" t="s">
        <v>200</v>
      </c>
      <c r="C64" s="264">
        <v>58</v>
      </c>
      <c r="D64" s="264">
        <v>19</v>
      </c>
      <c r="E64" s="264">
        <v>3</v>
      </c>
      <c r="F64" s="101">
        <f t="shared" si="5"/>
        <v>3.3059999999999999E-3</v>
      </c>
      <c r="G64" s="264">
        <v>1290</v>
      </c>
      <c r="H64" s="299">
        <f t="shared" si="6"/>
        <v>4.2647399999999998</v>
      </c>
      <c r="I64" s="290">
        <v>100</v>
      </c>
      <c r="J64" s="205">
        <f t="shared" si="24"/>
        <v>0.3306</v>
      </c>
      <c r="K64" s="290">
        <v>100</v>
      </c>
      <c r="L64" s="205">
        <f t="shared" si="25"/>
        <v>0.3306</v>
      </c>
      <c r="M64" s="290">
        <v>100</v>
      </c>
      <c r="N64" s="174">
        <f t="shared" si="21"/>
        <v>0.3306</v>
      </c>
      <c r="O64" s="290">
        <v>0</v>
      </c>
      <c r="P64" s="205">
        <f t="shared" si="22"/>
        <v>0</v>
      </c>
      <c r="Q64" s="290">
        <v>0</v>
      </c>
      <c r="R64" s="205">
        <f t="shared" si="26"/>
        <v>0</v>
      </c>
      <c r="S64" s="39">
        <f t="shared" si="10"/>
        <v>990</v>
      </c>
      <c r="T64" s="38">
        <f t="shared" si="4"/>
        <v>3.2729399999999997</v>
      </c>
      <c r="U64" s="290">
        <v>0</v>
      </c>
      <c r="V64" s="309">
        <f t="shared" si="7"/>
        <v>0</v>
      </c>
      <c r="W64" s="294">
        <v>1290</v>
      </c>
      <c r="X64" s="300">
        <f t="shared" si="9"/>
        <v>4.2647399999999998</v>
      </c>
      <c r="Y64" s="101"/>
      <c r="Z64" s="101"/>
    </row>
    <row r="65" spans="1:26" x14ac:dyDescent="0.25">
      <c r="A65" s="264">
        <v>61</v>
      </c>
      <c r="B65" s="101" t="s">
        <v>202</v>
      </c>
      <c r="C65" s="264">
        <v>140</v>
      </c>
      <c r="D65" s="264">
        <v>240</v>
      </c>
      <c r="E65" s="264">
        <v>4</v>
      </c>
      <c r="F65" s="101">
        <f t="shared" si="5"/>
        <v>0.13439999999999999</v>
      </c>
      <c r="G65" s="264">
        <v>50</v>
      </c>
      <c r="H65" s="299">
        <f t="shared" si="6"/>
        <v>6.72</v>
      </c>
      <c r="I65" s="290">
        <v>0</v>
      </c>
      <c r="J65" s="205">
        <f t="shared" si="24"/>
        <v>0</v>
      </c>
      <c r="K65" s="290">
        <v>29</v>
      </c>
      <c r="L65" s="205">
        <v>3.9</v>
      </c>
      <c r="M65" s="290">
        <v>0</v>
      </c>
      <c r="N65" s="174">
        <f t="shared" si="21"/>
        <v>0</v>
      </c>
      <c r="O65" s="290">
        <v>0</v>
      </c>
      <c r="P65" s="205">
        <f t="shared" si="22"/>
        <v>0</v>
      </c>
      <c r="Q65" s="290">
        <v>0</v>
      </c>
      <c r="R65" s="205">
        <f t="shared" si="26"/>
        <v>0</v>
      </c>
      <c r="S65" s="39">
        <f t="shared" si="10"/>
        <v>21</v>
      </c>
      <c r="T65" s="38">
        <f t="shared" si="4"/>
        <v>2.8224</v>
      </c>
      <c r="U65" s="311">
        <v>0</v>
      </c>
      <c r="V65" s="309">
        <f t="shared" si="7"/>
        <v>0</v>
      </c>
      <c r="W65" s="294">
        <f t="shared" si="8"/>
        <v>21</v>
      </c>
      <c r="X65" s="300">
        <f t="shared" si="9"/>
        <v>2.8224</v>
      </c>
      <c r="Y65" s="101"/>
      <c r="Z65" s="101"/>
    </row>
    <row r="66" spans="1:26" x14ac:dyDescent="0.25">
      <c r="A66" s="264">
        <v>62</v>
      </c>
      <c r="B66" s="101" t="s">
        <v>203</v>
      </c>
      <c r="C66" s="264">
        <v>50</v>
      </c>
      <c r="D66" s="264">
        <v>46.5</v>
      </c>
      <c r="E66" s="264">
        <v>3</v>
      </c>
      <c r="F66" s="101">
        <f t="shared" si="5"/>
        <v>6.9750000000000003E-3</v>
      </c>
      <c r="G66" s="101"/>
      <c r="H66" s="289"/>
      <c r="I66" s="291"/>
      <c r="J66" s="101"/>
      <c r="K66" s="291"/>
      <c r="L66" s="101"/>
      <c r="M66" s="305">
        <v>115</v>
      </c>
      <c r="N66" s="101">
        <f t="shared" si="21"/>
        <v>0.80212500000000009</v>
      </c>
      <c r="O66" s="291">
        <v>1269</v>
      </c>
      <c r="P66" s="101">
        <f t="shared" si="22"/>
        <v>8.8512750000000011</v>
      </c>
      <c r="Q66" s="291"/>
      <c r="R66" s="101"/>
      <c r="S66" s="39">
        <f t="shared" si="10"/>
        <v>-1384</v>
      </c>
      <c r="T66" s="38">
        <f t="shared" si="4"/>
        <v>-9.6533999999999995</v>
      </c>
      <c r="U66" s="312">
        <v>3027</v>
      </c>
      <c r="V66" s="310">
        <f t="shared" si="7"/>
        <v>21.113325</v>
      </c>
      <c r="W66" s="294">
        <f t="shared" si="8"/>
        <v>1643</v>
      </c>
      <c r="X66" s="300">
        <f t="shared" si="9"/>
        <v>11.459925</v>
      </c>
      <c r="Y66" s="101"/>
      <c r="Z66" s="101"/>
    </row>
    <row r="67" spans="1:26" x14ac:dyDescent="0.25">
      <c r="A67" s="264">
        <v>63</v>
      </c>
      <c r="B67" s="101" t="s">
        <v>204</v>
      </c>
      <c r="C67" s="264">
        <v>50</v>
      </c>
      <c r="D67" s="264">
        <v>35</v>
      </c>
      <c r="E67" s="264">
        <v>3</v>
      </c>
      <c r="F67" s="101">
        <f t="shared" si="5"/>
        <v>5.2500000000000003E-3</v>
      </c>
      <c r="G67" s="101"/>
      <c r="H67" s="289"/>
      <c r="I67" s="291"/>
      <c r="J67" s="101"/>
      <c r="K67" s="291"/>
      <c r="L67" s="101"/>
      <c r="M67" s="305"/>
      <c r="N67" s="101"/>
      <c r="O67" s="291"/>
      <c r="P67" s="101"/>
      <c r="Q67" s="291"/>
      <c r="R67" s="101"/>
      <c r="S67" s="39">
        <f t="shared" si="10"/>
        <v>0</v>
      </c>
      <c r="T67" s="38">
        <f t="shared" si="4"/>
        <v>0</v>
      </c>
      <c r="U67" s="312">
        <v>2730</v>
      </c>
      <c r="V67" s="310">
        <f t="shared" si="7"/>
        <v>14.332500000000001</v>
      </c>
      <c r="W67" s="294">
        <f t="shared" si="8"/>
        <v>2730</v>
      </c>
      <c r="X67" s="300">
        <f t="shared" si="9"/>
        <v>14.332500000000001</v>
      </c>
      <c r="Y67" s="101"/>
      <c r="Z67" s="101"/>
    </row>
    <row r="68" spans="1:26" x14ac:dyDescent="0.25">
      <c r="A68" s="264">
        <v>64</v>
      </c>
      <c r="B68" s="101"/>
      <c r="C68" s="264"/>
      <c r="D68" s="264"/>
      <c r="E68" s="264"/>
      <c r="F68" s="101"/>
      <c r="G68" s="101"/>
      <c r="H68" s="289"/>
      <c r="I68" s="291"/>
      <c r="J68" s="101"/>
      <c r="K68" s="291"/>
      <c r="L68" s="101"/>
      <c r="M68" s="305"/>
      <c r="N68" s="101"/>
      <c r="O68" s="291"/>
      <c r="P68" s="101"/>
      <c r="Q68" s="291"/>
      <c r="R68" s="101"/>
      <c r="S68" s="39">
        <f t="shared" si="10"/>
        <v>0</v>
      </c>
      <c r="T68" s="38">
        <f t="shared" si="4"/>
        <v>0</v>
      </c>
      <c r="U68" s="312"/>
      <c r="V68" s="310"/>
      <c r="W68" s="294">
        <f t="shared" si="8"/>
        <v>0</v>
      </c>
      <c r="X68" s="300">
        <f t="shared" si="9"/>
        <v>0</v>
      </c>
      <c r="Y68" s="101"/>
      <c r="Z68" s="101"/>
    </row>
    <row r="69" spans="1:26" x14ac:dyDescent="0.25">
      <c r="A69" s="264">
        <v>65</v>
      </c>
      <c r="B69" s="101"/>
      <c r="C69" s="264"/>
      <c r="D69" s="264"/>
      <c r="E69" s="264"/>
      <c r="F69" s="101"/>
      <c r="G69" s="101"/>
      <c r="H69" s="289"/>
      <c r="I69" s="291"/>
      <c r="J69" s="101"/>
      <c r="K69" s="291"/>
      <c r="L69" s="101"/>
      <c r="M69" s="305"/>
      <c r="N69" s="101"/>
      <c r="O69" s="291"/>
      <c r="P69" s="101"/>
      <c r="Q69" s="291"/>
      <c r="R69" s="101"/>
      <c r="S69" s="39">
        <f t="shared" si="10"/>
        <v>0</v>
      </c>
      <c r="T69" s="38">
        <f t="shared" ref="T69:T70" si="27">F69*S69</f>
        <v>0</v>
      </c>
      <c r="U69" s="312"/>
      <c r="V69" s="310"/>
      <c r="W69" s="294">
        <f t="shared" si="8"/>
        <v>0</v>
      </c>
      <c r="X69" s="300">
        <f t="shared" si="9"/>
        <v>0</v>
      </c>
      <c r="Y69" s="101"/>
      <c r="Z69" s="101"/>
    </row>
    <row r="70" spans="1:26" x14ac:dyDescent="0.25">
      <c r="A70" s="264">
        <v>66</v>
      </c>
      <c r="B70" s="101"/>
      <c r="C70" s="264"/>
      <c r="D70" s="264"/>
      <c r="E70" s="264"/>
      <c r="F70" s="101"/>
      <c r="G70" s="101"/>
      <c r="H70" s="289"/>
      <c r="I70" s="291"/>
      <c r="J70" s="101"/>
      <c r="K70" s="291"/>
      <c r="L70" s="101"/>
      <c r="M70" s="305"/>
      <c r="N70" s="101"/>
      <c r="O70" s="291"/>
      <c r="P70" s="101"/>
      <c r="Q70" s="291"/>
      <c r="R70" s="101"/>
      <c r="S70" s="39">
        <f t="shared" si="10"/>
        <v>0</v>
      </c>
      <c r="T70" s="38">
        <f t="shared" si="27"/>
        <v>0</v>
      </c>
      <c r="U70" s="312"/>
      <c r="V70" s="310"/>
      <c r="W70" s="294">
        <f t="shared" ref="W70" si="28">S70+U70</f>
        <v>0</v>
      </c>
      <c r="X70" s="300">
        <f t="shared" ref="X70" si="29">F70*W70</f>
        <v>0</v>
      </c>
      <c r="Y70" s="101"/>
      <c r="Z70" s="101"/>
    </row>
    <row r="71" spans="1:26" x14ac:dyDescent="0.2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spans="1:26" x14ac:dyDescent="0.2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1:26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1:26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1:26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1:26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1:26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1:26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</sheetData>
  <mergeCells count="24">
    <mergeCell ref="C1:H1"/>
    <mergeCell ref="G2:H3"/>
    <mergeCell ref="I2:J2"/>
    <mergeCell ref="K2:L2"/>
    <mergeCell ref="M2:N2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S4:T4"/>
    <mergeCell ref="U4:V4"/>
    <mergeCell ref="W4:X4"/>
    <mergeCell ref="G4:H4"/>
    <mergeCell ref="I4:J4"/>
    <mergeCell ref="K4:L4"/>
    <mergeCell ref="M4:N4"/>
    <mergeCell ref="O4:P4"/>
    <mergeCell ref="Q4:R4"/>
  </mergeCell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Z78"/>
  <sheetViews>
    <sheetView workbookViewId="0">
      <selection activeCell="V5" sqref="V5"/>
    </sheetView>
  </sheetViews>
  <sheetFormatPr defaultRowHeight="15" x14ac:dyDescent="0.25"/>
  <cols>
    <col min="1" max="1" width="5" customWidth="1"/>
    <col min="2" max="2" width="32.140625" style="3" customWidth="1"/>
    <col min="3" max="3" width="9.7109375" style="2" hidden="1" customWidth="1"/>
    <col min="4" max="4" width="14" style="2" hidden="1" customWidth="1"/>
    <col min="5" max="5" width="11" style="2" hidden="1" customWidth="1"/>
    <col min="6" max="6" width="13.85546875" style="4" hidden="1" customWidth="1"/>
    <col min="7" max="7" width="7.5703125" style="5" customWidth="1"/>
    <col min="8" max="8" width="9" style="5" customWidth="1"/>
    <col min="9" max="9" width="6" style="2" customWidth="1"/>
    <col min="10" max="10" width="7.85546875" style="2" customWidth="1"/>
    <col min="11" max="11" width="6.28515625" style="2" customWidth="1"/>
    <col min="12" max="12" width="7.7109375" style="2" customWidth="1"/>
    <col min="13" max="13" width="5.7109375" style="2" customWidth="1"/>
    <col min="14" max="14" width="8.140625" style="2" customWidth="1"/>
    <col min="15" max="15" width="6.5703125" style="2" customWidth="1"/>
    <col min="16" max="16" width="7.28515625" style="2" customWidth="1"/>
    <col min="17" max="17" width="5" style="2" customWidth="1"/>
    <col min="18" max="18" width="7.5703125" style="2" customWidth="1"/>
    <col min="19" max="19" width="8.28515625" style="2" customWidth="1"/>
    <col min="20" max="20" width="9.7109375" style="2" customWidth="1"/>
    <col min="21" max="21" width="6.7109375" customWidth="1"/>
    <col min="22" max="22" width="8" customWidth="1"/>
    <col min="23" max="23" width="8.42578125" customWidth="1"/>
    <col min="24" max="24" width="9.5703125" customWidth="1"/>
    <col min="25" max="25" width="10.28515625" customWidth="1"/>
  </cols>
  <sheetData>
    <row r="1" spans="1:26" ht="15.75" thickBot="1" x14ac:dyDescent="0.3">
      <c r="B1" s="4" t="s">
        <v>18</v>
      </c>
      <c r="C1" s="384">
        <v>45566</v>
      </c>
      <c r="D1" s="320"/>
      <c r="E1" s="320"/>
      <c r="F1" s="320"/>
      <c r="G1" s="320"/>
      <c r="H1" s="320"/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45569</v>
      </c>
      <c r="J2" s="326"/>
      <c r="K2" s="327">
        <v>45576</v>
      </c>
      <c r="L2" s="328"/>
      <c r="M2" s="325">
        <v>45583</v>
      </c>
      <c r="N2" s="329"/>
      <c r="O2" s="327">
        <v>45590</v>
      </c>
      <c r="P2" s="346"/>
      <c r="Q2" s="325">
        <v>45596</v>
      </c>
      <c r="R2" s="329"/>
      <c r="S2" s="330" t="s">
        <v>69</v>
      </c>
      <c r="T2" s="331"/>
      <c r="U2" s="334" t="s">
        <v>70</v>
      </c>
      <c r="V2" s="335"/>
      <c r="W2" s="385" t="s">
        <v>71</v>
      </c>
      <c r="X2" s="386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87"/>
      <c r="X3" s="388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89" t="s">
        <v>63</v>
      </c>
      <c r="X4" s="390"/>
      <c r="Y4" s="268" t="s">
        <v>179</v>
      </c>
      <c r="Z4" s="269" t="s">
        <v>99</v>
      </c>
    </row>
    <row r="5" spans="1:26" x14ac:dyDescent="0.25">
      <c r="A5" s="263">
        <v>1</v>
      </c>
      <c r="B5" s="256" t="s">
        <v>134</v>
      </c>
      <c r="C5" s="32">
        <v>70</v>
      </c>
      <c r="D5" s="33">
        <v>64</v>
      </c>
      <c r="E5" s="33">
        <v>8</v>
      </c>
      <c r="F5" s="15">
        <f>(C5*D5*E5)/1000000</f>
        <v>3.5839999999999997E-2</v>
      </c>
      <c r="G5" s="286">
        <v>392</v>
      </c>
      <c r="H5" s="287">
        <f>F5*G5</f>
        <v>14.04928</v>
      </c>
      <c r="I5" s="290">
        <v>0</v>
      </c>
      <c r="J5" s="205">
        <f t="shared" ref="J5:R55" si="0">F5*I5</f>
        <v>0</v>
      </c>
      <c r="K5" s="290">
        <v>0</v>
      </c>
      <c r="L5" s="205">
        <f>F5*K5</f>
        <v>0</v>
      </c>
      <c r="M5" s="290">
        <v>5</v>
      </c>
      <c r="N5" s="205">
        <f t="shared" ref="N5:N10" si="1">F5*M5</f>
        <v>0.17919999999999997</v>
      </c>
      <c r="O5" s="290">
        <v>38</v>
      </c>
      <c r="P5" s="205">
        <f t="shared" ref="P5:P10" si="2">F5*O5</f>
        <v>1.3619199999999998</v>
      </c>
      <c r="Q5" s="290">
        <v>40</v>
      </c>
      <c r="R5" s="205">
        <f t="shared" ref="R5:R11" si="3">F5*Q5</f>
        <v>1.4335999999999998</v>
      </c>
      <c r="S5" s="39">
        <f>G5-I5-K5-M5-O5-Q5</f>
        <v>309</v>
      </c>
      <c r="T5" s="38">
        <f t="shared" ref="T5:T68" si="4">F5*S5</f>
        <v>11.074559999999998</v>
      </c>
      <c r="U5" s="290">
        <v>0</v>
      </c>
      <c r="V5" s="13">
        <f>F5*U5</f>
        <v>0</v>
      </c>
      <c r="W5" s="294">
        <f>S5+U5</f>
        <v>309</v>
      </c>
      <c r="X5" s="295">
        <f>F5*W5</f>
        <v>11.074559999999998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135</v>
      </c>
      <c r="C6" s="34">
        <v>70</v>
      </c>
      <c r="D6" s="35">
        <v>80</v>
      </c>
      <c r="E6" s="35">
        <v>8</v>
      </c>
      <c r="F6" s="19">
        <f t="shared" ref="F6:F67" si="5">(C6*D6*E6)/1000000</f>
        <v>4.48E-2</v>
      </c>
      <c r="G6" s="286">
        <v>188</v>
      </c>
      <c r="H6" s="288">
        <f t="shared" ref="H6:H67" si="6">F6*G6</f>
        <v>8.4223999999999997</v>
      </c>
      <c r="I6" s="290">
        <v>2</v>
      </c>
      <c r="J6" s="205">
        <f t="shared" si="0"/>
        <v>8.9599999999999999E-2</v>
      </c>
      <c r="K6" s="290">
        <v>20</v>
      </c>
      <c r="L6" s="205">
        <f>F6*K6</f>
        <v>0.89600000000000002</v>
      </c>
      <c r="M6" s="290">
        <v>10</v>
      </c>
      <c r="N6" s="205">
        <f t="shared" si="1"/>
        <v>0.44800000000000001</v>
      </c>
      <c r="O6" s="290">
        <v>91</v>
      </c>
      <c r="P6" s="205">
        <f t="shared" si="2"/>
        <v>4.0767999999999995</v>
      </c>
      <c r="Q6" s="290">
        <v>2</v>
      </c>
      <c r="R6" s="205">
        <f t="shared" si="3"/>
        <v>8.9599999999999999E-2</v>
      </c>
      <c r="S6" s="39">
        <f>G6-I6-K6-M6-O6-Q6</f>
        <v>63</v>
      </c>
      <c r="T6" s="38">
        <f t="shared" si="4"/>
        <v>2.8224</v>
      </c>
      <c r="U6" s="290">
        <v>0</v>
      </c>
      <c r="V6" s="13">
        <f t="shared" ref="V6:V67" si="7">F6*U6</f>
        <v>0</v>
      </c>
      <c r="W6" s="294">
        <f t="shared" ref="W6:W69" si="8">S6+U6</f>
        <v>63</v>
      </c>
      <c r="X6" s="295">
        <f t="shared" ref="X6:X69" si="9">F6*W6</f>
        <v>2.8224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136</v>
      </c>
      <c r="C7" s="34">
        <v>70</v>
      </c>
      <c r="D7" s="35">
        <v>74</v>
      </c>
      <c r="E7" s="35">
        <v>8</v>
      </c>
      <c r="F7" s="19">
        <f t="shared" si="5"/>
        <v>4.1439999999999998E-2</v>
      </c>
      <c r="G7" s="286">
        <v>338</v>
      </c>
      <c r="H7" s="288">
        <f t="shared" si="6"/>
        <v>14.00672</v>
      </c>
      <c r="I7" s="290">
        <v>0</v>
      </c>
      <c r="J7" s="205">
        <f t="shared" si="0"/>
        <v>0</v>
      </c>
      <c r="K7" s="290">
        <v>0</v>
      </c>
      <c r="L7" s="205">
        <f>F7*K7</f>
        <v>0</v>
      </c>
      <c r="M7" s="290">
        <v>6</v>
      </c>
      <c r="N7" s="205">
        <f t="shared" si="1"/>
        <v>0.24863999999999997</v>
      </c>
      <c r="O7" s="290">
        <v>26</v>
      </c>
      <c r="P7" s="205">
        <f t="shared" si="2"/>
        <v>1.07744</v>
      </c>
      <c r="Q7" s="290">
        <v>0</v>
      </c>
      <c r="R7" s="205">
        <f t="shared" si="3"/>
        <v>0</v>
      </c>
      <c r="S7" s="39">
        <f t="shared" ref="S7:S70" si="10">G7-I7-K7-M7-O7-Q7</f>
        <v>306</v>
      </c>
      <c r="T7" s="38">
        <f t="shared" si="4"/>
        <v>12.680639999999999</v>
      </c>
      <c r="U7" s="290">
        <v>0</v>
      </c>
      <c r="V7" s="13">
        <f t="shared" si="7"/>
        <v>0</v>
      </c>
      <c r="W7" s="294">
        <f t="shared" si="8"/>
        <v>306</v>
      </c>
      <c r="X7" s="295">
        <f t="shared" si="9"/>
        <v>12.680639999999999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137</v>
      </c>
      <c r="C8" s="34">
        <v>80</v>
      </c>
      <c r="D8" s="35">
        <v>64</v>
      </c>
      <c r="E8" s="35">
        <v>5</v>
      </c>
      <c r="F8" s="19">
        <f t="shared" si="5"/>
        <v>2.5600000000000001E-2</v>
      </c>
      <c r="G8" s="286">
        <v>100</v>
      </c>
      <c r="H8" s="288">
        <f t="shared" si="6"/>
        <v>2.56</v>
      </c>
      <c r="I8" s="290">
        <v>8</v>
      </c>
      <c r="J8" s="205">
        <f t="shared" si="0"/>
        <v>0.20480000000000001</v>
      </c>
      <c r="K8" s="290">
        <v>0</v>
      </c>
      <c r="L8" s="205">
        <f>F8*K8</f>
        <v>0</v>
      </c>
      <c r="M8" s="290">
        <v>0</v>
      </c>
      <c r="N8" s="205">
        <f t="shared" si="1"/>
        <v>0</v>
      </c>
      <c r="O8" s="290">
        <v>0</v>
      </c>
      <c r="P8" s="205">
        <f t="shared" si="2"/>
        <v>0</v>
      </c>
      <c r="Q8" s="290">
        <v>0</v>
      </c>
      <c r="R8" s="205">
        <f t="shared" si="3"/>
        <v>0</v>
      </c>
      <c r="S8" s="39">
        <f t="shared" si="10"/>
        <v>92</v>
      </c>
      <c r="T8" s="38">
        <f t="shared" si="4"/>
        <v>2.3552</v>
      </c>
      <c r="U8" s="290">
        <v>0</v>
      </c>
      <c r="V8" s="13">
        <f t="shared" si="7"/>
        <v>0</v>
      </c>
      <c r="W8" s="294">
        <f t="shared" si="8"/>
        <v>92</v>
      </c>
      <c r="X8" s="295">
        <f t="shared" si="9"/>
        <v>2.3552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138</v>
      </c>
      <c r="C9" s="34">
        <v>140</v>
      </c>
      <c r="D9" s="35">
        <v>240</v>
      </c>
      <c r="E9" s="35">
        <v>5</v>
      </c>
      <c r="F9" s="19">
        <f t="shared" si="5"/>
        <v>0.16800000000000001</v>
      </c>
      <c r="G9" s="286">
        <v>164</v>
      </c>
      <c r="H9" s="288">
        <f t="shared" si="6"/>
        <v>27.552000000000003</v>
      </c>
      <c r="I9" s="290">
        <v>10</v>
      </c>
      <c r="J9" s="205">
        <f t="shared" si="0"/>
        <v>1.6800000000000002</v>
      </c>
      <c r="K9" s="290">
        <v>26</v>
      </c>
      <c r="L9" s="205">
        <f>F9*K9</f>
        <v>4.3680000000000003</v>
      </c>
      <c r="M9" s="290">
        <v>18</v>
      </c>
      <c r="N9" s="205">
        <f t="shared" si="1"/>
        <v>3.024</v>
      </c>
      <c r="O9" s="290">
        <v>7</v>
      </c>
      <c r="P9" s="205">
        <f t="shared" si="2"/>
        <v>1.1760000000000002</v>
      </c>
      <c r="Q9" s="290">
        <v>12</v>
      </c>
      <c r="R9" s="205">
        <f t="shared" si="3"/>
        <v>2.016</v>
      </c>
      <c r="S9" s="39">
        <f t="shared" si="10"/>
        <v>91</v>
      </c>
      <c r="T9" s="38">
        <f t="shared" si="4"/>
        <v>15.288</v>
      </c>
      <c r="U9" s="290">
        <v>0</v>
      </c>
      <c r="V9" s="13">
        <f t="shared" si="7"/>
        <v>0</v>
      </c>
      <c r="W9" s="294">
        <f t="shared" si="8"/>
        <v>91</v>
      </c>
      <c r="X9" s="295">
        <f t="shared" si="9"/>
        <v>15.288</v>
      </c>
      <c r="Y9" s="238">
        <v>100</v>
      </c>
      <c r="Z9" s="101">
        <v>250</v>
      </c>
    </row>
    <row r="10" spans="1:26" x14ac:dyDescent="0.25">
      <c r="A10" s="264">
        <v>6</v>
      </c>
      <c r="B10" s="256" t="s">
        <v>139</v>
      </c>
      <c r="C10" s="34">
        <v>142</v>
      </c>
      <c r="D10" s="35">
        <v>67</v>
      </c>
      <c r="E10" s="35">
        <v>5</v>
      </c>
      <c r="F10" s="19">
        <f t="shared" si="5"/>
        <v>4.7570000000000001E-2</v>
      </c>
      <c r="G10" s="286">
        <v>0</v>
      </c>
      <c r="H10" s="288">
        <f t="shared" si="6"/>
        <v>0</v>
      </c>
      <c r="I10" s="290">
        <v>0</v>
      </c>
      <c r="J10" s="205">
        <f t="shared" si="0"/>
        <v>0</v>
      </c>
      <c r="K10" s="290">
        <v>0</v>
      </c>
      <c r="L10" s="205">
        <f t="shared" ref="L10" si="11">F10*K10</f>
        <v>0</v>
      </c>
      <c r="M10" s="290">
        <v>0</v>
      </c>
      <c r="N10" s="205">
        <f t="shared" si="1"/>
        <v>0</v>
      </c>
      <c r="O10" s="290">
        <v>0</v>
      </c>
      <c r="P10" s="205">
        <f t="shared" si="2"/>
        <v>0</v>
      </c>
      <c r="Q10" s="290">
        <v>0</v>
      </c>
      <c r="R10" s="205">
        <f t="shared" si="3"/>
        <v>0</v>
      </c>
      <c r="S10" s="39">
        <f t="shared" si="10"/>
        <v>0</v>
      </c>
      <c r="T10" s="38">
        <f t="shared" si="4"/>
        <v>0</v>
      </c>
      <c r="U10" s="290">
        <v>0</v>
      </c>
      <c r="V10" s="13">
        <f t="shared" si="7"/>
        <v>0</v>
      </c>
      <c r="W10" s="294">
        <f t="shared" si="8"/>
        <v>0</v>
      </c>
      <c r="X10" s="295">
        <f t="shared" si="9"/>
        <v>0</v>
      </c>
      <c r="Y10" s="238">
        <v>75</v>
      </c>
      <c r="Z10" s="101">
        <v>250</v>
      </c>
    </row>
    <row r="11" spans="1:26" x14ac:dyDescent="0.25">
      <c r="A11" s="264">
        <v>7</v>
      </c>
      <c r="B11" s="256" t="s">
        <v>207</v>
      </c>
      <c r="C11" s="34">
        <v>87</v>
      </c>
      <c r="D11" s="35">
        <v>54</v>
      </c>
      <c r="E11" s="35">
        <v>5</v>
      </c>
      <c r="F11" s="19">
        <f t="shared" si="5"/>
        <v>2.349E-2</v>
      </c>
      <c r="G11" s="286">
        <v>0</v>
      </c>
      <c r="H11" s="288">
        <f t="shared" si="6"/>
        <v>0</v>
      </c>
      <c r="I11" s="290">
        <v>0</v>
      </c>
      <c r="J11" s="205">
        <f t="shared" si="0"/>
        <v>0</v>
      </c>
      <c r="K11" s="290">
        <v>0</v>
      </c>
      <c r="L11" s="205">
        <f>F11*K11</f>
        <v>0</v>
      </c>
      <c r="M11" s="290">
        <v>0</v>
      </c>
      <c r="N11" s="21">
        <v>0</v>
      </c>
      <c r="O11" s="290">
        <v>0</v>
      </c>
      <c r="P11" s="21">
        <v>0</v>
      </c>
      <c r="Q11" s="290">
        <v>0</v>
      </c>
      <c r="R11" s="205">
        <f t="shared" si="3"/>
        <v>0</v>
      </c>
      <c r="S11" s="39">
        <f t="shared" si="10"/>
        <v>0</v>
      </c>
      <c r="T11" s="38">
        <f t="shared" si="4"/>
        <v>0</v>
      </c>
      <c r="U11" s="290">
        <v>24</v>
      </c>
      <c r="V11" s="13">
        <f t="shared" si="7"/>
        <v>0.56376000000000004</v>
      </c>
      <c r="W11" s="294">
        <f t="shared" si="8"/>
        <v>24</v>
      </c>
      <c r="X11" s="295">
        <f t="shared" si="9"/>
        <v>0.56376000000000004</v>
      </c>
      <c r="Y11" s="238">
        <v>50</v>
      </c>
      <c r="Z11" s="101">
        <v>100</v>
      </c>
    </row>
    <row r="12" spans="1:26" x14ac:dyDescent="0.25">
      <c r="A12" s="264">
        <v>8</v>
      </c>
      <c r="B12" s="256" t="s">
        <v>191</v>
      </c>
      <c r="C12" s="34">
        <v>75</v>
      </c>
      <c r="D12" s="35">
        <v>54</v>
      </c>
      <c r="E12" s="35">
        <v>5</v>
      </c>
      <c r="F12" s="19">
        <f t="shared" si="5"/>
        <v>2.0250000000000001E-2</v>
      </c>
      <c r="G12" s="286">
        <v>0</v>
      </c>
      <c r="H12" s="288">
        <f t="shared" si="6"/>
        <v>0</v>
      </c>
      <c r="I12" s="290">
        <v>0</v>
      </c>
      <c r="J12" s="205">
        <f t="shared" si="0"/>
        <v>0</v>
      </c>
      <c r="K12" s="290">
        <v>0</v>
      </c>
      <c r="L12" s="205">
        <f>F12*K12</f>
        <v>0</v>
      </c>
      <c r="M12" s="290">
        <v>0</v>
      </c>
      <c r="N12" s="205">
        <f>F12*M12</f>
        <v>0</v>
      </c>
      <c r="O12" s="290">
        <v>0</v>
      </c>
      <c r="P12" s="205">
        <f>F12*O12</f>
        <v>0</v>
      </c>
      <c r="Q12" s="290">
        <v>0</v>
      </c>
      <c r="R12" s="21">
        <v>0</v>
      </c>
      <c r="S12" s="39">
        <f t="shared" si="10"/>
        <v>0</v>
      </c>
      <c r="T12" s="38">
        <f t="shared" si="4"/>
        <v>0</v>
      </c>
      <c r="U12" s="290">
        <v>0</v>
      </c>
      <c r="V12" s="13">
        <f t="shared" si="7"/>
        <v>0</v>
      </c>
      <c r="W12" s="294">
        <f t="shared" si="8"/>
        <v>0</v>
      </c>
      <c r="X12" s="295">
        <f t="shared" si="9"/>
        <v>0</v>
      </c>
      <c r="Y12" s="238">
        <v>50</v>
      </c>
      <c r="Z12" s="101">
        <v>100</v>
      </c>
    </row>
    <row r="13" spans="1:26" x14ac:dyDescent="0.25">
      <c r="A13" s="264">
        <v>9</v>
      </c>
      <c r="B13" s="256" t="s">
        <v>142</v>
      </c>
      <c r="C13" s="34">
        <v>140</v>
      </c>
      <c r="D13" s="35">
        <v>240</v>
      </c>
      <c r="E13" s="35">
        <v>5</v>
      </c>
      <c r="F13" s="19">
        <f t="shared" si="5"/>
        <v>0.16800000000000001</v>
      </c>
      <c r="G13" s="286">
        <v>73</v>
      </c>
      <c r="H13" s="288">
        <f t="shared" si="6"/>
        <v>12.264000000000001</v>
      </c>
      <c r="I13" s="290">
        <v>1</v>
      </c>
      <c r="J13" s="205">
        <f t="shared" si="0"/>
        <v>0.16800000000000001</v>
      </c>
      <c r="K13" s="290">
        <v>0</v>
      </c>
      <c r="L13" s="205">
        <f>F13*K13</f>
        <v>0</v>
      </c>
      <c r="M13" s="290">
        <v>1</v>
      </c>
      <c r="N13" s="205">
        <f>F13*M13</f>
        <v>0.16800000000000001</v>
      </c>
      <c r="O13" s="290">
        <v>3</v>
      </c>
      <c r="P13" s="205">
        <f>F13*O13</f>
        <v>0.504</v>
      </c>
      <c r="Q13" s="290">
        <v>15</v>
      </c>
      <c r="R13" s="205">
        <f>F13*Q13</f>
        <v>2.52</v>
      </c>
      <c r="S13" s="39">
        <f t="shared" si="10"/>
        <v>53</v>
      </c>
      <c r="T13" s="38">
        <f t="shared" si="4"/>
        <v>8.9039999999999999</v>
      </c>
      <c r="U13" s="290">
        <v>50</v>
      </c>
      <c r="V13" s="13">
        <f t="shared" si="7"/>
        <v>8.4</v>
      </c>
      <c r="W13" s="294">
        <f t="shared" si="8"/>
        <v>103</v>
      </c>
      <c r="X13" s="295">
        <f t="shared" si="9"/>
        <v>17.304000000000002</v>
      </c>
      <c r="Y13" s="238">
        <v>100</v>
      </c>
      <c r="Z13" s="101">
        <v>300</v>
      </c>
    </row>
    <row r="14" spans="1:26" x14ac:dyDescent="0.25">
      <c r="A14" s="264">
        <v>10</v>
      </c>
      <c r="B14" s="256" t="s">
        <v>143</v>
      </c>
      <c r="C14" s="34">
        <v>90</v>
      </c>
      <c r="D14" s="35">
        <v>85</v>
      </c>
      <c r="E14" s="35">
        <v>5</v>
      </c>
      <c r="F14" s="19">
        <f t="shared" si="5"/>
        <v>3.8249999999999999E-2</v>
      </c>
      <c r="G14" s="286">
        <v>44</v>
      </c>
      <c r="H14" s="288">
        <f t="shared" si="6"/>
        <v>1.6830000000000001</v>
      </c>
      <c r="I14" s="290">
        <v>0</v>
      </c>
      <c r="J14" s="205">
        <f t="shared" si="0"/>
        <v>0</v>
      </c>
      <c r="K14" s="290">
        <v>0</v>
      </c>
      <c r="L14" s="205">
        <f t="shared" ref="L14:L20" si="12">F14*K14</f>
        <v>0</v>
      </c>
      <c r="M14" s="290">
        <v>0</v>
      </c>
      <c r="N14" s="205">
        <f>F14*M14</f>
        <v>0</v>
      </c>
      <c r="O14" s="290">
        <v>0</v>
      </c>
      <c r="P14" s="205">
        <f t="shared" si="0"/>
        <v>0</v>
      </c>
      <c r="Q14" s="290">
        <v>0</v>
      </c>
      <c r="R14" s="205">
        <f t="shared" si="0"/>
        <v>0</v>
      </c>
      <c r="S14" s="39">
        <f t="shared" si="10"/>
        <v>44</v>
      </c>
      <c r="T14" s="38">
        <f t="shared" si="4"/>
        <v>1.6830000000000001</v>
      </c>
      <c r="U14" s="290">
        <v>0</v>
      </c>
      <c r="V14" s="13">
        <f t="shared" si="7"/>
        <v>0</v>
      </c>
      <c r="W14" s="294">
        <f t="shared" si="8"/>
        <v>44</v>
      </c>
      <c r="X14" s="295">
        <f t="shared" si="9"/>
        <v>1.6830000000000001</v>
      </c>
      <c r="Y14" s="238">
        <v>50</v>
      </c>
      <c r="Z14" s="101">
        <v>100</v>
      </c>
    </row>
    <row r="15" spans="1:26" x14ac:dyDescent="0.25">
      <c r="A15" s="264">
        <v>11</v>
      </c>
      <c r="B15" s="256" t="s">
        <v>144</v>
      </c>
      <c r="C15" s="34">
        <v>140</v>
      </c>
      <c r="D15" s="35">
        <v>240</v>
      </c>
      <c r="E15" s="35">
        <v>5</v>
      </c>
      <c r="F15" s="19">
        <f t="shared" si="5"/>
        <v>0.16800000000000001</v>
      </c>
      <c r="G15" s="286">
        <v>25</v>
      </c>
      <c r="H15" s="288">
        <f t="shared" si="6"/>
        <v>4.2</v>
      </c>
      <c r="I15" s="290">
        <v>2</v>
      </c>
      <c r="J15" s="205">
        <f t="shared" si="0"/>
        <v>0.33600000000000002</v>
      </c>
      <c r="K15" s="290">
        <v>2</v>
      </c>
      <c r="L15" s="205">
        <f t="shared" si="12"/>
        <v>0.33600000000000002</v>
      </c>
      <c r="M15" s="290">
        <v>8</v>
      </c>
      <c r="N15" s="205">
        <f t="shared" ref="N15:N22" si="13">F15*M15</f>
        <v>1.3440000000000001</v>
      </c>
      <c r="O15" s="290">
        <v>9</v>
      </c>
      <c r="P15" s="205">
        <f t="shared" ref="P15:P22" si="14">F15*O15</f>
        <v>1.512</v>
      </c>
      <c r="Q15" s="290">
        <v>29</v>
      </c>
      <c r="R15" s="205">
        <f t="shared" ref="R15:R20" si="15">F15*Q15</f>
        <v>4.8719999999999999</v>
      </c>
      <c r="S15" s="39">
        <f t="shared" si="10"/>
        <v>-25</v>
      </c>
      <c r="T15" s="38">
        <f t="shared" si="4"/>
        <v>-4.2</v>
      </c>
      <c r="U15" s="290">
        <v>35</v>
      </c>
      <c r="V15" s="13">
        <f t="shared" si="7"/>
        <v>5.8800000000000008</v>
      </c>
      <c r="W15" s="294">
        <f t="shared" si="8"/>
        <v>10</v>
      </c>
      <c r="X15" s="295">
        <f t="shared" si="9"/>
        <v>1.6800000000000002</v>
      </c>
      <c r="Y15" s="238">
        <v>200</v>
      </c>
      <c r="Z15" s="101">
        <v>400</v>
      </c>
    </row>
    <row r="16" spans="1:26" x14ac:dyDescent="0.25">
      <c r="A16" s="264">
        <v>12</v>
      </c>
      <c r="B16" s="256" t="s">
        <v>145</v>
      </c>
      <c r="C16" s="34">
        <v>140</v>
      </c>
      <c r="D16" s="35">
        <v>240</v>
      </c>
      <c r="E16" s="35">
        <v>5</v>
      </c>
      <c r="F16" s="19">
        <f t="shared" si="5"/>
        <v>0.16800000000000001</v>
      </c>
      <c r="G16" s="286">
        <v>395</v>
      </c>
      <c r="H16" s="288">
        <f t="shared" si="6"/>
        <v>66.36</v>
      </c>
      <c r="I16" s="290">
        <v>9</v>
      </c>
      <c r="J16" s="205">
        <f t="shared" si="0"/>
        <v>1.512</v>
      </c>
      <c r="K16" s="290">
        <v>8</v>
      </c>
      <c r="L16" s="205">
        <f t="shared" si="12"/>
        <v>1.3440000000000001</v>
      </c>
      <c r="M16" s="290">
        <v>10</v>
      </c>
      <c r="N16" s="205">
        <f t="shared" si="13"/>
        <v>1.6800000000000002</v>
      </c>
      <c r="O16" s="290">
        <v>25</v>
      </c>
      <c r="P16" s="205">
        <f t="shared" si="14"/>
        <v>4.2</v>
      </c>
      <c r="Q16" s="290">
        <v>11</v>
      </c>
      <c r="R16" s="205">
        <f t="shared" si="15"/>
        <v>1.8480000000000001</v>
      </c>
      <c r="S16" s="39">
        <f t="shared" si="10"/>
        <v>332</v>
      </c>
      <c r="T16" s="38">
        <f t="shared" si="4"/>
        <v>55.776000000000003</v>
      </c>
      <c r="U16" s="290">
        <v>2</v>
      </c>
      <c r="V16" s="13">
        <f t="shared" si="7"/>
        <v>0.33600000000000002</v>
      </c>
      <c r="W16" s="294">
        <f t="shared" si="8"/>
        <v>334</v>
      </c>
      <c r="X16" s="295">
        <f t="shared" si="9"/>
        <v>56.112000000000002</v>
      </c>
      <c r="Y16" s="238">
        <v>200</v>
      </c>
      <c r="Z16" s="101">
        <v>500</v>
      </c>
    </row>
    <row r="17" spans="1:26" x14ac:dyDescent="0.25">
      <c r="A17" s="264">
        <v>13</v>
      </c>
      <c r="B17" s="256" t="s">
        <v>146</v>
      </c>
      <c r="C17" s="34">
        <v>140</v>
      </c>
      <c r="D17" s="35">
        <v>240</v>
      </c>
      <c r="E17" s="35">
        <v>8</v>
      </c>
      <c r="F17" s="19">
        <f t="shared" si="5"/>
        <v>0.26879999999999998</v>
      </c>
      <c r="G17" s="286">
        <v>22</v>
      </c>
      <c r="H17" s="288">
        <f t="shared" si="6"/>
        <v>5.9135999999999997</v>
      </c>
      <c r="I17" s="290">
        <v>1</v>
      </c>
      <c r="J17" s="205">
        <f t="shared" si="0"/>
        <v>0.26879999999999998</v>
      </c>
      <c r="K17" s="290">
        <v>1</v>
      </c>
      <c r="L17" s="205">
        <f t="shared" si="12"/>
        <v>0.26879999999999998</v>
      </c>
      <c r="M17" s="290">
        <v>1</v>
      </c>
      <c r="N17" s="205">
        <f t="shared" si="13"/>
        <v>0.26879999999999998</v>
      </c>
      <c r="O17" s="290">
        <v>0</v>
      </c>
      <c r="P17" s="205">
        <f t="shared" si="14"/>
        <v>0</v>
      </c>
      <c r="Q17" s="290">
        <v>1</v>
      </c>
      <c r="R17" s="205">
        <f t="shared" si="15"/>
        <v>0.26879999999999998</v>
      </c>
      <c r="S17" s="39">
        <f t="shared" si="10"/>
        <v>18</v>
      </c>
      <c r="T17" s="38">
        <f t="shared" si="4"/>
        <v>4.8384</v>
      </c>
      <c r="U17" s="290">
        <v>26</v>
      </c>
      <c r="V17" s="13">
        <f t="shared" si="7"/>
        <v>6.9887999999999995</v>
      </c>
      <c r="W17" s="294">
        <f t="shared" si="8"/>
        <v>44</v>
      </c>
      <c r="X17" s="295">
        <f t="shared" si="9"/>
        <v>11.827199999999999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147</v>
      </c>
      <c r="C18" s="34">
        <v>77</v>
      </c>
      <c r="D18" s="35">
        <v>86</v>
      </c>
      <c r="E18" s="35">
        <v>8</v>
      </c>
      <c r="F18" s="19">
        <f t="shared" si="5"/>
        <v>5.2976000000000002E-2</v>
      </c>
      <c r="G18" s="286">
        <v>102</v>
      </c>
      <c r="H18" s="288">
        <f t="shared" si="6"/>
        <v>5.4035520000000004</v>
      </c>
      <c r="I18" s="290">
        <v>10</v>
      </c>
      <c r="J18" s="205">
        <f t="shared" si="0"/>
        <v>0.52976000000000001</v>
      </c>
      <c r="K18" s="290">
        <v>20</v>
      </c>
      <c r="L18" s="205">
        <f t="shared" si="12"/>
        <v>1.05952</v>
      </c>
      <c r="M18" s="290">
        <v>10</v>
      </c>
      <c r="N18" s="205">
        <f t="shared" si="13"/>
        <v>0.52976000000000001</v>
      </c>
      <c r="O18" s="290">
        <v>58</v>
      </c>
      <c r="P18" s="205">
        <f t="shared" si="14"/>
        <v>3.0726080000000002</v>
      </c>
      <c r="Q18" s="290">
        <v>40</v>
      </c>
      <c r="R18" s="205">
        <f t="shared" si="15"/>
        <v>2.11904</v>
      </c>
      <c r="S18" s="39">
        <f t="shared" si="10"/>
        <v>-36</v>
      </c>
      <c r="T18" s="38">
        <f t="shared" si="4"/>
        <v>-1.9071360000000002</v>
      </c>
      <c r="U18" s="290">
        <v>70</v>
      </c>
      <c r="V18" s="13">
        <f t="shared" si="7"/>
        <v>3.7083200000000001</v>
      </c>
      <c r="W18" s="294">
        <f t="shared" si="8"/>
        <v>34</v>
      </c>
      <c r="X18" s="295">
        <f t="shared" si="9"/>
        <v>1.8011840000000001</v>
      </c>
      <c r="Y18" s="238">
        <v>100</v>
      </c>
      <c r="Z18" s="101">
        <v>300</v>
      </c>
    </row>
    <row r="19" spans="1:26" x14ac:dyDescent="0.25">
      <c r="A19" s="264">
        <v>15</v>
      </c>
      <c r="B19" s="256" t="s">
        <v>148</v>
      </c>
      <c r="C19" s="34">
        <v>77</v>
      </c>
      <c r="D19" s="35">
        <v>68</v>
      </c>
      <c r="E19" s="35">
        <v>8</v>
      </c>
      <c r="F19" s="19">
        <f t="shared" si="5"/>
        <v>4.1888000000000002E-2</v>
      </c>
      <c r="G19" s="286">
        <v>244</v>
      </c>
      <c r="H19" s="288">
        <f t="shared" si="6"/>
        <v>10.220672</v>
      </c>
      <c r="I19" s="290">
        <v>0</v>
      </c>
      <c r="J19" s="205">
        <f t="shared" si="0"/>
        <v>0</v>
      </c>
      <c r="K19" s="290">
        <v>24</v>
      </c>
      <c r="L19" s="205">
        <f t="shared" si="12"/>
        <v>1.005312</v>
      </c>
      <c r="M19" s="290">
        <v>8</v>
      </c>
      <c r="N19" s="205">
        <f t="shared" si="13"/>
        <v>0.33510400000000001</v>
      </c>
      <c r="O19" s="290">
        <v>38</v>
      </c>
      <c r="P19" s="205">
        <f t="shared" si="14"/>
        <v>1.591744</v>
      </c>
      <c r="Q19" s="290">
        <v>0</v>
      </c>
      <c r="R19" s="205">
        <f t="shared" si="15"/>
        <v>0</v>
      </c>
      <c r="S19" s="39">
        <f t="shared" si="10"/>
        <v>174</v>
      </c>
      <c r="T19" s="38">
        <f t="shared" si="4"/>
        <v>7.2885119999999999</v>
      </c>
      <c r="U19" s="290">
        <v>0</v>
      </c>
      <c r="V19" s="13">
        <f t="shared" si="7"/>
        <v>0</v>
      </c>
      <c r="W19" s="294">
        <f t="shared" si="8"/>
        <v>174</v>
      </c>
      <c r="X19" s="295">
        <f t="shared" si="9"/>
        <v>7.2885119999999999</v>
      </c>
      <c r="Y19" s="238">
        <v>100</v>
      </c>
      <c r="Z19" s="101">
        <v>300</v>
      </c>
    </row>
    <row r="20" spans="1:26" x14ac:dyDescent="0.25">
      <c r="A20" s="264">
        <v>16</v>
      </c>
      <c r="B20" s="256" t="s">
        <v>149</v>
      </c>
      <c r="C20" s="34">
        <v>76</v>
      </c>
      <c r="D20" s="35">
        <v>75</v>
      </c>
      <c r="E20" s="35">
        <v>8</v>
      </c>
      <c r="F20" s="19">
        <f t="shared" si="5"/>
        <v>4.5600000000000002E-2</v>
      </c>
      <c r="G20" s="286">
        <v>67</v>
      </c>
      <c r="H20" s="288">
        <f t="shared" si="6"/>
        <v>3.0552000000000001</v>
      </c>
      <c r="I20" s="290">
        <v>0</v>
      </c>
      <c r="J20" s="205">
        <f t="shared" si="0"/>
        <v>0</v>
      </c>
      <c r="K20" s="290">
        <v>0</v>
      </c>
      <c r="L20" s="205">
        <f t="shared" si="12"/>
        <v>0</v>
      </c>
      <c r="M20" s="290">
        <v>6</v>
      </c>
      <c r="N20" s="205">
        <f t="shared" si="13"/>
        <v>0.27360000000000001</v>
      </c>
      <c r="O20" s="290">
        <v>54</v>
      </c>
      <c r="P20" s="205">
        <f t="shared" si="14"/>
        <v>2.4624000000000001</v>
      </c>
      <c r="Q20" s="290">
        <v>0</v>
      </c>
      <c r="R20" s="205">
        <f t="shared" si="15"/>
        <v>0</v>
      </c>
      <c r="S20" s="39">
        <f t="shared" si="10"/>
        <v>7</v>
      </c>
      <c r="T20" s="38">
        <f t="shared" si="4"/>
        <v>0.31920000000000004</v>
      </c>
      <c r="U20" s="290">
        <v>0</v>
      </c>
      <c r="V20" s="13">
        <f t="shared" si="7"/>
        <v>0</v>
      </c>
      <c r="W20" s="294">
        <f t="shared" si="8"/>
        <v>7</v>
      </c>
      <c r="X20" s="295">
        <f t="shared" si="9"/>
        <v>0.31920000000000004</v>
      </c>
      <c r="Y20" s="238">
        <v>100</v>
      </c>
      <c r="Z20" s="101">
        <v>300</v>
      </c>
    </row>
    <row r="21" spans="1:26" x14ac:dyDescent="0.25">
      <c r="A21" s="264">
        <v>17</v>
      </c>
      <c r="B21" s="256" t="s">
        <v>150</v>
      </c>
      <c r="C21" s="34">
        <v>60</v>
      </c>
      <c r="D21" s="35">
        <v>63</v>
      </c>
      <c r="E21" s="35">
        <v>10</v>
      </c>
      <c r="F21" s="19">
        <f t="shared" si="5"/>
        <v>3.78E-2</v>
      </c>
      <c r="G21" s="286">
        <v>1432</v>
      </c>
      <c r="H21" s="288">
        <f t="shared" si="6"/>
        <v>54.129600000000003</v>
      </c>
      <c r="I21" s="290">
        <v>183</v>
      </c>
      <c r="J21" s="205">
        <f t="shared" si="0"/>
        <v>6.9173999999999998</v>
      </c>
      <c r="K21" s="290">
        <v>0</v>
      </c>
      <c r="L21" s="205">
        <f t="shared" si="0"/>
        <v>0</v>
      </c>
      <c r="M21" s="290">
        <v>0</v>
      </c>
      <c r="N21" s="21">
        <v>0</v>
      </c>
      <c r="O21" s="290">
        <v>393</v>
      </c>
      <c r="P21" s="205">
        <f t="shared" si="14"/>
        <v>14.855399999999999</v>
      </c>
      <c r="Q21" s="290">
        <v>0</v>
      </c>
      <c r="R21" s="21">
        <v>0</v>
      </c>
      <c r="S21" s="39">
        <f t="shared" si="10"/>
        <v>856</v>
      </c>
      <c r="T21" s="38">
        <f t="shared" si="4"/>
        <v>32.3568</v>
      </c>
      <c r="U21" s="290">
        <v>0</v>
      </c>
      <c r="V21" s="13">
        <f t="shared" si="7"/>
        <v>0</v>
      </c>
      <c r="W21" s="294">
        <f t="shared" si="8"/>
        <v>856</v>
      </c>
      <c r="X21" s="295">
        <f t="shared" si="9"/>
        <v>32.3568</v>
      </c>
      <c r="Y21" s="238">
        <v>50</v>
      </c>
      <c r="Z21" s="101">
        <v>200</v>
      </c>
    </row>
    <row r="22" spans="1:26" x14ac:dyDescent="0.25">
      <c r="A22" s="264">
        <v>18</v>
      </c>
      <c r="B22" s="256" t="s">
        <v>151</v>
      </c>
      <c r="C22" s="34">
        <v>63</v>
      </c>
      <c r="D22" s="35">
        <v>60</v>
      </c>
      <c r="E22" s="35">
        <v>3</v>
      </c>
      <c r="F22" s="19">
        <f t="shared" si="5"/>
        <v>1.1339999999999999E-2</v>
      </c>
      <c r="G22" s="286">
        <v>330</v>
      </c>
      <c r="H22" s="288">
        <f t="shared" si="6"/>
        <v>3.7422</v>
      </c>
      <c r="I22" s="290">
        <v>61</v>
      </c>
      <c r="J22" s="205">
        <f t="shared" si="0"/>
        <v>0.69173999999999991</v>
      </c>
      <c r="K22" s="290">
        <v>0</v>
      </c>
      <c r="L22" s="205">
        <f t="shared" si="0"/>
        <v>0</v>
      </c>
      <c r="M22" s="290">
        <v>12</v>
      </c>
      <c r="N22" s="205">
        <f t="shared" si="13"/>
        <v>0.13607999999999998</v>
      </c>
      <c r="O22" s="290">
        <v>131</v>
      </c>
      <c r="P22" s="205">
        <f t="shared" si="14"/>
        <v>1.4855399999999999</v>
      </c>
      <c r="Q22" s="290">
        <v>0</v>
      </c>
      <c r="R22" s="21">
        <v>0</v>
      </c>
      <c r="S22" s="39">
        <f t="shared" si="10"/>
        <v>126</v>
      </c>
      <c r="T22" s="38">
        <f t="shared" si="4"/>
        <v>1.4288399999999999</v>
      </c>
      <c r="U22" s="290">
        <v>54</v>
      </c>
      <c r="V22" s="13">
        <f t="shared" si="7"/>
        <v>0.61236000000000002</v>
      </c>
      <c r="W22" s="294">
        <f t="shared" si="8"/>
        <v>180</v>
      </c>
      <c r="X22" s="295">
        <f t="shared" si="9"/>
        <v>2.0411999999999999</v>
      </c>
      <c r="Y22" s="238">
        <v>50</v>
      </c>
      <c r="Z22" s="101">
        <v>200</v>
      </c>
    </row>
    <row r="23" spans="1:26" x14ac:dyDescent="0.25">
      <c r="A23" s="264">
        <v>19</v>
      </c>
      <c r="B23" s="42" t="s">
        <v>152</v>
      </c>
      <c r="C23" s="34">
        <v>140</v>
      </c>
      <c r="D23" s="35">
        <v>240</v>
      </c>
      <c r="E23" s="35">
        <v>1.4</v>
      </c>
      <c r="F23" s="19">
        <f t="shared" si="5"/>
        <v>4.7039999999999998E-2</v>
      </c>
      <c r="G23" s="286">
        <v>789</v>
      </c>
      <c r="H23" s="288">
        <f t="shared" si="6"/>
        <v>37.114559999999997</v>
      </c>
      <c r="I23" s="290">
        <v>85</v>
      </c>
      <c r="J23" s="205">
        <f t="shared" si="0"/>
        <v>3.9983999999999997</v>
      </c>
      <c r="K23" s="290">
        <v>70</v>
      </c>
      <c r="L23" s="205">
        <f t="shared" ref="L23:L36" si="16">F23*K23</f>
        <v>3.2927999999999997</v>
      </c>
      <c r="M23" s="290">
        <v>130</v>
      </c>
      <c r="N23" s="205">
        <f t="shared" ref="N23:N36" si="17">F23*M23</f>
        <v>6.1151999999999997</v>
      </c>
      <c r="O23" s="290">
        <v>101</v>
      </c>
      <c r="P23" s="205">
        <f t="shared" ref="P23:P36" si="18">F23*O23</f>
        <v>4.7510399999999997</v>
      </c>
      <c r="Q23" s="290">
        <v>132</v>
      </c>
      <c r="R23" s="205">
        <f t="shared" ref="R23:R37" si="19">F23*Q23</f>
        <v>6.2092799999999997</v>
      </c>
      <c r="S23" s="39">
        <f t="shared" si="10"/>
        <v>271</v>
      </c>
      <c r="T23" s="38">
        <f t="shared" si="4"/>
        <v>12.74784</v>
      </c>
      <c r="U23" s="290">
        <v>508</v>
      </c>
      <c r="V23" s="13">
        <f t="shared" si="7"/>
        <v>23.896319999999999</v>
      </c>
      <c r="W23" s="294">
        <f t="shared" si="8"/>
        <v>779</v>
      </c>
      <c r="X23" s="295">
        <f t="shared" si="9"/>
        <v>36.644159999999999</v>
      </c>
      <c r="Y23" s="238">
        <v>200</v>
      </c>
      <c r="Z23" s="101">
        <v>500</v>
      </c>
    </row>
    <row r="24" spans="1:26" x14ac:dyDescent="0.25">
      <c r="A24" s="264">
        <v>20</v>
      </c>
      <c r="B24" s="256" t="s">
        <v>3</v>
      </c>
      <c r="C24" s="34">
        <v>140</v>
      </c>
      <c r="D24" s="35">
        <v>240</v>
      </c>
      <c r="E24" s="35">
        <v>0.8</v>
      </c>
      <c r="F24" s="19">
        <f t="shared" si="5"/>
        <v>2.6880000000000001E-2</v>
      </c>
      <c r="G24" s="286">
        <v>310</v>
      </c>
      <c r="H24" s="288">
        <f t="shared" si="6"/>
        <v>8.3328000000000007</v>
      </c>
      <c r="I24" s="290">
        <v>1</v>
      </c>
      <c r="J24" s="205">
        <f t="shared" si="0"/>
        <v>2.6880000000000001E-2</v>
      </c>
      <c r="K24" s="290">
        <v>16</v>
      </c>
      <c r="L24" s="205">
        <f t="shared" si="16"/>
        <v>0.43008000000000002</v>
      </c>
      <c r="M24" s="290">
        <v>62</v>
      </c>
      <c r="N24" s="205">
        <f t="shared" si="17"/>
        <v>1.66656</v>
      </c>
      <c r="O24" s="290">
        <v>26</v>
      </c>
      <c r="P24" s="205">
        <f t="shared" si="18"/>
        <v>0.69888000000000006</v>
      </c>
      <c r="Q24" s="290">
        <v>8</v>
      </c>
      <c r="R24" s="205">
        <f t="shared" si="19"/>
        <v>0.21504000000000001</v>
      </c>
      <c r="S24" s="39">
        <f t="shared" si="10"/>
        <v>197</v>
      </c>
      <c r="T24" s="38">
        <f t="shared" si="4"/>
        <v>5.2953600000000005</v>
      </c>
      <c r="U24" s="290">
        <v>0</v>
      </c>
      <c r="V24" s="13">
        <f t="shared" si="7"/>
        <v>0</v>
      </c>
      <c r="W24" s="294">
        <f t="shared" si="8"/>
        <v>197</v>
      </c>
      <c r="X24" s="295">
        <f t="shared" si="9"/>
        <v>5.2953600000000005</v>
      </c>
      <c r="Y24" s="238">
        <v>100</v>
      </c>
      <c r="Z24" s="101">
        <v>300</v>
      </c>
    </row>
    <row r="25" spans="1:26" x14ac:dyDescent="0.25">
      <c r="A25" s="264">
        <v>21</v>
      </c>
      <c r="B25" s="256" t="s">
        <v>153</v>
      </c>
      <c r="C25" s="34">
        <v>58</v>
      </c>
      <c r="D25" s="35">
        <v>58</v>
      </c>
      <c r="E25" s="35">
        <v>2.2999999999999998</v>
      </c>
      <c r="F25" s="19">
        <f t="shared" si="5"/>
        <v>7.7371999999999996E-3</v>
      </c>
      <c r="G25" s="286">
        <v>349</v>
      </c>
      <c r="H25" s="288">
        <f t="shared" si="6"/>
        <v>2.7002828000000001</v>
      </c>
      <c r="I25" s="290">
        <v>0</v>
      </c>
      <c r="J25" s="205">
        <f t="shared" si="0"/>
        <v>0</v>
      </c>
      <c r="K25" s="290">
        <v>50</v>
      </c>
      <c r="L25" s="205">
        <f t="shared" si="16"/>
        <v>0.38685999999999998</v>
      </c>
      <c r="M25" s="290">
        <v>0</v>
      </c>
      <c r="N25" s="205">
        <f t="shared" si="17"/>
        <v>0</v>
      </c>
      <c r="O25" s="290">
        <v>41</v>
      </c>
      <c r="P25" s="205">
        <f t="shared" si="18"/>
        <v>0.31722519999999998</v>
      </c>
      <c r="Q25" s="290">
        <v>0</v>
      </c>
      <c r="R25" s="205">
        <f t="shared" si="19"/>
        <v>0</v>
      </c>
      <c r="S25" s="39">
        <f t="shared" si="10"/>
        <v>258</v>
      </c>
      <c r="T25" s="38">
        <f t="shared" si="4"/>
        <v>1.9961975999999999</v>
      </c>
      <c r="U25" s="290">
        <v>90</v>
      </c>
      <c r="V25" s="13">
        <f t="shared" si="7"/>
        <v>0.69634799999999997</v>
      </c>
      <c r="W25" s="294">
        <f t="shared" si="8"/>
        <v>348</v>
      </c>
      <c r="X25" s="295">
        <f t="shared" si="9"/>
        <v>2.6925455999999999</v>
      </c>
      <c r="Y25" s="238">
        <v>200</v>
      </c>
      <c r="Z25" s="101">
        <v>750</v>
      </c>
    </row>
    <row r="26" spans="1:26" x14ac:dyDescent="0.25">
      <c r="A26" s="264">
        <v>22</v>
      </c>
      <c r="B26" s="256" t="s">
        <v>154</v>
      </c>
      <c r="C26" s="34">
        <v>140</v>
      </c>
      <c r="D26" s="35">
        <v>240</v>
      </c>
      <c r="E26" s="35">
        <v>7</v>
      </c>
      <c r="F26" s="19">
        <f t="shared" si="5"/>
        <v>0.23519999999999999</v>
      </c>
      <c r="G26" s="286">
        <v>12</v>
      </c>
      <c r="H26" s="288">
        <f t="shared" si="6"/>
        <v>2.8224</v>
      </c>
      <c r="I26" s="290">
        <v>9</v>
      </c>
      <c r="J26" s="205">
        <f t="shared" si="0"/>
        <v>2.1168</v>
      </c>
      <c r="K26" s="290">
        <v>14</v>
      </c>
      <c r="L26" s="205">
        <f t="shared" si="16"/>
        <v>3.2927999999999997</v>
      </c>
      <c r="M26" s="290">
        <v>5</v>
      </c>
      <c r="N26" s="205">
        <f t="shared" si="17"/>
        <v>1.1759999999999999</v>
      </c>
      <c r="O26" s="290">
        <v>0</v>
      </c>
      <c r="P26" s="205">
        <f t="shared" si="18"/>
        <v>0</v>
      </c>
      <c r="Q26" s="290">
        <v>3</v>
      </c>
      <c r="R26" s="205">
        <f t="shared" si="19"/>
        <v>0.7056</v>
      </c>
      <c r="S26" s="39">
        <f t="shared" si="10"/>
        <v>-19</v>
      </c>
      <c r="T26" s="38">
        <f t="shared" si="4"/>
        <v>-4.4687999999999999</v>
      </c>
      <c r="U26" s="290">
        <v>42</v>
      </c>
      <c r="V26" s="13">
        <f t="shared" si="7"/>
        <v>9.8783999999999992</v>
      </c>
      <c r="W26" s="294">
        <f t="shared" si="8"/>
        <v>23</v>
      </c>
      <c r="X26" s="295">
        <f t="shared" si="9"/>
        <v>5.4096000000000002</v>
      </c>
      <c r="Y26" s="238">
        <v>50</v>
      </c>
      <c r="Z26" s="101">
        <v>200</v>
      </c>
    </row>
    <row r="27" spans="1:26" ht="15.75" x14ac:dyDescent="0.25">
      <c r="A27" s="264">
        <v>23</v>
      </c>
      <c r="B27" s="256" t="s">
        <v>55</v>
      </c>
      <c r="C27" s="111">
        <v>50</v>
      </c>
      <c r="D27" s="112">
        <v>45</v>
      </c>
      <c r="E27" s="112">
        <v>4</v>
      </c>
      <c r="F27" s="19">
        <f t="shared" si="5"/>
        <v>8.9999999999999993E-3</v>
      </c>
      <c r="G27" s="286">
        <v>1984</v>
      </c>
      <c r="H27" s="288">
        <f t="shared" si="6"/>
        <v>17.855999999999998</v>
      </c>
      <c r="I27" s="290">
        <v>0</v>
      </c>
      <c r="J27" s="205">
        <f t="shared" si="0"/>
        <v>0</v>
      </c>
      <c r="K27" s="290">
        <v>0</v>
      </c>
      <c r="L27" s="205">
        <f t="shared" si="16"/>
        <v>0</v>
      </c>
      <c r="M27" s="290">
        <v>0</v>
      </c>
      <c r="N27" s="205">
        <f t="shared" si="17"/>
        <v>0</v>
      </c>
      <c r="O27" s="290">
        <v>0</v>
      </c>
      <c r="P27" s="205">
        <f t="shared" si="18"/>
        <v>0</v>
      </c>
      <c r="Q27" s="290">
        <v>0</v>
      </c>
      <c r="R27" s="205">
        <f t="shared" si="19"/>
        <v>0</v>
      </c>
      <c r="S27" s="39">
        <f t="shared" si="10"/>
        <v>1984</v>
      </c>
      <c r="T27" s="38">
        <f t="shared" si="4"/>
        <v>17.855999999999998</v>
      </c>
      <c r="U27" s="290">
        <v>0</v>
      </c>
      <c r="V27" s="13">
        <f t="shared" si="7"/>
        <v>0</v>
      </c>
      <c r="W27" s="294">
        <f t="shared" si="8"/>
        <v>1984</v>
      </c>
      <c r="X27" s="295">
        <f t="shared" si="9"/>
        <v>17.855999999999998</v>
      </c>
      <c r="Y27" s="238">
        <v>300</v>
      </c>
      <c r="Z27" s="101">
        <v>1000</v>
      </c>
    </row>
    <row r="28" spans="1:26" ht="15.75" x14ac:dyDescent="0.25">
      <c r="A28" s="264">
        <v>24</v>
      </c>
      <c r="B28" s="256" t="s">
        <v>56</v>
      </c>
      <c r="C28" s="111">
        <v>50</v>
      </c>
      <c r="D28" s="112">
        <v>35</v>
      </c>
      <c r="E28" s="112">
        <v>4</v>
      </c>
      <c r="F28" s="19">
        <f t="shared" si="5"/>
        <v>7.0000000000000001E-3</v>
      </c>
      <c r="G28" s="286">
        <v>798</v>
      </c>
      <c r="H28" s="288">
        <f t="shared" si="6"/>
        <v>5.5860000000000003</v>
      </c>
      <c r="I28" s="290">
        <v>0</v>
      </c>
      <c r="J28" s="205">
        <f t="shared" si="0"/>
        <v>0</v>
      </c>
      <c r="K28" s="290">
        <v>0</v>
      </c>
      <c r="L28" s="205">
        <f t="shared" si="16"/>
        <v>0</v>
      </c>
      <c r="M28" s="290">
        <v>40</v>
      </c>
      <c r="N28" s="205">
        <f t="shared" si="17"/>
        <v>0.28000000000000003</v>
      </c>
      <c r="O28" s="290">
        <v>0</v>
      </c>
      <c r="P28" s="205">
        <f t="shared" si="18"/>
        <v>0</v>
      </c>
      <c r="Q28" s="290">
        <v>40</v>
      </c>
      <c r="R28" s="205">
        <f t="shared" si="19"/>
        <v>0.28000000000000003</v>
      </c>
      <c r="S28" s="39">
        <f t="shared" si="10"/>
        <v>718</v>
      </c>
      <c r="T28" s="38">
        <f t="shared" si="4"/>
        <v>5.0259999999999998</v>
      </c>
      <c r="U28" s="290">
        <v>0</v>
      </c>
      <c r="V28" s="13">
        <f t="shared" si="7"/>
        <v>0</v>
      </c>
      <c r="W28" s="294">
        <f t="shared" si="8"/>
        <v>718</v>
      </c>
      <c r="X28" s="295">
        <f t="shared" si="9"/>
        <v>5.0259999999999998</v>
      </c>
      <c r="Y28" s="238">
        <v>300</v>
      </c>
      <c r="Z28" s="101">
        <v>1000</v>
      </c>
    </row>
    <row r="29" spans="1:26" ht="15.75" x14ac:dyDescent="0.25">
      <c r="A29" s="264">
        <v>25</v>
      </c>
      <c r="B29" s="256" t="s">
        <v>57</v>
      </c>
      <c r="C29" s="111">
        <v>45</v>
      </c>
      <c r="D29" s="112">
        <v>44</v>
      </c>
      <c r="E29" s="112">
        <v>3</v>
      </c>
      <c r="F29" s="19">
        <f t="shared" si="5"/>
        <v>5.94E-3</v>
      </c>
      <c r="G29" s="286">
        <v>2236</v>
      </c>
      <c r="H29" s="288">
        <f t="shared" si="6"/>
        <v>13.281840000000001</v>
      </c>
      <c r="I29" s="290">
        <v>0</v>
      </c>
      <c r="J29" s="205">
        <f t="shared" si="0"/>
        <v>0</v>
      </c>
      <c r="K29" s="290">
        <v>0</v>
      </c>
      <c r="L29" s="205">
        <f t="shared" si="16"/>
        <v>0</v>
      </c>
      <c r="M29" s="290">
        <v>0</v>
      </c>
      <c r="N29" s="205">
        <f t="shared" si="17"/>
        <v>0</v>
      </c>
      <c r="O29" s="290">
        <v>0</v>
      </c>
      <c r="P29" s="205">
        <f t="shared" si="18"/>
        <v>0</v>
      </c>
      <c r="Q29" s="290">
        <v>0</v>
      </c>
      <c r="R29" s="205">
        <f t="shared" si="19"/>
        <v>0</v>
      </c>
      <c r="S29" s="39">
        <f t="shared" si="10"/>
        <v>2236</v>
      </c>
      <c r="T29" s="38">
        <f t="shared" si="4"/>
        <v>13.281840000000001</v>
      </c>
      <c r="U29" s="290">
        <v>0</v>
      </c>
      <c r="V29" s="13">
        <f t="shared" si="7"/>
        <v>0</v>
      </c>
      <c r="W29" s="294">
        <f t="shared" si="8"/>
        <v>2236</v>
      </c>
      <c r="X29" s="295">
        <f t="shared" si="9"/>
        <v>13.281840000000001</v>
      </c>
      <c r="Y29" s="238">
        <v>500</v>
      </c>
      <c r="Z29" s="101">
        <v>1500</v>
      </c>
    </row>
    <row r="30" spans="1:26" ht="15.75" x14ac:dyDescent="0.25">
      <c r="A30" s="264">
        <v>26</v>
      </c>
      <c r="B30" s="256" t="s">
        <v>58</v>
      </c>
      <c r="C30" s="111">
        <v>45</v>
      </c>
      <c r="D30" s="112">
        <v>35.5</v>
      </c>
      <c r="E30" s="112">
        <v>3</v>
      </c>
      <c r="F30" s="19">
        <f t="shared" si="5"/>
        <v>4.7924999999999999E-3</v>
      </c>
      <c r="G30" s="286">
        <v>2079</v>
      </c>
      <c r="H30" s="288">
        <f t="shared" si="6"/>
        <v>9.9636075000000002</v>
      </c>
      <c r="I30" s="290">
        <v>0</v>
      </c>
      <c r="J30" s="205">
        <f t="shared" si="0"/>
        <v>0</v>
      </c>
      <c r="K30" s="290">
        <v>0</v>
      </c>
      <c r="L30" s="205">
        <f t="shared" si="16"/>
        <v>0</v>
      </c>
      <c r="M30" s="290">
        <v>0</v>
      </c>
      <c r="N30" s="205">
        <f t="shared" si="17"/>
        <v>0</v>
      </c>
      <c r="O30" s="290">
        <v>0</v>
      </c>
      <c r="P30" s="205">
        <f t="shared" si="18"/>
        <v>0</v>
      </c>
      <c r="Q30" s="290">
        <v>0</v>
      </c>
      <c r="R30" s="205">
        <f t="shared" si="19"/>
        <v>0</v>
      </c>
      <c r="S30" s="39">
        <f t="shared" si="10"/>
        <v>2079</v>
      </c>
      <c r="T30" s="38">
        <f t="shared" si="4"/>
        <v>9.9636075000000002</v>
      </c>
      <c r="U30" s="290">
        <v>0</v>
      </c>
      <c r="V30" s="13">
        <f t="shared" si="7"/>
        <v>0</v>
      </c>
      <c r="W30" s="294">
        <f t="shared" si="8"/>
        <v>2079</v>
      </c>
      <c r="X30" s="295">
        <f t="shared" si="9"/>
        <v>9.9636075000000002</v>
      </c>
      <c r="Y30" s="238">
        <v>500</v>
      </c>
      <c r="Z30" s="101">
        <v>1500</v>
      </c>
    </row>
    <row r="31" spans="1:26" x14ac:dyDescent="0.25">
      <c r="A31" s="264">
        <v>27</v>
      </c>
      <c r="B31" s="256" t="s">
        <v>155</v>
      </c>
      <c r="C31" s="34">
        <v>140</v>
      </c>
      <c r="D31" s="35">
        <v>9.5</v>
      </c>
      <c r="E31" s="35">
        <v>6.5</v>
      </c>
      <c r="F31" s="19">
        <f t="shared" si="5"/>
        <v>8.6449999999999999E-3</v>
      </c>
      <c r="G31" s="286">
        <v>2317</v>
      </c>
      <c r="H31" s="288">
        <f t="shared" si="6"/>
        <v>20.030465</v>
      </c>
      <c r="I31" s="290">
        <v>0</v>
      </c>
      <c r="J31" s="205">
        <f t="shared" si="0"/>
        <v>0</v>
      </c>
      <c r="K31" s="290">
        <v>50</v>
      </c>
      <c r="L31" s="205">
        <f t="shared" si="16"/>
        <v>0.43225000000000002</v>
      </c>
      <c r="M31" s="290">
        <v>186</v>
      </c>
      <c r="N31" s="205">
        <f t="shared" si="17"/>
        <v>1.6079699999999999</v>
      </c>
      <c r="O31" s="290">
        <v>32</v>
      </c>
      <c r="P31" s="205">
        <f t="shared" si="18"/>
        <v>0.27664</v>
      </c>
      <c r="Q31" s="290">
        <v>0</v>
      </c>
      <c r="R31" s="205">
        <f t="shared" si="19"/>
        <v>0</v>
      </c>
      <c r="S31" s="39">
        <f t="shared" si="10"/>
        <v>2049</v>
      </c>
      <c r="T31" s="38">
        <f t="shared" si="4"/>
        <v>17.713605000000001</v>
      </c>
      <c r="U31" s="290">
        <v>0</v>
      </c>
      <c r="V31" s="13">
        <f t="shared" si="7"/>
        <v>0</v>
      </c>
      <c r="W31" s="294">
        <f t="shared" si="8"/>
        <v>2049</v>
      </c>
      <c r="X31" s="295">
        <f t="shared" si="9"/>
        <v>17.713605000000001</v>
      </c>
      <c r="Y31" s="238">
        <v>500</v>
      </c>
      <c r="Z31" s="101">
        <v>1500</v>
      </c>
    </row>
    <row r="32" spans="1:26" x14ac:dyDescent="0.25">
      <c r="A32" s="264">
        <v>28</v>
      </c>
      <c r="B32" s="256" t="s">
        <v>156</v>
      </c>
      <c r="C32" s="34">
        <v>140</v>
      </c>
      <c r="D32" s="35">
        <v>240</v>
      </c>
      <c r="E32" s="35">
        <v>1</v>
      </c>
      <c r="F32" s="19">
        <f t="shared" si="5"/>
        <v>3.3599999999999998E-2</v>
      </c>
      <c r="G32" s="286">
        <v>102</v>
      </c>
      <c r="H32" s="288">
        <f t="shared" si="6"/>
        <v>3.4271999999999996</v>
      </c>
      <c r="I32" s="290">
        <v>171</v>
      </c>
      <c r="J32" s="205">
        <f t="shared" si="0"/>
        <v>5.7455999999999996</v>
      </c>
      <c r="K32" s="290">
        <v>160</v>
      </c>
      <c r="L32" s="205">
        <f t="shared" si="16"/>
        <v>5.3759999999999994</v>
      </c>
      <c r="M32" s="290">
        <v>108</v>
      </c>
      <c r="N32" s="205">
        <f t="shared" si="17"/>
        <v>3.6287999999999996</v>
      </c>
      <c r="O32" s="290">
        <v>295</v>
      </c>
      <c r="P32" s="205">
        <f t="shared" si="18"/>
        <v>9.911999999999999</v>
      </c>
      <c r="Q32" s="290">
        <v>207</v>
      </c>
      <c r="R32" s="205">
        <f>F32*Q32</f>
        <v>6.9551999999999996</v>
      </c>
      <c r="S32" s="39">
        <f t="shared" si="10"/>
        <v>-839</v>
      </c>
      <c r="T32" s="38">
        <f t="shared" si="4"/>
        <v>-28.190399999999997</v>
      </c>
      <c r="U32" s="290">
        <v>1025</v>
      </c>
      <c r="V32" s="13">
        <f t="shared" si="7"/>
        <v>34.44</v>
      </c>
      <c r="W32" s="294">
        <f t="shared" si="8"/>
        <v>186</v>
      </c>
      <c r="X32" s="295">
        <f t="shared" si="9"/>
        <v>6.2496</v>
      </c>
      <c r="Y32" s="238">
        <v>250</v>
      </c>
      <c r="Z32" s="101">
        <v>750</v>
      </c>
    </row>
    <row r="33" spans="1:26" x14ac:dyDescent="0.25">
      <c r="A33" s="264">
        <v>29</v>
      </c>
      <c r="B33" s="256" t="s">
        <v>157</v>
      </c>
      <c r="C33" s="34">
        <v>140</v>
      </c>
      <c r="D33" s="35">
        <v>240</v>
      </c>
      <c r="E33" s="35">
        <v>2</v>
      </c>
      <c r="F33" s="19">
        <f t="shared" si="5"/>
        <v>6.7199999999999996E-2</v>
      </c>
      <c r="G33" s="286">
        <v>102</v>
      </c>
      <c r="H33" s="288">
        <f t="shared" si="6"/>
        <v>6.8543999999999992</v>
      </c>
      <c r="I33" s="290">
        <v>18</v>
      </c>
      <c r="J33" s="205">
        <f t="shared" si="0"/>
        <v>1.2096</v>
      </c>
      <c r="K33" s="290">
        <v>19</v>
      </c>
      <c r="L33" s="205">
        <f t="shared" si="16"/>
        <v>1.2767999999999999</v>
      </c>
      <c r="M33" s="290">
        <v>6</v>
      </c>
      <c r="N33" s="205">
        <f t="shared" si="17"/>
        <v>0.4032</v>
      </c>
      <c r="O33" s="290">
        <v>2</v>
      </c>
      <c r="P33" s="205">
        <f t="shared" si="18"/>
        <v>0.13439999999999999</v>
      </c>
      <c r="Q33" s="290">
        <v>36</v>
      </c>
      <c r="R33" s="205">
        <f>F33*Q33</f>
        <v>2.4192</v>
      </c>
      <c r="S33" s="39">
        <f t="shared" si="10"/>
        <v>21</v>
      </c>
      <c r="T33" s="38">
        <f t="shared" si="4"/>
        <v>1.4112</v>
      </c>
      <c r="U33" s="290">
        <v>0</v>
      </c>
      <c r="V33" s="13">
        <f t="shared" si="7"/>
        <v>0</v>
      </c>
      <c r="W33" s="294">
        <f t="shared" si="8"/>
        <v>21</v>
      </c>
      <c r="X33" s="295">
        <f t="shared" si="9"/>
        <v>1.4112</v>
      </c>
      <c r="Y33" s="238">
        <v>75</v>
      </c>
      <c r="Z33" s="101">
        <v>150</v>
      </c>
    </row>
    <row r="34" spans="1:26" x14ac:dyDescent="0.25">
      <c r="A34" s="264">
        <v>30</v>
      </c>
      <c r="B34" s="256" t="s">
        <v>158</v>
      </c>
      <c r="C34" s="34">
        <v>140</v>
      </c>
      <c r="D34" s="35">
        <v>240</v>
      </c>
      <c r="E34" s="35">
        <v>3</v>
      </c>
      <c r="F34" s="19">
        <f t="shared" si="5"/>
        <v>0.1008</v>
      </c>
      <c r="G34" s="286">
        <v>89</v>
      </c>
      <c r="H34" s="288">
        <f t="shared" si="6"/>
        <v>8.9711999999999996</v>
      </c>
      <c r="I34" s="290">
        <v>8</v>
      </c>
      <c r="J34" s="205">
        <f>F34*I34</f>
        <v>0.80640000000000001</v>
      </c>
      <c r="K34" s="290">
        <v>28</v>
      </c>
      <c r="L34" s="205">
        <f t="shared" si="16"/>
        <v>2.8224</v>
      </c>
      <c r="M34" s="290">
        <v>12</v>
      </c>
      <c r="N34" s="205">
        <f t="shared" si="17"/>
        <v>1.2096</v>
      </c>
      <c r="O34" s="290">
        <v>10</v>
      </c>
      <c r="P34" s="205">
        <f t="shared" si="18"/>
        <v>1.008</v>
      </c>
      <c r="Q34" s="290">
        <v>117</v>
      </c>
      <c r="R34" s="205">
        <f t="shared" si="19"/>
        <v>11.7936</v>
      </c>
      <c r="S34" s="39">
        <f t="shared" si="10"/>
        <v>-86</v>
      </c>
      <c r="T34" s="38">
        <f t="shared" si="4"/>
        <v>-8.6688000000000009</v>
      </c>
      <c r="U34" s="290">
        <v>93</v>
      </c>
      <c r="V34" s="13">
        <f t="shared" si="7"/>
        <v>9.3743999999999996</v>
      </c>
      <c r="W34" s="294">
        <f t="shared" si="8"/>
        <v>7</v>
      </c>
      <c r="X34" s="295">
        <f t="shared" si="9"/>
        <v>0.7056</v>
      </c>
      <c r="Y34" s="238">
        <v>75</v>
      </c>
      <c r="Z34" s="101">
        <v>150</v>
      </c>
    </row>
    <row r="35" spans="1:26" x14ac:dyDescent="0.25">
      <c r="A35" s="264">
        <v>31</v>
      </c>
      <c r="B35" s="256" t="s">
        <v>159</v>
      </c>
      <c r="C35" s="34">
        <v>140</v>
      </c>
      <c r="D35" s="35">
        <v>240</v>
      </c>
      <c r="E35" s="35">
        <v>4</v>
      </c>
      <c r="F35" s="19">
        <f t="shared" si="5"/>
        <v>0.13439999999999999</v>
      </c>
      <c r="G35" s="286">
        <v>57</v>
      </c>
      <c r="H35" s="288">
        <f t="shared" si="6"/>
        <v>7.6607999999999992</v>
      </c>
      <c r="I35" s="290">
        <v>4</v>
      </c>
      <c r="J35" s="205">
        <f t="shared" si="0"/>
        <v>0.53759999999999997</v>
      </c>
      <c r="K35" s="290">
        <v>12</v>
      </c>
      <c r="L35" s="205">
        <f t="shared" si="16"/>
        <v>1.6128</v>
      </c>
      <c r="M35" s="290">
        <v>2</v>
      </c>
      <c r="N35" s="205">
        <f t="shared" si="17"/>
        <v>0.26879999999999998</v>
      </c>
      <c r="O35" s="290">
        <v>7</v>
      </c>
      <c r="P35" s="205">
        <f t="shared" si="18"/>
        <v>0.94079999999999997</v>
      </c>
      <c r="Q35" s="290">
        <v>3</v>
      </c>
      <c r="R35" s="205">
        <f t="shared" si="19"/>
        <v>0.4032</v>
      </c>
      <c r="S35" s="39">
        <f t="shared" si="10"/>
        <v>29</v>
      </c>
      <c r="T35" s="38">
        <f t="shared" si="4"/>
        <v>3.8975999999999997</v>
      </c>
      <c r="U35" s="290">
        <v>48</v>
      </c>
      <c r="V35" s="13">
        <f t="shared" si="7"/>
        <v>6.4512</v>
      </c>
      <c r="W35" s="294">
        <f t="shared" si="8"/>
        <v>77</v>
      </c>
      <c r="X35" s="295">
        <f t="shared" si="9"/>
        <v>10.348799999999999</v>
      </c>
      <c r="Y35" s="238">
        <v>50</v>
      </c>
      <c r="Z35" s="101">
        <v>100</v>
      </c>
    </row>
    <row r="36" spans="1:26" x14ac:dyDescent="0.25">
      <c r="A36" s="264">
        <v>32</v>
      </c>
      <c r="B36" s="256" t="s">
        <v>160</v>
      </c>
      <c r="C36" s="34">
        <v>140</v>
      </c>
      <c r="D36" s="35">
        <v>240</v>
      </c>
      <c r="E36" s="35">
        <v>2</v>
      </c>
      <c r="F36" s="19">
        <f t="shared" si="5"/>
        <v>6.7199999999999996E-2</v>
      </c>
      <c r="G36" s="286">
        <v>604</v>
      </c>
      <c r="H36" s="288">
        <f t="shared" si="6"/>
        <v>40.588799999999999</v>
      </c>
      <c r="I36" s="290">
        <v>97</v>
      </c>
      <c r="J36" s="205">
        <f>F36*I36</f>
        <v>6.5183999999999997</v>
      </c>
      <c r="K36" s="290">
        <v>51</v>
      </c>
      <c r="L36" s="205">
        <f t="shared" si="16"/>
        <v>3.4271999999999996</v>
      </c>
      <c r="M36" s="290">
        <v>47</v>
      </c>
      <c r="N36" s="205">
        <f t="shared" si="17"/>
        <v>3.1583999999999999</v>
      </c>
      <c r="O36" s="290">
        <v>102</v>
      </c>
      <c r="P36" s="205">
        <f t="shared" si="18"/>
        <v>6.8543999999999992</v>
      </c>
      <c r="Q36" s="290">
        <v>88</v>
      </c>
      <c r="R36" s="205">
        <f t="shared" si="19"/>
        <v>5.9135999999999997</v>
      </c>
      <c r="S36" s="39">
        <f t="shared" si="10"/>
        <v>219</v>
      </c>
      <c r="T36" s="38">
        <f t="shared" si="4"/>
        <v>14.716799999999999</v>
      </c>
      <c r="U36" s="290">
        <v>299</v>
      </c>
      <c r="V36" s="13">
        <f t="shared" si="7"/>
        <v>20.0928</v>
      </c>
      <c r="W36" s="294">
        <f t="shared" si="8"/>
        <v>518</v>
      </c>
      <c r="X36" s="295">
        <f t="shared" si="9"/>
        <v>34.809599999999996</v>
      </c>
      <c r="Y36" s="238">
        <v>100</v>
      </c>
      <c r="Z36" s="101">
        <v>300</v>
      </c>
    </row>
    <row r="37" spans="1:26" x14ac:dyDescent="0.25">
      <c r="A37" s="264">
        <v>33</v>
      </c>
      <c r="B37" s="256" t="s">
        <v>161</v>
      </c>
      <c r="C37" s="34">
        <v>140</v>
      </c>
      <c r="D37" s="35">
        <v>240</v>
      </c>
      <c r="E37" s="35">
        <v>6</v>
      </c>
      <c r="F37" s="19">
        <f t="shared" si="5"/>
        <v>0.2016</v>
      </c>
      <c r="G37" s="286">
        <v>27</v>
      </c>
      <c r="H37" s="288">
        <f t="shared" si="6"/>
        <v>5.4432</v>
      </c>
      <c r="I37" s="290">
        <v>0</v>
      </c>
      <c r="J37" s="205">
        <f t="shared" si="0"/>
        <v>0</v>
      </c>
      <c r="K37" s="290">
        <v>0</v>
      </c>
      <c r="L37" s="205">
        <f>F37*K37</f>
        <v>0</v>
      </c>
      <c r="M37" s="290">
        <v>0</v>
      </c>
      <c r="N37" s="21">
        <v>0</v>
      </c>
      <c r="O37" s="290">
        <v>0</v>
      </c>
      <c r="P37" s="21">
        <v>0</v>
      </c>
      <c r="Q37" s="290">
        <v>0</v>
      </c>
      <c r="R37" s="205">
        <f t="shared" si="19"/>
        <v>0</v>
      </c>
      <c r="S37" s="39">
        <f t="shared" si="10"/>
        <v>27</v>
      </c>
      <c r="T37" s="38">
        <f t="shared" si="4"/>
        <v>5.4432</v>
      </c>
      <c r="U37" s="290">
        <v>0</v>
      </c>
      <c r="V37" s="13">
        <f t="shared" si="7"/>
        <v>0</v>
      </c>
      <c r="W37" s="294">
        <f t="shared" si="8"/>
        <v>27</v>
      </c>
      <c r="X37" s="295">
        <f t="shared" si="9"/>
        <v>5.4432</v>
      </c>
      <c r="Y37" s="238">
        <v>10</v>
      </c>
      <c r="Z37" s="101">
        <v>30</v>
      </c>
    </row>
    <row r="38" spans="1:26" x14ac:dyDescent="0.25">
      <c r="A38" s="264">
        <v>34</v>
      </c>
      <c r="B38" s="256" t="s">
        <v>181</v>
      </c>
      <c r="C38" s="34">
        <v>80</v>
      </c>
      <c r="D38" s="35">
        <v>75</v>
      </c>
      <c r="E38" s="35">
        <v>5</v>
      </c>
      <c r="F38" s="19">
        <f t="shared" si="5"/>
        <v>0.03</v>
      </c>
      <c r="G38" s="286">
        <v>94</v>
      </c>
      <c r="H38" s="288">
        <f t="shared" si="6"/>
        <v>2.82</v>
      </c>
      <c r="I38" s="290">
        <v>0</v>
      </c>
      <c r="J38" s="205">
        <f t="shared" si="0"/>
        <v>0</v>
      </c>
      <c r="K38" s="290">
        <v>0</v>
      </c>
      <c r="L38" s="205">
        <f t="shared" si="0"/>
        <v>0</v>
      </c>
      <c r="M38" s="290">
        <v>0</v>
      </c>
      <c r="N38" s="21">
        <v>0</v>
      </c>
      <c r="O38" s="290">
        <v>0</v>
      </c>
      <c r="P38" s="21">
        <v>0</v>
      </c>
      <c r="Q38" s="290">
        <v>0</v>
      </c>
      <c r="R38" s="21">
        <v>0</v>
      </c>
      <c r="S38" s="39">
        <f t="shared" si="10"/>
        <v>94</v>
      </c>
      <c r="T38" s="38">
        <f t="shared" si="4"/>
        <v>2.82</v>
      </c>
      <c r="U38" s="290">
        <v>0</v>
      </c>
      <c r="V38" s="13">
        <f t="shared" si="7"/>
        <v>0</v>
      </c>
      <c r="W38" s="294">
        <f t="shared" si="8"/>
        <v>94</v>
      </c>
      <c r="X38" s="295">
        <f t="shared" si="9"/>
        <v>2.82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182</v>
      </c>
      <c r="C39" s="34">
        <v>100</v>
      </c>
      <c r="D39" s="35">
        <v>95</v>
      </c>
      <c r="E39" s="35">
        <v>5</v>
      </c>
      <c r="F39" s="19">
        <f t="shared" si="5"/>
        <v>4.7500000000000001E-2</v>
      </c>
      <c r="G39" s="286">
        <v>177</v>
      </c>
      <c r="H39" s="288">
        <f t="shared" si="6"/>
        <v>8.4075000000000006</v>
      </c>
      <c r="I39" s="290">
        <v>0</v>
      </c>
      <c r="J39" s="205">
        <f t="shared" si="0"/>
        <v>0</v>
      </c>
      <c r="K39" s="290">
        <v>0</v>
      </c>
      <c r="L39" s="205">
        <f>F39*K39</f>
        <v>0</v>
      </c>
      <c r="M39" s="290">
        <v>0</v>
      </c>
      <c r="N39" s="205">
        <f>F39*M39</f>
        <v>0</v>
      </c>
      <c r="O39" s="290">
        <v>0</v>
      </c>
      <c r="P39" s="205">
        <f>J39*O39</f>
        <v>0</v>
      </c>
      <c r="Q39" s="290">
        <v>0</v>
      </c>
      <c r="R39" s="205">
        <f>L39*Q39</f>
        <v>0</v>
      </c>
      <c r="S39" s="39">
        <f t="shared" si="10"/>
        <v>177</v>
      </c>
      <c r="T39" s="38">
        <f t="shared" si="4"/>
        <v>8.4075000000000006</v>
      </c>
      <c r="U39" s="290">
        <v>0</v>
      </c>
      <c r="V39" s="13">
        <f t="shared" si="7"/>
        <v>0</v>
      </c>
      <c r="W39" s="294">
        <f t="shared" si="8"/>
        <v>177</v>
      </c>
      <c r="X39" s="295">
        <f t="shared" si="9"/>
        <v>8.4075000000000006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196</v>
      </c>
      <c r="C40" s="34">
        <v>65</v>
      </c>
      <c r="D40" s="35">
        <v>60</v>
      </c>
      <c r="E40" s="35">
        <v>5</v>
      </c>
      <c r="F40" s="19">
        <f t="shared" si="5"/>
        <v>1.95E-2</v>
      </c>
      <c r="G40" s="286">
        <v>397</v>
      </c>
      <c r="H40" s="288">
        <f t="shared" si="6"/>
        <v>7.7415000000000003</v>
      </c>
      <c r="I40" s="290">
        <v>0</v>
      </c>
      <c r="J40" s="205">
        <f t="shared" si="0"/>
        <v>0</v>
      </c>
      <c r="K40" s="290">
        <v>12</v>
      </c>
      <c r="L40" s="205">
        <f>F40*K40</f>
        <v>0.23399999999999999</v>
      </c>
      <c r="M40" s="290">
        <v>0</v>
      </c>
      <c r="N40" s="205">
        <f>F40*M40</f>
        <v>0</v>
      </c>
      <c r="O40" s="290">
        <v>0</v>
      </c>
      <c r="P40" s="205">
        <f>F40*O40</f>
        <v>0</v>
      </c>
      <c r="Q40" s="290">
        <v>0</v>
      </c>
      <c r="R40" s="205">
        <f>F40*Q40</f>
        <v>0</v>
      </c>
      <c r="S40" s="39">
        <f t="shared" si="10"/>
        <v>385</v>
      </c>
      <c r="T40" s="38">
        <f t="shared" si="4"/>
        <v>7.5075000000000003</v>
      </c>
      <c r="U40" s="290">
        <v>0</v>
      </c>
      <c r="V40" s="13">
        <f t="shared" si="7"/>
        <v>0</v>
      </c>
      <c r="W40" s="294">
        <f t="shared" si="8"/>
        <v>385</v>
      </c>
      <c r="X40" s="295">
        <f t="shared" si="9"/>
        <v>7.5075000000000003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165</v>
      </c>
      <c r="C41" s="34">
        <v>140</v>
      </c>
      <c r="D41" s="35">
        <v>240</v>
      </c>
      <c r="E41" s="35">
        <v>10</v>
      </c>
      <c r="F41" s="19">
        <f t="shared" si="5"/>
        <v>0.33600000000000002</v>
      </c>
      <c r="G41" s="286">
        <v>35</v>
      </c>
      <c r="H41" s="288">
        <f t="shared" si="6"/>
        <v>11.760000000000002</v>
      </c>
      <c r="I41" s="290">
        <v>14</v>
      </c>
      <c r="J41" s="205">
        <f>F41*I41</f>
        <v>4.7040000000000006</v>
      </c>
      <c r="K41" s="290">
        <v>37</v>
      </c>
      <c r="L41" s="205">
        <f>F41*K41</f>
        <v>12.432</v>
      </c>
      <c r="M41" s="290">
        <v>10</v>
      </c>
      <c r="N41" s="205">
        <f>F41*M41</f>
        <v>3.3600000000000003</v>
      </c>
      <c r="O41" s="290">
        <v>1</v>
      </c>
      <c r="P41" s="205">
        <f>F41*O41</f>
        <v>0.33600000000000002</v>
      </c>
      <c r="Q41" s="290">
        <v>3</v>
      </c>
      <c r="R41" s="205">
        <f>F41*Q41</f>
        <v>1.008</v>
      </c>
      <c r="S41" s="39">
        <f t="shared" si="10"/>
        <v>-30</v>
      </c>
      <c r="T41" s="38">
        <f t="shared" si="4"/>
        <v>-10.08</v>
      </c>
      <c r="U41" s="290">
        <v>112</v>
      </c>
      <c r="V41" s="13">
        <f t="shared" si="7"/>
        <v>37.632000000000005</v>
      </c>
      <c r="W41" s="294">
        <f t="shared" si="8"/>
        <v>82</v>
      </c>
      <c r="X41" s="295">
        <f t="shared" si="9"/>
        <v>27.552000000000003</v>
      </c>
      <c r="Y41" s="238">
        <v>50</v>
      </c>
      <c r="Z41" s="101">
        <v>100</v>
      </c>
    </row>
    <row r="42" spans="1:26" x14ac:dyDescent="0.25">
      <c r="A42" s="264">
        <v>38</v>
      </c>
      <c r="B42" s="256" t="s">
        <v>166</v>
      </c>
      <c r="C42" s="34">
        <v>92</v>
      </c>
      <c r="D42" s="35">
        <v>82</v>
      </c>
      <c r="E42" s="35">
        <v>2</v>
      </c>
      <c r="F42" s="19">
        <f t="shared" si="5"/>
        <v>1.5088000000000001E-2</v>
      </c>
      <c r="G42" s="286">
        <v>362</v>
      </c>
      <c r="H42" s="288">
        <f t="shared" si="6"/>
        <v>5.461856</v>
      </c>
      <c r="I42" s="290">
        <v>42</v>
      </c>
      <c r="J42" s="205">
        <f t="shared" si="0"/>
        <v>0.63369600000000004</v>
      </c>
      <c r="K42" s="290">
        <v>0</v>
      </c>
      <c r="L42" s="205">
        <f>F42*K42</f>
        <v>0</v>
      </c>
      <c r="M42" s="290">
        <v>36</v>
      </c>
      <c r="N42" s="205">
        <f>F42*M42</f>
        <v>0.54316799999999998</v>
      </c>
      <c r="O42" s="290">
        <v>50</v>
      </c>
      <c r="P42" s="205">
        <f>F42*O42</f>
        <v>0.75440000000000007</v>
      </c>
      <c r="Q42" s="290">
        <v>100</v>
      </c>
      <c r="R42" s="205">
        <f>F42*Q42</f>
        <v>1.5088000000000001</v>
      </c>
      <c r="S42" s="39">
        <f t="shared" si="10"/>
        <v>134</v>
      </c>
      <c r="T42" s="38">
        <f t="shared" si="4"/>
        <v>2.021792</v>
      </c>
      <c r="U42" s="290">
        <v>498</v>
      </c>
      <c r="V42" s="13">
        <f t="shared" si="7"/>
        <v>7.5138240000000005</v>
      </c>
      <c r="W42" s="294">
        <f t="shared" si="8"/>
        <v>632</v>
      </c>
      <c r="X42" s="295">
        <f t="shared" si="9"/>
        <v>9.535616000000001</v>
      </c>
      <c r="Y42" s="238">
        <v>100</v>
      </c>
      <c r="Z42" s="101">
        <v>300</v>
      </c>
    </row>
    <row r="43" spans="1:26" x14ac:dyDescent="0.25">
      <c r="A43" s="264">
        <v>39</v>
      </c>
      <c r="B43" s="256" t="s">
        <v>183</v>
      </c>
      <c r="C43" s="34">
        <v>90</v>
      </c>
      <c r="D43" s="35">
        <v>90</v>
      </c>
      <c r="E43" s="35">
        <v>3</v>
      </c>
      <c r="F43" s="19">
        <f t="shared" si="5"/>
        <v>2.4299999999999999E-2</v>
      </c>
      <c r="G43" s="286">
        <v>171</v>
      </c>
      <c r="H43" s="288">
        <f t="shared" si="6"/>
        <v>4.1552999999999995</v>
      </c>
      <c r="I43" s="290">
        <v>0</v>
      </c>
      <c r="J43" s="205">
        <f t="shared" si="0"/>
        <v>0</v>
      </c>
      <c r="K43" s="290">
        <v>0</v>
      </c>
      <c r="L43" s="205">
        <f t="shared" si="0"/>
        <v>0</v>
      </c>
      <c r="M43" s="290">
        <v>0</v>
      </c>
      <c r="N43" s="21">
        <v>0</v>
      </c>
      <c r="O43" s="290">
        <v>0</v>
      </c>
      <c r="P43" s="21">
        <v>0</v>
      </c>
      <c r="Q43" s="290">
        <v>0</v>
      </c>
      <c r="R43" s="21">
        <v>0</v>
      </c>
      <c r="S43" s="39">
        <f t="shared" si="10"/>
        <v>171</v>
      </c>
      <c r="T43" s="38">
        <f t="shared" si="4"/>
        <v>4.1552999999999995</v>
      </c>
      <c r="U43" s="290">
        <v>0</v>
      </c>
      <c r="V43" s="13">
        <f t="shared" si="7"/>
        <v>0</v>
      </c>
      <c r="W43" s="294">
        <f t="shared" si="8"/>
        <v>171</v>
      </c>
      <c r="X43" s="295">
        <f t="shared" si="9"/>
        <v>4.1552999999999995</v>
      </c>
      <c r="Y43" s="238">
        <v>0</v>
      </c>
      <c r="Z43" s="101">
        <v>0</v>
      </c>
    </row>
    <row r="44" spans="1:26" x14ac:dyDescent="0.25">
      <c r="A44" s="264">
        <v>40</v>
      </c>
      <c r="B44" s="256" t="s">
        <v>168</v>
      </c>
      <c r="C44" s="34">
        <v>140</v>
      </c>
      <c r="D44" s="35">
        <v>240</v>
      </c>
      <c r="E44" s="35">
        <v>3</v>
      </c>
      <c r="F44" s="19">
        <f t="shared" si="5"/>
        <v>0.1008</v>
      </c>
      <c r="G44" s="286">
        <v>0</v>
      </c>
      <c r="H44" s="288">
        <f t="shared" si="6"/>
        <v>0</v>
      </c>
      <c r="I44" s="290">
        <v>0</v>
      </c>
      <c r="J44" s="205">
        <f t="shared" si="0"/>
        <v>0</v>
      </c>
      <c r="K44" s="290">
        <v>0</v>
      </c>
      <c r="L44" s="205">
        <f t="shared" ref="L44:L52" si="20">F44*K44</f>
        <v>0</v>
      </c>
      <c r="M44" s="290">
        <v>0</v>
      </c>
      <c r="N44" s="205">
        <f t="shared" ref="N44:N70" si="21">F44*M44</f>
        <v>0</v>
      </c>
      <c r="O44" s="290">
        <v>0</v>
      </c>
      <c r="P44" s="205">
        <f t="shared" ref="P44:P66" si="22">F44*O44</f>
        <v>0</v>
      </c>
      <c r="Q44" s="290">
        <v>0</v>
      </c>
      <c r="R44" s="205">
        <f t="shared" ref="R44:R58" si="23">F44*Q44</f>
        <v>0</v>
      </c>
      <c r="S44" s="39">
        <f t="shared" si="10"/>
        <v>0</v>
      </c>
      <c r="T44" s="38">
        <f t="shared" si="4"/>
        <v>0</v>
      </c>
      <c r="U44" s="290">
        <v>0</v>
      </c>
      <c r="V44" s="13">
        <f t="shared" si="7"/>
        <v>0</v>
      </c>
      <c r="W44" s="294">
        <f t="shared" si="8"/>
        <v>0</v>
      </c>
      <c r="X44" s="295">
        <f t="shared" si="9"/>
        <v>0</v>
      </c>
      <c r="Y44" s="238">
        <v>0</v>
      </c>
      <c r="Z44" s="101">
        <v>0</v>
      </c>
    </row>
    <row r="45" spans="1:26" x14ac:dyDescent="0.25">
      <c r="A45" s="264">
        <v>41</v>
      </c>
      <c r="B45" s="256" t="s">
        <v>169</v>
      </c>
      <c r="C45" s="34">
        <v>82</v>
      </c>
      <c r="D45" s="34">
        <v>80</v>
      </c>
      <c r="E45" s="34">
        <v>2</v>
      </c>
      <c r="F45" s="19">
        <f t="shared" si="5"/>
        <v>1.312E-2</v>
      </c>
      <c r="G45" s="284">
        <v>0</v>
      </c>
      <c r="H45" s="288">
        <f t="shared" si="6"/>
        <v>0</v>
      </c>
      <c r="I45" s="290">
        <v>0</v>
      </c>
      <c r="J45" s="205">
        <f t="shared" si="0"/>
        <v>0</v>
      </c>
      <c r="K45" s="290">
        <v>0</v>
      </c>
      <c r="L45" s="205">
        <f t="shared" si="20"/>
        <v>0</v>
      </c>
      <c r="M45" s="290">
        <v>30</v>
      </c>
      <c r="N45" s="205">
        <f t="shared" si="21"/>
        <v>0.39360000000000001</v>
      </c>
      <c r="O45" s="290">
        <v>130</v>
      </c>
      <c r="P45" s="205">
        <f t="shared" si="22"/>
        <v>1.7056</v>
      </c>
      <c r="Q45" s="290">
        <v>51</v>
      </c>
      <c r="R45" s="205">
        <f t="shared" si="23"/>
        <v>0.66911999999999994</v>
      </c>
      <c r="S45" s="39">
        <f t="shared" si="10"/>
        <v>-211</v>
      </c>
      <c r="T45" s="38">
        <f t="shared" si="4"/>
        <v>-2.7683200000000001</v>
      </c>
      <c r="U45" s="290">
        <v>211</v>
      </c>
      <c r="V45" s="13">
        <f t="shared" si="7"/>
        <v>2.7683200000000001</v>
      </c>
      <c r="W45" s="294">
        <f t="shared" si="8"/>
        <v>0</v>
      </c>
      <c r="X45" s="295">
        <f t="shared" si="9"/>
        <v>0</v>
      </c>
      <c r="Y45" s="238">
        <v>100</v>
      </c>
      <c r="Z45" s="101">
        <v>300</v>
      </c>
    </row>
    <row r="46" spans="1:26" x14ac:dyDescent="0.25">
      <c r="A46" s="264">
        <v>42</v>
      </c>
      <c r="B46" s="256" t="s">
        <v>170</v>
      </c>
      <c r="C46" s="34">
        <v>90</v>
      </c>
      <c r="D46" s="34">
        <v>83</v>
      </c>
      <c r="E46" s="34">
        <v>2</v>
      </c>
      <c r="F46" s="19">
        <f t="shared" si="5"/>
        <v>1.494E-2</v>
      </c>
      <c r="G46" s="284">
        <v>104</v>
      </c>
      <c r="H46" s="288">
        <f t="shared" si="6"/>
        <v>1.55376</v>
      </c>
      <c r="I46" s="290">
        <v>0</v>
      </c>
      <c r="J46" s="205">
        <f t="shared" si="0"/>
        <v>0</v>
      </c>
      <c r="K46" s="290">
        <v>54</v>
      </c>
      <c r="L46" s="205">
        <f t="shared" si="20"/>
        <v>0.80676000000000003</v>
      </c>
      <c r="M46" s="290">
        <v>0</v>
      </c>
      <c r="N46" s="205">
        <f t="shared" si="21"/>
        <v>0</v>
      </c>
      <c r="O46" s="290">
        <v>0</v>
      </c>
      <c r="P46" s="205">
        <f t="shared" si="22"/>
        <v>0</v>
      </c>
      <c r="Q46" s="290">
        <v>0</v>
      </c>
      <c r="R46" s="205">
        <f t="shared" si="23"/>
        <v>0</v>
      </c>
      <c r="S46" s="39">
        <f t="shared" si="10"/>
        <v>50</v>
      </c>
      <c r="T46" s="38">
        <f t="shared" si="4"/>
        <v>0.747</v>
      </c>
      <c r="U46" s="290">
        <v>0</v>
      </c>
      <c r="V46" s="13">
        <f t="shared" si="7"/>
        <v>0</v>
      </c>
      <c r="W46" s="294">
        <f t="shared" si="8"/>
        <v>50</v>
      </c>
      <c r="X46" s="295">
        <f t="shared" si="9"/>
        <v>0.747</v>
      </c>
      <c r="Y46" s="238">
        <v>100</v>
      </c>
      <c r="Z46" s="101">
        <v>300</v>
      </c>
    </row>
    <row r="47" spans="1:26" x14ac:dyDescent="0.25">
      <c r="A47" s="264">
        <v>43</v>
      </c>
      <c r="B47" s="256" t="s">
        <v>184</v>
      </c>
      <c r="C47" s="34">
        <v>112</v>
      </c>
      <c r="D47" s="34">
        <v>67</v>
      </c>
      <c r="E47" s="34">
        <v>3</v>
      </c>
      <c r="F47" s="19">
        <f t="shared" si="5"/>
        <v>2.2512000000000001E-2</v>
      </c>
      <c r="G47" s="284">
        <v>201</v>
      </c>
      <c r="H47" s="288">
        <f t="shared" si="6"/>
        <v>4.5249120000000005</v>
      </c>
      <c r="I47" s="290">
        <v>0</v>
      </c>
      <c r="J47" s="205">
        <f t="shared" si="0"/>
        <v>0</v>
      </c>
      <c r="K47" s="290">
        <v>0</v>
      </c>
      <c r="L47" s="205">
        <f t="shared" si="20"/>
        <v>0</v>
      </c>
      <c r="M47" s="290">
        <v>0</v>
      </c>
      <c r="N47" s="205">
        <f t="shared" si="21"/>
        <v>0</v>
      </c>
      <c r="O47" s="290">
        <v>0</v>
      </c>
      <c r="P47" s="205">
        <f t="shared" si="22"/>
        <v>0</v>
      </c>
      <c r="Q47" s="290">
        <v>0</v>
      </c>
      <c r="R47" s="205">
        <f t="shared" si="23"/>
        <v>0</v>
      </c>
      <c r="S47" s="39">
        <f t="shared" si="10"/>
        <v>201</v>
      </c>
      <c r="T47" s="38">
        <f t="shared" si="4"/>
        <v>4.5249120000000005</v>
      </c>
      <c r="U47" s="290">
        <v>0</v>
      </c>
      <c r="V47" s="13">
        <f t="shared" si="7"/>
        <v>0</v>
      </c>
      <c r="W47" s="294">
        <f t="shared" si="8"/>
        <v>201</v>
      </c>
      <c r="X47" s="295">
        <f t="shared" si="9"/>
        <v>4.5249120000000005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189</v>
      </c>
      <c r="C48" s="34">
        <v>70</v>
      </c>
      <c r="D48" s="34">
        <v>54</v>
      </c>
      <c r="E48" s="34">
        <v>7</v>
      </c>
      <c r="F48" s="19">
        <f t="shared" si="5"/>
        <v>2.6460000000000001E-2</v>
      </c>
      <c r="G48" s="284">
        <v>18</v>
      </c>
      <c r="H48" s="288">
        <f t="shared" si="6"/>
        <v>0.47628000000000004</v>
      </c>
      <c r="I48" s="290">
        <v>0</v>
      </c>
      <c r="J48" s="205">
        <f t="shared" si="0"/>
        <v>0</v>
      </c>
      <c r="K48" s="290">
        <v>0</v>
      </c>
      <c r="L48" s="205">
        <f t="shared" si="20"/>
        <v>0</v>
      </c>
      <c r="M48" s="290">
        <v>0</v>
      </c>
      <c r="N48" s="205">
        <f t="shared" si="21"/>
        <v>0</v>
      </c>
      <c r="O48" s="290">
        <v>0</v>
      </c>
      <c r="P48" s="205">
        <f t="shared" si="22"/>
        <v>0</v>
      </c>
      <c r="Q48" s="290">
        <v>0</v>
      </c>
      <c r="R48" s="205">
        <f t="shared" si="23"/>
        <v>0</v>
      </c>
      <c r="S48" s="39">
        <f t="shared" si="10"/>
        <v>18</v>
      </c>
      <c r="T48" s="38">
        <f t="shared" si="4"/>
        <v>0.47628000000000004</v>
      </c>
      <c r="U48" s="290">
        <v>0</v>
      </c>
      <c r="V48" s="13">
        <f t="shared" si="7"/>
        <v>0</v>
      </c>
      <c r="W48" s="294">
        <f t="shared" si="8"/>
        <v>18</v>
      </c>
      <c r="X48" s="295">
        <f t="shared" si="9"/>
        <v>0.47628000000000004</v>
      </c>
      <c r="Y48" s="238">
        <v>0</v>
      </c>
      <c r="Z48" s="101">
        <v>0</v>
      </c>
    </row>
    <row r="49" spans="1:26" x14ac:dyDescent="0.25">
      <c r="A49" s="264">
        <v>45</v>
      </c>
      <c r="B49" s="256" t="s">
        <v>174</v>
      </c>
      <c r="C49" s="34">
        <v>140</v>
      </c>
      <c r="D49" s="34">
        <v>240</v>
      </c>
      <c r="E49" s="34">
        <v>14</v>
      </c>
      <c r="F49" s="19">
        <f t="shared" si="5"/>
        <v>0.47039999999999998</v>
      </c>
      <c r="G49" s="284">
        <v>3</v>
      </c>
      <c r="H49" s="288">
        <f t="shared" si="6"/>
        <v>1.4112</v>
      </c>
      <c r="I49" s="290">
        <v>0</v>
      </c>
      <c r="J49" s="205">
        <f t="shared" si="0"/>
        <v>0</v>
      </c>
      <c r="K49" s="290">
        <v>0</v>
      </c>
      <c r="L49" s="205">
        <f t="shared" si="20"/>
        <v>0</v>
      </c>
      <c r="M49" s="290">
        <v>0</v>
      </c>
      <c r="N49" s="205">
        <f t="shared" si="21"/>
        <v>0</v>
      </c>
      <c r="O49" s="290">
        <v>0</v>
      </c>
      <c r="P49" s="205">
        <f t="shared" si="22"/>
        <v>0</v>
      </c>
      <c r="Q49" s="290">
        <v>0</v>
      </c>
      <c r="R49" s="205">
        <f t="shared" si="23"/>
        <v>0</v>
      </c>
      <c r="S49" s="39">
        <f t="shared" si="10"/>
        <v>3</v>
      </c>
      <c r="T49" s="38">
        <f t="shared" si="4"/>
        <v>1.4112</v>
      </c>
      <c r="U49" s="290">
        <v>0</v>
      </c>
      <c r="V49" s="13">
        <f t="shared" si="7"/>
        <v>0</v>
      </c>
      <c r="W49" s="294">
        <f t="shared" si="8"/>
        <v>3</v>
      </c>
      <c r="X49" s="295">
        <f t="shared" si="9"/>
        <v>1.4112</v>
      </c>
      <c r="Y49" s="238">
        <v>10</v>
      </c>
      <c r="Z49" s="101">
        <v>20</v>
      </c>
    </row>
    <row r="50" spans="1:26" x14ac:dyDescent="0.25">
      <c r="A50" s="264">
        <v>46</v>
      </c>
      <c r="B50" s="256" t="s">
        <v>175</v>
      </c>
      <c r="C50" s="34">
        <v>140</v>
      </c>
      <c r="D50" s="34">
        <v>240</v>
      </c>
      <c r="E50" s="34">
        <v>12</v>
      </c>
      <c r="F50" s="19">
        <f t="shared" si="5"/>
        <v>0.4032</v>
      </c>
      <c r="G50" s="284">
        <v>4</v>
      </c>
      <c r="H50" s="288">
        <f t="shared" si="6"/>
        <v>1.6128</v>
      </c>
      <c r="I50" s="290">
        <v>0</v>
      </c>
      <c r="J50" s="205">
        <f t="shared" si="0"/>
        <v>0</v>
      </c>
      <c r="K50" s="290">
        <v>4</v>
      </c>
      <c r="L50" s="205">
        <f t="shared" si="20"/>
        <v>1.6128</v>
      </c>
      <c r="M50" s="290">
        <v>0</v>
      </c>
      <c r="N50" s="205">
        <f t="shared" si="21"/>
        <v>0</v>
      </c>
      <c r="O50" s="290">
        <v>0</v>
      </c>
      <c r="P50" s="205">
        <f t="shared" si="22"/>
        <v>0</v>
      </c>
      <c r="Q50" s="290">
        <v>0</v>
      </c>
      <c r="R50" s="205">
        <f t="shared" si="23"/>
        <v>0</v>
      </c>
      <c r="S50" s="39">
        <f t="shared" si="10"/>
        <v>0</v>
      </c>
      <c r="T50" s="38">
        <f t="shared" si="4"/>
        <v>0</v>
      </c>
      <c r="U50" s="290">
        <v>13</v>
      </c>
      <c r="V50" s="13">
        <f t="shared" si="7"/>
        <v>5.2416</v>
      </c>
      <c r="W50" s="294">
        <f t="shared" si="8"/>
        <v>13</v>
      </c>
      <c r="X50" s="295">
        <f t="shared" si="9"/>
        <v>5.2416</v>
      </c>
      <c r="Y50" s="238">
        <v>10</v>
      </c>
      <c r="Z50" s="101">
        <v>20</v>
      </c>
    </row>
    <row r="51" spans="1:26" x14ac:dyDescent="0.25">
      <c r="A51" s="264">
        <v>47</v>
      </c>
      <c r="B51" s="256" t="s">
        <v>176</v>
      </c>
      <c r="C51" s="34">
        <v>130</v>
      </c>
      <c r="D51" s="34">
        <v>60</v>
      </c>
      <c r="E51" s="34">
        <v>5</v>
      </c>
      <c r="F51" s="19">
        <f t="shared" si="5"/>
        <v>3.9E-2</v>
      </c>
      <c r="G51" s="284">
        <v>90</v>
      </c>
      <c r="H51" s="288">
        <f t="shared" si="6"/>
        <v>3.51</v>
      </c>
      <c r="I51" s="290">
        <v>0</v>
      </c>
      <c r="J51" s="205">
        <f t="shared" si="0"/>
        <v>0</v>
      </c>
      <c r="K51" s="290">
        <v>0</v>
      </c>
      <c r="L51" s="205">
        <f t="shared" si="20"/>
        <v>0</v>
      </c>
      <c r="M51" s="290">
        <v>0</v>
      </c>
      <c r="N51" s="205">
        <f t="shared" si="21"/>
        <v>0</v>
      </c>
      <c r="O51" s="290">
        <v>0</v>
      </c>
      <c r="P51" s="205">
        <f t="shared" si="22"/>
        <v>0</v>
      </c>
      <c r="Q51" s="290">
        <v>0</v>
      </c>
      <c r="R51" s="205">
        <f t="shared" si="23"/>
        <v>0</v>
      </c>
      <c r="S51" s="39">
        <f t="shared" si="10"/>
        <v>90</v>
      </c>
      <c r="T51" s="38">
        <f t="shared" si="4"/>
        <v>3.51</v>
      </c>
      <c r="U51" s="290">
        <v>0</v>
      </c>
      <c r="V51" s="13">
        <f t="shared" si="7"/>
        <v>0</v>
      </c>
      <c r="W51" s="294">
        <f t="shared" si="8"/>
        <v>90</v>
      </c>
      <c r="X51" s="295">
        <f t="shared" si="9"/>
        <v>3.51</v>
      </c>
      <c r="Y51" s="238">
        <v>30</v>
      </c>
      <c r="Z51" s="101">
        <v>100</v>
      </c>
    </row>
    <row r="52" spans="1:26" x14ac:dyDescent="0.25">
      <c r="A52" s="264">
        <v>48</v>
      </c>
      <c r="B52" s="255" t="s">
        <v>178</v>
      </c>
      <c r="C52" s="34">
        <v>140</v>
      </c>
      <c r="D52" s="34">
        <v>240</v>
      </c>
      <c r="E52" s="34">
        <v>3</v>
      </c>
      <c r="F52" s="19">
        <f t="shared" si="5"/>
        <v>0.1008</v>
      </c>
      <c r="G52" s="284">
        <v>1136</v>
      </c>
      <c r="H52" s="288">
        <f t="shared" si="6"/>
        <v>114.50880000000001</v>
      </c>
      <c r="I52" s="290">
        <v>2</v>
      </c>
      <c r="J52" s="205">
        <f t="shared" si="0"/>
        <v>0.2016</v>
      </c>
      <c r="K52" s="290">
        <v>1</v>
      </c>
      <c r="L52" s="205">
        <f t="shared" si="20"/>
        <v>0.1008</v>
      </c>
      <c r="M52" s="290">
        <v>6</v>
      </c>
      <c r="N52" s="205">
        <f t="shared" si="21"/>
        <v>0.6048</v>
      </c>
      <c r="O52" s="290">
        <v>6</v>
      </c>
      <c r="P52" s="205">
        <f t="shared" si="22"/>
        <v>0.6048</v>
      </c>
      <c r="Q52" s="290">
        <v>17</v>
      </c>
      <c r="R52" s="205">
        <f t="shared" si="23"/>
        <v>1.7136</v>
      </c>
      <c r="S52" s="39">
        <f t="shared" si="10"/>
        <v>1104</v>
      </c>
      <c r="T52" s="38">
        <f t="shared" si="4"/>
        <v>111.28319999999999</v>
      </c>
      <c r="U52" s="290">
        <v>0</v>
      </c>
      <c r="V52" s="13">
        <f t="shared" si="7"/>
        <v>0</v>
      </c>
      <c r="W52" s="294">
        <f t="shared" si="8"/>
        <v>1104</v>
      </c>
      <c r="X52" s="295">
        <f t="shared" si="9"/>
        <v>111.28319999999999</v>
      </c>
      <c r="Y52" s="238">
        <v>100</v>
      </c>
      <c r="Z52" s="101">
        <v>300</v>
      </c>
    </row>
    <row r="53" spans="1:26" x14ac:dyDescent="0.25">
      <c r="A53" s="264">
        <v>49</v>
      </c>
      <c r="B53" s="256" t="s">
        <v>185</v>
      </c>
      <c r="C53" s="34">
        <v>140</v>
      </c>
      <c r="D53" s="34">
        <v>240</v>
      </c>
      <c r="E53" s="34">
        <v>1</v>
      </c>
      <c r="F53" s="19">
        <f t="shared" si="5"/>
        <v>3.3599999999999998E-2</v>
      </c>
      <c r="G53" s="284">
        <v>263</v>
      </c>
      <c r="H53" s="288">
        <f t="shared" si="6"/>
        <v>8.8368000000000002</v>
      </c>
      <c r="I53" s="290">
        <v>0</v>
      </c>
      <c r="J53" s="205">
        <f t="shared" si="0"/>
        <v>0</v>
      </c>
      <c r="K53" s="290">
        <v>0</v>
      </c>
      <c r="L53" s="205">
        <f>F53*K53</f>
        <v>0</v>
      </c>
      <c r="M53" s="290">
        <v>0</v>
      </c>
      <c r="N53" s="205">
        <f t="shared" si="21"/>
        <v>0</v>
      </c>
      <c r="O53" s="290">
        <v>1</v>
      </c>
      <c r="P53" s="205">
        <f t="shared" si="22"/>
        <v>3.3599999999999998E-2</v>
      </c>
      <c r="Q53" s="290">
        <v>8</v>
      </c>
      <c r="R53" s="205">
        <f t="shared" si="23"/>
        <v>0.26879999999999998</v>
      </c>
      <c r="S53" s="39">
        <f t="shared" si="10"/>
        <v>254</v>
      </c>
      <c r="T53" s="38">
        <f t="shared" si="4"/>
        <v>8.5343999999999998</v>
      </c>
      <c r="U53" s="290">
        <v>112</v>
      </c>
      <c r="V53" s="13">
        <f t="shared" si="7"/>
        <v>3.7631999999999999</v>
      </c>
      <c r="W53" s="294">
        <f t="shared" si="8"/>
        <v>366</v>
      </c>
      <c r="X53" s="295">
        <f t="shared" si="9"/>
        <v>12.297599999999999</v>
      </c>
      <c r="Y53" s="238">
        <v>50</v>
      </c>
      <c r="Z53" s="101">
        <v>0</v>
      </c>
    </row>
    <row r="54" spans="1:26" x14ac:dyDescent="0.25">
      <c r="A54" s="264">
        <v>50</v>
      </c>
      <c r="B54" s="256" t="s">
        <v>186</v>
      </c>
      <c r="C54" s="34">
        <v>140</v>
      </c>
      <c r="D54" s="34">
        <v>240</v>
      </c>
      <c r="E54" s="34">
        <v>3</v>
      </c>
      <c r="F54" s="19">
        <f t="shared" si="5"/>
        <v>0.1008</v>
      </c>
      <c r="G54" s="284">
        <v>26</v>
      </c>
      <c r="H54" s="288">
        <f t="shared" si="6"/>
        <v>2.6208</v>
      </c>
      <c r="I54" s="290">
        <v>0</v>
      </c>
      <c r="J54" s="205">
        <f t="shared" si="0"/>
        <v>0</v>
      </c>
      <c r="K54" s="290">
        <v>16</v>
      </c>
      <c r="L54" s="205">
        <f>F54*K54</f>
        <v>1.6128</v>
      </c>
      <c r="M54" s="290">
        <v>10</v>
      </c>
      <c r="N54" s="205">
        <f t="shared" si="21"/>
        <v>1.008</v>
      </c>
      <c r="O54" s="290">
        <v>0</v>
      </c>
      <c r="P54" s="205">
        <f t="shared" si="22"/>
        <v>0</v>
      </c>
      <c r="Q54" s="290">
        <v>0</v>
      </c>
      <c r="R54" s="205">
        <f t="shared" si="23"/>
        <v>0</v>
      </c>
      <c r="S54" s="39">
        <f t="shared" si="10"/>
        <v>0</v>
      </c>
      <c r="T54" s="38">
        <f t="shared" si="4"/>
        <v>0</v>
      </c>
      <c r="U54" s="290">
        <v>35</v>
      </c>
      <c r="V54" s="13">
        <f t="shared" si="7"/>
        <v>3.528</v>
      </c>
      <c r="W54" s="294">
        <f t="shared" si="8"/>
        <v>35</v>
      </c>
      <c r="X54" s="295">
        <f t="shared" si="9"/>
        <v>3.528</v>
      </c>
      <c r="Y54" s="238">
        <v>50</v>
      </c>
      <c r="Z54" s="101">
        <v>0</v>
      </c>
    </row>
    <row r="55" spans="1:26" x14ac:dyDescent="0.25">
      <c r="A55" s="277">
        <v>51</v>
      </c>
      <c r="B55" s="283" t="s">
        <v>187</v>
      </c>
      <c r="C55" s="264">
        <v>140</v>
      </c>
      <c r="D55" s="264">
        <v>240</v>
      </c>
      <c r="E55" s="264">
        <v>5</v>
      </c>
      <c r="F55" s="19">
        <f t="shared" si="5"/>
        <v>0.16800000000000001</v>
      </c>
      <c r="G55" s="296">
        <v>144</v>
      </c>
      <c r="H55" s="299">
        <f t="shared" si="6"/>
        <v>24.192</v>
      </c>
      <c r="I55" s="290">
        <v>0</v>
      </c>
      <c r="J55" s="205">
        <f t="shared" si="0"/>
        <v>0</v>
      </c>
      <c r="K55" s="290">
        <v>0</v>
      </c>
      <c r="L55" s="205">
        <f t="shared" si="0"/>
        <v>0</v>
      </c>
      <c r="M55" s="290">
        <v>0</v>
      </c>
      <c r="N55" s="205">
        <f t="shared" si="21"/>
        <v>0</v>
      </c>
      <c r="O55" s="290">
        <v>0</v>
      </c>
      <c r="P55" s="205">
        <f t="shared" si="22"/>
        <v>0</v>
      </c>
      <c r="Q55" s="290">
        <v>0</v>
      </c>
      <c r="R55" s="205">
        <f t="shared" si="23"/>
        <v>0</v>
      </c>
      <c r="S55" s="39">
        <f t="shared" si="10"/>
        <v>144</v>
      </c>
      <c r="T55" s="38">
        <f t="shared" si="4"/>
        <v>24.192</v>
      </c>
      <c r="U55" s="290">
        <v>0</v>
      </c>
      <c r="V55" s="13">
        <f t="shared" si="7"/>
        <v>0</v>
      </c>
      <c r="W55" s="294">
        <f t="shared" si="8"/>
        <v>144</v>
      </c>
      <c r="X55" s="295">
        <f t="shared" si="9"/>
        <v>24.192</v>
      </c>
      <c r="Y55" s="101">
        <v>30</v>
      </c>
      <c r="Z55" s="101"/>
    </row>
    <row r="56" spans="1:26" x14ac:dyDescent="0.25">
      <c r="A56" s="277">
        <v>52</v>
      </c>
      <c r="B56" s="283" t="s">
        <v>188</v>
      </c>
      <c r="C56" s="264">
        <v>140</v>
      </c>
      <c r="D56" s="264">
        <v>240</v>
      </c>
      <c r="E56" s="264">
        <v>10</v>
      </c>
      <c r="F56" s="19">
        <f t="shared" si="5"/>
        <v>0.33600000000000002</v>
      </c>
      <c r="G56" s="296">
        <v>9</v>
      </c>
      <c r="H56" s="299">
        <f t="shared" si="6"/>
        <v>3.024</v>
      </c>
      <c r="I56" s="290">
        <v>0</v>
      </c>
      <c r="J56" s="205">
        <f t="shared" ref="J56:J65" si="24">F56*I56</f>
        <v>0</v>
      </c>
      <c r="K56" s="290">
        <v>0</v>
      </c>
      <c r="L56" s="205">
        <f>F56*K56</f>
        <v>0</v>
      </c>
      <c r="M56" s="290">
        <v>0</v>
      </c>
      <c r="N56" s="205">
        <f t="shared" si="21"/>
        <v>0</v>
      </c>
      <c r="O56" s="290">
        <v>0</v>
      </c>
      <c r="P56" s="205">
        <f t="shared" si="22"/>
        <v>0</v>
      </c>
      <c r="Q56" s="290">
        <v>0</v>
      </c>
      <c r="R56" s="205">
        <f t="shared" si="23"/>
        <v>0</v>
      </c>
      <c r="S56" s="39">
        <f t="shared" si="10"/>
        <v>9</v>
      </c>
      <c r="T56" s="38">
        <f t="shared" si="4"/>
        <v>3.024</v>
      </c>
      <c r="U56" s="290">
        <v>0</v>
      </c>
      <c r="V56" s="13">
        <f t="shared" si="7"/>
        <v>0</v>
      </c>
      <c r="W56" s="294">
        <f t="shared" si="8"/>
        <v>9</v>
      </c>
      <c r="X56" s="295">
        <f t="shared" si="9"/>
        <v>3.024</v>
      </c>
      <c r="Y56" s="101">
        <v>20</v>
      </c>
      <c r="Z56" s="101"/>
    </row>
    <row r="57" spans="1:26" x14ac:dyDescent="0.25">
      <c r="A57" s="264">
        <v>53</v>
      </c>
      <c r="B57" s="101" t="s">
        <v>201</v>
      </c>
      <c r="C57" s="264">
        <v>52</v>
      </c>
      <c r="D57" s="264">
        <v>52</v>
      </c>
      <c r="E57" s="264">
        <v>5</v>
      </c>
      <c r="F57" s="19">
        <f t="shared" si="5"/>
        <v>1.3520000000000001E-2</v>
      </c>
      <c r="G57" s="296">
        <v>495</v>
      </c>
      <c r="H57" s="299">
        <f t="shared" si="6"/>
        <v>6.6924000000000001</v>
      </c>
      <c r="I57" s="290">
        <v>0</v>
      </c>
      <c r="J57" s="205">
        <f t="shared" si="24"/>
        <v>0</v>
      </c>
      <c r="K57" s="290">
        <v>0</v>
      </c>
      <c r="L57" s="205">
        <f t="shared" ref="L57:L64" si="25">F57*K57</f>
        <v>0</v>
      </c>
      <c r="M57" s="290">
        <v>0</v>
      </c>
      <c r="N57" s="205">
        <f t="shared" si="21"/>
        <v>0</v>
      </c>
      <c r="O57" s="290">
        <v>0</v>
      </c>
      <c r="P57" s="205">
        <f t="shared" si="22"/>
        <v>0</v>
      </c>
      <c r="Q57" s="290">
        <v>0</v>
      </c>
      <c r="R57" s="205">
        <f t="shared" si="23"/>
        <v>0</v>
      </c>
      <c r="S57" s="39">
        <f t="shared" si="10"/>
        <v>495</v>
      </c>
      <c r="T57" s="38">
        <f t="shared" si="4"/>
        <v>6.6924000000000001</v>
      </c>
      <c r="U57" s="290">
        <v>0</v>
      </c>
      <c r="V57" s="13">
        <f t="shared" si="7"/>
        <v>0</v>
      </c>
      <c r="W57" s="294">
        <f t="shared" si="8"/>
        <v>495</v>
      </c>
      <c r="X57" s="295">
        <f t="shared" si="9"/>
        <v>6.6924000000000001</v>
      </c>
      <c r="Y57" s="101"/>
      <c r="Z57" s="101"/>
    </row>
    <row r="58" spans="1:26" x14ac:dyDescent="0.25">
      <c r="A58" s="264">
        <v>54</v>
      </c>
      <c r="B58" s="101" t="s">
        <v>193</v>
      </c>
      <c r="C58" s="264">
        <v>80</v>
      </c>
      <c r="D58" s="264">
        <v>75</v>
      </c>
      <c r="E58" s="264">
        <v>5</v>
      </c>
      <c r="F58" s="19">
        <f t="shared" si="5"/>
        <v>0.03</v>
      </c>
      <c r="G58" s="264">
        <v>117</v>
      </c>
      <c r="H58" s="299">
        <f t="shared" si="6"/>
        <v>3.51</v>
      </c>
      <c r="I58" s="290">
        <v>0</v>
      </c>
      <c r="J58" s="205">
        <f t="shared" si="24"/>
        <v>0</v>
      </c>
      <c r="K58" s="290">
        <v>0</v>
      </c>
      <c r="L58" s="205">
        <f t="shared" si="25"/>
        <v>0</v>
      </c>
      <c r="M58" s="290">
        <v>0</v>
      </c>
      <c r="N58" s="205">
        <f t="shared" si="21"/>
        <v>0</v>
      </c>
      <c r="O58" s="290">
        <v>0</v>
      </c>
      <c r="P58" s="205">
        <f t="shared" si="22"/>
        <v>0</v>
      </c>
      <c r="Q58" s="290">
        <v>0</v>
      </c>
      <c r="R58" s="205">
        <f t="shared" si="23"/>
        <v>0</v>
      </c>
      <c r="S58" s="39">
        <f t="shared" si="10"/>
        <v>117</v>
      </c>
      <c r="T58" s="38">
        <f t="shared" si="4"/>
        <v>3.51</v>
      </c>
      <c r="U58" s="290">
        <v>0</v>
      </c>
      <c r="V58" s="308">
        <f t="shared" si="7"/>
        <v>0</v>
      </c>
      <c r="W58" s="294">
        <f t="shared" si="8"/>
        <v>117</v>
      </c>
      <c r="X58" s="300">
        <f t="shared" si="9"/>
        <v>3.51</v>
      </c>
      <c r="Y58" s="101"/>
      <c r="Z58" s="101"/>
    </row>
    <row r="59" spans="1:26" x14ac:dyDescent="0.25">
      <c r="A59" s="264">
        <v>55</v>
      </c>
      <c r="B59" s="101" t="s">
        <v>194</v>
      </c>
      <c r="C59" s="264">
        <v>58</v>
      </c>
      <c r="D59" s="264">
        <v>25</v>
      </c>
      <c r="E59" s="264">
        <v>3</v>
      </c>
      <c r="F59" s="298">
        <f t="shared" si="5"/>
        <v>4.3499999999999997E-3</v>
      </c>
      <c r="G59" s="264">
        <v>1440</v>
      </c>
      <c r="H59" s="299">
        <f t="shared" si="6"/>
        <v>6.2639999999999993</v>
      </c>
      <c r="I59" s="290">
        <v>200</v>
      </c>
      <c r="J59" s="205">
        <f t="shared" si="24"/>
        <v>0.86999999999999988</v>
      </c>
      <c r="K59" s="290">
        <v>100</v>
      </c>
      <c r="L59" s="205">
        <f t="shared" si="25"/>
        <v>0.43499999999999994</v>
      </c>
      <c r="M59" s="290">
        <v>100</v>
      </c>
      <c r="N59" s="205">
        <f t="shared" si="21"/>
        <v>0.43499999999999994</v>
      </c>
      <c r="O59" s="290">
        <v>0</v>
      </c>
      <c r="P59" s="205">
        <f t="shared" si="22"/>
        <v>0</v>
      </c>
      <c r="Q59" s="290">
        <v>0</v>
      </c>
      <c r="R59" s="205">
        <f>F59*Q59</f>
        <v>0</v>
      </c>
      <c r="S59" s="39">
        <f t="shared" si="10"/>
        <v>1040</v>
      </c>
      <c r="T59" s="38">
        <f t="shared" si="4"/>
        <v>4.524</v>
      </c>
      <c r="U59" s="290">
        <v>0</v>
      </c>
      <c r="V59" s="309">
        <f t="shared" si="7"/>
        <v>0</v>
      </c>
      <c r="W59" s="294">
        <f t="shared" si="8"/>
        <v>1040</v>
      </c>
      <c r="X59" s="300">
        <f t="shared" si="9"/>
        <v>4.524</v>
      </c>
      <c r="Y59" s="101"/>
      <c r="Z59" s="101"/>
    </row>
    <row r="60" spans="1:26" x14ac:dyDescent="0.25">
      <c r="A60" s="264">
        <v>56</v>
      </c>
      <c r="B60" s="101" t="s">
        <v>195</v>
      </c>
      <c r="C60" s="264">
        <v>64</v>
      </c>
      <c r="D60" s="264">
        <v>58</v>
      </c>
      <c r="E60" s="264">
        <v>5</v>
      </c>
      <c r="F60" s="298">
        <f t="shared" si="5"/>
        <v>1.856E-2</v>
      </c>
      <c r="G60" s="264">
        <v>1393</v>
      </c>
      <c r="H60" s="299">
        <f t="shared" si="6"/>
        <v>25.85408</v>
      </c>
      <c r="I60" s="290">
        <v>200</v>
      </c>
      <c r="J60" s="205">
        <f t="shared" si="24"/>
        <v>3.7120000000000002</v>
      </c>
      <c r="K60" s="290">
        <v>48</v>
      </c>
      <c r="L60" s="205">
        <f t="shared" si="25"/>
        <v>0.89088000000000001</v>
      </c>
      <c r="M60" s="290">
        <v>200</v>
      </c>
      <c r="N60" s="205">
        <f t="shared" si="21"/>
        <v>3.7120000000000002</v>
      </c>
      <c r="O60" s="290">
        <v>0</v>
      </c>
      <c r="P60" s="205">
        <f t="shared" si="22"/>
        <v>0</v>
      </c>
      <c r="Q60" s="290">
        <v>0</v>
      </c>
      <c r="R60" s="205">
        <f t="shared" ref="R60:R65" si="26">F60*Q60</f>
        <v>0</v>
      </c>
      <c r="S60" s="39">
        <f t="shared" si="10"/>
        <v>945</v>
      </c>
      <c r="T60" s="38">
        <f t="shared" si="4"/>
        <v>17.539200000000001</v>
      </c>
      <c r="U60" s="290">
        <v>0</v>
      </c>
      <c r="V60" s="309">
        <f t="shared" si="7"/>
        <v>0</v>
      </c>
      <c r="W60" s="294">
        <f t="shared" si="8"/>
        <v>945</v>
      </c>
      <c r="X60" s="301">
        <f t="shared" si="9"/>
        <v>17.539200000000001</v>
      </c>
      <c r="Y60" s="101"/>
      <c r="Z60" s="101"/>
    </row>
    <row r="61" spans="1:26" x14ac:dyDescent="0.25">
      <c r="A61" s="264">
        <v>57</v>
      </c>
      <c r="B61" s="101" t="s">
        <v>197</v>
      </c>
      <c r="C61" s="264">
        <v>65</v>
      </c>
      <c r="D61" s="264">
        <v>65</v>
      </c>
      <c r="E61" s="264">
        <v>5</v>
      </c>
      <c r="F61" s="101">
        <f t="shared" si="5"/>
        <v>2.1125000000000001E-2</v>
      </c>
      <c r="G61" s="264">
        <v>312</v>
      </c>
      <c r="H61" s="299">
        <f t="shared" si="6"/>
        <v>6.5910000000000002</v>
      </c>
      <c r="I61" s="290">
        <v>0</v>
      </c>
      <c r="J61" s="205">
        <f t="shared" si="24"/>
        <v>0</v>
      </c>
      <c r="K61" s="290">
        <v>0</v>
      </c>
      <c r="L61" s="205">
        <f t="shared" si="25"/>
        <v>0</v>
      </c>
      <c r="M61" s="290">
        <v>0</v>
      </c>
      <c r="N61" s="174">
        <f t="shared" si="21"/>
        <v>0</v>
      </c>
      <c r="O61" s="290">
        <v>0</v>
      </c>
      <c r="P61" s="205">
        <f t="shared" si="22"/>
        <v>0</v>
      </c>
      <c r="Q61" s="290">
        <v>0</v>
      </c>
      <c r="R61" s="205">
        <f t="shared" si="26"/>
        <v>0</v>
      </c>
      <c r="S61" s="39">
        <f t="shared" si="10"/>
        <v>312</v>
      </c>
      <c r="T61" s="38">
        <f t="shared" si="4"/>
        <v>6.5910000000000002</v>
      </c>
      <c r="U61" s="290">
        <v>0</v>
      </c>
      <c r="V61" s="309">
        <f t="shared" si="7"/>
        <v>0</v>
      </c>
      <c r="W61" s="294">
        <f t="shared" si="8"/>
        <v>312</v>
      </c>
      <c r="X61" s="300">
        <f t="shared" si="9"/>
        <v>6.5910000000000002</v>
      </c>
      <c r="Y61" s="101"/>
      <c r="Z61" s="101"/>
    </row>
    <row r="62" spans="1:26" x14ac:dyDescent="0.25">
      <c r="A62" s="264">
        <v>58</v>
      </c>
      <c r="B62" s="101" t="s">
        <v>198</v>
      </c>
      <c r="C62" s="264">
        <v>83</v>
      </c>
      <c r="D62" s="264">
        <v>55</v>
      </c>
      <c r="E62" s="264">
        <v>3</v>
      </c>
      <c r="F62" s="101">
        <f t="shared" si="5"/>
        <v>1.3695000000000001E-2</v>
      </c>
      <c r="G62" s="264">
        <v>400</v>
      </c>
      <c r="H62" s="299">
        <f t="shared" si="6"/>
        <v>5.4780000000000006</v>
      </c>
      <c r="I62" s="290">
        <v>0</v>
      </c>
      <c r="J62" s="205">
        <f t="shared" si="24"/>
        <v>0</v>
      </c>
      <c r="K62" s="290">
        <v>0</v>
      </c>
      <c r="L62" s="205">
        <f t="shared" si="25"/>
        <v>0</v>
      </c>
      <c r="M62" s="290">
        <v>0</v>
      </c>
      <c r="N62" s="174">
        <f t="shared" si="21"/>
        <v>0</v>
      </c>
      <c r="O62" s="290">
        <v>0</v>
      </c>
      <c r="P62" s="205">
        <f t="shared" si="22"/>
        <v>0</v>
      </c>
      <c r="Q62" s="290">
        <v>0</v>
      </c>
      <c r="R62" s="205">
        <f t="shared" si="26"/>
        <v>0</v>
      </c>
      <c r="S62" s="39">
        <f t="shared" si="10"/>
        <v>400</v>
      </c>
      <c r="T62" s="38">
        <f t="shared" si="4"/>
        <v>5.4780000000000006</v>
      </c>
      <c r="U62" s="290">
        <v>0</v>
      </c>
      <c r="V62" s="309">
        <f t="shared" si="7"/>
        <v>0</v>
      </c>
      <c r="W62" s="294">
        <f t="shared" si="8"/>
        <v>400</v>
      </c>
      <c r="X62" s="300">
        <f t="shared" si="9"/>
        <v>5.4780000000000006</v>
      </c>
      <c r="Y62" s="101"/>
      <c r="Z62" s="101"/>
    </row>
    <row r="63" spans="1:26" x14ac:dyDescent="0.25">
      <c r="A63" s="264">
        <v>59</v>
      </c>
      <c r="B63" s="101" t="s">
        <v>199</v>
      </c>
      <c r="C63" s="264">
        <v>75</v>
      </c>
      <c r="D63" s="264">
        <v>55</v>
      </c>
      <c r="E63" s="264">
        <v>3</v>
      </c>
      <c r="F63" s="101">
        <f t="shared" si="5"/>
        <v>1.2375000000000001E-2</v>
      </c>
      <c r="G63" s="264">
        <v>976</v>
      </c>
      <c r="H63" s="299">
        <f t="shared" si="6"/>
        <v>12.078000000000001</v>
      </c>
      <c r="I63" s="290">
        <v>200</v>
      </c>
      <c r="J63" s="205">
        <f t="shared" si="24"/>
        <v>2.4750000000000001</v>
      </c>
      <c r="K63" s="290">
        <v>100</v>
      </c>
      <c r="L63" s="205">
        <f t="shared" si="25"/>
        <v>1.2375</v>
      </c>
      <c r="M63" s="290">
        <v>200</v>
      </c>
      <c r="N63" s="174">
        <f t="shared" si="21"/>
        <v>2.4750000000000001</v>
      </c>
      <c r="O63" s="290">
        <v>0</v>
      </c>
      <c r="P63" s="205">
        <f t="shared" si="22"/>
        <v>0</v>
      </c>
      <c r="Q63" s="290">
        <v>0</v>
      </c>
      <c r="R63" s="205">
        <f t="shared" si="26"/>
        <v>0</v>
      </c>
      <c r="S63" s="39">
        <f t="shared" si="10"/>
        <v>476</v>
      </c>
      <c r="T63" s="38">
        <f t="shared" si="4"/>
        <v>5.8905000000000003</v>
      </c>
      <c r="U63" s="290">
        <v>0</v>
      </c>
      <c r="V63" s="309">
        <f t="shared" si="7"/>
        <v>0</v>
      </c>
      <c r="W63" s="294">
        <f t="shared" si="8"/>
        <v>476</v>
      </c>
      <c r="X63" s="300">
        <f t="shared" si="9"/>
        <v>5.8905000000000003</v>
      </c>
      <c r="Y63" s="101"/>
      <c r="Z63" s="101"/>
    </row>
    <row r="64" spans="1:26" x14ac:dyDescent="0.25">
      <c r="A64" s="264">
        <v>60</v>
      </c>
      <c r="B64" s="101" t="s">
        <v>200</v>
      </c>
      <c r="C64" s="264">
        <v>58</v>
      </c>
      <c r="D64" s="264">
        <v>19</v>
      </c>
      <c r="E64" s="264">
        <v>3</v>
      </c>
      <c r="F64" s="101">
        <f t="shared" si="5"/>
        <v>3.3059999999999999E-3</v>
      </c>
      <c r="G64" s="264">
        <v>990</v>
      </c>
      <c r="H64" s="299">
        <f t="shared" si="6"/>
        <v>3.2729399999999997</v>
      </c>
      <c r="I64" s="290">
        <v>200</v>
      </c>
      <c r="J64" s="205">
        <f t="shared" si="24"/>
        <v>0.66120000000000001</v>
      </c>
      <c r="K64" s="290">
        <v>0</v>
      </c>
      <c r="L64" s="205">
        <f t="shared" si="25"/>
        <v>0</v>
      </c>
      <c r="M64" s="290">
        <v>100</v>
      </c>
      <c r="N64" s="174">
        <f t="shared" si="21"/>
        <v>0.3306</v>
      </c>
      <c r="O64" s="290">
        <v>0</v>
      </c>
      <c r="P64" s="205">
        <f t="shared" si="22"/>
        <v>0</v>
      </c>
      <c r="Q64" s="290">
        <v>0</v>
      </c>
      <c r="R64" s="205">
        <f t="shared" si="26"/>
        <v>0</v>
      </c>
      <c r="S64" s="39">
        <f t="shared" si="10"/>
        <v>690</v>
      </c>
      <c r="T64" s="38">
        <f t="shared" si="4"/>
        <v>2.2811399999999997</v>
      </c>
      <c r="U64" s="290">
        <v>0</v>
      </c>
      <c r="V64" s="309">
        <f t="shared" si="7"/>
        <v>0</v>
      </c>
      <c r="W64" s="294">
        <f t="shared" si="8"/>
        <v>690</v>
      </c>
      <c r="X64" s="300">
        <f t="shared" si="9"/>
        <v>2.2811399999999997</v>
      </c>
      <c r="Y64" s="101"/>
      <c r="Z64" s="101"/>
    </row>
    <row r="65" spans="1:26" x14ac:dyDescent="0.25">
      <c r="A65" s="264">
        <v>61</v>
      </c>
      <c r="B65" s="101" t="s">
        <v>202</v>
      </c>
      <c r="C65" s="264">
        <v>140</v>
      </c>
      <c r="D65" s="264">
        <v>240</v>
      </c>
      <c r="E65" s="264">
        <v>4</v>
      </c>
      <c r="F65" s="101">
        <f t="shared" si="5"/>
        <v>0.13439999999999999</v>
      </c>
      <c r="G65" s="264">
        <v>21</v>
      </c>
      <c r="H65" s="299">
        <f t="shared" si="6"/>
        <v>2.8224</v>
      </c>
      <c r="I65" s="290">
        <v>0</v>
      </c>
      <c r="J65" s="205">
        <f t="shared" si="24"/>
        <v>0</v>
      </c>
      <c r="K65" s="290">
        <v>0</v>
      </c>
      <c r="L65" s="205">
        <v>3.9</v>
      </c>
      <c r="M65" s="290">
        <v>0</v>
      </c>
      <c r="N65" s="174">
        <f t="shared" si="21"/>
        <v>0</v>
      </c>
      <c r="O65" s="290">
        <v>0</v>
      </c>
      <c r="P65" s="205">
        <f t="shared" si="22"/>
        <v>0</v>
      </c>
      <c r="Q65" s="290">
        <v>0</v>
      </c>
      <c r="R65" s="205">
        <f t="shared" si="26"/>
        <v>0</v>
      </c>
      <c r="S65" s="39">
        <f t="shared" si="10"/>
        <v>21</v>
      </c>
      <c r="T65" s="38">
        <f t="shared" si="4"/>
        <v>2.8224</v>
      </c>
      <c r="U65" s="290">
        <v>56</v>
      </c>
      <c r="V65" s="309">
        <f t="shared" si="7"/>
        <v>7.5263999999999998</v>
      </c>
      <c r="W65" s="294">
        <f t="shared" si="8"/>
        <v>77</v>
      </c>
      <c r="X65" s="300">
        <f t="shared" si="9"/>
        <v>10.348799999999999</v>
      </c>
      <c r="Y65" s="101"/>
      <c r="Z65" s="101"/>
    </row>
    <row r="66" spans="1:26" x14ac:dyDescent="0.25">
      <c r="A66" s="264">
        <v>62</v>
      </c>
      <c r="B66" s="101" t="s">
        <v>203</v>
      </c>
      <c r="C66" s="264">
        <v>50</v>
      </c>
      <c r="D66" s="264">
        <v>46.5</v>
      </c>
      <c r="E66" s="264">
        <v>3</v>
      </c>
      <c r="F66" s="101">
        <f t="shared" si="5"/>
        <v>6.9750000000000003E-3</v>
      </c>
      <c r="G66" s="264">
        <v>1643</v>
      </c>
      <c r="H66" s="289">
        <f t="shared" si="6"/>
        <v>11.459925</v>
      </c>
      <c r="I66" s="290">
        <v>0</v>
      </c>
      <c r="J66" s="101"/>
      <c r="K66" s="290">
        <v>0</v>
      </c>
      <c r="L66" s="101"/>
      <c r="M66" s="290">
        <v>10</v>
      </c>
      <c r="N66" s="264">
        <f t="shared" si="21"/>
        <v>6.9750000000000006E-2</v>
      </c>
      <c r="O66" s="290">
        <v>0</v>
      </c>
      <c r="P66" s="264">
        <f t="shared" si="22"/>
        <v>0</v>
      </c>
      <c r="Q66" s="291"/>
      <c r="R66" s="101"/>
      <c r="S66" s="39">
        <f t="shared" si="10"/>
        <v>1633</v>
      </c>
      <c r="T66" s="38">
        <f t="shared" si="4"/>
        <v>11.390175000000001</v>
      </c>
      <c r="U66" s="290">
        <v>422</v>
      </c>
      <c r="V66" s="309">
        <f t="shared" si="7"/>
        <v>2.9434500000000003</v>
      </c>
      <c r="W66" s="294">
        <f t="shared" si="8"/>
        <v>2055</v>
      </c>
      <c r="X66" s="300">
        <f t="shared" si="9"/>
        <v>14.333625000000001</v>
      </c>
      <c r="Y66" s="101"/>
      <c r="Z66" s="101"/>
    </row>
    <row r="67" spans="1:26" x14ac:dyDescent="0.25">
      <c r="A67" s="264">
        <v>63</v>
      </c>
      <c r="B67" s="101" t="s">
        <v>204</v>
      </c>
      <c r="C67" s="264">
        <v>50</v>
      </c>
      <c r="D67" s="264">
        <v>35</v>
      </c>
      <c r="E67" s="264">
        <v>3</v>
      </c>
      <c r="F67" s="101">
        <f t="shared" si="5"/>
        <v>5.2500000000000003E-3</v>
      </c>
      <c r="G67" s="264">
        <v>2730</v>
      </c>
      <c r="H67" s="289">
        <f t="shared" si="6"/>
        <v>14.332500000000001</v>
      </c>
      <c r="I67" s="290">
        <v>0</v>
      </c>
      <c r="J67" s="101"/>
      <c r="K67" s="290">
        <v>995</v>
      </c>
      <c r="L67" s="205">
        <f t="shared" ref="L67" si="27">F67*K67</f>
        <v>5.2237499999999999</v>
      </c>
      <c r="M67" s="290">
        <v>10</v>
      </c>
      <c r="N67" s="313">
        <f t="shared" si="21"/>
        <v>5.2500000000000005E-2</v>
      </c>
      <c r="O67" s="290">
        <v>0</v>
      </c>
      <c r="P67" s="264"/>
      <c r="Q67" s="291"/>
      <c r="R67" s="101"/>
      <c r="S67" s="39">
        <f t="shared" si="10"/>
        <v>1725</v>
      </c>
      <c r="T67" s="38">
        <f t="shared" si="4"/>
        <v>9.0562500000000004</v>
      </c>
      <c r="U67" s="290">
        <v>418</v>
      </c>
      <c r="V67" s="309">
        <f t="shared" si="7"/>
        <v>2.1945000000000001</v>
      </c>
      <c r="W67" s="294">
        <f t="shared" si="8"/>
        <v>2143</v>
      </c>
      <c r="X67" s="300">
        <f t="shared" si="9"/>
        <v>11.25075</v>
      </c>
      <c r="Y67" s="101"/>
      <c r="Z67" s="101"/>
    </row>
    <row r="68" spans="1:26" x14ac:dyDescent="0.25">
      <c r="A68" s="264">
        <v>64</v>
      </c>
      <c r="B68" s="101" t="s">
        <v>205</v>
      </c>
      <c r="C68" s="264"/>
      <c r="D68" s="264"/>
      <c r="E68" s="264"/>
      <c r="F68" s="101"/>
      <c r="G68" s="264"/>
      <c r="H68" s="289"/>
      <c r="I68" s="290">
        <v>0</v>
      </c>
      <c r="J68" s="101"/>
      <c r="K68" s="290">
        <v>0</v>
      </c>
      <c r="L68" s="101"/>
      <c r="M68" s="290">
        <v>3</v>
      </c>
      <c r="N68" s="313">
        <v>0.80600000000000005</v>
      </c>
      <c r="O68" s="290">
        <v>0</v>
      </c>
      <c r="P68" s="264"/>
      <c r="Q68" s="291">
        <v>19</v>
      </c>
      <c r="R68" s="101">
        <v>5.1070000000000002</v>
      </c>
      <c r="S68" s="39">
        <f t="shared" si="10"/>
        <v>-22</v>
      </c>
      <c r="T68" s="38">
        <f t="shared" si="4"/>
        <v>0</v>
      </c>
      <c r="U68" s="290">
        <v>34</v>
      </c>
      <c r="V68" s="309">
        <v>9.1389999999999993</v>
      </c>
      <c r="W68" s="294">
        <f t="shared" si="8"/>
        <v>12</v>
      </c>
      <c r="X68" s="300">
        <f t="shared" si="9"/>
        <v>0</v>
      </c>
      <c r="Y68" s="101"/>
      <c r="Z68" s="101"/>
    </row>
    <row r="69" spans="1:26" x14ac:dyDescent="0.25">
      <c r="A69" s="264">
        <v>65</v>
      </c>
      <c r="B69" s="101" t="s">
        <v>206</v>
      </c>
      <c r="C69" s="264"/>
      <c r="D69" s="264"/>
      <c r="E69" s="264"/>
      <c r="F69" s="101"/>
      <c r="G69" s="264"/>
      <c r="H69" s="289"/>
      <c r="I69" s="290">
        <v>0</v>
      </c>
      <c r="J69" s="101"/>
      <c r="K69" s="290">
        <v>0</v>
      </c>
      <c r="L69" s="101"/>
      <c r="M69" s="290">
        <v>0</v>
      </c>
      <c r="N69" s="313">
        <f t="shared" si="21"/>
        <v>0</v>
      </c>
      <c r="O69" s="290">
        <v>19</v>
      </c>
      <c r="P69" s="264">
        <f t="shared" ref="P69" si="28">F69*O69</f>
        <v>0</v>
      </c>
      <c r="Q69" s="291">
        <v>8</v>
      </c>
      <c r="R69" s="205">
        <f t="shared" ref="R69" si="29">F69*Q69</f>
        <v>0</v>
      </c>
      <c r="S69" s="39">
        <f t="shared" si="10"/>
        <v>-27</v>
      </c>
      <c r="T69" s="38">
        <f t="shared" ref="T69:T70" si="30">F69*S69</f>
        <v>0</v>
      </c>
      <c r="U69" s="290">
        <v>100</v>
      </c>
      <c r="V69" s="309">
        <v>6.72</v>
      </c>
      <c r="W69" s="294">
        <f t="shared" si="8"/>
        <v>73</v>
      </c>
      <c r="X69" s="300">
        <f t="shared" si="9"/>
        <v>0</v>
      </c>
      <c r="Y69" s="101"/>
      <c r="Z69" s="101"/>
    </row>
    <row r="70" spans="1:26" x14ac:dyDescent="0.25">
      <c r="A70" s="264">
        <v>66</v>
      </c>
      <c r="B70" s="101"/>
      <c r="C70" s="264"/>
      <c r="D70" s="264"/>
      <c r="E70" s="264"/>
      <c r="F70" s="101"/>
      <c r="G70" s="264"/>
      <c r="H70" s="289"/>
      <c r="I70" s="290">
        <v>0</v>
      </c>
      <c r="J70" s="101"/>
      <c r="K70" s="290">
        <v>0</v>
      </c>
      <c r="L70" s="101"/>
      <c r="M70" s="290">
        <v>0</v>
      </c>
      <c r="N70" s="313">
        <f t="shared" si="21"/>
        <v>0</v>
      </c>
      <c r="O70" s="291"/>
      <c r="P70" s="101"/>
      <c r="Q70" s="291"/>
      <c r="R70" s="101"/>
      <c r="S70" s="39">
        <f t="shared" si="10"/>
        <v>0</v>
      </c>
      <c r="T70" s="38">
        <f t="shared" si="30"/>
        <v>0</v>
      </c>
      <c r="U70" s="290">
        <v>0</v>
      </c>
      <c r="V70" s="309">
        <f t="shared" ref="V70" si="31">F70*U70</f>
        <v>0</v>
      </c>
      <c r="W70" s="294">
        <f t="shared" ref="W70" si="32">S70+U70</f>
        <v>0</v>
      </c>
      <c r="X70" s="300">
        <f t="shared" ref="X70" si="33">F70*W70</f>
        <v>0</v>
      </c>
      <c r="Y70" s="101"/>
      <c r="Z70" s="101"/>
    </row>
    <row r="71" spans="1:26" x14ac:dyDescent="0.2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spans="1:26" x14ac:dyDescent="0.2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1:26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1:26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1:26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1:26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1:26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1:26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</sheetData>
  <mergeCells count="24">
    <mergeCell ref="C1:H1"/>
    <mergeCell ref="G2:H3"/>
    <mergeCell ref="I2:J2"/>
    <mergeCell ref="K2:L2"/>
    <mergeCell ref="M2:N2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S4:T4"/>
    <mergeCell ref="U4:V4"/>
    <mergeCell ref="W4:X4"/>
    <mergeCell ref="G4:H4"/>
    <mergeCell ref="I4:J4"/>
    <mergeCell ref="K4:L4"/>
    <mergeCell ref="M4:N4"/>
    <mergeCell ref="O4:P4"/>
    <mergeCell ref="Q4:R4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Z78"/>
  <sheetViews>
    <sheetView topLeftCell="A42" workbookViewId="0">
      <selection activeCell="P30" sqref="P30"/>
    </sheetView>
  </sheetViews>
  <sheetFormatPr defaultRowHeight="15" x14ac:dyDescent="0.25"/>
  <cols>
    <col min="1" max="1" width="5" customWidth="1"/>
    <col min="2" max="2" width="32.140625" style="3" customWidth="1"/>
    <col min="3" max="3" width="9.7109375" style="2" hidden="1" customWidth="1"/>
    <col min="4" max="4" width="14" style="2" hidden="1" customWidth="1"/>
    <col min="5" max="5" width="11" style="2" hidden="1" customWidth="1"/>
    <col min="6" max="6" width="13.85546875" style="4" hidden="1" customWidth="1"/>
    <col min="7" max="7" width="7.5703125" style="5" customWidth="1"/>
    <col min="8" max="8" width="9" style="5" customWidth="1"/>
    <col min="9" max="9" width="6" style="2" customWidth="1"/>
    <col min="10" max="10" width="7.140625" style="2" customWidth="1"/>
    <col min="11" max="11" width="6.28515625" style="2" customWidth="1"/>
    <col min="12" max="12" width="6.5703125" style="2" customWidth="1"/>
    <col min="13" max="13" width="5.7109375" style="2" customWidth="1"/>
    <col min="14" max="14" width="7.140625" style="2" customWidth="1"/>
    <col min="15" max="15" width="6.5703125" style="2" customWidth="1"/>
    <col min="16" max="16" width="6.7109375" style="2" customWidth="1"/>
    <col min="17" max="17" width="5" style="2" customWidth="1"/>
    <col min="18" max="18" width="7" style="2" customWidth="1"/>
    <col min="19" max="19" width="8.28515625" style="2" customWidth="1"/>
    <col min="20" max="20" width="7.28515625" style="2" customWidth="1"/>
    <col min="21" max="21" width="6.7109375" customWidth="1"/>
    <col min="22" max="22" width="6.85546875" customWidth="1"/>
    <col min="23" max="23" width="6.5703125" customWidth="1"/>
    <col min="24" max="24" width="9.5703125" customWidth="1"/>
    <col min="25" max="25" width="10.28515625" customWidth="1"/>
  </cols>
  <sheetData>
    <row r="1" spans="1:26" ht="15.75" thickBot="1" x14ac:dyDescent="0.3">
      <c r="B1" s="4" t="s">
        <v>18</v>
      </c>
      <c r="C1" s="384">
        <v>45597</v>
      </c>
      <c r="D1" s="320"/>
      <c r="E1" s="320"/>
      <c r="F1" s="320"/>
      <c r="G1" s="320"/>
      <c r="H1" s="320"/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45604</v>
      </c>
      <c r="J2" s="326"/>
      <c r="K2" s="327">
        <v>45611</v>
      </c>
      <c r="L2" s="328"/>
      <c r="M2" s="325">
        <v>45618</v>
      </c>
      <c r="N2" s="329"/>
      <c r="O2" s="327">
        <v>45625</v>
      </c>
      <c r="P2" s="346"/>
      <c r="Q2" s="325">
        <v>0</v>
      </c>
      <c r="R2" s="329"/>
      <c r="S2" s="330" t="s">
        <v>69</v>
      </c>
      <c r="T2" s="331"/>
      <c r="U2" s="334" t="s">
        <v>70</v>
      </c>
      <c r="V2" s="335"/>
      <c r="W2" s="385" t="s">
        <v>71</v>
      </c>
      <c r="X2" s="386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87"/>
      <c r="X3" s="388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89" t="s">
        <v>63</v>
      </c>
      <c r="X4" s="390"/>
      <c r="Y4" s="268" t="s">
        <v>179</v>
      </c>
      <c r="Z4" s="269" t="s">
        <v>99</v>
      </c>
    </row>
    <row r="5" spans="1:26" x14ac:dyDescent="0.25">
      <c r="A5" s="263">
        <v>1</v>
      </c>
      <c r="B5" s="256" t="s">
        <v>134</v>
      </c>
      <c r="C5" s="32">
        <v>70</v>
      </c>
      <c r="D5" s="33">
        <v>64</v>
      </c>
      <c r="E5" s="33">
        <v>8</v>
      </c>
      <c r="F5" s="15">
        <f>(C5*D5*E5)/1000000</f>
        <v>3.5839999999999997E-2</v>
      </c>
      <c r="G5" s="286">
        <v>309</v>
      </c>
      <c r="H5" s="287">
        <f>F5*G5</f>
        <v>11.074559999999998</v>
      </c>
      <c r="I5" s="290">
        <v>30</v>
      </c>
      <c r="J5" s="205">
        <f t="shared" ref="J5:R55" si="0">F5*I5</f>
        <v>1.0751999999999999</v>
      </c>
      <c r="K5" s="290">
        <v>21</v>
      </c>
      <c r="L5" s="205">
        <f>F5*K5</f>
        <v>0.75263999999999998</v>
      </c>
      <c r="M5" s="290">
        <v>0</v>
      </c>
      <c r="N5" s="205">
        <f t="shared" ref="N5:N10" si="1">F5*M5</f>
        <v>0</v>
      </c>
      <c r="O5" s="290">
        <v>0</v>
      </c>
      <c r="P5" s="205">
        <f t="shared" ref="P5:P10" si="2">F5*O5</f>
        <v>0</v>
      </c>
      <c r="Q5" s="290">
        <v>0</v>
      </c>
      <c r="R5" s="205">
        <f t="shared" ref="R5:R11" si="3">F5*Q5</f>
        <v>0</v>
      </c>
      <c r="S5" s="39">
        <f>G5-I5-K5-M5-O5-Q5</f>
        <v>258</v>
      </c>
      <c r="T5" s="38">
        <f t="shared" ref="T5:T68" si="4">F5*S5</f>
        <v>9.2467199999999998</v>
      </c>
      <c r="U5" s="290">
        <v>0</v>
      </c>
      <c r="V5" s="13">
        <f>F5*U5</f>
        <v>0</v>
      </c>
      <c r="W5" s="294">
        <f>S5+U5</f>
        <v>258</v>
      </c>
      <c r="X5" s="295">
        <f>F5*W5</f>
        <v>9.2467199999999998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135</v>
      </c>
      <c r="C6" s="34">
        <v>70</v>
      </c>
      <c r="D6" s="35">
        <v>80</v>
      </c>
      <c r="E6" s="35">
        <v>8</v>
      </c>
      <c r="F6" s="19">
        <f t="shared" ref="F6:F67" si="5">(C6*D6*E6)/1000000</f>
        <v>4.48E-2</v>
      </c>
      <c r="G6" s="286">
        <v>63</v>
      </c>
      <c r="H6" s="288">
        <f t="shared" ref="H6:H67" si="6">F6*G6</f>
        <v>2.8224</v>
      </c>
      <c r="I6" s="290">
        <v>38</v>
      </c>
      <c r="J6" s="205">
        <f t="shared" si="0"/>
        <v>1.7023999999999999</v>
      </c>
      <c r="K6" s="290">
        <v>22</v>
      </c>
      <c r="L6" s="205">
        <f>F6*K6</f>
        <v>0.98560000000000003</v>
      </c>
      <c r="M6" s="290">
        <v>0</v>
      </c>
      <c r="N6" s="205">
        <f t="shared" si="1"/>
        <v>0</v>
      </c>
      <c r="O6" s="290">
        <v>0</v>
      </c>
      <c r="P6" s="205">
        <f t="shared" si="2"/>
        <v>0</v>
      </c>
      <c r="Q6" s="290">
        <v>0</v>
      </c>
      <c r="R6" s="205">
        <f t="shared" si="3"/>
        <v>0</v>
      </c>
      <c r="S6" s="39">
        <f t="shared" ref="S6:S69" si="7">G6-I6-K6-M6-O6-Q6</f>
        <v>3</v>
      </c>
      <c r="T6" s="38">
        <f t="shared" si="4"/>
        <v>0.13439999999999999</v>
      </c>
      <c r="U6" s="290">
        <v>288</v>
      </c>
      <c r="V6" s="13">
        <f t="shared" ref="V6:V67" si="8">F6*U6</f>
        <v>12.9024</v>
      </c>
      <c r="W6" s="294">
        <f t="shared" ref="W6:W69" si="9">S6+U6</f>
        <v>291</v>
      </c>
      <c r="X6" s="295">
        <f t="shared" ref="X6:X69" si="10">F6*W6</f>
        <v>13.036799999999999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136</v>
      </c>
      <c r="C7" s="34">
        <v>70</v>
      </c>
      <c r="D7" s="35">
        <v>74</v>
      </c>
      <c r="E7" s="35">
        <v>8</v>
      </c>
      <c r="F7" s="19">
        <f t="shared" si="5"/>
        <v>4.1439999999999998E-2</v>
      </c>
      <c r="G7" s="286">
        <v>306</v>
      </c>
      <c r="H7" s="288">
        <f t="shared" si="6"/>
        <v>12.680639999999999</v>
      </c>
      <c r="I7" s="290">
        <v>44</v>
      </c>
      <c r="J7" s="205">
        <f t="shared" si="0"/>
        <v>1.8233599999999999</v>
      </c>
      <c r="K7" s="290">
        <v>0</v>
      </c>
      <c r="L7" s="205">
        <f>F7*K7</f>
        <v>0</v>
      </c>
      <c r="M7" s="290">
        <v>0</v>
      </c>
      <c r="N7" s="205">
        <f t="shared" si="1"/>
        <v>0</v>
      </c>
      <c r="O7" s="290">
        <v>0</v>
      </c>
      <c r="P7" s="205">
        <f t="shared" si="2"/>
        <v>0</v>
      </c>
      <c r="Q7" s="290">
        <v>0</v>
      </c>
      <c r="R7" s="205">
        <f t="shared" si="3"/>
        <v>0</v>
      </c>
      <c r="S7" s="39">
        <f t="shared" si="7"/>
        <v>262</v>
      </c>
      <c r="T7" s="38">
        <f t="shared" si="4"/>
        <v>10.857279999999999</v>
      </c>
      <c r="U7" s="290">
        <v>293</v>
      </c>
      <c r="V7" s="13">
        <f t="shared" si="8"/>
        <v>12.141919999999999</v>
      </c>
      <c r="W7" s="294">
        <f t="shared" si="9"/>
        <v>555</v>
      </c>
      <c r="X7" s="295">
        <f t="shared" si="10"/>
        <v>22.999199999999998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137</v>
      </c>
      <c r="C8" s="34">
        <v>80</v>
      </c>
      <c r="D8" s="35">
        <v>64</v>
      </c>
      <c r="E8" s="35">
        <v>5</v>
      </c>
      <c r="F8" s="19">
        <f t="shared" si="5"/>
        <v>2.5600000000000001E-2</v>
      </c>
      <c r="G8" s="286">
        <v>92</v>
      </c>
      <c r="H8" s="288">
        <f t="shared" si="6"/>
        <v>2.3552</v>
      </c>
      <c r="I8" s="290">
        <v>0</v>
      </c>
      <c r="J8" s="205">
        <f t="shared" si="0"/>
        <v>0</v>
      </c>
      <c r="K8" s="290">
        <v>0</v>
      </c>
      <c r="L8" s="205">
        <f>F8*K8</f>
        <v>0</v>
      </c>
      <c r="M8" s="290">
        <v>0</v>
      </c>
      <c r="N8" s="205">
        <f t="shared" si="1"/>
        <v>0</v>
      </c>
      <c r="O8" s="290">
        <v>0</v>
      </c>
      <c r="P8" s="205">
        <f t="shared" si="2"/>
        <v>0</v>
      </c>
      <c r="Q8" s="290">
        <v>0</v>
      </c>
      <c r="R8" s="205">
        <f t="shared" si="3"/>
        <v>0</v>
      </c>
      <c r="S8" s="39">
        <f t="shared" si="7"/>
        <v>92</v>
      </c>
      <c r="T8" s="38">
        <f t="shared" si="4"/>
        <v>2.3552</v>
      </c>
      <c r="U8" s="290">
        <v>0</v>
      </c>
      <c r="V8" s="13">
        <f t="shared" si="8"/>
        <v>0</v>
      </c>
      <c r="W8" s="294">
        <f t="shared" si="9"/>
        <v>92</v>
      </c>
      <c r="X8" s="295">
        <f t="shared" si="10"/>
        <v>2.3552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138</v>
      </c>
      <c r="C9" s="34">
        <v>140</v>
      </c>
      <c r="D9" s="35">
        <v>240</v>
      </c>
      <c r="E9" s="35">
        <v>5</v>
      </c>
      <c r="F9" s="19">
        <f t="shared" si="5"/>
        <v>0.16800000000000001</v>
      </c>
      <c r="G9" s="286">
        <v>91</v>
      </c>
      <c r="H9" s="288">
        <f t="shared" si="6"/>
        <v>15.288</v>
      </c>
      <c r="I9" s="290">
        <v>13</v>
      </c>
      <c r="J9" s="205">
        <f t="shared" si="0"/>
        <v>2.1840000000000002</v>
      </c>
      <c r="K9" s="290">
        <v>7</v>
      </c>
      <c r="L9" s="205">
        <f>F9*K9</f>
        <v>1.1760000000000002</v>
      </c>
      <c r="M9" s="290">
        <v>12</v>
      </c>
      <c r="N9" s="205">
        <f t="shared" si="1"/>
        <v>2.016</v>
      </c>
      <c r="O9" s="290">
        <v>3</v>
      </c>
      <c r="P9" s="205">
        <f t="shared" si="2"/>
        <v>0.504</v>
      </c>
      <c r="Q9" s="290">
        <v>0</v>
      </c>
      <c r="R9" s="205">
        <f t="shared" si="3"/>
        <v>0</v>
      </c>
      <c r="S9" s="39">
        <f t="shared" si="7"/>
        <v>56</v>
      </c>
      <c r="T9" s="38">
        <f t="shared" si="4"/>
        <v>9.4080000000000013</v>
      </c>
      <c r="U9" s="290">
        <v>200</v>
      </c>
      <c r="V9" s="13">
        <f t="shared" si="8"/>
        <v>33.6</v>
      </c>
      <c r="W9" s="294">
        <f t="shared" si="9"/>
        <v>256</v>
      </c>
      <c r="X9" s="295">
        <f t="shared" si="10"/>
        <v>43.008000000000003</v>
      </c>
      <c r="Y9" s="238">
        <v>100</v>
      </c>
      <c r="Z9" s="101">
        <v>250</v>
      </c>
    </row>
    <row r="10" spans="1:26" x14ac:dyDescent="0.25">
      <c r="A10" s="264">
        <v>6</v>
      </c>
      <c r="B10" s="256" t="s">
        <v>139</v>
      </c>
      <c r="C10" s="34">
        <v>142</v>
      </c>
      <c r="D10" s="35">
        <v>67</v>
      </c>
      <c r="E10" s="35">
        <v>5</v>
      </c>
      <c r="F10" s="19">
        <f t="shared" si="5"/>
        <v>4.7570000000000001E-2</v>
      </c>
      <c r="G10" s="286">
        <v>0</v>
      </c>
      <c r="H10" s="288">
        <f t="shared" si="6"/>
        <v>0</v>
      </c>
      <c r="I10" s="290">
        <v>0</v>
      </c>
      <c r="J10" s="205">
        <f t="shared" si="0"/>
        <v>0</v>
      </c>
      <c r="K10" s="290">
        <v>0</v>
      </c>
      <c r="L10" s="205">
        <f t="shared" ref="L10" si="11">F10*K10</f>
        <v>0</v>
      </c>
      <c r="M10" s="290">
        <v>0</v>
      </c>
      <c r="N10" s="205">
        <f t="shared" si="1"/>
        <v>0</v>
      </c>
      <c r="O10" s="290">
        <v>0</v>
      </c>
      <c r="P10" s="205">
        <f t="shared" si="2"/>
        <v>0</v>
      </c>
      <c r="Q10" s="290">
        <v>0</v>
      </c>
      <c r="R10" s="205">
        <f t="shared" si="3"/>
        <v>0</v>
      </c>
      <c r="S10" s="39">
        <f t="shared" si="7"/>
        <v>0</v>
      </c>
      <c r="T10" s="38">
        <f t="shared" si="4"/>
        <v>0</v>
      </c>
      <c r="U10" s="290">
        <v>0</v>
      </c>
      <c r="V10" s="13">
        <f t="shared" si="8"/>
        <v>0</v>
      </c>
      <c r="W10" s="294">
        <f t="shared" si="9"/>
        <v>0</v>
      </c>
      <c r="X10" s="295">
        <f t="shared" si="10"/>
        <v>0</v>
      </c>
      <c r="Y10" s="238">
        <v>75</v>
      </c>
      <c r="Z10" s="101">
        <v>250</v>
      </c>
    </row>
    <row r="11" spans="1:26" x14ac:dyDescent="0.25">
      <c r="A11" s="264">
        <v>7</v>
      </c>
      <c r="B11" s="256" t="s">
        <v>207</v>
      </c>
      <c r="C11" s="34">
        <v>87</v>
      </c>
      <c r="D11" s="35">
        <v>54</v>
      </c>
      <c r="E11" s="35">
        <v>5</v>
      </c>
      <c r="F11" s="19">
        <f t="shared" si="5"/>
        <v>2.349E-2</v>
      </c>
      <c r="G11" s="286">
        <v>24</v>
      </c>
      <c r="H11" s="288">
        <f t="shared" si="6"/>
        <v>0.56376000000000004</v>
      </c>
      <c r="I11" s="290">
        <v>0</v>
      </c>
      <c r="J11" s="205">
        <f t="shared" si="0"/>
        <v>0</v>
      </c>
      <c r="K11" s="290">
        <v>0</v>
      </c>
      <c r="L11" s="205">
        <f>F11*K11</f>
        <v>0</v>
      </c>
      <c r="M11" s="290">
        <v>0</v>
      </c>
      <c r="N11" s="21">
        <v>0</v>
      </c>
      <c r="O11" s="290">
        <v>0</v>
      </c>
      <c r="P11" s="21">
        <v>0</v>
      </c>
      <c r="Q11" s="290">
        <v>0</v>
      </c>
      <c r="R11" s="205">
        <f t="shared" si="3"/>
        <v>0</v>
      </c>
      <c r="S11" s="39">
        <f t="shared" si="7"/>
        <v>24</v>
      </c>
      <c r="T11" s="38">
        <f t="shared" si="4"/>
        <v>0.56376000000000004</v>
      </c>
      <c r="U11" s="290">
        <v>0</v>
      </c>
      <c r="V11" s="13">
        <f t="shared" si="8"/>
        <v>0</v>
      </c>
      <c r="W11" s="294">
        <f t="shared" si="9"/>
        <v>24</v>
      </c>
      <c r="X11" s="295">
        <f t="shared" si="10"/>
        <v>0.56376000000000004</v>
      </c>
      <c r="Y11" s="238">
        <v>50</v>
      </c>
      <c r="Z11" s="101">
        <v>100</v>
      </c>
    </row>
    <row r="12" spans="1:26" x14ac:dyDescent="0.25">
      <c r="A12" s="264">
        <v>8</v>
      </c>
      <c r="B12" s="256" t="s">
        <v>191</v>
      </c>
      <c r="C12" s="34">
        <v>75</v>
      </c>
      <c r="D12" s="35">
        <v>54</v>
      </c>
      <c r="E12" s="35">
        <v>5</v>
      </c>
      <c r="F12" s="19">
        <f t="shared" si="5"/>
        <v>2.0250000000000001E-2</v>
      </c>
      <c r="G12" s="286">
        <v>0</v>
      </c>
      <c r="H12" s="288">
        <f t="shared" si="6"/>
        <v>0</v>
      </c>
      <c r="I12" s="290">
        <v>0</v>
      </c>
      <c r="J12" s="205">
        <f t="shared" si="0"/>
        <v>0</v>
      </c>
      <c r="K12" s="290">
        <v>0</v>
      </c>
      <c r="L12" s="205">
        <f>F12*K12</f>
        <v>0</v>
      </c>
      <c r="M12" s="290">
        <v>0</v>
      </c>
      <c r="N12" s="205">
        <f>F12*M12</f>
        <v>0</v>
      </c>
      <c r="O12" s="290">
        <v>0</v>
      </c>
      <c r="P12" s="205">
        <f>F12*O12</f>
        <v>0</v>
      </c>
      <c r="Q12" s="290">
        <v>0</v>
      </c>
      <c r="R12" s="21">
        <v>0</v>
      </c>
      <c r="S12" s="39">
        <f t="shared" si="7"/>
        <v>0</v>
      </c>
      <c r="T12" s="38">
        <f t="shared" si="4"/>
        <v>0</v>
      </c>
      <c r="U12" s="290">
        <v>0</v>
      </c>
      <c r="V12" s="13">
        <f t="shared" si="8"/>
        <v>0</v>
      </c>
      <c r="W12" s="294">
        <f t="shared" si="9"/>
        <v>0</v>
      </c>
      <c r="X12" s="295">
        <f t="shared" si="10"/>
        <v>0</v>
      </c>
      <c r="Y12" s="238">
        <v>50</v>
      </c>
      <c r="Z12" s="101">
        <v>100</v>
      </c>
    </row>
    <row r="13" spans="1:26" x14ac:dyDescent="0.25">
      <c r="A13" s="264">
        <v>9</v>
      </c>
      <c r="B13" s="256" t="s">
        <v>142</v>
      </c>
      <c r="C13" s="34">
        <v>140</v>
      </c>
      <c r="D13" s="35">
        <v>240</v>
      </c>
      <c r="E13" s="35">
        <v>5</v>
      </c>
      <c r="F13" s="19">
        <f t="shared" si="5"/>
        <v>0.16800000000000001</v>
      </c>
      <c r="G13" s="286">
        <v>103</v>
      </c>
      <c r="H13" s="288">
        <f t="shared" si="6"/>
        <v>17.304000000000002</v>
      </c>
      <c r="I13" s="290">
        <v>23</v>
      </c>
      <c r="J13" s="205">
        <f t="shared" si="0"/>
        <v>3.8640000000000003</v>
      </c>
      <c r="K13" s="290">
        <v>17</v>
      </c>
      <c r="L13" s="205">
        <f>F13*K13</f>
        <v>2.8560000000000003</v>
      </c>
      <c r="M13" s="290">
        <v>10</v>
      </c>
      <c r="N13" s="205">
        <f>F13*M13</f>
        <v>1.6800000000000002</v>
      </c>
      <c r="O13" s="290">
        <v>3</v>
      </c>
      <c r="P13" s="205">
        <f>F13*O13</f>
        <v>0.504</v>
      </c>
      <c r="Q13" s="290">
        <v>0</v>
      </c>
      <c r="R13" s="205">
        <f>F13*Q13</f>
        <v>0</v>
      </c>
      <c r="S13" s="39">
        <f t="shared" si="7"/>
        <v>50</v>
      </c>
      <c r="T13" s="38">
        <f t="shared" si="4"/>
        <v>8.4</v>
      </c>
      <c r="U13" s="290">
        <v>0</v>
      </c>
      <c r="V13" s="13">
        <f t="shared" si="8"/>
        <v>0</v>
      </c>
      <c r="W13" s="294">
        <f t="shared" si="9"/>
        <v>50</v>
      </c>
      <c r="X13" s="295">
        <f t="shared" si="10"/>
        <v>8.4</v>
      </c>
      <c r="Y13" s="238">
        <v>100</v>
      </c>
      <c r="Z13" s="101">
        <v>300</v>
      </c>
    </row>
    <row r="14" spans="1:26" x14ac:dyDescent="0.25">
      <c r="A14" s="264">
        <v>10</v>
      </c>
      <c r="B14" s="256" t="s">
        <v>143</v>
      </c>
      <c r="C14" s="34">
        <v>90</v>
      </c>
      <c r="D14" s="35">
        <v>85</v>
      </c>
      <c r="E14" s="35">
        <v>5</v>
      </c>
      <c r="F14" s="19">
        <f t="shared" si="5"/>
        <v>3.8249999999999999E-2</v>
      </c>
      <c r="G14" s="286">
        <v>44</v>
      </c>
      <c r="H14" s="288">
        <f t="shared" si="6"/>
        <v>1.6830000000000001</v>
      </c>
      <c r="I14" s="290">
        <v>0</v>
      </c>
      <c r="J14" s="205">
        <f t="shared" si="0"/>
        <v>0</v>
      </c>
      <c r="K14" s="290">
        <v>0</v>
      </c>
      <c r="L14" s="205">
        <f t="shared" ref="L14:L20" si="12">F14*K14</f>
        <v>0</v>
      </c>
      <c r="M14" s="290">
        <v>0</v>
      </c>
      <c r="N14" s="205">
        <f>F14*M14</f>
        <v>0</v>
      </c>
      <c r="O14" s="290">
        <v>0</v>
      </c>
      <c r="P14" s="205">
        <f t="shared" si="0"/>
        <v>0</v>
      </c>
      <c r="Q14" s="290">
        <v>0</v>
      </c>
      <c r="R14" s="205">
        <f t="shared" si="0"/>
        <v>0</v>
      </c>
      <c r="S14" s="39">
        <f t="shared" si="7"/>
        <v>44</v>
      </c>
      <c r="T14" s="38">
        <f t="shared" si="4"/>
        <v>1.6830000000000001</v>
      </c>
      <c r="U14" s="290">
        <v>0</v>
      </c>
      <c r="V14" s="13">
        <f t="shared" si="8"/>
        <v>0</v>
      </c>
      <c r="W14" s="294">
        <f t="shared" si="9"/>
        <v>44</v>
      </c>
      <c r="X14" s="295">
        <f t="shared" si="10"/>
        <v>1.6830000000000001</v>
      </c>
      <c r="Y14" s="238">
        <v>50</v>
      </c>
      <c r="Z14" s="101">
        <v>100</v>
      </c>
    </row>
    <row r="15" spans="1:26" x14ac:dyDescent="0.25">
      <c r="A15" s="264">
        <v>11</v>
      </c>
      <c r="B15" s="256" t="s">
        <v>144</v>
      </c>
      <c r="C15" s="34">
        <v>140</v>
      </c>
      <c r="D15" s="35">
        <v>240</v>
      </c>
      <c r="E15" s="35">
        <v>5</v>
      </c>
      <c r="F15" s="19">
        <f t="shared" si="5"/>
        <v>0.16800000000000001</v>
      </c>
      <c r="G15" s="286">
        <v>10</v>
      </c>
      <c r="H15" s="288">
        <f t="shared" si="6"/>
        <v>1.6800000000000002</v>
      </c>
      <c r="I15" s="290">
        <v>8</v>
      </c>
      <c r="J15" s="205">
        <f t="shared" si="0"/>
        <v>1.3440000000000001</v>
      </c>
      <c r="K15" s="290">
        <v>3</v>
      </c>
      <c r="L15" s="205">
        <f t="shared" si="12"/>
        <v>0.504</v>
      </c>
      <c r="M15" s="290">
        <v>0</v>
      </c>
      <c r="N15" s="205">
        <f t="shared" ref="N15:N37" si="13">F15*M15</f>
        <v>0</v>
      </c>
      <c r="O15" s="290">
        <v>0</v>
      </c>
      <c r="P15" s="205">
        <f t="shared" ref="P15:P36" si="14">F15*O15</f>
        <v>0</v>
      </c>
      <c r="Q15" s="290">
        <v>0</v>
      </c>
      <c r="R15" s="205">
        <f t="shared" ref="R15:R20" si="15">F15*Q15</f>
        <v>0</v>
      </c>
      <c r="S15" s="39">
        <f t="shared" si="7"/>
        <v>-1</v>
      </c>
      <c r="T15" s="38">
        <f t="shared" si="4"/>
        <v>-0.16800000000000001</v>
      </c>
      <c r="U15" s="290">
        <v>15</v>
      </c>
      <c r="V15" s="13">
        <f t="shared" si="8"/>
        <v>2.52</v>
      </c>
      <c r="W15" s="294">
        <f t="shared" si="9"/>
        <v>14</v>
      </c>
      <c r="X15" s="295">
        <f t="shared" si="10"/>
        <v>2.3520000000000003</v>
      </c>
      <c r="Y15" s="238">
        <v>200</v>
      </c>
      <c r="Z15" s="101">
        <v>400</v>
      </c>
    </row>
    <row r="16" spans="1:26" x14ac:dyDescent="0.25">
      <c r="A16" s="264">
        <v>12</v>
      </c>
      <c r="B16" s="256" t="s">
        <v>145</v>
      </c>
      <c r="C16" s="34">
        <v>140</v>
      </c>
      <c r="D16" s="35">
        <v>240</v>
      </c>
      <c r="E16" s="35">
        <v>5</v>
      </c>
      <c r="F16" s="19">
        <f t="shared" si="5"/>
        <v>0.16800000000000001</v>
      </c>
      <c r="G16" s="286">
        <v>334</v>
      </c>
      <c r="H16" s="288">
        <f t="shared" si="6"/>
        <v>56.112000000000002</v>
      </c>
      <c r="I16" s="290">
        <v>23</v>
      </c>
      <c r="J16" s="205">
        <f t="shared" si="0"/>
        <v>3.8640000000000003</v>
      </c>
      <c r="K16" s="290">
        <v>8</v>
      </c>
      <c r="L16" s="205">
        <f t="shared" si="12"/>
        <v>1.3440000000000001</v>
      </c>
      <c r="M16" s="290">
        <v>7</v>
      </c>
      <c r="N16" s="205">
        <f t="shared" si="13"/>
        <v>1.1760000000000002</v>
      </c>
      <c r="O16" s="290">
        <v>4</v>
      </c>
      <c r="P16" s="205">
        <f t="shared" si="14"/>
        <v>0.67200000000000004</v>
      </c>
      <c r="Q16" s="290">
        <v>0</v>
      </c>
      <c r="R16" s="205">
        <f t="shared" si="15"/>
        <v>0</v>
      </c>
      <c r="S16" s="39">
        <f t="shared" si="7"/>
        <v>292</v>
      </c>
      <c r="T16" s="38">
        <f t="shared" si="4"/>
        <v>49.056000000000004</v>
      </c>
      <c r="U16" s="290">
        <v>0</v>
      </c>
      <c r="V16" s="13">
        <f t="shared" si="8"/>
        <v>0</v>
      </c>
      <c r="W16" s="294">
        <f t="shared" si="9"/>
        <v>292</v>
      </c>
      <c r="X16" s="295">
        <f t="shared" si="10"/>
        <v>49.056000000000004</v>
      </c>
      <c r="Y16" s="238">
        <v>200</v>
      </c>
      <c r="Z16" s="101">
        <v>500</v>
      </c>
    </row>
    <row r="17" spans="1:26" x14ac:dyDescent="0.25">
      <c r="A17" s="264">
        <v>13</v>
      </c>
      <c r="B17" s="256" t="s">
        <v>146</v>
      </c>
      <c r="C17" s="34">
        <v>140</v>
      </c>
      <c r="D17" s="35">
        <v>240</v>
      </c>
      <c r="E17" s="35">
        <v>8</v>
      </c>
      <c r="F17" s="19">
        <f t="shared" si="5"/>
        <v>0.26879999999999998</v>
      </c>
      <c r="G17" s="286">
        <v>44</v>
      </c>
      <c r="H17" s="288">
        <f t="shared" si="6"/>
        <v>11.827199999999999</v>
      </c>
      <c r="I17" s="290">
        <v>18</v>
      </c>
      <c r="J17" s="205">
        <f t="shared" si="0"/>
        <v>4.8384</v>
      </c>
      <c r="K17" s="290">
        <v>7</v>
      </c>
      <c r="L17" s="205">
        <f t="shared" si="12"/>
        <v>1.8815999999999999</v>
      </c>
      <c r="M17" s="290">
        <v>0</v>
      </c>
      <c r="N17" s="205">
        <f t="shared" si="13"/>
        <v>0</v>
      </c>
      <c r="O17" s="290">
        <v>0</v>
      </c>
      <c r="P17" s="205">
        <f t="shared" si="14"/>
        <v>0</v>
      </c>
      <c r="Q17" s="290">
        <v>0</v>
      </c>
      <c r="R17" s="205">
        <f t="shared" si="15"/>
        <v>0</v>
      </c>
      <c r="S17" s="39">
        <f t="shared" si="7"/>
        <v>19</v>
      </c>
      <c r="T17" s="38">
        <f t="shared" si="4"/>
        <v>5.1071999999999997</v>
      </c>
      <c r="U17" s="290">
        <v>78</v>
      </c>
      <c r="V17" s="13">
        <f t="shared" si="8"/>
        <v>20.9664</v>
      </c>
      <c r="W17" s="294">
        <f t="shared" si="9"/>
        <v>97</v>
      </c>
      <c r="X17" s="295">
        <f t="shared" si="10"/>
        <v>26.073599999999999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147</v>
      </c>
      <c r="C18" s="34">
        <v>77</v>
      </c>
      <c r="D18" s="35">
        <v>86</v>
      </c>
      <c r="E18" s="35">
        <v>8</v>
      </c>
      <c r="F18" s="19">
        <f t="shared" si="5"/>
        <v>5.2976000000000002E-2</v>
      </c>
      <c r="G18" s="286">
        <v>34</v>
      </c>
      <c r="H18" s="288">
        <f t="shared" si="6"/>
        <v>1.8011840000000001</v>
      </c>
      <c r="I18" s="290">
        <v>0</v>
      </c>
      <c r="J18" s="205">
        <f t="shared" si="0"/>
        <v>0</v>
      </c>
      <c r="K18" s="290">
        <v>0</v>
      </c>
      <c r="L18" s="205">
        <f t="shared" si="12"/>
        <v>0</v>
      </c>
      <c r="M18" s="290">
        <v>16</v>
      </c>
      <c r="N18" s="205">
        <f t="shared" si="13"/>
        <v>0.84761600000000004</v>
      </c>
      <c r="O18" s="290">
        <v>0</v>
      </c>
      <c r="P18" s="205">
        <f t="shared" si="14"/>
        <v>0</v>
      </c>
      <c r="Q18" s="290">
        <v>0</v>
      </c>
      <c r="R18" s="205">
        <f t="shared" si="15"/>
        <v>0</v>
      </c>
      <c r="S18" s="39">
        <f t="shared" si="7"/>
        <v>18</v>
      </c>
      <c r="T18" s="38">
        <f t="shared" si="4"/>
        <v>0.95356800000000008</v>
      </c>
      <c r="U18" s="290">
        <v>16</v>
      </c>
      <c r="V18" s="13">
        <f t="shared" si="8"/>
        <v>0.84761600000000004</v>
      </c>
      <c r="W18" s="294">
        <f t="shared" si="9"/>
        <v>34</v>
      </c>
      <c r="X18" s="295">
        <f t="shared" si="10"/>
        <v>1.8011840000000001</v>
      </c>
      <c r="Y18" s="238">
        <v>100</v>
      </c>
      <c r="Z18" s="101">
        <v>300</v>
      </c>
    </row>
    <row r="19" spans="1:26" x14ac:dyDescent="0.25">
      <c r="A19" s="264">
        <v>15</v>
      </c>
      <c r="B19" s="256" t="s">
        <v>148</v>
      </c>
      <c r="C19" s="34">
        <v>77</v>
      </c>
      <c r="D19" s="35">
        <v>68</v>
      </c>
      <c r="E19" s="35">
        <v>8</v>
      </c>
      <c r="F19" s="19">
        <f t="shared" si="5"/>
        <v>4.1888000000000002E-2</v>
      </c>
      <c r="G19" s="286">
        <v>174</v>
      </c>
      <c r="H19" s="288">
        <f t="shared" si="6"/>
        <v>7.2885119999999999</v>
      </c>
      <c r="I19" s="290">
        <v>51</v>
      </c>
      <c r="J19" s="205">
        <f t="shared" si="0"/>
        <v>2.136288</v>
      </c>
      <c r="K19" s="290">
        <v>7</v>
      </c>
      <c r="L19" s="205">
        <f t="shared" si="12"/>
        <v>0.29321600000000003</v>
      </c>
      <c r="M19" s="290">
        <v>132</v>
      </c>
      <c r="N19" s="205">
        <f t="shared" si="13"/>
        <v>5.5292159999999999</v>
      </c>
      <c r="O19" s="290">
        <v>16</v>
      </c>
      <c r="P19" s="205">
        <f t="shared" si="14"/>
        <v>0.67020800000000003</v>
      </c>
      <c r="Q19" s="290">
        <v>0</v>
      </c>
      <c r="R19" s="205">
        <f t="shared" si="15"/>
        <v>0</v>
      </c>
      <c r="S19" s="39">
        <f t="shared" si="7"/>
        <v>-32</v>
      </c>
      <c r="T19" s="38">
        <f t="shared" si="4"/>
        <v>-1.3404160000000001</v>
      </c>
      <c r="U19" s="290">
        <v>171</v>
      </c>
      <c r="V19" s="13">
        <f t="shared" si="8"/>
        <v>7.1628480000000003</v>
      </c>
      <c r="W19" s="294">
        <f t="shared" si="9"/>
        <v>139</v>
      </c>
      <c r="X19" s="295">
        <f t="shared" si="10"/>
        <v>5.8224320000000001</v>
      </c>
      <c r="Y19" s="238">
        <v>100</v>
      </c>
      <c r="Z19" s="101">
        <v>300</v>
      </c>
    </row>
    <row r="20" spans="1:26" x14ac:dyDescent="0.25">
      <c r="A20" s="264">
        <v>16</v>
      </c>
      <c r="B20" s="256" t="s">
        <v>149</v>
      </c>
      <c r="C20" s="34">
        <v>76</v>
      </c>
      <c r="D20" s="35">
        <v>75</v>
      </c>
      <c r="E20" s="35">
        <v>8</v>
      </c>
      <c r="F20" s="19">
        <f t="shared" si="5"/>
        <v>4.5600000000000002E-2</v>
      </c>
      <c r="G20" s="286">
        <v>7</v>
      </c>
      <c r="H20" s="288">
        <f t="shared" si="6"/>
        <v>0.31920000000000004</v>
      </c>
      <c r="I20" s="290">
        <v>0</v>
      </c>
      <c r="J20" s="205">
        <f t="shared" si="0"/>
        <v>0</v>
      </c>
      <c r="K20" s="290">
        <v>7</v>
      </c>
      <c r="L20" s="205">
        <f t="shared" si="12"/>
        <v>0.31920000000000004</v>
      </c>
      <c r="M20" s="290">
        <v>0</v>
      </c>
      <c r="N20" s="205">
        <f t="shared" si="13"/>
        <v>0</v>
      </c>
      <c r="O20" s="290">
        <v>0</v>
      </c>
      <c r="P20" s="205">
        <f t="shared" si="14"/>
        <v>0</v>
      </c>
      <c r="Q20" s="290">
        <v>0</v>
      </c>
      <c r="R20" s="205">
        <f t="shared" si="15"/>
        <v>0</v>
      </c>
      <c r="S20" s="39">
        <f t="shared" si="7"/>
        <v>0</v>
      </c>
      <c r="T20" s="38">
        <f t="shared" si="4"/>
        <v>0</v>
      </c>
      <c r="U20" s="290">
        <v>168</v>
      </c>
      <c r="V20" s="13">
        <f t="shared" si="8"/>
        <v>7.6608000000000001</v>
      </c>
      <c r="W20" s="294">
        <f t="shared" si="9"/>
        <v>168</v>
      </c>
      <c r="X20" s="295">
        <f t="shared" si="10"/>
        <v>7.6608000000000001</v>
      </c>
      <c r="Y20" s="238">
        <v>100</v>
      </c>
      <c r="Z20" s="101">
        <v>300</v>
      </c>
    </row>
    <row r="21" spans="1:26" x14ac:dyDescent="0.25">
      <c r="A21" s="264">
        <v>17</v>
      </c>
      <c r="B21" s="256" t="s">
        <v>150</v>
      </c>
      <c r="C21" s="34">
        <v>60</v>
      </c>
      <c r="D21" s="35">
        <v>63</v>
      </c>
      <c r="E21" s="35">
        <v>10</v>
      </c>
      <c r="F21" s="19">
        <f t="shared" si="5"/>
        <v>3.78E-2</v>
      </c>
      <c r="G21" s="286">
        <v>856</v>
      </c>
      <c r="H21" s="288">
        <f t="shared" si="6"/>
        <v>32.3568</v>
      </c>
      <c r="I21" s="290">
        <v>0</v>
      </c>
      <c r="J21" s="205">
        <f t="shared" si="0"/>
        <v>0</v>
      </c>
      <c r="K21" s="290">
        <v>0</v>
      </c>
      <c r="L21" s="205">
        <f t="shared" si="0"/>
        <v>0</v>
      </c>
      <c r="M21" s="290">
        <v>0</v>
      </c>
      <c r="N21" s="21">
        <v>0</v>
      </c>
      <c r="O21" s="290">
        <v>0</v>
      </c>
      <c r="P21" s="205">
        <f t="shared" si="14"/>
        <v>0</v>
      </c>
      <c r="Q21" s="290">
        <v>0</v>
      </c>
      <c r="R21" s="21">
        <v>0</v>
      </c>
      <c r="S21" s="39">
        <f t="shared" si="7"/>
        <v>856</v>
      </c>
      <c r="T21" s="38">
        <f t="shared" si="4"/>
        <v>32.3568</v>
      </c>
      <c r="U21" s="290">
        <v>0</v>
      </c>
      <c r="V21" s="13">
        <f t="shared" si="8"/>
        <v>0</v>
      </c>
      <c r="W21" s="294">
        <f t="shared" si="9"/>
        <v>856</v>
      </c>
      <c r="X21" s="295">
        <f t="shared" si="10"/>
        <v>32.3568</v>
      </c>
      <c r="Y21" s="238">
        <v>50</v>
      </c>
      <c r="Z21" s="101">
        <v>200</v>
      </c>
    </row>
    <row r="22" spans="1:26" x14ac:dyDescent="0.25">
      <c r="A22" s="264">
        <v>18</v>
      </c>
      <c r="B22" s="256" t="s">
        <v>151</v>
      </c>
      <c r="C22" s="34">
        <v>63</v>
      </c>
      <c r="D22" s="35">
        <v>60</v>
      </c>
      <c r="E22" s="35">
        <v>3</v>
      </c>
      <c r="F22" s="19">
        <f t="shared" si="5"/>
        <v>1.1339999999999999E-2</v>
      </c>
      <c r="G22" s="286">
        <v>180</v>
      </c>
      <c r="H22" s="288">
        <f t="shared" si="6"/>
        <v>2.0411999999999999</v>
      </c>
      <c r="I22" s="290">
        <v>0</v>
      </c>
      <c r="J22" s="205">
        <f t="shared" si="0"/>
        <v>0</v>
      </c>
      <c r="K22" s="290">
        <v>8</v>
      </c>
      <c r="L22" s="205">
        <f>F22*K22</f>
        <v>9.0719999999999995E-2</v>
      </c>
      <c r="M22" s="290">
        <v>0</v>
      </c>
      <c r="N22" s="205">
        <f t="shared" si="13"/>
        <v>0</v>
      </c>
      <c r="O22" s="290">
        <v>0</v>
      </c>
      <c r="P22" s="205">
        <f t="shared" si="14"/>
        <v>0</v>
      </c>
      <c r="Q22" s="290">
        <v>0</v>
      </c>
      <c r="R22" s="21">
        <v>0</v>
      </c>
      <c r="S22" s="39">
        <f t="shared" si="7"/>
        <v>172</v>
      </c>
      <c r="T22" s="38">
        <f t="shared" si="4"/>
        <v>1.95048</v>
      </c>
      <c r="U22" s="290">
        <v>27</v>
      </c>
      <c r="V22" s="13">
        <f t="shared" si="8"/>
        <v>0.30618000000000001</v>
      </c>
      <c r="W22" s="294">
        <f t="shared" si="9"/>
        <v>199</v>
      </c>
      <c r="X22" s="295">
        <f t="shared" si="10"/>
        <v>2.2566599999999997</v>
      </c>
      <c r="Y22" s="238">
        <v>50</v>
      </c>
      <c r="Z22" s="101">
        <v>200</v>
      </c>
    </row>
    <row r="23" spans="1:26" x14ac:dyDescent="0.25">
      <c r="A23" s="264">
        <v>19</v>
      </c>
      <c r="B23" s="42" t="s">
        <v>152</v>
      </c>
      <c r="C23" s="34">
        <v>140</v>
      </c>
      <c r="D23" s="35">
        <v>240</v>
      </c>
      <c r="E23" s="35">
        <v>1.4</v>
      </c>
      <c r="F23" s="19">
        <f t="shared" si="5"/>
        <v>4.7039999999999998E-2</v>
      </c>
      <c r="G23" s="286">
        <v>779</v>
      </c>
      <c r="H23" s="288">
        <f t="shared" si="6"/>
        <v>36.644159999999999</v>
      </c>
      <c r="I23" s="290">
        <v>111</v>
      </c>
      <c r="J23" s="205">
        <f t="shared" si="0"/>
        <v>5.2214399999999994</v>
      </c>
      <c r="K23" s="290">
        <v>80</v>
      </c>
      <c r="L23" s="205">
        <f t="shared" ref="L23:L36" si="16">F23*K23</f>
        <v>3.7631999999999999</v>
      </c>
      <c r="M23" s="290">
        <v>63</v>
      </c>
      <c r="N23" s="205">
        <f t="shared" si="13"/>
        <v>2.9635199999999999</v>
      </c>
      <c r="O23" s="290">
        <v>110</v>
      </c>
      <c r="P23" s="205">
        <f t="shared" si="14"/>
        <v>5.1743999999999994</v>
      </c>
      <c r="Q23" s="290">
        <v>0</v>
      </c>
      <c r="R23" s="205">
        <f t="shared" ref="R23:R37" si="17">F23*Q23</f>
        <v>0</v>
      </c>
      <c r="S23" s="39">
        <f t="shared" si="7"/>
        <v>415</v>
      </c>
      <c r="T23" s="38">
        <f t="shared" si="4"/>
        <v>19.521599999999999</v>
      </c>
      <c r="U23" s="290">
        <v>431</v>
      </c>
      <c r="V23" s="13">
        <f t="shared" si="8"/>
        <v>20.274239999999999</v>
      </c>
      <c r="W23" s="294">
        <f t="shared" si="9"/>
        <v>846</v>
      </c>
      <c r="X23" s="295">
        <f t="shared" si="10"/>
        <v>39.795839999999998</v>
      </c>
      <c r="Y23" s="238">
        <v>200</v>
      </c>
      <c r="Z23" s="101">
        <v>500</v>
      </c>
    </row>
    <row r="24" spans="1:26" x14ac:dyDescent="0.25">
      <c r="A24" s="264">
        <v>20</v>
      </c>
      <c r="B24" s="256" t="s">
        <v>3</v>
      </c>
      <c r="C24" s="34">
        <v>140</v>
      </c>
      <c r="D24" s="35">
        <v>240</v>
      </c>
      <c r="E24" s="35">
        <v>0.8</v>
      </c>
      <c r="F24" s="19">
        <f t="shared" si="5"/>
        <v>2.6880000000000001E-2</v>
      </c>
      <c r="G24" s="286">
        <v>197</v>
      </c>
      <c r="H24" s="288">
        <f t="shared" si="6"/>
        <v>5.2953600000000005</v>
      </c>
      <c r="I24" s="290">
        <v>64</v>
      </c>
      <c r="J24" s="205">
        <f t="shared" si="0"/>
        <v>1.7203200000000001</v>
      </c>
      <c r="K24" s="290">
        <v>11</v>
      </c>
      <c r="L24" s="205">
        <f t="shared" si="16"/>
        <v>0.29568</v>
      </c>
      <c r="M24" s="290">
        <v>178</v>
      </c>
      <c r="N24" s="205">
        <f t="shared" si="13"/>
        <v>4.7846400000000004</v>
      </c>
      <c r="O24" s="290">
        <v>34</v>
      </c>
      <c r="P24" s="205">
        <f t="shared" si="14"/>
        <v>0.91392000000000007</v>
      </c>
      <c r="Q24" s="290">
        <v>0</v>
      </c>
      <c r="R24" s="205">
        <f t="shared" si="17"/>
        <v>0</v>
      </c>
      <c r="S24" s="39">
        <f t="shared" si="7"/>
        <v>-90</v>
      </c>
      <c r="T24" s="38">
        <f t="shared" si="4"/>
        <v>-2.4192</v>
      </c>
      <c r="U24" s="290">
        <v>366</v>
      </c>
      <c r="V24" s="13">
        <f t="shared" si="8"/>
        <v>9.8380799999999997</v>
      </c>
      <c r="W24" s="294">
        <f t="shared" si="9"/>
        <v>276</v>
      </c>
      <c r="X24" s="295">
        <f t="shared" si="10"/>
        <v>7.4188800000000006</v>
      </c>
      <c r="Y24" s="238">
        <v>100</v>
      </c>
      <c r="Z24" s="101">
        <v>300</v>
      </c>
    </row>
    <row r="25" spans="1:26" x14ac:dyDescent="0.25">
      <c r="A25" s="264">
        <v>21</v>
      </c>
      <c r="B25" s="256" t="s">
        <v>153</v>
      </c>
      <c r="C25" s="34">
        <v>58</v>
      </c>
      <c r="D25" s="35">
        <v>58</v>
      </c>
      <c r="E25" s="35">
        <v>2.2999999999999998</v>
      </c>
      <c r="F25" s="19">
        <f t="shared" si="5"/>
        <v>7.7371999999999996E-3</v>
      </c>
      <c r="G25" s="286">
        <v>348</v>
      </c>
      <c r="H25" s="288">
        <f t="shared" si="6"/>
        <v>2.6925455999999999</v>
      </c>
      <c r="I25" s="290">
        <v>0</v>
      </c>
      <c r="J25" s="205">
        <f t="shared" si="0"/>
        <v>0</v>
      </c>
      <c r="K25" s="290">
        <v>30</v>
      </c>
      <c r="L25" s="205">
        <f t="shared" si="16"/>
        <v>0.23211599999999999</v>
      </c>
      <c r="M25" s="290">
        <v>0</v>
      </c>
      <c r="N25" s="205">
        <f t="shared" si="13"/>
        <v>0</v>
      </c>
      <c r="O25" s="290">
        <v>100</v>
      </c>
      <c r="P25" s="205">
        <f t="shared" si="14"/>
        <v>0.77371999999999996</v>
      </c>
      <c r="Q25" s="290">
        <v>0</v>
      </c>
      <c r="R25" s="205">
        <f t="shared" si="17"/>
        <v>0</v>
      </c>
      <c r="S25" s="39">
        <f t="shared" si="7"/>
        <v>218</v>
      </c>
      <c r="T25" s="38">
        <f t="shared" si="4"/>
        <v>1.6867095999999999</v>
      </c>
      <c r="U25" s="290">
        <v>450</v>
      </c>
      <c r="V25" s="13">
        <f t="shared" si="8"/>
        <v>3.4817399999999998</v>
      </c>
      <c r="W25" s="294">
        <f t="shared" si="9"/>
        <v>668</v>
      </c>
      <c r="X25" s="295">
        <f t="shared" si="10"/>
        <v>5.1684495999999998</v>
      </c>
      <c r="Y25" s="238">
        <v>200</v>
      </c>
      <c r="Z25" s="101">
        <v>750</v>
      </c>
    </row>
    <row r="26" spans="1:26" x14ac:dyDescent="0.25">
      <c r="A26" s="264">
        <v>22</v>
      </c>
      <c r="B26" s="256" t="s">
        <v>154</v>
      </c>
      <c r="C26" s="34">
        <v>140</v>
      </c>
      <c r="D26" s="35">
        <v>240</v>
      </c>
      <c r="E26" s="35">
        <v>7</v>
      </c>
      <c r="F26" s="19">
        <f t="shared" si="5"/>
        <v>0.23519999999999999</v>
      </c>
      <c r="G26" s="286">
        <v>23</v>
      </c>
      <c r="H26" s="288">
        <f t="shared" si="6"/>
        <v>5.4096000000000002</v>
      </c>
      <c r="I26" s="290">
        <v>7</v>
      </c>
      <c r="J26" s="205">
        <f t="shared" si="0"/>
        <v>1.6463999999999999</v>
      </c>
      <c r="K26" s="290">
        <v>7</v>
      </c>
      <c r="L26" s="205">
        <f t="shared" si="16"/>
        <v>1.6463999999999999</v>
      </c>
      <c r="M26" s="290">
        <v>14</v>
      </c>
      <c r="N26" s="205">
        <f t="shared" si="13"/>
        <v>3.2927999999999997</v>
      </c>
      <c r="O26" s="290">
        <v>18</v>
      </c>
      <c r="P26" s="205">
        <f t="shared" si="14"/>
        <v>4.2336</v>
      </c>
      <c r="Q26" s="290">
        <v>0</v>
      </c>
      <c r="R26" s="205">
        <f t="shared" si="17"/>
        <v>0</v>
      </c>
      <c r="S26" s="39">
        <f t="shared" si="7"/>
        <v>-23</v>
      </c>
      <c r="T26" s="38">
        <f t="shared" si="4"/>
        <v>-5.4096000000000002</v>
      </c>
      <c r="U26" s="290">
        <v>98</v>
      </c>
      <c r="V26" s="13">
        <f t="shared" si="8"/>
        <v>23.049599999999998</v>
      </c>
      <c r="W26" s="294">
        <f t="shared" si="9"/>
        <v>75</v>
      </c>
      <c r="X26" s="295">
        <f t="shared" si="10"/>
        <v>17.64</v>
      </c>
      <c r="Y26" s="238">
        <v>50</v>
      </c>
      <c r="Z26" s="101">
        <v>200</v>
      </c>
    </row>
    <row r="27" spans="1:26" ht="15.75" x14ac:dyDescent="0.25">
      <c r="A27" s="264">
        <v>23</v>
      </c>
      <c r="B27" s="256" t="s">
        <v>55</v>
      </c>
      <c r="C27" s="111">
        <v>50</v>
      </c>
      <c r="D27" s="112">
        <v>45</v>
      </c>
      <c r="E27" s="112">
        <v>4</v>
      </c>
      <c r="F27" s="19">
        <f t="shared" si="5"/>
        <v>8.9999999999999993E-3</v>
      </c>
      <c r="G27" s="286">
        <v>1984</v>
      </c>
      <c r="H27" s="288">
        <f t="shared" si="6"/>
        <v>17.855999999999998</v>
      </c>
      <c r="I27" s="290">
        <v>0</v>
      </c>
      <c r="J27" s="205">
        <f t="shared" si="0"/>
        <v>0</v>
      </c>
      <c r="K27" s="290">
        <v>40</v>
      </c>
      <c r="L27" s="205">
        <f t="shared" si="16"/>
        <v>0.36</v>
      </c>
      <c r="M27" s="290">
        <v>0</v>
      </c>
      <c r="N27" s="205">
        <f t="shared" si="13"/>
        <v>0</v>
      </c>
      <c r="O27" s="290">
        <v>0</v>
      </c>
      <c r="P27" s="205">
        <f t="shared" si="14"/>
        <v>0</v>
      </c>
      <c r="Q27" s="290">
        <v>0</v>
      </c>
      <c r="R27" s="205">
        <f t="shared" si="17"/>
        <v>0</v>
      </c>
      <c r="S27" s="39">
        <f t="shared" si="7"/>
        <v>1944</v>
      </c>
      <c r="T27" s="38">
        <f t="shared" si="4"/>
        <v>17.495999999999999</v>
      </c>
      <c r="U27" s="290">
        <v>0</v>
      </c>
      <c r="V27" s="13">
        <f t="shared" si="8"/>
        <v>0</v>
      </c>
      <c r="W27" s="294">
        <f t="shared" si="9"/>
        <v>1944</v>
      </c>
      <c r="X27" s="295">
        <f t="shared" si="10"/>
        <v>17.495999999999999</v>
      </c>
      <c r="Y27" s="238">
        <v>300</v>
      </c>
      <c r="Z27" s="101">
        <v>1000</v>
      </c>
    </row>
    <row r="28" spans="1:26" ht="15.75" x14ac:dyDescent="0.25">
      <c r="A28" s="264">
        <v>24</v>
      </c>
      <c r="B28" s="256" t="s">
        <v>56</v>
      </c>
      <c r="C28" s="111">
        <v>50</v>
      </c>
      <c r="D28" s="112">
        <v>35</v>
      </c>
      <c r="E28" s="112">
        <v>4</v>
      </c>
      <c r="F28" s="19">
        <f t="shared" si="5"/>
        <v>7.0000000000000001E-3</v>
      </c>
      <c r="G28" s="286">
        <v>718</v>
      </c>
      <c r="H28" s="288">
        <f t="shared" si="6"/>
        <v>5.0259999999999998</v>
      </c>
      <c r="I28" s="290">
        <v>0</v>
      </c>
      <c r="J28" s="205">
        <f t="shared" si="0"/>
        <v>0</v>
      </c>
      <c r="K28" s="290">
        <v>450</v>
      </c>
      <c r="L28" s="205">
        <f t="shared" si="16"/>
        <v>3.15</v>
      </c>
      <c r="M28" s="290">
        <v>0</v>
      </c>
      <c r="N28" s="205">
        <f t="shared" si="13"/>
        <v>0</v>
      </c>
      <c r="O28" s="290">
        <v>0</v>
      </c>
      <c r="P28" s="205">
        <f t="shared" si="14"/>
        <v>0</v>
      </c>
      <c r="Q28" s="290">
        <v>0</v>
      </c>
      <c r="R28" s="205">
        <f t="shared" si="17"/>
        <v>0</v>
      </c>
      <c r="S28" s="39">
        <f t="shared" si="7"/>
        <v>268</v>
      </c>
      <c r="T28" s="38">
        <f t="shared" si="4"/>
        <v>1.8760000000000001</v>
      </c>
      <c r="U28" s="290">
        <v>0</v>
      </c>
      <c r="V28" s="13">
        <f t="shared" si="8"/>
        <v>0</v>
      </c>
      <c r="W28" s="294">
        <f t="shared" si="9"/>
        <v>268</v>
      </c>
      <c r="X28" s="295">
        <f t="shared" si="10"/>
        <v>1.8760000000000001</v>
      </c>
      <c r="Y28" s="238">
        <v>300</v>
      </c>
      <c r="Z28" s="101">
        <v>1000</v>
      </c>
    </row>
    <row r="29" spans="1:26" ht="15.75" x14ac:dyDescent="0.25">
      <c r="A29" s="264">
        <v>25</v>
      </c>
      <c r="B29" s="256" t="s">
        <v>57</v>
      </c>
      <c r="C29" s="111">
        <v>45</v>
      </c>
      <c r="D29" s="112">
        <v>44</v>
      </c>
      <c r="E29" s="112">
        <v>3</v>
      </c>
      <c r="F29" s="19">
        <f t="shared" si="5"/>
        <v>5.94E-3</v>
      </c>
      <c r="G29" s="286">
        <v>2236</v>
      </c>
      <c r="H29" s="288">
        <f t="shared" si="6"/>
        <v>13.281840000000001</v>
      </c>
      <c r="I29" s="290">
        <v>0</v>
      </c>
      <c r="J29" s="205">
        <f t="shared" si="0"/>
        <v>0</v>
      </c>
      <c r="K29" s="290">
        <v>350</v>
      </c>
      <c r="L29" s="205">
        <f t="shared" si="16"/>
        <v>2.0790000000000002</v>
      </c>
      <c r="M29" s="290">
        <v>0</v>
      </c>
      <c r="N29" s="205">
        <f t="shared" si="13"/>
        <v>0</v>
      </c>
      <c r="O29" s="290">
        <v>180</v>
      </c>
      <c r="P29" s="205">
        <f t="shared" si="14"/>
        <v>1.0691999999999999</v>
      </c>
      <c r="Q29" s="290">
        <v>0</v>
      </c>
      <c r="R29" s="205">
        <f t="shared" si="17"/>
        <v>0</v>
      </c>
      <c r="S29" s="39">
        <f t="shared" si="7"/>
        <v>1706</v>
      </c>
      <c r="T29" s="38">
        <f t="shared" si="4"/>
        <v>10.13364</v>
      </c>
      <c r="U29" s="290">
        <v>0</v>
      </c>
      <c r="V29" s="13">
        <f t="shared" si="8"/>
        <v>0</v>
      </c>
      <c r="W29" s="294">
        <f t="shared" si="9"/>
        <v>1706</v>
      </c>
      <c r="X29" s="295">
        <f t="shared" si="10"/>
        <v>10.13364</v>
      </c>
      <c r="Y29" s="238">
        <v>500</v>
      </c>
      <c r="Z29" s="101">
        <v>1500</v>
      </c>
    </row>
    <row r="30" spans="1:26" ht="15.75" x14ac:dyDescent="0.25">
      <c r="A30" s="264">
        <v>26</v>
      </c>
      <c r="B30" s="256" t="s">
        <v>58</v>
      </c>
      <c r="C30" s="111">
        <v>45</v>
      </c>
      <c r="D30" s="112">
        <v>35.5</v>
      </c>
      <c r="E30" s="112">
        <v>3</v>
      </c>
      <c r="F30" s="19">
        <f t="shared" si="5"/>
        <v>4.7924999999999999E-3</v>
      </c>
      <c r="G30" s="286">
        <v>2079</v>
      </c>
      <c r="H30" s="288">
        <f t="shared" si="6"/>
        <v>9.9636075000000002</v>
      </c>
      <c r="I30" s="290">
        <v>0</v>
      </c>
      <c r="J30" s="205">
        <f t="shared" si="0"/>
        <v>0</v>
      </c>
      <c r="K30" s="290">
        <v>0</v>
      </c>
      <c r="L30" s="205">
        <f t="shared" si="16"/>
        <v>0</v>
      </c>
      <c r="M30" s="290">
        <v>0</v>
      </c>
      <c r="N30" s="205">
        <f t="shared" si="13"/>
        <v>0</v>
      </c>
      <c r="O30" s="290">
        <v>180</v>
      </c>
      <c r="P30" s="205">
        <f t="shared" si="14"/>
        <v>0.86265000000000003</v>
      </c>
      <c r="Q30" s="290">
        <v>0</v>
      </c>
      <c r="R30" s="205">
        <f t="shared" si="17"/>
        <v>0</v>
      </c>
      <c r="S30" s="39">
        <f t="shared" si="7"/>
        <v>1899</v>
      </c>
      <c r="T30" s="38">
        <f t="shared" si="4"/>
        <v>9.1009574999999998</v>
      </c>
      <c r="U30" s="290">
        <v>0</v>
      </c>
      <c r="V30" s="13">
        <f t="shared" si="8"/>
        <v>0</v>
      </c>
      <c r="W30" s="294">
        <f t="shared" si="9"/>
        <v>1899</v>
      </c>
      <c r="X30" s="295">
        <f t="shared" si="10"/>
        <v>9.1009574999999998</v>
      </c>
      <c r="Y30" s="238">
        <v>500</v>
      </c>
      <c r="Z30" s="101">
        <v>1500</v>
      </c>
    </row>
    <row r="31" spans="1:26" x14ac:dyDescent="0.25">
      <c r="A31" s="264">
        <v>27</v>
      </c>
      <c r="B31" s="256" t="s">
        <v>155</v>
      </c>
      <c r="C31" s="34">
        <v>140</v>
      </c>
      <c r="D31" s="35">
        <v>9.5</v>
      </c>
      <c r="E31" s="35">
        <v>6.5</v>
      </c>
      <c r="F31" s="19">
        <f t="shared" si="5"/>
        <v>8.6449999999999999E-3</v>
      </c>
      <c r="G31" s="286">
        <v>2049</v>
      </c>
      <c r="H31" s="288">
        <f t="shared" si="6"/>
        <v>17.713605000000001</v>
      </c>
      <c r="I31" s="290">
        <v>0</v>
      </c>
      <c r="J31" s="205">
        <f t="shared" si="0"/>
        <v>0</v>
      </c>
      <c r="K31" s="290">
        <v>16</v>
      </c>
      <c r="L31" s="205">
        <f t="shared" si="16"/>
        <v>0.13832</v>
      </c>
      <c r="M31" s="290">
        <v>0</v>
      </c>
      <c r="N31" s="205">
        <f t="shared" si="13"/>
        <v>0</v>
      </c>
      <c r="O31" s="290">
        <v>100</v>
      </c>
      <c r="P31" s="205">
        <f t="shared" si="14"/>
        <v>0.86450000000000005</v>
      </c>
      <c r="Q31" s="290">
        <v>0</v>
      </c>
      <c r="R31" s="205">
        <f t="shared" si="17"/>
        <v>0</v>
      </c>
      <c r="S31" s="39">
        <f t="shared" si="7"/>
        <v>1933</v>
      </c>
      <c r="T31" s="38">
        <f t="shared" si="4"/>
        <v>16.710785000000001</v>
      </c>
      <c r="U31" s="290">
        <v>0</v>
      </c>
      <c r="V31" s="13">
        <f t="shared" si="8"/>
        <v>0</v>
      </c>
      <c r="W31" s="294">
        <f t="shared" si="9"/>
        <v>1933</v>
      </c>
      <c r="X31" s="295">
        <f t="shared" si="10"/>
        <v>16.710785000000001</v>
      </c>
      <c r="Y31" s="238">
        <v>500</v>
      </c>
      <c r="Z31" s="101">
        <v>1500</v>
      </c>
    </row>
    <row r="32" spans="1:26" x14ac:dyDescent="0.25">
      <c r="A32" s="264">
        <v>28</v>
      </c>
      <c r="B32" s="256" t="s">
        <v>156</v>
      </c>
      <c r="C32" s="34">
        <v>140</v>
      </c>
      <c r="D32" s="35">
        <v>240</v>
      </c>
      <c r="E32" s="35">
        <v>1</v>
      </c>
      <c r="F32" s="19">
        <f t="shared" si="5"/>
        <v>3.3599999999999998E-2</v>
      </c>
      <c r="G32" s="286">
        <v>186</v>
      </c>
      <c r="H32" s="288">
        <f t="shared" si="6"/>
        <v>6.2496</v>
      </c>
      <c r="I32" s="290">
        <v>186</v>
      </c>
      <c r="J32" s="205">
        <f t="shared" si="0"/>
        <v>6.2496</v>
      </c>
      <c r="K32" s="290">
        <v>200</v>
      </c>
      <c r="L32" s="205">
        <f t="shared" si="16"/>
        <v>6.72</v>
      </c>
      <c r="M32" s="290">
        <v>175</v>
      </c>
      <c r="N32" s="205">
        <f t="shared" si="13"/>
        <v>5.88</v>
      </c>
      <c r="O32" s="290">
        <v>107</v>
      </c>
      <c r="P32" s="205">
        <f t="shared" si="14"/>
        <v>3.5951999999999997</v>
      </c>
      <c r="Q32" s="290">
        <v>0</v>
      </c>
      <c r="R32" s="205">
        <f>F32*Q32</f>
        <v>0</v>
      </c>
      <c r="S32" s="39">
        <f t="shared" si="7"/>
        <v>-482</v>
      </c>
      <c r="T32" s="38">
        <f t="shared" si="4"/>
        <v>-16.1952</v>
      </c>
      <c r="U32" s="290">
        <v>1733</v>
      </c>
      <c r="V32" s="13">
        <f t="shared" si="8"/>
        <v>58.2288</v>
      </c>
      <c r="W32" s="294">
        <f t="shared" si="9"/>
        <v>1251</v>
      </c>
      <c r="X32" s="295">
        <f t="shared" si="10"/>
        <v>42.0336</v>
      </c>
      <c r="Y32" s="238">
        <v>250</v>
      </c>
      <c r="Z32" s="101">
        <v>750</v>
      </c>
    </row>
    <row r="33" spans="1:26" x14ac:dyDescent="0.25">
      <c r="A33" s="264">
        <v>29</v>
      </c>
      <c r="B33" s="256" t="s">
        <v>157</v>
      </c>
      <c r="C33" s="34">
        <v>140</v>
      </c>
      <c r="D33" s="35">
        <v>240</v>
      </c>
      <c r="E33" s="35">
        <v>2</v>
      </c>
      <c r="F33" s="19">
        <f t="shared" si="5"/>
        <v>6.7199999999999996E-2</v>
      </c>
      <c r="G33" s="286">
        <v>61</v>
      </c>
      <c r="H33" s="288">
        <f t="shared" si="6"/>
        <v>4.0991999999999997</v>
      </c>
      <c r="I33" s="290">
        <v>11</v>
      </c>
      <c r="J33" s="205">
        <f t="shared" si="0"/>
        <v>0.73919999999999997</v>
      </c>
      <c r="K33" s="290">
        <v>16</v>
      </c>
      <c r="L33" s="205">
        <f t="shared" si="16"/>
        <v>1.0751999999999999</v>
      </c>
      <c r="M33" s="290">
        <v>19</v>
      </c>
      <c r="N33" s="205">
        <f t="shared" si="13"/>
        <v>1.2767999999999999</v>
      </c>
      <c r="O33" s="290">
        <v>19</v>
      </c>
      <c r="P33" s="205">
        <f t="shared" si="14"/>
        <v>1.2767999999999999</v>
      </c>
      <c r="Q33" s="290">
        <v>0</v>
      </c>
      <c r="R33" s="205">
        <f>F33*Q33</f>
        <v>0</v>
      </c>
      <c r="S33" s="39">
        <f t="shared" si="7"/>
        <v>-4</v>
      </c>
      <c r="T33" s="38">
        <f t="shared" si="4"/>
        <v>-0.26879999999999998</v>
      </c>
      <c r="U33" s="290">
        <v>94</v>
      </c>
      <c r="V33" s="13">
        <f t="shared" si="8"/>
        <v>6.3167999999999997</v>
      </c>
      <c r="W33" s="294">
        <f t="shared" si="9"/>
        <v>90</v>
      </c>
      <c r="X33" s="295">
        <f t="shared" si="10"/>
        <v>6.048</v>
      </c>
      <c r="Y33" s="238">
        <v>75</v>
      </c>
      <c r="Z33" s="101">
        <v>150</v>
      </c>
    </row>
    <row r="34" spans="1:26" x14ac:dyDescent="0.25">
      <c r="A34" s="264">
        <v>30</v>
      </c>
      <c r="B34" s="256" t="s">
        <v>158</v>
      </c>
      <c r="C34" s="34">
        <v>140</v>
      </c>
      <c r="D34" s="35">
        <v>240</v>
      </c>
      <c r="E34" s="35">
        <v>3</v>
      </c>
      <c r="F34" s="19">
        <f t="shared" si="5"/>
        <v>0.1008</v>
      </c>
      <c r="G34" s="286">
        <v>7</v>
      </c>
      <c r="H34" s="288">
        <f t="shared" si="6"/>
        <v>0.7056</v>
      </c>
      <c r="I34" s="290">
        <v>7</v>
      </c>
      <c r="J34" s="205">
        <f>F34*I34</f>
        <v>0.7056</v>
      </c>
      <c r="K34" s="290">
        <v>0</v>
      </c>
      <c r="L34" s="205">
        <f t="shared" si="16"/>
        <v>0</v>
      </c>
      <c r="M34" s="290">
        <v>0</v>
      </c>
      <c r="N34" s="205">
        <f t="shared" si="13"/>
        <v>0</v>
      </c>
      <c r="O34" s="290">
        <v>0</v>
      </c>
      <c r="P34" s="205">
        <f t="shared" si="14"/>
        <v>0</v>
      </c>
      <c r="Q34" s="290">
        <v>0</v>
      </c>
      <c r="R34" s="205">
        <f t="shared" si="17"/>
        <v>0</v>
      </c>
      <c r="S34" s="39">
        <f t="shared" si="7"/>
        <v>0</v>
      </c>
      <c r="T34" s="38">
        <f t="shared" si="4"/>
        <v>0</v>
      </c>
      <c r="U34" s="290">
        <v>189</v>
      </c>
      <c r="V34" s="13">
        <f t="shared" si="8"/>
        <v>19.051200000000001</v>
      </c>
      <c r="W34" s="294">
        <f t="shared" si="9"/>
        <v>189</v>
      </c>
      <c r="X34" s="295">
        <f t="shared" si="10"/>
        <v>19.051200000000001</v>
      </c>
      <c r="Y34" s="238">
        <v>75</v>
      </c>
      <c r="Z34" s="101">
        <v>150</v>
      </c>
    </row>
    <row r="35" spans="1:26" x14ac:dyDescent="0.25">
      <c r="A35" s="264">
        <v>31</v>
      </c>
      <c r="B35" s="256" t="s">
        <v>159</v>
      </c>
      <c r="C35" s="34">
        <v>140</v>
      </c>
      <c r="D35" s="35">
        <v>240</v>
      </c>
      <c r="E35" s="35">
        <v>4</v>
      </c>
      <c r="F35" s="19">
        <f t="shared" si="5"/>
        <v>0.13439999999999999</v>
      </c>
      <c r="G35" s="286">
        <v>77</v>
      </c>
      <c r="H35" s="288">
        <f t="shared" si="6"/>
        <v>10.348799999999999</v>
      </c>
      <c r="I35" s="290">
        <v>12</v>
      </c>
      <c r="J35" s="205">
        <f t="shared" si="0"/>
        <v>1.6128</v>
      </c>
      <c r="K35" s="290">
        <v>9</v>
      </c>
      <c r="L35" s="205">
        <f t="shared" si="16"/>
        <v>1.2096</v>
      </c>
      <c r="M35" s="290">
        <v>2</v>
      </c>
      <c r="N35" s="205">
        <f t="shared" si="13"/>
        <v>0.26879999999999998</v>
      </c>
      <c r="O35" s="290">
        <v>20</v>
      </c>
      <c r="P35" s="205">
        <f t="shared" si="14"/>
        <v>2.6879999999999997</v>
      </c>
      <c r="Q35" s="290">
        <v>0</v>
      </c>
      <c r="R35" s="205">
        <f t="shared" si="17"/>
        <v>0</v>
      </c>
      <c r="S35" s="39">
        <f t="shared" si="7"/>
        <v>34</v>
      </c>
      <c r="T35" s="38">
        <f t="shared" si="4"/>
        <v>4.5695999999999994</v>
      </c>
      <c r="U35" s="290">
        <v>0</v>
      </c>
      <c r="V35" s="13">
        <f t="shared" si="8"/>
        <v>0</v>
      </c>
      <c r="W35" s="294">
        <f t="shared" si="9"/>
        <v>34</v>
      </c>
      <c r="X35" s="295">
        <f t="shared" si="10"/>
        <v>4.5695999999999994</v>
      </c>
      <c r="Y35" s="238">
        <v>50</v>
      </c>
      <c r="Z35" s="101">
        <v>100</v>
      </c>
    </row>
    <row r="36" spans="1:26" x14ac:dyDescent="0.25">
      <c r="A36" s="264">
        <v>32</v>
      </c>
      <c r="B36" s="256" t="s">
        <v>160</v>
      </c>
      <c r="C36" s="34">
        <v>140</v>
      </c>
      <c r="D36" s="35">
        <v>240</v>
      </c>
      <c r="E36" s="35">
        <v>2</v>
      </c>
      <c r="F36" s="19">
        <f t="shared" si="5"/>
        <v>6.7199999999999996E-2</v>
      </c>
      <c r="G36" s="286">
        <v>518</v>
      </c>
      <c r="H36" s="288">
        <f t="shared" si="6"/>
        <v>34.809599999999996</v>
      </c>
      <c r="I36" s="290">
        <v>99</v>
      </c>
      <c r="J36" s="205">
        <f>F36*I36</f>
        <v>6.6527999999999992</v>
      </c>
      <c r="K36" s="290">
        <v>66</v>
      </c>
      <c r="L36" s="205">
        <f t="shared" si="16"/>
        <v>4.4352</v>
      </c>
      <c r="M36" s="290">
        <v>64</v>
      </c>
      <c r="N36" s="205">
        <f t="shared" si="13"/>
        <v>4.3007999999999997</v>
      </c>
      <c r="O36" s="290">
        <v>147</v>
      </c>
      <c r="P36" s="205">
        <f t="shared" si="14"/>
        <v>9.8783999999999992</v>
      </c>
      <c r="Q36" s="290">
        <v>0</v>
      </c>
      <c r="R36" s="205">
        <f t="shared" si="17"/>
        <v>0</v>
      </c>
      <c r="S36" s="39">
        <f t="shared" si="7"/>
        <v>142</v>
      </c>
      <c r="T36" s="38">
        <f t="shared" si="4"/>
        <v>9.5423999999999989</v>
      </c>
      <c r="U36" s="290">
        <v>424</v>
      </c>
      <c r="V36" s="13">
        <f t="shared" si="8"/>
        <v>28.492799999999999</v>
      </c>
      <c r="W36" s="294">
        <f t="shared" si="9"/>
        <v>566</v>
      </c>
      <c r="X36" s="295">
        <f t="shared" si="10"/>
        <v>38.035199999999996</v>
      </c>
      <c r="Y36" s="238">
        <v>100</v>
      </c>
      <c r="Z36" s="101">
        <v>300</v>
      </c>
    </row>
    <row r="37" spans="1:26" x14ac:dyDescent="0.25">
      <c r="A37" s="264">
        <v>33</v>
      </c>
      <c r="B37" s="256" t="s">
        <v>161</v>
      </c>
      <c r="C37" s="34">
        <v>140</v>
      </c>
      <c r="D37" s="35">
        <v>240</v>
      </c>
      <c r="E37" s="35">
        <v>6</v>
      </c>
      <c r="F37" s="19">
        <f t="shared" si="5"/>
        <v>0.2016</v>
      </c>
      <c r="G37" s="286">
        <v>27</v>
      </c>
      <c r="H37" s="288">
        <f t="shared" si="6"/>
        <v>5.4432</v>
      </c>
      <c r="I37" s="290">
        <v>0</v>
      </c>
      <c r="J37" s="205">
        <f t="shared" si="0"/>
        <v>0</v>
      </c>
      <c r="K37" s="290">
        <v>0</v>
      </c>
      <c r="L37" s="205">
        <f>F37*K37</f>
        <v>0</v>
      </c>
      <c r="M37" s="290">
        <v>3</v>
      </c>
      <c r="N37" s="205">
        <f t="shared" si="13"/>
        <v>0.6048</v>
      </c>
      <c r="O37" s="290">
        <v>0</v>
      </c>
      <c r="P37" s="21">
        <v>0</v>
      </c>
      <c r="Q37" s="290">
        <v>0</v>
      </c>
      <c r="R37" s="205">
        <f t="shared" si="17"/>
        <v>0</v>
      </c>
      <c r="S37" s="39">
        <f t="shared" si="7"/>
        <v>24</v>
      </c>
      <c r="T37" s="38">
        <f t="shared" si="4"/>
        <v>4.8384</v>
      </c>
      <c r="U37" s="290">
        <v>32</v>
      </c>
      <c r="V37" s="13">
        <f t="shared" si="8"/>
        <v>6.4512</v>
      </c>
      <c r="W37" s="294">
        <f t="shared" si="9"/>
        <v>56</v>
      </c>
      <c r="X37" s="295">
        <f t="shared" si="10"/>
        <v>11.2896</v>
      </c>
      <c r="Y37" s="238">
        <v>10</v>
      </c>
      <c r="Z37" s="101">
        <v>30</v>
      </c>
    </row>
    <row r="38" spans="1:26" x14ac:dyDescent="0.25">
      <c r="A38" s="264">
        <v>34</v>
      </c>
      <c r="B38" s="256" t="s">
        <v>181</v>
      </c>
      <c r="C38" s="34">
        <v>80</v>
      </c>
      <c r="D38" s="35">
        <v>75</v>
      </c>
      <c r="E38" s="35">
        <v>5</v>
      </c>
      <c r="F38" s="19">
        <f t="shared" si="5"/>
        <v>0.03</v>
      </c>
      <c r="G38" s="286">
        <v>94</v>
      </c>
      <c r="H38" s="288">
        <f t="shared" si="6"/>
        <v>2.82</v>
      </c>
      <c r="I38" s="290">
        <v>0</v>
      </c>
      <c r="J38" s="205">
        <f t="shared" si="0"/>
        <v>0</v>
      </c>
      <c r="K38" s="290">
        <v>0</v>
      </c>
      <c r="L38" s="205">
        <f t="shared" si="0"/>
        <v>0</v>
      </c>
      <c r="M38" s="290">
        <v>0</v>
      </c>
      <c r="N38" s="21">
        <v>0</v>
      </c>
      <c r="O38" s="290">
        <v>0</v>
      </c>
      <c r="P38" s="21">
        <v>0</v>
      </c>
      <c r="Q38" s="290">
        <v>0</v>
      </c>
      <c r="R38" s="21">
        <v>0</v>
      </c>
      <c r="S38" s="39">
        <f t="shared" si="7"/>
        <v>94</v>
      </c>
      <c r="T38" s="38">
        <f t="shared" si="4"/>
        <v>2.82</v>
      </c>
      <c r="U38" s="290">
        <v>0</v>
      </c>
      <c r="V38" s="13">
        <f t="shared" si="8"/>
        <v>0</v>
      </c>
      <c r="W38" s="294">
        <f t="shared" si="9"/>
        <v>94</v>
      </c>
      <c r="X38" s="295">
        <f t="shared" si="10"/>
        <v>2.82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182</v>
      </c>
      <c r="C39" s="34">
        <v>100</v>
      </c>
      <c r="D39" s="35">
        <v>95</v>
      </c>
      <c r="E39" s="35">
        <v>5</v>
      </c>
      <c r="F39" s="19">
        <f t="shared" si="5"/>
        <v>4.7500000000000001E-2</v>
      </c>
      <c r="G39" s="286">
        <v>177</v>
      </c>
      <c r="H39" s="288">
        <f t="shared" si="6"/>
        <v>8.4075000000000006</v>
      </c>
      <c r="I39" s="290">
        <v>0</v>
      </c>
      <c r="J39" s="205">
        <f t="shared" si="0"/>
        <v>0</v>
      </c>
      <c r="K39" s="290">
        <v>0</v>
      </c>
      <c r="L39" s="205">
        <f>F39*K39</f>
        <v>0</v>
      </c>
      <c r="M39" s="290">
        <v>0</v>
      </c>
      <c r="N39" s="205">
        <f>F39*M39</f>
        <v>0</v>
      </c>
      <c r="O39" s="290">
        <v>0</v>
      </c>
      <c r="P39" s="205">
        <f>J39*O39</f>
        <v>0</v>
      </c>
      <c r="Q39" s="290">
        <v>0</v>
      </c>
      <c r="R39" s="205">
        <f>L39*Q39</f>
        <v>0</v>
      </c>
      <c r="S39" s="39">
        <f t="shared" si="7"/>
        <v>177</v>
      </c>
      <c r="T39" s="38">
        <f t="shared" si="4"/>
        <v>8.4075000000000006</v>
      </c>
      <c r="U39" s="290">
        <v>0</v>
      </c>
      <c r="V39" s="13">
        <f t="shared" si="8"/>
        <v>0</v>
      </c>
      <c r="W39" s="294">
        <f t="shared" si="9"/>
        <v>177</v>
      </c>
      <c r="X39" s="295">
        <f t="shared" si="10"/>
        <v>8.4075000000000006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196</v>
      </c>
      <c r="C40" s="34">
        <v>65</v>
      </c>
      <c r="D40" s="35">
        <v>60</v>
      </c>
      <c r="E40" s="35">
        <v>5</v>
      </c>
      <c r="F40" s="19">
        <f t="shared" si="5"/>
        <v>1.95E-2</v>
      </c>
      <c r="G40" s="286">
        <v>385</v>
      </c>
      <c r="H40" s="288">
        <f t="shared" si="6"/>
        <v>7.5075000000000003</v>
      </c>
      <c r="I40" s="290">
        <v>0</v>
      </c>
      <c r="J40" s="205">
        <f t="shared" si="0"/>
        <v>0</v>
      </c>
      <c r="K40" s="290">
        <v>0</v>
      </c>
      <c r="L40" s="205">
        <f>F40*K40</f>
        <v>0</v>
      </c>
      <c r="M40" s="290">
        <v>0</v>
      </c>
      <c r="N40" s="205">
        <f>F40*M40</f>
        <v>0</v>
      </c>
      <c r="O40" s="290">
        <v>0</v>
      </c>
      <c r="P40" s="205">
        <f>F40*O40</f>
        <v>0</v>
      </c>
      <c r="Q40" s="290">
        <v>0</v>
      </c>
      <c r="R40" s="205">
        <f>F40*Q40</f>
        <v>0</v>
      </c>
      <c r="S40" s="39">
        <f t="shared" si="7"/>
        <v>385</v>
      </c>
      <c r="T40" s="38">
        <f t="shared" si="4"/>
        <v>7.5075000000000003</v>
      </c>
      <c r="U40" s="290">
        <v>0</v>
      </c>
      <c r="V40" s="13">
        <f t="shared" si="8"/>
        <v>0</v>
      </c>
      <c r="W40" s="294">
        <f t="shared" si="9"/>
        <v>385</v>
      </c>
      <c r="X40" s="295">
        <f t="shared" si="10"/>
        <v>7.5075000000000003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165</v>
      </c>
      <c r="C41" s="34">
        <v>140</v>
      </c>
      <c r="D41" s="35">
        <v>240</v>
      </c>
      <c r="E41" s="35">
        <v>10</v>
      </c>
      <c r="F41" s="19">
        <f t="shared" si="5"/>
        <v>0.33600000000000002</v>
      </c>
      <c r="G41" s="286">
        <v>82</v>
      </c>
      <c r="H41" s="288">
        <f t="shared" si="6"/>
        <v>27.552000000000003</v>
      </c>
      <c r="I41" s="290">
        <v>2</v>
      </c>
      <c r="J41" s="205">
        <f>F41*I41</f>
        <v>0.67200000000000004</v>
      </c>
      <c r="K41" s="290">
        <v>16</v>
      </c>
      <c r="L41" s="205">
        <f>F41*K41</f>
        <v>5.3760000000000003</v>
      </c>
      <c r="M41" s="290">
        <v>22</v>
      </c>
      <c r="N41" s="205">
        <f>F41*M41</f>
        <v>7.3920000000000003</v>
      </c>
      <c r="O41" s="290">
        <v>6</v>
      </c>
      <c r="P41" s="205">
        <f>F41*O41</f>
        <v>2.016</v>
      </c>
      <c r="Q41" s="290">
        <v>0</v>
      </c>
      <c r="R41" s="205">
        <f>F41*Q41</f>
        <v>0</v>
      </c>
      <c r="S41" s="39">
        <f t="shared" si="7"/>
        <v>36</v>
      </c>
      <c r="T41" s="38">
        <f t="shared" si="4"/>
        <v>12.096</v>
      </c>
      <c r="U41" s="290">
        <v>4</v>
      </c>
      <c r="V41" s="13">
        <f t="shared" si="8"/>
        <v>1.3440000000000001</v>
      </c>
      <c r="W41" s="294">
        <f t="shared" si="9"/>
        <v>40</v>
      </c>
      <c r="X41" s="295">
        <f t="shared" si="10"/>
        <v>13.440000000000001</v>
      </c>
      <c r="Y41" s="238">
        <v>50</v>
      </c>
      <c r="Z41" s="101">
        <v>100</v>
      </c>
    </row>
    <row r="42" spans="1:26" x14ac:dyDescent="0.25">
      <c r="A42" s="264">
        <v>38</v>
      </c>
      <c r="B42" s="256" t="s">
        <v>166</v>
      </c>
      <c r="C42" s="34">
        <v>92</v>
      </c>
      <c r="D42" s="35">
        <v>82</v>
      </c>
      <c r="E42" s="35">
        <v>2</v>
      </c>
      <c r="F42" s="19">
        <f t="shared" si="5"/>
        <v>1.5088000000000001E-2</v>
      </c>
      <c r="G42" s="286">
        <v>632</v>
      </c>
      <c r="H42" s="288">
        <f t="shared" si="6"/>
        <v>9.535616000000001</v>
      </c>
      <c r="I42" s="290">
        <v>128</v>
      </c>
      <c r="J42" s="205">
        <f t="shared" si="0"/>
        <v>1.9312640000000001</v>
      </c>
      <c r="K42" s="290">
        <v>120</v>
      </c>
      <c r="L42" s="205">
        <f>F42*K42</f>
        <v>1.8105600000000002</v>
      </c>
      <c r="M42" s="290">
        <v>0</v>
      </c>
      <c r="N42" s="205">
        <f>F42*M42</f>
        <v>0</v>
      </c>
      <c r="O42" s="290">
        <v>0</v>
      </c>
      <c r="P42" s="205">
        <f>F42*O42</f>
        <v>0</v>
      </c>
      <c r="Q42" s="290">
        <v>0</v>
      </c>
      <c r="R42" s="205">
        <f>F42*Q42</f>
        <v>0</v>
      </c>
      <c r="S42" s="39">
        <f t="shared" si="7"/>
        <v>384</v>
      </c>
      <c r="T42" s="38">
        <f t="shared" si="4"/>
        <v>5.7937919999999998</v>
      </c>
      <c r="U42" s="290">
        <v>0</v>
      </c>
      <c r="V42" s="13">
        <f t="shared" si="8"/>
        <v>0</v>
      </c>
      <c r="W42" s="294">
        <f t="shared" si="9"/>
        <v>384</v>
      </c>
      <c r="X42" s="295">
        <f t="shared" si="10"/>
        <v>5.7937919999999998</v>
      </c>
      <c r="Y42" s="238">
        <v>100</v>
      </c>
      <c r="Z42" s="101">
        <v>300</v>
      </c>
    </row>
    <row r="43" spans="1:26" x14ac:dyDescent="0.25">
      <c r="A43" s="264">
        <v>39</v>
      </c>
      <c r="B43" s="256" t="s">
        <v>183</v>
      </c>
      <c r="C43" s="34">
        <v>90</v>
      </c>
      <c r="D43" s="35">
        <v>90</v>
      </c>
      <c r="E43" s="35">
        <v>3</v>
      </c>
      <c r="F43" s="19">
        <f t="shared" si="5"/>
        <v>2.4299999999999999E-2</v>
      </c>
      <c r="G43" s="286">
        <v>171</v>
      </c>
      <c r="H43" s="288">
        <f t="shared" si="6"/>
        <v>4.1552999999999995</v>
      </c>
      <c r="I43" s="290">
        <v>0</v>
      </c>
      <c r="J43" s="205">
        <f t="shared" si="0"/>
        <v>0</v>
      </c>
      <c r="K43" s="290">
        <v>0</v>
      </c>
      <c r="L43" s="205">
        <f t="shared" si="0"/>
        <v>0</v>
      </c>
      <c r="M43" s="290">
        <v>0</v>
      </c>
      <c r="N43" s="21">
        <v>0</v>
      </c>
      <c r="O43" s="290">
        <v>0</v>
      </c>
      <c r="P43" s="21">
        <v>0</v>
      </c>
      <c r="Q43" s="290">
        <v>0</v>
      </c>
      <c r="R43" s="21">
        <v>0</v>
      </c>
      <c r="S43" s="39">
        <f t="shared" si="7"/>
        <v>171</v>
      </c>
      <c r="T43" s="38">
        <f t="shared" si="4"/>
        <v>4.1552999999999995</v>
      </c>
      <c r="U43" s="290">
        <v>0</v>
      </c>
      <c r="V43" s="13">
        <f t="shared" si="8"/>
        <v>0</v>
      </c>
      <c r="W43" s="294">
        <f t="shared" si="9"/>
        <v>171</v>
      </c>
      <c r="X43" s="295">
        <f t="shared" si="10"/>
        <v>4.1552999999999995</v>
      </c>
      <c r="Y43" s="238">
        <v>0</v>
      </c>
      <c r="Z43" s="101">
        <v>0</v>
      </c>
    </row>
    <row r="44" spans="1:26" x14ac:dyDescent="0.25">
      <c r="A44" s="264">
        <v>40</v>
      </c>
      <c r="B44" s="256" t="s">
        <v>168</v>
      </c>
      <c r="C44" s="34">
        <v>140</v>
      </c>
      <c r="D44" s="35">
        <v>240</v>
      </c>
      <c r="E44" s="35">
        <v>3</v>
      </c>
      <c r="F44" s="19">
        <f t="shared" si="5"/>
        <v>0.1008</v>
      </c>
      <c r="G44" s="286">
        <v>0</v>
      </c>
      <c r="H44" s="288">
        <f t="shared" si="6"/>
        <v>0</v>
      </c>
      <c r="I44" s="290">
        <v>0</v>
      </c>
      <c r="J44" s="205">
        <f t="shared" si="0"/>
        <v>0</v>
      </c>
      <c r="K44" s="290">
        <v>0</v>
      </c>
      <c r="L44" s="205">
        <f t="shared" ref="L44:L52" si="18">F44*K44</f>
        <v>0</v>
      </c>
      <c r="M44" s="290">
        <v>0</v>
      </c>
      <c r="N44" s="205">
        <f t="shared" ref="N44:N70" si="19">F44*M44</f>
        <v>0</v>
      </c>
      <c r="O44" s="290">
        <v>0</v>
      </c>
      <c r="P44" s="205">
        <f t="shared" ref="P44:P66" si="20">F44*O44</f>
        <v>0</v>
      </c>
      <c r="Q44" s="290">
        <v>0</v>
      </c>
      <c r="R44" s="205">
        <f t="shared" ref="R44:R58" si="21">F44*Q44</f>
        <v>0</v>
      </c>
      <c r="S44" s="39">
        <f t="shared" si="7"/>
        <v>0</v>
      </c>
      <c r="T44" s="38">
        <f t="shared" si="4"/>
        <v>0</v>
      </c>
      <c r="U44" s="290">
        <v>0</v>
      </c>
      <c r="V44" s="13">
        <f t="shared" si="8"/>
        <v>0</v>
      </c>
      <c r="W44" s="294">
        <f t="shared" si="9"/>
        <v>0</v>
      </c>
      <c r="X44" s="295">
        <f t="shared" si="10"/>
        <v>0</v>
      </c>
      <c r="Y44" s="238">
        <v>0</v>
      </c>
      <c r="Z44" s="101">
        <v>0</v>
      </c>
    </row>
    <row r="45" spans="1:26" x14ac:dyDescent="0.25">
      <c r="A45" s="264">
        <v>41</v>
      </c>
      <c r="B45" s="256" t="s">
        <v>169</v>
      </c>
      <c r="C45" s="34">
        <v>82</v>
      </c>
      <c r="D45" s="34">
        <v>80</v>
      </c>
      <c r="E45" s="34">
        <v>2</v>
      </c>
      <c r="F45" s="19">
        <f t="shared" si="5"/>
        <v>1.312E-2</v>
      </c>
      <c r="G45" s="284">
        <v>0</v>
      </c>
      <c r="H45" s="288">
        <f t="shared" si="6"/>
        <v>0</v>
      </c>
      <c r="I45" s="290">
        <v>0</v>
      </c>
      <c r="J45" s="205">
        <f t="shared" si="0"/>
        <v>0</v>
      </c>
      <c r="K45" s="290">
        <v>0</v>
      </c>
      <c r="L45" s="205">
        <f t="shared" si="18"/>
        <v>0</v>
      </c>
      <c r="M45" s="290">
        <v>0</v>
      </c>
      <c r="N45" s="205">
        <f t="shared" si="19"/>
        <v>0</v>
      </c>
      <c r="O45" s="290">
        <v>0</v>
      </c>
      <c r="P45" s="205">
        <f t="shared" si="20"/>
        <v>0</v>
      </c>
      <c r="Q45" s="290">
        <v>0</v>
      </c>
      <c r="R45" s="205">
        <f t="shared" si="21"/>
        <v>0</v>
      </c>
      <c r="S45" s="39">
        <f t="shared" si="7"/>
        <v>0</v>
      </c>
      <c r="T45" s="38">
        <f t="shared" si="4"/>
        <v>0</v>
      </c>
      <c r="U45" s="290">
        <v>0</v>
      </c>
      <c r="V45" s="13">
        <f t="shared" si="8"/>
        <v>0</v>
      </c>
      <c r="W45" s="294">
        <f t="shared" si="9"/>
        <v>0</v>
      </c>
      <c r="X45" s="295">
        <f t="shared" si="10"/>
        <v>0</v>
      </c>
      <c r="Y45" s="238">
        <v>100</v>
      </c>
      <c r="Z45" s="101">
        <v>300</v>
      </c>
    </row>
    <row r="46" spans="1:26" x14ac:dyDescent="0.25">
      <c r="A46" s="264">
        <v>42</v>
      </c>
      <c r="B46" s="256" t="s">
        <v>170</v>
      </c>
      <c r="C46" s="34">
        <v>90</v>
      </c>
      <c r="D46" s="34">
        <v>83</v>
      </c>
      <c r="E46" s="34">
        <v>2</v>
      </c>
      <c r="F46" s="19">
        <f t="shared" si="5"/>
        <v>1.494E-2</v>
      </c>
      <c r="G46" s="284">
        <v>50</v>
      </c>
      <c r="H46" s="288">
        <f t="shared" si="6"/>
        <v>0.747</v>
      </c>
      <c r="I46" s="290">
        <v>0</v>
      </c>
      <c r="J46" s="205">
        <f t="shared" si="0"/>
        <v>0</v>
      </c>
      <c r="K46" s="290">
        <v>0</v>
      </c>
      <c r="L46" s="205">
        <f t="shared" si="18"/>
        <v>0</v>
      </c>
      <c r="M46" s="290">
        <v>36</v>
      </c>
      <c r="N46" s="205">
        <f t="shared" si="19"/>
        <v>0.53783999999999998</v>
      </c>
      <c r="O46" s="290">
        <v>0</v>
      </c>
      <c r="P46" s="205">
        <f t="shared" si="20"/>
        <v>0</v>
      </c>
      <c r="Q46" s="290">
        <v>0</v>
      </c>
      <c r="R46" s="205">
        <f t="shared" si="21"/>
        <v>0</v>
      </c>
      <c r="S46" s="39">
        <f t="shared" si="7"/>
        <v>14</v>
      </c>
      <c r="T46" s="38">
        <f t="shared" si="4"/>
        <v>0.20916000000000001</v>
      </c>
      <c r="U46" s="290">
        <v>313</v>
      </c>
      <c r="V46" s="13">
        <f t="shared" si="8"/>
        <v>4.6762199999999998</v>
      </c>
      <c r="W46" s="294">
        <f t="shared" si="9"/>
        <v>327</v>
      </c>
      <c r="X46" s="295">
        <f t="shared" si="10"/>
        <v>4.8853799999999996</v>
      </c>
      <c r="Y46" s="238">
        <v>100</v>
      </c>
      <c r="Z46" s="101">
        <v>300</v>
      </c>
    </row>
    <row r="47" spans="1:26" x14ac:dyDescent="0.25">
      <c r="A47" s="264">
        <v>43</v>
      </c>
      <c r="B47" s="256" t="s">
        <v>184</v>
      </c>
      <c r="C47" s="34">
        <v>112</v>
      </c>
      <c r="D47" s="34">
        <v>67</v>
      </c>
      <c r="E47" s="34">
        <v>3</v>
      </c>
      <c r="F47" s="19">
        <f t="shared" si="5"/>
        <v>2.2512000000000001E-2</v>
      </c>
      <c r="G47" s="284">
        <v>201</v>
      </c>
      <c r="H47" s="288">
        <f t="shared" si="6"/>
        <v>4.5249120000000005</v>
      </c>
      <c r="I47" s="290">
        <v>0</v>
      </c>
      <c r="J47" s="205">
        <f t="shared" si="0"/>
        <v>0</v>
      </c>
      <c r="K47" s="290">
        <v>0</v>
      </c>
      <c r="L47" s="205">
        <f t="shared" si="18"/>
        <v>0</v>
      </c>
      <c r="M47" s="290">
        <v>0</v>
      </c>
      <c r="N47" s="205">
        <f t="shared" si="19"/>
        <v>0</v>
      </c>
      <c r="O47" s="290">
        <v>0</v>
      </c>
      <c r="P47" s="205">
        <f t="shared" si="20"/>
        <v>0</v>
      </c>
      <c r="Q47" s="290">
        <v>0</v>
      </c>
      <c r="R47" s="205">
        <f t="shared" si="21"/>
        <v>0</v>
      </c>
      <c r="S47" s="39">
        <f t="shared" si="7"/>
        <v>201</v>
      </c>
      <c r="T47" s="38">
        <f t="shared" si="4"/>
        <v>4.5249120000000005</v>
      </c>
      <c r="U47" s="290">
        <v>0</v>
      </c>
      <c r="V47" s="13">
        <f t="shared" si="8"/>
        <v>0</v>
      </c>
      <c r="W47" s="294">
        <f t="shared" si="9"/>
        <v>201</v>
      </c>
      <c r="X47" s="295">
        <f t="shared" si="10"/>
        <v>4.5249120000000005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189</v>
      </c>
      <c r="C48" s="34">
        <v>70</v>
      </c>
      <c r="D48" s="34">
        <v>54</v>
      </c>
      <c r="E48" s="34">
        <v>7</v>
      </c>
      <c r="F48" s="19">
        <f t="shared" si="5"/>
        <v>2.6460000000000001E-2</v>
      </c>
      <c r="G48" s="284">
        <v>18</v>
      </c>
      <c r="H48" s="288">
        <f t="shared" si="6"/>
        <v>0.47628000000000004</v>
      </c>
      <c r="I48" s="290">
        <v>0</v>
      </c>
      <c r="J48" s="205">
        <f t="shared" si="0"/>
        <v>0</v>
      </c>
      <c r="K48" s="290">
        <v>0</v>
      </c>
      <c r="L48" s="205">
        <f t="shared" si="18"/>
        <v>0</v>
      </c>
      <c r="M48" s="290">
        <v>0</v>
      </c>
      <c r="N48" s="205">
        <f t="shared" si="19"/>
        <v>0</v>
      </c>
      <c r="O48" s="290">
        <v>0</v>
      </c>
      <c r="P48" s="205">
        <f t="shared" si="20"/>
        <v>0</v>
      </c>
      <c r="Q48" s="290">
        <v>0</v>
      </c>
      <c r="R48" s="205">
        <f t="shared" si="21"/>
        <v>0</v>
      </c>
      <c r="S48" s="39">
        <f t="shared" si="7"/>
        <v>18</v>
      </c>
      <c r="T48" s="38">
        <f t="shared" si="4"/>
        <v>0.47628000000000004</v>
      </c>
      <c r="U48" s="290">
        <v>0</v>
      </c>
      <c r="V48" s="13">
        <f t="shared" si="8"/>
        <v>0</v>
      </c>
      <c r="W48" s="294">
        <f t="shared" si="9"/>
        <v>18</v>
      </c>
      <c r="X48" s="295">
        <f t="shared" si="10"/>
        <v>0.47628000000000004</v>
      </c>
      <c r="Y48" s="238">
        <v>0</v>
      </c>
      <c r="Z48" s="101">
        <v>0</v>
      </c>
    </row>
    <row r="49" spans="1:26" x14ac:dyDescent="0.25">
      <c r="A49" s="264">
        <v>45</v>
      </c>
      <c r="B49" s="256" t="s">
        <v>174</v>
      </c>
      <c r="C49" s="34">
        <v>140</v>
      </c>
      <c r="D49" s="34">
        <v>240</v>
      </c>
      <c r="E49" s="34">
        <v>14</v>
      </c>
      <c r="F49" s="19">
        <f t="shared" si="5"/>
        <v>0.47039999999999998</v>
      </c>
      <c r="G49" s="284">
        <v>3</v>
      </c>
      <c r="H49" s="288">
        <f t="shared" si="6"/>
        <v>1.4112</v>
      </c>
      <c r="I49" s="290">
        <v>1</v>
      </c>
      <c r="J49" s="205">
        <f t="shared" si="0"/>
        <v>0.47039999999999998</v>
      </c>
      <c r="K49" s="290">
        <v>0</v>
      </c>
      <c r="L49" s="205">
        <f t="shared" si="18"/>
        <v>0</v>
      </c>
      <c r="M49" s="290">
        <v>1</v>
      </c>
      <c r="N49" s="205">
        <f t="shared" si="19"/>
        <v>0.47039999999999998</v>
      </c>
      <c r="O49" s="290">
        <v>0</v>
      </c>
      <c r="P49" s="205">
        <f t="shared" si="20"/>
        <v>0</v>
      </c>
      <c r="Q49" s="290">
        <v>0</v>
      </c>
      <c r="R49" s="205">
        <f t="shared" si="21"/>
        <v>0</v>
      </c>
      <c r="S49" s="39">
        <f t="shared" si="7"/>
        <v>1</v>
      </c>
      <c r="T49" s="38">
        <f t="shared" si="4"/>
        <v>0.47039999999999998</v>
      </c>
      <c r="U49" s="290">
        <v>0</v>
      </c>
      <c r="V49" s="13">
        <f t="shared" si="8"/>
        <v>0</v>
      </c>
      <c r="W49" s="294">
        <f t="shared" si="9"/>
        <v>1</v>
      </c>
      <c r="X49" s="295">
        <f t="shared" si="10"/>
        <v>0.47039999999999998</v>
      </c>
      <c r="Y49" s="238">
        <v>10</v>
      </c>
      <c r="Z49" s="101">
        <v>20</v>
      </c>
    </row>
    <row r="50" spans="1:26" x14ac:dyDescent="0.25">
      <c r="A50" s="264">
        <v>46</v>
      </c>
      <c r="B50" s="256" t="s">
        <v>175</v>
      </c>
      <c r="C50" s="34">
        <v>140</v>
      </c>
      <c r="D50" s="34">
        <v>240</v>
      </c>
      <c r="E50" s="34">
        <v>12</v>
      </c>
      <c r="F50" s="19">
        <f t="shared" si="5"/>
        <v>0.4032</v>
      </c>
      <c r="G50" s="284">
        <v>13</v>
      </c>
      <c r="H50" s="288">
        <f t="shared" si="6"/>
        <v>5.2416</v>
      </c>
      <c r="I50" s="290">
        <v>0</v>
      </c>
      <c r="J50" s="205">
        <f t="shared" si="0"/>
        <v>0</v>
      </c>
      <c r="K50" s="290">
        <v>2</v>
      </c>
      <c r="L50" s="205">
        <f t="shared" si="18"/>
        <v>0.80640000000000001</v>
      </c>
      <c r="M50" s="290">
        <v>0</v>
      </c>
      <c r="N50" s="205">
        <f t="shared" si="19"/>
        <v>0</v>
      </c>
      <c r="O50" s="290">
        <v>1</v>
      </c>
      <c r="P50" s="205">
        <f t="shared" si="20"/>
        <v>0.4032</v>
      </c>
      <c r="Q50" s="290">
        <v>0</v>
      </c>
      <c r="R50" s="205">
        <f t="shared" si="21"/>
        <v>0</v>
      </c>
      <c r="S50" s="39">
        <f t="shared" si="7"/>
        <v>10</v>
      </c>
      <c r="T50" s="38">
        <f t="shared" si="4"/>
        <v>4.032</v>
      </c>
      <c r="U50" s="290">
        <v>12</v>
      </c>
      <c r="V50" s="13">
        <f t="shared" si="8"/>
        <v>4.8384</v>
      </c>
      <c r="W50" s="294">
        <f t="shared" si="9"/>
        <v>22</v>
      </c>
      <c r="X50" s="295">
        <f t="shared" si="10"/>
        <v>8.8704000000000001</v>
      </c>
      <c r="Y50" s="238">
        <v>10</v>
      </c>
      <c r="Z50" s="101">
        <v>20</v>
      </c>
    </row>
    <row r="51" spans="1:26" x14ac:dyDescent="0.25">
      <c r="A51" s="264">
        <v>47</v>
      </c>
      <c r="B51" s="256" t="s">
        <v>176</v>
      </c>
      <c r="C51" s="34">
        <v>130</v>
      </c>
      <c r="D51" s="34">
        <v>60</v>
      </c>
      <c r="E51" s="34">
        <v>5</v>
      </c>
      <c r="F51" s="19">
        <f t="shared" si="5"/>
        <v>3.9E-2</v>
      </c>
      <c r="G51" s="284">
        <v>90</v>
      </c>
      <c r="H51" s="288">
        <f t="shared" si="6"/>
        <v>3.51</v>
      </c>
      <c r="I51" s="290">
        <v>0</v>
      </c>
      <c r="J51" s="205">
        <f t="shared" si="0"/>
        <v>0</v>
      </c>
      <c r="K51" s="290">
        <v>0</v>
      </c>
      <c r="L51" s="205">
        <f t="shared" si="18"/>
        <v>0</v>
      </c>
      <c r="M51" s="290">
        <v>0</v>
      </c>
      <c r="N51" s="205">
        <f t="shared" si="19"/>
        <v>0</v>
      </c>
      <c r="O51" s="290">
        <v>0</v>
      </c>
      <c r="P51" s="205">
        <f t="shared" si="20"/>
        <v>0</v>
      </c>
      <c r="Q51" s="290">
        <v>0</v>
      </c>
      <c r="R51" s="205">
        <f t="shared" si="21"/>
        <v>0</v>
      </c>
      <c r="S51" s="39">
        <f t="shared" si="7"/>
        <v>90</v>
      </c>
      <c r="T51" s="38">
        <f t="shared" si="4"/>
        <v>3.51</v>
      </c>
      <c r="U51" s="290">
        <v>0</v>
      </c>
      <c r="V51" s="13">
        <f t="shared" si="8"/>
        <v>0</v>
      </c>
      <c r="W51" s="294">
        <f t="shared" si="9"/>
        <v>90</v>
      </c>
      <c r="X51" s="295">
        <f t="shared" si="10"/>
        <v>3.51</v>
      </c>
      <c r="Y51" s="238">
        <v>30</v>
      </c>
      <c r="Z51" s="101">
        <v>100</v>
      </c>
    </row>
    <row r="52" spans="1:26" x14ac:dyDescent="0.25">
      <c r="A52" s="264">
        <v>48</v>
      </c>
      <c r="B52" s="255" t="s">
        <v>178</v>
      </c>
      <c r="C52" s="34">
        <v>140</v>
      </c>
      <c r="D52" s="34">
        <v>240</v>
      </c>
      <c r="E52" s="34">
        <v>3</v>
      </c>
      <c r="F52" s="19">
        <f t="shared" si="5"/>
        <v>0.1008</v>
      </c>
      <c r="G52" s="284">
        <v>1104</v>
      </c>
      <c r="H52" s="288">
        <f t="shared" si="6"/>
        <v>111.28319999999999</v>
      </c>
      <c r="I52" s="290">
        <v>30</v>
      </c>
      <c r="J52" s="205">
        <f t="shared" si="0"/>
        <v>3.024</v>
      </c>
      <c r="K52" s="290">
        <v>7</v>
      </c>
      <c r="L52" s="205">
        <f t="shared" si="18"/>
        <v>0.7056</v>
      </c>
      <c r="M52" s="290">
        <v>18</v>
      </c>
      <c r="N52" s="205">
        <f t="shared" si="19"/>
        <v>1.8144</v>
      </c>
      <c r="O52" s="290">
        <v>35</v>
      </c>
      <c r="P52" s="205">
        <f t="shared" si="20"/>
        <v>3.528</v>
      </c>
      <c r="Q52" s="290">
        <v>0</v>
      </c>
      <c r="R52" s="205">
        <f t="shared" si="21"/>
        <v>0</v>
      </c>
      <c r="S52" s="39">
        <f t="shared" si="7"/>
        <v>1014</v>
      </c>
      <c r="T52" s="38">
        <f t="shared" si="4"/>
        <v>102.21120000000001</v>
      </c>
      <c r="U52" s="290">
        <v>0</v>
      </c>
      <c r="V52" s="13">
        <f t="shared" si="8"/>
        <v>0</v>
      </c>
      <c r="W52" s="294">
        <f t="shared" si="9"/>
        <v>1014</v>
      </c>
      <c r="X52" s="295">
        <f t="shared" si="10"/>
        <v>102.21120000000001</v>
      </c>
      <c r="Y52" s="238">
        <v>100</v>
      </c>
      <c r="Z52" s="101">
        <v>300</v>
      </c>
    </row>
    <row r="53" spans="1:26" x14ac:dyDescent="0.25">
      <c r="A53" s="264">
        <v>49</v>
      </c>
      <c r="B53" s="256" t="s">
        <v>185</v>
      </c>
      <c r="C53" s="34">
        <v>140</v>
      </c>
      <c r="D53" s="34">
        <v>240</v>
      </c>
      <c r="E53" s="34">
        <v>1</v>
      </c>
      <c r="F53" s="19">
        <f t="shared" si="5"/>
        <v>3.3599999999999998E-2</v>
      </c>
      <c r="G53" s="284">
        <v>366</v>
      </c>
      <c r="H53" s="288">
        <f t="shared" si="6"/>
        <v>12.297599999999999</v>
      </c>
      <c r="I53" s="290">
        <v>31</v>
      </c>
      <c r="J53" s="205">
        <f t="shared" si="0"/>
        <v>1.0415999999999999</v>
      </c>
      <c r="K53" s="290">
        <v>0</v>
      </c>
      <c r="L53" s="205">
        <f>F53*K53</f>
        <v>0</v>
      </c>
      <c r="M53" s="290">
        <v>5</v>
      </c>
      <c r="N53" s="205">
        <f t="shared" si="19"/>
        <v>0.16799999999999998</v>
      </c>
      <c r="O53" s="290">
        <v>0</v>
      </c>
      <c r="P53" s="205">
        <f t="shared" si="20"/>
        <v>0</v>
      </c>
      <c r="Q53" s="290">
        <v>0</v>
      </c>
      <c r="R53" s="205">
        <f t="shared" si="21"/>
        <v>0</v>
      </c>
      <c r="S53" s="39">
        <f t="shared" si="7"/>
        <v>330</v>
      </c>
      <c r="T53" s="38">
        <f t="shared" si="4"/>
        <v>11.087999999999999</v>
      </c>
      <c r="U53" s="290">
        <v>0</v>
      </c>
      <c r="V53" s="13">
        <f t="shared" si="8"/>
        <v>0</v>
      </c>
      <c r="W53" s="294">
        <f t="shared" si="9"/>
        <v>330</v>
      </c>
      <c r="X53" s="295">
        <f t="shared" si="10"/>
        <v>11.087999999999999</v>
      </c>
      <c r="Y53" s="238">
        <v>50</v>
      </c>
      <c r="Z53" s="101">
        <v>0</v>
      </c>
    </row>
    <row r="54" spans="1:26" x14ac:dyDescent="0.25">
      <c r="A54" s="264">
        <v>50</v>
      </c>
      <c r="B54" s="256" t="s">
        <v>186</v>
      </c>
      <c r="C54" s="34">
        <v>140</v>
      </c>
      <c r="D54" s="34">
        <v>240</v>
      </c>
      <c r="E54" s="34">
        <v>3</v>
      </c>
      <c r="F54" s="19">
        <f t="shared" si="5"/>
        <v>0.1008</v>
      </c>
      <c r="G54" s="284">
        <v>35</v>
      </c>
      <c r="H54" s="288">
        <f t="shared" si="6"/>
        <v>3.528</v>
      </c>
      <c r="I54" s="290">
        <v>0</v>
      </c>
      <c r="J54" s="205">
        <f t="shared" si="0"/>
        <v>0</v>
      </c>
      <c r="K54" s="290">
        <v>0</v>
      </c>
      <c r="L54" s="205">
        <f>F54*K54</f>
        <v>0</v>
      </c>
      <c r="M54" s="290">
        <v>3</v>
      </c>
      <c r="N54" s="205">
        <f t="shared" si="19"/>
        <v>0.3024</v>
      </c>
      <c r="O54" s="290">
        <v>0</v>
      </c>
      <c r="P54" s="205">
        <f t="shared" si="20"/>
        <v>0</v>
      </c>
      <c r="Q54" s="290">
        <v>0</v>
      </c>
      <c r="R54" s="205">
        <f t="shared" si="21"/>
        <v>0</v>
      </c>
      <c r="S54" s="39">
        <f t="shared" si="7"/>
        <v>32</v>
      </c>
      <c r="T54" s="38">
        <f t="shared" si="4"/>
        <v>3.2256</v>
      </c>
      <c r="U54" s="290">
        <v>0</v>
      </c>
      <c r="V54" s="13">
        <f t="shared" si="8"/>
        <v>0</v>
      </c>
      <c r="W54" s="294">
        <f t="shared" si="9"/>
        <v>32</v>
      </c>
      <c r="X54" s="295">
        <f t="shared" si="10"/>
        <v>3.2256</v>
      </c>
      <c r="Y54" s="238">
        <v>50</v>
      </c>
      <c r="Z54" s="101">
        <v>0</v>
      </c>
    </row>
    <row r="55" spans="1:26" x14ac:dyDescent="0.25">
      <c r="A55" s="277">
        <v>51</v>
      </c>
      <c r="B55" s="283" t="s">
        <v>187</v>
      </c>
      <c r="C55" s="264">
        <v>140</v>
      </c>
      <c r="D55" s="264">
        <v>240</v>
      </c>
      <c r="E55" s="264">
        <v>5</v>
      </c>
      <c r="F55" s="19">
        <f t="shared" si="5"/>
        <v>0.16800000000000001</v>
      </c>
      <c r="G55" s="296">
        <v>144</v>
      </c>
      <c r="H55" s="299">
        <f t="shared" si="6"/>
        <v>24.192</v>
      </c>
      <c r="I55" s="290">
        <v>0</v>
      </c>
      <c r="J55" s="205">
        <f t="shared" si="0"/>
        <v>0</v>
      </c>
      <c r="K55" s="290">
        <v>0</v>
      </c>
      <c r="L55" s="205">
        <f t="shared" si="0"/>
        <v>0</v>
      </c>
      <c r="M55" s="290">
        <v>3</v>
      </c>
      <c r="N55" s="205">
        <f t="shared" si="19"/>
        <v>0.504</v>
      </c>
      <c r="O55" s="290">
        <v>20</v>
      </c>
      <c r="P55" s="205">
        <f t="shared" si="20"/>
        <v>3.3600000000000003</v>
      </c>
      <c r="Q55" s="290">
        <v>0</v>
      </c>
      <c r="R55" s="205">
        <f t="shared" si="21"/>
        <v>0</v>
      </c>
      <c r="S55" s="39">
        <f t="shared" si="7"/>
        <v>121</v>
      </c>
      <c r="T55" s="38">
        <f t="shared" si="4"/>
        <v>20.328000000000003</v>
      </c>
      <c r="U55" s="290">
        <v>0</v>
      </c>
      <c r="V55" s="13">
        <f t="shared" si="8"/>
        <v>0</v>
      </c>
      <c r="W55" s="294">
        <f t="shared" si="9"/>
        <v>121</v>
      </c>
      <c r="X55" s="295">
        <f t="shared" si="10"/>
        <v>20.328000000000003</v>
      </c>
      <c r="Y55" s="101">
        <v>30</v>
      </c>
      <c r="Z55" s="101"/>
    </row>
    <row r="56" spans="1:26" x14ac:dyDescent="0.25">
      <c r="A56" s="277">
        <v>52</v>
      </c>
      <c r="B56" s="283" t="s">
        <v>188</v>
      </c>
      <c r="C56" s="264">
        <v>140</v>
      </c>
      <c r="D56" s="264">
        <v>240</v>
      </c>
      <c r="E56" s="264">
        <v>10</v>
      </c>
      <c r="F56" s="19">
        <f t="shared" si="5"/>
        <v>0.33600000000000002</v>
      </c>
      <c r="G56" s="296">
        <v>9</v>
      </c>
      <c r="H56" s="299">
        <f t="shared" si="6"/>
        <v>3.024</v>
      </c>
      <c r="I56" s="290">
        <v>4</v>
      </c>
      <c r="J56" s="205">
        <f t="shared" ref="J56:J67" si="22">F56*I56</f>
        <v>1.3440000000000001</v>
      </c>
      <c r="K56" s="290">
        <v>0</v>
      </c>
      <c r="L56" s="205">
        <f>F56*K56</f>
        <v>0</v>
      </c>
      <c r="M56" s="290">
        <v>0</v>
      </c>
      <c r="N56" s="205">
        <f t="shared" si="19"/>
        <v>0</v>
      </c>
      <c r="O56" s="290">
        <v>5</v>
      </c>
      <c r="P56" s="205">
        <f t="shared" si="20"/>
        <v>1.6800000000000002</v>
      </c>
      <c r="Q56" s="290">
        <v>0</v>
      </c>
      <c r="R56" s="205">
        <f t="shared" si="21"/>
        <v>0</v>
      </c>
      <c r="S56" s="39">
        <f t="shared" si="7"/>
        <v>0</v>
      </c>
      <c r="T56" s="38">
        <f t="shared" si="4"/>
        <v>0</v>
      </c>
      <c r="U56" s="290">
        <v>0</v>
      </c>
      <c r="V56" s="13">
        <f t="shared" si="8"/>
        <v>0</v>
      </c>
      <c r="W56" s="294">
        <f t="shared" si="9"/>
        <v>0</v>
      </c>
      <c r="X56" s="295">
        <f t="shared" si="10"/>
        <v>0</v>
      </c>
      <c r="Y56" s="101">
        <v>20</v>
      </c>
      <c r="Z56" s="101"/>
    </row>
    <row r="57" spans="1:26" x14ac:dyDescent="0.25">
      <c r="A57" s="264">
        <v>53</v>
      </c>
      <c r="B57" s="101" t="s">
        <v>201</v>
      </c>
      <c r="C57" s="264">
        <v>52</v>
      </c>
      <c r="D57" s="264">
        <v>52</v>
      </c>
      <c r="E57" s="264">
        <v>5</v>
      </c>
      <c r="F57" s="19">
        <f t="shared" si="5"/>
        <v>1.3520000000000001E-2</v>
      </c>
      <c r="G57" s="296">
        <v>495</v>
      </c>
      <c r="H57" s="299">
        <f t="shared" si="6"/>
        <v>6.6924000000000001</v>
      </c>
      <c r="I57" s="290">
        <v>0</v>
      </c>
      <c r="J57" s="205">
        <f t="shared" si="22"/>
        <v>0</v>
      </c>
      <c r="K57" s="290">
        <v>0</v>
      </c>
      <c r="L57" s="205">
        <f t="shared" ref="L57:L64" si="23">F57*K57</f>
        <v>0</v>
      </c>
      <c r="M57" s="290">
        <v>0</v>
      </c>
      <c r="N57" s="205">
        <f t="shared" si="19"/>
        <v>0</v>
      </c>
      <c r="O57" s="290">
        <v>0</v>
      </c>
      <c r="P57" s="205">
        <f t="shared" si="20"/>
        <v>0</v>
      </c>
      <c r="Q57" s="290">
        <v>0</v>
      </c>
      <c r="R57" s="205">
        <f t="shared" si="21"/>
        <v>0</v>
      </c>
      <c r="S57" s="39">
        <f t="shared" si="7"/>
        <v>495</v>
      </c>
      <c r="T57" s="38">
        <f t="shared" si="4"/>
        <v>6.6924000000000001</v>
      </c>
      <c r="U57" s="290">
        <v>0</v>
      </c>
      <c r="V57" s="13">
        <f t="shared" si="8"/>
        <v>0</v>
      </c>
      <c r="W57" s="294">
        <f t="shared" si="9"/>
        <v>495</v>
      </c>
      <c r="X57" s="295">
        <f t="shared" si="10"/>
        <v>6.6924000000000001</v>
      </c>
      <c r="Y57" s="101"/>
      <c r="Z57" s="101"/>
    </row>
    <row r="58" spans="1:26" x14ac:dyDescent="0.25">
      <c r="A58" s="264">
        <v>54</v>
      </c>
      <c r="B58" s="101" t="s">
        <v>193</v>
      </c>
      <c r="C58" s="264">
        <v>80</v>
      </c>
      <c r="D58" s="264">
        <v>75</v>
      </c>
      <c r="E58" s="264">
        <v>5</v>
      </c>
      <c r="F58" s="19">
        <f t="shared" si="5"/>
        <v>0.03</v>
      </c>
      <c r="G58" s="264">
        <v>117</v>
      </c>
      <c r="H58" s="299">
        <f t="shared" si="6"/>
        <v>3.51</v>
      </c>
      <c r="I58" s="290">
        <v>0</v>
      </c>
      <c r="J58" s="205">
        <f t="shared" si="22"/>
        <v>0</v>
      </c>
      <c r="K58" s="290">
        <v>0</v>
      </c>
      <c r="L58" s="205">
        <f t="shared" si="23"/>
        <v>0</v>
      </c>
      <c r="M58" s="290">
        <v>0</v>
      </c>
      <c r="N58" s="205">
        <f t="shared" si="19"/>
        <v>0</v>
      </c>
      <c r="O58" s="290">
        <v>0</v>
      </c>
      <c r="P58" s="205">
        <f t="shared" si="20"/>
        <v>0</v>
      </c>
      <c r="Q58" s="290">
        <v>0</v>
      </c>
      <c r="R58" s="205">
        <f t="shared" si="21"/>
        <v>0</v>
      </c>
      <c r="S58" s="39">
        <f t="shared" si="7"/>
        <v>117</v>
      </c>
      <c r="T58" s="38">
        <f t="shared" si="4"/>
        <v>3.51</v>
      </c>
      <c r="U58" s="290">
        <v>0</v>
      </c>
      <c r="V58" s="308">
        <f t="shared" si="8"/>
        <v>0</v>
      </c>
      <c r="W58" s="294">
        <f t="shared" si="9"/>
        <v>117</v>
      </c>
      <c r="X58" s="300">
        <f t="shared" si="10"/>
        <v>3.51</v>
      </c>
      <c r="Y58" s="101"/>
      <c r="Z58" s="101"/>
    </row>
    <row r="59" spans="1:26" x14ac:dyDescent="0.25">
      <c r="A59" s="264">
        <v>55</v>
      </c>
      <c r="B59" s="101" t="s">
        <v>194</v>
      </c>
      <c r="C59" s="264">
        <v>58</v>
      </c>
      <c r="D59" s="264">
        <v>25</v>
      </c>
      <c r="E59" s="264">
        <v>3</v>
      </c>
      <c r="F59" s="298">
        <f t="shared" si="5"/>
        <v>4.3499999999999997E-3</v>
      </c>
      <c r="G59" s="264">
        <v>1040</v>
      </c>
      <c r="H59" s="299">
        <f t="shared" si="6"/>
        <v>4.524</v>
      </c>
      <c r="I59" s="290">
        <v>50</v>
      </c>
      <c r="J59" s="205">
        <f t="shared" si="22"/>
        <v>0.21749999999999997</v>
      </c>
      <c r="K59" s="290">
        <v>150</v>
      </c>
      <c r="L59" s="205">
        <f t="shared" si="23"/>
        <v>0.65249999999999997</v>
      </c>
      <c r="M59" s="290">
        <v>160</v>
      </c>
      <c r="N59" s="205">
        <f t="shared" si="19"/>
        <v>0.69599999999999995</v>
      </c>
      <c r="O59" s="290">
        <v>0</v>
      </c>
      <c r="P59" s="205">
        <f t="shared" si="20"/>
        <v>0</v>
      </c>
      <c r="Q59" s="290">
        <v>0</v>
      </c>
      <c r="R59" s="205">
        <f>F59*Q59</f>
        <v>0</v>
      </c>
      <c r="S59" s="39">
        <f t="shared" si="7"/>
        <v>680</v>
      </c>
      <c r="T59" s="38">
        <f t="shared" si="4"/>
        <v>2.9579999999999997</v>
      </c>
      <c r="U59" s="290">
        <v>0</v>
      </c>
      <c r="V59" s="309">
        <f t="shared" si="8"/>
        <v>0</v>
      </c>
      <c r="W59" s="294">
        <f t="shared" si="9"/>
        <v>680</v>
      </c>
      <c r="X59" s="300">
        <f t="shared" si="10"/>
        <v>2.9579999999999997</v>
      </c>
      <c r="Y59" s="101"/>
      <c r="Z59" s="101"/>
    </row>
    <row r="60" spans="1:26" x14ac:dyDescent="0.25">
      <c r="A60" s="264">
        <v>56</v>
      </c>
      <c r="B60" s="101" t="s">
        <v>195</v>
      </c>
      <c r="C60" s="264">
        <v>64</v>
      </c>
      <c r="D60" s="264">
        <v>58</v>
      </c>
      <c r="E60" s="264">
        <v>5</v>
      </c>
      <c r="F60" s="298">
        <f t="shared" si="5"/>
        <v>1.856E-2</v>
      </c>
      <c r="G60" s="264">
        <v>945</v>
      </c>
      <c r="H60" s="299">
        <f t="shared" si="6"/>
        <v>17.539200000000001</v>
      </c>
      <c r="I60" s="290">
        <v>54</v>
      </c>
      <c r="J60" s="205">
        <f t="shared" si="22"/>
        <v>1.00224</v>
      </c>
      <c r="K60" s="290">
        <v>150</v>
      </c>
      <c r="L60" s="205">
        <f t="shared" si="23"/>
        <v>2.7839999999999998</v>
      </c>
      <c r="M60" s="290">
        <v>160</v>
      </c>
      <c r="N60" s="205">
        <f t="shared" si="19"/>
        <v>2.9695999999999998</v>
      </c>
      <c r="O60" s="290">
        <v>0</v>
      </c>
      <c r="P60" s="205">
        <f t="shared" si="20"/>
        <v>0</v>
      </c>
      <c r="Q60" s="290">
        <v>0</v>
      </c>
      <c r="R60" s="205">
        <f t="shared" ref="R60:R65" si="24">F60*Q60</f>
        <v>0</v>
      </c>
      <c r="S60" s="39">
        <f t="shared" si="7"/>
        <v>581</v>
      </c>
      <c r="T60" s="38">
        <f t="shared" si="4"/>
        <v>10.78336</v>
      </c>
      <c r="U60" s="290">
        <v>0</v>
      </c>
      <c r="V60" s="309">
        <f t="shared" si="8"/>
        <v>0</v>
      </c>
      <c r="W60" s="294">
        <f t="shared" si="9"/>
        <v>581</v>
      </c>
      <c r="X60" s="301">
        <f t="shared" si="10"/>
        <v>10.78336</v>
      </c>
      <c r="Y60" s="101"/>
      <c r="Z60" s="101"/>
    </row>
    <row r="61" spans="1:26" x14ac:dyDescent="0.25">
      <c r="A61" s="264">
        <v>57</v>
      </c>
      <c r="B61" s="101" t="s">
        <v>197</v>
      </c>
      <c r="C61" s="264">
        <v>65</v>
      </c>
      <c r="D61" s="264">
        <v>65</v>
      </c>
      <c r="E61" s="264">
        <v>5</v>
      </c>
      <c r="F61" s="101">
        <f t="shared" si="5"/>
        <v>2.1125000000000001E-2</v>
      </c>
      <c r="G61" s="264">
        <v>312</v>
      </c>
      <c r="H61" s="299">
        <f t="shared" si="6"/>
        <v>6.5910000000000002</v>
      </c>
      <c r="I61" s="290">
        <v>0</v>
      </c>
      <c r="J61" s="205">
        <f t="shared" si="22"/>
        <v>0</v>
      </c>
      <c r="K61" s="290">
        <v>0</v>
      </c>
      <c r="L61" s="205">
        <f t="shared" si="23"/>
        <v>0</v>
      </c>
      <c r="M61" s="290">
        <v>0</v>
      </c>
      <c r="N61" s="174">
        <f t="shared" si="19"/>
        <v>0</v>
      </c>
      <c r="O61" s="290">
        <v>0</v>
      </c>
      <c r="P61" s="205">
        <f t="shared" si="20"/>
        <v>0</v>
      </c>
      <c r="Q61" s="290">
        <v>0</v>
      </c>
      <c r="R61" s="205">
        <f t="shared" si="24"/>
        <v>0</v>
      </c>
      <c r="S61" s="39">
        <f t="shared" si="7"/>
        <v>312</v>
      </c>
      <c r="T61" s="38">
        <f t="shared" si="4"/>
        <v>6.5910000000000002</v>
      </c>
      <c r="U61" s="290">
        <v>0</v>
      </c>
      <c r="V61" s="309">
        <f t="shared" si="8"/>
        <v>0</v>
      </c>
      <c r="W61" s="294">
        <f t="shared" si="9"/>
        <v>312</v>
      </c>
      <c r="X61" s="300">
        <f t="shared" si="10"/>
        <v>6.5910000000000002</v>
      </c>
      <c r="Y61" s="101"/>
      <c r="Z61" s="101"/>
    </row>
    <row r="62" spans="1:26" x14ac:dyDescent="0.25">
      <c r="A62" s="264">
        <v>58</v>
      </c>
      <c r="B62" s="101" t="s">
        <v>198</v>
      </c>
      <c r="C62" s="264">
        <v>83</v>
      </c>
      <c r="D62" s="264">
        <v>55</v>
      </c>
      <c r="E62" s="264">
        <v>3</v>
      </c>
      <c r="F62" s="101">
        <f t="shared" si="5"/>
        <v>1.3695000000000001E-2</v>
      </c>
      <c r="G62" s="264">
        <v>400</v>
      </c>
      <c r="H62" s="299">
        <f t="shared" si="6"/>
        <v>5.4780000000000006</v>
      </c>
      <c r="I62" s="290">
        <v>0</v>
      </c>
      <c r="J62" s="205">
        <f t="shared" si="22"/>
        <v>0</v>
      </c>
      <c r="K62" s="290">
        <v>0</v>
      </c>
      <c r="L62" s="205">
        <f t="shared" si="23"/>
        <v>0</v>
      </c>
      <c r="M62" s="290">
        <v>0</v>
      </c>
      <c r="N62" s="174">
        <f t="shared" si="19"/>
        <v>0</v>
      </c>
      <c r="O62" s="290">
        <v>0</v>
      </c>
      <c r="P62" s="205">
        <f t="shared" si="20"/>
        <v>0</v>
      </c>
      <c r="Q62" s="290">
        <v>0</v>
      </c>
      <c r="R62" s="205">
        <f t="shared" si="24"/>
        <v>0</v>
      </c>
      <c r="S62" s="39">
        <f t="shared" si="7"/>
        <v>400</v>
      </c>
      <c r="T62" s="38">
        <f t="shared" si="4"/>
        <v>5.4780000000000006</v>
      </c>
      <c r="U62" s="290">
        <v>0</v>
      </c>
      <c r="V62" s="309">
        <f t="shared" si="8"/>
        <v>0</v>
      </c>
      <c r="W62" s="294">
        <f t="shared" si="9"/>
        <v>400</v>
      </c>
      <c r="X62" s="300">
        <f t="shared" si="10"/>
        <v>5.4780000000000006</v>
      </c>
      <c r="Y62" s="101"/>
      <c r="Z62" s="101"/>
    </row>
    <row r="63" spans="1:26" x14ac:dyDescent="0.25">
      <c r="A63" s="264">
        <v>59</v>
      </c>
      <c r="B63" s="101" t="s">
        <v>199</v>
      </c>
      <c r="C63" s="264">
        <v>75</v>
      </c>
      <c r="D63" s="264">
        <v>55</v>
      </c>
      <c r="E63" s="264">
        <v>3</v>
      </c>
      <c r="F63" s="101">
        <f t="shared" si="5"/>
        <v>1.2375000000000001E-2</v>
      </c>
      <c r="G63" s="264">
        <v>476</v>
      </c>
      <c r="H63" s="299">
        <f t="shared" si="6"/>
        <v>5.8905000000000003</v>
      </c>
      <c r="I63" s="290">
        <v>59</v>
      </c>
      <c r="J63" s="205">
        <f t="shared" si="22"/>
        <v>0.73012500000000002</v>
      </c>
      <c r="K63" s="290">
        <v>150</v>
      </c>
      <c r="L63" s="205">
        <f t="shared" si="23"/>
        <v>1.8562500000000002</v>
      </c>
      <c r="M63" s="290">
        <v>170</v>
      </c>
      <c r="N63" s="174">
        <f t="shared" si="19"/>
        <v>2.1037500000000002</v>
      </c>
      <c r="O63" s="290">
        <v>0</v>
      </c>
      <c r="P63" s="205">
        <f t="shared" si="20"/>
        <v>0</v>
      </c>
      <c r="Q63" s="290">
        <v>0</v>
      </c>
      <c r="R63" s="205">
        <f t="shared" si="24"/>
        <v>0</v>
      </c>
      <c r="S63" s="39">
        <f t="shared" si="7"/>
        <v>97</v>
      </c>
      <c r="T63" s="38">
        <f t="shared" si="4"/>
        <v>1.200375</v>
      </c>
      <c r="U63" s="290">
        <v>0</v>
      </c>
      <c r="V63" s="309">
        <f t="shared" si="8"/>
        <v>0</v>
      </c>
      <c r="W63" s="294">
        <f t="shared" si="9"/>
        <v>97</v>
      </c>
      <c r="X63" s="300">
        <f t="shared" si="10"/>
        <v>1.200375</v>
      </c>
      <c r="Y63" s="101"/>
      <c r="Z63" s="101"/>
    </row>
    <row r="64" spans="1:26" x14ac:dyDescent="0.25">
      <c r="A64" s="264">
        <v>60</v>
      </c>
      <c r="B64" s="101" t="s">
        <v>200</v>
      </c>
      <c r="C64" s="264">
        <v>58</v>
      </c>
      <c r="D64" s="264">
        <v>19</v>
      </c>
      <c r="E64" s="264">
        <v>3</v>
      </c>
      <c r="F64" s="101">
        <f t="shared" si="5"/>
        <v>3.3059999999999999E-3</v>
      </c>
      <c r="G64" s="264">
        <v>690</v>
      </c>
      <c r="H64" s="299">
        <f t="shared" si="6"/>
        <v>2.2811399999999997</v>
      </c>
      <c r="I64" s="290">
        <v>50</v>
      </c>
      <c r="J64" s="205">
        <f t="shared" si="22"/>
        <v>0.1653</v>
      </c>
      <c r="K64" s="290">
        <v>150</v>
      </c>
      <c r="L64" s="205">
        <f t="shared" si="23"/>
        <v>0.49590000000000001</v>
      </c>
      <c r="M64" s="290">
        <v>160</v>
      </c>
      <c r="N64" s="174">
        <f t="shared" si="19"/>
        <v>0.52895999999999999</v>
      </c>
      <c r="O64" s="290">
        <v>0</v>
      </c>
      <c r="P64" s="205">
        <f t="shared" si="20"/>
        <v>0</v>
      </c>
      <c r="Q64" s="290">
        <v>0</v>
      </c>
      <c r="R64" s="205">
        <f t="shared" si="24"/>
        <v>0</v>
      </c>
      <c r="S64" s="39">
        <f t="shared" si="7"/>
        <v>330</v>
      </c>
      <c r="T64" s="38">
        <f t="shared" si="4"/>
        <v>1.0909800000000001</v>
      </c>
      <c r="U64" s="290">
        <v>0</v>
      </c>
      <c r="V64" s="309">
        <f t="shared" si="8"/>
        <v>0</v>
      </c>
      <c r="W64" s="294">
        <f t="shared" si="9"/>
        <v>330</v>
      </c>
      <c r="X64" s="300">
        <f t="shared" si="10"/>
        <v>1.0909800000000001</v>
      </c>
      <c r="Y64" s="101"/>
      <c r="Z64" s="101"/>
    </row>
    <row r="65" spans="1:26" x14ac:dyDescent="0.25">
      <c r="A65" s="264">
        <v>61</v>
      </c>
      <c r="B65" s="101" t="s">
        <v>202</v>
      </c>
      <c r="C65" s="264">
        <v>140</v>
      </c>
      <c r="D65" s="264">
        <v>240</v>
      </c>
      <c r="E65" s="264">
        <v>4</v>
      </c>
      <c r="F65" s="101">
        <f t="shared" si="5"/>
        <v>0.13439999999999999</v>
      </c>
      <c r="G65" s="264">
        <v>77</v>
      </c>
      <c r="H65" s="299">
        <f t="shared" si="6"/>
        <v>10.348799999999999</v>
      </c>
      <c r="I65" s="290">
        <v>0</v>
      </c>
      <c r="J65" s="205">
        <f t="shared" si="22"/>
        <v>0</v>
      </c>
      <c r="K65" s="290">
        <v>0</v>
      </c>
      <c r="L65" s="205">
        <v>3.9</v>
      </c>
      <c r="M65" s="290">
        <v>0</v>
      </c>
      <c r="N65" s="174">
        <f t="shared" si="19"/>
        <v>0</v>
      </c>
      <c r="O65" s="290">
        <v>0</v>
      </c>
      <c r="P65" s="205">
        <f t="shared" si="20"/>
        <v>0</v>
      </c>
      <c r="Q65" s="290">
        <v>0</v>
      </c>
      <c r="R65" s="205">
        <f t="shared" si="24"/>
        <v>0</v>
      </c>
      <c r="S65" s="39">
        <f t="shared" si="7"/>
        <v>77</v>
      </c>
      <c r="T65" s="38">
        <f t="shared" si="4"/>
        <v>10.348799999999999</v>
      </c>
      <c r="U65" s="290">
        <v>0</v>
      </c>
      <c r="V65" s="309">
        <f t="shared" si="8"/>
        <v>0</v>
      </c>
      <c r="W65" s="294">
        <f t="shared" si="9"/>
        <v>77</v>
      </c>
      <c r="X65" s="300">
        <f t="shared" si="10"/>
        <v>10.348799999999999</v>
      </c>
      <c r="Y65" s="101"/>
      <c r="Z65" s="101"/>
    </row>
    <row r="66" spans="1:26" x14ac:dyDescent="0.25">
      <c r="A66" s="264">
        <v>62</v>
      </c>
      <c r="B66" s="101" t="s">
        <v>203</v>
      </c>
      <c r="C66" s="264">
        <v>50</v>
      </c>
      <c r="D66" s="264">
        <v>46.5</v>
      </c>
      <c r="E66" s="264">
        <v>3</v>
      </c>
      <c r="F66" s="101">
        <f t="shared" si="5"/>
        <v>6.9750000000000003E-3</v>
      </c>
      <c r="G66" s="264">
        <v>2055</v>
      </c>
      <c r="H66" s="289">
        <f t="shared" si="6"/>
        <v>14.333625000000001</v>
      </c>
      <c r="I66" s="290">
        <v>100</v>
      </c>
      <c r="J66" s="205">
        <f t="shared" si="22"/>
        <v>0.69750000000000001</v>
      </c>
      <c r="K66" s="290">
        <v>0</v>
      </c>
      <c r="L66" s="101"/>
      <c r="M66" s="290">
        <v>0</v>
      </c>
      <c r="N66" s="264">
        <f t="shared" si="19"/>
        <v>0</v>
      </c>
      <c r="O66" s="290">
        <v>100</v>
      </c>
      <c r="P66" s="264">
        <f t="shared" si="20"/>
        <v>0.69750000000000001</v>
      </c>
      <c r="Q66" s="290">
        <v>0</v>
      </c>
      <c r="R66" s="101"/>
      <c r="S66" s="39">
        <f t="shared" si="7"/>
        <v>1855</v>
      </c>
      <c r="T66" s="38">
        <f t="shared" si="4"/>
        <v>12.938625</v>
      </c>
      <c r="U66" s="290">
        <v>0</v>
      </c>
      <c r="V66" s="309">
        <f t="shared" si="8"/>
        <v>0</v>
      </c>
      <c r="W66" s="294">
        <f t="shared" si="9"/>
        <v>1855</v>
      </c>
      <c r="X66" s="300">
        <f t="shared" si="10"/>
        <v>12.938625</v>
      </c>
      <c r="Y66" s="101"/>
      <c r="Z66" s="101"/>
    </row>
    <row r="67" spans="1:26" x14ac:dyDescent="0.25">
      <c r="A67" s="264">
        <v>63</v>
      </c>
      <c r="B67" s="101" t="s">
        <v>204</v>
      </c>
      <c r="C67" s="264">
        <v>50</v>
      </c>
      <c r="D67" s="264">
        <v>35</v>
      </c>
      <c r="E67" s="264">
        <v>3</v>
      </c>
      <c r="F67" s="101">
        <f t="shared" si="5"/>
        <v>5.2500000000000003E-3</v>
      </c>
      <c r="G67" s="264">
        <v>2143</v>
      </c>
      <c r="H67" s="289">
        <f t="shared" si="6"/>
        <v>11.25075</v>
      </c>
      <c r="I67" s="290">
        <v>100</v>
      </c>
      <c r="J67" s="205">
        <f t="shared" si="22"/>
        <v>0.52500000000000002</v>
      </c>
      <c r="K67" s="290">
        <v>0</v>
      </c>
      <c r="L67" s="205">
        <f t="shared" ref="L67" si="25">F67*K67</f>
        <v>0</v>
      </c>
      <c r="M67" s="290">
        <v>0</v>
      </c>
      <c r="N67" s="313">
        <f t="shared" si="19"/>
        <v>0</v>
      </c>
      <c r="O67" s="290">
        <v>0</v>
      </c>
      <c r="P67" s="264"/>
      <c r="Q67" s="290">
        <v>0</v>
      </c>
      <c r="R67" s="101"/>
      <c r="S67" s="39">
        <f t="shared" si="7"/>
        <v>2043</v>
      </c>
      <c r="T67" s="38">
        <f t="shared" si="4"/>
        <v>10.725750000000001</v>
      </c>
      <c r="U67" s="290">
        <v>0</v>
      </c>
      <c r="V67" s="309">
        <f t="shared" si="8"/>
        <v>0</v>
      </c>
      <c r="W67" s="294">
        <f t="shared" si="9"/>
        <v>2043</v>
      </c>
      <c r="X67" s="300">
        <f t="shared" si="10"/>
        <v>10.725750000000001</v>
      </c>
      <c r="Y67" s="101"/>
      <c r="Z67" s="101"/>
    </row>
    <row r="68" spans="1:26" x14ac:dyDescent="0.25">
      <c r="A68" s="264">
        <v>64</v>
      </c>
      <c r="B68" s="101" t="s">
        <v>205</v>
      </c>
      <c r="C68" s="264"/>
      <c r="D68" s="264"/>
      <c r="E68" s="264"/>
      <c r="F68" s="101"/>
      <c r="G68" s="264">
        <v>12</v>
      </c>
      <c r="H68" s="289"/>
      <c r="I68" s="290">
        <v>0</v>
      </c>
      <c r="J68" s="101"/>
      <c r="K68" s="290">
        <v>0</v>
      </c>
      <c r="L68" s="101"/>
      <c r="M68" s="290">
        <v>0</v>
      </c>
      <c r="N68" s="313">
        <v>0</v>
      </c>
      <c r="O68" s="290">
        <v>0</v>
      </c>
      <c r="P68" s="264"/>
      <c r="Q68" s="290">
        <v>0</v>
      </c>
      <c r="R68" s="101">
        <v>5.1070000000000002</v>
      </c>
      <c r="S68" s="39">
        <f t="shared" si="7"/>
        <v>12</v>
      </c>
      <c r="T68" s="38">
        <f t="shared" si="4"/>
        <v>0</v>
      </c>
      <c r="U68" s="290">
        <v>0</v>
      </c>
      <c r="V68" s="309">
        <v>9.1389999999999993</v>
      </c>
      <c r="W68" s="294">
        <f t="shared" si="9"/>
        <v>12</v>
      </c>
      <c r="X68" s="300">
        <f t="shared" si="10"/>
        <v>0</v>
      </c>
      <c r="Y68" s="101"/>
      <c r="Z68" s="101"/>
    </row>
    <row r="69" spans="1:26" x14ac:dyDescent="0.25">
      <c r="A69" s="264">
        <v>65</v>
      </c>
      <c r="B69" s="101" t="s">
        <v>206</v>
      </c>
      <c r="C69" s="264"/>
      <c r="D69" s="264"/>
      <c r="E69" s="264"/>
      <c r="F69" s="101"/>
      <c r="G69" s="264">
        <v>73</v>
      </c>
      <c r="H69" s="289"/>
      <c r="I69" s="290">
        <v>0</v>
      </c>
      <c r="J69" s="101"/>
      <c r="K69" s="290">
        <v>0</v>
      </c>
      <c r="L69" s="101"/>
      <c r="M69" s="290">
        <v>5</v>
      </c>
      <c r="N69" s="174">
        <v>0.33600000000000002</v>
      </c>
      <c r="O69" s="290">
        <v>0</v>
      </c>
      <c r="P69" s="264">
        <f t="shared" ref="P69" si="26">F69*O69</f>
        <v>0</v>
      </c>
      <c r="Q69" s="290">
        <v>0</v>
      </c>
      <c r="R69" s="205">
        <f t="shared" ref="R69" si="27">F69*Q69</f>
        <v>0</v>
      </c>
      <c r="S69" s="39">
        <f t="shared" si="7"/>
        <v>68</v>
      </c>
      <c r="T69" s="38">
        <f t="shared" ref="T69:T70" si="28">F69*S69</f>
        <v>0</v>
      </c>
      <c r="U69" s="290">
        <v>0</v>
      </c>
      <c r="V69" s="309">
        <v>6.72</v>
      </c>
      <c r="W69" s="294">
        <f t="shared" si="9"/>
        <v>68</v>
      </c>
      <c r="X69" s="300">
        <f t="shared" si="10"/>
        <v>0</v>
      </c>
      <c r="Y69" s="101"/>
      <c r="Z69" s="101"/>
    </row>
    <row r="70" spans="1:26" x14ac:dyDescent="0.25">
      <c r="A70" s="264">
        <v>66</v>
      </c>
      <c r="B70" s="101"/>
      <c r="C70" s="264"/>
      <c r="D70" s="264"/>
      <c r="E70" s="264"/>
      <c r="F70" s="101"/>
      <c r="G70" s="264"/>
      <c r="H70" s="289"/>
      <c r="I70" s="290">
        <v>0</v>
      </c>
      <c r="J70" s="101"/>
      <c r="K70" s="290">
        <v>0</v>
      </c>
      <c r="L70" s="101"/>
      <c r="M70" s="290">
        <v>0</v>
      </c>
      <c r="N70" s="313">
        <f t="shared" si="19"/>
        <v>0</v>
      </c>
      <c r="O70" s="290">
        <v>0</v>
      </c>
      <c r="P70" s="101"/>
      <c r="Q70" s="290">
        <v>0</v>
      </c>
      <c r="R70" s="101"/>
      <c r="S70" s="39">
        <f t="shared" ref="S70" si="29">G70-I70-K70-M70-O70-Q70</f>
        <v>0</v>
      </c>
      <c r="T70" s="38">
        <f t="shared" si="28"/>
        <v>0</v>
      </c>
      <c r="U70" s="290">
        <v>0</v>
      </c>
      <c r="V70" s="309">
        <f t="shared" ref="V70" si="30">F70*U70</f>
        <v>0</v>
      </c>
      <c r="W70" s="294">
        <f t="shared" ref="W70" si="31">S70+U70</f>
        <v>0</v>
      </c>
      <c r="X70" s="300">
        <f t="shared" ref="X70" si="32">F70*W70</f>
        <v>0</v>
      </c>
      <c r="Y70" s="101"/>
      <c r="Z70" s="101"/>
    </row>
    <row r="71" spans="1:26" x14ac:dyDescent="0.2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spans="1:26" x14ac:dyDescent="0.2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1:26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1:26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1:26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1:26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1:26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1:26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</sheetData>
  <mergeCells count="24">
    <mergeCell ref="S4:T4"/>
    <mergeCell ref="U4:V4"/>
    <mergeCell ref="W4:X4"/>
    <mergeCell ref="G4:H4"/>
    <mergeCell ref="I4:J4"/>
    <mergeCell ref="K4:L4"/>
    <mergeCell ref="M4:N4"/>
    <mergeCell ref="O4:P4"/>
    <mergeCell ref="Q4:R4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C1:H1"/>
    <mergeCell ref="G2:H3"/>
    <mergeCell ref="I2:J2"/>
    <mergeCell ref="K2:L2"/>
    <mergeCell ref="M2:N2"/>
  </mergeCell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Z78"/>
  <sheetViews>
    <sheetView workbookViewId="0">
      <selection activeCell="Q31" sqref="Q31"/>
    </sheetView>
  </sheetViews>
  <sheetFormatPr defaultRowHeight="15" x14ac:dyDescent="0.25"/>
  <cols>
    <col min="1" max="1" width="5" customWidth="1"/>
    <col min="2" max="2" width="32" style="3" customWidth="1"/>
    <col min="3" max="3" width="11.7109375" style="2" hidden="1" customWidth="1"/>
    <col min="4" max="4" width="11.85546875" style="2" hidden="1" customWidth="1"/>
    <col min="5" max="5" width="12.5703125" style="2" hidden="1" customWidth="1"/>
    <col min="6" max="6" width="16.140625" style="4" hidden="1" customWidth="1"/>
    <col min="7" max="7" width="7.5703125" style="5" customWidth="1"/>
    <col min="8" max="8" width="9" style="5" customWidth="1"/>
    <col min="9" max="9" width="6" style="2" customWidth="1"/>
    <col min="10" max="10" width="7.140625" style="2" customWidth="1"/>
    <col min="11" max="11" width="6.28515625" style="2" customWidth="1"/>
    <col min="12" max="12" width="8" style="2" customWidth="1"/>
    <col min="13" max="20" width="6.42578125" style="2" customWidth="1"/>
    <col min="21" max="24" width="6.42578125" customWidth="1"/>
    <col min="25" max="25" width="10.28515625" customWidth="1"/>
  </cols>
  <sheetData>
    <row r="1" spans="1:26" ht="15.75" thickBot="1" x14ac:dyDescent="0.3">
      <c r="B1" s="4" t="s">
        <v>18</v>
      </c>
      <c r="C1" s="384">
        <v>45627</v>
      </c>
      <c r="D1" s="320"/>
      <c r="E1" s="320"/>
      <c r="F1" s="320"/>
      <c r="G1" s="320"/>
      <c r="H1" s="320"/>
      <c r="Y1" s="314">
        <v>45656</v>
      </c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45660</v>
      </c>
      <c r="J2" s="326"/>
      <c r="K2" s="327">
        <v>45667</v>
      </c>
      <c r="L2" s="328"/>
      <c r="M2" s="325">
        <v>45674</v>
      </c>
      <c r="N2" s="329"/>
      <c r="O2" s="327">
        <v>45681</v>
      </c>
      <c r="P2" s="346"/>
      <c r="Q2" s="325">
        <v>45688</v>
      </c>
      <c r="R2" s="329"/>
      <c r="S2" s="330" t="s">
        <v>69</v>
      </c>
      <c r="T2" s="331"/>
      <c r="U2" s="334" t="s">
        <v>70</v>
      </c>
      <c r="V2" s="335"/>
      <c r="W2" s="385" t="s">
        <v>71</v>
      </c>
      <c r="X2" s="386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87"/>
      <c r="X3" s="388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89" t="s">
        <v>63</v>
      </c>
      <c r="X4" s="390"/>
      <c r="Y4" s="268" t="s">
        <v>179</v>
      </c>
      <c r="Z4" s="269" t="s">
        <v>99</v>
      </c>
    </row>
    <row r="5" spans="1:26" x14ac:dyDescent="0.25">
      <c r="A5" s="263">
        <v>1</v>
      </c>
      <c r="B5" s="256" t="s">
        <v>134</v>
      </c>
      <c r="C5" s="32">
        <v>70</v>
      </c>
      <c r="D5" s="33">
        <v>64</v>
      </c>
      <c r="E5" s="33">
        <v>8</v>
      </c>
      <c r="F5" s="15">
        <f>(C5*D5*E5)/1000000</f>
        <v>3.5839999999999997E-2</v>
      </c>
      <c r="G5" s="286">
        <v>273</v>
      </c>
      <c r="H5" s="287">
        <f>F5*G5</f>
        <v>9.7843199999999992</v>
      </c>
      <c r="I5" s="290">
        <v>13</v>
      </c>
      <c r="J5" s="205">
        <f t="shared" ref="J5:R55" si="0">F5*I5</f>
        <v>0.46591999999999995</v>
      </c>
      <c r="K5" s="290">
        <v>21</v>
      </c>
      <c r="L5" s="205">
        <f>F5*K5</f>
        <v>0.75263999999999998</v>
      </c>
      <c r="M5" s="290">
        <v>0</v>
      </c>
      <c r="N5" s="205">
        <f t="shared" ref="N5:N10" si="1">F5*M5</f>
        <v>0</v>
      </c>
      <c r="O5" s="290">
        <v>0</v>
      </c>
      <c r="P5" s="205">
        <f t="shared" ref="P5:P10" si="2">F5*O5</f>
        <v>0</v>
      </c>
      <c r="Q5" s="290">
        <v>0</v>
      </c>
      <c r="R5" s="205">
        <f t="shared" ref="R5:R11" si="3">F5*Q5</f>
        <v>0</v>
      </c>
      <c r="S5" s="39">
        <f>G5-I5-K5-M5-O5-Q5</f>
        <v>239</v>
      </c>
      <c r="T5" s="38">
        <f t="shared" ref="T5:T68" si="4">F5*S5</f>
        <v>8.5657599999999992</v>
      </c>
      <c r="U5" s="290">
        <v>0</v>
      </c>
      <c r="V5" s="13">
        <f>F5*U5</f>
        <v>0</v>
      </c>
      <c r="W5" s="294">
        <f>S5+U5</f>
        <v>239</v>
      </c>
      <c r="X5" s="295">
        <f>F5*W5</f>
        <v>8.5657599999999992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135</v>
      </c>
      <c r="C6" s="34">
        <v>70</v>
      </c>
      <c r="D6" s="35">
        <v>80</v>
      </c>
      <c r="E6" s="35">
        <v>8</v>
      </c>
      <c r="F6" s="19">
        <f t="shared" ref="F6:F69" si="5">(C6*D6*E6)/1000000</f>
        <v>4.48E-2</v>
      </c>
      <c r="G6" s="286">
        <v>243</v>
      </c>
      <c r="H6" s="288">
        <f t="shared" ref="H6:H69" si="6">F6*G6</f>
        <v>10.8864</v>
      </c>
      <c r="I6" s="290">
        <v>12</v>
      </c>
      <c r="J6" s="205">
        <f t="shared" si="0"/>
        <v>0.53759999999999997</v>
      </c>
      <c r="K6" s="290">
        <v>0</v>
      </c>
      <c r="L6" s="205">
        <f>F6*K6</f>
        <v>0</v>
      </c>
      <c r="M6" s="290">
        <v>0</v>
      </c>
      <c r="N6" s="205">
        <f t="shared" si="1"/>
        <v>0</v>
      </c>
      <c r="O6" s="290">
        <v>0</v>
      </c>
      <c r="P6" s="205">
        <f t="shared" si="2"/>
        <v>0</v>
      </c>
      <c r="Q6" s="290">
        <v>0</v>
      </c>
      <c r="R6" s="205">
        <f t="shared" si="3"/>
        <v>0</v>
      </c>
      <c r="S6" s="39">
        <f t="shared" ref="S6:S69" si="7">G6-I6-K6-M6-O6-Q6</f>
        <v>231</v>
      </c>
      <c r="T6" s="38">
        <f t="shared" si="4"/>
        <v>10.348800000000001</v>
      </c>
      <c r="U6" s="290">
        <v>0</v>
      </c>
      <c r="V6" s="13">
        <f t="shared" ref="V6:V67" si="8">F6*U6</f>
        <v>0</v>
      </c>
      <c r="W6" s="294">
        <f t="shared" ref="W6:W69" si="9">S6+U6</f>
        <v>231</v>
      </c>
      <c r="X6" s="295">
        <f t="shared" ref="X6:X69" si="10">F6*W6</f>
        <v>10.348800000000001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136</v>
      </c>
      <c r="C7" s="34">
        <v>70</v>
      </c>
      <c r="D7" s="35">
        <v>74</v>
      </c>
      <c r="E7" s="35">
        <v>8</v>
      </c>
      <c r="F7" s="19">
        <f t="shared" si="5"/>
        <v>4.1439999999999998E-2</v>
      </c>
      <c r="G7" s="286">
        <v>216</v>
      </c>
      <c r="H7" s="288">
        <f t="shared" si="6"/>
        <v>8.951039999999999</v>
      </c>
      <c r="I7" s="290">
        <v>14</v>
      </c>
      <c r="J7" s="205">
        <f t="shared" si="0"/>
        <v>0.58016000000000001</v>
      </c>
      <c r="K7" s="290">
        <v>0</v>
      </c>
      <c r="L7" s="205">
        <f>F7*K7</f>
        <v>0</v>
      </c>
      <c r="M7" s="290">
        <v>0</v>
      </c>
      <c r="N7" s="205">
        <f t="shared" si="1"/>
        <v>0</v>
      </c>
      <c r="O7" s="290">
        <v>0</v>
      </c>
      <c r="P7" s="205">
        <f t="shared" si="2"/>
        <v>0</v>
      </c>
      <c r="Q7" s="290">
        <v>0</v>
      </c>
      <c r="R7" s="205">
        <f t="shared" si="3"/>
        <v>0</v>
      </c>
      <c r="S7" s="39">
        <f t="shared" si="7"/>
        <v>202</v>
      </c>
      <c r="T7" s="38">
        <f t="shared" si="4"/>
        <v>8.3708799999999997</v>
      </c>
      <c r="U7" s="290">
        <v>0</v>
      </c>
      <c r="V7" s="13">
        <f t="shared" si="8"/>
        <v>0</v>
      </c>
      <c r="W7" s="294">
        <f t="shared" si="9"/>
        <v>202</v>
      </c>
      <c r="X7" s="295">
        <f t="shared" si="10"/>
        <v>8.3708799999999997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208</v>
      </c>
      <c r="C8" s="34">
        <v>70</v>
      </c>
      <c r="D8" s="35">
        <v>88</v>
      </c>
      <c r="E8" s="35">
        <v>8</v>
      </c>
      <c r="F8" s="19">
        <f t="shared" si="5"/>
        <v>4.9279999999999997E-2</v>
      </c>
      <c r="G8" s="286">
        <v>273</v>
      </c>
      <c r="H8" s="288">
        <f t="shared" si="6"/>
        <v>13.453439999999999</v>
      </c>
      <c r="I8" s="290">
        <v>2</v>
      </c>
      <c r="J8" s="205">
        <f t="shared" si="0"/>
        <v>9.8559999999999995E-2</v>
      </c>
      <c r="K8" s="290">
        <v>0</v>
      </c>
      <c r="L8" s="205">
        <f>F8*K8</f>
        <v>0</v>
      </c>
      <c r="M8" s="290">
        <v>0</v>
      </c>
      <c r="N8" s="205">
        <f t="shared" si="1"/>
        <v>0</v>
      </c>
      <c r="O8" s="290">
        <v>0</v>
      </c>
      <c r="P8" s="205">
        <f t="shared" si="2"/>
        <v>0</v>
      </c>
      <c r="Q8" s="290">
        <v>0</v>
      </c>
      <c r="R8" s="205">
        <f t="shared" si="3"/>
        <v>0</v>
      </c>
      <c r="S8" s="39">
        <f t="shared" si="7"/>
        <v>271</v>
      </c>
      <c r="T8" s="38">
        <f t="shared" si="4"/>
        <v>13.35488</v>
      </c>
      <c r="U8" s="290">
        <v>0</v>
      </c>
      <c r="V8" s="13">
        <f t="shared" si="8"/>
        <v>0</v>
      </c>
      <c r="W8" s="294">
        <f t="shared" si="9"/>
        <v>271</v>
      </c>
      <c r="X8" s="295">
        <f t="shared" si="10"/>
        <v>13.35488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138</v>
      </c>
      <c r="C9" s="34">
        <v>140</v>
      </c>
      <c r="D9" s="35">
        <v>240</v>
      </c>
      <c r="E9" s="35">
        <v>5</v>
      </c>
      <c r="F9" s="19">
        <f t="shared" si="5"/>
        <v>0.16800000000000001</v>
      </c>
      <c r="G9" s="286">
        <v>301</v>
      </c>
      <c r="H9" s="288">
        <f t="shared" si="6"/>
        <v>50.568000000000005</v>
      </c>
      <c r="I9" s="290">
        <v>36</v>
      </c>
      <c r="J9" s="205">
        <f t="shared" si="0"/>
        <v>6.048</v>
      </c>
      <c r="K9" s="290">
        <v>24</v>
      </c>
      <c r="L9" s="205">
        <f>F9*K9</f>
        <v>4.032</v>
      </c>
      <c r="M9" s="290">
        <v>14</v>
      </c>
      <c r="N9" s="205">
        <f t="shared" si="1"/>
        <v>2.3520000000000003</v>
      </c>
      <c r="O9" s="290">
        <v>8</v>
      </c>
      <c r="P9" s="205">
        <f t="shared" si="2"/>
        <v>1.3440000000000001</v>
      </c>
      <c r="Q9" s="290">
        <v>35</v>
      </c>
      <c r="R9" s="205">
        <f t="shared" si="3"/>
        <v>5.8800000000000008</v>
      </c>
      <c r="S9" s="39">
        <f t="shared" si="7"/>
        <v>184</v>
      </c>
      <c r="T9" s="38">
        <f t="shared" si="4"/>
        <v>30.912000000000003</v>
      </c>
      <c r="U9" s="290">
        <v>13</v>
      </c>
      <c r="V9" s="13">
        <f t="shared" si="8"/>
        <v>2.1840000000000002</v>
      </c>
      <c r="W9" s="294">
        <f t="shared" si="9"/>
        <v>197</v>
      </c>
      <c r="X9" s="295">
        <f t="shared" si="10"/>
        <v>33.096000000000004</v>
      </c>
      <c r="Y9" s="238">
        <v>100</v>
      </c>
      <c r="Z9" s="101">
        <v>250</v>
      </c>
    </row>
    <row r="10" spans="1:26" x14ac:dyDescent="0.25">
      <c r="A10" s="264">
        <v>6</v>
      </c>
      <c r="B10" s="256" t="s">
        <v>139</v>
      </c>
      <c r="C10" s="34">
        <v>142</v>
      </c>
      <c r="D10" s="35">
        <v>67</v>
      </c>
      <c r="E10" s="35">
        <v>5</v>
      </c>
      <c r="F10" s="19">
        <f t="shared" si="5"/>
        <v>4.7570000000000001E-2</v>
      </c>
      <c r="G10" s="286">
        <v>0</v>
      </c>
      <c r="H10" s="288">
        <f t="shared" si="6"/>
        <v>0</v>
      </c>
      <c r="I10" s="290">
        <v>0</v>
      </c>
      <c r="J10" s="205">
        <f t="shared" si="0"/>
        <v>0</v>
      </c>
      <c r="K10" s="290">
        <v>0</v>
      </c>
      <c r="L10" s="205">
        <f t="shared" ref="L10" si="11">F10*K10</f>
        <v>0</v>
      </c>
      <c r="M10" s="290">
        <v>0</v>
      </c>
      <c r="N10" s="205">
        <f t="shared" si="1"/>
        <v>0</v>
      </c>
      <c r="O10" s="290">
        <v>0</v>
      </c>
      <c r="P10" s="205">
        <f t="shared" si="2"/>
        <v>0</v>
      </c>
      <c r="Q10" s="290">
        <v>0</v>
      </c>
      <c r="R10" s="205">
        <f t="shared" si="3"/>
        <v>0</v>
      </c>
      <c r="S10" s="39">
        <f t="shared" si="7"/>
        <v>0</v>
      </c>
      <c r="T10" s="38">
        <f t="shared" si="4"/>
        <v>0</v>
      </c>
      <c r="U10" s="290">
        <v>0</v>
      </c>
      <c r="V10" s="13">
        <f t="shared" si="8"/>
        <v>0</v>
      </c>
      <c r="W10" s="294">
        <f t="shared" si="9"/>
        <v>0</v>
      </c>
      <c r="X10" s="295">
        <f t="shared" si="10"/>
        <v>0</v>
      </c>
      <c r="Y10" s="238">
        <v>75</v>
      </c>
      <c r="Z10" s="101">
        <v>250</v>
      </c>
    </row>
    <row r="11" spans="1:26" x14ac:dyDescent="0.25">
      <c r="A11" s="264">
        <v>7</v>
      </c>
      <c r="B11" s="256" t="s">
        <v>207</v>
      </c>
      <c r="C11" s="34">
        <v>140</v>
      </c>
      <c r="D11" s="35">
        <v>240</v>
      </c>
      <c r="E11" s="35">
        <v>8</v>
      </c>
      <c r="F11" s="19">
        <f t="shared" si="5"/>
        <v>0.26879999999999998</v>
      </c>
      <c r="G11" s="286">
        <v>49</v>
      </c>
      <c r="H11" s="288">
        <f t="shared" si="6"/>
        <v>13.171199999999999</v>
      </c>
      <c r="I11" s="290">
        <v>0</v>
      </c>
      <c r="J11" s="205">
        <f t="shared" si="0"/>
        <v>0</v>
      </c>
      <c r="K11" s="290">
        <v>0</v>
      </c>
      <c r="L11" s="205">
        <f>F11*K11</f>
        <v>0</v>
      </c>
      <c r="M11" s="290">
        <v>0</v>
      </c>
      <c r="N11" s="21">
        <v>0</v>
      </c>
      <c r="O11" s="290">
        <v>0</v>
      </c>
      <c r="P11" s="21">
        <v>0</v>
      </c>
      <c r="Q11" s="290">
        <v>0</v>
      </c>
      <c r="R11" s="205">
        <f t="shared" si="3"/>
        <v>0</v>
      </c>
      <c r="S11" s="39">
        <f t="shared" si="7"/>
        <v>49</v>
      </c>
      <c r="T11" s="38">
        <f t="shared" si="4"/>
        <v>13.171199999999999</v>
      </c>
      <c r="U11" s="290">
        <v>0</v>
      </c>
      <c r="V11" s="13">
        <f t="shared" si="8"/>
        <v>0</v>
      </c>
      <c r="W11" s="294">
        <f t="shared" si="9"/>
        <v>49</v>
      </c>
      <c r="X11" s="295">
        <f t="shared" si="10"/>
        <v>13.171199999999999</v>
      </c>
      <c r="Y11" s="238">
        <v>50</v>
      </c>
      <c r="Z11" s="101">
        <v>100</v>
      </c>
    </row>
    <row r="12" spans="1:26" x14ac:dyDescent="0.25">
      <c r="A12" s="264">
        <v>8</v>
      </c>
      <c r="B12" s="256" t="s">
        <v>191</v>
      </c>
      <c r="C12" s="34">
        <v>75</v>
      </c>
      <c r="D12" s="35">
        <v>54</v>
      </c>
      <c r="E12" s="35">
        <v>5</v>
      </c>
      <c r="F12" s="19">
        <f t="shared" si="5"/>
        <v>2.0250000000000001E-2</v>
      </c>
      <c r="G12" s="286">
        <v>0</v>
      </c>
      <c r="H12" s="288">
        <f t="shared" si="6"/>
        <v>0</v>
      </c>
      <c r="I12" s="290">
        <v>0</v>
      </c>
      <c r="J12" s="205">
        <f t="shared" si="0"/>
        <v>0</v>
      </c>
      <c r="K12" s="290">
        <v>0</v>
      </c>
      <c r="L12" s="205">
        <f>F12*K12</f>
        <v>0</v>
      </c>
      <c r="M12" s="290">
        <v>0</v>
      </c>
      <c r="N12" s="205">
        <f>F12*M12</f>
        <v>0</v>
      </c>
      <c r="O12" s="290">
        <v>0</v>
      </c>
      <c r="P12" s="205">
        <f>F12*O12</f>
        <v>0</v>
      </c>
      <c r="Q12" s="290">
        <v>0</v>
      </c>
      <c r="R12" s="21">
        <v>0</v>
      </c>
      <c r="S12" s="39">
        <f t="shared" si="7"/>
        <v>0</v>
      </c>
      <c r="T12" s="38">
        <f t="shared" si="4"/>
        <v>0</v>
      </c>
      <c r="U12" s="290">
        <v>0</v>
      </c>
      <c r="V12" s="13">
        <f t="shared" si="8"/>
        <v>0</v>
      </c>
      <c r="W12" s="294">
        <f t="shared" si="9"/>
        <v>0</v>
      </c>
      <c r="X12" s="295">
        <f t="shared" si="10"/>
        <v>0</v>
      </c>
      <c r="Y12" s="238">
        <v>50</v>
      </c>
      <c r="Z12" s="101">
        <v>100</v>
      </c>
    </row>
    <row r="13" spans="1:26" x14ac:dyDescent="0.25">
      <c r="A13" s="264">
        <v>9</v>
      </c>
      <c r="B13" s="256" t="s">
        <v>142</v>
      </c>
      <c r="C13" s="34">
        <v>140</v>
      </c>
      <c r="D13" s="35">
        <v>240</v>
      </c>
      <c r="E13" s="35">
        <v>5</v>
      </c>
      <c r="F13" s="19">
        <f t="shared" si="5"/>
        <v>0.16800000000000001</v>
      </c>
      <c r="G13" s="286">
        <v>0</v>
      </c>
      <c r="H13" s="288">
        <f t="shared" si="6"/>
        <v>0</v>
      </c>
      <c r="I13" s="290">
        <v>0</v>
      </c>
      <c r="J13" s="205">
        <f t="shared" si="0"/>
        <v>0</v>
      </c>
      <c r="K13" s="290">
        <v>0</v>
      </c>
      <c r="L13" s="205">
        <f>F13*K13</f>
        <v>0</v>
      </c>
      <c r="M13" s="290">
        <v>2</v>
      </c>
      <c r="N13" s="205">
        <f>F13*M13</f>
        <v>0.33600000000000002</v>
      </c>
      <c r="O13" s="290">
        <v>10</v>
      </c>
      <c r="P13" s="205">
        <f>F13*O13</f>
        <v>1.6800000000000002</v>
      </c>
      <c r="Q13" s="290">
        <v>11</v>
      </c>
      <c r="R13" s="205">
        <f>F13*Q13</f>
        <v>1.8480000000000001</v>
      </c>
      <c r="S13" s="39">
        <f t="shared" si="7"/>
        <v>-23</v>
      </c>
      <c r="T13" s="38">
        <f t="shared" si="4"/>
        <v>-3.8640000000000003</v>
      </c>
      <c r="U13" s="290">
        <v>100</v>
      </c>
      <c r="V13" s="13">
        <f t="shared" si="8"/>
        <v>16.8</v>
      </c>
      <c r="W13" s="294">
        <f t="shared" si="9"/>
        <v>77</v>
      </c>
      <c r="X13" s="295">
        <f t="shared" si="10"/>
        <v>12.936</v>
      </c>
      <c r="Y13" s="238">
        <v>100</v>
      </c>
      <c r="Z13" s="101">
        <v>300</v>
      </c>
    </row>
    <row r="14" spans="1:26" x14ac:dyDescent="0.25">
      <c r="A14" s="264">
        <v>10</v>
      </c>
      <c r="B14" s="256" t="s">
        <v>143</v>
      </c>
      <c r="C14" s="34">
        <v>90</v>
      </c>
      <c r="D14" s="35">
        <v>85</v>
      </c>
      <c r="E14" s="35">
        <v>5</v>
      </c>
      <c r="F14" s="19">
        <f t="shared" si="5"/>
        <v>3.8249999999999999E-2</v>
      </c>
      <c r="G14" s="286">
        <v>0</v>
      </c>
      <c r="H14" s="288">
        <f t="shared" si="6"/>
        <v>0</v>
      </c>
      <c r="I14" s="290">
        <v>0</v>
      </c>
      <c r="J14" s="205">
        <f t="shared" si="0"/>
        <v>0</v>
      </c>
      <c r="K14" s="290">
        <v>0</v>
      </c>
      <c r="L14" s="205">
        <f t="shared" ref="L14:L20" si="12">F14*K14</f>
        <v>0</v>
      </c>
      <c r="M14" s="290">
        <v>0</v>
      </c>
      <c r="N14" s="205">
        <f>F14*M14</f>
        <v>0</v>
      </c>
      <c r="O14" s="290">
        <v>0</v>
      </c>
      <c r="P14" s="205">
        <f t="shared" si="0"/>
        <v>0</v>
      </c>
      <c r="Q14" s="290">
        <v>0</v>
      </c>
      <c r="R14" s="205">
        <f t="shared" si="0"/>
        <v>0</v>
      </c>
      <c r="S14" s="39">
        <f t="shared" si="7"/>
        <v>0</v>
      </c>
      <c r="T14" s="38">
        <f t="shared" si="4"/>
        <v>0</v>
      </c>
      <c r="U14" s="290">
        <v>0</v>
      </c>
      <c r="V14" s="13">
        <f t="shared" si="8"/>
        <v>0</v>
      </c>
      <c r="W14" s="294">
        <f t="shared" si="9"/>
        <v>0</v>
      </c>
      <c r="X14" s="295">
        <f t="shared" si="10"/>
        <v>0</v>
      </c>
      <c r="Y14" s="238">
        <v>50</v>
      </c>
      <c r="Z14" s="101">
        <v>100</v>
      </c>
    </row>
    <row r="15" spans="1:26" x14ac:dyDescent="0.25">
      <c r="A15" s="264">
        <v>11</v>
      </c>
      <c r="B15" s="256" t="s">
        <v>144</v>
      </c>
      <c r="C15" s="34">
        <v>140</v>
      </c>
      <c r="D15" s="35">
        <v>240</v>
      </c>
      <c r="E15" s="35">
        <v>5</v>
      </c>
      <c r="F15" s="19">
        <f t="shared" si="5"/>
        <v>0.16800000000000001</v>
      </c>
      <c r="G15" s="286">
        <v>125</v>
      </c>
      <c r="H15" s="288">
        <f t="shared" si="6"/>
        <v>21</v>
      </c>
      <c r="I15" s="290">
        <v>2</v>
      </c>
      <c r="J15" s="205">
        <f t="shared" si="0"/>
        <v>0.33600000000000002</v>
      </c>
      <c r="K15" s="290">
        <v>10</v>
      </c>
      <c r="L15" s="205">
        <f t="shared" si="12"/>
        <v>1.6800000000000002</v>
      </c>
      <c r="M15" s="290">
        <v>3</v>
      </c>
      <c r="N15" s="205">
        <f t="shared" ref="N15:N37" si="13">F15*M15</f>
        <v>0.504</v>
      </c>
      <c r="O15" s="290">
        <v>5</v>
      </c>
      <c r="P15" s="205">
        <f t="shared" ref="P15:P36" si="14">F15*O15</f>
        <v>0.84000000000000008</v>
      </c>
      <c r="Q15" s="290">
        <v>4</v>
      </c>
      <c r="R15" s="205">
        <f t="shared" ref="R15:R20" si="15">F15*Q15</f>
        <v>0.67200000000000004</v>
      </c>
      <c r="S15" s="39">
        <f t="shared" si="7"/>
        <v>101</v>
      </c>
      <c r="T15" s="38">
        <f t="shared" si="4"/>
        <v>16.968</v>
      </c>
      <c r="U15" s="290">
        <v>65</v>
      </c>
      <c r="V15" s="13">
        <f t="shared" si="8"/>
        <v>10.92</v>
      </c>
      <c r="W15" s="294">
        <f t="shared" si="9"/>
        <v>166</v>
      </c>
      <c r="X15" s="295">
        <f t="shared" si="10"/>
        <v>27.888000000000002</v>
      </c>
      <c r="Y15" s="238">
        <v>200</v>
      </c>
      <c r="Z15" s="101">
        <v>400</v>
      </c>
    </row>
    <row r="16" spans="1:26" x14ac:dyDescent="0.25">
      <c r="A16" s="264">
        <v>12</v>
      </c>
      <c r="B16" s="256" t="s">
        <v>145</v>
      </c>
      <c r="C16" s="34">
        <v>140</v>
      </c>
      <c r="D16" s="35">
        <v>240</v>
      </c>
      <c r="E16" s="35">
        <v>5</v>
      </c>
      <c r="F16" s="19">
        <f t="shared" si="5"/>
        <v>0.16800000000000001</v>
      </c>
      <c r="G16" s="286">
        <v>280</v>
      </c>
      <c r="H16" s="288">
        <f t="shared" si="6"/>
        <v>47.040000000000006</v>
      </c>
      <c r="I16" s="290">
        <v>5</v>
      </c>
      <c r="J16" s="205">
        <f t="shared" si="0"/>
        <v>0.84000000000000008</v>
      </c>
      <c r="K16" s="290">
        <v>18</v>
      </c>
      <c r="L16" s="205">
        <f t="shared" si="12"/>
        <v>3.024</v>
      </c>
      <c r="M16" s="290">
        <v>8</v>
      </c>
      <c r="N16" s="205">
        <f t="shared" si="13"/>
        <v>1.3440000000000001</v>
      </c>
      <c r="O16" s="290">
        <v>30</v>
      </c>
      <c r="P16" s="205">
        <f t="shared" si="14"/>
        <v>5.04</v>
      </c>
      <c r="Q16" s="290">
        <v>8</v>
      </c>
      <c r="R16" s="205">
        <f t="shared" si="15"/>
        <v>1.3440000000000001</v>
      </c>
      <c r="S16" s="39">
        <f t="shared" si="7"/>
        <v>211</v>
      </c>
      <c r="T16" s="38">
        <f t="shared" si="4"/>
        <v>35.448</v>
      </c>
      <c r="U16" s="290">
        <v>0</v>
      </c>
      <c r="V16" s="13">
        <f t="shared" si="8"/>
        <v>0</v>
      </c>
      <c r="W16" s="294">
        <f t="shared" si="9"/>
        <v>211</v>
      </c>
      <c r="X16" s="295">
        <f t="shared" si="10"/>
        <v>35.448</v>
      </c>
      <c r="Y16" s="238">
        <v>200</v>
      </c>
      <c r="Z16" s="101">
        <v>500</v>
      </c>
    </row>
    <row r="17" spans="1:26" x14ac:dyDescent="0.25">
      <c r="A17" s="264">
        <v>13</v>
      </c>
      <c r="B17" s="256" t="s">
        <v>146</v>
      </c>
      <c r="C17" s="34">
        <v>140</v>
      </c>
      <c r="D17" s="35">
        <v>240</v>
      </c>
      <c r="E17" s="35">
        <v>8</v>
      </c>
      <c r="F17" s="19">
        <f t="shared" si="5"/>
        <v>0.26879999999999998</v>
      </c>
      <c r="G17" s="286">
        <v>85</v>
      </c>
      <c r="H17" s="288">
        <f t="shared" si="6"/>
        <v>22.847999999999999</v>
      </c>
      <c r="I17" s="290">
        <v>0</v>
      </c>
      <c r="J17" s="205">
        <f t="shared" si="0"/>
        <v>0</v>
      </c>
      <c r="K17" s="290">
        <v>0</v>
      </c>
      <c r="L17" s="205">
        <f t="shared" si="12"/>
        <v>0</v>
      </c>
      <c r="M17" s="290">
        <v>0</v>
      </c>
      <c r="N17" s="205">
        <f t="shared" si="13"/>
        <v>0</v>
      </c>
      <c r="O17" s="290">
        <v>0</v>
      </c>
      <c r="P17" s="205">
        <f t="shared" si="14"/>
        <v>0</v>
      </c>
      <c r="Q17" s="290">
        <v>0</v>
      </c>
      <c r="R17" s="205">
        <f t="shared" si="15"/>
        <v>0</v>
      </c>
      <c r="S17" s="39">
        <f t="shared" si="7"/>
        <v>85</v>
      </c>
      <c r="T17" s="38">
        <f t="shared" si="4"/>
        <v>22.847999999999999</v>
      </c>
      <c r="U17" s="290">
        <v>50</v>
      </c>
      <c r="V17" s="13">
        <f t="shared" si="8"/>
        <v>13.44</v>
      </c>
      <c r="W17" s="294">
        <f t="shared" si="9"/>
        <v>135</v>
      </c>
      <c r="X17" s="295">
        <f t="shared" si="10"/>
        <v>36.287999999999997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147</v>
      </c>
      <c r="C18" s="34">
        <v>77</v>
      </c>
      <c r="D18" s="35">
        <v>86</v>
      </c>
      <c r="E18" s="35">
        <v>8</v>
      </c>
      <c r="F18" s="19">
        <f t="shared" si="5"/>
        <v>5.2976000000000002E-2</v>
      </c>
      <c r="G18" s="286">
        <v>656</v>
      </c>
      <c r="H18" s="288">
        <f t="shared" si="6"/>
        <v>34.752256000000003</v>
      </c>
      <c r="I18" s="290">
        <v>35</v>
      </c>
      <c r="J18" s="205">
        <f t="shared" si="0"/>
        <v>1.85416</v>
      </c>
      <c r="K18" s="290">
        <v>6</v>
      </c>
      <c r="L18" s="205">
        <f t="shared" si="12"/>
        <v>0.31785600000000003</v>
      </c>
      <c r="M18" s="290">
        <v>0</v>
      </c>
      <c r="N18" s="205">
        <f t="shared" si="13"/>
        <v>0</v>
      </c>
      <c r="O18" s="290">
        <v>0</v>
      </c>
      <c r="P18" s="205">
        <f t="shared" si="14"/>
        <v>0</v>
      </c>
      <c r="Q18" s="290">
        <v>0</v>
      </c>
      <c r="R18" s="205">
        <f t="shared" si="15"/>
        <v>0</v>
      </c>
      <c r="S18" s="39">
        <f t="shared" si="7"/>
        <v>615</v>
      </c>
      <c r="T18" s="38">
        <f t="shared" si="4"/>
        <v>32.580240000000003</v>
      </c>
      <c r="U18" s="290">
        <v>300</v>
      </c>
      <c r="V18" s="13">
        <f t="shared" si="8"/>
        <v>15.892800000000001</v>
      </c>
      <c r="W18" s="294">
        <f t="shared" si="9"/>
        <v>915</v>
      </c>
      <c r="X18" s="295">
        <f t="shared" si="10"/>
        <v>48.473040000000005</v>
      </c>
      <c r="Y18" s="238">
        <v>100</v>
      </c>
      <c r="Z18" s="101">
        <v>300</v>
      </c>
    </row>
    <row r="19" spans="1:26" x14ac:dyDescent="0.25">
      <c r="A19" s="264">
        <v>15</v>
      </c>
      <c r="B19" s="256" t="s">
        <v>148</v>
      </c>
      <c r="C19" s="34">
        <v>77</v>
      </c>
      <c r="D19" s="35">
        <v>68</v>
      </c>
      <c r="E19" s="35">
        <v>8</v>
      </c>
      <c r="F19" s="19">
        <f t="shared" si="5"/>
        <v>4.1888000000000002E-2</v>
      </c>
      <c r="G19" s="286">
        <v>250</v>
      </c>
      <c r="H19" s="288">
        <f t="shared" si="6"/>
        <v>10.472</v>
      </c>
      <c r="I19" s="290">
        <v>5</v>
      </c>
      <c r="J19" s="205">
        <f t="shared" si="0"/>
        <v>0.20944000000000002</v>
      </c>
      <c r="K19" s="290">
        <v>0</v>
      </c>
      <c r="L19" s="205">
        <f t="shared" si="12"/>
        <v>0</v>
      </c>
      <c r="M19" s="290">
        <v>0</v>
      </c>
      <c r="N19" s="205">
        <f t="shared" si="13"/>
        <v>0</v>
      </c>
      <c r="O19" s="290">
        <v>0</v>
      </c>
      <c r="P19" s="205">
        <f t="shared" si="14"/>
        <v>0</v>
      </c>
      <c r="Q19" s="290">
        <v>171</v>
      </c>
      <c r="R19" s="205">
        <f t="shared" si="15"/>
        <v>7.1628480000000003</v>
      </c>
      <c r="S19" s="39">
        <f t="shared" si="7"/>
        <v>74</v>
      </c>
      <c r="T19" s="38">
        <f t="shared" si="4"/>
        <v>3.0997120000000002</v>
      </c>
      <c r="U19" s="290">
        <v>452</v>
      </c>
      <c r="V19" s="13">
        <f t="shared" si="8"/>
        <v>18.933375999999999</v>
      </c>
      <c r="W19" s="294">
        <f t="shared" si="9"/>
        <v>526</v>
      </c>
      <c r="X19" s="295">
        <f t="shared" si="10"/>
        <v>22.033087999999999</v>
      </c>
      <c r="Y19" s="238">
        <v>100</v>
      </c>
      <c r="Z19" s="101">
        <v>300</v>
      </c>
    </row>
    <row r="20" spans="1:26" x14ac:dyDescent="0.25">
      <c r="A20" s="264">
        <v>16</v>
      </c>
      <c r="B20" s="256" t="s">
        <v>149</v>
      </c>
      <c r="C20" s="34">
        <v>76</v>
      </c>
      <c r="D20" s="35">
        <v>75</v>
      </c>
      <c r="E20" s="35">
        <v>8</v>
      </c>
      <c r="F20" s="19">
        <f t="shared" si="5"/>
        <v>4.5600000000000002E-2</v>
      </c>
      <c r="G20" s="286">
        <v>522</v>
      </c>
      <c r="H20" s="288">
        <f t="shared" si="6"/>
        <v>23.8032</v>
      </c>
      <c r="I20" s="290">
        <v>10</v>
      </c>
      <c r="J20" s="205">
        <f t="shared" si="0"/>
        <v>0.45600000000000002</v>
      </c>
      <c r="K20" s="290">
        <v>0</v>
      </c>
      <c r="L20" s="205">
        <f t="shared" si="12"/>
        <v>0</v>
      </c>
      <c r="M20" s="290">
        <v>0</v>
      </c>
      <c r="N20" s="205">
        <f t="shared" si="13"/>
        <v>0</v>
      </c>
      <c r="O20" s="290">
        <v>0</v>
      </c>
      <c r="P20" s="205">
        <f t="shared" si="14"/>
        <v>0</v>
      </c>
      <c r="Q20" s="290">
        <v>0</v>
      </c>
      <c r="R20" s="205">
        <f t="shared" si="15"/>
        <v>0</v>
      </c>
      <c r="S20" s="39">
        <f t="shared" si="7"/>
        <v>512</v>
      </c>
      <c r="T20" s="38">
        <f t="shared" si="4"/>
        <v>23.347200000000001</v>
      </c>
      <c r="U20" s="290">
        <v>0</v>
      </c>
      <c r="V20" s="13">
        <f t="shared" si="8"/>
        <v>0</v>
      </c>
      <c r="W20" s="294">
        <f t="shared" si="9"/>
        <v>512</v>
      </c>
      <c r="X20" s="295">
        <f t="shared" si="10"/>
        <v>23.347200000000001</v>
      </c>
      <c r="Y20" s="238">
        <v>100</v>
      </c>
      <c r="Z20" s="101">
        <v>300</v>
      </c>
    </row>
    <row r="21" spans="1:26" x14ac:dyDescent="0.25">
      <c r="A21" s="264">
        <v>17</v>
      </c>
      <c r="B21" s="256" t="s">
        <v>150</v>
      </c>
      <c r="C21" s="34">
        <v>60</v>
      </c>
      <c r="D21" s="35">
        <v>63</v>
      </c>
      <c r="E21" s="35">
        <v>10</v>
      </c>
      <c r="F21" s="19">
        <f t="shared" si="5"/>
        <v>3.78E-2</v>
      </c>
      <c r="G21" s="286">
        <v>825</v>
      </c>
      <c r="H21" s="288">
        <f t="shared" si="6"/>
        <v>31.184999999999999</v>
      </c>
      <c r="I21" s="290">
        <v>60</v>
      </c>
      <c r="J21" s="205">
        <f t="shared" si="0"/>
        <v>2.2679999999999998</v>
      </c>
      <c r="K21" s="290">
        <v>0</v>
      </c>
      <c r="L21" s="205">
        <f t="shared" si="0"/>
        <v>0</v>
      </c>
      <c r="M21" s="290">
        <v>0</v>
      </c>
      <c r="N21" s="21">
        <v>0</v>
      </c>
      <c r="O21" s="290">
        <v>69</v>
      </c>
      <c r="P21" s="205">
        <f t="shared" si="14"/>
        <v>2.6082000000000001</v>
      </c>
      <c r="Q21" s="290">
        <v>0</v>
      </c>
      <c r="R21" s="21">
        <v>0</v>
      </c>
      <c r="S21" s="39">
        <f t="shared" si="7"/>
        <v>696</v>
      </c>
      <c r="T21" s="38">
        <f t="shared" si="4"/>
        <v>26.308800000000002</v>
      </c>
      <c r="U21" s="290">
        <v>0</v>
      </c>
      <c r="V21" s="13">
        <f t="shared" si="8"/>
        <v>0</v>
      </c>
      <c r="W21" s="294">
        <f t="shared" si="9"/>
        <v>696</v>
      </c>
      <c r="X21" s="295">
        <f t="shared" si="10"/>
        <v>26.308800000000002</v>
      </c>
      <c r="Y21" s="238">
        <v>50</v>
      </c>
      <c r="Z21" s="101">
        <v>200</v>
      </c>
    </row>
    <row r="22" spans="1:26" x14ac:dyDescent="0.25">
      <c r="A22" s="264">
        <v>18</v>
      </c>
      <c r="B22" s="256" t="s">
        <v>151</v>
      </c>
      <c r="C22" s="34">
        <v>63</v>
      </c>
      <c r="D22" s="35">
        <v>60</v>
      </c>
      <c r="E22" s="35">
        <v>3</v>
      </c>
      <c r="F22" s="19">
        <f t="shared" si="5"/>
        <v>1.1339999999999999E-2</v>
      </c>
      <c r="G22" s="286">
        <v>250</v>
      </c>
      <c r="H22" s="288">
        <f t="shared" si="6"/>
        <v>2.835</v>
      </c>
      <c r="I22" s="290">
        <v>20</v>
      </c>
      <c r="J22" s="205">
        <f t="shared" si="0"/>
        <v>0.2268</v>
      </c>
      <c r="K22" s="290">
        <v>0</v>
      </c>
      <c r="L22" s="205">
        <f>F22*K22</f>
        <v>0</v>
      </c>
      <c r="M22" s="290">
        <v>0</v>
      </c>
      <c r="N22" s="205">
        <f t="shared" si="13"/>
        <v>0</v>
      </c>
      <c r="O22" s="290">
        <v>23</v>
      </c>
      <c r="P22" s="205">
        <f t="shared" si="14"/>
        <v>0.26082</v>
      </c>
      <c r="Q22" s="290">
        <v>0</v>
      </c>
      <c r="R22" s="21">
        <v>0</v>
      </c>
      <c r="S22" s="39">
        <f t="shared" si="7"/>
        <v>207</v>
      </c>
      <c r="T22" s="38">
        <f t="shared" si="4"/>
        <v>2.3473799999999998</v>
      </c>
      <c r="U22" s="290">
        <v>84</v>
      </c>
      <c r="V22" s="13">
        <f t="shared" si="8"/>
        <v>0.95255999999999996</v>
      </c>
      <c r="W22" s="294">
        <f t="shared" si="9"/>
        <v>291</v>
      </c>
      <c r="X22" s="295">
        <f t="shared" si="10"/>
        <v>3.2999399999999999</v>
      </c>
      <c r="Y22" s="238">
        <v>50</v>
      </c>
      <c r="Z22" s="101">
        <v>200</v>
      </c>
    </row>
    <row r="23" spans="1:26" x14ac:dyDescent="0.25">
      <c r="A23" s="264">
        <v>19</v>
      </c>
      <c r="B23" s="42" t="s">
        <v>152</v>
      </c>
      <c r="C23" s="34">
        <v>140</v>
      </c>
      <c r="D23" s="35">
        <v>240</v>
      </c>
      <c r="E23" s="35">
        <v>1.4</v>
      </c>
      <c r="F23" s="19">
        <f t="shared" si="5"/>
        <v>4.7039999999999998E-2</v>
      </c>
      <c r="G23" s="286">
        <v>248</v>
      </c>
      <c r="H23" s="288">
        <f t="shared" si="6"/>
        <v>11.66592</v>
      </c>
      <c r="I23" s="290">
        <v>66</v>
      </c>
      <c r="J23" s="205">
        <f t="shared" si="0"/>
        <v>3.1046399999999998</v>
      </c>
      <c r="K23" s="290">
        <v>84</v>
      </c>
      <c r="L23" s="205">
        <f t="shared" ref="L23:L36" si="16">F23*K23</f>
        <v>3.9513599999999998</v>
      </c>
      <c r="M23" s="290">
        <v>10</v>
      </c>
      <c r="N23" s="205">
        <f t="shared" si="13"/>
        <v>0.47039999999999998</v>
      </c>
      <c r="O23" s="290">
        <v>58</v>
      </c>
      <c r="P23" s="205">
        <f t="shared" si="14"/>
        <v>2.7283200000000001</v>
      </c>
      <c r="Q23" s="290">
        <v>32</v>
      </c>
      <c r="R23" s="205">
        <f t="shared" ref="R23:R37" si="17">F23*Q23</f>
        <v>1.50528</v>
      </c>
      <c r="S23" s="39">
        <f t="shared" si="7"/>
        <v>-2</v>
      </c>
      <c r="T23" s="38">
        <f t="shared" si="4"/>
        <v>-9.4079999999999997E-2</v>
      </c>
      <c r="U23" s="290">
        <v>490</v>
      </c>
      <c r="V23" s="13">
        <f t="shared" si="8"/>
        <v>23.049599999999998</v>
      </c>
      <c r="W23" s="294">
        <f t="shared" si="9"/>
        <v>488</v>
      </c>
      <c r="X23" s="295">
        <f t="shared" si="10"/>
        <v>22.95552</v>
      </c>
      <c r="Y23" s="238">
        <v>200</v>
      </c>
      <c r="Z23" s="101">
        <v>500</v>
      </c>
    </row>
    <row r="24" spans="1:26" x14ac:dyDescent="0.25">
      <c r="A24" s="264">
        <v>20</v>
      </c>
      <c r="B24" s="256" t="s">
        <v>3</v>
      </c>
      <c r="C24" s="34">
        <v>140</v>
      </c>
      <c r="D24" s="35">
        <v>240</v>
      </c>
      <c r="E24" s="35">
        <v>0.8</v>
      </c>
      <c r="F24" s="19">
        <f t="shared" si="5"/>
        <v>2.6880000000000001E-2</v>
      </c>
      <c r="G24" s="286">
        <v>360</v>
      </c>
      <c r="H24" s="288">
        <f t="shared" si="6"/>
        <v>9.6768000000000001</v>
      </c>
      <c r="I24" s="290">
        <v>26</v>
      </c>
      <c r="J24" s="205">
        <f t="shared" si="0"/>
        <v>0.69888000000000006</v>
      </c>
      <c r="K24" s="290">
        <v>46</v>
      </c>
      <c r="L24" s="205">
        <f t="shared" si="16"/>
        <v>1.23648</v>
      </c>
      <c r="M24" s="290">
        <v>28</v>
      </c>
      <c r="N24" s="205">
        <f t="shared" si="13"/>
        <v>0.75263999999999998</v>
      </c>
      <c r="O24" s="290">
        <v>4</v>
      </c>
      <c r="P24" s="205">
        <f t="shared" si="14"/>
        <v>0.10752</v>
      </c>
      <c r="Q24" s="290">
        <v>11</v>
      </c>
      <c r="R24" s="205">
        <f t="shared" si="17"/>
        <v>0.29568</v>
      </c>
      <c r="S24" s="39">
        <f t="shared" si="7"/>
        <v>245</v>
      </c>
      <c r="T24" s="38">
        <f t="shared" si="4"/>
        <v>6.5856000000000003</v>
      </c>
      <c r="U24" s="290">
        <v>50</v>
      </c>
      <c r="V24" s="13">
        <f t="shared" si="8"/>
        <v>1.3440000000000001</v>
      </c>
      <c r="W24" s="294">
        <f t="shared" si="9"/>
        <v>295</v>
      </c>
      <c r="X24" s="295">
        <f t="shared" si="10"/>
        <v>7.9296000000000006</v>
      </c>
      <c r="Y24" s="238">
        <v>100</v>
      </c>
      <c r="Z24" s="101">
        <v>300</v>
      </c>
    </row>
    <row r="25" spans="1:26" x14ac:dyDescent="0.25">
      <c r="A25" s="264">
        <v>21</v>
      </c>
      <c r="B25" s="256" t="s">
        <v>153</v>
      </c>
      <c r="C25" s="34">
        <v>58</v>
      </c>
      <c r="D25" s="35">
        <v>58</v>
      </c>
      <c r="E25" s="35">
        <v>2.2999999999999998</v>
      </c>
      <c r="F25" s="19">
        <f t="shared" si="5"/>
        <v>7.7371999999999996E-3</v>
      </c>
      <c r="G25" s="286">
        <v>1310</v>
      </c>
      <c r="H25" s="288">
        <f t="shared" si="6"/>
        <v>10.135731999999999</v>
      </c>
      <c r="I25" s="290">
        <v>0</v>
      </c>
      <c r="J25" s="205">
        <f t="shared" si="0"/>
        <v>0</v>
      </c>
      <c r="K25" s="290">
        <v>0</v>
      </c>
      <c r="L25" s="205">
        <f t="shared" si="16"/>
        <v>0</v>
      </c>
      <c r="M25" s="290">
        <v>0</v>
      </c>
      <c r="N25" s="205">
        <f t="shared" si="13"/>
        <v>0</v>
      </c>
      <c r="O25" s="290">
        <v>0</v>
      </c>
      <c r="P25" s="205">
        <f t="shared" si="14"/>
        <v>0</v>
      </c>
      <c r="Q25" s="290">
        <v>0</v>
      </c>
      <c r="R25" s="205">
        <f t="shared" si="17"/>
        <v>0</v>
      </c>
      <c r="S25" s="39">
        <f t="shared" si="7"/>
        <v>1310</v>
      </c>
      <c r="T25" s="38">
        <f t="shared" si="4"/>
        <v>10.135731999999999</v>
      </c>
      <c r="U25" s="290">
        <v>0</v>
      </c>
      <c r="V25" s="13">
        <f t="shared" si="8"/>
        <v>0</v>
      </c>
      <c r="W25" s="294">
        <f t="shared" si="9"/>
        <v>1310</v>
      </c>
      <c r="X25" s="295">
        <f t="shared" si="10"/>
        <v>10.135731999999999</v>
      </c>
      <c r="Y25" s="238">
        <v>200</v>
      </c>
      <c r="Z25" s="101">
        <v>750</v>
      </c>
    </row>
    <row r="26" spans="1:26" x14ac:dyDescent="0.25">
      <c r="A26" s="264">
        <v>22</v>
      </c>
      <c r="B26" s="256" t="s">
        <v>154</v>
      </c>
      <c r="C26" s="34">
        <v>140</v>
      </c>
      <c r="D26" s="35">
        <v>240</v>
      </c>
      <c r="E26" s="35">
        <v>7</v>
      </c>
      <c r="F26" s="19">
        <f t="shared" si="5"/>
        <v>0.23519999999999999</v>
      </c>
      <c r="G26" s="286">
        <v>31</v>
      </c>
      <c r="H26" s="288">
        <f t="shared" si="6"/>
        <v>7.2911999999999999</v>
      </c>
      <c r="I26" s="290">
        <v>6</v>
      </c>
      <c r="J26" s="205">
        <f t="shared" si="0"/>
        <v>1.4112</v>
      </c>
      <c r="K26" s="290">
        <v>9</v>
      </c>
      <c r="L26" s="205">
        <f t="shared" si="16"/>
        <v>2.1168</v>
      </c>
      <c r="M26" s="290">
        <v>11</v>
      </c>
      <c r="N26" s="205">
        <f t="shared" si="13"/>
        <v>2.5871999999999997</v>
      </c>
      <c r="O26" s="290">
        <v>13</v>
      </c>
      <c r="P26" s="205">
        <f t="shared" si="14"/>
        <v>3.0575999999999999</v>
      </c>
      <c r="Q26" s="290">
        <v>7</v>
      </c>
      <c r="R26" s="205">
        <f t="shared" si="17"/>
        <v>1.6463999999999999</v>
      </c>
      <c r="S26" s="39">
        <f t="shared" si="7"/>
        <v>-15</v>
      </c>
      <c r="T26" s="38">
        <f t="shared" si="4"/>
        <v>-3.528</v>
      </c>
      <c r="U26" s="290">
        <v>47</v>
      </c>
      <c r="V26" s="13">
        <f t="shared" si="8"/>
        <v>11.054399999999999</v>
      </c>
      <c r="W26" s="294">
        <f t="shared" si="9"/>
        <v>32</v>
      </c>
      <c r="X26" s="295">
        <f t="shared" si="10"/>
        <v>7.5263999999999998</v>
      </c>
      <c r="Y26" s="238">
        <v>50</v>
      </c>
      <c r="Z26" s="101">
        <v>200</v>
      </c>
    </row>
    <row r="27" spans="1:26" ht="15.75" x14ac:dyDescent="0.25">
      <c r="A27" s="264">
        <v>23</v>
      </c>
      <c r="B27" s="256" t="s">
        <v>55</v>
      </c>
      <c r="C27" s="111">
        <v>50</v>
      </c>
      <c r="D27" s="112">
        <v>45</v>
      </c>
      <c r="E27" s="112">
        <v>4</v>
      </c>
      <c r="F27" s="19">
        <f t="shared" si="5"/>
        <v>8.9999999999999993E-3</v>
      </c>
      <c r="G27" s="286">
        <v>1870</v>
      </c>
      <c r="H27" s="288">
        <f t="shared" si="6"/>
        <v>16.829999999999998</v>
      </c>
      <c r="I27" s="290">
        <v>0</v>
      </c>
      <c r="J27" s="205">
        <f t="shared" si="0"/>
        <v>0</v>
      </c>
      <c r="K27" s="290">
        <v>0</v>
      </c>
      <c r="L27" s="205">
        <f t="shared" si="16"/>
        <v>0</v>
      </c>
      <c r="M27" s="290">
        <v>0</v>
      </c>
      <c r="N27" s="205">
        <f t="shared" si="13"/>
        <v>0</v>
      </c>
      <c r="O27" s="290">
        <v>0</v>
      </c>
      <c r="P27" s="205">
        <f t="shared" si="14"/>
        <v>0</v>
      </c>
      <c r="Q27" s="290">
        <v>0</v>
      </c>
      <c r="R27" s="205">
        <f t="shared" si="17"/>
        <v>0</v>
      </c>
      <c r="S27" s="39">
        <f t="shared" si="7"/>
        <v>1870</v>
      </c>
      <c r="T27" s="38">
        <f t="shared" si="4"/>
        <v>16.829999999999998</v>
      </c>
      <c r="U27" s="290">
        <v>0</v>
      </c>
      <c r="V27" s="13">
        <f t="shared" si="8"/>
        <v>0</v>
      </c>
      <c r="W27" s="294">
        <f t="shared" si="9"/>
        <v>1870</v>
      </c>
      <c r="X27" s="295">
        <f t="shared" si="10"/>
        <v>16.829999999999998</v>
      </c>
      <c r="Y27" s="238">
        <v>300</v>
      </c>
      <c r="Z27" s="101">
        <v>1000</v>
      </c>
    </row>
    <row r="28" spans="1:26" ht="15.75" x14ac:dyDescent="0.25">
      <c r="A28" s="264">
        <v>24</v>
      </c>
      <c r="B28" s="256" t="s">
        <v>56</v>
      </c>
      <c r="C28" s="111">
        <v>50</v>
      </c>
      <c r="D28" s="112">
        <v>35</v>
      </c>
      <c r="E28" s="112">
        <v>4</v>
      </c>
      <c r="F28" s="19">
        <f t="shared" si="5"/>
        <v>7.0000000000000001E-3</v>
      </c>
      <c r="G28" s="286">
        <v>0</v>
      </c>
      <c r="H28" s="288">
        <f t="shared" si="6"/>
        <v>0</v>
      </c>
      <c r="I28" s="290">
        <v>0</v>
      </c>
      <c r="J28" s="205">
        <f t="shared" si="0"/>
        <v>0</v>
      </c>
      <c r="K28" s="290">
        <v>0</v>
      </c>
      <c r="L28" s="205">
        <f t="shared" si="16"/>
        <v>0</v>
      </c>
      <c r="M28" s="290">
        <v>0</v>
      </c>
      <c r="N28" s="205">
        <f t="shared" si="13"/>
        <v>0</v>
      </c>
      <c r="O28" s="290">
        <v>0</v>
      </c>
      <c r="P28" s="205">
        <f t="shared" si="14"/>
        <v>0</v>
      </c>
      <c r="Q28" s="290">
        <v>0</v>
      </c>
      <c r="R28" s="205">
        <f t="shared" si="17"/>
        <v>0</v>
      </c>
      <c r="S28" s="39">
        <f t="shared" si="7"/>
        <v>0</v>
      </c>
      <c r="T28" s="38">
        <f t="shared" si="4"/>
        <v>0</v>
      </c>
      <c r="U28" s="290">
        <v>0</v>
      </c>
      <c r="V28" s="13">
        <f t="shared" si="8"/>
        <v>0</v>
      </c>
      <c r="W28" s="294">
        <f t="shared" si="9"/>
        <v>0</v>
      </c>
      <c r="X28" s="295">
        <f t="shared" si="10"/>
        <v>0</v>
      </c>
      <c r="Y28" s="238">
        <v>300</v>
      </c>
      <c r="Z28" s="101">
        <v>1000</v>
      </c>
    </row>
    <row r="29" spans="1:26" ht="15.75" x14ac:dyDescent="0.25">
      <c r="A29" s="264">
        <v>25</v>
      </c>
      <c r="B29" s="256" t="s">
        <v>57</v>
      </c>
      <c r="C29" s="111">
        <v>45</v>
      </c>
      <c r="D29" s="112">
        <v>44</v>
      </c>
      <c r="E29" s="112">
        <v>3</v>
      </c>
      <c r="F29" s="19">
        <f t="shared" si="5"/>
        <v>5.94E-3</v>
      </c>
      <c r="G29" s="286">
        <v>1590</v>
      </c>
      <c r="H29" s="288">
        <f t="shared" si="6"/>
        <v>9.4445999999999994</v>
      </c>
      <c r="I29" s="290">
        <v>0</v>
      </c>
      <c r="J29" s="205">
        <f t="shared" si="0"/>
        <v>0</v>
      </c>
      <c r="K29" s="290">
        <v>0</v>
      </c>
      <c r="L29" s="205">
        <f t="shared" si="16"/>
        <v>0</v>
      </c>
      <c r="M29" s="290">
        <v>0</v>
      </c>
      <c r="N29" s="205">
        <f t="shared" si="13"/>
        <v>0</v>
      </c>
      <c r="O29" s="290">
        <v>0</v>
      </c>
      <c r="P29" s="205">
        <f t="shared" si="14"/>
        <v>0</v>
      </c>
      <c r="Q29" s="290">
        <v>0</v>
      </c>
      <c r="R29" s="205">
        <f t="shared" si="17"/>
        <v>0</v>
      </c>
      <c r="S29" s="39">
        <f t="shared" si="7"/>
        <v>1590</v>
      </c>
      <c r="T29" s="38">
        <f t="shared" si="4"/>
        <v>9.4445999999999994</v>
      </c>
      <c r="U29" s="290">
        <v>0</v>
      </c>
      <c r="V29" s="13">
        <f t="shared" si="8"/>
        <v>0</v>
      </c>
      <c r="W29" s="294">
        <f t="shared" si="9"/>
        <v>1590</v>
      </c>
      <c r="X29" s="295">
        <f t="shared" si="10"/>
        <v>9.4445999999999994</v>
      </c>
      <c r="Y29" s="238">
        <v>500</v>
      </c>
      <c r="Z29" s="101">
        <v>1500</v>
      </c>
    </row>
    <row r="30" spans="1:26" ht="15.75" x14ac:dyDescent="0.25">
      <c r="A30" s="264">
        <v>26</v>
      </c>
      <c r="B30" s="256" t="s">
        <v>58</v>
      </c>
      <c r="C30" s="111">
        <v>45</v>
      </c>
      <c r="D30" s="112">
        <v>35.5</v>
      </c>
      <c r="E30" s="112">
        <v>3</v>
      </c>
      <c r="F30" s="19">
        <f t="shared" si="5"/>
        <v>4.7924999999999999E-3</v>
      </c>
      <c r="G30" s="286">
        <v>1730</v>
      </c>
      <c r="H30" s="288">
        <f t="shared" si="6"/>
        <v>8.2910249999999994</v>
      </c>
      <c r="I30" s="290">
        <v>0</v>
      </c>
      <c r="J30" s="205">
        <f t="shared" si="0"/>
        <v>0</v>
      </c>
      <c r="K30" s="290">
        <v>0</v>
      </c>
      <c r="L30" s="205">
        <f t="shared" si="16"/>
        <v>0</v>
      </c>
      <c r="M30" s="290">
        <v>0</v>
      </c>
      <c r="N30" s="205">
        <f t="shared" si="13"/>
        <v>0</v>
      </c>
      <c r="O30" s="290">
        <v>0</v>
      </c>
      <c r="P30" s="205">
        <f t="shared" si="14"/>
        <v>0</v>
      </c>
      <c r="Q30" s="290">
        <v>0</v>
      </c>
      <c r="R30" s="205">
        <f t="shared" si="17"/>
        <v>0</v>
      </c>
      <c r="S30" s="39">
        <f t="shared" si="7"/>
        <v>1730</v>
      </c>
      <c r="T30" s="38">
        <f t="shared" si="4"/>
        <v>8.2910249999999994</v>
      </c>
      <c r="U30" s="290">
        <v>0</v>
      </c>
      <c r="V30" s="13">
        <f t="shared" si="8"/>
        <v>0</v>
      </c>
      <c r="W30" s="294">
        <f t="shared" si="9"/>
        <v>1730</v>
      </c>
      <c r="X30" s="295">
        <f t="shared" si="10"/>
        <v>8.2910249999999994</v>
      </c>
      <c r="Y30" s="238">
        <v>500</v>
      </c>
      <c r="Z30" s="101">
        <v>1500</v>
      </c>
    </row>
    <row r="31" spans="1:26" x14ac:dyDescent="0.25">
      <c r="A31" s="264">
        <v>27</v>
      </c>
      <c r="B31" s="256" t="s">
        <v>155</v>
      </c>
      <c r="C31" s="34">
        <v>140</v>
      </c>
      <c r="D31" s="35">
        <v>9.5</v>
      </c>
      <c r="E31" s="35">
        <v>6.5</v>
      </c>
      <c r="F31" s="19">
        <f t="shared" si="5"/>
        <v>8.6449999999999999E-3</v>
      </c>
      <c r="G31" s="286">
        <v>805</v>
      </c>
      <c r="H31" s="288">
        <f t="shared" si="6"/>
        <v>6.959225</v>
      </c>
      <c r="I31" s="290">
        <v>0</v>
      </c>
      <c r="J31" s="205">
        <f t="shared" si="0"/>
        <v>0</v>
      </c>
      <c r="K31" s="290">
        <v>350</v>
      </c>
      <c r="L31" s="205">
        <f t="shared" si="16"/>
        <v>3.0257499999999999</v>
      </c>
      <c r="M31" s="290">
        <v>240</v>
      </c>
      <c r="N31" s="205">
        <f t="shared" si="13"/>
        <v>2.0747999999999998</v>
      </c>
      <c r="O31" s="290">
        <v>0</v>
      </c>
      <c r="P31" s="205">
        <f t="shared" si="14"/>
        <v>0</v>
      </c>
      <c r="Q31" s="290">
        <v>116</v>
      </c>
      <c r="R31" s="205">
        <f t="shared" si="17"/>
        <v>1.00282</v>
      </c>
      <c r="S31" s="39">
        <f t="shared" si="7"/>
        <v>99</v>
      </c>
      <c r="T31" s="38">
        <f t="shared" si="4"/>
        <v>0.85585500000000003</v>
      </c>
      <c r="U31" s="290">
        <v>0</v>
      </c>
      <c r="V31" s="13">
        <f t="shared" si="8"/>
        <v>0</v>
      </c>
      <c r="W31" s="294">
        <f t="shared" si="9"/>
        <v>99</v>
      </c>
      <c r="X31" s="295">
        <f t="shared" si="10"/>
        <v>0.85585500000000003</v>
      </c>
      <c r="Y31" s="238">
        <v>500</v>
      </c>
      <c r="Z31" s="101">
        <v>1500</v>
      </c>
    </row>
    <row r="32" spans="1:26" x14ac:dyDescent="0.25">
      <c r="A32" s="264">
        <v>28</v>
      </c>
      <c r="B32" s="256" t="s">
        <v>156</v>
      </c>
      <c r="C32" s="34">
        <v>140</v>
      </c>
      <c r="D32" s="35">
        <v>240</v>
      </c>
      <c r="E32" s="35">
        <v>1</v>
      </c>
      <c r="F32" s="19">
        <f t="shared" si="5"/>
        <v>3.3599999999999998E-2</v>
      </c>
      <c r="G32" s="286">
        <v>1648</v>
      </c>
      <c r="H32" s="288">
        <f t="shared" si="6"/>
        <v>55.372799999999998</v>
      </c>
      <c r="I32" s="290">
        <v>148</v>
      </c>
      <c r="J32" s="205">
        <f t="shared" si="0"/>
        <v>4.9727999999999994</v>
      </c>
      <c r="K32" s="290">
        <v>152</v>
      </c>
      <c r="L32" s="205">
        <f t="shared" si="16"/>
        <v>5.1071999999999997</v>
      </c>
      <c r="M32" s="290">
        <v>142</v>
      </c>
      <c r="N32" s="205">
        <f t="shared" si="13"/>
        <v>4.7711999999999994</v>
      </c>
      <c r="O32" s="290">
        <v>139</v>
      </c>
      <c r="P32" s="205">
        <f t="shared" si="14"/>
        <v>4.6703999999999999</v>
      </c>
      <c r="Q32" s="290">
        <v>191</v>
      </c>
      <c r="R32" s="205">
        <f>F32*Q32</f>
        <v>6.4175999999999993</v>
      </c>
      <c r="S32" s="39">
        <f t="shared" si="7"/>
        <v>876</v>
      </c>
      <c r="T32" s="38">
        <f t="shared" si="4"/>
        <v>29.433599999999998</v>
      </c>
      <c r="U32" s="290">
        <v>0</v>
      </c>
      <c r="V32" s="13">
        <f t="shared" si="8"/>
        <v>0</v>
      </c>
      <c r="W32" s="294">
        <f t="shared" si="9"/>
        <v>876</v>
      </c>
      <c r="X32" s="295">
        <f t="shared" si="10"/>
        <v>29.433599999999998</v>
      </c>
      <c r="Y32" s="238">
        <v>250</v>
      </c>
      <c r="Z32" s="101">
        <v>750</v>
      </c>
    </row>
    <row r="33" spans="1:26" x14ac:dyDescent="0.25">
      <c r="A33" s="264">
        <v>29</v>
      </c>
      <c r="B33" s="256" t="s">
        <v>157</v>
      </c>
      <c r="C33" s="34">
        <v>140</v>
      </c>
      <c r="D33" s="35">
        <v>240</v>
      </c>
      <c r="E33" s="35">
        <v>2</v>
      </c>
      <c r="F33" s="19">
        <f t="shared" si="5"/>
        <v>6.7199999999999996E-2</v>
      </c>
      <c r="G33" s="286">
        <v>155</v>
      </c>
      <c r="H33" s="288">
        <f t="shared" si="6"/>
        <v>10.415999999999999</v>
      </c>
      <c r="I33" s="290">
        <v>19</v>
      </c>
      <c r="J33" s="205">
        <f t="shared" si="0"/>
        <v>1.2767999999999999</v>
      </c>
      <c r="K33" s="290">
        <v>13</v>
      </c>
      <c r="L33" s="205">
        <f t="shared" si="16"/>
        <v>0.87359999999999993</v>
      </c>
      <c r="M33" s="290">
        <v>60</v>
      </c>
      <c r="N33" s="205">
        <f t="shared" si="13"/>
        <v>4.032</v>
      </c>
      <c r="O33" s="290">
        <v>17</v>
      </c>
      <c r="P33" s="205">
        <f t="shared" si="14"/>
        <v>1.1423999999999999</v>
      </c>
      <c r="Q33" s="290">
        <v>19</v>
      </c>
      <c r="R33" s="205">
        <f>F33*Q33</f>
        <v>1.2767999999999999</v>
      </c>
      <c r="S33" s="39">
        <f t="shared" si="7"/>
        <v>27</v>
      </c>
      <c r="T33" s="38">
        <f t="shared" si="4"/>
        <v>1.8143999999999998</v>
      </c>
      <c r="U33" s="290">
        <v>0</v>
      </c>
      <c r="V33" s="13">
        <f t="shared" si="8"/>
        <v>0</v>
      </c>
      <c r="W33" s="294">
        <f t="shared" si="9"/>
        <v>27</v>
      </c>
      <c r="X33" s="295">
        <f t="shared" si="10"/>
        <v>1.8143999999999998</v>
      </c>
      <c r="Y33" s="238">
        <v>75</v>
      </c>
      <c r="Z33" s="101">
        <v>150</v>
      </c>
    </row>
    <row r="34" spans="1:26" x14ac:dyDescent="0.25">
      <c r="A34" s="264">
        <v>30</v>
      </c>
      <c r="B34" s="256" t="s">
        <v>158</v>
      </c>
      <c r="C34" s="34">
        <v>140</v>
      </c>
      <c r="D34" s="35">
        <v>240</v>
      </c>
      <c r="E34" s="35">
        <v>3</v>
      </c>
      <c r="F34" s="19">
        <f t="shared" si="5"/>
        <v>0.1008</v>
      </c>
      <c r="G34" s="286">
        <v>325</v>
      </c>
      <c r="H34" s="288">
        <f t="shared" si="6"/>
        <v>32.76</v>
      </c>
      <c r="I34" s="290">
        <v>25</v>
      </c>
      <c r="J34" s="205">
        <f>F34*I34</f>
        <v>2.52</v>
      </c>
      <c r="K34" s="290">
        <v>24</v>
      </c>
      <c r="L34" s="205">
        <f t="shared" si="16"/>
        <v>2.4192</v>
      </c>
      <c r="M34" s="290">
        <v>30</v>
      </c>
      <c r="N34" s="205">
        <f t="shared" si="13"/>
        <v>3.024</v>
      </c>
      <c r="O34" s="290">
        <v>26</v>
      </c>
      <c r="P34" s="205">
        <f t="shared" si="14"/>
        <v>2.6208</v>
      </c>
      <c r="Q34" s="290">
        <v>34</v>
      </c>
      <c r="R34" s="205">
        <f t="shared" si="17"/>
        <v>3.4272</v>
      </c>
      <c r="S34" s="39">
        <f t="shared" si="7"/>
        <v>186</v>
      </c>
      <c r="T34" s="38">
        <f t="shared" si="4"/>
        <v>18.748799999999999</v>
      </c>
      <c r="U34" s="290">
        <v>10</v>
      </c>
      <c r="V34" s="13">
        <f t="shared" si="8"/>
        <v>1.008</v>
      </c>
      <c r="W34" s="294">
        <f t="shared" si="9"/>
        <v>196</v>
      </c>
      <c r="X34" s="295">
        <f t="shared" si="10"/>
        <v>19.756799999999998</v>
      </c>
      <c r="Y34" s="238">
        <v>75</v>
      </c>
      <c r="Z34" s="101">
        <v>150</v>
      </c>
    </row>
    <row r="35" spans="1:26" x14ac:dyDescent="0.25">
      <c r="A35" s="264">
        <v>31</v>
      </c>
      <c r="B35" s="256" t="s">
        <v>159</v>
      </c>
      <c r="C35" s="34">
        <v>140</v>
      </c>
      <c r="D35" s="35">
        <v>240</v>
      </c>
      <c r="E35" s="35">
        <v>4</v>
      </c>
      <c r="F35" s="19">
        <f t="shared" si="5"/>
        <v>0.13439999999999999</v>
      </c>
      <c r="G35" s="286">
        <v>106</v>
      </c>
      <c r="H35" s="288">
        <f t="shared" si="6"/>
        <v>14.2464</v>
      </c>
      <c r="I35" s="290">
        <v>5</v>
      </c>
      <c r="J35" s="205">
        <f t="shared" si="0"/>
        <v>0.67199999999999993</v>
      </c>
      <c r="K35" s="290">
        <v>9</v>
      </c>
      <c r="L35" s="205">
        <f t="shared" si="16"/>
        <v>1.2096</v>
      </c>
      <c r="M35" s="290">
        <v>4</v>
      </c>
      <c r="N35" s="205">
        <f t="shared" si="13"/>
        <v>0.53759999999999997</v>
      </c>
      <c r="O35" s="290">
        <v>3</v>
      </c>
      <c r="P35" s="205">
        <f t="shared" si="14"/>
        <v>0.4032</v>
      </c>
      <c r="Q35" s="290">
        <v>5</v>
      </c>
      <c r="R35" s="205">
        <f t="shared" si="17"/>
        <v>0.67199999999999993</v>
      </c>
      <c r="S35" s="39">
        <f t="shared" si="7"/>
        <v>80</v>
      </c>
      <c r="T35" s="38">
        <f t="shared" si="4"/>
        <v>10.751999999999999</v>
      </c>
      <c r="U35" s="290">
        <v>0</v>
      </c>
      <c r="V35" s="13">
        <f t="shared" si="8"/>
        <v>0</v>
      </c>
      <c r="W35" s="294">
        <f t="shared" si="9"/>
        <v>80</v>
      </c>
      <c r="X35" s="295">
        <f t="shared" si="10"/>
        <v>10.751999999999999</v>
      </c>
      <c r="Y35" s="238">
        <v>50</v>
      </c>
      <c r="Z35" s="101">
        <v>100</v>
      </c>
    </row>
    <row r="36" spans="1:26" x14ac:dyDescent="0.25">
      <c r="A36" s="264">
        <v>32</v>
      </c>
      <c r="B36" s="256" t="s">
        <v>160</v>
      </c>
      <c r="C36" s="34">
        <v>140</v>
      </c>
      <c r="D36" s="35">
        <v>240</v>
      </c>
      <c r="E36" s="35">
        <v>2</v>
      </c>
      <c r="F36" s="19">
        <f t="shared" si="5"/>
        <v>6.7199999999999996E-2</v>
      </c>
      <c r="G36" s="286">
        <v>401</v>
      </c>
      <c r="H36" s="288">
        <f t="shared" si="6"/>
        <v>26.947199999999999</v>
      </c>
      <c r="I36" s="290">
        <v>31</v>
      </c>
      <c r="J36" s="205">
        <f>F36*I36</f>
        <v>2.0831999999999997</v>
      </c>
      <c r="K36" s="290">
        <v>46</v>
      </c>
      <c r="L36" s="205">
        <f t="shared" si="16"/>
        <v>3.0911999999999997</v>
      </c>
      <c r="M36" s="290">
        <v>9</v>
      </c>
      <c r="N36" s="205">
        <f t="shared" si="13"/>
        <v>0.6048</v>
      </c>
      <c r="O36" s="290">
        <v>69</v>
      </c>
      <c r="P36" s="205">
        <f t="shared" si="14"/>
        <v>4.6368</v>
      </c>
      <c r="Q36" s="290">
        <v>63</v>
      </c>
      <c r="R36" s="205">
        <f t="shared" si="17"/>
        <v>4.2336</v>
      </c>
      <c r="S36" s="39">
        <f t="shared" si="7"/>
        <v>183</v>
      </c>
      <c r="T36" s="38">
        <f t="shared" si="4"/>
        <v>12.297599999999999</v>
      </c>
      <c r="U36" s="290">
        <v>276</v>
      </c>
      <c r="V36" s="13">
        <f t="shared" si="8"/>
        <v>18.5472</v>
      </c>
      <c r="W36" s="294">
        <f t="shared" si="9"/>
        <v>459</v>
      </c>
      <c r="X36" s="295">
        <f t="shared" si="10"/>
        <v>30.844799999999999</v>
      </c>
      <c r="Y36" s="238">
        <v>100</v>
      </c>
      <c r="Z36" s="101">
        <v>300</v>
      </c>
    </row>
    <row r="37" spans="1:26" x14ac:dyDescent="0.25">
      <c r="A37" s="264">
        <v>33</v>
      </c>
      <c r="B37" s="256" t="s">
        <v>161</v>
      </c>
      <c r="C37" s="34">
        <v>140</v>
      </c>
      <c r="D37" s="35">
        <v>240</v>
      </c>
      <c r="E37" s="35">
        <v>6</v>
      </c>
      <c r="F37" s="19">
        <f t="shared" si="5"/>
        <v>0.2016</v>
      </c>
      <c r="G37" s="286">
        <v>19</v>
      </c>
      <c r="H37" s="288">
        <f t="shared" si="6"/>
        <v>3.8304</v>
      </c>
      <c r="I37" s="290">
        <v>0</v>
      </c>
      <c r="J37" s="205">
        <f t="shared" si="0"/>
        <v>0</v>
      </c>
      <c r="K37" s="290">
        <v>0</v>
      </c>
      <c r="L37" s="205">
        <f>F37*K37</f>
        <v>0</v>
      </c>
      <c r="M37" s="290">
        <v>0</v>
      </c>
      <c r="N37" s="205">
        <f t="shared" si="13"/>
        <v>0</v>
      </c>
      <c r="O37" s="290">
        <v>0</v>
      </c>
      <c r="P37" s="21">
        <v>0</v>
      </c>
      <c r="Q37" s="290">
        <v>0</v>
      </c>
      <c r="R37" s="205">
        <f t="shared" si="17"/>
        <v>0</v>
      </c>
      <c r="S37" s="39">
        <f t="shared" si="7"/>
        <v>19</v>
      </c>
      <c r="T37" s="38">
        <f t="shared" si="4"/>
        <v>3.8304</v>
      </c>
      <c r="U37" s="290">
        <v>8</v>
      </c>
      <c r="V37" s="13">
        <f t="shared" si="8"/>
        <v>1.6128</v>
      </c>
      <c r="W37" s="294">
        <f t="shared" si="9"/>
        <v>27</v>
      </c>
      <c r="X37" s="295">
        <f t="shared" si="10"/>
        <v>5.4432</v>
      </c>
      <c r="Y37" s="238">
        <v>10</v>
      </c>
      <c r="Z37" s="101">
        <v>30</v>
      </c>
    </row>
    <row r="38" spans="1:26" x14ac:dyDescent="0.25">
      <c r="A38" s="264">
        <v>34</v>
      </c>
      <c r="B38" s="256" t="s">
        <v>181</v>
      </c>
      <c r="C38" s="34">
        <v>80</v>
      </c>
      <c r="D38" s="35">
        <v>75</v>
      </c>
      <c r="E38" s="35">
        <v>5</v>
      </c>
      <c r="F38" s="19">
        <f t="shared" si="5"/>
        <v>0.03</v>
      </c>
      <c r="G38" s="286">
        <v>94</v>
      </c>
      <c r="H38" s="288">
        <f t="shared" si="6"/>
        <v>2.82</v>
      </c>
      <c r="I38" s="290">
        <v>0</v>
      </c>
      <c r="J38" s="205">
        <f t="shared" si="0"/>
        <v>0</v>
      </c>
      <c r="K38" s="290">
        <v>0</v>
      </c>
      <c r="L38" s="205">
        <f t="shared" si="0"/>
        <v>0</v>
      </c>
      <c r="M38" s="290">
        <v>0</v>
      </c>
      <c r="N38" s="21">
        <v>0</v>
      </c>
      <c r="O38" s="290">
        <v>26</v>
      </c>
      <c r="P38" s="21">
        <v>0</v>
      </c>
      <c r="Q38" s="290">
        <v>0</v>
      </c>
      <c r="R38" s="21">
        <v>0</v>
      </c>
      <c r="S38" s="39">
        <f t="shared" si="7"/>
        <v>68</v>
      </c>
      <c r="T38" s="38">
        <f t="shared" si="4"/>
        <v>2.04</v>
      </c>
      <c r="U38" s="290">
        <v>0</v>
      </c>
      <c r="V38" s="13">
        <f t="shared" si="8"/>
        <v>0</v>
      </c>
      <c r="W38" s="294">
        <f t="shared" si="9"/>
        <v>68</v>
      </c>
      <c r="X38" s="295">
        <f t="shared" si="10"/>
        <v>2.04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182</v>
      </c>
      <c r="C39" s="34">
        <v>100</v>
      </c>
      <c r="D39" s="35">
        <v>95</v>
      </c>
      <c r="E39" s="35">
        <v>5</v>
      </c>
      <c r="F39" s="19">
        <f t="shared" si="5"/>
        <v>4.7500000000000001E-2</v>
      </c>
      <c r="G39" s="286">
        <v>174</v>
      </c>
      <c r="H39" s="288">
        <f t="shared" si="6"/>
        <v>8.2650000000000006</v>
      </c>
      <c r="I39" s="290">
        <v>0</v>
      </c>
      <c r="J39" s="205">
        <f t="shared" si="0"/>
        <v>0</v>
      </c>
      <c r="K39" s="290">
        <v>0</v>
      </c>
      <c r="L39" s="205">
        <f>F39*K39</f>
        <v>0</v>
      </c>
      <c r="M39" s="290">
        <v>0</v>
      </c>
      <c r="N39" s="205">
        <f>F39*M39</f>
        <v>0</v>
      </c>
      <c r="O39" s="290">
        <v>20</v>
      </c>
      <c r="P39" s="205">
        <f>J39*O39</f>
        <v>0</v>
      </c>
      <c r="Q39" s="290">
        <v>10</v>
      </c>
      <c r="R39" s="205">
        <f>L39*Q39</f>
        <v>0</v>
      </c>
      <c r="S39" s="39">
        <f t="shared" si="7"/>
        <v>144</v>
      </c>
      <c r="T39" s="38">
        <f t="shared" si="4"/>
        <v>6.84</v>
      </c>
      <c r="U39" s="290">
        <v>0</v>
      </c>
      <c r="V39" s="13">
        <f t="shared" si="8"/>
        <v>0</v>
      </c>
      <c r="W39" s="294">
        <f t="shared" si="9"/>
        <v>144</v>
      </c>
      <c r="X39" s="295">
        <f t="shared" si="10"/>
        <v>6.84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196</v>
      </c>
      <c r="C40" s="34">
        <v>65</v>
      </c>
      <c r="D40" s="35">
        <v>60</v>
      </c>
      <c r="E40" s="35">
        <v>5</v>
      </c>
      <c r="F40" s="19">
        <f t="shared" si="5"/>
        <v>1.95E-2</v>
      </c>
      <c r="G40" s="286">
        <v>292</v>
      </c>
      <c r="H40" s="288">
        <f t="shared" si="6"/>
        <v>5.694</v>
      </c>
      <c r="I40" s="290">
        <v>0</v>
      </c>
      <c r="J40" s="205">
        <f t="shared" si="0"/>
        <v>0</v>
      </c>
      <c r="K40" s="290">
        <v>0</v>
      </c>
      <c r="L40" s="205">
        <f>F40*K40</f>
        <v>0</v>
      </c>
      <c r="M40" s="290">
        <v>0</v>
      </c>
      <c r="N40" s="205">
        <f>F40*M40</f>
        <v>0</v>
      </c>
      <c r="O40" s="290">
        <v>0</v>
      </c>
      <c r="P40" s="205">
        <f>F40*O40</f>
        <v>0</v>
      </c>
      <c r="Q40" s="290">
        <v>0</v>
      </c>
      <c r="R40" s="205">
        <f>F40*Q40</f>
        <v>0</v>
      </c>
      <c r="S40" s="39">
        <f t="shared" si="7"/>
        <v>292</v>
      </c>
      <c r="T40" s="38">
        <f t="shared" si="4"/>
        <v>5.694</v>
      </c>
      <c r="U40" s="290">
        <v>0</v>
      </c>
      <c r="V40" s="13">
        <f t="shared" si="8"/>
        <v>0</v>
      </c>
      <c r="W40" s="294">
        <f t="shared" si="9"/>
        <v>292</v>
      </c>
      <c r="X40" s="295">
        <f t="shared" si="10"/>
        <v>5.694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165</v>
      </c>
      <c r="C41" s="34">
        <v>140</v>
      </c>
      <c r="D41" s="35">
        <v>240</v>
      </c>
      <c r="E41" s="35">
        <v>10</v>
      </c>
      <c r="F41" s="19">
        <f t="shared" si="5"/>
        <v>0.33600000000000002</v>
      </c>
      <c r="G41" s="286">
        <v>143</v>
      </c>
      <c r="H41" s="288">
        <f t="shared" si="6"/>
        <v>48.048000000000002</v>
      </c>
      <c r="I41" s="290">
        <v>9</v>
      </c>
      <c r="J41" s="205">
        <f>F41*I41</f>
        <v>3.024</v>
      </c>
      <c r="K41" s="290">
        <v>19</v>
      </c>
      <c r="L41" s="205">
        <f>F41*K41</f>
        <v>6.3840000000000003</v>
      </c>
      <c r="M41" s="290">
        <v>11</v>
      </c>
      <c r="N41" s="205">
        <f>F41*M41</f>
        <v>3.6960000000000002</v>
      </c>
      <c r="O41" s="290">
        <v>20</v>
      </c>
      <c r="P41" s="205">
        <f>F41*O41</f>
        <v>6.7200000000000006</v>
      </c>
      <c r="Q41" s="290">
        <v>14</v>
      </c>
      <c r="R41" s="205">
        <f>F41*Q41</f>
        <v>4.7040000000000006</v>
      </c>
      <c r="S41" s="39">
        <f t="shared" si="7"/>
        <v>70</v>
      </c>
      <c r="T41" s="38">
        <f t="shared" si="4"/>
        <v>23.520000000000003</v>
      </c>
      <c r="U41" s="290">
        <v>5</v>
      </c>
      <c r="V41" s="13">
        <f t="shared" si="8"/>
        <v>1.6800000000000002</v>
      </c>
      <c r="W41" s="294">
        <f t="shared" si="9"/>
        <v>75</v>
      </c>
      <c r="X41" s="295">
        <f t="shared" si="10"/>
        <v>25.200000000000003</v>
      </c>
      <c r="Y41" s="238">
        <v>50</v>
      </c>
      <c r="Z41" s="101">
        <v>100</v>
      </c>
    </row>
    <row r="42" spans="1:26" x14ac:dyDescent="0.25">
      <c r="A42" s="264">
        <v>38</v>
      </c>
      <c r="B42" s="256" t="s">
        <v>166</v>
      </c>
      <c r="C42" s="34">
        <v>92</v>
      </c>
      <c r="D42" s="35">
        <v>82</v>
      </c>
      <c r="E42" s="35">
        <v>2</v>
      </c>
      <c r="F42" s="19">
        <f t="shared" si="5"/>
        <v>1.5088000000000001E-2</v>
      </c>
      <c r="G42" s="286">
        <v>0</v>
      </c>
      <c r="H42" s="288">
        <f t="shared" si="6"/>
        <v>0</v>
      </c>
      <c r="I42" s="290">
        <v>0</v>
      </c>
      <c r="J42" s="205">
        <f t="shared" si="0"/>
        <v>0</v>
      </c>
      <c r="K42" s="290">
        <v>0</v>
      </c>
      <c r="L42" s="205">
        <f>F42*K42</f>
        <v>0</v>
      </c>
      <c r="M42" s="290">
        <v>0</v>
      </c>
      <c r="N42" s="205">
        <f>F42*M42</f>
        <v>0</v>
      </c>
      <c r="O42" s="290">
        <v>0</v>
      </c>
      <c r="P42" s="205">
        <f>F42*O42</f>
        <v>0</v>
      </c>
      <c r="Q42" s="290">
        <v>0</v>
      </c>
      <c r="R42" s="205">
        <f>F42*Q42</f>
        <v>0</v>
      </c>
      <c r="S42" s="39">
        <f t="shared" si="7"/>
        <v>0</v>
      </c>
      <c r="T42" s="38">
        <f t="shared" si="4"/>
        <v>0</v>
      </c>
      <c r="U42" s="290">
        <v>0</v>
      </c>
      <c r="V42" s="13">
        <f t="shared" si="8"/>
        <v>0</v>
      </c>
      <c r="W42" s="294">
        <f t="shared" si="9"/>
        <v>0</v>
      </c>
      <c r="X42" s="295">
        <f t="shared" si="10"/>
        <v>0</v>
      </c>
      <c r="Y42" s="238">
        <v>100</v>
      </c>
      <c r="Z42" s="101">
        <v>300</v>
      </c>
    </row>
    <row r="43" spans="1:26" x14ac:dyDescent="0.25">
      <c r="A43" s="264">
        <v>39</v>
      </c>
      <c r="B43" s="256" t="s">
        <v>183</v>
      </c>
      <c r="C43" s="34">
        <v>90</v>
      </c>
      <c r="D43" s="35">
        <v>90</v>
      </c>
      <c r="E43" s="35">
        <v>3</v>
      </c>
      <c r="F43" s="19">
        <f t="shared" si="5"/>
        <v>2.4299999999999999E-2</v>
      </c>
      <c r="G43" s="286">
        <v>171</v>
      </c>
      <c r="H43" s="288">
        <f t="shared" si="6"/>
        <v>4.1552999999999995</v>
      </c>
      <c r="I43" s="290">
        <v>0</v>
      </c>
      <c r="J43" s="205">
        <f t="shared" si="0"/>
        <v>0</v>
      </c>
      <c r="K43" s="290">
        <v>0</v>
      </c>
      <c r="L43" s="205">
        <f t="shared" si="0"/>
        <v>0</v>
      </c>
      <c r="M43" s="290">
        <v>0</v>
      </c>
      <c r="N43" s="21">
        <v>0</v>
      </c>
      <c r="O43" s="290">
        <v>0</v>
      </c>
      <c r="P43" s="21">
        <v>0</v>
      </c>
      <c r="Q43" s="290">
        <v>0</v>
      </c>
      <c r="R43" s="21">
        <v>0</v>
      </c>
      <c r="S43" s="39">
        <f t="shared" si="7"/>
        <v>171</v>
      </c>
      <c r="T43" s="38">
        <f t="shared" si="4"/>
        <v>4.1552999999999995</v>
      </c>
      <c r="U43" s="290">
        <v>0</v>
      </c>
      <c r="V43" s="13">
        <f t="shared" si="8"/>
        <v>0</v>
      </c>
      <c r="W43" s="294">
        <f t="shared" si="9"/>
        <v>171</v>
      </c>
      <c r="X43" s="295">
        <f t="shared" si="10"/>
        <v>4.1552999999999995</v>
      </c>
      <c r="Y43" s="238">
        <v>0</v>
      </c>
      <c r="Z43" s="101">
        <v>0</v>
      </c>
    </row>
    <row r="44" spans="1:26" x14ac:dyDescent="0.25">
      <c r="A44" s="264">
        <v>40</v>
      </c>
      <c r="B44" s="256" t="s">
        <v>168</v>
      </c>
      <c r="C44" s="34">
        <v>140</v>
      </c>
      <c r="D44" s="35">
        <v>240</v>
      </c>
      <c r="E44" s="35">
        <v>3</v>
      </c>
      <c r="F44" s="19">
        <f t="shared" si="5"/>
        <v>0.1008</v>
      </c>
      <c r="G44" s="286">
        <v>0</v>
      </c>
      <c r="H44" s="288">
        <f t="shared" si="6"/>
        <v>0</v>
      </c>
      <c r="I44" s="290">
        <v>0</v>
      </c>
      <c r="J44" s="205">
        <f t="shared" si="0"/>
        <v>0</v>
      </c>
      <c r="K44" s="290">
        <v>0</v>
      </c>
      <c r="L44" s="205">
        <f t="shared" ref="L44:L52" si="18">F44*K44</f>
        <v>0</v>
      </c>
      <c r="M44" s="290">
        <v>0</v>
      </c>
      <c r="N44" s="205">
        <f t="shared" ref="N44:N70" si="19">F44*M44</f>
        <v>0</v>
      </c>
      <c r="O44" s="290">
        <v>0</v>
      </c>
      <c r="P44" s="205">
        <f t="shared" ref="P44:P66" si="20">F44*O44</f>
        <v>0</v>
      </c>
      <c r="Q44" s="290">
        <v>0</v>
      </c>
      <c r="R44" s="205">
        <f t="shared" ref="R44:R58" si="21">F44*Q44</f>
        <v>0</v>
      </c>
      <c r="S44" s="39">
        <f t="shared" si="7"/>
        <v>0</v>
      </c>
      <c r="T44" s="38">
        <f t="shared" si="4"/>
        <v>0</v>
      </c>
      <c r="U44" s="290">
        <v>0</v>
      </c>
      <c r="V44" s="13">
        <f t="shared" si="8"/>
        <v>0</v>
      </c>
      <c r="W44" s="294">
        <f t="shared" si="9"/>
        <v>0</v>
      </c>
      <c r="X44" s="295">
        <f t="shared" si="10"/>
        <v>0</v>
      </c>
      <c r="Y44" s="238">
        <v>0</v>
      </c>
      <c r="Z44" s="101">
        <v>0</v>
      </c>
    </row>
    <row r="45" spans="1:26" x14ac:dyDescent="0.25">
      <c r="A45" s="264">
        <v>41</v>
      </c>
      <c r="B45" s="256" t="s">
        <v>169</v>
      </c>
      <c r="C45" s="34">
        <v>82</v>
      </c>
      <c r="D45" s="34">
        <v>80</v>
      </c>
      <c r="E45" s="34">
        <v>2</v>
      </c>
      <c r="F45" s="19">
        <f t="shared" si="5"/>
        <v>1.312E-2</v>
      </c>
      <c r="G45" s="284">
        <v>192</v>
      </c>
      <c r="H45" s="288">
        <f t="shared" si="6"/>
        <v>2.5190399999999999</v>
      </c>
      <c r="I45" s="290">
        <v>0</v>
      </c>
      <c r="J45" s="205">
        <f t="shared" si="0"/>
        <v>0</v>
      </c>
      <c r="K45" s="290">
        <v>0</v>
      </c>
      <c r="L45" s="205">
        <f t="shared" si="18"/>
        <v>0</v>
      </c>
      <c r="M45" s="290">
        <v>0</v>
      </c>
      <c r="N45" s="205">
        <f t="shared" si="19"/>
        <v>0</v>
      </c>
      <c r="O45" s="290">
        <v>0</v>
      </c>
      <c r="P45" s="205">
        <f t="shared" si="20"/>
        <v>0</v>
      </c>
      <c r="Q45" s="290">
        <v>0</v>
      </c>
      <c r="R45" s="205">
        <f t="shared" si="21"/>
        <v>0</v>
      </c>
      <c r="S45" s="39">
        <f t="shared" si="7"/>
        <v>192</v>
      </c>
      <c r="T45" s="38">
        <f t="shared" si="4"/>
        <v>2.5190399999999999</v>
      </c>
      <c r="U45" s="290">
        <v>0</v>
      </c>
      <c r="V45" s="13">
        <f t="shared" si="8"/>
        <v>0</v>
      </c>
      <c r="W45" s="294">
        <f t="shared" si="9"/>
        <v>192</v>
      </c>
      <c r="X45" s="295">
        <f t="shared" si="10"/>
        <v>2.5190399999999999</v>
      </c>
      <c r="Y45" s="238">
        <v>100</v>
      </c>
      <c r="Z45" s="101">
        <v>300</v>
      </c>
    </row>
    <row r="46" spans="1:26" x14ac:dyDescent="0.25">
      <c r="A46" s="264">
        <v>42</v>
      </c>
      <c r="B46" s="256" t="s">
        <v>170</v>
      </c>
      <c r="C46" s="34">
        <v>90</v>
      </c>
      <c r="D46" s="34">
        <v>83</v>
      </c>
      <c r="E46" s="34">
        <v>2</v>
      </c>
      <c r="F46" s="19">
        <f t="shared" si="5"/>
        <v>1.494E-2</v>
      </c>
      <c r="G46" s="284">
        <v>158</v>
      </c>
      <c r="H46" s="288">
        <f t="shared" si="6"/>
        <v>2.3605200000000002</v>
      </c>
      <c r="I46" s="290">
        <v>138</v>
      </c>
      <c r="J46" s="205">
        <f t="shared" si="0"/>
        <v>2.0617200000000002</v>
      </c>
      <c r="K46" s="290">
        <v>0</v>
      </c>
      <c r="L46" s="205">
        <f t="shared" si="18"/>
        <v>0</v>
      </c>
      <c r="M46" s="290">
        <v>0</v>
      </c>
      <c r="N46" s="205">
        <f t="shared" si="19"/>
        <v>0</v>
      </c>
      <c r="O46" s="290">
        <v>100</v>
      </c>
      <c r="P46" s="205">
        <f t="shared" si="20"/>
        <v>1.494</v>
      </c>
      <c r="Q46" s="290">
        <v>0</v>
      </c>
      <c r="R46" s="205">
        <f t="shared" si="21"/>
        <v>0</v>
      </c>
      <c r="S46" s="39">
        <f t="shared" si="7"/>
        <v>-80</v>
      </c>
      <c r="T46" s="38">
        <f t="shared" si="4"/>
        <v>-1.1952</v>
      </c>
      <c r="U46" s="290">
        <v>80</v>
      </c>
      <c r="V46" s="13">
        <f t="shared" si="8"/>
        <v>1.1952</v>
      </c>
      <c r="W46" s="294">
        <f t="shared" si="9"/>
        <v>0</v>
      </c>
      <c r="X46" s="295">
        <f t="shared" si="10"/>
        <v>0</v>
      </c>
      <c r="Y46" s="238">
        <v>100</v>
      </c>
      <c r="Z46" s="101">
        <v>300</v>
      </c>
    </row>
    <row r="47" spans="1:26" x14ac:dyDescent="0.25">
      <c r="A47" s="264">
        <v>43</v>
      </c>
      <c r="B47" s="256" t="s">
        <v>184</v>
      </c>
      <c r="C47" s="34">
        <v>112</v>
      </c>
      <c r="D47" s="34">
        <v>67</v>
      </c>
      <c r="E47" s="34">
        <v>3</v>
      </c>
      <c r="F47" s="19">
        <f t="shared" si="5"/>
        <v>2.2512000000000001E-2</v>
      </c>
      <c r="G47" s="284">
        <v>85</v>
      </c>
      <c r="H47" s="288">
        <f t="shared" si="6"/>
        <v>1.9135200000000001</v>
      </c>
      <c r="I47" s="290">
        <v>0</v>
      </c>
      <c r="J47" s="205">
        <f t="shared" si="0"/>
        <v>0</v>
      </c>
      <c r="K47" s="290">
        <v>0</v>
      </c>
      <c r="L47" s="205">
        <f t="shared" si="18"/>
        <v>0</v>
      </c>
      <c r="M47" s="290">
        <v>0</v>
      </c>
      <c r="N47" s="205">
        <f t="shared" si="19"/>
        <v>0</v>
      </c>
      <c r="O47" s="290">
        <v>20</v>
      </c>
      <c r="P47" s="205">
        <f t="shared" si="20"/>
        <v>0.45024000000000003</v>
      </c>
      <c r="Q47" s="290">
        <v>0</v>
      </c>
      <c r="R47" s="205">
        <f t="shared" si="21"/>
        <v>0</v>
      </c>
      <c r="S47" s="39">
        <f t="shared" si="7"/>
        <v>65</v>
      </c>
      <c r="T47" s="38">
        <f t="shared" si="4"/>
        <v>1.4632800000000001</v>
      </c>
      <c r="U47" s="290">
        <v>0</v>
      </c>
      <c r="V47" s="13">
        <f t="shared" si="8"/>
        <v>0</v>
      </c>
      <c r="W47" s="294">
        <f t="shared" si="9"/>
        <v>65</v>
      </c>
      <c r="X47" s="295">
        <f t="shared" si="10"/>
        <v>1.4632800000000001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189</v>
      </c>
      <c r="C48" s="34">
        <v>70</v>
      </c>
      <c r="D48" s="34">
        <v>54</v>
      </c>
      <c r="E48" s="34">
        <v>7</v>
      </c>
      <c r="F48" s="19">
        <f t="shared" si="5"/>
        <v>2.6460000000000001E-2</v>
      </c>
      <c r="G48" s="284">
        <v>0</v>
      </c>
      <c r="H48" s="288">
        <f t="shared" si="6"/>
        <v>0</v>
      </c>
      <c r="I48" s="290">
        <v>0</v>
      </c>
      <c r="J48" s="205">
        <f t="shared" si="0"/>
        <v>0</v>
      </c>
      <c r="K48" s="290">
        <v>0</v>
      </c>
      <c r="L48" s="205">
        <f t="shared" si="18"/>
        <v>0</v>
      </c>
      <c r="M48" s="290">
        <v>0</v>
      </c>
      <c r="N48" s="205">
        <f t="shared" si="19"/>
        <v>0</v>
      </c>
      <c r="O48" s="290">
        <v>0</v>
      </c>
      <c r="P48" s="205">
        <f t="shared" si="20"/>
        <v>0</v>
      </c>
      <c r="Q48" s="290">
        <v>0</v>
      </c>
      <c r="R48" s="205">
        <f t="shared" si="21"/>
        <v>0</v>
      </c>
      <c r="S48" s="39">
        <f t="shared" si="7"/>
        <v>0</v>
      </c>
      <c r="T48" s="38">
        <f t="shared" si="4"/>
        <v>0</v>
      </c>
      <c r="U48" s="290">
        <v>0</v>
      </c>
      <c r="V48" s="13">
        <f t="shared" si="8"/>
        <v>0</v>
      </c>
      <c r="W48" s="294">
        <f t="shared" si="9"/>
        <v>0</v>
      </c>
      <c r="X48" s="295">
        <f t="shared" si="10"/>
        <v>0</v>
      </c>
      <c r="Y48" s="238">
        <v>0</v>
      </c>
      <c r="Z48" s="101">
        <v>0</v>
      </c>
    </row>
    <row r="49" spans="1:26" x14ac:dyDescent="0.25">
      <c r="A49" s="264">
        <v>45</v>
      </c>
      <c r="B49" s="256" t="s">
        <v>174</v>
      </c>
      <c r="C49" s="34">
        <v>140</v>
      </c>
      <c r="D49" s="34">
        <v>240</v>
      </c>
      <c r="E49" s="34">
        <v>14</v>
      </c>
      <c r="F49" s="19">
        <f t="shared" si="5"/>
        <v>0.47039999999999998</v>
      </c>
      <c r="G49" s="284">
        <v>2</v>
      </c>
      <c r="H49" s="288">
        <f t="shared" si="6"/>
        <v>0.94079999999999997</v>
      </c>
      <c r="I49" s="290">
        <v>0</v>
      </c>
      <c r="J49" s="205">
        <f t="shared" si="0"/>
        <v>0</v>
      </c>
      <c r="K49" s="290">
        <v>0</v>
      </c>
      <c r="L49" s="205">
        <f t="shared" si="18"/>
        <v>0</v>
      </c>
      <c r="M49" s="290">
        <v>2</v>
      </c>
      <c r="N49" s="205">
        <f t="shared" si="19"/>
        <v>0.94079999999999997</v>
      </c>
      <c r="O49" s="290">
        <v>0</v>
      </c>
      <c r="P49" s="205">
        <f t="shared" si="20"/>
        <v>0</v>
      </c>
      <c r="Q49" s="290">
        <v>0</v>
      </c>
      <c r="R49" s="205">
        <f t="shared" si="21"/>
        <v>0</v>
      </c>
      <c r="S49" s="39">
        <f t="shared" si="7"/>
        <v>0</v>
      </c>
      <c r="T49" s="38">
        <f t="shared" si="4"/>
        <v>0</v>
      </c>
      <c r="U49" s="290">
        <v>0</v>
      </c>
      <c r="V49" s="13">
        <f t="shared" si="8"/>
        <v>0</v>
      </c>
      <c r="W49" s="294">
        <f t="shared" si="9"/>
        <v>0</v>
      </c>
      <c r="X49" s="295">
        <f t="shared" si="10"/>
        <v>0</v>
      </c>
      <c r="Y49" s="238">
        <v>10</v>
      </c>
      <c r="Z49" s="101">
        <v>20</v>
      </c>
    </row>
    <row r="50" spans="1:26" x14ac:dyDescent="0.25">
      <c r="A50" s="264">
        <v>46</v>
      </c>
      <c r="B50" s="256" t="s">
        <v>175</v>
      </c>
      <c r="C50" s="34">
        <v>140</v>
      </c>
      <c r="D50" s="34">
        <v>240</v>
      </c>
      <c r="E50" s="34">
        <v>12</v>
      </c>
      <c r="F50" s="19">
        <f t="shared" si="5"/>
        <v>0.4032</v>
      </c>
      <c r="G50" s="284">
        <v>22</v>
      </c>
      <c r="H50" s="288">
        <f t="shared" si="6"/>
        <v>8.8704000000000001</v>
      </c>
      <c r="I50" s="290">
        <v>1</v>
      </c>
      <c r="J50" s="205">
        <f t="shared" si="0"/>
        <v>0.4032</v>
      </c>
      <c r="K50" s="290">
        <v>0</v>
      </c>
      <c r="L50" s="205">
        <f t="shared" si="18"/>
        <v>0</v>
      </c>
      <c r="M50" s="290">
        <v>0</v>
      </c>
      <c r="N50" s="205">
        <f t="shared" si="19"/>
        <v>0</v>
      </c>
      <c r="O50" s="290">
        <v>1</v>
      </c>
      <c r="P50" s="205">
        <f t="shared" si="20"/>
        <v>0.4032</v>
      </c>
      <c r="Q50" s="290">
        <v>0</v>
      </c>
      <c r="R50" s="205">
        <f t="shared" si="21"/>
        <v>0</v>
      </c>
      <c r="S50" s="39">
        <f t="shared" si="7"/>
        <v>20</v>
      </c>
      <c r="T50" s="38">
        <f t="shared" si="4"/>
        <v>8.0640000000000001</v>
      </c>
      <c r="U50" s="290">
        <v>0</v>
      </c>
      <c r="V50" s="13">
        <f t="shared" si="8"/>
        <v>0</v>
      </c>
      <c r="W50" s="294">
        <f t="shared" si="9"/>
        <v>20</v>
      </c>
      <c r="X50" s="295">
        <f t="shared" si="10"/>
        <v>8.0640000000000001</v>
      </c>
      <c r="Y50" s="238">
        <v>10</v>
      </c>
      <c r="Z50" s="101">
        <v>20</v>
      </c>
    </row>
    <row r="51" spans="1:26" x14ac:dyDescent="0.25">
      <c r="A51" s="264">
        <v>47</v>
      </c>
      <c r="B51" s="256" t="s">
        <v>176</v>
      </c>
      <c r="C51" s="34">
        <v>130</v>
      </c>
      <c r="D51" s="34">
        <v>60</v>
      </c>
      <c r="E51" s="34">
        <v>5</v>
      </c>
      <c r="F51" s="19">
        <f t="shared" si="5"/>
        <v>3.9E-2</v>
      </c>
      <c r="G51" s="284">
        <v>0</v>
      </c>
      <c r="H51" s="288">
        <f t="shared" si="6"/>
        <v>0</v>
      </c>
      <c r="I51" s="290">
        <v>0</v>
      </c>
      <c r="J51" s="205">
        <f t="shared" si="0"/>
        <v>0</v>
      </c>
      <c r="K51" s="290">
        <v>0</v>
      </c>
      <c r="L51" s="205">
        <f t="shared" si="18"/>
        <v>0</v>
      </c>
      <c r="M51" s="290">
        <v>0</v>
      </c>
      <c r="N51" s="205">
        <f t="shared" si="19"/>
        <v>0</v>
      </c>
      <c r="O51" s="290">
        <v>0</v>
      </c>
      <c r="P51" s="205">
        <f t="shared" si="20"/>
        <v>0</v>
      </c>
      <c r="Q51" s="290">
        <v>0</v>
      </c>
      <c r="R51" s="205">
        <f t="shared" si="21"/>
        <v>0</v>
      </c>
      <c r="S51" s="39">
        <f t="shared" si="7"/>
        <v>0</v>
      </c>
      <c r="T51" s="38">
        <f t="shared" si="4"/>
        <v>0</v>
      </c>
      <c r="U51" s="290">
        <v>0</v>
      </c>
      <c r="V51" s="13">
        <f t="shared" si="8"/>
        <v>0</v>
      </c>
      <c r="W51" s="294">
        <f t="shared" si="9"/>
        <v>0</v>
      </c>
      <c r="X51" s="295">
        <f t="shared" si="10"/>
        <v>0</v>
      </c>
      <c r="Y51" s="238">
        <v>30</v>
      </c>
      <c r="Z51" s="101">
        <v>100</v>
      </c>
    </row>
    <row r="52" spans="1:26" x14ac:dyDescent="0.25">
      <c r="A52" s="264">
        <v>48</v>
      </c>
      <c r="B52" s="255" t="s">
        <v>178</v>
      </c>
      <c r="C52" s="34">
        <v>140</v>
      </c>
      <c r="D52" s="34">
        <v>240</v>
      </c>
      <c r="E52" s="34">
        <v>3</v>
      </c>
      <c r="F52" s="19">
        <f t="shared" si="5"/>
        <v>0.1008</v>
      </c>
      <c r="G52" s="284">
        <v>929</v>
      </c>
      <c r="H52" s="288">
        <f t="shared" si="6"/>
        <v>93.643200000000007</v>
      </c>
      <c r="I52" s="290">
        <v>3</v>
      </c>
      <c r="J52" s="205">
        <f t="shared" si="0"/>
        <v>0.3024</v>
      </c>
      <c r="K52" s="290">
        <v>4</v>
      </c>
      <c r="L52" s="205">
        <f t="shared" si="18"/>
        <v>0.4032</v>
      </c>
      <c r="M52" s="290">
        <v>4</v>
      </c>
      <c r="N52" s="205">
        <f t="shared" si="19"/>
        <v>0.4032</v>
      </c>
      <c r="O52" s="290">
        <v>5</v>
      </c>
      <c r="P52" s="205">
        <f t="shared" si="20"/>
        <v>0.504</v>
      </c>
      <c r="Q52" s="290">
        <v>4</v>
      </c>
      <c r="R52" s="205">
        <f t="shared" si="21"/>
        <v>0.4032</v>
      </c>
      <c r="S52" s="39">
        <f t="shared" si="7"/>
        <v>909</v>
      </c>
      <c r="T52" s="38">
        <f t="shared" si="4"/>
        <v>91.627200000000002</v>
      </c>
      <c r="U52" s="290">
        <v>0</v>
      </c>
      <c r="V52" s="13">
        <f t="shared" si="8"/>
        <v>0</v>
      </c>
      <c r="W52" s="294">
        <f t="shared" si="9"/>
        <v>909</v>
      </c>
      <c r="X52" s="295">
        <f t="shared" si="10"/>
        <v>91.627200000000002</v>
      </c>
      <c r="Y52" s="238">
        <v>100</v>
      </c>
      <c r="Z52" s="101">
        <v>300</v>
      </c>
    </row>
    <row r="53" spans="1:26" x14ac:dyDescent="0.25">
      <c r="A53" s="264">
        <v>49</v>
      </c>
      <c r="B53" s="256" t="s">
        <v>185</v>
      </c>
      <c r="C53" s="34">
        <v>140</v>
      </c>
      <c r="D53" s="34">
        <v>240</v>
      </c>
      <c r="E53" s="34">
        <v>1</v>
      </c>
      <c r="F53" s="19">
        <f t="shared" si="5"/>
        <v>3.3599999999999998E-2</v>
      </c>
      <c r="G53" s="284">
        <v>300</v>
      </c>
      <c r="H53" s="288">
        <f t="shared" si="6"/>
        <v>10.08</v>
      </c>
      <c r="I53" s="290">
        <v>0</v>
      </c>
      <c r="J53" s="205">
        <f t="shared" si="0"/>
        <v>0</v>
      </c>
      <c r="K53" s="290">
        <v>0</v>
      </c>
      <c r="L53" s="205">
        <f>F53*K53</f>
        <v>0</v>
      </c>
      <c r="M53" s="290">
        <v>0</v>
      </c>
      <c r="N53" s="205">
        <f t="shared" si="19"/>
        <v>0</v>
      </c>
      <c r="O53" s="290">
        <v>0</v>
      </c>
      <c r="P53" s="205">
        <f t="shared" si="20"/>
        <v>0</v>
      </c>
      <c r="Q53" s="290">
        <v>0</v>
      </c>
      <c r="R53" s="205">
        <f t="shared" si="21"/>
        <v>0</v>
      </c>
      <c r="S53" s="39">
        <f t="shared" si="7"/>
        <v>300</v>
      </c>
      <c r="T53" s="38">
        <f t="shared" si="4"/>
        <v>10.08</v>
      </c>
      <c r="U53" s="290">
        <v>0</v>
      </c>
      <c r="V53" s="13">
        <f t="shared" si="8"/>
        <v>0</v>
      </c>
      <c r="W53" s="294">
        <f t="shared" si="9"/>
        <v>300</v>
      </c>
      <c r="X53" s="295">
        <f t="shared" si="10"/>
        <v>10.08</v>
      </c>
      <c r="Y53" s="238">
        <v>50</v>
      </c>
      <c r="Z53" s="101">
        <v>0</v>
      </c>
    </row>
    <row r="54" spans="1:26" x14ac:dyDescent="0.25">
      <c r="A54" s="264">
        <v>50</v>
      </c>
      <c r="B54" s="256" t="s">
        <v>186</v>
      </c>
      <c r="C54" s="34">
        <v>140</v>
      </c>
      <c r="D54" s="34">
        <v>240</v>
      </c>
      <c r="E54" s="34">
        <v>3</v>
      </c>
      <c r="F54" s="19">
        <f t="shared" si="5"/>
        <v>0.1008</v>
      </c>
      <c r="G54" s="284">
        <v>130</v>
      </c>
      <c r="H54" s="288">
        <f t="shared" si="6"/>
        <v>13.103999999999999</v>
      </c>
      <c r="I54" s="290">
        <v>0</v>
      </c>
      <c r="J54" s="205">
        <f t="shared" si="0"/>
        <v>0</v>
      </c>
      <c r="K54" s="290">
        <v>0</v>
      </c>
      <c r="L54" s="205">
        <f>F54*K54</f>
        <v>0</v>
      </c>
      <c r="M54" s="290">
        <v>0</v>
      </c>
      <c r="N54" s="205">
        <f t="shared" si="19"/>
        <v>0</v>
      </c>
      <c r="O54" s="290">
        <v>0</v>
      </c>
      <c r="P54" s="205">
        <f t="shared" si="20"/>
        <v>0</v>
      </c>
      <c r="Q54" s="290">
        <v>0</v>
      </c>
      <c r="R54" s="205">
        <f t="shared" si="21"/>
        <v>0</v>
      </c>
      <c r="S54" s="39">
        <f t="shared" si="7"/>
        <v>130</v>
      </c>
      <c r="T54" s="38">
        <f t="shared" si="4"/>
        <v>13.103999999999999</v>
      </c>
      <c r="U54" s="290">
        <v>0</v>
      </c>
      <c r="V54" s="13">
        <f t="shared" si="8"/>
        <v>0</v>
      </c>
      <c r="W54" s="294">
        <f t="shared" si="9"/>
        <v>130</v>
      </c>
      <c r="X54" s="295">
        <f t="shared" si="10"/>
        <v>13.103999999999999</v>
      </c>
      <c r="Y54" s="238">
        <v>50</v>
      </c>
      <c r="Z54" s="101">
        <v>0</v>
      </c>
    </row>
    <row r="55" spans="1:26" x14ac:dyDescent="0.25">
      <c r="A55" s="277">
        <v>51</v>
      </c>
      <c r="B55" s="283" t="s">
        <v>187</v>
      </c>
      <c r="C55" s="264">
        <v>140</v>
      </c>
      <c r="D55" s="264">
        <v>240</v>
      </c>
      <c r="E55" s="264">
        <v>5</v>
      </c>
      <c r="F55" s="19">
        <f t="shared" si="5"/>
        <v>0.16800000000000001</v>
      </c>
      <c r="G55" s="296">
        <v>150</v>
      </c>
      <c r="H55" s="299">
        <f t="shared" si="6"/>
        <v>25.200000000000003</v>
      </c>
      <c r="I55" s="290">
        <v>0</v>
      </c>
      <c r="J55" s="205">
        <f t="shared" si="0"/>
        <v>0</v>
      </c>
      <c r="K55" s="290">
        <v>2</v>
      </c>
      <c r="L55" s="205">
        <f>F55*K55</f>
        <v>0.33600000000000002</v>
      </c>
      <c r="M55" s="290">
        <v>0</v>
      </c>
      <c r="N55" s="205">
        <f t="shared" si="19"/>
        <v>0</v>
      </c>
      <c r="O55" s="290">
        <v>0</v>
      </c>
      <c r="P55" s="205">
        <f t="shared" si="20"/>
        <v>0</v>
      </c>
      <c r="Q55" s="290">
        <v>0</v>
      </c>
      <c r="R55" s="205">
        <f t="shared" si="21"/>
        <v>0</v>
      </c>
      <c r="S55" s="39">
        <f t="shared" si="7"/>
        <v>148</v>
      </c>
      <c r="T55" s="38">
        <f t="shared" si="4"/>
        <v>24.864000000000001</v>
      </c>
      <c r="U55" s="290">
        <v>0</v>
      </c>
      <c r="V55" s="13">
        <f t="shared" si="8"/>
        <v>0</v>
      </c>
      <c r="W55" s="294">
        <f t="shared" si="9"/>
        <v>148</v>
      </c>
      <c r="X55" s="295">
        <f t="shared" si="10"/>
        <v>24.864000000000001</v>
      </c>
      <c r="Y55" s="101">
        <v>30</v>
      </c>
      <c r="Z55" s="101"/>
    </row>
    <row r="56" spans="1:26" x14ac:dyDescent="0.25">
      <c r="A56" s="277">
        <v>52</v>
      </c>
      <c r="B56" s="283" t="s">
        <v>188</v>
      </c>
      <c r="C56" s="264">
        <v>140</v>
      </c>
      <c r="D56" s="264">
        <v>240</v>
      </c>
      <c r="E56" s="264">
        <v>10</v>
      </c>
      <c r="F56" s="19">
        <f t="shared" si="5"/>
        <v>0.33600000000000002</v>
      </c>
      <c r="G56" s="296">
        <v>72</v>
      </c>
      <c r="H56" s="299">
        <f t="shared" si="6"/>
        <v>24.192</v>
      </c>
      <c r="I56" s="290">
        <v>0</v>
      </c>
      <c r="J56" s="205">
        <f t="shared" ref="J56:J69" si="22">F56*I56</f>
        <v>0</v>
      </c>
      <c r="K56" s="290">
        <v>0</v>
      </c>
      <c r="L56" s="205">
        <f>F56*K56</f>
        <v>0</v>
      </c>
      <c r="M56" s="290">
        <v>0</v>
      </c>
      <c r="N56" s="205">
        <f t="shared" si="19"/>
        <v>0</v>
      </c>
      <c r="O56" s="290">
        <v>0</v>
      </c>
      <c r="P56" s="205">
        <f t="shared" si="20"/>
        <v>0</v>
      </c>
      <c r="Q56" s="290">
        <v>0</v>
      </c>
      <c r="R56" s="205">
        <f t="shared" si="21"/>
        <v>0</v>
      </c>
      <c r="S56" s="39">
        <f t="shared" si="7"/>
        <v>72</v>
      </c>
      <c r="T56" s="38">
        <f t="shared" si="4"/>
        <v>24.192</v>
      </c>
      <c r="U56" s="290">
        <v>0</v>
      </c>
      <c r="V56" s="13">
        <f t="shared" si="8"/>
        <v>0</v>
      </c>
      <c r="W56" s="294">
        <f t="shared" si="9"/>
        <v>72</v>
      </c>
      <c r="X56" s="295">
        <f t="shared" si="10"/>
        <v>24.192</v>
      </c>
      <c r="Y56" s="101">
        <v>20</v>
      </c>
      <c r="Z56" s="101"/>
    </row>
    <row r="57" spans="1:26" x14ac:dyDescent="0.25">
      <c r="A57" s="264">
        <v>53</v>
      </c>
      <c r="B57" s="101" t="s">
        <v>201</v>
      </c>
      <c r="C57" s="264">
        <v>52</v>
      </c>
      <c r="D57" s="264">
        <v>52</v>
      </c>
      <c r="E57" s="264">
        <v>5</v>
      </c>
      <c r="F57" s="19">
        <f t="shared" si="5"/>
        <v>1.3520000000000001E-2</v>
      </c>
      <c r="G57" s="296">
        <v>221</v>
      </c>
      <c r="H57" s="299">
        <f t="shared" si="6"/>
        <v>2.9879200000000004</v>
      </c>
      <c r="I57" s="290">
        <v>0</v>
      </c>
      <c r="J57" s="205">
        <f t="shared" si="22"/>
        <v>0</v>
      </c>
      <c r="K57" s="290">
        <v>143</v>
      </c>
      <c r="L57" s="205">
        <f t="shared" ref="L57:L64" si="23">F57*K57</f>
        <v>1.9333600000000002</v>
      </c>
      <c r="M57" s="290">
        <v>0</v>
      </c>
      <c r="N57" s="205">
        <f t="shared" si="19"/>
        <v>0</v>
      </c>
      <c r="O57" s="290">
        <v>0</v>
      </c>
      <c r="P57" s="205">
        <f t="shared" si="20"/>
        <v>0</v>
      </c>
      <c r="Q57" s="290">
        <v>0</v>
      </c>
      <c r="R57" s="205">
        <f t="shared" si="21"/>
        <v>0</v>
      </c>
      <c r="S57" s="39">
        <f t="shared" si="7"/>
        <v>78</v>
      </c>
      <c r="T57" s="38">
        <f t="shared" si="4"/>
        <v>1.0545600000000002</v>
      </c>
      <c r="U57" s="290">
        <v>0</v>
      </c>
      <c r="V57" s="13">
        <f t="shared" si="8"/>
        <v>0</v>
      </c>
      <c r="W57" s="294">
        <f t="shared" si="9"/>
        <v>78</v>
      </c>
      <c r="X57" s="295">
        <f t="shared" si="10"/>
        <v>1.0545600000000002</v>
      </c>
      <c r="Y57" s="101"/>
      <c r="Z57" s="101"/>
    </row>
    <row r="58" spans="1:26" x14ac:dyDescent="0.25">
      <c r="A58" s="264">
        <v>54</v>
      </c>
      <c r="B58" s="101" t="s">
        <v>193</v>
      </c>
      <c r="C58" s="264">
        <v>80</v>
      </c>
      <c r="D58" s="264">
        <v>75</v>
      </c>
      <c r="E58" s="264">
        <v>5</v>
      </c>
      <c r="F58" s="19">
        <f t="shared" si="5"/>
        <v>0.03</v>
      </c>
      <c r="G58" s="264">
        <v>170</v>
      </c>
      <c r="H58" s="299">
        <f t="shared" si="6"/>
        <v>5.0999999999999996</v>
      </c>
      <c r="I58" s="290">
        <v>0</v>
      </c>
      <c r="J58" s="205">
        <f t="shared" si="22"/>
        <v>0</v>
      </c>
      <c r="K58" s="290">
        <v>0</v>
      </c>
      <c r="L58" s="205">
        <f t="shared" si="23"/>
        <v>0</v>
      </c>
      <c r="M58" s="290">
        <v>0</v>
      </c>
      <c r="N58" s="205">
        <f t="shared" si="19"/>
        <v>0</v>
      </c>
      <c r="O58" s="290">
        <v>0</v>
      </c>
      <c r="P58" s="205">
        <f t="shared" si="20"/>
        <v>0</v>
      </c>
      <c r="Q58" s="290">
        <v>0</v>
      </c>
      <c r="R58" s="205">
        <f t="shared" si="21"/>
        <v>0</v>
      </c>
      <c r="S58" s="39">
        <f t="shared" si="7"/>
        <v>170</v>
      </c>
      <c r="T58" s="38">
        <f t="shared" si="4"/>
        <v>5.0999999999999996</v>
      </c>
      <c r="U58" s="290">
        <v>0</v>
      </c>
      <c r="V58" s="308">
        <f t="shared" si="8"/>
        <v>0</v>
      </c>
      <c r="W58" s="294">
        <f t="shared" si="9"/>
        <v>170</v>
      </c>
      <c r="X58" s="300">
        <f t="shared" si="10"/>
        <v>5.0999999999999996</v>
      </c>
      <c r="Y58" s="101"/>
      <c r="Z58" s="101"/>
    </row>
    <row r="59" spans="1:26" x14ac:dyDescent="0.25">
      <c r="A59" s="264">
        <v>55</v>
      </c>
      <c r="B59" s="101" t="s">
        <v>194</v>
      </c>
      <c r="C59" s="264">
        <v>58</v>
      </c>
      <c r="D59" s="264">
        <v>25</v>
      </c>
      <c r="E59" s="264">
        <v>3</v>
      </c>
      <c r="F59" s="298">
        <f t="shared" si="5"/>
        <v>4.3499999999999997E-3</v>
      </c>
      <c r="G59" s="264">
        <v>0</v>
      </c>
      <c r="H59" s="299">
        <f t="shared" si="6"/>
        <v>0</v>
      </c>
      <c r="I59" s="290">
        <v>0</v>
      </c>
      <c r="J59" s="205">
        <f t="shared" si="22"/>
        <v>0</v>
      </c>
      <c r="K59" s="290">
        <v>0</v>
      </c>
      <c r="L59" s="205">
        <f t="shared" si="23"/>
        <v>0</v>
      </c>
      <c r="M59" s="290">
        <v>0</v>
      </c>
      <c r="N59" s="205">
        <f t="shared" si="19"/>
        <v>0</v>
      </c>
      <c r="O59" s="290">
        <v>0</v>
      </c>
      <c r="P59" s="205">
        <f t="shared" si="20"/>
        <v>0</v>
      </c>
      <c r="Q59" s="290">
        <v>0</v>
      </c>
      <c r="R59" s="205">
        <f>F59*Q59</f>
        <v>0</v>
      </c>
      <c r="S59" s="39">
        <f t="shared" si="7"/>
        <v>0</v>
      </c>
      <c r="T59" s="38">
        <f t="shared" si="4"/>
        <v>0</v>
      </c>
      <c r="U59" s="290">
        <v>0</v>
      </c>
      <c r="V59" s="309">
        <f t="shared" si="8"/>
        <v>0</v>
      </c>
      <c r="W59" s="294">
        <f t="shared" si="9"/>
        <v>0</v>
      </c>
      <c r="X59" s="300">
        <f t="shared" si="10"/>
        <v>0</v>
      </c>
      <c r="Y59" s="101"/>
      <c r="Z59" s="101"/>
    </row>
    <row r="60" spans="1:26" x14ac:dyDescent="0.25">
      <c r="A60" s="264">
        <v>56</v>
      </c>
      <c r="B60" s="101" t="s">
        <v>195</v>
      </c>
      <c r="C60" s="264">
        <v>64</v>
      </c>
      <c r="D60" s="264">
        <v>58</v>
      </c>
      <c r="E60" s="264">
        <v>5</v>
      </c>
      <c r="F60" s="298">
        <f t="shared" si="5"/>
        <v>1.856E-2</v>
      </c>
      <c r="G60" s="264">
        <v>130</v>
      </c>
      <c r="H60" s="299">
        <f t="shared" si="6"/>
        <v>2.4127999999999998</v>
      </c>
      <c r="I60" s="290">
        <v>0</v>
      </c>
      <c r="J60" s="205">
        <f t="shared" si="22"/>
        <v>0</v>
      </c>
      <c r="K60" s="290">
        <v>0</v>
      </c>
      <c r="L60" s="205">
        <f t="shared" si="23"/>
        <v>0</v>
      </c>
      <c r="M60" s="290">
        <v>0</v>
      </c>
      <c r="N60" s="205">
        <f t="shared" si="19"/>
        <v>0</v>
      </c>
      <c r="O60" s="290">
        <v>0</v>
      </c>
      <c r="P60" s="205">
        <f t="shared" si="20"/>
        <v>0</v>
      </c>
      <c r="Q60" s="290">
        <v>0</v>
      </c>
      <c r="R60" s="205">
        <f t="shared" ref="R60:R65" si="24">F60*Q60</f>
        <v>0</v>
      </c>
      <c r="S60" s="39">
        <f t="shared" si="7"/>
        <v>130</v>
      </c>
      <c r="T60" s="38">
        <f t="shared" si="4"/>
        <v>2.4127999999999998</v>
      </c>
      <c r="U60" s="290">
        <v>0</v>
      </c>
      <c r="V60" s="309">
        <f t="shared" si="8"/>
        <v>0</v>
      </c>
      <c r="W60" s="294">
        <f t="shared" si="9"/>
        <v>130</v>
      </c>
      <c r="X60" s="301">
        <f t="shared" si="10"/>
        <v>2.4127999999999998</v>
      </c>
      <c r="Y60" s="101"/>
      <c r="Z60" s="101"/>
    </row>
    <row r="61" spans="1:26" x14ac:dyDescent="0.25">
      <c r="A61" s="264">
        <v>57</v>
      </c>
      <c r="B61" s="101" t="s">
        <v>197</v>
      </c>
      <c r="C61" s="264">
        <v>65</v>
      </c>
      <c r="D61" s="264">
        <v>65</v>
      </c>
      <c r="E61" s="264">
        <v>5</v>
      </c>
      <c r="F61" s="101">
        <f t="shared" si="5"/>
        <v>2.1125000000000001E-2</v>
      </c>
      <c r="G61" s="264">
        <v>252</v>
      </c>
      <c r="H61" s="299">
        <f t="shared" si="6"/>
        <v>5.3235000000000001</v>
      </c>
      <c r="I61" s="290">
        <v>0</v>
      </c>
      <c r="J61" s="205">
        <f t="shared" si="22"/>
        <v>0</v>
      </c>
      <c r="K61" s="290">
        <v>0</v>
      </c>
      <c r="L61" s="205">
        <f t="shared" si="23"/>
        <v>0</v>
      </c>
      <c r="M61" s="290">
        <v>0</v>
      </c>
      <c r="N61" s="174">
        <f t="shared" si="19"/>
        <v>0</v>
      </c>
      <c r="O61" s="290">
        <v>0</v>
      </c>
      <c r="P61" s="205">
        <f t="shared" si="20"/>
        <v>0</v>
      </c>
      <c r="Q61" s="290">
        <v>0</v>
      </c>
      <c r="R61" s="205">
        <f t="shared" si="24"/>
        <v>0</v>
      </c>
      <c r="S61" s="39">
        <f t="shared" si="7"/>
        <v>252</v>
      </c>
      <c r="T61" s="38">
        <f t="shared" si="4"/>
        <v>5.3235000000000001</v>
      </c>
      <c r="U61" s="290">
        <v>0</v>
      </c>
      <c r="V61" s="309">
        <f t="shared" si="8"/>
        <v>0</v>
      </c>
      <c r="W61" s="294">
        <f t="shared" si="9"/>
        <v>252</v>
      </c>
      <c r="X61" s="300">
        <f t="shared" si="10"/>
        <v>5.3235000000000001</v>
      </c>
      <c r="Y61" s="101"/>
      <c r="Z61" s="101"/>
    </row>
    <row r="62" spans="1:26" x14ac:dyDescent="0.25">
      <c r="A62" s="264">
        <v>58</v>
      </c>
      <c r="B62" s="101" t="s">
        <v>198</v>
      </c>
      <c r="C62" s="264">
        <v>83</v>
      </c>
      <c r="D62" s="264">
        <v>55</v>
      </c>
      <c r="E62" s="264">
        <v>3</v>
      </c>
      <c r="F62" s="101">
        <f t="shared" si="5"/>
        <v>1.3695000000000001E-2</v>
      </c>
      <c r="G62" s="264">
        <v>225</v>
      </c>
      <c r="H62" s="299">
        <f t="shared" si="6"/>
        <v>3.081375</v>
      </c>
      <c r="I62" s="290">
        <v>0</v>
      </c>
      <c r="J62" s="205">
        <f t="shared" si="22"/>
        <v>0</v>
      </c>
      <c r="K62" s="290">
        <v>0</v>
      </c>
      <c r="L62" s="205">
        <f t="shared" si="23"/>
        <v>0</v>
      </c>
      <c r="M62" s="290">
        <v>0</v>
      </c>
      <c r="N62" s="174">
        <f t="shared" si="19"/>
        <v>0</v>
      </c>
      <c r="O62" s="290">
        <v>0</v>
      </c>
      <c r="P62" s="205">
        <f t="shared" si="20"/>
        <v>0</v>
      </c>
      <c r="Q62" s="290">
        <v>0</v>
      </c>
      <c r="R62" s="205">
        <f t="shared" si="24"/>
        <v>0</v>
      </c>
      <c r="S62" s="39">
        <f t="shared" si="7"/>
        <v>225</v>
      </c>
      <c r="T62" s="38">
        <f t="shared" si="4"/>
        <v>3.081375</v>
      </c>
      <c r="U62" s="290">
        <v>0</v>
      </c>
      <c r="V62" s="309">
        <f t="shared" si="8"/>
        <v>0</v>
      </c>
      <c r="W62" s="294">
        <f t="shared" si="9"/>
        <v>225</v>
      </c>
      <c r="X62" s="300">
        <f t="shared" si="10"/>
        <v>3.081375</v>
      </c>
      <c r="Y62" s="101"/>
      <c r="Z62" s="101"/>
    </row>
    <row r="63" spans="1:26" x14ac:dyDescent="0.25">
      <c r="A63" s="264">
        <v>59</v>
      </c>
      <c r="B63" s="101" t="s">
        <v>199</v>
      </c>
      <c r="C63" s="264">
        <v>75</v>
      </c>
      <c r="D63" s="264">
        <v>55</v>
      </c>
      <c r="E63" s="264">
        <v>3</v>
      </c>
      <c r="F63" s="101">
        <f t="shared" si="5"/>
        <v>1.2375000000000001E-2</v>
      </c>
      <c r="G63" s="264">
        <v>200</v>
      </c>
      <c r="H63" s="299">
        <f t="shared" si="6"/>
        <v>2.4750000000000001</v>
      </c>
      <c r="I63" s="290">
        <v>0</v>
      </c>
      <c r="J63" s="205">
        <f t="shared" si="22"/>
        <v>0</v>
      </c>
      <c r="K63" s="290">
        <v>0</v>
      </c>
      <c r="L63" s="205">
        <f t="shared" si="23"/>
        <v>0</v>
      </c>
      <c r="M63" s="290">
        <v>0</v>
      </c>
      <c r="N63" s="174">
        <f t="shared" si="19"/>
        <v>0</v>
      </c>
      <c r="O63" s="290">
        <v>0</v>
      </c>
      <c r="P63" s="205">
        <f t="shared" si="20"/>
        <v>0</v>
      </c>
      <c r="Q63" s="290">
        <v>0</v>
      </c>
      <c r="R63" s="205">
        <f t="shared" si="24"/>
        <v>0</v>
      </c>
      <c r="S63" s="39">
        <f t="shared" si="7"/>
        <v>200</v>
      </c>
      <c r="T63" s="38">
        <f t="shared" si="4"/>
        <v>2.4750000000000001</v>
      </c>
      <c r="U63" s="290">
        <v>0</v>
      </c>
      <c r="V63" s="309">
        <f t="shared" si="8"/>
        <v>0</v>
      </c>
      <c r="W63" s="294">
        <f t="shared" si="9"/>
        <v>200</v>
      </c>
      <c r="X63" s="300">
        <f t="shared" si="10"/>
        <v>2.4750000000000001</v>
      </c>
      <c r="Y63" s="101"/>
      <c r="Z63" s="101"/>
    </row>
    <row r="64" spans="1:26" x14ac:dyDescent="0.25">
      <c r="A64" s="264">
        <v>60</v>
      </c>
      <c r="B64" s="101" t="s">
        <v>200</v>
      </c>
      <c r="C64" s="264">
        <v>58</v>
      </c>
      <c r="D64" s="264">
        <v>19</v>
      </c>
      <c r="E64" s="264">
        <v>3</v>
      </c>
      <c r="F64" s="101">
        <f t="shared" si="5"/>
        <v>3.3059999999999999E-3</v>
      </c>
      <c r="G64" s="264">
        <v>180</v>
      </c>
      <c r="H64" s="299">
        <f t="shared" si="6"/>
        <v>0.59507999999999994</v>
      </c>
      <c r="I64" s="290">
        <v>0</v>
      </c>
      <c r="J64" s="205">
        <f t="shared" si="22"/>
        <v>0</v>
      </c>
      <c r="K64" s="290">
        <v>0</v>
      </c>
      <c r="L64" s="205">
        <f t="shared" si="23"/>
        <v>0</v>
      </c>
      <c r="M64" s="290">
        <v>0</v>
      </c>
      <c r="N64" s="174">
        <f t="shared" si="19"/>
        <v>0</v>
      </c>
      <c r="O64" s="290">
        <v>0</v>
      </c>
      <c r="P64" s="205">
        <f t="shared" si="20"/>
        <v>0</v>
      </c>
      <c r="Q64" s="290">
        <v>0</v>
      </c>
      <c r="R64" s="205">
        <f t="shared" si="24"/>
        <v>0</v>
      </c>
      <c r="S64" s="39">
        <f t="shared" si="7"/>
        <v>180</v>
      </c>
      <c r="T64" s="38">
        <f t="shared" si="4"/>
        <v>0.59507999999999994</v>
      </c>
      <c r="U64" s="290">
        <v>0</v>
      </c>
      <c r="V64" s="309">
        <f t="shared" si="8"/>
        <v>0</v>
      </c>
      <c r="W64" s="294">
        <f t="shared" si="9"/>
        <v>180</v>
      </c>
      <c r="X64" s="300">
        <f t="shared" si="10"/>
        <v>0.59507999999999994</v>
      </c>
      <c r="Y64" s="101"/>
      <c r="Z64" s="101"/>
    </row>
    <row r="65" spans="1:26" x14ac:dyDescent="0.25">
      <c r="A65" s="264">
        <v>61</v>
      </c>
      <c r="B65" s="101" t="s">
        <v>202</v>
      </c>
      <c r="C65" s="264">
        <v>140</v>
      </c>
      <c r="D65" s="264">
        <v>240</v>
      </c>
      <c r="E65" s="264">
        <v>4</v>
      </c>
      <c r="F65" s="101">
        <f t="shared" si="5"/>
        <v>0.13439999999999999</v>
      </c>
      <c r="G65" s="264">
        <v>42</v>
      </c>
      <c r="H65" s="299">
        <f t="shared" si="6"/>
        <v>5.6448</v>
      </c>
      <c r="I65" s="290">
        <v>0</v>
      </c>
      <c r="J65" s="205">
        <f t="shared" si="22"/>
        <v>0</v>
      </c>
      <c r="K65" s="290">
        <v>0</v>
      </c>
      <c r="L65" s="205">
        <v>0</v>
      </c>
      <c r="M65" s="290">
        <v>0</v>
      </c>
      <c r="N65" s="174">
        <f t="shared" si="19"/>
        <v>0</v>
      </c>
      <c r="O65" s="290">
        <v>0</v>
      </c>
      <c r="P65" s="205">
        <f t="shared" si="20"/>
        <v>0</v>
      </c>
      <c r="Q65" s="290">
        <v>0</v>
      </c>
      <c r="R65" s="205">
        <f t="shared" si="24"/>
        <v>0</v>
      </c>
      <c r="S65" s="39">
        <f t="shared" si="7"/>
        <v>42</v>
      </c>
      <c r="T65" s="38">
        <f t="shared" si="4"/>
        <v>5.6448</v>
      </c>
      <c r="U65" s="290">
        <v>0</v>
      </c>
      <c r="V65" s="309">
        <f t="shared" si="8"/>
        <v>0</v>
      </c>
      <c r="W65" s="294">
        <f t="shared" si="9"/>
        <v>42</v>
      </c>
      <c r="X65" s="300">
        <f t="shared" si="10"/>
        <v>5.6448</v>
      </c>
      <c r="Y65" s="101"/>
      <c r="Z65" s="101"/>
    </row>
    <row r="66" spans="1:26" x14ac:dyDescent="0.25">
      <c r="A66" s="264">
        <v>62</v>
      </c>
      <c r="B66" s="101" t="s">
        <v>203</v>
      </c>
      <c r="C66" s="264">
        <v>50</v>
      </c>
      <c r="D66" s="264">
        <v>46.5</v>
      </c>
      <c r="E66" s="264">
        <v>3</v>
      </c>
      <c r="F66" s="101">
        <f t="shared" si="5"/>
        <v>6.9750000000000003E-3</v>
      </c>
      <c r="G66" s="264">
        <v>1780</v>
      </c>
      <c r="H66" s="289">
        <f t="shared" si="6"/>
        <v>12.4155</v>
      </c>
      <c r="I66" s="290">
        <v>350</v>
      </c>
      <c r="J66" s="205">
        <f t="shared" si="22"/>
        <v>2.4412500000000001</v>
      </c>
      <c r="K66" s="290">
        <v>0</v>
      </c>
      <c r="L66" s="101"/>
      <c r="M66" s="290">
        <v>400</v>
      </c>
      <c r="N66" s="264">
        <f t="shared" si="19"/>
        <v>2.79</v>
      </c>
      <c r="O66" s="290">
        <v>0</v>
      </c>
      <c r="P66" s="264">
        <f t="shared" si="20"/>
        <v>0</v>
      </c>
      <c r="Q66" s="290">
        <v>0</v>
      </c>
      <c r="R66" s="101"/>
      <c r="S66" s="39">
        <f t="shared" si="7"/>
        <v>1030</v>
      </c>
      <c r="T66" s="38">
        <f t="shared" si="4"/>
        <v>7.1842500000000005</v>
      </c>
      <c r="U66" s="290">
        <v>0</v>
      </c>
      <c r="V66" s="309">
        <f t="shared" si="8"/>
        <v>0</v>
      </c>
      <c r="W66" s="294">
        <f t="shared" si="9"/>
        <v>1030</v>
      </c>
      <c r="X66" s="300">
        <f t="shared" si="10"/>
        <v>7.1842500000000005</v>
      </c>
      <c r="Y66" s="101"/>
      <c r="Z66" s="101"/>
    </row>
    <row r="67" spans="1:26" x14ac:dyDescent="0.25">
      <c r="A67" s="264">
        <v>63</v>
      </c>
      <c r="B67" s="101" t="s">
        <v>204</v>
      </c>
      <c r="C67" s="264">
        <v>50</v>
      </c>
      <c r="D67" s="264">
        <v>35</v>
      </c>
      <c r="E67" s="264">
        <v>3</v>
      </c>
      <c r="F67" s="101">
        <f t="shared" si="5"/>
        <v>5.2500000000000003E-3</v>
      </c>
      <c r="G67" s="264">
        <v>1945</v>
      </c>
      <c r="H67" s="289">
        <f t="shared" si="6"/>
        <v>10.211250000000001</v>
      </c>
      <c r="I67" s="290">
        <v>350</v>
      </c>
      <c r="J67" s="205">
        <f t="shared" si="22"/>
        <v>1.8375000000000001</v>
      </c>
      <c r="K67" s="290">
        <v>0</v>
      </c>
      <c r="L67" s="205">
        <f t="shared" ref="L67" si="25">F67*K67</f>
        <v>0</v>
      </c>
      <c r="M67" s="290">
        <v>400</v>
      </c>
      <c r="N67" s="264">
        <f t="shared" si="19"/>
        <v>2.1</v>
      </c>
      <c r="O67" s="290">
        <v>0</v>
      </c>
      <c r="P67" s="264"/>
      <c r="Q67" s="290">
        <v>0</v>
      </c>
      <c r="R67" s="264"/>
      <c r="S67" s="39">
        <f t="shared" si="7"/>
        <v>1195</v>
      </c>
      <c r="T67" s="38">
        <f t="shared" si="4"/>
        <v>6.2737500000000006</v>
      </c>
      <c r="U67" s="290">
        <v>0</v>
      </c>
      <c r="V67" s="309">
        <f t="shared" si="8"/>
        <v>0</v>
      </c>
      <c r="W67" s="294">
        <f t="shared" si="9"/>
        <v>1195</v>
      </c>
      <c r="X67" s="300">
        <f t="shared" si="10"/>
        <v>6.2737500000000006</v>
      </c>
      <c r="Y67" s="101"/>
      <c r="Z67" s="101"/>
    </row>
    <row r="68" spans="1:26" x14ac:dyDescent="0.25">
      <c r="A68" s="264">
        <v>64</v>
      </c>
      <c r="B68" s="101" t="s">
        <v>205</v>
      </c>
      <c r="C68" s="264">
        <v>140</v>
      </c>
      <c r="D68" s="264">
        <v>240</v>
      </c>
      <c r="E68" s="264">
        <v>8</v>
      </c>
      <c r="F68" s="101">
        <f t="shared" si="5"/>
        <v>0.26879999999999998</v>
      </c>
      <c r="G68" s="264">
        <v>1</v>
      </c>
      <c r="H68" s="289">
        <f t="shared" si="6"/>
        <v>0.26879999999999998</v>
      </c>
      <c r="I68" s="290">
        <v>0</v>
      </c>
      <c r="J68" s="264">
        <f t="shared" si="22"/>
        <v>0</v>
      </c>
      <c r="K68" s="290">
        <v>0</v>
      </c>
      <c r="L68" s="264"/>
      <c r="M68" s="290">
        <v>0</v>
      </c>
      <c r="N68" s="264">
        <v>0</v>
      </c>
      <c r="O68" s="290">
        <v>0</v>
      </c>
      <c r="P68" s="264"/>
      <c r="Q68" s="290">
        <v>0</v>
      </c>
      <c r="R68" s="264">
        <v>0</v>
      </c>
      <c r="S68" s="39">
        <f t="shared" si="7"/>
        <v>1</v>
      </c>
      <c r="T68" s="38">
        <f t="shared" si="4"/>
        <v>0.26879999999999998</v>
      </c>
      <c r="U68" s="290">
        <v>0</v>
      </c>
      <c r="V68" s="309">
        <v>9.1389999999999993</v>
      </c>
      <c r="W68" s="294">
        <f t="shared" si="9"/>
        <v>1</v>
      </c>
      <c r="X68" s="300">
        <f t="shared" si="10"/>
        <v>0.26879999999999998</v>
      </c>
      <c r="Y68" s="101"/>
      <c r="Z68" s="101"/>
    </row>
    <row r="69" spans="1:26" x14ac:dyDescent="0.25">
      <c r="A69" s="264">
        <v>65</v>
      </c>
      <c r="B69" s="101" t="s">
        <v>206</v>
      </c>
      <c r="C69" s="264">
        <v>140</v>
      </c>
      <c r="D69" s="264">
        <v>240</v>
      </c>
      <c r="E69" s="264">
        <v>2</v>
      </c>
      <c r="F69" s="101">
        <f t="shared" si="5"/>
        <v>6.7199999999999996E-2</v>
      </c>
      <c r="G69" s="264">
        <v>70</v>
      </c>
      <c r="H69" s="289">
        <f t="shared" si="6"/>
        <v>4.7039999999999997</v>
      </c>
      <c r="I69" s="290">
        <v>0</v>
      </c>
      <c r="J69" s="264">
        <f t="shared" si="22"/>
        <v>0</v>
      </c>
      <c r="K69" s="290">
        <v>0</v>
      </c>
      <c r="L69" s="264"/>
      <c r="M69" s="290">
        <v>0</v>
      </c>
      <c r="N69" s="174">
        <v>0</v>
      </c>
      <c r="O69" s="290">
        <v>0</v>
      </c>
      <c r="P69" s="264">
        <f t="shared" ref="P69" si="26">F69*O69</f>
        <v>0</v>
      </c>
      <c r="Q69" s="290">
        <v>0</v>
      </c>
      <c r="R69" s="205">
        <f t="shared" ref="R69" si="27">F69*Q69</f>
        <v>0</v>
      </c>
      <c r="S69" s="39">
        <f t="shared" si="7"/>
        <v>70</v>
      </c>
      <c r="T69" s="38">
        <f t="shared" ref="T69:T70" si="28">F69*S69</f>
        <v>4.7039999999999997</v>
      </c>
      <c r="U69" s="290">
        <v>0</v>
      </c>
      <c r="V69" s="309">
        <v>6.72</v>
      </c>
      <c r="W69" s="294">
        <f t="shared" si="9"/>
        <v>70</v>
      </c>
      <c r="X69" s="300">
        <f t="shared" si="10"/>
        <v>4.7039999999999997</v>
      </c>
      <c r="Y69" s="101"/>
      <c r="Z69" s="101"/>
    </row>
    <row r="70" spans="1:26" x14ac:dyDescent="0.25">
      <c r="A70" s="264">
        <v>66</v>
      </c>
      <c r="B70" s="101"/>
      <c r="C70" s="264"/>
      <c r="D70" s="264"/>
      <c r="E70" s="264"/>
      <c r="F70" s="101"/>
      <c r="G70" s="264"/>
      <c r="H70" s="289"/>
      <c r="I70" s="290">
        <v>0</v>
      </c>
      <c r="J70" s="264"/>
      <c r="K70" s="290">
        <v>0</v>
      </c>
      <c r="L70" s="264"/>
      <c r="M70" s="290">
        <v>0</v>
      </c>
      <c r="N70" s="264">
        <f t="shared" si="19"/>
        <v>0</v>
      </c>
      <c r="O70" s="290">
        <v>0</v>
      </c>
      <c r="P70" s="264"/>
      <c r="Q70" s="290">
        <v>0</v>
      </c>
      <c r="R70" s="264"/>
      <c r="S70" s="39">
        <f t="shared" ref="S70" si="29">G70-I70-K70-M70-O70-Q70</f>
        <v>0</v>
      </c>
      <c r="T70" s="38">
        <f t="shared" si="28"/>
        <v>0</v>
      </c>
      <c r="U70" s="290">
        <v>0</v>
      </c>
      <c r="V70" s="309">
        <f t="shared" ref="V70" si="30">F70*U70</f>
        <v>0</v>
      </c>
      <c r="W70" s="294">
        <f t="shared" ref="W70" si="31">S70+U70</f>
        <v>0</v>
      </c>
      <c r="X70" s="300">
        <f t="shared" ref="X70" si="32">F70*W70</f>
        <v>0</v>
      </c>
      <c r="Y70" s="101"/>
      <c r="Z70" s="101"/>
    </row>
    <row r="71" spans="1:26" x14ac:dyDescent="0.2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spans="1:26" x14ac:dyDescent="0.2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1:26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1:26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1:26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1:26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1:26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1:26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</sheetData>
  <mergeCells count="24">
    <mergeCell ref="C1:H1"/>
    <mergeCell ref="G2:H3"/>
    <mergeCell ref="I2:J2"/>
    <mergeCell ref="K2:L2"/>
    <mergeCell ref="M2:N2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S4:T4"/>
    <mergeCell ref="U4:V4"/>
    <mergeCell ref="W4:X4"/>
    <mergeCell ref="G4:H4"/>
    <mergeCell ref="I4:J4"/>
    <mergeCell ref="K4:L4"/>
    <mergeCell ref="M4:N4"/>
    <mergeCell ref="O4:P4"/>
    <mergeCell ref="Q4:R4"/>
  </mergeCell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Z78"/>
  <sheetViews>
    <sheetView workbookViewId="0">
      <selection activeCell="C1" sqref="C1:H1"/>
    </sheetView>
  </sheetViews>
  <sheetFormatPr defaultRowHeight="15" x14ac:dyDescent="0.25"/>
  <cols>
    <col min="1" max="1" width="5" customWidth="1"/>
    <col min="2" max="2" width="32" style="3" customWidth="1"/>
    <col min="3" max="3" width="11.7109375" style="2" hidden="1" customWidth="1"/>
    <col min="4" max="4" width="11.85546875" style="2" hidden="1" customWidth="1"/>
    <col min="5" max="5" width="12.5703125" style="2" hidden="1" customWidth="1"/>
    <col min="6" max="6" width="16.140625" style="4" hidden="1" customWidth="1"/>
    <col min="7" max="7" width="7.5703125" style="5" customWidth="1"/>
    <col min="8" max="8" width="9" style="5" customWidth="1"/>
    <col min="9" max="9" width="6" style="2" customWidth="1"/>
    <col min="10" max="10" width="7.140625" style="2" customWidth="1"/>
    <col min="11" max="11" width="6.28515625" style="2" customWidth="1"/>
    <col min="12" max="12" width="8" style="2" customWidth="1"/>
    <col min="13" max="20" width="6.42578125" style="2" customWidth="1"/>
    <col min="21" max="24" width="6.42578125" customWidth="1"/>
    <col min="25" max="25" width="10.28515625" customWidth="1"/>
  </cols>
  <sheetData>
    <row r="1" spans="1:26" ht="15.75" thickBot="1" x14ac:dyDescent="0.3">
      <c r="B1" s="4" t="s">
        <v>18</v>
      </c>
      <c r="C1" s="384">
        <v>45689</v>
      </c>
      <c r="D1" s="320"/>
      <c r="E1" s="320"/>
      <c r="F1" s="320"/>
      <c r="G1" s="320"/>
      <c r="H1" s="320"/>
      <c r="Y1" s="314">
        <v>45656</v>
      </c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45695</v>
      </c>
      <c r="J2" s="326"/>
      <c r="K2" s="327">
        <v>45702</v>
      </c>
      <c r="L2" s="328"/>
      <c r="M2" s="325">
        <v>45709</v>
      </c>
      <c r="N2" s="329"/>
      <c r="O2" s="327">
        <v>45897</v>
      </c>
      <c r="P2" s="346"/>
      <c r="Q2" s="325">
        <v>0</v>
      </c>
      <c r="R2" s="329"/>
      <c r="S2" s="330" t="s">
        <v>69</v>
      </c>
      <c r="T2" s="331"/>
      <c r="U2" s="334" t="s">
        <v>70</v>
      </c>
      <c r="V2" s="335"/>
      <c r="W2" s="385" t="s">
        <v>71</v>
      </c>
      <c r="X2" s="386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87"/>
      <c r="X3" s="388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89" t="s">
        <v>63</v>
      </c>
      <c r="X4" s="390"/>
      <c r="Y4" s="268" t="s">
        <v>179</v>
      </c>
      <c r="Z4" s="269" t="s">
        <v>99</v>
      </c>
    </row>
    <row r="5" spans="1:26" x14ac:dyDescent="0.25">
      <c r="A5" s="263">
        <v>1</v>
      </c>
      <c r="B5" s="256" t="s">
        <v>134</v>
      </c>
      <c r="C5" s="32">
        <v>70</v>
      </c>
      <c r="D5" s="33">
        <v>64</v>
      </c>
      <c r="E5" s="33">
        <v>8</v>
      </c>
      <c r="F5" s="15">
        <f>(C5*D5*E5)/1000000</f>
        <v>3.5839999999999997E-2</v>
      </c>
      <c r="G5" s="286">
        <v>233</v>
      </c>
      <c r="H5" s="287">
        <f>F5*G5</f>
        <v>8.350719999999999</v>
      </c>
      <c r="I5" s="290">
        <v>0</v>
      </c>
      <c r="J5" s="205">
        <f t="shared" ref="J5:R55" si="0">F5*I5</f>
        <v>0</v>
      </c>
      <c r="K5" s="290">
        <v>6</v>
      </c>
      <c r="L5" s="205">
        <f>F5*K5</f>
        <v>0.21503999999999998</v>
      </c>
      <c r="M5" s="290">
        <v>0</v>
      </c>
      <c r="N5" s="205">
        <f t="shared" ref="N5:N10" si="1">F5*M5</f>
        <v>0</v>
      </c>
      <c r="O5" s="290">
        <v>0</v>
      </c>
      <c r="P5" s="205">
        <f t="shared" ref="P5:P10" si="2">F5*O5</f>
        <v>0</v>
      </c>
      <c r="Q5" s="290">
        <v>0</v>
      </c>
      <c r="R5" s="205">
        <f t="shared" ref="R5:R11" si="3">F5*Q5</f>
        <v>0</v>
      </c>
      <c r="S5" s="39">
        <f>G5-I5-K5-M5-O5-Q5</f>
        <v>227</v>
      </c>
      <c r="T5" s="38">
        <f t="shared" ref="T5:T68" si="4">F5*S5</f>
        <v>8.1356799999999989</v>
      </c>
      <c r="U5" s="290">
        <v>0</v>
      </c>
      <c r="V5" s="13">
        <f>F5*U5</f>
        <v>0</v>
      </c>
      <c r="W5" s="294">
        <f>S5+U5</f>
        <v>227</v>
      </c>
      <c r="X5" s="295">
        <f>F5*W5</f>
        <v>8.1356799999999989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135</v>
      </c>
      <c r="C6" s="34">
        <v>70</v>
      </c>
      <c r="D6" s="35">
        <v>80</v>
      </c>
      <c r="E6" s="35">
        <v>8</v>
      </c>
      <c r="F6" s="19">
        <f t="shared" ref="F6:F69" si="5">(C6*D6*E6)/1000000</f>
        <v>4.48E-2</v>
      </c>
      <c r="G6" s="286">
        <v>214</v>
      </c>
      <c r="H6" s="288">
        <f t="shared" ref="H6:H69" si="6">F6*G6</f>
        <v>9.5871999999999993</v>
      </c>
      <c r="I6" s="290">
        <v>0</v>
      </c>
      <c r="J6" s="205">
        <f t="shared" si="0"/>
        <v>0</v>
      </c>
      <c r="K6" s="290">
        <v>15</v>
      </c>
      <c r="L6" s="205">
        <f>F6*K6</f>
        <v>0.67200000000000004</v>
      </c>
      <c r="M6" s="290">
        <v>0</v>
      </c>
      <c r="N6" s="205">
        <f t="shared" si="1"/>
        <v>0</v>
      </c>
      <c r="O6" s="290">
        <v>2</v>
      </c>
      <c r="P6" s="205">
        <f t="shared" si="2"/>
        <v>8.9599999999999999E-2</v>
      </c>
      <c r="Q6" s="290">
        <v>0</v>
      </c>
      <c r="R6" s="205">
        <f t="shared" si="3"/>
        <v>0</v>
      </c>
      <c r="S6" s="39">
        <f t="shared" ref="S6:S69" si="7">G6-I6-K6-M6-O6-Q6</f>
        <v>197</v>
      </c>
      <c r="T6" s="38">
        <f t="shared" si="4"/>
        <v>8.8255999999999997</v>
      </c>
      <c r="U6" s="290">
        <v>0</v>
      </c>
      <c r="V6" s="13">
        <f t="shared" ref="V6:V67" si="8">F6*U6</f>
        <v>0</v>
      </c>
      <c r="W6" s="294">
        <f t="shared" ref="W6:W69" si="9">S6+U6</f>
        <v>197</v>
      </c>
      <c r="X6" s="295">
        <f t="shared" ref="X6:X69" si="10">F6*W6</f>
        <v>8.8255999999999997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136</v>
      </c>
      <c r="C7" s="34">
        <v>70</v>
      </c>
      <c r="D7" s="35">
        <v>74</v>
      </c>
      <c r="E7" s="35">
        <v>8</v>
      </c>
      <c r="F7" s="19">
        <f t="shared" si="5"/>
        <v>4.1439999999999998E-2</v>
      </c>
      <c r="G7" s="286">
        <v>187</v>
      </c>
      <c r="H7" s="288">
        <f t="shared" si="6"/>
        <v>7.7492799999999997</v>
      </c>
      <c r="I7" s="290">
        <v>0</v>
      </c>
      <c r="J7" s="205">
        <f t="shared" si="0"/>
        <v>0</v>
      </c>
      <c r="K7" s="290">
        <v>15</v>
      </c>
      <c r="L7" s="205">
        <f>F7*K7</f>
        <v>0.62159999999999993</v>
      </c>
      <c r="M7" s="290">
        <v>0</v>
      </c>
      <c r="N7" s="205">
        <f t="shared" si="1"/>
        <v>0</v>
      </c>
      <c r="O7" s="290">
        <v>0</v>
      </c>
      <c r="P7" s="205">
        <f t="shared" si="2"/>
        <v>0</v>
      </c>
      <c r="Q7" s="290">
        <v>0</v>
      </c>
      <c r="R7" s="205">
        <f t="shared" si="3"/>
        <v>0</v>
      </c>
      <c r="S7" s="39">
        <f t="shared" si="7"/>
        <v>172</v>
      </c>
      <c r="T7" s="38">
        <f t="shared" si="4"/>
        <v>7.1276799999999998</v>
      </c>
      <c r="U7" s="290">
        <v>0</v>
      </c>
      <c r="V7" s="13">
        <f t="shared" si="8"/>
        <v>0</v>
      </c>
      <c r="W7" s="294">
        <f t="shared" si="9"/>
        <v>172</v>
      </c>
      <c r="X7" s="295">
        <f t="shared" si="10"/>
        <v>7.1276799999999998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208</v>
      </c>
      <c r="C8" s="34">
        <v>70</v>
      </c>
      <c r="D8" s="35">
        <v>88</v>
      </c>
      <c r="E8" s="35">
        <v>8</v>
      </c>
      <c r="F8" s="19">
        <f t="shared" si="5"/>
        <v>4.9279999999999997E-2</v>
      </c>
      <c r="G8" s="286">
        <v>265</v>
      </c>
      <c r="H8" s="288">
        <f t="shared" si="6"/>
        <v>13.059199999999999</v>
      </c>
      <c r="I8" s="290">
        <v>0</v>
      </c>
      <c r="J8" s="205">
        <f t="shared" si="0"/>
        <v>0</v>
      </c>
      <c r="K8" s="290">
        <v>4</v>
      </c>
      <c r="L8" s="205">
        <f>F8*K8</f>
        <v>0.19711999999999999</v>
      </c>
      <c r="M8" s="290">
        <v>0</v>
      </c>
      <c r="N8" s="205">
        <f t="shared" si="1"/>
        <v>0</v>
      </c>
      <c r="O8" s="290">
        <v>2</v>
      </c>
      <c r="P8" s="205">
        <f t="shared" si="2"/>
        <v>9.8559999999999995E-2</v>
      </c>
      <c r="Q8" s="290">
        <v>0</v>
      </c>
      <c r="R8" s="205">
        <f t="shared" si="3"/>
        <v>0</v>
      </c>
      <c r="S8" s="39">
        <f t="shared" si="7"/>
        <v>259</v>
      </c>
      <c r="T8" s="38">
        <f t="shared" si="4"/>
        <v>12.76352</v>
      </c>
      <c r="U8" s="290">
        <v>0</v>
      </c>
      <c r="V8" s="13">
        <f t="shared" si="8"/>
        <v>0</v>
      </c>
      <c r="W8" s="294">
        <f t="shared" si="9"/>
        <v>259</v>
      </c>
      <c r="X8" s="295">
        <f t="shared" si="10"/>
        <v>12.76352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138</v>
      </c>
      <c r="C9" s="34">
        <v>140</v>
      </c>
      <c r="D9" s="35">
        <v>240</v>
      </c>
      <c r="E9" s="35">
        <v>5</v>
      </c>
      <c r="F9" s="19">
        <f t="shared" si="5"/>
        <v>0.16800000000000001</v>
      </c>
      <c r="G9" s="286">
        <v>247</v>
      </c>
      <c r="H9" s="288">
        <f t="shared" si="6"/>
        <v>41.496000000000002</v>
      </c>
      <c r="I9" s="290">
        <v>5</v>
      </c>
      <c r="J9" s="205">
        <f t="shared" si="0"/>
        <v>0.84000000000000008</v>
      </c>
      <c r="K9" s="290">
        <v>55</v>
      </c>
      <c r="L9" s="205">
        <f>F9*K9</f>
        <v>9.24</v>
      </c>
      <c r="M9" s="290">
        <v>12</v>
      </c>
      <c r="N9" s="205">
        <f t="shared" si="1"/>
        <v>2.016</v>
      </c>
      <c r="O9" s="290">
        <v>15</v>
      </c>
      <c r="P9" s="205">
        <f t="shared" si="2"/>
        <v>2.52</v>
      </c>
      <c r="Q9" s="290">
        <v>0</v>
      </c>
      <c r="R9" s="205">
        <f t="shared" si="3"/>
        <v>0</v>
      </c>
      <c r="S9" s="39">
        <f t="shared" si="7"/>
        <v>160</v>
      </c>
      <c r="T9" s="38">
        <f t="shared" si="4"/>
        <v>26.880000000000003</v>
      </c>
      <c r="U9" s="290">
        <v>137</v>
      </c>
      <c r="V9" s="13">
        <f t="shared" si="8"/>
        <v>23.016000000000002</v>
      </c>
      <c r="W9" s="294">
        <f t="shared" si="9"/>
        <v>297</v>
      </c>
      <c r="X9" s="295">
        <f t="shared" si="10"/>
        <v>49.896000000000001</v>
      </c>
      <c r="Y9" s="238">
        <v>100</v>
      </c>
      <c r="Z9" s="101">
        <v>250</v>
      </c>
    </row>
    <row r="10" spans="1:26" x14ac:dyDescent="0.25">
      <c r="A10" s="264">
        <v>6</v>
      </c>
      <c r="B10" s="256" t="s">
        <v>139</v>
      </c>
      <c r="C10" s="34">
        <v>142</v>
      </c>
      <c r="D10" s="35">
        <v>67</v>
      </c>
      <c r="E10" s="35">
        <v>5</v>
      </c>
      <c r="F10" s="19">
        <f t="shared" si="5"/>
        <v>4.7570000000000001E-2</v>
      </c>
      <c r="G10" s="286">
        <v>0</v>
      </c>
      <c r="H10" s="288">
        <f t="shared" si="6"/>
        <v>0</v>
      </c>
      <c r="I10" s="290">
        <v>0</v>
      </c>
      <c r="J10" s="205">
        <f t="shared" si="0"/>
        <v>0</v>
      </c>
      <c r="K10" s="290">
        <v>0</v>
      </c>
      <c r="L10" s="205">
        <f t="shared" ref="L10" si="11">F10*K10</f>
        <v>0</v>
      </c>
      <c r="M10" s="290">
        <v>0</v>
      </c>
      <c r="N10" s="205">
        <f t="shared" si="1"/>
        <v>0</v>
      </c>
      <c r="O10" s="290">
        <v>0</v>
      </c>
      <c r="P10" s="205">
        <f t="shared" si="2"/>
        <v>0</v>
      </c>
      <c r="Q10" s="290">
        <v>0</v>
      </c>
      <c r="R10" s="205">
        <f t="shared" si="3"/>
        <v>0</v>
      </c>
      <c r="S10" s="39">
        <f t="shared" si="7"/>
        <v>0</v>
      </c>
      <c r="T10" s="38">
        <f t="shared" si="4"/>
        <v>0</v>
      </c>
      <c r="U10" s="290">
        <v>0</v>
      </c>
      <c r="V10" s="13">
        <f t="shared" si="8"/>
        <v>0</v>
      </c>
      <c r="W10" s="294">
        <f t="shared" si="9"/>
        <v>0</v>
      </c>
      <c r="X10" s="295">
        <f t="shared" si="10"/>
        <v>0</v>
      </c>
      <c r="Y10" s="238">
        <v>75</v>
      </c>
      <c r="Z10" s="101">
        <v>250</v>
      </c>
    </row>
    <row r="11" spans="1:26" x14ac:dyDescent="0.25">
      <c r="A11" s="264">
        <v>7</v>
      </c>
      <c r="B11" s="256" t="s">
        <v>207</v>
      </c>
      <c r="C11" s="34">
        <v>140</v>
      </c>
      <c r="D11" s="35">
        <v>240</v>
      </c>
      <c r="E11" s="35">
        <v>8</v>
      </c>
      <c r="F11" s="19">
        <f t="shared" si="5"/>
        <v>0.26879999999999998</v>
      </c>
      <c r="G11" s="286">
        <v>49</v>
      </c>
      <c r="H11" s="288">
        <f t="shared" si="6"/>
        <v>13.171199999999999</v>
      </c>
      <c r="I11" s="290">
        <v>0</v>
      </c>
      <c r="J11" s="205">
        <f t="shared" si="0"/>
        <v>0</v>
      </c>
      <c r="K11" s="290">
        <v>0</v>
      </c>
      <c r="L11" s="205">
        <f>F11*K11</f>
        <v>0</v>
      </c>
      <c r="M11" s="290">
        <v>0</v>
      </c>
      <c r="N11" s="21">
        <v>0</v>
      </c>
      <c r="O11" s="290">
        <v>0</v>
      </c>
      <c r="P11" s="21">
        <v>0</v>
      </c>
      <c r="Q11" s="290">
        <v>0</v>
      </c>
      <c r="R11" s="205">
        <f t="shared" si="3"/>
        <v>0</v>
      </c>
      <c r="S11" s="39">
        <f t="shared" si="7"/>
        <v>49</v>
      </c>
      <c r="T11" s="38">
        <f t="shared" si="4"/>
        <v>13.171199999999999</v>
      </c>
      <c r="U11" s="290">
        <v>0</v>
      </c>
      <c r="V11" s="13">
        <f t="shared" si="8"/>
        <v>0</v>
      </c>
      <c r="W11" s="294">
        <f t="shared" si="9"/>
        <v>49</v>
      </c>
      <c r="X11" s="295">
        <f t="shared" si="10"/>
        <v>13.171199999999999</v>
      </c>
      <c r="Y11" s="238">
        <v>50</v>
      </c>
      <c r="Z11" s="101">
        <v>100</v>
      </c>
    </row>
    <row r="12" spans="1:26" x14ac:dyDescent="0.25">
      <c r="A12" s="264">
        <v>8</v>
      </c>
      <c r="B12" s="256" t="s">
        <v>191</v>
      </c>
      <c r="C12" s="34">
        <v>75</v>
      </c>
      <c r="D12" s="35">
        <v>54</v>
      </c>
      <c r="E12" s="35">
        <v>5</v>
      </c>
      <c r="F12" s="19">
        <f t="shared" si="5"/>
        <v>2.0250000000000001E-2</v>
      </c>
      <c r="G12" s="286">
        <v>0</v>
      </c>
      <c r="H12" s="288">
        <f t="shared" si="6"/>
        <v>0</v>
      </c>
      <c r="I12" s="290">
        <v>0</v>
      </c>
      <c r="J12" s="205">
        <f t="shared" si="0"/>
        <v>0</v>
      </c>
      <c r="K12" s="290">
        <v>0</v>
      </c>
      <c r="L12" s="205">
        <f>F12*K12</f>
        <v>0</v>
      </c>
      <c r="M12" s="290">
        <v>0</v>
      </c>
      <c r="N12" s="205">
        <f>F12*M12</f>
        <v>0</v>
      </c>
      <c r="O12" s="290">
        <v>0</v>
      </c>
      <c r="P12" s="205">
        <f>F12*O12</f>
        <v>0</v>
      </c>
      <c r="Q12" s="290">
        <v>0</v>
      </c>
      <c r="R12" s="21">
        <v>0</v>
      </c>
      <c r="S12" s="39">
        <f t="shared" si="7"/>
        <v>0</v>
      </c>
      <c r="T12" s="38">
        <f t="shared" si="4"/>
        <v>0</v>
      </c>
      <c r="U12" s="290">
        <v>0</v>
      </c>
      <c r="V12" s="13">
        <f t="shared" si="8"/>
        <v>0</v>
      </c>
      <c r="W12" s="294">
        <f t="shared" si="9"/>
        <v>0</v>
      </c>
      <c r="X12" s="295">
        <f t="shared" si="10"/>
        <v>0</v>
      </c>
      <c r="Y12" s="238">
        <v>50</v>
      </c>
      <c r="Z12" s="101">
        <v>100</v>
      </c>
    </row>
    <row r="13" spans="1:26" x14ac:dyDescent="0.25">
      <c r="A13" s="264">
        <v>9</v>
      </c>
      <c r="B13" s="256" t="s">
        <v>142</v>
      </c>
      <c r="C13" s="34">
        <v>140</v>
      </c>
      <c r="D13" s="35">
        <v>240</v>
      </c>
      <c r="E13" s="35">
        <v>5</v>
      </c>
      <c r="F13" s="19">
        <f t="shared" si="5"/>
        <v>0.16800000000000001</v>
      </c>
      <c r="G13" s="286">
        <v>30</v>
      </c>
      <c r="H13" s="288">
        <f t="shared" si="6"/>
        <v>5.04</v>
      </c>
      <c r="I13" s="290">
        <v>39</v>
      </c>
      <c r="J13" s="205">
        <f t="shared" si="0"/>
        <v>6.5520000000000005</v>
      </c>
      <c r="K13" s="290">
        <v>4</v>
      </c>
      <c r="L13" s="205">
        <f>F13*K13</f>
        <v>0.67200000000000004</v>
      </c>
      <c r="M13" s="290">
        <v>0</v>
      </c>
      <c r="N13" s="205">
        <f>F13*M13</f>
        <v>0</v>
      </c>
      <c r="O13" s="290">
        <v>4</v>
      </c>
      <c r="P13" s="205">
        <f>F13*O13</f>
        <v>0.67200000000000004</v>
      </c>
      <c r="Q13" s="290">
        <v>0</v>
      </c>
      <c r="R13" s="205">
        <f>F13*Q13</f>
        <v>0</v>
      </c>
      <c r="S13" s="39">
        <f t="shared" si="7"/>
        <v>-17</v>
      </c>
      <c r="T13" s="38">
        <f t="shared" si="4"/>
        <v>-2.8560000000000003</v>
      </c>
      <c r="U13" s="290">
        <v>0</v>
      </c>
      <c r="V13" s="13">
        <f t="shared" si="8"/>
        <v>0</v>
      </c>
      <c r="W13" s="294">
        <f t="shared" si="9"/>
        <v>-17</v>
      </c>
      <c r="X13" s="295">
        <f t="shared" si="10"/>
        <v>-2.8560000000000003</v>
      </c>
      <c r="Y13" s="238">
        <v>100</v>
      </c>
      <c r="Z13" s="101">
        <v>300</v>
      </c>
    </row>
    <row r="14" spans="1:26" x14ac:dyDescent="0.25">
      <c r="A14" s="264">
        <v>10</v>
      </c>
      <c r="B14" s="256" t="s">
        <v>143</v>
      </c>
      <c r="C14" s="34">
        <v>90</v>
      </c>
      <c r="D14" s="35">
        <v>85</v>
      </c>
      <c r="E14" s="35">
        <v>5</v>
      </c>
      <c r="F14" s="19">
        <f t="shared" si="5"/>
        <v>3.8249999999999999E-2</v>
      </c>
      <c r="G14" s="286">
        <v>0</v>
      </c>
      <c r="H14" s="288">
        <f t="shared" si="6"/>
        <v>0</v>
      </c>
      <c r="I14" s="290">
        <v>0</v>
      </c>
      <c r="J14" s="205">
        <f t="shared" si="0"/>
        <v>0</v>
      </c>
      <c r="K14" s="290">
        <v>0</v>
      </c>
      <c r="L14" s="205">
        <f t="shared" ref="L14:L20" si="12">F14*K14</f>
        <v>0</v>
      </c>
      <c r="M14" s="290">
        <v>0</v>
      </c>
      <c r="N14" s="205">
        <f>F14*M14</f>
        <v>0</v>
      </c>
      <c r="O14" s="290">
        <v>0</v>
      </c>
      <c r="P14" s="205">
        <f t="shared" si="0"/>
        <v>0</v>
      </c>
      <c r="Q14" s="290">
        <v>0</v>
      </c>
      <c r="R14" s="205">
        <f t="shared" si="0"/>
        <v>0</v>
      </c>
      <c r="S14" s="39">
        <f t="shared" si="7"/>
        <v>0</v>
      </c>
      <c r="T14" s="38">
        <f t="shared" si="4"/>
        <v>0</v>
      </c>
      <c r="U14" s="290">
        <v>0</v>
      </c>
      <c r="V14" s="13">
        <f t="shared" si="8"/>
        <v>0</v>
      </c>
      <c r="W14" s="294">
        <f t="shared" si="9"/>
        <v>0</v>
      </c>
      <c r="X14" s="295">
        <f t="shared" si="10"/>
        <v>0</v>
      </c>
      <c r="Y14" s="238">
        <v>50</v>
      </c>
      <c r="Z14" s="101">
        <v>100</v>
      </c>
    </row>
    <row r="15" spans="1:26" x14ac:dyDescent="0.25">
      <c r="A15" s="264">
        <v>11</v>
      </c>
      <c r="B15" s="256" t="s">
        <v>144</v>
      </c>
      <c r="C15" s="34">
        <v>140</v>
      </c>
      <c r="D15" s="35">
        <v>240</v>
      </c>
      <c r="E15" s="35">
        <v>5</v>
      </c>
      <c r="F15" s="19">
        <f t="shared" si="5"/>
        <v>0.16800000000000001</v>
      </c>
      <c r="G15" s="286">
        <v>149</v>
      </c>
      <c r="H15" s="288">
        <f t="shared" si="6"/>
        <v>25.032</v>
      </c>
      <c r="I15" s="290">
        <v>1</v>
      </c>
      <c r="J15" s="205">
        <f t="shared" si="0"/>
        <v>0.16800000000000001</v>
      </c>
      <c r="K15" s="290">
        <v>0</v>
      </c>
      <c r="L15" s="205">
        <f t="shared" si="12"/>
        <v>0</v>
      </c>
      <c r="M15" s="290">
        <v>9</v>
      </c>
      <c r="N15" s="205">
        <f t="shared" ref="N15:N37" si="13">F15*M15</f>
        <v>1.512</v>
      </c>
      <c r="O15" s="290">
        <v>7</v>
      </c>
      <c r="P15" s="205">
        <f t="shared" ref="P15:P36" si="14">F15*O15</f>
        <v>1.1760000000000002</v>
      </c>
      <c r="Q15" s="290">
        <v>0</v>
      </c>
      <c r="R15" s="205">
        <f t="shared" ref="R15:R20" si="15">F15*Q15</f>
        <v>0</v>
      </c>
      <c r="S15" s="39">
        <f t="shared" si="7"/>
        <v>132</v>
      </c>
      <c r="T15" s="38">
        <f t="shared" si="4"/>
        <v>22.176000000000002</v>
      </c>
      <c r="U15" s="290">
        <v>0</v>
      </c>
      <c r="V15" s="13">
        <f t="shared" si="8"/>
        <v>0</v>
      </c>
      <c r="W15" s="294">
        <f t="shared" si="9"/>
        <v>132</v>
      </c>
      <c r="X15" s="295">
        <f t="shared" si="10"/>
        <v>22.176000000000002</v>
      </c>
      <c r="Y15" s="238">
        <v>200</v>
      </c>
      <c r="Z15" s="101">
        <v>400</v>
      </c>
    </row>
    <row r="16" spans="1:26" x14ac:dyDescent="0.25">
      <c r="A16" s="264">
        <v>12</v>
      </c>
      <c r="B16" s="256" t="s">
        <v>145</v>
      </c>
      <c r="C16" s="34">
        <v>140</v>
      </c>
      <c r="D16" s="35">
        <v>240</v>
      </c>
      <c r="E16" s="35">
        <v>5</v>
      </c>
      <c r="F16" s="19">
        <f t="shared" si="5"/>
        <v>0.16800000000000001</v>
      </c>
      <c r="G16" s="286">
        <v>132</v>
      </c>
      <c r="H16" s="288">
        <f t="shared" si="6"/>
        <v>22.176000000000002</v>
      </c>
      <c r="I16" s="290">
        <v>10</v>
      </c>
      <c r="J16" s="205">
        <f t="shared" si="0"/>
        <v>1.6800000000000002</v>
      </c>
      <c r="K16" s="290">
        <v>9</v>
      </c>
      <c r="L16" s="205">
        <f t="shared" si="12"/>
        <v>1.512</v>
      </c>
      <c r="M16" s="290">
        <v>23</v>
      </c>
      <c r="N16" s="205">
        <f t="shared" si="13"/>
        <v>3.8640000000000003</v>
      </c>
      <c r="O16" s="290">
        <v>37</v>
      </c>
      <c r="P16" s="205">
        <f t="shared" si="14"/>
        <v>6.2160000000000002</v>
      </c>
      <c r="Q16" s="290">
        <v>0</v>
      </c>
      <c r="R16" s="205">
        <f t="shared" si="15"/>
        <v>0</v>
      </c>
      <c r="S16" s="39">
        <f t="shared" si="7"/>
        <v>53</v>
      </c>
      <c r="T16" s="38">
        <f t="shared" si="4"/>
        <v>8.9039999999999999</v>
      </c>
      <c r="U16" s="290">
        <v>0</v>
      </c>
      <c r="V16" s="13">
        <f t="shared" si="8"/>
        <v>0</v>
      </c>
      <c r="W16" s="294">
        <f t="shared" si="9"/>
        <v>53</v>
      </c>
      <c r="X16" s="295">
        <f t="shared" si="10"/>
        <v>8.9039999999999999</v>
      </c>
      <c r="Y16" s="238">
        <v>200</v>
      </c>
      <c r="Z16" s="101">
        <v>500</v>
      </c>
    </row>
    <row r="17" spans="1:26" x14ac:dyDescent="0.25">
      <c r="A17" s="264">
        <v>13</v>
      </c>
      <c r="B17" s="256" t="s">
        <v>146</v>
      </c>
      <c r="C17" s="34">
        <v>140</v>
      </c>
      <c r="D17" s="35">
        <v>240</v>
      </c>
      <c r="E17" s="35">
        <v>8</v>
      </c>
      <c r="F17" s="19">
        <f t="shared" si="5"/>
        <v>0.26879999999999998</v>
      </c>
      <c r="G17" s="286">
        <v>129</v>
      </c>
      <c r="H17" s="288">
        <f t="shared" si="6"/>
        <v>34.675199999999997</v>
      </c>
      <c r="I17" s="290">
        <v>0</v>
      </c>
      <c r="J17" s="205">
        <f t="shared" si="0"/>
        <v>0</v>
      </c>
      <c r="K17" s="290">
        <v>0</v>
      </c>
      <c r="L17" s="205">
        <f t="shared" si="12"/>
        <v>0</v>
      </c>
      <c r="M17" s="290">
        <v>0</v>
      </c>
      <c r="N17" s="205">
        <f t="shared" si="13"/>
        <v>0</v>
      </c>
      <c r="O17" s="290">
        <v>6</v>
      </c>
      <c r="P17" s="205">
        <f t="shared" si="14"/>
        <v>1.6128</v>
      </c>
      <c r="Q17" s="290">
        <v>0</v>
      </c>
      <c r="R17" s="205">
        <f t="shared" si="15"/>
        <v>0</v>
      </c>
      <c r="S17" s="39">
        <f t="shared" si="7"/>
        <v>123</v>
      </c>
      <c r="T17" s="38">
        <f t="shared" si="4"/>
        <v>33.062399999999997</v>
      </c>
      <c r="U17" s="290">
        <v>0</v>
      </c>
      <c r="V17" s="13">
        <f t="shared" si="8"/>
        <v>0</v>
      </c>
      <c r="W17" s="294">
        <f t="shared" si="9"/>
        <v>123</v>
      </c>
      <c r="X17" s="295">
        <f t="shared" si="10"/>
        <v>33.062399999999997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147</v>
      </c>
      <c r="C18" s="34">
        <v>77</v>
      </c>
      <c r="D18" s="35">
        <v>86</v>
      </c>
      <c r="E18" s="35">
        <v>8</v>
      </c>
      <c r="F18" s="19">
        <f t="shared" si="5"/>
        <v>5.2976000000000002E-2</v>
      </c>
      <c r="G18" s="286">
        <v>845</v>
      </c>
      <c r="H18" s="288">
        <f t="shared" si="6"/>
        <v>44.764720000000004</v>
      </c>
      <c r="I18" s="290">
        <v>0</v>
      </c>
      <c r="J18" s="205">
        <f t="shared" si="0"/>
        <v>0</v>
      </c>
      <c r="K18" s="290">
        <v>14</v>
      </c>
      <c r="L18" s="205">
        <f t="shared" si="12"/>
        <v>0.74166399999999999</v>
      </c>
      <c r="M18" s="290">
        <v>0</v>
      </c>
      <c r="N18" s="205">
        <f t="shared" si="13"/>
        <v>0</v>
      </c>
      <c r="O18" s="290">
        <v>64</v>
      </c>
      <c r="P18" s="205">
        <f t="shared" si="14"/>
        <v>3.3904640000000001</v>
      </c>
      <c r="Q18" s="290">
        <v>0</v>
      </c>
      <c r="R18" s="205">
        <f t="shared" si="15"/>
        <v>0</v>
      </c>
      <c r="S18" s="39">
        <f t="shared" si="7"/>
        <v>767</v>
      </c>
      <c r="T18" s="38">
        <f t="shared" si="4"/>
        <v>40.632592000000002</v>
      </c>
      <c r="U18" s="290">
        <v>8</v>
      </c>
      <c r="V18" s="13">
        <f t="shared" si="8"/>
        <v>0.42380800000000002</v>
      </c>
      <c r="W18" s="294">
        <f t="shared" si="9"/>
        <v>775</v>
      </c>
      <c r="X18" s="295">
        <f t="shared" si="10"/>
        <v>41.056400000000004</v>
      </c>
      <c r="Y18" s="238">
        <v>100</v>
      </c>
      <c r="Z18" s="101">
        <v>300</v>
      </c>
    </row>
    <row r="19" spans="1:26" x14ac:dyDescent="0.25">
      <c r="A19" s="264">
        <v>15</v>
      </c>
      <c r="B19" s="256" t="s">
        <v>148</v>
      </c>
      <c r="C19" s="34">
        <v>77</v>
      </c>
      <c r="D19" s="35">
        <v>68</v>
      </c>
      <c r="E19" s="35">
        <v>8</v>
      </c>
      <c r="F19" s="19">
        <f t="shared" si="5"/>
        <v>4.1888000000000002E-2</v>
      </c>
      <c r="G19" s="286">
        <v>497</v>
      </c>
      <c r="H19" s="288">
        <f t="shared" si="6"/>
        <v>20.818336000000002</v>
      </c>
      <c r="I19" s="290">
        <v>0</v>
      </c>
      <c r="J19" s="205">
        <f t="shared" si="0"/>
        <v>0</v>
      </c>
      <c r="K19" s="290">
        <v>5</v>
      </c>
      <c r="L19" s="205">
        <f t="shared" si="12"/>
        <v>0.20944000000000002</v>
      </c>
      <c r="M19" s="290">
        <v>4</v>
      </c>
      <c r="N19" s="205">
        <f t="shared" si="13"/>
        <v>0.16755200000000001</v>
      </c>
      <c r="O19" s="290">
        <v>20</v>
      </c>
      <c r="P19" s="205">
        <f t="shared" si="14"/>
        <v>0.83776000000000006</v>
      </c>
      <c r="Q19" s="290">
        <v>0</v>
      </c>
      <c r="R19" s="205">
        <f t="shared" si="15"/>
        <v>0</v>
      </c>
      <c r="S19" s="39">
        <f t="shared" si="7"/>
        <v>468</v>
      </c>
      <c r="T19" s="38">
        <f t="shared" si="4"/>
        <v>19.603584000000001</v>
      </c>
      <c r="U19" s="290">
        <v>0</v>
      </c>
      <c r="V19" s="13">
        <f t="shared" si="8"/>
        <v>0</v>
      </c>
      <c r="W19" s="294">
        <f t="shared" si="9"/>
        <v>468</v>
      </c>
      <c r="X19" s="295">
        <f t="shared" si="10"/>
        <v>19.603584000000001</v>
      </c>
      <c r="Y19" s="238">
        <v>100</v>
      </c>
      <c r="Z19" s="101">
        <v>300</v>
      </c>
    </row>
    <row r="20" spans="1:26" x14ac:dyDescent="0.25">
      <c r="A20" s="264">
        <v>16</v>
      </c>
      <c r="B20" s="256" t="s">
        <v>149</v>
      </c>
      <c r="C20" s="34">
        <v>76</v>
      </c>
      <c r="D20" s="35">
        <v>75</v>
      </c>
      <c r="E20" s="35">
        <v>8</v>
      </c>
      <c r="F20" s="19">
        <f t="shared" si="5"/>
        <v>4.5600000000000002E-2</v>
      </c>
      <c r="G20" s="286">
        <v>1102</v>
      </c>
      <c r="H20" s="288">
        <f t="shared" si="6"/>
        <v>50.251200000000004</v>
      </c>
      <c r="I20" s="290">
        <v>0</v>
      </c>
      <c r="J20" s="205">
        <f t="shared" si="0"/>
        <v>0</v>
      </c>
      <c r="K20" s="290">
        <v>6</v>
      </c>
      <c r="L20" s="205">
        <f t="shared" si="12"/>
        <v>0.27360000000000001</v>
      </c>
      <c r="M20" s="290">
        <v>2</v>
      </c>
      <c r="N20" s="205">
        <f t="shared" si="13"/>
        <v>9.1200000000000003E-2</v>
      </c>
      <c r="O20" s="290">
        <v>0</v>
      </c>
      <c r="P20" s="205">
        <f t="shared" si="14"/>
        <v>0</v>
      </c>
      <c r="Q20" s="290">
        <v>0</v>
      </c>
      <c r="R20" s="205">
        <f t="shared" si="15"/>
        <v>0</v>
      </c>
      <c r="S20" s="39">
        <f t="shared" si="7"/>
        <v>1094</v>
      </c>
      <c r="T20" s="38">
        <f t="shared" si="4"/>
        <v>49.886400000000002</v>
      </c>
      <c r="U20" s="290">
        <v>598</v>
      </c>
      <c r="V20" s="13">
        <f t="shared" si="8"/>
        <v>27.268800000000002</v>
      </c>
      <c r="W20" s="294">
        <f t="shared" si="9"/>
        <v>1692</v>
      </c>
      <c r="X20" s="295">
        <f t="shared" si="10"/>
        <v>77.155200000000008</v>
      </c>
      <c r="Y20" s="238">
        <v>100</v>
      </c>
      <c r="Z20" s="101">
        <v>300</v>
      </c>
    </row>
    <row r="21" spans="1:26" x14ac:dyDescent="0.25">
      <c r="A21" s="264">
        <v>17</v>
      </c>
      <c r="B21" s="256" t="s">
        <v>150</v>
      </c>
      <c r="C21" s="34">
        <v>60</v>
      </c>
      <c r="D21" s="35">
        <v>63</v>
      </c>
      <c r="E21" s="35">
        <v>10</v>
      </c>
      <c r="F21" s="19">
        <f t="shared" si="5"/>
        <v>3.78E-2</v>
      </c>
      <c r="G21" s="286">
        <v>557</v>
      </c>
      <c r="H21" s="288">
        <f t="shared" si="6"/>
        <v>21.054600000000001</v>
      </c>
      <c r="I21" s="290">
        <v>135</v>
      </c>
      <c r="J21" s="205">
        <f t="shared" si="0"/>
        <v>5.1029999999999998</v>
      </c>
      <c r="K21" s="290">
        <v>0</v>
      </c>
      <c r="L21" s="205">
        <f t="shared" si="0"/>
        <v>0</v>
      </c>
      <c r="M21" s="290">
        <v>3</v>
      </c>
      <c r="N21" s="21">
        <v>0</v>
      </c>
      <c r="O21" s="290">
        <v>1</v>
      </c>
      <c r="P21" s="205">
        <f t="shared" si="14"/>
        <v>3.78E-2</v>
      </c>
      <c r="Q21" s="290">
        <v>0</v>
      </c>
      <c r="R21" s="21">
        <v>0</v>
      </c>
      <c r="S21" s="39">
        <f t="shared" si="7"/>
        <v>418</v>
      </c>
      <c r="T21" s="38">
        <f t="shared" si="4"/>
        <v>15.8004</v>
      </c>
      <c r="U21" s="290">
        <v>0</v>
      </c>
      <c r="V21" s="13">
        <f t="shared" si="8"/>
        <v>0</v>
      </c>
      <c r="W21" s="294">
        <f t="shared" si="9"/>
        <v>418</v>
      </c>
      <c r="X21" s="295">
        <f t="shared" si="10"/>
        <v>15.8004</v>
      </c>
      <c r="Y21" s="238">
        <v>50</v>
      </c>
      <c r="Z21" s="101">
        <v>200</v>
      </c>
    </row>
    <row r="22" spans="1:26" x14ac:dyDescent="0.25">
      <c r="A22" s="264">
        <v>18</v>
      </c>
      <c r="B22" s="256" t="s">
        <v>151</v>
      </c>
      <c r="C22" s="34">
        <v>63</v>
      </c>
      <c r="D22" s="35">
        <v>60</v>
      </c>
      <c r="E22" s="35">
        <v>3</v>
      </c>
      <c r="F22" s="19">
        <f t="shared" si="5"/>
        <v>1.1339999999999999E-2</v>
      </c>
      <c r="G22" s="286">
        <v>244</v>
      </c>
      <c r="H22" s="288">
        <f t="shared" si="6"/>
        <v>2.7669599999999996</v>
      </c>
      <c r="I22" s="290">
        <v>45</v>
      </c>
      <c r="J22" s="205">
        <f t="shared" si="0"/>
        <v>0.51029999999999998</v>
      </c>
      <c r="K22" s="290">
        <v>0</v>
      </c>
      <c r="L22" s="205">
        <f>F22*K22</f>
        <v>0</v>
      </c>
      <c r="M22" s="290">
        <v>1</v>
      </c>
      <c r="N22" s="205">
        <f t="shared" si="13"/>
        <v>1.1339999999999999E-2</v>
      </c>
      <c r="O22" s="290">
        <v>1</v>
      </c>
      <c r="P22" s="205">
        <f t="shared" si="14"/>
        <v>1.1339999999999999E-2</v>
      </c>
      <c r="Q22" s="290">
        <v>0</v>
      </c>
      <c r="R22" s="21">
        <v>0</v>
      </c>
      <c r="S22" s="39">
        <f t="shared" si="7"/>
        <v>197</v>
      </c>
      <c r="T22" s="38">
        <f t="shared" si="4"/>
        <v>2.2339799999999999</v>
      </c>
      <c r="U22" s="290">
        <v>0</v>
      </c>
      <c r="V22" s="13">
        <f t="shared" si="8"/>
        <v>0</v>
      </c>
      <c r="W22" s="294">
        <f t="shared" si="9"/>
        <v>197</v>
      </c>
      <c r="X22" s="295">
        <f t="shared" si="10"/>
        <v>2.2339799999999999</v>
      </c>
      <c r="Y22" s="238">
        <v>50</v>
      </c>
      <c r="Z22" s="101">
        <v>200</v>
      </c>
    </row>
    <row r="23" spans="1:26" x14ac:dyDescent="0.25">
      <c r="A23" s="264">
        <v>19</v>
      </c>
      <c r="B23" s="42" t="s">
        <v>152</v>
      </c>
      <c r="C23" s="34">
        <v>140</v>
      </c>
      <c r="D23" s="35">
        <v>240</v>
      </c>
      <c r="E23" s="35">
        <v>1.4</v>
      </c>
      <c r="F23" s="19">
        <f t="shared" si="5"/>
        <v>4.7039999999999998E-2</v>
      </c>
      <c r="G23" s="286">
        <v>747</v>
      </c>
      <c r="H23" s="288">
        <f t="shared" si="6"/>
        <v>35.13888</v>
      </c>
      <c r="I23" s="290">
        <v>120</v>
      </c>
      <c r="J23" s="205">
        <f t="shared" si="0"/>
        <v>5.6448</v>
      </c>
      <c r="K23" s="290">
        <v>79</v>
      </c>
      <c r="L23" s="205">
        <f t="shared" ref="L23:L36" si="16">F23*K23</f>
        <v>3.7161599999999999</v>
      </c>
      <c r="M23" s="290">
        <v>43</v>
      </c>
      <c r="N23" s="205">
        <f t="shared" si="13"/>
        <v>2.0227200000000001</v>
      </c>
      <c r="O23" s="290">
        <v>67</v>
      </c>
      <c r="P23" s="205">
        <f t="shared" si="14"/>
        <v>3.1516799999999998</v>
      </c>
      <c r="Q23" s="290">
        <v>0</v>
      </c>
      <c r="R23" s="205">
        <f t="shared" ref="R23:R37" si="17">F23*Q23</f>
        <v>0</v>
      </c>
      <c r="S23" s="39">
        <f t="shared" si="7"/>
        <v>438</v>
      </c>
      <c r="T23" s="38">
        <f t="shared" si="4"/>
        <v>20.60352</v>
      </c>
      <c r="U23" s="290">
        <v>568</v>
      </c>
      <c r="V23" s="13">
        <f t="shared" si="8"/>
        <v>26.718719999999998</v>
      </c>
      <c r="W23" s="294">
        <f t="shared" si="9"/>
        <v>1006</v>
      </c>
      <c r="X23" s="295">
        <f t="shared" si="10"/>
        <v>47.322240000000001</v>
      </c>
      <c r="Y23" s="238">
        <v>200</v>
      </c>
      <c r="Z23" s="101">
        <v>500</v>
      </c>
    </row>
    <row r="24" spans="1:26" x14ac:dyDescent="0.25">
      <c r="A24" s="264">
        <v>20</v>
      </c>
      <c r="B24" s="256" t="s">
        <v>3</v>
      </c>
      <c r="C24" s="34">
        <v>140</v>
      </c>
      <c r="D24" s="35">
        <v>240</v>
      </c>
      <c r="E24" s="35">
        <v>0.8</v>
      </c>
      <c r="F24" s="19">
        <f t="shared" si="5"/>
        <v>2.6880000000000001E-2</v>
      </c>
      <c r="G24" s="286">
        <v>591</v>
      </c>
      <c r="H24" s="288">
        <f t="shared" si="6"/>
        <v>15.886080000000002</v>
      </c>
      <c r="I24" s="290">
        <v>5</v>
      </c>
      <c r="J24" s="205">
        <f t="shared" si="0"/>
        <v>0.13440000000000002</v>
      </c>
      <c r="K24" s="290">
        <v>52</v>
      </c>
      <c r="L24" s="205">
        <f t="shared" si="16"/>
        <v>1.3977600000000001</v>
      </c>
      <c r="M24" s="290">
        <v>6</v>
      </c>
      <c r="N24" s="205">
        <f t="shared" si="13"/>
        <v>0.16128000000000001</v>
      </c>
      <c r="O24" s="290">
        <v>17</v>
      </c>
      <c r="P24" s="205">
        <f t="shared" si="14"/>
        <v>0.45696000000000003</v>
      </c>
      <c r="Q24" s="290">
        <v>0</v>
      </c>
      <c r="R24" s="205">
        <f t="shared" si="17"/>
        <v>0</v>
      </c>
      <c r="S24" s="39">
        <f t="shared" si="7"/>
        <v>511</v>
      </c>
      <c r="T24" s="38">
        <f t="shared" si="4"/>
        <v>13.73568</v>
      </c>
      <c r="U24" s="290">
        <v>376</v>
      </c>
      <c r="V24" s="13">
        <f t="shared" si="8"/>
        <v>10.10688</v>
      </c>
      <c r="W24" s="294">
        <f t="shared" si="9"/>
        <v>887</v>
      </c>
      <c r="X24" s="295">
        <f t="shared" si="10"/>
        <v>23.842560000000002</v>
      </c>
      <c r="Y24" s="238">
        <v>100</v>
      </c>
      <c r="Z24" s="101">
        <v>300</v>
      </c>
    </row>
    <row r="25" spans="1:26" x14ac:dyDescent="0.25">
      <c r="A25" s="264">
        <v>21</v>
      </c>
      <c r="B25" s="256" t="s">
        <v>153</v>
      </c>
      <c r="C25" s="34">
        <v>58</v>
      </c>
      <c r="D25" s="35">
        <v>58</v>
      </c>
      <c r="E25" s="35">
        <v>2.2999999999999998</v>
      </c>
      <c r="F25" s="19">
        <f t="shared" si="5"/>
        <v>7.7371999999999996E-3</v>
      </c>
      <c r="G25" s="286">
        <v>1080</v>
      </c>
      <c r="H25" s="288">
        <f t="shared" si="6"/>
        <v>8.3561759999999996</v>
      </c>
      <c r="I25" s="290">
        <v>0</v>
      </c>
      <c r="J25" s="205">
        <f t="shared" si="0"/>
        <v>0</v>
      </c>
      <c r="K25" s="290">
        <v>0</v>
      </c>
      <c r="L25" s="205">
        <f t="shared" si="16"/>
        <v>0</v>
      </c>
      <c r="M25" s="290">
        <v>180</v>
      </c>
      <c r="N25" s="205">
        <f t="shared" si="13"/>
        <v>1.3926959999999999</v>
      </c>
      <c r="O25" s="290">
        <v>50</v>
      </c>
      <c r="P25" s="205">
        <f t="shared" si="14"/>
        <v>0.38685999999999998</v>
      </c>
      <c r="Q25" s="290">
        <v>0</v>
      </c>
      <c r="R25" s="205">
        <f t="shared" si="17"/>
        <v>0</v>
      </c>
      <c r="S25" s="39">
        <f t="shared" si="7"/>
        <v>850</v>
      </c>
      <c r="T25" s="38">
        <f t="shared" si="4"/>
        <v>6.5766200000000001</v>
      </c>
      <c r="U25" s="290">
        <v>0</v>
      </c>
      <c r="V25" s="13">
        <f t="shared" si="8"/>
        <v>0</v>
      </c>
      <c r="W25" s="294">
        <f t="shared" si="9"/>
        <v>850</v>
      </c>
      <c r="X25" s="295">
        <f t="shared" si="10"/>
        <v>6.5766200000000001</v>
      </c>
      <c r="Y25" s="238">
        <v>200</v>
      </c>
      <c r="Z25" s="101">
        <v>750</v>
      </c>
    </row>
    <row r="26" spans="1:26" x14ac:dyDescent="0.25">
      <c r="A26" s="264">
        <v>22</v>
      </c>
      <c r="B26" s="256" t="s">
        <v>154</v>
      </c>
      <c r="C26" s="34">
        <v>140</v>
      </c>
      <c r="D26" s="35">
        <v>240</v>
      </c>
      <c r="E26" s="35">
        <v>7</v>
      </c>
      <c r="F26" s="19">
        <f t="shared" si="5"/>
        <v>0.23519999999999999</v>
      </c>
      <c r="G26" s="286">
        <v>26</v>
      </c>
      <c r="H26" s="288">
        <f t="shared" si="6"/>
        <v>6.1151999999999997</v>
      </c>
      <c r="I26" s="290">
        <v>12</v>
      </c>
      <c r="J26" s="205">
        <f t="shared" si="0"/>
        <v>2.8224</v>
      </c>
      <c r="K26" s="290">
        <v>3</v>
      </c>
      <c r="L26" s="205">
        <f t="shared" si="16"/>
        <v>0.7056</v>
      </c>
      <c r="M26" s="290">
        <v>8</v>
      </c>
      <c r="N26" s="205">
        <f t="shared" si="13"/>
        <v>1.8815999999999999</v>
      </c>
      <c r="O26" s="290">
        <v>3</v>
      </c>
      <c r="P26" s="205">
        <f t="shared" si="14"/>
        <v>0.7056</v>
      </c>
      <c r="Q26" s="290">
        <v>0</v>
      </c>
      <c r="R26" s="205">
        <f t="shared" si="17"/>
        <v>0</v>
      </c>
      <c r="S26" s="39">
        <f t="shared" si="7"/>
        <v>0</v>
      </c>
      <c r="T26" s="38">
        <f t="shared" si="4"/>
        <v>0</v>
      </c>
      <c r="U26" s="290">
        <v>20</v>
      </c>
      <c r="V26" s="13">
        <f t="shared" si="8"/>
        <v>4.7039999999999997</v>
      </c>
      <c r="W26" s="294">
        <f t="shared" si="9"/>
        <v>20</v>
      </c>
      <c r="X26" s="295">
        <f t="shared" si="10"/>
        <v>4.7039999999999997</v>
      </c>
      <c r="Y26" s="238">
        <v>50</v>
      </c>
      <c r="Z26" s="101">
        <v>200</v>
      </c>
    </row>
    <row r="27" spans="1:26" ht="15.75" x14ac:dyDescent="0.25">
      <c r="A27" s="264">
        <v>23</v>
      </c>
      <c r="B27" s="256" t="s">
        <v>55</v>
      </c>
      <c r="C27" s="111">
        <v>50</v>
      </c>
      <c r="D27" s="112">
        <v>45</v>
      </c>
      <c r="E27" s="112">
        <v>4</v>
      </c>
      <c r="F27" s="19">
        <f t="shared" si="5"/>
        <v>8.9999999999999993E-3</v>
      </c>
      <c r="G27" s="286">
        <v>1870</v>
      </c>
      <c r="H27" s="288">
        <f t="shared" si="6"/>
        <v>16.829999999999998</v>
      </c>
      <c r="I27" s="290">
        <v>0</v>
      </c>
      <c r="J27" s="205">
        <f t="shared" si="0"/>
        <v>0</v>
      </c>
      <c r="K27" s="290">
        <v>0</v>
      </c>
      <c r="L27" s="205">
        <f t="shared" si="16"/>
        <v>0</v>
      </c>
      <c r="M27" s="290">
        <v>0</v>
      </c>
      <c r="N27" s="205">
        <f t="shared" si="13"/>
        <v>0</v>
      </c>
      <c r="O27" s="290">
        <v>0</v>
      </c>
      <c r="P27" s="205">
        <f t="shared" si="14"/>
        <v>0</v>
      </c>
      <c r="Q27" s="290">
        <v>0</v>
      </c>
      <c r="R27" s="205">
        <f t="shared" si="17"/>
        <v>0</v>
      </c>
      <c r="S27" s="39">
        <f t="shared" si="7"/>
        <v>1870</v>
      </c>
      <c r="T27" s="38">
        <f t="shared" si="4"/>
        <v>16.829999999999998</v>
      </c>
      <c r="U27" s="290">
        <v>0</v>
      </c>
      <c r="V27" s="13">
        <f t="shared" si="8"/>
        <v>0</v>
      </c>
      <c r="W27" s="294">
        <f t="shared" si="9"/>
        <v>1870</v>
      </c>
      <c r="X27" s="295">
        <f t="shared" si="10"/>
        <v>16.829999999999998</v>
      </c>
      <c r="Y27" s="238">
        <v>300</v>
      </c>
      <c r="Z27" s="101">
        <v>1000</v>
      </c>
    </row>
    <row r="28" spans="1:26" ht="15.75" x14ac:dyDescent="0.25">
      <c r="A28" s="264">
        <v>24</v>
      </c>
      <c r="B28" s="256" t="s">
        <v>56</v>
      </c>
      <c r="C28" s="111">
        <v>50</v>
      </c>
      <c r="D28" s="112">
        <v>35</v>
      </c>
      <c r="E28" s="112">
        <v>4</v>
      </c>
      <c r="F28" s="19">
        <f t="shared" si="5"/>
        <v>7.0000000000000001E-3</v>
      </c>
      <c r="G28" s="286">
        <v>0</v>
      </c>
      <c r="H28" s="288">
        <f t="shared" si="6"/>
        <v>0</v>
      </c>
      <c r="I28" s="290">
        <v>0</v>
      </c>
      <c r="J28" s="205">
        <f t="shared" si="0"/>
        <v>0</v>
      </c>
      <c r="K28" s="290">
        <v>0</v>
      </c>
      <c r="L28" s="205">
        <f t="shared" si="16"/>
        <v>0</v>
      </c>
      <c r="M28" s="290">
        <v>0</v>
      </c>
      <c r="N28" s="205">
        <f t="shared" si="13"/>
        <v>0</v>
      </c>
      <c r="O28" s="290">
        <v>0</v>
      </c>
      <c r="P28" s="205">
        <f t="shared" si="14"/>
        <v>0</v>
      </c>
      <c r="Q28" s="290">
        <v>0</v>
      </c>
      <c r="R28" s="205">
        <f t="shared" si="17"/>
        <v>0</v>
      </c>
      <c r="S28" s="39">
        <f t="shared" si="7"/>
        <v>0</v>
      </c>
      <c r="T28" s="38">
        <f t="shared" si="4"/>
        <v>0</v>
      </c>
      <c r="U28" s="290">
        <v>0</v>
      </c>
      <c r="V28" s="13">
        <f t="shared" si="8"/>
        <v>0</v>
      </c>
      <c r="W28" s="294">
        <f t="shared" si="9"/>
        <v>0</v>
      </c>
      <c r="X28" s="295">
        <f t="shared" si="10"/>
        <v>0</v>
      </c>
      <c r="Y28" s="238">
        <v>300</v>
      </c>
      <c r="Z28" s="101">
        <v>1000</v>
      </c>
    </row>
    <row r="29" spans="1:26" ht="15.75" x14ac:dyDescent="0.25">
      <c r="A29" s="264">
        <v>25</v>
      </c>
      <c r="B29" s="256" t="s">
        <v>57</v>
      </c>
      <c r="C29" s="111">
        <v>45</v>
      </c>
      <c r="D29" s="112">
        <v>44</v>
      </c>
      <c r="E29" s="112">
        <v>3</v>
      </c>
      <c r="F29" s="19">
        <f t="shared" si="5"/>
        <v>5.94E-3</v>
      </c>
      <c r="G29" s="286">
        <v>1510</v>
      </c>
      <c r="H29" s="288">
        <f t="shared" si="6"/>
        <v>8.9694000000000003</v>
      </c>
      <c r="I29" s="290">
        <v>0</v>
      </c>
      <c r="J29" s="205">
        <f t="shared" si="0"/>
        <v>0</v>
      </c>
      <c r="K29" s="290">
        <v>80</v>
      </c>
      <c r="L29" s="205">
        <f t="shared" si="16"/>
        <v>0.47520000000000001</v>
      </c>
      <c r="M29" s="290">
        <v>0</v>
      </c>
      <c r="N29" s="205">
        <f t="shared" si="13"/>
        <v>0</v>
      </c>
      <c r="O29" s="290">
        <v>0</v>
      </c>
      <c r="P29" s="205">
        <f t="shared" si="14"/>
        <v>0</v>
      </c>
      <c r="Q29" s="290">
        <v>0</v>
      </c>
      <c r="R29" s="205">
        <f t="shared" si="17"/>
        <v>0</v>
      </c>
      <c r="S29" s="39">
        <f t="shared" si="7"/>
        <v>1430</v>
      </c>
      <c r="T29" s="38">
        <f t="shared" si="4"/>
        <v>8.4941999999999993</v>
      </c>
      <c r="U29" s="290">
        <v>0</v>
      </c>
      <c r="V29" s="13">
        <f t="shared" si="8"/>
        <v>0</v>
      </c>
      <c r="W29" s="294">
        <f t="shared" si="9"/>
        <v>1430</v>
      </c>
      <c r="X29" s="295">
        <f t="shared" si="10"/>
        <v>8.4941999999999993</v>
      </c>
      <c r="Y29" s="238">
        <v>500</v>
      </c>
      <c r="Z29" s="101">
        <v>1500</v>
      </c>
    </row>
    <row r="30" spans="1:26" ht="15.75" x14ac:dyDescent="0.25">
      <c r="A30" s="264">
        <v>26</v>
      </c>
      <c r="B30" s="256" t="s">
        <v>58</v>
      </c>
      <c r="C30" s="111">
        <v>45</v>
      </c>
      <c r="D30" s="112">
        <v>35.5</v>
      </c>
      <c r="E30" s="112">
        <v>3</v>
      </c>
      <c r="F30" s="19">
        <f t="shared" si="5"/>
        <v>4.7924999999999999E-3</v>
      </c>
      <c r="G30" s="286">
        <v>1650</v>
      </c>
      <c r="H30" s="288">
        <f t="shared" si="6"/>
        <v>7.9076249999999995</v>
      </c>
      <c r="I30" s="290">
        <v>0</v>
      </c>
      <c r="J30" s="205">
        <f t="shared" si="0"/>
        <v>0</v>
      </c>
      <c r="K30" s="290">
        <v>80</v>
      </c>
      <c r="L30" s="205">
        <f t="shared" si="16"/>
        <v>0.38339999999999996</v>
      </c>
      <c r="M30" s="290">
        <v>0</v>
      </c>
      <c r="N30" s="205">
        <f t="shared" si="13"/>
        <v>0</v>
      </c>
      <c r="O30" s="290">
        <v>0</v>
      </c>
      <c r="P30" s="205">
        <f t="shared" si="14"/>
        <v>0</v>
      </c>
      <c r="Q30" s="290">
        <v>0</v>
      </c>
      <c r="R30" s="205">
        <f t="shared" si="17"/>
        <v>0</v>
      </c>
      <c r="S30" s="39">
        <f t="shared" si="7"/>
        <v>1570</v>
      </c>
      <c r="T30" s="38">
        <f t="shared" si="4"/>
        <v>7.5242249999999995</v>
      </c>
      <c r="U30" s="290">
        <v>0</v>
      </c>
      <c r="V30" s="13">
        <f t="shared" si="8"/>
        <v>0</v>
      </c>
      <c r="W30" s="294">
        <f t="shared" si="9"/>
        <v>1570</v>
      </c>
      <c r="X30" s="295">
        <f t="shared" si="10"/>
        <v>7.5242249999999995</v>
      </c>
      <c r="Y30" s="238">
        <v>500</v>
      </c>
      <c r="Z30" s="101">
        <v>1500</v>
      </c>
    </row>
    <row r="31" spans="1:26" x14ac:dyDescent="0.25">
      <c r="A31" s="264">
        <v>27</v>
      </c>
      <c r="B31" s="256" t="s">
        <v>155</v>
      </c>
      <c r="C31" s="34">
        <v>140</v>
      </c>
      <c r="D31" s="35">
        <v>9.5</v>
      </c>
      <c r="E31" s="35">
        <v>6.5</v>
      </c>
      <c r="F31" s="19">
        <f t="shared" si="5"/>
        <v>8.6449999999999999E-3</v>
      </c>
      <c r="G31" s="286">
        <v>587</v>
      </c>
      <c r="H31" s="288">
        <f t="shared" si="6"/>
        <v>5.0746149999999997</v>
      </c>
      <c r="I31" s="290">
        <v>8</v>
      </c>
      <c r="J31" s="205">
        <f t="shared" si="0"/>
        <v>6.9159999999999999E-2</v>
      </c>
      <c r="K31" s="290">
        <v>0</v>
      </c>
      <c r="L31" s="205">
        <f t="shared" si="16"/>
        <v>0</v>
      </c>
      <c r="M31" s="290">
        <v>45</v>
      </c>
      <c r="N31" s="205">
        <f t="shared" si="13"/>
        <v>0.38902500000000001</v>
      </c>
      <c r="O31" s="290">
        <v>174</v>
      </c>
      <c r="P31" s="205">
        <f t="shared" si="14"/>
        <v>1.50423</v>
      </c>
      <c r="Q31" s="290">
        <v>0</v>
      </c>
      <c r="R31" s="205">
        <f t="shared" si="17"/>
        <v>0</v>
      </c>
      <c r="S31" s="39">
        <f t="shared" si="7"/>
        <v>360</v>
      </c>
      <c r="T31" s="38">
        <f t="shared" si="4"/>
        <v>3.1122000000000001</v>
      </c>
      <c r="U31" s="290">
        <v>715</v>
      </c>
      <c r="V31" s="13">
        <f t="shared" si="8"/>
        <v>6.1811749999999996</v>
      </c>
      <c r="W31" s="294">
        <f t="shared" si="9"/>
        <v>1075</v>
      </c>
      <c r="X31" s="295">
        <f t="shared" si="10"/>
        <v>9.2933749999999993</v>
      </c>
      <c r="Y31" s="238">
        <v>500</v>
      </c>
      <c r="Z31" s="101">
        <v>1500</v>
      </c>
    </row>
    <row r="32" spans="1:26" x14ac:dyDescent="0.25">
      <c r="A32" s="264">
        <v>28</v>
      </c>
      <c r="B32" s="256" t="s">
        <v>156</v>
      </c>
      <c r="C32" s="34">
        <v>140</v>
      </c>
      <c r="D32" s="35">
        <v>240</v>
      </c>
      <c r="E32" s="35">
        <v>1</v>
      </c>
      <c r="F32" s="19">
        <f t="shared" si="5"/>
        <v>3.3599999999999998E-2</v>
      </c>
      <c r="G32" s="286">
        <v>1346</v>
      </c>
      <c r="H32" s="288">
        <f t="shared" si="6"/>
        <v>45.2256</v>
      </c>
      <c r="I32" s="290">
        <v>138</v>
      </c>
      <c r="J32" s="205">
        <f t="shared" si="0"/>
        <v>4.6368</v>
      </c>
      <c r="K32" s="290">
        <v>207</v>
      </c>
      <c r="L32" s="205">
        <f t="shared" si="16"/>
        <v>6.9551999999999996</v>
      </c>
      <c r="M32" s="290">
        <v>119</v>
      </c>
      <c r="N32" s="205">
        <f t="shared" si="13"/>
        <v>3.9983999999999997</v>
      </c>
      <c r="O32" s="290">
        <v>151</v>
      </c>
      <c r="P32" s="205">
        <f t="shared" si="14"/>
        <v>5.0735999999999999</v>
      </c>
      <c r="Q32" s="290">
        <v>0</v>
      </c>
      <c r="R32" s="205">
        <f>F32*Q32</f>
        <v>0</v>
      </c>
      <c r="S32" s="39">
        <f t="shared" si="7"/>
        <v>731</v>
      </c>
      <c r="T32" s="38">
        <f t="shared" si="4"/>
        <v>24.561599999999999</v>
      </c>
      <c r="U32" s="290">
        <v>1085</v>
      </c>
      <c r="V32" s="13">
        <f t="shared" si="8"/>
        <v>36.455999999999996</v>
      </c>
      <c r="W32" s="294">
        <f t="shared" si="9"/>
        <v>1816</v>
      </c>
      <c r="X32" s="295">
        <f t="shared" si="10"/>
        <v>61.017599999999995</v>
      </c>
      <c r="Y32" s="238">
        <v>250</v>
      </c>
      <c r="Z32" s="101">
        <v>750</v>
      </c>
    </row>
    <row r="33" spans="1:26" x14ac:dyDescent="0.25">
      <c r="A33" s="264">
        <v>29</v>
      </c>
      <c r="B33" s="256" t="s">
        <v>157</v>
      </c>
      <c r="C33" s="34">
        <v>140</v>
      </c>
      <c r="D33" s="35">
        <v>240</v>
      </c>
      <c r="E33" s="35">
        <v>2</v>
      </c>
      <c r="F33" s="19">
        <f t="shared" si="5"/>
        <v>6.7199999999999996E-2</v>
      </c>
      <c r="G33" s="286">
        <v>151</v>
      </c>
      <c r="H33" s="288">
        <f t="shared" si="6"/>
        <v>10.1472</v>
      </c>
      <c r="I33" s="290">
        <v>11</v>
      </c>
      <c r="J33" s="205">
        <f t="shared" si="0"/>
        <v>0.73919999999999997</v>
      </c>
      <c r="K33" s="290">
        <v>9</v>
      </c>
      <c r="L33" s="205">
        <f t="shared" si="16"/>
        <v>0.6048</v>
      </c>
      <c r="M33" s="290">
        <v>9</v>
      </c>
      <c r="N33" s="205">
        <f t="shared" si="13"/>
        <v>0.6048</v>
      </c>
      <c r="O33" s="290">
        <v>5</v>
      </c>
      <c r="P33" s="205">
        <f t="shared" si="14"/>
        <v>0.33599999999999997</v>
      </c>
      <c r="Q33" s="290">
        <v>0</v>
      </c>
      <c r="R33" s="205">
        <f>F33*Q33</f>
        <v>0</v>
      </c>
      <c r="S33" s="39">
        <f t="shared" si="7"/>
        <v>117</v>
      </c>
      <c r="T33" s="38">
        <f t="shared" si="4"/>
        <v>7.8623999999999992</v>
      </c>
      <c r="U33" s="290">
        <v>158</v>
      </c>
      <c r="V33" s="13">
        <f t="shared" si="8"/>
        <v>10.617599999999999</v>
      </c>
      <c r="W33" s="294">
        <f t="shared" si="9"/>
        <v>275</v>
      </c>
      <c r="X33" s="295">
        <f t="shared" si="10"/>
        <v>18.48</v>
      </c>
      <c r="Y33" s="238">
        <v>75</v>
      </c>
      <c r="Z33" s="101">
        <v>150</v>
      </c>
    </row>
    <row r="34" spans="1:26" x14ac:dyDescent="0.25">
      <c r="A34" s="264">
        <v>30</v>
      </c>
      <c r="B34" s="256" t="s">
        <v>158</v>
      </c>
      <c r="C34" s="34">
        <v>140</v>
      </c>
      <c r="D34" s="35">
        <v>240</v>
      </c>
      <c r="E34" s="35">
        <v>3</v>
      </c>
      <c r="F34" s="19">
        <f t="shared" si="5"/>
        <v>0.1008</v>
      </c>
      <c r="G34" s="286">
        <v>315</v>
      </c>
      <c r="H34" s="288">
        <f t="shared" si="6"/>
        <v>31.751999999999999</v>
      </c>
      <c r="I34" s="290">
        <v>26</v>
      </c>
      <c r="J34" s="205">
        <f>F34*I34</f>
        <v>2.6208</v>
      </c>
      <c r="K34" s="290">
        <v>26</v>
      </c>
      <c r="L34" s="205">
        <f t="shared" si="16"/>
        <v>2.6208</v>
      </c>
      <c r="M34" s="290">
        <v>10</v>
      </c>
      <c r="N34" s="205">
        <f t="shared" si="13"/>
        <v>1.008</v>
      </c>
      <c r="O34" s="290">
        <v>16</v>
      </c>
      <c r="P34" s="205">
        <f t="shared" si="14"/>
        <v>1.6128</v>
      </c>
      <c r="Q34" s="290">
        <v>0</v>
      </c>
      <c r="R34" s="205">
        <f t="shared" si="17"/>
        <v>0</v>
      </c>
      <c r="S34" s="39">
        <f t="shared" si="7"/>
        <v>237</v>
      </c>
      <c r="T34" s="38">
        <f t="shared" si="4"/>
        <v>23.889600000000002</v>
      </c>
      <c r="U34" s="290">
        <v>197</v>
      </c>
      <c r="V34" s="13">
        <f t="shared" si="8"/>
        <v>19.857600000000001</v>
      </c>
      <c r="W34" s="294">
        <f t="shared" si="9"/>
        <v>434</v>
      </c>
      <c r="X34" s="295">
        <f t="shared" si="10"/>
        <v>43.747199999999999</v>
      </c>
      <c r="Y34" s="238">
        <v>75</v>
      </c>
      <c r="Z34" s="101">
        <v>150</v>
      </c>
    </row>
    <row r="35" spans="1:26" x14ac:dyDescent="0.25">
      <c r="A35" s="264">
        <v>31</v>
      </c>
      <c r="B35" s="256" t="s">
        <v>159</v>
      </c>
      <c r="C35" s="34">
        <v>140</v>
      </c>
      <c r="D35" s="35">
        <v>240</v>
      </c>
      <c r="E35" s="35">
        <v>4</v>
      </c>
      <c r="F35" s="19">
        <f t="shared" si="5"/>
        <v>0.13439999999999999</v>
      </c>
      <c r="G35" s="286">
        <v>143</v>
      </c>
      <c r="H35" s="288">
        <f t="shared" si="6"/>
        <v>19.219199999999997</v>
      </c>
      <c r="I35" s="290">
        <v>2</v>
      </c>
      <c r="J35" s="205">
        <f t="shared" si="0"/>
        <v>0.26879999999999998</v>
      </c>
      <c r="K35" s="290">
        <v>4</v>
      </c>
      <c r="L35" s="205">
        <f t="shared" si="16"/>
        <v>0.53759999999999997</v>
      </c>
      <c r="M35" s="290">
        <v>2</v>
      </c>
      <c r="N35" s="205">
        <f t="shared" si="13"/>
        <v>0.26879999999999998</v>
      </c>
      <c r="O35" s="290">
        <v>4</v>
      </c>
      <c r="P35" s="205">
        <f t="shared" si="14"/>
        <v>0.53759999999999997</v>
      </c>
      <c r="Q35" s="290">
        <v>0</v>
      </c>
      <c r="R35" s="205">
        <f t="shared" si="17"/>
        <v>0</v>
      </c>
      <c r="S35" s="39">
        <f t="shared" si="7"/>
        <v>131</v>
      </c>
      <c r="T35" s="38">
        <f t="shared" si="4"/>
        <v>17.606399999999997</v>
      </c>
      <c r="U35" s="290">
        <v>75</v>
      </c>
      <c r="V35" s="13">
        <f t="shared" si="8"/>
        <v>10.08</v>
      </c>
      <c r="W35" s="294">
        <f t="shared" si="9"/>
        <v>206</v>
      </c>
      <c r="X35" s="295">
        <f t="shared" si="10"/>
        <v>27.686399999999999</v>
      </c>
      <c r="Y35" s="238">
        <v>50</v>
      </c>
      <c r="Z35" s="101">
        <v>100</v>
      </c>
    </row>
    <row r="36" spans="1:26" x14ac:dyDescent="0.25">
      <c r="A36" s="264">
        <v>32</v>
      </c>
      <c r="B36" s="256" t="s">
        <v>160</v>
      </c>
      <c r="C36" s="34">
        <v>140</v>
      </c>
      <c r="D36" s="35">
        <v>240</v>
      </c>
      <c r="E36" s="35">
        <v>2</v>
      </c>
      <c r="F36" s="19">
        <f t="shared" si="5"/>
        <v>6.7199999999999996E-2</v>
      </c>
      <c r="G36" s="286">
        <v>215</v>
      </c>
      <c r="H36" s="288">
        <f t="shared" si="6"/>
        <v>14.447999999999999</v>
      </c>
      <c r="I36" s="290">
        <v>64</v>
      </c>
      <c r="J36" s="205">
        <f>F36*I36</f>
        <v>4.3007999999999997</v>
      </c>
      <c r="K36" s="290">
        <v>33</v>
      </c>
      <c r="L36" s="205">
        <f t="shared" si="16"/>
        <v>2.2176</v>
      </c>
      <c r="M36" s="290">
        <v>94</v>
      </c>
      <c r="N36" s="205">
        <f t="shared" si="13"/>
        <v>6.3167999999999997</v>
      </c>
      <c r="O36" s="290">
        <v>53</v>
      </c>
      <c r="P36" s="205">
        <f t="shared" si="14"/>
        <v>3.5615999999999999</v>
      </c>
      <c r="Q36" s="290">
        <v>0</v>
      </c>
      <c r="R36" s="205">
        <f t="shared" si="17"/>
        <v>0</v>
      </c>
      <c r="S36" s="39">
        <f t="shared" si="7"/>
        <v>-29</v>
      </c>
      <c r="T36" s="38">
        <f t="shared" si="4"/>
        <v>-1.9487999999999999</v>
      </c>
      <c r="U36" s="290">
        <v>0</v>
      </c>
      <c r="V36" s="13">
        <f t="shared" si="8"/>
        <v>0</v>
      </c>
      <c r="W36" s="294">
        <f t="shared" si="9"/>
        <v>-29</v>
      </c>
      <c r="X36" s="295">
        <f t="shared" si="10"/>
        <v>-1.9487999999999999</v>
      </c>
      <c r="Y36" s="238">
        <v>100</v>
      </c>
      <c r="Z36" s="101">
        <v>300</v>
      </c>
    </row>
    <row r="37" spans="1:26" x14ac:dyDescent="0.25">
      <c r="A37" s="264">
        <v>33</v>
      </c>
      <c r="B37" s="256" t="s">
        <v>161</v>
      </c>
      <c r="C37" s="34">
        <v>140</v>
      </c>
      <c r="D37" s="35">
        <v>240</v>
      </c>
      <c r="E37" s="35">
        <v>6</v>
      </c>
      <c r="F37" s="19">
        <f t="shared" si="5"/>
        <v>0.2016</v>
      </c>
      <c r="G37" s="286">
        <v>27</v>
      </c>
      <c r="H37" s="288">
        <f t="shared" si="6"/>
        <v>5.4432</v>
      </c>
      <c r="I37" s="290">
        <v>0</v>
      </c>
      <c r="J37" s="205">
        <f t="shared" si="0"/>
        <v>0</v>
      </c>
      <c r="K37" s="290">
        <v>0</v>
      </c>
      <c r="L37" s="205">
        <f>F37*K37</f>
        <v>0</v>
      </c>
      <c r="M37" s="290">
        <v>0</v>
      </c>
      <c r="N37" s="205">
        <f t="shared" si="13"/>
        <v>0</v>
      </c>
      <c r="O37" s="290">
        <v>0</v>
      </c>
      <c r="P37" s="21">
        <v>0</v>
      </c>
      <c r="Q37" s="290">
        <v>0</v>
      </c>
      <c r="R37" s="205">
        <f t="shared" si="17"/>
        <v>0</v>
      </c>
      <c r="S37" s="39">
        <f t="shared" si="7"/>
        <v>27</v>
      </c>
      <c r="T37" s="38">
        <f t="shared" si="4"/>
        <v>5.4432</v>
      </c>
      <c r="U37" s="290">
        <v>0</v>
      </c>
      <c r="V37" s="13">
        <f t="shared" si="8"/>
        <v>0</v>
      </c>
      <c r="W37" s="294">
        <f t="shared" si="9"/>
        <v>27</v>
      </c>
      <c r="X37" s="295">
        <f t="shared" si="10"/>
        <v>5.4432</v>
      </c>
      <c r="Y37" s="238">
        <v>10</v>
      </c>
      <c r="Z37" s="101">
        <v>30</v>
      </c>
    </row>
    <row r="38" spans="1:26" x14ac:dyDescent="0.25">
      <c r="A38" s="264">
        <v>34</v>
      </c>
      <c r="B38" s="256" t="s">
        <v>181</v>
      </c>
      <c r="C38" s="34">
        <v>80</v>
      </c>
      <c r="D38" s="35">
        <v>75</v>
      </c>
      <c r="E38" s="35">
        <v>5</v>
      </c>
      <c r="F38" s="19">
        <f t="shared" si="5"/>
        <v>0.03</v>
      </c>
      <c r="G38" s="286">
        <v>68</v>
      </c>
      <c r="H38" s="288">
        <f t="shared" si="6"/>
        <v>2.04</v>
      </c>
      <c r="I38" s="290">
        <v>0</v>
      </c>
      <c r="J38" s="205">
        <f t="shared" si="0"/>
        <v>0</v>
      </c>
      <c r="K38" s="290">
        <v>0</v>
      </c>
      <c r="L38" s="205">
        <f t="shared" si="0"/>
        <v>0</v>
      </c>
      <c r="M38" s="290">
        <v>0</v>
      </c>
      <c r="N38" s="21">
        <v>0</v>
      </c>
      <c r="O38" s="290">
        <v>0</v>
      </c>
      <c r="P38" s="21">
        <v>0</v>
      </c>
      <c r="Q38" s="290">
        <v>0</v>
      </c>
      <c r="R38" s="21">
        <v>0</v>
      </c>
      <c r="S38" s="39">
        <f t="shared" si="7"/>
        <v>68</v>
      </c>
      <c r="T38" s="38">
        <f t="shared" si="4"/>
        <v>2.04</v>
      </c>
      <c r="U38" s="290">
        <v>0</v>
      </c>
      <c r="V38" s="13">
        <f t="shared" si="8"/>
        <v>0</v>
      </c>
      <c r="W38" s="294">
        <f t="shared" si="9"/>
        <v>68</v>
      </c>
      <c r="X38" s="295">
        <f t="shared" si="10"/>
        <v>2.04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182</v>
      </c>
      <c r="C39" s="34">
        <v>100</v>
      </c>
      <c r="D39" s="35">
        <v>95</v>
      </c>
      <c r="E39" s="35">
        <v>5</v>
      </c>
      <c r="F39" s="19">
        <f t="shared" si="5"/>
        <v>4.7500000000000001E-2</v>
      </c>
      <c r="G39" s="286">
        <v>144</v>
      </c>
      <c r="H39" s="288">
        <f t="shared" si="6"/>
        <v>6.84</v>
      </c>
      <c r="I39" s="290">
        <v>0</v>
      </c>
      <c r="J39" s="205">
        <f t="shared" si="0"/>
        <v>0</v>
      </c>
      <c r="K39" s="290">
        <v>0</v>
      </c>
      <c r="L39" s="205">
        <f>F39*K39</f>
        <v>0</v>
      </c>
      <c r="M39" s="290">
        <v>0</v>
      </c>
      <c r="N39" s="205">
        <f>F39*M39</f>
        <v>0</v>
      </c>
      <c r="O39" s="290">
        <v>0</v>
      </c>
      <c r="P39" s="205">
        <f>J39*O39</f>
        <v>0</v>
      </c>
      <c r="Q39" s="290">
        <v>0</v>
      </c>
      <c r="R39" s="205">
        <f>L39*Q39</f>
        <v>0</v>
      </c>
      <c r="S39" s="39">
        <f t="shared" si="7"/>
        <v>144</v>
      </c>
      <c r="T39" s="38">
        <f t="shared" si="4"/>
        <v>6.84</v>
      </c>
      <c r="U39" s="290">
        <v>0</v>
      </c>
      <c r="V39" s="13">
        <f t="shared" si="8"/>
        <v>0</v>
      </c>
      <c r="W39" s="294">
        <f t="shared" si="9"/>
        <v>144</v>
      </c>
      <c r="X39" s="295">
        <f t="shared" si="10"/>
        <v>6.84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196</v>
      </c>
      <c r="C40" s="34">
        <v>65</v>
      </c>
      <c r="D40" s="35">
        <v>60</v>
      </c>
      <c r="E40" s="35">
        <v>5</v>
      </c>
      <c r="F40" s="19">
        <f t="shared" si="5"/>
        <v>1.95E-2</v>
      </c>
      <c r="G40" s="286">
        <v>248</v>
      </c>
      <c r="H40" s="288">
        <f t="shared" si="6"/>
        <v>4.8360000000000003</v>
      </c>
      <c r="I40" s="290">
        <v>0</v>
      </c>
      <c r="J40" s="205">
        <f t="shared" si="0"/>
        <v>0</v>
      </c>
      <c r="K40" s="290">
        <v>0</v>
      </c>
      <c r="L40" s="205">
        <f>F40*K40</f>
        <v>0</v>
      </c>
      <c r="M40" s="290">
        <v>44</v>
      </c>
      <c r="N40" s="205">
        <f>F40*M40</f>
        <v>0.85799999999999998</v>
      </c>
      <c r="O40" s="290">
        <v>0</v>
      </c>
      <c r="P40" s="205">
        <f>F40*O40</f>
        <v>0</v>
      </c>
      <c r="Q40" s="290">
        <v>0</v>
      </c>
      <c r="R40" s="205">
        <f>F40*Q40</f>
        <v>0</v>
      </c>
      <c r="S40" s="39">
        <f t="shared" si="7"/>
        <v>204</v>
      </c>
      <c r="T40" s="38">
        <f t="shared" si="4"/>
        <v>3.9780000000000002</v>
      </c>
      <c r="U40" s="290">
        <v>0</v>
      </c>
      <c r="V40" s="13">
        <f t="shared" si="8"/>
        <v>0</v>
      </c>
      <c r="W40" s="294">
        <f t="shared" si="9"/>
        <v>204</v>
      </c>
      <c r="X40" s="295">
        <f t="shared" si="10"/>
        <v>3.9780000000000002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165</v>
      </c>
      <c r="C41" s="34">
        <v>140</v>
      </c>
      <c r="D41" s="35">
        <v>240</v>
      </c>
      <c r="E41" s="35">
        <v>10</v>
      </c>
      <c r="F41" s="19">
        <f t="shared" si="5"/>
        <v>0.33600000000000002</v>
      </c>
      <c r="G41" s="286">
        <v>50</v>
      </c>
      <c r="H41" s="288">
        <f t="shared" si="6"/>
        <v>16.8</v>
      </c>
      <c r="I41" s="290">
        <v>6</v>
      </c>
      <c r="J41" s="205">
        <f>F41*I41</f>
        <v>2.016</v>
      </c>
      <c r="K41" s="290">
        <v>7</v>
      </c>
      <c r="L41" s="205">
        <f>F41*K41</f>
        <v>2.3520000000000003</v>
      </c>
      <c r="M41" s="290">
        <v>6</v>
      </c>
      <c r="N41" s="205">
        <f>F41*M41</f>
        <v>2.016</v>
      </c>
      <c r="O41" s="290">
        <v>16</v>
      </c>
      <c r="P41" s="205">
        <f>F41*O41</f>
        <v>5.3760000000000003</v>
      </c>
      <c r="Q41" s="290">
        <v>0</v>
      </c>
      <c r="R41" s="205">
        <f>F41*Q41</f>
        <v>0</v>
      </c>
      <c r="S41" s="39">
        <f t="shared" si="7"/>
        <v>15</v>
      </c>
      <c r="T41" s="38">
        <f t="shared" si="4"/>
        <v>5.04</v>
      </c>
      <c r="U41" s="290">
        <v>10</v>
      </c>
      <c r="V41" s="13">
        <f t="shared" si="8"/>
        <v>3.3600000000000003</v>
      </c>
      <c r="W41" s="294">
        <f t="shared" si="9"/>
        <v>25</v>
      </c>
      <c r="X41" s="295">
        <f t="shared" si="10"/>
        <v>8.4</v>
      </c>
      <c r="Y41" s="238">
        <v>50</v>
      </c>
      <c r="Z41" s="101">
        <v>100</v>
      </c>
    </row>
    <row r="42" spans="1:26" x14ac:dyDescent="0.25">
      <c r="A42" s="264">
        <v>38</v>
      </c>
      <c r="B42" s="256" t="s">
        <v>166</v>
      </c>
      <c r="C42" s="34">
        <v>92</v>
      </c>
      <c r="D42" s="35">
        <v>82</v>
      </c>
      <c r="E42" s="35">
        <v>2</v>
      </c>
      <c r="F42" s="19">
        <f t="shared" si="5"/>
        <v>1.5088000000000001E-2</v>
      </c>
      <c r="G42" s="286">
        <v>353</v>
      </c>
      <c r="H42" s="288">
        <f t="shared" si="6"/>
        <v>5.3260640000000006</v>
      </c>
      <c r="I42" s="290">
        <v>0</v>
      </c>
      <c r="J42" s="205">
        <f t="shared" si="0"/>
        <v>0</v>
      </c>
      <c r="K42" s="290">
        <v>96</v>
      </c>
      <c r="L42" s="205">
        <f>F42*K42</f>
        <v>1.448448</v>
      </c>
      <c r="M42" s="290">
        <v>60</v>
      </c>
      <c r="N42" s="205">
        <f>F42*M42</f>
        <v>0.90528000000000008</v>
      </c>
      <c r="O42" s="290">
        <v>0</v>
      </c>
      <c r="P42" s="205">
        <f>F42*O42</f>
        <v>0</v>
      </c>
      <c r="Q42" s="290">
        <v>0</v>
      </c>
      <c r="R42" s="205">
        <f>F42*Q42</f>
        <v>0</v>
      </c>
      <c r="S42" s="39">
        <f t="shared" si="7"/>
        <v>197</v>
      </c>
      <c r="T42" s="38">
        <f t="shared" si="4"/>
        <v>2.9723360000000003</v>
      </c>
      <c r="U42" s="290">
        <v>509</v>
      </c>
      <c r="V42" s="13">
        <f t="shared" si="8"/>
        <v>7.679792</v>
      </c>
      <c r="W42" s="294">
        <f t="shared" si="9"/>
        <v>706</v>
      </c>
      <c r="X42" s="295">
        <f t="shared" si="10"/>
        <v>10.652128000000001</v>
      </c>
      <c r="Y42" s="238">
        <v>100</v>
      </c>
      <c r="Z42" s="101">
        <v>300</v>
      </c>
    </row>
    <row r="43" spans="1:26" x14ac:dyDescent="0.25">
      <c r="A43" s="264">
        <v>39</v>
      </c>
      <c r="B43" s="256" t="s">
        <v>183</v>
      </c>
      <c r="C43" s="34">
        <v>90</v>
      </c>
      <c r="D43" s="35">
        <v>90</v>
      </c>
      <c r="E43" s="35">
        <v>3</v>
      </c>
      <c r="F43" s="19">
        <f t="shared" si="5"/>
        <v>2.4299999999999999E-2</v>
      </c>
      <c r="G43" s="286">
        <v>171</v>
      </c>
      <c r="H43" s="288">
        <f t="shared" si="6"/>
        <v>4.1552999999999995</v>
      </c>
      <c r="I43" s="290">
        <v>0</v>
      </c>
      <c r="J43" s="205">
        <f t="shared" si="0"/>
        <v>0</v>
      </c>
      <c r="K43" s="290">
        <v>0</v>
      </c>
      <c r="L43" s="205">
        <f t="shared" si="0"/>
        <v>0</v>
      </c>
      <c r="M43" s="290">
        <v>0</v>
      </c>
      <c r="N43" s="21">
        <v>0</v>
      </c>
      <c r="O43" s="290">
        <v>0</v>
      </c>
      <c r="P43" s="21">
        <v>0</v>
      </c>
      <c r="Q43" s="290">
        <v>0</v>
      </c>
      <c r="R43" s="21">
        <v>0</v>
      </c>
      <c r="S43" s="39">
        <f t="shared" si="7"/>
        <v>171</v>
      </c>
      <c r="T43" s="38">
        <f t="shared" si="4"/>
        <v>4.1552999999999995</v>
      </c>
      <c r="U43" s="290">
        <v>0</v>
      </c>
      <c r="V43" s="13">
        <f t="shared" si="8"/>
        <v>0</v>
      </c>
      <c r="W43" s="294">
        <f t="shared" si="9"/>
        <v>171</v>
      </c>
      <c r="X43" s="295">
        <f t="shared" si="10"/>
        <v>4.1552999999999995</v>
      </c>
      <c r="Y43" s="238">
        <v>0</v>
      </c>
      <c r="Z43" s="101">
        <v>0</v>
      </c>
    </row>
    <row r="44" spans="1:26" x14ac:dyDescent="0.25">
      <c r="A44" s="264">
        <v>40</v>
      </c>
      <c r="B44" s="256" t="s">
        <v>168</v>
      </c>
      <c r="C44" s="34">
        <v>140</v>
      </c>
      <c r="D44" s="35">
        <v>240</v>
      </c>
      <c r="E44" s="35">
        <v>3</v>
      </c>
      <c r="F44" s="19">
        <f t="shared" si="5"/>
        <v>0.1008</v>
      </c>
      <c r="G44" s="286">
        <v>0</v>
      </c>
      <c r="H44" s="288">
        <f t="shared" si="6"/>
        <v>0</v>
      </c>
      <c r="I44" s="290">
        <v>0</v>
      </c>
      <c r="J44" s="205">
        <f t="shared" si="0"/>
        <v>0</v>
      </c>
      <c r="K44" s="290">
        <v>0</v>
      </c>
      <c r="L44" s="205">
        <f t="shared" ref="L44:L52" si="18">F44*K44</f>
        <v>0</v>
      </c>
      <c r="M44" s="290">
        <v>0</v>
      </c>
      <c r="N44" s="205">
        <f t="shared" ref="N44:N70" si="19">F44*M44</f>
        <v>0</v>
      </c>
      <c r="O44" s="290">
        <v>0</v>
      </c>
      <c r="P44" s="205">
        <f t="shared" ref="P44:P66" si="20">F44*O44</f>
        <v>0</v>
      </c>
      <c r="Q44" s="290">
        <v>0</v>
      </c>
      <c r="R44" s="205">
        <f t="shared" ref="R44:R58" si="21">F44*Q44</f>
        <v>0</v>
      </c>
      <c r="S44" s="39">
        <f t="shared" si="7"/>
        <v>0</v>
      </c>
      <c r="T44" s="38">
        <f t="shared" si="4"/>
        <v>0</v>
      </c>
      <c r="U44" s="290">
        <v>0</v>
      </c>
      <c r="V44" s="13">
        <f t="shared" si="8"/>
        <v>0</v>
      </c>
      <c r="W44" s="294">
        <f t="shared" si="9"/>
        <v>0</v>
      </c>
      <c r="X44" s="295">
        <f t="shared" si="10"/>
        <v>0</v>
      </c>
      <c r="Y44" s="238">
        <v>0</v>
      </c>
      <c r="Z44" s="101">
        <v>0</v>
      </c>
    </row>
    <row r="45" spans="1:26" x14ac:dyDescent="0.25">
      <c r="A45" s="264">
        <v>41</v>
      </c>
      <c r="B45" s="256" t="s">
        <v>169</v>
      </c>
      <c r="C45" s="34">
        <v>82</v>
      </c>
      <c r="D45" s="34">
        <v>80</v>
      </c>
      <c r="E45" s="34">
        <v>2</v>
      </c>
      <c r="F45" s="19">
        <f t="shared" si="5"/>
        <v>1.312E-2</v>
      </c>
      <c r="G45" s="284">
        <v>747</v>
      </c>
      <c r="H45" s="288">
        <f t="shared" si="6"/>
        <v>9.8006399999999996</v>
      </c>
      <c r="I45" s="290">
        <v>45</v>
      </c>
      <c r="J45" s="205">
        <f t="shared" si="0"/>
        <v>0.59040000000000004</v>
      </c>
      <c r="K45" s="290">
        <v>20</v>
      </c>
      <c r="L45" s="205">
        <f t="shared" si="18"/>
        <v>0.26239999999999997</v>
      </c>
      <c r="M45" s="290">
        <v>0</v>
      </c>
      <c r="N45" s="205">
        <f t="shared" si="19"/>
        <v>0</v>
      </c>
      <c r="O45" s="290">
        <v>0</v>
      </c>
      <c r="P45" s="205">
        <f t="shared" si="20"/>
        <v>0</v>
      </c>
      <c r="Q45" s="290">
        <v>0</v>
      </c>
      <c r="R45" s="205">
        <f t="shared" si="21"/>
        <v>0</v>
      </c>
      <c r="S45" s="39">
        <f t="shared" si="7"/>
        <v>682</v>
      </c>
      <c r="T45" s="38">
        <f t="shared" si="4"/>
        <v>8.9478399999999993</v>
      </c>
      <c r="U45" s="290">
        <v>620</v>
      </c>
      <c r="V45" s="13">
        <f t="shared" si="8"/>
        <v>8.1343999999999994</v>
      </c>
      <c r="W45" s="294">
        <f t="shared" si="9"/>
        <v>1302</v>
      </c>
      <c r="X45" s="295">
        <f t="shared" si="10"/>
        <v>17.082239999999999</v>
      </c>
      <c r="Y45" s="238">
        <v>100</v>
      </c>
      <c r="Z45" s="101">
        <v>300</v>
      </c>
    </row>
    <row r="46" spans="1:26" x14ac:dyDescent="0.25">
      <c r="A46" s="264">
        <v>42</v>
      </c>
      <c r="B46" s="256" t="s">
        <v>170</v>
      </c>
      <c r="C46" s="34">
        <v>90</v>
      </c>
      <c r="D46" s="34">
        <v>83</v>
      </c>
      <c r="E46" s="34">
        <v>2</v>
      </c>
      <c r="F46" s="19">
        <f t="shared" si="5"/>
        <v>1.494E-2</v>
      </c>
      <c r="G46" s="284">
        <v>0</v>
      </c>
      <c r="H46" s="288">
        <f t="shared" si="6"/>
        <v>0</v>
      </c>
      <c r="I46" s="290">
        <v>0</v>
      </c>
      <c r="J46" s="205">
        <f t="shared" si="0"/>
        <v>0</v>
      </c>
      <c r="K46" s="290">
        <v>0</v>
      </c>
      <c r="L46" s="205">
        <f t="shared" si="18"/>
        <v>0</v>
      </c>
      <c r="M46" s="290">
        <v>0</v>
      </c>
      <c r="N46" s="205">
        <f t="shared" si="19"/>
        <v>0</v>
      </c>
      <c r="O46" s="290">
        <v>0</v>
      </c>
      <c r="P46" s="205">
        <f t="shared" si="20"/>
        <v>0</v>
      </c>
      <c r="Q46" s="290">
        <v>0</v>
      </c>
      <c r="R46" s="205">
        <f t="shared" si="21"/>
        <v>0</v>
      </c>
      <c r="S46" s="39">
        <f t="shared" si="7"/>
        <v>0</v>
      </c>
      <c r="T46" s="38">
        <f t="shared" si="4"/>
        <v>0</v>
      </c>
      <c r="U46" s="290">
        <v>0</v>
      </c>
      <c r="V46" s="13">
        <f t="shared" si="8"/>
        <v>0</v>
      </c>
      <c r="W46" s="294">
        <f t="shared" si="9"/>
        <v>0</v>
      </c>
      <c r="X46" s="295">
        <f t="shared" si="10"/>
        <v>0</v>
      </c>
      <c r="Y46" s="238">
        <v>100</v>
      </c>
      <c r="Z46" s="101">
        <v>300</v>
      </c>
    </row>
    <row r="47" spans="1:26" x14ac:dyDescent="0.25">
      <c r="A47" s="264">
        <v>43</v>
      </c>
      <c r="B47" s="256" t="s">
        <v>184</v>
      </c>
      <c r="C47" s="34">
        <v>112</v>
      </c>
      <c r="D47" s="34">
        <v>67</v>
      </c>
      <c r="E47" s="34">
        <v>3</v>
      </c>
      <c r="F47" s="19">
        <f t="shared" si="5"/>
        <v>2.2512000000000001E-2</v>
      </c>
      <c r="G47" s="284">
        <v>65</v>
      </c>
      <c r="H47" s="288">
        <f t="shared" si="6"/>
        <v>1.4632800000000001</v>
      </c>
      <c r="I47" s="290">
        <v>0</v>
      </c>
      <c r="J47" s="205">
        <f t="shared" si="0"/>
        <v>0</v>
      </c>
      <c r="K47" s="290">
        <v>0</v>
      </c>
      <c r="L47" s="205">
        <f t="shared" si="18"/>
        <v>0</v>
      </c>
      <c r="M47" s="290">
        <v>0</v>
      </c>
      <c r="N47" s="205">
        <f t="shared" si="19"/>
        <v>0</v>
      </c>
      <c r="O47" s="290">
        <v>0</v>
      </c>
      <c r="P47" s="205">
        <f t="shared" si="20"/>
        <v>0</v>
      </c>
      <c r="Q47" s="290">
        <v>0</v>
      </c>
      <c r="R47" s="205">
        <f t="shared" si="21"/>
        <v>0</v>
      </c>
      <c r="S47" s="39">
        <f t="shared" si="7"/>
        <v>65</v>
      </c>
      <c r="T47" s="38">
        <f t="shared" si="4"/>
        <v>1.4632800000000001</v>
      </c>
      <c r="U47" s="290">
        <v>0</v>
      </c>
      <c r="V47" s="13">
        <f t="shared" si="8"/>
        <v>0</v>
      </c>
      <c r="W47" s="294">
        <f t="shared" si="9"/>
        <v>65</v>
      </c>
      <c r="X47" s="295">
        <f t="shared" si="10"/>
        <v>1.4632800000000001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189</v>
      </c>
      <c r="C48" s="34">
        <v>70</v>
      </c>
      <c r="D48" s="34">
        <v>54</v>
      </c>
      <c r="E48" s="34">
        <v>7</v>
      </c>
      <c r="F48" s="19">
        <f t="shared" si="5"/>
        <v>2.6460000000000001E-2</v>
      </c>
      <c r="G48" s="284">
        <v>0</v>
      </c>
      <c r="H48" s="288">
        <f t="shared" si="6"/>
        <v>0</v>
      </c>
      <c r="I48" s="290">
        <v>0</v>
      </c>
      <c r="J48" s="205">
        <f t="shared" si="0"/>
        <v>0</v>
      </c>
      <c r="K48" s="290">
        <v>0</v>
      </c>
      <c r="L48" s="205">
        <f t="shared" si="18"/>
        <v>0</v>
      </c>
      <c r="M48" s="290">
        <v>0</v>
      </c>
      <c r="N48" s="205">
        <f t="shared" si="19"/>
        <v>0</v>
      </c>
      <c r="O48" s="290">
        <v>0</v>
      </c>
      <c r="P48" s="205">
        <f t="shared" si="20"/>
        <v>0</v>
      </c>
      <c r="Q48" s="290">
        <v>0</v>
      </c>
      <c r="R48" s="205">
        <f t="shared" si="21"/>
        <v>0</v>
      </c>
      <c r="S48" s="39">
        <f t="shared" si="7"/>
        <v>0</v>
      </c>
      <c r="T48" s="38">
        <f t="shared" si="4"/>
        <v>0</v>
      </c>
      <c r="U48" s="290">
        <v>0</v>
      </c>
      <c r="V48" s="13">
        <f t="shared" si="8"/>
        <v>0</v>
      </c>
      <c r="W48" s="294">
        <f t="shared" si="9"/>
        <v>0</v>
      </c>
      <c r="X48" s="295">
        <f t="shared" si="10"/>
        <v>0</v>
      </c>
      <c r="Y48" s="238">
        <v>0</v>
      </c>
      <c r="Z48" s="101">
        <v>0</v>
      </c>
    </row>
    <row r="49" spans="1:26" x14ac:dyDescent="0.25">
      <c r="A49" s="264">
        <v>45</v>
      </c>
      <c r="B49" s="256" t="s">
        <v>174</v>
      </c>
      <c r="C49" s="34">
        <v>140</v>
      </c>
      <c r="D49" s="34">
        <v>240</v>
      </c>
      <c r="E49" s="34">
        <v>14</v>
      </c>
      <c r="F49" s="19">
        <f t="shared" si="5"/>
        <v>0.47039999999999998</v>
      </c>
      <c r="G49" s="284">
        <v>0</v>
      </c>
      <c r="H49" s="288">
        <f t="shared" si="6"/>
        <v>0</v>
      </c>
      <c r="I49" s="290">
        <v>0</v>
      </c>
      <c r="J49" s="205">
        <f t="shared" si="0"/>
        <v>0</v>
      </c>
      <c r="K49" s="290">
        <v>0</v>
      </c>
      <c r="L49" s="205">
        <f t="shared" si="18"/>
        <v>0</v>
      </c>
      <c r="M49" s="290">
        <v>0</v>
      </c>
      <c r="N49" s="205">
        <f t="shared" si="19"/>
        <v>0</v>
      </c>
      <c r="O49" s="290">
        <v>0</v>
      </c>
      <c r="P49" s="205">
        <f t="shared" si="20"/>
        <v>0</v>
      </c>
      <c r="Q49" s="290">
        <v>0</v>
      </c>
      <c r="R49" s="205">
        <f t="shared" si="21"/>
        <v>0</v>
      </c>
      <c r="S49" s="39">
        <f t="shared" si="7"/>
        <v>0</v>
      </c>
      <c r="T49" s="38">
        <f t="shared" si="4"/>
        <v>0</v>
      </c>
      <c r="U49" s="290">
        <v>0</v>
      </c>
      <c r="V49" s="13">
        <f t="shared" si="8"/>
        <v>0</v>
      </c>
      <c r="W49" s="294">
        <f t="shared" si="9"/>
        <v>0</v>
      </c>
      <c r="X49" s="295">
        <f t="shared" si="10"/>
        <v>0</v>
      </c>
      <c r="Y49" s="238">
        <v>10</v>
      </c>
      <c r="Z49" s="101">
        <v>20</v>
      </c>
    </row>
    <row r="50" spans="1:26" x14ac:dyDescent="0.25">
      <c r="A50" s="264">
        <v>46</v>
      </c>
      <c r="B50" s="256" t="s">
        <v>175</v>
      </c>
      <c r="C50" s="34">
        <v>140</v>
      </c>
      <c r="D50" s="34">
        <v>240</v>
      </c>
      <c r="E50" s="34">
        <v>12</v>
      </c>
      <c r="F50" s="19">
        <f t="shared" si="5"/>
        <v>0.4032</v>
      </c>
      <c r="G50" s="284">
        <v>10</v>
      </c>
      <c r="H50" s="288">
        <f t="shared" si="6"/>
        <v>4.032</v>
      </c>
      <c r="I50" s="290">
        <v>9</v>
      </c>
      <c r="J50" s="205">
        <f t="shared" si="0"/>
        <v>3.6288</v>
      </c>
      <c r="K50" s="290">
        <v>1</v>
      </c>
      <c r="L50" s="205">
        <f t="shared" si="18"/>
        <v>0.4032</v>
      </c>
      <c r="M50" s="290">
        <v>0</v>
      </c>
      <c r="N50" s="205">
        <f t="shared" si="19"/>
        <v>0</v>
      </c>
      <c r="O50" s="290">
        <v>0</v>
      </c>
      <c r="P50" s="205">
        <f t="shared" si="20"/>
        <v>0</v>
      </c>
      <c r="Q50" s="290">
        <v>0</v>
      </c>
      <c r="R50" s="205">
        <f t="shared" si="21"/>
        <v>0</v>
      </c>
      <c r="S50" s="39">
        <f t="shared" si="7"/>
        <v>0</v>
      </c>
      <c r="T50" s="38">
        <f t="shared" si="4"/>
        <v>0</v>
      </c>
      <c r="U50" s="290">
        <v>0</v>
      </c>
      <c r="V50" s="13">
        <f t="shared" si="8"/>
        <v>0</v>
      </c>
      <c r="W50" s="294">
        <f t="shared" si="9"/>
        <v>0</v>
      </c>
      <c r="X50" s="295">
        <f t="shared" si="10"/>
        <v>0</v>
      </c>
      <c r="Y50" s="238">
        <v>10</v>
      </c>
      <c r="Z50" s="101">
        <v>20</v>
      </c>
    </row>
    <row r="51" spans="1:26" x14ac:dyDescent="0.25">
      <c r="A51" s="264">
        <v>47</v>
      </c>
      <c r="B51" s="256" t="s">
        <v>176</v>
      </c>
      <c r="C51" s="34">
        <v>130</v>
      </c>
      <c r="D51" s="34">
        <v>60</v>
      </c>
      <c r="E51" s="34">
        <v>5</v>
      </c>
      <c r="F51" s="19">
        <f t="shared" si="5"/>
        <v>3.9E-2</v>
      </c>
      <c r="G51" s="284">
        <v>0</v>
      </c>
      <c r="H51" s="288">
        <f t="shared" si="6"/>
        <v>0</v>
      </c>
      <c r="I51" s="290">
        <v>0</v>
      </c>
      <c r="J51" s="205">
        <f t="shared" si="0"/>
        <v>0</v>
      </c>
      <c r="K51" s="290">
        <v>0</v>
      </c>
      <c r="L51" s="205">
        <f t="shared" si="18"/>
        <v>0</v>
      </c>
      <c r="M51" s="290">
        <v>0</v>
      </c>
      <c r="N51" s="205">
        <f t="shared" si="19"/>
        <v>0</v>
      </c>
      <c r="O51" s="290">
        <v>0</v>
      </c>
      <c r="P51" s="205">
        <f t="shared" si="20"/>
        <v>0</v>
      </c>
      <c r="Q51" s="290">
        <v>0</v>
      </c>
      <c r="R51" s="205">
        <f t="shared" si="21"/>
        <v>0</v>
      </c>
      <c r="S51" s="39">
        <f t="shared" si="7"/>
        <v>0</v>
      </c>
      <c r="T51" s="38">
        <f t="shared" si="4"/>
        <v>0</v>
      </c>
      <c r="U51" s="290">
        <v>0</v>
      </c>
      <c r="V51" s="13">
        <f t="shared" si="8"/>
        <v>0</v>
      </c>
      <c r="W51" s="294">
        <f t="shared" si="9"/>
        <v>0</v>
      </c>
      <c r="X51" s="295">
        <f t="shared" si="10"/>
        <v>0</v>
      </c>
      <c r="Y51" s="238">
        <v>30</v>
      </c>
      <c r="Z51" s="101">
        <v>100</v>
      </c>
    </row>
    <row r="52" spans="1:26" x14ac:dyDescent="0.25">
      <c r="A52" s="264">
        <v>48</v>
      </c>
      <c r="B52" s="255" t="s">
        <v>178</v>
      </c>
      <c r="C52" s="34">
        <v>140</v>
      </c>
      <c r="D52" s="34">
        <v>240</v>
      </c>
      <c r="E52" s="34">
        <v>3</v>
      </c>
      <c r="F52" s="19">
        <f t="shared" si="5"/>
        <v>0.1008</v>
      </c>
      <c r="G52" s="284">
        <v>884</v>
      </c>
      <c r="H52" s="288">
        <f t="shared" si="6"/>
        <v>89.107200000000006</v>
      </c>
      <c r="I52" s="290">
        <v>12</v>
      </c>
      <c r="J52" s="205">
        <f t="shared" si="0"/>
        <v>1.2096</v>
      </c>
      <c r="K52" s="290">
        <v>0</v>
      </c>
      <c r="L52" s="205">
        <f t="shared" si="18"/>
        <v>0</v>
      </c>
      <c r="M52" s="290">
        <v>8</v>
      </c>
      <c r="N52" s="205">
        <f t="shared" si="19"/>
        <v>0.80640000000000001</v>
      </c>
      <c r="O52" s="290">
        <v>5</v>
      </c>
      <c r="P52" s="205">
        <f t="shared" si="20"/>
        <v>0.504</v>
      </c>
      <c r="Q52" s="290">
        <v>0</v>
      </c>
      <c r="R52" s="205">
        <f t="shared" si="21"/>
        <v>0</v>
      </c>
      <c r="S52" s="39">
        <f t="shared" si="7"/>
        <v>859</v>
      </c>
      <c r="T52" s="38">
        <f t="shared" si="4"/>
        <v>86.587199999999996</v>
      </c>
      <c r="U52" s="290">
        <v>0</v>
      </c>
      <c r="V52" s="13">
        <f t="shared" si="8"/>
        <v>0</v>
      </c>
      <c r="W52" s="294">
        <f t="shared" si="9"/>
        <v>859</v>
      </c>
      <c r="X52" s="295">
        <f t="shared" si="10"/>
        <v>86.587199999999996</v>
      </c>
      <c r="Y52" s="238">
        <v>100</v>
      </c>
      <c r="Z52" s="101">
        <v>300</v>
      </c>
    </row>
    <row r="53" spans="1:26" x14ac:dyDescent="0.25">
      <c r="A53" s="264">
        <v>49</v>
      </c>
      <c r="B53" s="256" t="s">
        <v>185</v>
      </c>
      <c r="C53" s="34">
        <v>140</v>
      </c>
      <c r="D53" s="34">
        <v>240</v>
      </c>
      <c r="E53" s="34">
        <v>1</v>
      </c>
      <c r="F53" s="19">
        <f t="shared" si="5"/>
        <v>3.3599999999999998E-2</v>
      </c>
      <c r="G53" s="284">
        <v>300</v>
      </c>
      <c r="H53" s="288">
        <f t="shared" si="6"/>
        <v>10.08</v>
      </c>
      <c r="I53" s="290">
        <v>0</v>
      </c>
      <c r="J53" s="205">
        <f t="shared" si="0"/>
        <v>0</v>
      </c>
      <c r="K53" s="290">
        <v>0</v>
      </c>
      <c r="L53" s="205">
        <f>F53*K53</f>
        <v>0</v>
      </c>
      <c r="M53" s="290">
        <v>0</v>
      </c>
      <c r="N53" s="205">
        <f t="shared" si="19"/>
        <v>0</v>
      </c>
      <c r="O53" s="290">
        <v>0</v>
      </c>
      <c r="P53" s="205">
        <f t="shared" si="20"/>
        <v>0</v>
      </c>
      <c r="Q53" s="290">
        <v>0</v>
      </c>
      <c r="R53" s="205">
        <f t="shared" si="21"/>
        <v>0</v>
      </c>
      <c r="S53" s="39">
        <f t="shared" si="7"/>
        <v>300</v>
      </c>
      <c r="T53" s="38">
        <f t="shared" si="4"/>
        <v>10.08</v>
      </c>
      <c r="U53" s="290">
        <v>0</v>
      </c>
      <c r="V53" s="13">
        <f t="shared" si="8"/>
        <v>0</v>
      </c>
      <c r="W53" s="294">
        <f t="shared" si="9"/>
        <v>300</v>
      </c>
      <c r="X53" s="295">
        <f t="shared" si="10"/>
        <v>10.08</v>
      </c>
      <c r="Y53" s="238">
        <v>50</v>
      </c>
      <c r="Z53" s="101">
        <v>0</v>
      </c>
    </row>
    <row r="54" spans="1:26" x14ac:dyDescent="0.25">
      <c r="A54" s="264">
        <v>50</v>
      </c>
      <c r="B54" s="256" t="s">
        <v>186</v>
      </c>
      <c r="C54" s="34">
        <v>140</v>
      </c>
      <c r="D54" s="34">
        <v>240</v>
      </c>
      <c r="E54" s="34">
        <v>3</v>
      </c>
      <c r="F54" s="19">
        <f t="shared" si="5"/>
        <v>0.1008</v>
      </c>
      <c r="G54" s="284">
        <v>126</v>
      </c>
      <c r="H54" s="288">
        <f t="shared" si="6"/>
        <v>12.700800000000001</v>
      </c>
      <c r="I54" s="290">
        <v>1</v>
      </c>
      <c r="J54" s="205">
        <f t="shared" si="0"/>
        <v>0.1008</v>
      </c>
      <c r="K54" s="290">
        <v>0</v>
      </c>
      <c r="L54" s="205">
        <f>F54*K54</f>
        <v>0</v>
      </c>
      <c r="M54" s="290">
        <v>0</v>
      </c>
      <c r="N54" s="205">
        <f t="shared" si="19"/>
        <v>0</v>
      </c>
      <c r="O54" s="290">
        <v>3</v>
      </c>
      <c r="P54" s="205">
        <f t="shared" si="20"/>
        <v>0.3024</v>
      </c>
      <c r="Q54" s="290">
        <v>0</v>
      </c>
      <c r="R54" s="205">
        <f t="shared" si="21"/>
        <v>0</v>
      </c>
      <c r="S54" s="39">
        <f t="shared" si="7"/>
        <v>122</v>
      </c>
      <c r="T54" s="38">
        <f t="shared" si="4"/>
        <v>12.297599999999999</v>
      </c>
      <c r="U54" s="290">
        <v>0</v>
      </c>
      <c r="V54" s="13">
        <f t="shared" si="8"/>
        <v>0</v>
      </c>
      <c r="W54" s="294">
        <f t="shared" si="9"/>
        <v>122</v>
      </c>
      <c r="X54" s="295">
        <f t="shared" si="10"/>
        <v>12.297599999999999</v>
      </c>
      <c r="Y54" s="238">
        <v>50</v>
      </c>
      <c r="Z54" s="101">
        <v>0</v>
      </c>
    </row>
    <row r="55" spans="1:26" x14ac:dyDescent="0.25">
      <c r="A55" s="277">
        <v>51</v>
      </c>
      <c r="B55" s="283" t="s">
        <v>187</v>
      </c>
      <c r="C55" s="264">
        <v>140</v>
      </c>
      <c r="D55" s="264">
        <v>240</v>
      </c>
      <c r="E55" s="264">
        <v>5</v>
      </c>
      <c r="F55" s="19">
        <f t="shared" si="5"/>
        <v>0.16800000000000001</v>
      </c>
      <c r="G55" s="296">
        <v>148</v>
      </c>
      <c r="H55" s="299">
        <f t="shared" si="6"/>
        <v>24.864000000000001</v>
      </c>
      <c r="I55" s="290">
        <v>0</v>
      </c>
      <c r="J55" s="205">
        <f t="shared" si="0"/>
        <v>0</v>
      </c>
      <c r="K55" s="290">
        <v>0</v>
      </c>
      <c r="L55" s="205">
        <f>F55*K55</f>
        <v>0</v>
      </c>
      <c r="M55" s="290">
        <v>0</v>
      </c>
      <c r="N55" s="205">
        <f t="shared" si="19"/>
        <v>0</v>
      </c>
      <c r="O55" s="290">
        <v>0</v>
      </c>
      <c r="P55" s="205">
        <f t="shared" si="20"/>
        <v>0</v>
      </c>
      <c r="Q55" s="290">
        <v>0</v>
      </c>
      <c r="R55" s="205">
        <f t="shared" si="21"/>
        <v>0</v>
      </c>
      <c r="S55" s="39">
        <f t="shared" si="7"/>
        <v>148</v>
      </c>
      <c r="T55" s="38">
        <f t="shared" si="4"/>
        <v>24.864000000000001</v>
      </c>
      <c r="U55" s="290">
        <v>0</v>
      </c>
      <c r="V55" s="13">
        <f t="shared" si="8"/>
        <v>0</v>
      </c>
      <c r="W55" s="294">
        <f t="shared" si="9"/>
        <v>148</v>
      </c>
      <c r="X55" s="295">
        <f t="shared" si="10"/>
        <v>24.864000000000001</v>
      </c>
      <c r="Y55" s="101">
        <v>30</v>
      </c>
      <c r="Z55" s="101"/>
    </row>
    <row r="56" spans="1:26" x14ac:dyDescent="0.25">
      <c r="A56" s="277">
        <v>52</v>
      </c>
      <c r="B56" s="283" t="s">
        <v>188</v>
      </c>
      <c r="C56" s="264">
        <v>140</v>
      </c>
      <c r="D56" s="264">
        <v>240</v>
      </c>
      <c r="E56" s="264">
        <v>10</v>
      </c>
      <c r="F56" s="19">
        <f t="shared" si="5"/>
        <v>0.33600000000000002</v>
      </c>
      <c r="G56" s="296">
        <v>72</v>
      </c>
      <c r="H56" s="299">
        <f t="shared" si="6"/>
        <v>24.192</v>
      </c>
      <c r="I56" s="290">
        <v>0</v>
      </c>
      <c r="J56" s="205">
        <f t="shared" ref="J56:J69" si="22">F56*I56</f>
        <v>0</v>
      </c>
      <c r="K56" s="290">
        <v>0</v>
      </c>
      <c r="L56" s="205">
        <f>F56*K56</f>
        <v>0</v>
      </c>
      <c r="M56" s="290">
        <v>0</v>
      </c>
      <c r="N56" s="205">
        <f t="shared" si="19"/>
        <v>0</v>
      </c>
      <c r="O56" s="290">
        <v>0</v>
      </c>
      <c r="P56" s="205">
        <f t="shared" si="20"/>
        <v>0</v>
      </c>
      <c r="Q56" s="290">
        <v>0</v>
      </c>
      <c r="R56" s="205">
        <f t="shared" si="21"/>
        <v>0</v>
      </c>
      <c r="S56" s="39">
        <f t="shared" si="7"/>
        <v>72</v>
      </c>
      <c r="T56" s="38">
        <f t="shared" si="4"/>
        <v>24.192</v>
      </c>
      <c r="U56" s="290">
        <v>0</v>
      </c>
      <c r="V56" s="13">
        <f t="shared" si="8"/>
        <v>0</v>
      </c>
      <c r="W56" s="294">
        <f t="shared" si="9"/>
        <v>72</v>
      </c>
      <c r="X56" s="295">
        <f t="shared" si="10"/>
        <v>24.192</v>
      </c>
      <c r="Y56" s="101">
        <v>20</v>
      </c>
      <c r="Z56" s="101"/>
    </row>
    <row r="57" spans="1:26" x14ac:dyDescent="0.25">
      <c r="A57" s="264">
        <v>53</v>
      </c>
      <c r="B57" s="101" t="s">
        <v>201</v>
      </c>
      <c r="C57" s="264">
        <v>52</v>
      </c>
      <c r="D57" s="264">
        <v>52</v>
      </c>
      <c r="E57" s="264">
        <v>5</v>
      </c>
      <c r="F57" s="19">
        <f t="shared" si="5"/>
        <v>1.3520000000000001E-2</v>
      </c>
      <c r="G57" s="296">
        <v>78</v>
      </c>
      <c r="H57" s="299">
        <f t="shared" si="6"/>
        <v>1.0545600000000002</v>
      </c>
      <c r="I57" s="290">
        <v>0</v>
      </c>
      <c r="J57" s="205">
        <f t="shared" si="22"/>
        <v>0</v>
      </c>
      <c r="K57" s="290">
        <v>0</v>
      </c>
      <c r="L57" s="205">
        <f t="shared" ref="L57:L65" si="23">F57*K57</f>
        <v>0</v>
      </c>
      <c r="M57" s="290">
        <v>0</v>
      </c>
      <c r="N57" s="205">
        <f t="shared" si="19"/>
        <v>0</v>
      </c>
      <c r="O57" s="290">
        <v>0</v>
      </c>
      <c r="P57" s="205">
        <f t="shared" si="20"/>
        <v>0</v>
      </c>
      <c r="Q57" s="290">
        <v>0</v>
      </c>
      <c r="R57" s="205">
        <f t="shared" si="21"/>
        <v>0</v>
      </c>
      <c r="S57" s="39">
        <f t="shared" si="7"/>
        <v>78</v>
      </c>
      <c r="T57" s="38">
        <f t="shared" si="4"/>
        <v>1.0545600000000002</v>
      </c>
      <c r="U57" s="290">
        <v>0</v>
      </c>
      <c r="V57" s="13">
        <f t="shared" si="8"/>
        <v>0</v>
      </c>
      <c r="W57" s="294">
        <f t="shared" si="9"/>
        <v>78</v>
      </c>
      <c r="X57" s="295">
        <f t="shared" si="10"/>
        <v>1.0545600000000002</v>
      </c>
      <c r="Y57" s="101"/>
      <c r="Z57" s="101"/>
    </row>
    <row r="58" spans="1:26" x14ac:dyDescent="0.25">
      <c r="A58" s="264">
        <v>54</v>
      </c>
      <c r="B58" s="101" t="s">
        <v>193</v>
      </c>
      <c r="C58" s="264">
        <v>80</v>
      </c>
      <c r="D58" s="264">
        <v>75</v>
      </c>
      <c r="E58" s="264">
        <v>5</v>
      </c>
      <c r="F58" s="19">
        <f t="shared" si="5"/>
        <v>0.03</v>
      </c>
      <c r="G58" s="264">
        <v>170</v>
      </c>
      <c r="H58" s="299">
        <f t="shared" si="6"/>
        <v>5.0999999999999996</v>
      </c>
      <c r="I58" s="290">
        <v>0</v>
      </c>
      <c r="J58" s="205">
        <f t="shared" si="22"/>
        <v>0</v>
      </c>
      <c r="K58" s="290">
        <v>0</v>
      </c>
      <c r="L58" s="205">
        <f t="shared" si="23"/>
        <v>0</v>
      </c>
      <c r="M58" s="290">
        <v>0</v>
      </c>
      <c r="N58" s="205">
        <f t="shared" si="19"/>
        <v>0</v>
      </c>
      <c r="O58" s="290">
        <v>0</v>
      </c>
      <c r="P58" s="205">
        <f t="shared" si="20"/>
        <v>0</v>
      </c>
      <c r="Q58" s="290">
        <v>0</v>
      </c>
      <c r="R58" s="205">
        <f t="shared" si="21"/>
        <v>0</v>
      </c>
      <c r="S58" s="39">
        <f t="shared" si="7"/>
        <v>170</v>
      </c>
      <c r="T58" s="38">
        <f t="shared" si="4"/>
        <v>5.0999999999999996</v>
      </c>
      <c r="U58" s="290">
        <v>0</v>
      </c>
      <c r="V58" s="308">
        <f t="shared" si="8"/>
        <v>0</v>
      </c>
      <c r="W58" s="294">
        <f t="shared" si="9"/>
        <v>170</v>
      </c>
      <c r="X58" s="300">
        <f t="shared" si="10"/>
        <v>5.0999999999999996</v>
      </c>
      <c r="Y58" s="101"/>
      <c r="Z58" s="101"/>
    </row>
    <row r="59" spans="1:26" x14ac:dyDescent="0.25">
      <c r="A59" s="264">
        <v>55</v>
      </c>
      <c r="B59" s="101" t="s">
        <v>194</v>
      </c>
      <c r="C59" s="264">
        <v>58</v>
      </c>
      <c r="D59" s="264">
        <v>25</v>
      </c>
      <c r="E59" s="264">
        <v>3</v>
      </c>
      <c r="F59" s="298">
        <f t="shared" si="5"/>
        <v>4.3499999999999997E-3</v>
      </c>
      <c r="G59" s="264">
        <v>0</v>
      </c>
      <c r="H59" s="299">
        <f t="shared" si="6"/>
        <v>0</v>
      </c>
      <c r="I59" s="290">
        <v>0</v>
      </c>
      <c r="J59" s="205">
        <f t="shared" si="22"/>
        <v>0</v>
      </c>
      <c r="K59" s="290">
        <v>0</v>
      </c>
      <c r="L59" s="205">
        <f t="shared" si="23"/>
        <v>0</v>
      </c>
      <c r="M59" s="290">
        <v>0</v>
      </c>
      <c r="N59" s="205">
        <f t="shared" si="19"/>
        <v>0</v>
      </c>
      <c r="O59" s="290">
        <v>0</v>
      </c>
      <c r="P59" s="205">
        <f t="shared" si="20"/>
        <v>0</v>
      </c>
      <c r="Q59" s="290">
        <v>0</v>
      </c>
      <c r="R59" s="205">
        <f>F59*Q59</f>
        <v>0</v>
      </c>
      <c r="S59" s="39">
        <f t="shared" si="7"/>
        <v>0</v>
      </c>
      <c r="T59" s="38">
        <f t="shared" si="4"/>
        <v>0</v>
      </c>
      <c r="U59" s="290">
        <v>0</v>
      </c>
      <c r="V59" s="309">
        <f t="shared" si="8"/>
        <v>0</v>
      </c>
      <c r="W59" s="294">
        <f t="shared" si="9"/>
        <v>0</v>
      </c>
      <c r="X59" s="300">
        <f t="shared" si="10"/>
        <v>0</v>
      </c>
      <c r="Y59" s="101"/>
      <c r="Z59" s="101"/>
    </row>
    <row r="60" spans="1:26" x14ac:dyDescent="0.25">
      <c r="A60" s="264">
        <v>56</v>
      </c>
      <c r="B60" s="101" t="s">
        <v>195</v>
      </c>
      <c r="C60" s="264">
        <v>64</v>
      </c>
      <c r="D60" s="264">
        <v>58</v>
      </c>
      <c r="E60" s="264">
        <v>5</v>
      </c>
      <c r="F60" s="298">
        <f t="shared" si="5"/>
        <v>1.856E-2</v>
      </c>
      <c r="G60" s="264">
        <v>130</v>
      </c>
      <c r="H60" s="299">
        <f t="shared" si="6"/>
        <v>2.4127999999999998</v>
      </c>
      <c r="I60" s="290">
        <v>0</v>
      </c>
      <c r="J60" s="205">
        <f t="shared" si="22"/>
        <v>0</v>
      </c>
      <c r="K60" s="290">
        <v>0</v>
      </c>
      <c r="L60" s="205">
        <f t="shared" si="23"/>
        <v>0</v>
      </c>
      <c r="M60" s="290">
        <v>0</v>
      </c>
      <c r="N60" s="205">
        <f t="shared" si="19"/>
        <v>0</v>
      </c>
      <c r="O60" s="290">
        <v>0</v>
      </c>
      <c r="P60" s="205">
        <f t="shared" si="20"/>
        <v>0</v>
      </c>
      <c r="Q60" s="290">
        <v>0</v>
      </c>
      <c r="R60" s="205">
        <f t="shared" ref="R60:R65" si="24">F60*Q60</f>
        <v>0</v>
      </c>
      <c r="S60" s="39">
        <f t="shared" si="7"/>
        <v>130</v>
      </c>
      <c r="T60" s="38">
        <f t="shared" si="4"/>
        <v>2.4127999999999998</v>
      </c>
      <c r="U60" s="290">
        <v>0</v>
      </c>
      <c r="V60" s="309">
        <f t="shared" si="8"/>
        <v>0</v>
      </c>
      <c r="W60" s="294">
        <f t="shared" si="9"/>
        <v>130</v>
      </c>
      <c r="X60" s="301">
        <f t="shared" si="10"/>
        <v>2.4127999999999998</v>
      </c>
      <c r="Y60" s="101"/>
      <c r="Z60" s="101"/>
    </row>
    <row r="61" spans="1:26" x14ac:dyDescent="0.25">
      <c r="A61" s="264">
        <v>57</v>
      </c>
      <c r="B61" s="101" t="s">
        <v>197</v>
      </c>
      <c r="C61" s="264">
        <v>65</v>
      </c>
      <c r="D61" s="264">
        <v>65</v>
      </c>
      <c r="E61" s="264">
        <v>5</v>
      </c>
      <c r="F61" s="101">
        <f t="shared" si="5"/>
        <v>2.1125000000000001E-2</v>
      </c>
      <c r="G61" s="264">
        <v>252</v>
      </c>
      <c r="H61" s="299">
        <f t="shared" si="6"/>
        <v>5.3235000000000001</v>
      </c>
      <c r="I61" s="290">
        <v>0</v>
      </c>
      <c r="J61" s="205">
        <f t="shared" si="22"/>
        <v>0</v>
      </c>
      <c r="K61" s="290">
        <v>0</v>
      </c>
      <c r="L61" s="205">
        <f t="shared" si="23"/>
        <v>0</v>
      </c>
      <c r="M61" s="290">
        <v>0</v>
      </c>
      <c r="N61" s="174">
        <f t="shared" si="19"/>
        <v>0</v>
      </c>
      <c r="O61" s="290">
        <v>0</v>
      </c>
      <c r="P61" s="205">
        <f t="shared" si="20"/>
        <v>0</v>
      </c>
      <c r="Q61" s="290">
        <v>0</v>
      </c>
      <c r="R61" s="205">
        <f t="shared" si="24"/>
        <v>0</v>
      </c>
      <c r="S61" s="39">
        <f t="shared" si="7"/>
        <v>252</v>
      </c>
      <c r="T61" s="38">
        <f t="shared" si="4"/>
        <v>5.3235000000000001</v>
      </c>
      <c r="U61" s="290">
        <v>0</v>
      </c>
      <c r="V61" s="309">
        <f t="shared" si="8"/>
        <v>0</v>
      </c>
      <c r="W61" s="294">
        <f t="shared" si="9"/>
        <v>252</v>
      </c>
      <c r="X61" s="300">
        <f t="shared" si="10"/>
        <v>5.3235000000000001</v>
      </c>
      <c r="Y61" s="101"/>
      <c r="Z61" s="101"/>
    </row>
    <row r="62" spans="1:26" x14ac:dyDescent="0.25">
      <c r="A62" s="264">
        <v>58</v>
      </c>
      <c r="B62" s="101" t="s">
        <v>198</v>
      </c>
      <c r="C62" s="264">
        <v>83</v>
      </c>
      <c r="D62" s="264">
        <v>55</v>
      </c>
      <c r="E62" s="264">
        <v>3</v>
      </c>
      <c r="F62" s="101">
        <f t="shared" si="5"/>
        <v>1.3695000000000001E-2</v>
      </c>
      <c r="G62" s="264">
        <v>225</v>
      </c>
      <c r="H62" s="299">
        <f t="shared" si="6"/>
        <v>3.081375</v>
      </c>
      <c r="I62" s="290">
        <v>0</v>
      </c>
      <c r="J62" s="205">
        <f t="shared" si="22"/>
        <v>0</v>
      </c>
      <c r="K62" s="290">
        <v>0</v>
      </c>
      <c r="L62" s="205">
        <f t="shared" si="23"/>
        <v>0</v>
      </c>
      <c r="M62" s="290">
        <v>0</v>
      </c>
      <c r="N62" s="174">
        <f t="shared" si="19"/>
        <v>0</v>
      </c>
      <c r="O62" s="290">
        <v>0</v>
      </c>
      <c r="P62" s="205">
        <f t="shared" si="20"/>
        <v>0</v>
      </c>
      <c r="Q62" s="290">
        <v>0</v>
      </c>
      <c r="R62" s="205">
        <f t="shared" si="24"/>
        <v>0</v>
      </c>
      <c r="S62" s="39">
        <f t="shared" si="7"/>
        <v>225</v>
      </c>
      <c r="T62" s="38">
        <f t="shared" si="4"/>
        <v>3.081375</v>
      </c>
      <c r="U62" s="290">
        <v>0</v>
      </c>
      <c r="V62" s="309">
        <f t="shared" si="8"/>
        <v>0</v>
      </c>
      <c r="W62" s="294">
        <f t="shared" si="9"/>
        <v>225</v>
      </c>
      <c r="X62" s="300">
        <f t="shared" si="10"/>
        <v>3.081375</v>
      </c>
      <c r="Y62" s="101"/>
      <c r="Z62" s="101"/>
    </row>
    <row r="63" spans="1:26" x14ac:dyDescent="0.25">
      <c r="A63" s="264">
        <v>59</v>
      </c>
      <c r="B63" s="101" t="s">
        <v>199</v>
      </c>
      <c r="C63" s="264">
        <v>75</v>
      </c>
      <c r="D63" s="264">
        <v>55</v>
      </c>
      <c r="E63" s="264">
        <v>3</v>
      </c>
      <c r="F63" s="101">
        <f t="shared" si="5"/>
        <v>1.2375000000000001E-2</v>
      </c>
      <c r="G63" s="264">
        <v>200</v>
      </c>
      <c r="H63" s="299">
        <f t="shared" si="6"/>
        <v>2.4750000000000001</v>
      </c>
      <c r="I63" s="290">
        <v>0</v>
      </c>
      <c r="J63" s="205">
        <f t="shared" si="22"/>
        <v>0</v>
      </c>
      <c r="K63" s="290">
        <v>0</v>
      </c>
      <c r="L63" s="205">
        <f t="shared" si="23"/>
        <v>0</v>
      </c>
      <c r="M63" s="290">
        <v>0</v>
      </c>
      <c r="N63" s="174">
        <f t="shared" si="19"/>
        <v>0</v>
      </c>
      <c r="O63" s="290">
        <v>0</v>
      </c>
      <c r="P63" s="205">
        <f t="shared" si="20"/>
        <v>0</v>
      </c>
      <c r="Q63" s="290">
        <v>0</v>
      </c>
      <c r="R63" s="205">
        <f t="shared" si="24"/>
        <v>0</v>
      </c>
      <c r="S63" s="39">
        <f t="shared" si="7"/>
        <v>200</v>
      </c>
      <c r="T63" s="38">
        <f t="shared" si="4"/>
        <v>2.4750000000000001</v>
      </c>
      <c r="U63" s="290">
        <v>0</v>
      </c>
      <c r="V63" s="309">
        <f t="shared" si="8"/>
        <v>0</v>
      </c>
      <c r="W63" s="294">
        <f t="shared" si="9"/>
        <v>200</v>
      </c>
      <c r="X63" s="300">
        <f t="shared" si="10"/>
        <v>2.4750000000000001</v>
      </c>
      <c r="Y63" s="101"/>
      <c r="Z63" s="101"/>
    </row>
    <row r="64" spans="1:26" x14ac:dyDescent="0.25">
      <c r="A64" s="264">
        <v>60</v>
      </c>
      <c r="B64" s="101" t="s">
        <v>200</v>
      </c>
      <c r="C64" s="264">
        <v>58</v>
      </c>
      <c r="D64" s="264">
        <v>19</v>
      </c>
      <c r="E64" s="264">
        <v>3</v>
      </c>
      <c r="F64" s="101">
        <f t="shared" si="5"/>
        <v>3.3059999999999999E-3</v>
      </c>
      <c r="G64" s="264">
        <v>180</v>
      </c>
      <c r="H64" s="299">
        <f t="shared" si="6"/>
        <v>0.59507999999999994</v>
      </c>
      <c r="I64" s="290">
        <v>0</v>
      </c>
      <c r="J64" s="205">
        <f t="shared" si="22"/>
        <v>0</v>
      </c>
      <c r="K64" s="290">
        <v>0</v>
      </c>
      <c r="L64" s="205">
        <f t="shared" si="23"/>
        <v>0</v>
      </c>
      <c r="M64" s="290">
        <v>0</v>
      </c>
      <c r="N64" s="174">
        <f t="shared" si="19"/>
        <v>0</v>
      </c>
      <c r="O64" s="290">
        <v>0</v>
      </c>
      <c r="P64" s="205">
        <f t="shared" si="20"/>
        <v>0</v>
      </c>
      <c r="Q64" s="290">
        <v>0</v>
      </c>
      <c r="R64" s="205">
        <f t="shared" si="24"/>
        <v>0</v>
      </c>
      <c r="S64" s="39">
        <f t="shared" si="7"/>
        <v>180</v>
      </c>
      <c r="T64" s="38">
        <f t="shared" si="4"/>
        <v>0.59507999999999994</v>
      </c>
      <c r="U64" s="290">
        <v>0</v>
      </c>
      <c r="V64" s="309">
        <f t="shared" si="8"/>
        <v>0</v>
      </c>
      <c r="W64" s="294">
        <f t="shared" si="9"/>
        <v>180</v>
      </c>
      <c r="X64" s="300">
        <f t="shared" si="10"/>
        <v>0.59507999999999994</v>
      </c>
      <c r="Y64" s="101"/>
      <c r="Z64" s="101"/>
    </row>
    <row r="65" spans="1:26" x14ac:dyDescent="0.25">
      <c r="A65" s="264">
        <v>61</v>
      </c>
      <c r="B65" s="101" t="s">
        <v>202</v>
      </c>
      <c r="C65" s="264">
        <v>140</v>
      </c>
      <c r="D65" s="264">
        <v>240</v>
      </c>
      <c r="E65" s="264">
        <v>4</v>
      </c>
      <c r="F65" s="101">
        <f t="shared" si="5"/>
        <v>0.13439999999999999</v>
      </c>
      <c r="G65" s="264">
        <v>42</v>
      </c>
      <c r="H65" s="299">
        <f t="shared" si="6"/>
        <v>5.6448</v>
      </c>
      <c r="I65" s="290">
        <v>7</v>
      </c>
      <c r="J65" s="205">
        <f t="shared" si="22"/>
        <v>0.94079999999999997</v>
      </c>
      <c r="K65" s="290">
        <v>1</v>
      </c>
      <c r="L65" s="205">
        <f t="shared" si="23"/>
        <v>0.13439999999999999</v>
      </c>
      <c r="M65" s="290">
        <v>0</v>
      </c>
      <c r="N65" s="174">
        <f t="shared" si="19"/>
        <v>0</v>
      </c>
      <c r="O65" s="290">
        <v>0</v>
      </c>
      <c r="P65" s="205">
        <f t="shared" si="20"/>
        <v>0</v>
      </c>
      <c r="Q65" s="290">
        <v>0</v>
      </c>
      <c r="R65" s="205">
        <f t="shared" si="24"/>
        <v>0</v>
      </c>
      <c r="S65" s="39">
        <f t="shared" si="7"/>
        <v>34</v>
      </c>
      <c r="T65" s="38">
        <f t="shared" si="4"/>
        <v>4.5695999999999994</v>
      </c>
      <c r="U65" s="290">
        <v>0</v>
      </c>
      <c r="V65" s="309">
        <f t="shared" si="8"/>
        <v>0</v>
      </c>
      <c r="W65" s="294">
        <f t="shared" si="9"/>
        <v>34</v>
      </c>
      <c r="X65" s="300">
        <f t="shared" si="10"/>
        <v>4.5695999999999994</v>
      </c>
      <c r="Y65" s="101"/>
      <c r="Z65" s="101"/>
    </row>
    <row r="66" spans="1:26" x14ac:dyDescent="0.25">
      <c r="A66" s="264">
        <v>62</v>
      </c>
      <c r="B66" s="101" t="s">
        <v>203</v>
      </c>
      <c r="C66" s="264">
        <v>50</v>
      </c>
      <c r="D66" s="264">
        <v>46.5</v>
      </c>
      <c r="E66" s="264">
        <v>3</v>
      </c>
      <c r="F66" s="101">
        <f t="shared" si="5"/>
        <v>6.9750000000000003E-3</v>
      </c>
      <c r="G66" s="264">
        <v>1030</v>
      </c>
      <c r="H66" s="289">
        <f t="shared" si="6"/>
        <v>7.1842500000000005</v>
      </c>
      <c r="I66" s="290">
        <v>0</v>
      </c>
      <c r="J66" s="205">
        <f t="shared" si="22"/>
        <v>0</v>
      </c>
      <c r="K66" s="290">
        <v>0</v>
      </c>
      <c r="L66" s="101"/>
      <c r="M66" s="290">
        <v>0</v>
      </c>
      <c r="N66" s="264">
        <f t="shared" si="19"/>
        <v>0</v>
      </c>
      <c r="O66" s="290">
        <v>0</v>
      </c>
      <c r="P66" s="264">
        <f t="shared" si="20"/>
        <v>0</v>
      </c>
      <c r="Q66" s="290">
        <v>0</v>
      </c>
      <c r="R66" s="101"/>
      <c r="S66" s="39">
        <f t="shared" si="7"/>
        <v>1030</v>
      </c>
      <c r="T66" s="38">
        <f t="shared" si="4"/>
        <v>7.1842500000000005</v>
      </c>
      <c r="U66" s="290">
        <v>0</v>
      </c>
      <c r="V66" s="309">
        <f t="shared" si="8"/>
        <v>0</v>
      </c>
      <c r="W66" s="294">
        <f t="shared" si="9"/>
        <v>1030</v>
      </c>
      <c r="X66" s="300">
        <f t="shared" si="10"/>
        <v>7.1842500000000005</v>
      </c>
      <c r="Y66" s="101"/>
      <c r="Z66" s="101"/>
    </row>
    <row r="67" spans="1:26" x14ac:dyDescent="0.25">
      <c r="A67" s="264">
        <v>63</v>
      </c>
      <c r="B67" s="101" t="s">
        <v>204</v>
      </c>
      <c r="C67" s="264">
        <v>50</v>
      </c>
      <c r="D67" s="264">
        <v>35</v>
      </c>
      <c r="E67" s="264">
        <v>3</v>
      </c>
      <c r="F67" s="101">
        <f t="shared" si="5"/>
        <v>5.2500000000000003E-3</v>
      </c>
      <c r="G67" s="264">
        <v>1195</v>
      </c>
      <c r="H67" s="289">
        <f t="shared" si="6"/>
        <v>6.2737500000000006</v>
      </c>
      <c r="I67" s="290">
        <v>0</v>
      </c>
      <c r="J67" s="205">
        <f t="shared" si="22"/>
        <v>0</v>
      </c>
      <c r="K67" s="290">
        <v>0</v>
      </c>
      <c r="L67" s="205">
        <f t="shared" ref="L67" si="25">F67*K67</f>
        <v>0</v>
      </c>
      <c r="M67" s="290">
        <v>0</v>
      </c>
      <c r="N67" s="264">
        <f t="shared" si="19"/>
        <v>0</v>
      </c>
      <c r="O67" s="290">
        <v>0</v>
      </c>
      <c r="P67" s="264"/>
      <c r="Q67" s="290">
        <v>0</v>
      </c>
      <c r="R67" s="264"/>
      <c r="S67" s="39">
        <f t="shared" si="7"/>
        <v>1195</v>
      </c>
      <c r="T67" s="38">
        <f t="shared" si="4"/>
        <v>6.2737500000000006</v>
      </c>
      <c r="U67" s="290">
        <v>0</v>
      </c>
      <c r="V67" s="309">
        <f t="shared" si="8"/>
        <v>0</v>
      </c>
      <c r="W67" s="294">
        <f t="shared" si="9"/>
        <v>1195</v>
      </c>
      <c r="X67" s="300">
        <f t="shared" si="10"/>
        <v>6.2737500000000006</v>
      </c>
      <c r="Y67" s="101"/>
      <c r="Z67" s="101"/>
    </row>
    <row r="68" spans="1:26" x14ac:dyDescent="0.25">
      <c r="A68" s="264">
        <v>64</v>
      </c>
      <c r="B68" s="101" t="s">
        <v>205</v>
      </c>
      <c r="C68" s="264">
        <v>140</v>
      </c>
      <c r="D68" s="264">
        <v>240</v>
      </c>
      <c r="E68" s="264">
        <v>8</v>
      </c>
      <c r="F68" s="101">
        <f t="shared" si="5"/>
        <v>0.26879999999999998</v>
      </c>
      <c r="G68" s="264">
        <v>1</v>
      </c>
      <c r="H68" s="289">
        <f t="shared" si="6"/>
        <v>0.26879999999999998</v>
      </c>
      <c r="I68" s="290">
        <v>0</v>
      </c>
      <c r="J68" s="264">
        <f t="shared" si="22"/>
        <v>0</v>
      </c>
      <c r="K68" s="290">
        <v>0</v>
      </c>
      <c r="L68" s="264"/>
      <c r="M68" s="290">
        <v>0</v>
      </c>
      <c r="N68" s="264">
        <v>0</v>
      </c>
      <c r="O68" s="290">
        <v>0</v>
      </c>
      <c r="P68" s="264"/>
      <c r="Q68" s="290">
        <v>0</v>
      </c>
      <c r="R68" s="264">
        <v>0</v>
      </c>
      <c r="S68" s="39">
        <f t="shared" si="7"/>
        <v>1</v>
      </c>
      <c r="T68" s="38">
        <f t="shared" si="4"/>
        <v>0.26879999999999998</v>
      </c>
      <c r="U68" s="290">
        <v>0</v>
      </c>
      <c r="V68" s="309">
        <v>0</v>
      </c>
      <c r="W68" s="294">
        <f t="shared" si="9"/>
        <v>1</v>
      </c>
      <c r="X68" s="300">
        <f t="shared" si="10"/>
        <v>0.26879999999999998</v>
      </c>
      <c r="Y68" s="101"/>
      <c r="Z68" s="101"/>
    </row>
    <row r="69" spans="1:26" x14ac:dyDescent="0.25">
      <c r="A69" s="264">
        <v>65</v>
      </c>
      <c r="B69" s="101" t="s">
        <v>206</v>
      </c>
      <c r="C69" s="264">
        <v>140</v>
      </c>
      <c r="D69" s="264">
        <v>240</v>
      </c>
      <c r="E69" s="264">
        <v>2</v>
      </c>
      <c r="F69" s="101">
        <f t="shared" si="5"/>
        <v>6.7199999999999996E-2</v>
      </c>
      <c r="G69" s="264">
        <v>70</v>
      </c>
      <c r="H69" s="289">
        <f t="shared" si="6"/>
        <v>4.7039999999999997</v>
      </c>
      <c r="I69" s="290">
        <v>0</v>
      </c>
      <c r="J69" s="264">
        <f t="shared" si="22"/>
        <v>0</v>
      </c>
      <c r="K69" s="290">
        <v>0</v>
      </c>
      <c r="L69" s="264"/>
      <c r="M69" s="290">
        <v>0</v>
      </c>
      <c r="N69" s="174">
        <v>0</v>
      </c>
      <c r="O69" s="290">
        <v>0</v>
      </c>
      <c r="P69" s="264">
        <f t="shared" ref="P69" si="26">F69*O69</f>
        <v>0</v>
      </c>
      <c r="Q69" s="290">
        <v>0</v>
      </c>
      <c r="R69" s="205">
        <f t="shared" ref="R69" si="27">F69*Q69</f>
        <v>0</v>
      </c>
      <c r="S69" s="39">
        <f t="shared" si="7"/>
        <v>70</v>
      </c>
      <c r="T69" s="38">
        <f t="shared" ref="T69:T70" si="28">F69*S69</f>
        <v>4.7039999999999997</v>
      </c>
      <c r="U69" s="290">
        <v>0</v>
      </c>
      <c r="V69" s="309">
        <v>0</v>
      </c>
      <c r="W69" s="294">
        <f t="shared" si="9"/>
        <v>70</v>
      </c>
      <c r="X69" s="300">
        <f t="shared" si="10"/>
        <v>4.7039999999999997</v>
      </c>
      <c r="Y69" s="101"/>
      <c r="Z69" s="101"/>
    </row>
    <row r="70" spans="1:26" x14ac:dyDescent="0.25">
      <c r="A70" s="264">
        <v>66</v>
      </c>
      <c r="B70" s="101"/>
      <c r="C70" s="264"/>
      <c r="D70" s="264"/>
      <c r="E70" s="264"/>
      <c r="F70" s="101"/>
      <c r="G70" s="264"/>
      <c r="H70" s="289"/>
      <c r="I70" s="290">
        <v>0</v>
      </c>
      <c r="J70" s="264"/>
      <c r="K70" s="290">
        <v>0</v>
      </c>
      <c r="L70" s="264"/>
      <c r="M70" s="290">
        <v>0</v>
      </c>
      <c r="N70" s="264">
        <f t="shared" si="19"/>
        <v>0</v>
      </c>
      <c r="O70" s="290">
        <v>0</v>
      </c>
      <c r="P70" s="264"/>
      <c r="Q70" s="290">
        <v>0</v>
      </c>
      <c r="R70" s="264"/>
      <c r="S70" s="39">
        <f t="shared" ref="S70" si="29">G70-I70-K70-M70-O70-Q70</f>
        <v>0</v>
      </c>
      <c r="T70" s="38">
        <f t="shared" si="28"/>
        <v>0</v>
      </c>
      <c r="U70" s="290">
        <v>0</v>
      </c>
      <c r="V70" s="309">
        <f t="shared" ref="V70" si="30">F70*U70</f>
        <v>0</v>
      </c>
      <c r="W70" s="294">
        <f t="shared" ref="W70" si="31">S70+U70</f>
        <v>0</v>
      </c>
      <c r="X70" s="300">
        <f t="shared" ref="X70" si="32">F70*W70</f>
        <v>0</v>
      </c>
      <c r="Y70" s="101"/>
      <c r="Z70" s="101"/>
    </row>
    <row r="71" spans="1:26" x14ac:dyDescent="0.2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spans="1:26" x14ac:dyDescent="0.2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1:26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1:26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1:26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1:26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1:26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1:26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</sheetData>
  <mergeCells count="24">
    <mergeCell ref="S4:T4"/>
    <mergeCell ref="U4:V4"/>
    <mergeCell ref="W4:X4"/>
    <mergeCell ref="G4:H4"/>
    <mergeCell ref="I4:J4"/>
    <mergeCell ref="K4:L4"/>
    <mergeCell ref="M4:N4"/>
    <mergeCell ref="O4:P4"/>
    <mergeCell ref="Q4:R4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C1:H1"/>
    <mergeCell ref="G2:H3"/>
    <mergeCell ref="I2:J2"/>
    <mergeCell ref="K2:L2"/>
    <mergeCell ref="M2:N2"/>
  </mergeCell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Z78"/>
  <sheetViews>
    <sheetView topLeftCell="A10" workbookViewId="0">
      <selection activeCell="G18" sqref="G18"/>
    </sheetView>
  </sheetViews>
  <sheetFormatPr defaultRowHeight="15" x14ac:dyDescent="0.25"/>
  <cols>
    <col min="1" max="1" width="5" customWidth="1"/>
    <col min="2" max="2" width="32" style="3" customWidth="1"/>
    <col min="3" max="3" width="11.7109375" style="2" hidden="1" customWidth="1"/>
    <col min="4" max="4" width="11.85546875" style="2" hidden="1" customWidth="1"/>
    <col min="5" max="5" width="12.5703125" style="2" hidden="1" customWidth="1"/>
    <col min="6" max="6" width="16.140625" style="4" hidden="1" customWidth="1"/>
    <col min="7" max="7" width="7.5703125" style="5" customWidth="1"/>
    <col min="8" max="8" width="9" style="5" customWidth="1"/>
    <col min="9" max="9" width="6" style="2" customWidth="1"/>
    <col min="10" max="10" width="7.140625" style="2" customWidth="1"/>
    <col min="11" max="11" width="6.28515625" style="2" customWidth="1"/>
    <col min="12" max="12" width="8" style="2" customWidth="1"/>
    <col min="13" max="20" width="6.42578125" style="2" customWidth="1"/>
    <col min="21" max="24" width="6.42578125" customWidth="1"/>
    <col min="25" max="25" width="10.28515625" customWidth="1"/>
  </cols>
  <sheetData>
    <row r="1" spans="1:26" ht="15.75" thickBot="1" x14ac:dyDescent="0.3">
      <c r="B1" s="4" t="s">
        <v>18</v>
      </c>
      <c r="C1" s="384" t="s">
        <v>209</v>
      </c>
      <c r="D1" s="320"/>
      <c r="E1" s="320"/>
      <c r="F1" s="320"/>
      <c r="G1" s="320"/>
      <c r="H1" s="320"/>
      <c r="Y1" s="314">
        <v>45656</v>
      </c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45723</v>
      </c>
      <c r="J2" s="326"/>
      <c r="K2" s="327">
        <v>45730</v>
      </c>
      <c r="L2" s="328"/>
      <c r="M2" s="325">
        <v>45737</v>
      </c>
      <c r="N2" s="329"/>
      <c r="O2" s="327">
        <v>45744</v>
      </c>
      <c r="P2" s="346"/>
      <c r="Q2" s="325">
        <v>0</v>
      </c>
      <c r="R2" s="329"/>
      <c r="S2" s="330" t="s">
        <v>69</v>
      </c>
      <c r="T2" s="331"/>
      <c r="U2" s="334" t="s">
        <v>70</v>
      </c>
      <c r="V2" s="335"/>
      <c r="W2" s="385" t="s">
        <v>71</v>
      </c>
      <c r="X2" s="386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87"/>
      <c r="X3" s="388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89" t="s">
        <v>63</v>
      </c>
      <c r="X4" s="390"/>
      <c r="Y4" s="268" t="s">
        <v>179</v>
      </c>
      <c r="Z4" s="269" t="s">
        <v>99</v>
      </c>
    </row>
    <row r="5" spans="1:26" x14ac:dyDescent="0.25">
      <c r="A5" s="263">
        <v>1</v>
      </c>
      <c r="B5" s="256" t="s">
        <v>134</v>
      </c>
      <c r="C5" s="32">
        <v>70</v>
      </c>
      <c r="D5" s="33">
        <v>64</v>
      </c>
      <c r="E5" s="33">
        <v>8</v>
      </c>
      <c r="F5" s="15">
        <f>(C5*D5*E5)/1000000</f>
        <v>3.5839999999999997E-2</v>
      </c>
      <c r="G5" s="286">
        <v>233</v>
      </c>
      <c r="H5" s="287">
        <f>F5*G5</f>
        <v>8.350719999999999</v>
      </c>
      <c r="I5" s="290">
        <v>0</v>
      </c>
      <c r="J5" s="205">
        <f t="shared" ref="J5:R55" si="0">F5*I5</f>
        <v>0</v>
      </c>
      <c r="K5" s="290">
        <v>0</v>
      </c>
      <c r="L5" s="205">
        <f>F5*K5</f>
        <v>0</v>
      </c>
      <c r="M5" s="290">
        <v>0</v>
      </c>
      <c r="N5" s="205">
        <f t="shared" ref="N5:N10" si="1">F5*M5</f>
        <v>0</v>
      </c>
      <c r="O5" s="290">
        <v>0</v>
      </c>
      <c r="P5" s="205">
        <f t="shared" ref="P5:P10" si="2">F5*O5</f>
        <v>0</v>
      </c>
      <c r="Q5" s="290">
        <v>0</v>
      </c>
      <c r="R5" s="205">
        <f t="shared" ref="R5:R11" si="3">F5*Q5</f>
        <v>0</v>
      </c>
      <c r="S5" s="39">
        <f>G5-I5-K5-M5-O5-Q5</f>
        <v>233</v>
      </c>
      <c r="T5" s="38">
        <f t="shared" ref="T5:T68" si="4">F5*S5</f>
        <v>8.350719999999999</v>
      </c>
      <c r="U5" s="290">
        <v>0</v>
      </c>
      <c r="V5" s="13">
        <f>F5*U5</f>
        <v>0</v>
      </c>
      <c r="W5" s="294">
        <f>S5+U5</f>
        <v>233</v>
      </c>
      <c r="X5" s="295">
        <f>F5*W5</f>
        <v>8.350719999999999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135</v>
      </c>
      <c r="C6" s="34">
        <v>70</v>
      </c>
      <c r="D6" s="35">
        <v>80</v>
      </c>
      <c r="E6" s="35">
        <v>8</v>
      </c>
      <c r="F6" s="19">
        <f t="shared" ref="F6:F69" si="5">(C6*D6*E6)/1000000</f>
        <v>4.48E-2</v>
      </c>
      <c r="G6" s="286">
        <v>214</v>
      </c>
      <c r="H6" s="288">
        <f t="shared" ref="H6:H69" si="6">F6*G6</f>
        <v>9.5871999999999993</v>
      </c>
      <c r="I6" s="290">
        <v>23</v>
      </c>
      <c r="J6" s="205">
        <f t="shared" si="0"/>
        <v>1.0304</v>
      </c>
      <c r="K6" s="290">
        <v>4</v>
      </c>
      <c r="L6" s="205">
        <f>F6*K6</f>
        <v>0.1792</v>
      </c>
      <c r="M6" s="290">
        <v>0</v>
      </c>
      <c r="N6" s="205">
        <f t="shared" si="1"/>
        <v>0</v>
      </c>
      <c r="O6" s="290">
        <v>0</v>
      </c>
      <c r="P6" s="205">
        <f t="shared" si="2"/>
        <v>0</v>
      </c>
      <c r="Q6" s="290">
        <v>0</v>
      </c>
      <c r="R6" s="205">
        <f t="shared" si="3"/>
        <v>0</v>
      </c>
      <c r="S6" s="39">
        <f t="shared" ref="S6:S69" si="7">G6-I6-K6-M6-O6-Q6</f>
        <v>187</v>
      </c>
      <c r="T6" s="38">
        <f t="shared" si="4"/>
        <v>8.3775999999999993</v>
      </c>
      <c r="U6" s="290">
        <v>0</v>
      </c>
      <c r="V6" s="13">
        <f t="shared" ref="V6:V67" si="8">F6*U6</f>
        <v>0</v>
      </c>
      <c r="W6" s="294">
        <f t="shared" ref="W6:W69" si="9">S6+U6</f>
        <v>187</v>
      </c>
      <c r="X6" s="295">
        <f t="shared" ref="X6:X69" si="10">F6*W6</f>
        <v>8.3775999999999993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136</v>
      </c>
      <c r="C7" s="34">
        <v>70</v>
      </c>
      <c r="D7" s="35">
        <v>74</v>
      </c>
      <c r="E7" s="35">
        <v>8</v>
      </c>
      <c r="F7" s="19">
        <f t="shared" si="5"/>
        <v>4.1439999999999998E-2</v>
      </c>
      <c r="G7" s="286">
        <v>187</v>
      </c>
      <c r="H7" s="288">
        <f t="shared" si="6"/>
        <v>7.7492799999999997</v>
      </c>
      <c r="I7" s="290">
        <v>0</v>
      </c>
      <c r="J7" s="205">
        <f t="shared" si="0"/>
        <v>0</v>
      </c>
      <c r="K7" s="290">
        <v>0</v>
      </c>
      <c r="L7" s="205">
        <f>F7*K7</f>
        <v>0</v>
      </c>
      <c r="M7" s="290">
        <v>0</v>
      </c>
      <c r="N7" s="205">
        <f t="shared" si="1"/>
        <v>0</v>
      </c>
      <c r="O7" s="290">
        <v>0</v>
      </c>
      <c r="P7" s="205">
        <f t="shared" si="2"/>
        <v>0</v>
      </c>
      <c r="Q7" s="290">
        <v>0</v>
      </c>
      <c r="R7" s="205">
        <f t="shared" si="3"/>
        <v>0</v>
      </c>
      <c r="S7" s="39">
        <f t="shared" si="7"/>
        <v>187</v>
      </c>
      <c r="T7" s="38">
        <f t="shared" si="4"/>
        <v>7.7492799999999997</v>
      </c>
      <c r="U7" s="290">
        <v>0</v>
      </c>
      <c r="V7" s="13">
        <f t="shared" si="8"/>
        <v>0</v>
      </c>
      <c r="W7" s="294">
        <f t="shared" si="9"/>
        <v>187</v>
      </c>
      <c r="X7" s="295">
        <f t="shared" si="10"/>
        <v>7.7492799999999997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208</v>
      </c>
      <c r="C8" s="34">
        <v>70</v>
      </c>
      <c r="D8" s="35">
        <v>88</v>
      </c>
      <c r="E8" s="35">
        <v>8</v>
      </c>
      <c r="F8" s="19">
        <f t="shared" si="5"/>
        <v>4.9279999999999997E-2</v>
      </c>
      <c r="G8" s="286">
        <v>265</v>
      </c>
      <c r="H8" s="288">
        <f t="shared" si="6"/>
        <v>13.059199999999999</v>
      </c>
      <c r="I8" s="290">
        <v>0</v>
      </c>
      <c r="J8" s="205">
        <f t="shared" si="0"/>
        <v>0</v>
      </c>
      <c r="K8" s="290">
        <v>4</v>
      </c>
      <c r="L8" s="205">
        <f>F8*K8</f>
        <v>0.19711999999999999</v>
      </c>
      <c r="M8" s="290">
        <v>0</v>
      </c>
      <c r="N8" s="205">
        <f t="shared" si="1"/>
        <v>0</v>
      </c>
      <c r="O8" s="290">
        <v>0</v>
      </c>
      <c r="P8" s="205">
        <f t="shared" si="2"/>
        <v>0</v>
      </c>
      <c r="Q8" s="290">
        <v>0</v>
      </c>
      <c r="R8" s="205">
        <f t="shared" si="3"/>
        <v>0</v>
      </c>
      <c r="S8" s="39">
        <f t="shared" si="7"/>
        <v>261</v>
      </c>
      <c r="T8" s="38">
        <f t="shared" si="4"/>
        <v>12.862079999999999</v>
      </c>
      <c r="U8" s="290">
        <v>0</v>
      </c>
      <c r="V8" s="13">
        <f t="shared" si="8"/>
        <v>0</v>
      </c>
      <c r="W8" s="294">
        <f t="shared" si="9"/>
        <v>261</v>
      </c>
      <c r="X8" s="295">
        <f t="shared" si="10"/>
        <v>12.862079999999999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138</v>
      </c>
      <c r="C9" s="34">
        <v>140</v>
      </c>
      <c r="D9" s="35">
        <v>240</v>
      </c>
      <c r="E9" s="35">
        <v>5</v>
      </c>
      <c r="F9" s="19">
        <f t="shared" si="5"/>
        <v>0.16800000000000001</v>
      </c>
      <c r="G9" s="286">
        <v>247</v>
      </c>
      <c r="H9" s="288">
        <f t="shared" si="6"/>
        <v>41.496000000000002</v>
      </c>
      <c r="I9" s="290">
        <v>28</v>
      </c>
      <c r="J9" s="205">
        <f t="shared" si="0"/>
        <v>4.7040000000000006</v>
      </c>
      <c r="K9" s="290">
        <v>5</v>
      </c>
      <c r="L9" s="205">
        <f>F9*K9</f>
        <v>0.84000000000000008</v>
      </c>
      <c r="M9" s="290">
        <v>8</v>
      </c>
      <c r="N9" s="205">
        <f t="shared" si="1"/>
        <v>1.3440000000000001</v>
      </c>
      <c r="O9" s="290">
        <v>9</v>
      </c>
      <c r="P9" s="205">
        <f t="shared" si="2"/>
        <v>1.512</v>
      </c>
      <c r="Q9" s="290">
        <v>0</v>
      </c>
      <c r="R9" s="205">
        <f t="shared" si="3"/>
        <v>0</v>
      </c>
      <c r="S9" s="39">
        <f t="shared" si="7"/>
        <v>197</v>
      </c>
      <c r="T9" s="38">
        <f t="shared" si="4"/>
        <v>33.096000000000004</v>
      </c>
      <c r="U9" s="290">
        <v>0</v>
      </c>
      <c r="V9" s="13">
        <f t="shared" si="8"/>
        <v>0</v>
      </c>
      <c r="W9" s="294">
        <f t="shared" si="9"/>
        <v>197</v>
      </c>
      <c r="X9" s="295">
        <f t="shared" si="10"/>
        <v>33.096000000000004</v>
      </c>
      <c r="Y9" s="238">
        <v>100</v>
      </c>
      <c r="Z9" s="101">
        <v>250</v>
      </c>
    </row>
    <row r="10" spans="1:26" x14ac:dyDescent="0.25">
      <c r="A10" s="264">
        <v>6</v>
      </c>
      <c r="B10" s="256" t="s">
        <v>139</v>
      </c>
      <c r="C10" s="34">
        <v>142</v>
      </c>
      <c r="D10" s="35">
        <v>67</v>
      </c>
      <c r="E10" s="35">
        <v>5</v>
      </c>
      <c r="F10" s="19">
        <f t="shared" si="5"/>
        <v>4.7570000000000001E-2</v>
      </c>
      <c r="G10" s="286">
        <v>0</v>
      </c>
      <c r="H10" s="288">
        <f t="shared" si="6"/>
        <v>0</v>
      </c>
      <c r="I10" s="290">
        <v>0</v>
      </c>
      <c r="J10" s="205">
        <f t="shared" si="0"/>
        <v>0</v>
      </c>
      <c r="K10" s="290">
        <v>0</v>
      </c>
      <c r="L10" s="205">
        <f t="shared" ref="L10" si="11">F10*K10</f>
        <v>0</v>
      </c>
      <c r="M10" s="290">
        <v>0</v>
      </c>
      <c r="N10" s="205">
        <f t="shared" si="1"/>
        <v>0</v>
      </c>
      <c r="O10" s="290">
        <v>0</v>
      </c>
      <c r="P10" s="205">
        <f t="shared" si="2"/>
        <v>0</v>
      </c>
      <c r="Q10" s="290">
        <v>0</v>
      </c>
      <c r="R10" s="205">
        <f t="shared" si="3"/>
        <v>0</v>
      </c>
      <c r="S10" s="39">
        <f t="shared" si="7"/>
        <v>0</v>
      </c>
      <c r="T10" s="38">
        <f t="shared" si="4"/>
        <v>0</v>
      </c>
      <c r="U10" s="290">
        <v>0</v>
      </c>
      <c r="V10" s="13">
        <f t="shared" si="8"/>
        <v>0</v>
      </c>
      <c r="W10" s="294">
        <f t="shared" si="9"/>
        <v>0</v>
      </c>
      <c r="X10" s="295">
        <f t="shared" si="10"/>
        <v>0</v>
      </c>
      <c r="Y10" s="238">
        <v>75</v>
      </c>
      <c r="Z10" s="101">
        <v>250</v>
      </c>
    </row>
    <row r="11" spans="1:26" x14ac:dyDescent="0.25">
      <c r="A11" s="264">
        <v>7</v>
      </c>
      <c r="B11" s="256" t="s">
        <v>207</v>
      </c>
      <c r="C11" s="34">
        <v>140</v>
      </c>
      <c r="D11" s="35">
        <v>240</v>
      </c>
      <c r="E11" s="35">
        <v>8</v>
      </c>
      <c r="F11" s="19">
        <f t="shared" si="5"/>
        <v>0.26879999999999998</v>
      </c>
      <c r="G11" s="286">
        <v>49</v>
      </c>
      <c r="H11" s="288">
        <f t="shared" si="6"/>
        <v>13.171199999999999</v>
      </c>
      <c r="I11" s="290">
        <v>0</v>
      </c>
      <c r="J11" s="205">
        <f t="shared" si="0"/>
        <v>0</v>
      </c>
      <c r="K11" s="290">
        <v>0</v>
      </c>
      <c r="L11" s="205">
        <f>F11*K11</f>
        <v>0</v>
      </c>
      <c r="M11" s="290">
        <v>0</v>
      </c>
      <c r="N11" s="21">
        <v>0</v>
      </c>
      <c r="O11" s="290">
        <v>0</v>
      </c>
      <c r="P11" s="21">
        <v>0</v>
      </c>
      <c r="Q11" s="290">
        <v>0</v>
      </c>
      <c r="R11" s="205">
        <f t="shared" si="3"/>
        <v>0</v>
      </c>
      <c r="S11" s="39">
        <f t="shared" si="7"/>
        <v>49</v>
      </c>
      <c r="T11" s="38">
        <f t="shared" si="4"/>
        <v>13.171199999999999</v>
      </c>
      <c r="U11" s="290">
        <v>0</v>
      </c>
      <c r="V11" s="13">
        <f t="shared" si="8"/>
        <v>0</v>
      </c>
      <c r="W11" s="294">
        <f t="shared" si="9"/>
        <v>49</v>
      </c>
      <c r="X11" s="295">
        <f t="shared" si="10"/>
        <v>13.171199999999999</v>
      </c>
      <c r="Y11" s="238">
        <v>50</v>
      </c>
      <c r="Z11" s="101">
        <v>100</v>
      </c>
    </row>
    <row r="12" spans="1:26" x14ac:dyDescent="0.25">
      <c r="A12" s="264">
        <v>8</v>
      </c>
      <c r="B12" s="256" t="s">
        <v>191</v>
      </c>
      <c r="C12" s="34">
        <v>75</v>
      </c>
      <c r="D12" s="35">
        <v>54</v>
      </c>
      <c r="E12" s="35">
        <v>5</v>
      </c>
      <c r="F12" s="19">
        <f t="shared" si="5"/>
        <v>2.0250000000000001E-2</v>
      </c>
      <c r="G12" s="286">
        <v>0</v>
      </c>
      <c r="H12" s="288">
        <f t="shared" si="6"/>
        <v>0</v>
      </c>
      <c r="I12" s="290">
        <v>0</v>
      </c>
      <c r="J12" s="205">
        <f t="shared" si="0"/>
        <v>0</v>
      </c>
      <c r="K12" s="290">
        <v>0</v>
      </c>
      <c r="L12" s="205">
        <f>F12*K12</f>
        <v>0</v>
      </c>
      <c r="M12" s="290">
        <v>0</v>
      </c>
      <c r="N12" s="205">
        <f>F12*M12</f>
        <v>0</v>
      </c>
      <c r="O12" s="290">
        <v>0</v>
      </c>
      <c r="P12" s="205">
        <f>F12*O12</f>
        <v>0</v>
      </c>
      <c r="Q12" s="290">
        <v>0</v>
      </c>
      <c r="R12" s="21">
        <v>0</v>
      </c>
      <c r="S12" s="39">
        <f t="shared" si="7"/>
        <v>0</v>
      </c>
      <c r="T12" s="38">
        <f t="shared" si="4"/>
        <v>0</v>
      </c>
      <c r="U12" s="290">
        <v>0</v>
      </c>
      <c r="V12" s="13">
        <f t="shared" si="8"/>
        <v>0</v>
      </c>
      <c r="W12" s="294">
        <f t="shared" si="9"/>
        <v>0</v>
      </c>
      <c r="X12" s="295">
        <f t="shared" si="10"/>
        <v>0</v>
      </c>
      <c r="Y12" s="238">
        <v>50</v>
      </c>
      <c r="Z12" s="101">
        <v>100</v>
      </c>
    </row>
    <row r="13" spans="1:26" x14ac:dyDescent="0.25">
      <c r="A13" s="264">
        <v>9</v>
      </c>
      <c r="B13" s="256" t="s">
        <v>142</v>
      </c>
      <c r="C13" s="34">
        <v>140</v>
      </c>
      <c r="D13" s="35">
        <v>240</v>
      </c>
      <c r="E13" s="35">
        <v>5</v>
      </c>
      <c r="F13" s="19">
        <f t="shared" si="5"/>
        <v>0.16800000000000001</v>
      </c>
      <c r="G13" s="286">
        <v>30</v>
      </c>
      <c r="H13" s="288">
        <f t="shared" si="6"/>
        <v>5.04</v>
      </c>
      <c r="I13" s="290">
        <v>0</v>
      </c>
      <c r="J13" s="205">
        <f t="shared" si="0"/>
        <v>0</v>
      </c>
      <c r="K13" s="290">
        <v>2</v>
      </c>
      <c r="L13" s="205">
        <f>F13*K13</f>
        <v>0.33600000000000002</v>
      </c>
      <c r="M13" s="290">
        <v>2</v>
      </c>
      <c r="N13" s="205">
        <f>F13*M13</f>
        <v>0.33600000000000002</v>
      </c>
      <c r="O13" s="290">
        <v>1</v>
      </c>
      <c r="P13" s="205">
        <f>F13*O13</f>
        <v>0.16800000000000001</v>
      </c>
      <c r="Q13" s="290">
        <v>0</v>
      </c>
      <c r="R13" s="205">
        <f>F13*Q13</f>
        <v>0</v>
      </c>
      <c r="S13" s="39">
        <f t="shared" si="7"/>
        <v>25</v>
      </c>
      <c r="T13" s="38">
        <f t="shared" si="4"/>
        <v>4.2</v>
      </c>
      <c r="U13" s="290">
        <v>26</v>
      </c>
      <c r="V13" s="13">
        <f t="shared" si="8"/>
        <v>4.3680000000000003</v>
      </c>
      <c r="W13" s="294">
        <f t="shared" si="9"/>
        <v>51</v>
      </c>
      <c r="X13" s="295">
        <f t="shared" si="10"/>
        <v>8.5680000000000014</v>
      </c>
      <c r="Y13" s="238">
        <v>100</v>
      </c>
      <c r="Z13" s="101">
        <v>300</v>
      </c>
    </row>
    <row r="14" spans="1:26" x14ac:dyDescent="0.25">
      <c r="A14" s="264">
        <v>10</v>
      </c>
      <c r="B14" s="256" t="s">
        <v>143</v>
      </c>
      <c r="C14" s="34">
        <v>90</v>
      </c>
      <c r="D14" s="35">
        <v>85</v>
      </c>
      <c r="E14" s="35">
        <v>5</v>
      </c>
      <c r="F14" s="19">
        <f t="shared" si="5"/>
        <v>3.8249999999999999E-2</v>
      </c>
      <c r="G14" s="286">
        <v>0</v>
      </c>
      <c r="H14" s="288">
        <f t="shared" si="6"/>
        <v>0</v>
      </c>
      <c r="I14" s="290">
        <v>0</v>
      </c>
      <c r="J14" s="205">
        <f t="shared" si="0"/>
        <v>0</v>
      </c>
      <c r="K14" s="290">
        <v>0</v>
      </c>
      <c r="L14" s="205">
        <f t="shared" ref="L14:L20" si="12">F14*K14</f>
        <v>0</v>
      </c>
      <c r="M14" s="290">
        <v>0</v>
      </c>
      <c r="N14" s="205">
        <f>F14*M14</f>
        <v>0</v>
      </c>
      <c r="O14" s="290">
        <v>0</v>
      </c>
      <c r="P14" s="205">
        <f t="shared" si="0"/>
        <v>0</v>
      </c>
      <c r="Q14" s="290">
        <v>0</v>
      </c>
      <c r="R14" s="205">
        <f t="shared" si="0"/>
        <v>0</v>
      </c>
      <c r="S14" s="39">
        <f t="shared" si="7"/>
        <v>0</v>
      </c>
      <c r="T14" s="38">
        <f t="shared" si="4"/>
        <v>0</v>
      </c>
      <c r="U14" s="290">
        <v>0</v>
      </c>
      <c r="V14" s="13">
        <f t="shared" si="8"/>
        <v>0</v>
      </c>
      <c r="W14" s="294">
        <f t="shared" si="9"/>
        <v>0</v>
      </c>
      <c r="X14" s="295">
        <f t="shared" si="10"/>
        <v>0</v>
      </c>
      <c r="Y14" s="238">
        <v>50</v>
      </c>
      <c r="Z14" s="101">
        <v>100</v>
      </c>
    </row>
    <row r="15" spans="1:26" x14ac:dyDescent="0.25">
      <c r="A15" s="264">
        <v>11</v>
      </c>
      <c r="B15" s="256" t="s">
        <v>144</v>
      </c>
      <c r="C15" s="34">
        <v>140</v>
      </c>
      <c r="D15" s="35">
        <v>240</v>
      </c>
      <c r="E15" s="35">
        <v>5</v>
      </c>
      <c r="F15" s="19">
        <f t="shared" si="5"/>
        <v>0.16800000000000001</v>
      </c>
      <c r="G15" s="286">
        <v>149</v>
      </c>
      <c r="H15" s="288">
        <f t="shared" si="6"/>
        <v>25.032</v>
      </c>
      <c r="I15" s="290">
        <v>18</v>
      </c>
      <c r="J15" s="205">
        <f t="shared" si="0"/>
        <v>3.024</v>
      </c>
      <c r="K15" s="290">
        <v>17</v>
      </c>
      <c r="L15" s="205">
        <f t="shared" si="12"/>
        <v>2.8560000000000003</v>
      </c>
      <c r="M15" s="290">
        <v>3</v>
      </c>
      <c r="N15" s="205">
        <f t="shared" ref="N15:N37" si="13">F15*M15</f>
        <v>0.504</v>
      </c>
      <c r="O15" s="290">
        <v>27</v>
      </c>
      <c r="P15" s="205">
        <f t="shared" ref="P15:P36" si="14">F15*O15</f>
        <v>4.5360000000000005</v>
      </c>
      <c r="Q15" s="290">
        <v>0</v>
      </c>
      <c r="R15" s="205">
        <f t="shared" ref="R15:R20" si="15">F15*Q15</f>
        <v>0</v>
      </c>
      <c r="S15" s="39">
        <f t="shared" si="7"/>
        <v>84</v>
      </c>
      <c r="T15" s="38">
        <f t="shared" si="4"/>
        <v>14.112</v>
      </c>
      <c r="U15" s="290">
        <v>0</v>
      </c>
      <c r="V15" s="13">
        <f t="shared" si="8"/>
        <v>0</v>
      </c>
      <c r="W15" s="294">
        <f t="shared" si="9"/>
        <v>84</v>
      </c>
      <c r="X15" s="295">
        <f t="shared" si="10"/>
        <v>14.112</v>
      </c>
      <c r="Y15" s="238">
        <v>200</v>
      </c>
      <c r="Z15" s="101">
        <v>400</v>
      </c>
    </row>
    <row r="16" spans="1:26" x14ac:dyDescent="0.25">
      <c r="A16" s="264">
        <v>12</v>
      </c>
      <c r="B16" s="256" t="s">
        <v>145</v>
      </c>
      <c r="C16" s="34">
        <v>140</v>
      </c>
      <c r="D16" s="35">
        <v>240</v>
      </c>
      <c r="E16" s="35">
        <v>5</v>
      </c>
      <c r="F16" s="19">
        <f t="shared" si="5"/>
        <v>0.16800000000000001</v>
      </c>
      <c r="G16" s="286">
        <v>132</v>
      </c>
      <c r="H16" s="288">
        <f t="shared" si="6"/>
        <v>22.176000000000002</v>
      </c>
      <c r="I16" s="290">
        <v>8</v>
      </c>
      <c r="J16" s="205">
        <f t="shared" si="0"/>
        <v>1.3440000000000001</v>
      </c>
      <c r="K16" s="290">
        <v>2</v>
      </c>
      <c r="L16" s="205">
        <f t="shared" si="12"/>
        <v>0.33600000000000002</v>
      </c>
      <c r="M16" s="290">
        <v>5</v>
      </c>
      <c r="N16" s="205">
        <f t="shared" si="13"/>
        <v>0.84000000000000008</v>
      </c>
      <c r="O16" s="290">
        <v>3</v>
      </c>
      <c r="P16" s="205">
        <f t="shared" si="14"/>
        <v>0.504</v>
      </c>
      <c r="Q16" s="290">
        <v>0</v>
      </c>
      <c r="R16" s="205">
        <f t="shared" si="15"/>
        <v>0</v>
      </c>
      <c r="S16" s="39">
        <f t="shared" si="7"/>
        <v>114</v>
      </c>
      <c r="T16" s="38">
        <f t="shared" si="4"/>
        <v>19.152000000000001</v>
      </c>
      <c r="U16" s="290">
        <v>46</v>
      </c>
      <c r="V16" s="13">
        <f t="shared" si="8"/>
        <v>7.7280000000000006</v>
      </c>
      <c r="W16" s="294">
        <f t="shared" si="9"/>
        <v>160</v>
      </c>
      <c r="X16" s="295">
        <f t="shared" si="10"/>
        <v>26.880000000000003</v>
      </c>
      <c r="Y16" s="238">
        <v>200</v>
      </c>
      <c r="Z16" s="101">
        <v>500</v>
      </c>
    </row>
    <row r="17" spans="1:26" x14ac:dyDescent="0.25">
      <c r="A17" s="264">
        <v>13</v>
      </c>
      <c r="B17" s="256" t="s">
        <v>146</v>
      </c>
      <c r="C17" s="34">
        <v>140</v>
      </c>
      <c r="D17" s="35">
        <v>240</v>
      </c>
      <c r="E17" s="35">
        <v>8</v>
      </c>
      <c r="F17" s="19">
        <f t="shared" si="5"/>
        <v>0.26879999999999998</v>
      </c>
      <c r="G17" s="286">
        <v>129</v>
      </c>
      <c r="H17" s="288">
        <f t="shared" si="6"/>
        <v>34.675199999999997</v>
      </c>
      <c r="I17" s="290">
        <v>6</v>
      </c>
      <c r="J17" s="205">
        <f t="shared" si="0"/>
        <v>1.6128</v>
      </c>
      <c r="K17" s="290">
        <v>5</v>
      </c>
      <c r="L17" s="205">
        <f t="shared" si="12"/>
        <v>1.3439999999999999</v>
      </c>
      <c r="M17" s="290">
        <v>0</v>
      </c>
      <c r="N17" s="205">
        <f t="shared" si="13"/>
        <v>0</v>
      </c>
      <c r="O17" s="290">
        <v>0</v>
      </c>
      <c r="P17" s="205">
        <f t="shared" si="14"/>
        <v>0</v>
      </c>
      <c r="Q17" s="290">
        <v>0</v>
      </c>
      <c r="R17" s="205">
        <f t="shared" si="15"/>
        <v>0</v>
      </c>
      <c r="S17" s="39">
        <f t="shared" si="7"/>
        <v>118</v>
      </c>
      <c r="T17" s="38">
        <f t="shared" si="4"/>
        <v>31.718399999999999</v>
      </c>
      <c r="U17" s="290">
        <v>0</v>
      </c>
      <c r="V17" s="13">
        <f t="shared" si="8"/>
        <v>0</v>
      </c>
      <c r="W17" s="294">
        <f t="shared" si="9"/>
        <v>118</v>
      </c>
      <c r="X17" s="295">
        <f t="shared" si="10"/>
        <v>31.718399999999999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147</v>
      </c>
      <c r="C18" s="34">
        <v>77</v>
      </c>
      <c r="D18" s="35">
        <v>86</v>
      </c>
      <c r="E18" s="35">
        <v>8</v>
      </c>
      <c r="F18" s="19">
        <f t="shared" si="5"/>
        <v>5.2976000000000002E-2</v>
      </c>
      <c r="G18" s="286">
        <v>845</v>
      </c>
      <c r="H18" s="288">
        <f t="shared" si="6"/>
        <v>44.764720000000004</v>
      </c>
      <c r="I18" s="290">
        <v>27</v>
      </c>
      <c r="J18" s="205">
        <f t="shared" si="0"/>
        <v>1.4303520000000001</v>
      </c>
      <c r="K18" s="290">
        <v>9</v>
      </c>
      <c r="L18" s="205">
        <f t="shared" si="12"/>
        <v>0.47678400000000004</v>
      </c>
      <c r="M18" s="290">
        <v>0</v>
      </c>
      <c r="N18" s="205">
        <f t="shared" si="13"/>
        <v>0</v>
      </c>
      <c r="O18" s="290">
        <v>0</v>
      </c>
      <c r="P18" s="205">
        <f t="shared" si="14"/>
        <v>0</v>
      </c>
      <c r="Q18" s="290">
        <v>0</v>
      </c>
      <c r="R18" s="205">
        <f t="shared" si="15"/>
        <v>0</v>
      </c>
      <c r="S18" s="39">
        <f t="shared" si="7"/>
        <v>809</v>
      </c>
      <c r="T18" s="38">
        <f t="shared" si="4"/>
        <v>42.857584000000003</v>
      </c>
      <c r="U18" s="290">
        <v>40</v>
      </c>
      <c r="V18" s="13">
        <f t="shared" si="8"/>
        <v>2.11904</v>
      </c>
      <c r="W18" s="294">
        <f t="shared" si="9"/>
        <v>849</v>
      </c>
      <c r="X18" s="295">
        <f t="shared" si="10"/>
        <v>44.976624000000001</v>
      </c>
      <c r="Y18" s="238">
        <v>100</v>
      </c>
      <c r="Z18" s="101">
        <v>300</v>
      </c>
    </row>
    <row r="19" spans="1:26" x14ac:dyDescent="0.25">
      <c r="A19" s="264">
        <v>15</v>
      </c>
      <c r="B19" s="256" t="s">
        <v>148</v>
      </c>
      <c r="C19" s="34">
        <v>77</v>
      </c>
      <c r="D19" s="35">
        <v>68</v>
      </c>
      <c r="E19" s="35">
        <v>8</v>
      </c>
      <c r="F19" s="19">
        <f t="shared" si="5"/>
        <v>4.1888000000000002E-2</v>
      </c>
      <c r="G19" s="286">
        <v>497</v>
      </c>
      <c r="H19" s="288">
        <f t="shared" si="6"/>
        <v>20.818336000000002</v>
      </c>
      <c r="I19" s="290">
        <v>0</v>
      </c>
      <c r="J19" s="205">
        <f t="shared" si="0"/>
        <v>0</v>
      </c>
      <c r="K19" s="290">
        <v>0</v>
      </c>
      <c r="L19" s="205">
        <f t="shared" si="12"/>
        <v>0</v>
      </c>
      <c r="M19" s="290">
        <v>0</v>
      </c>
      <c r="N19" s="205">
        <f t="shared" si="13"/>
        <v>0</v>
      </c>
      <c r="O19" s="290">
        <v>0</v>
      </c>
      <c r="P19" s="205">
        <f t="shared" si="14"/>
        <v>0</v>
      </c>
      <c r="Q19" s="290">
        <v>0</v>
      </c>
      <c r="R19" s="205">
        <f t="shared" si="15"/>
        <v>0</v>
      </c>
      <c r="S19" s="39">
        <f t="shared" si="7"/>
        <v>497</v>
      </c>
      <c r="T19" s="38">
        <f t="shared" si="4"/>
        <v>20.818336000000002</v>
      </c>
      <c r="U19" s="290">
        <v>0</v>
      </c>
      <c r="V19" s="13">
        <f t="shared" si="8"/>
        <v>0</v>
      </c>
      <c r="W19" s="294">
        <f t="shared" si="9"/>
        <v>497</v>
      </c>
      <c r="X19" s="295">
        <f t="shared" si="10"/>
        <v>20.818336000000002</v>
      </c>
      <c r="Y19" s="238">
        <v>100</v>
      </c>
      <c r="Z19" s="101">
        <v>300</v>
      </c>
    </row>
    <row r="20" spans="1:26" x14ac:dyDescent="0.25">
      <c r="A20" s="264">
        <v>16</v>
      </c>
      <c r="B20" s="256" t="s">
        <v>149</v>
      </c>
      <c r="C20" s="34">
        <v>76</v>
      </c>
      <c r="D20" s="35">
        <v>75</v>
      </c>
      <c r="E20" s="35">
        <v>8</v>
      </c>
      <c r="F20" s="19">
        <f t="shared" si="5"/>
        <v>4.5600000000000002E-2</v>
      </c>
      <c r="G20" s="286">
        <v>1102</v>
      </c>
      <c r="H20" s="288">
        <f t="shared" si="6"/>
        <v>50.251200000000004</v>
      </c>
      <c r="I20" s="290">
        <v>0</v>
      </c>
      <c r="J20" s="205">
        <f t="shared" si="0"/>
        <v>0</v>
      </c>
      <c r="K20" s="290">
        <v>0</v>
      </c>
      <c r="L20" s="205">
        <f t="shared" si="12"/>
        <v>0</v>
      </c>
      <c r="M20" s="290">
        <v>0</v>
      </c>
      <c r="N20" s="205">
        <f t="shared" si="13"/>
        <v>0</v>
      </c>
      <c r="O20" s="290">
        <v>0</v>
      </c>
      <c r="P20" s="205">
        <f t="shared" si="14"/>
        <v>0</v>
      </c>
      <c r="Q20" s="290">
        <v>0</v>
      </c>
      <c r="R20" s="205">
        <f t="shared" si="15"/>
        <v>0</v>
      </c>
      <c r="S20" s="39">
        <f t="shared" si="7"/>
        <v>1102</v>
      </c>
      <c r="T20" s="38">
        <f t="shared" si="4"/>
        <v>50.251200000000004</v>
      </c>
      <c r="U20" s="290">
        <v>86</v>
      </c>
      <c r="V20" s="13">
        <f t="shared" si="8"/>
        <v>3.9216000000000002</v>
      </c>
      <c r="W20" s="294">
        <f t="shared" si="9"/>
        <v>1188</v>
      </c>
      <c r="X20" s="295">
        <f t="shared" si="10"/>
        <v>54.172800000000002</v>
      </c>
      <c r="Y20" s="238">
        <v>100</v>
      </c>
      <c r="Z20" s="101">
        <v>300</v>
      </c>
    </row>
    <row r="21" spans="1:26" x14ac:dyDescent="0.25">
      <c r="A21" s="264">
        <v>17</v>
      </c>
      <c r="B21" s="256" t="s">
        <v>150</v>
      </c>
      <c r="C21" s="34">
        <v>60</v>
      </c>
      <c r="D21" s="35">
        <v>63</v>
      </c>
      <c r="E21" s="35">
        <v>10</v>
      </c>
      <c r="F21" s="19">
        <f t="shared" si="5"/>
        <v>3.78E-2</v>
      </c>
      <c r="G21" s="286">
        <v>557</v>
      </c>
      <c r="H21" s="288">
        <f t="shared" si="6"/>
        <v>21.054600000000001</v>
      </c>
      <c r="I21" s="290">
        <v>0</v>
      </c>
      <c r="J21" s="205">
        <f t="shared" si="0"/>
        <v>0</v>
      </c>
      <c r="K21" s="290">
        <v>15</v>
      </c>
      <c r="L21" s="205">
        <f t="shared" si="0"/>
        <v>315.81900000000002</v>
      </c>
      <c r="M21" s="290">
        <v>300</v>
      </c>
      <c r="N21" s="21">
        <v>0</v>
      </c>
      <c r="O21" s="290">
        <v>0</v>
      </c>
      <c r="P21" s="205">
        <f t="shared" si="14"/>
        <v>0</v>
      </c>
      <c r="Q21" s="290">
        <v>0</v>
      </c>
      <c r="R21" s="21">
        <v>0</v>
      </c>
      <c r="S21" s="39">
        <f t="shared" si="7"/>
        <v>242</v>
      </c>
      <c r="T21" s="38">
        <f t="shared" si="4"/>
        <v>9.1476000000000006</v>
      </c>
      <c r="U21" s="290">
        <v>0</v>
      </c>
      <c r="V21" s="13">
        <f t="shared" si="8"/>
        <v>0</v>
      </c>
      <c r="W21" s="294">
        <f t="shared" si="9"/>
        <v>242</v>
      </c>
      <c r="X21" s="295">
        <f t="shared" si="10"/>
        <v>9.1476000000000006</v>
      </c>
      <c r="Y21" s="238">
        <v>50</v>
      </c>
      <c r="Z21" s="101">
        <v>200</v>
      </c>
    </row>
    <row r="22" spans="1:26" x14ac:dyDescent="0.25">
      <c r="A22" s="264">
        <v>18</v>
      </c>
      <c r="B22" s="256" t="s">
        <v>151</v>
      </c>
      <c r="C22" s="34">
        <v>63</v>
      </c>
      <c r="D22" s="35">
        <v>60</v>
      </c>
      <c r="E22" s="35">
        <v>3</v>
      </c>
      <c r="F22" s="19">
        <f t="shared" si="5"/>
        <v>1.1339999999999999E-2</v>
      </c>
      <c r="G22" s="286">
        <v>244</v>
      </c>
      <c r="H22" s="288">
        <f t="shared" si="6"/>
        <v>2.7669599999999996</v>
      </c>
      <c r="I22" s="290">
        <v>0</v>
      </c>
      <c r="J22" s="205">
        <f t="shared" si="0"/>
        <v>0</v>
      </c>
      <c r="K22" s="290">
        <v>3</v>
      </c>
      <c r="L22" s="205">
        <f>F22*K22</f>
        <v>3.4019999999999995E-2</v>
      </c>
      <c r="M22" s="290">
        <v>111</v>
      </c>
      <c r="N22" s="205">
        <f t="shared" si="13"/>
        <v>1.25874</v>
      </c>
      <c r="O22" s="290">
        <v>0</v>
      </c>
      <c r="P22" s="205">
        <f t="shared" si="14"/>
        <v>0</v>
      </c>
      <c r="Q22" s="290">
        <v>0</v>
      </c>
      <c r="R22" s="21">
        <v>0</v>
      </c>
      <c r="S22" s="39">
        <f t="shared" si="7"/>
        <v>130</v>
      </c>
      <c r="T22" s="38">
        <f t="shared" si="4"/>
        <v>1.4742</v>
      </c>
      <c r="U22" s="290">
        <v>0</v>
      </c>
      <c r="V22" s="13">
        <f t="shared" si="8"/>
        <v>0</v>
      </c>
      <c r="W22" s="294">
        <f t="shared" si="9"/>
        <v>130</v>
      </c>
      <c r="X22" s="295">
        <f t="shared" si="10"/>
        <v>1.4742</v>
      </c>
      <c r="Y22" s="238">
        <v>50</v>
      </c>
      <c r="Z22" s="101">
        <v>200</v>
      </c>
    </row>
    <row r="23" spans="1:26" x14ac:dyDescent="0.25">
      <c r="A23" s="264">
        <v>19</v>
      </c>
      <c r="B23" s="42" t="s">
        <v>152</v>
      </c>
      <c r="C23" s="34">
        <v>140</v>
      </c>
      <c r="D23" s="35">
        <v>240</v>
      </c>
      <c r="E23" s="35">
        <v>1.4</v>
      </c>
      <c r="F23" s="19">
        <f t="shared" si="5"/>
        <v>4.7039999999999998E-2</v>
      </c>
      <c r="G23" s="286">
        <v>747</v>
      </c>
      <c r="H23" s="288">
        <f t="shared" si="6"/>
        <v>35.13888</v>
      </c>
      <c r="I23" s="290">
        <v>63</v>
      </c>
      <c r="J23" s="205">
        <f t="shared" si="0"/>
        <v>2.9635199999999999</v>
      </c>
      <c r="K23" s="290">
        <v>46</v>
      </c>
      <c r="L23" s="205">
        <f t="shared" ref="L23:L36" si="16">F23*K23</f>
        <v>2.16384</v>
      </c>
      <c r="M23" s="290">
        <v>94</v>
      </c>
      <c r="N23" s="205">
        <f t="shared" si="13"/>
        <v>4.4217599999999999</v>
      </c>
      <c r="O23" s="290">
        <v>12</v>
      </c>
      <c r="P23" s="205">
        <f t="shared" si="14"/>
        <v>0.56447999999999998</v>
      </c>
      <c r="Q23" s="290">
        <v>0</v>
      </c>
      <c r="R23" s="205">
        <f t="shared" ref="R23:R37" si="17">F23*Q23</f>
        <v>0</v>
      </c>
      <c r="S23" s="39">
        <f t="shared" si="7"/>
        <v>532</v>
      </c>
      <c r="T23" s="38">
        <f t="shared" si="4"/>
        <v>25.025279999999999</v>
      </c>
      <c r="U23" s="290">
        <v>0</v>
      </c>
      <c r="V23" s="13">
        <f t="shared" si="8"/>
        <v>0</v>
      </c>
      <c r="W23" s="294">
        <f t="shared" si="9"/>
        <v>532</v>
      </c>
      <c r="X23" s="295">
        <f t="shared" si="10"/>
        <v>25.025279999999999</v>
      </c>
      <c r="Y23" s="238">
        <v>200</v>
      </c>
      <c r="Z23" s="101">
        <v>500</v>
      </c>
    </row>
    <row r="24" spans="1:26" x14ac:dyDescent="0.25">
      <c r="A24" s="264">
        <v>20</v>
      </c>
      <c r="B24" s="256" t="s">
        <v>3</v>
      </c>
      <c r="C24" s="34">
        <v>140</v>
      </c>
      <c r="D24" s="35">
        <v>240</v>
      </c>
      <c r="E24" s="35">
        <v>0.8</v>
      </c>
      <c r="F24" s="19">
        <f t="shared" si="5"/>
        <v>2.6880000000000001E-2</v>
      </c>
      <c r="G24" s="286">
        <v>591</v>
      </c>
      <c r="H24" s="288">
        <f t="shared" si="6"/>
        <v>15.886080000000002</v>
      </c>
      <c r="I24" s="290">
        <v>14</v>
      </c>
      <c r="J24" s="205">
        <f t="shared" si="0"/>
        <v>0.37631999999999999</v>
      </c>
      <c r="K24" s="290">
        <v>7</v>
      </c>
      <c r="L24" s="205">
        <f t="shared" si="16"/>
        <v>0.18815999999999999</v>
      </c>
      <c r="M24" s="290">
        <v>2</v>
      </c>
      <c r="N24" s="205">
        <f t="shared" si="13"/>
        <v>5.3760000000000002E-2</v>
      </c>
      <c r="O24" s="290">
        <v>5</v>
      </c>
      <c r="P24" s="205">
        <f t="shared" si="14"/>
        <v>0.13440000000000002</v>
      </c>
      <c r="Q24" s="290">
        <v>0</v>
      </c>
      <c r="R24" s="205">
        <f t="shared" si="17"/>
        <v>0</v>
      </c>
      <c r="S24" s="39">
        <f t="shared" si="7"/>
        <v>563</v>
      </c>
      <c r="T24" s="38">
        <f t="shared" si="4"/>
        <v>15.13344</v>
      </c>
      <c r="U24" s="290">
        <v>20</v>
      </c>
      <c r="V24" s="13">
        <f t="shared" si="8"/>
        <v>0.53760000000000008</v>
      </c>
      <c r="W24" s="294">
        <f t="shared" si="9"/>
        <v>583</v>
      </c>
      <c r="X24" s="295">
        <f t="shared" si="10"/>
        <v>15.671040000000001</v>
      </c>
      <c r="Y24" s="238">
        <v>100</v>
      </c>
      <c r="Z24" s="101">
        <v>300</v>
      </c>
    </row>
    <row r="25" spans="1:26" x14ac:dyDescent="0.25">
      <c r="A25" s="264">
        <v>21</v>
      </c>
      <c r="B25" s="256" t="s">
        <v>153</v>
      </c>
      <c r="C25" s="34">
        <v>58</v>
      </c>
      <c r="D25" s="35">
        <v>58</v>
      </c>
      <c r="E25" s="35">
        <v>2.2999999999999998</v>
      </c>
      <c r="F25" s="19">
        <f t="shared" si="5"/>
        <v>7.7371999999999996E-3</v>
      </c>
      <c r="G25" s="286">
        <v>1080</v>
      </c>
      <c r="H25" s="288">
        <f t="shared" si="6"/>
        <v>8.3561759999999996</v>
      </c>
      <c r="I25" s="290">
        <v>0</v>
      </c>
      <c r="J25" s="205">
        <f t="shared" si="0"/>
        <v>0</v>
      </c>
      <c r="K25" s="290">
        <v>0</v>
      </c>
      <c r="L25" s="205">
        <f t="shared" si="16"/>
        <v>0</v>
      </c>
      <c r="M25" s="290">
        <v>0</v>
      </c>
      <c r="N25" s="205">
        <f t="shared" si="13"/>
        <v>0</v>
      </c>
      <c r="O25" s="290">
        <v>0</v>
      </c>
      <c r="P25" s="205">
        <f t="shared" si="14"/>
        <v>0</v>
      </c>
      <c r="Q25" s="290">
        <v>0</v>
      </c>
      <c r="R25" s="205">
        <f t="shared" si="17"/>
        <v>0</v>
      </c>
      <c r="S25" s="39">
        <f t="shared" si="7"/>
        <v>1080</v>
      </c>
      <c r="T25" s="38">
        <f t="shared" si="4"/>
        <v>8.3561759999999996</v>
      </c>
      <c r="U25" s="290">
        <v>0</v>
      </c>
      <c r="V25" s="13">
        <f t="shared" si="8"/>
        <v>0</v>
      </c>
      <c r="W25" s="294">
        <f t="shared" si="9"/>
        <v>1080</v>
      </c>
      <c r="X25" s="295">
        <f t="shared" si="10"/>
        <v>8.3561759999999996</v>
      </c>
      <c r="Y25" s="238">
        <v>200</v>
      </c>
      <c r="Z25" s="101">
        <v>750</v>
      </c>
    </row>
    <row r="26" spans="1:26" x14ac:dyDescent="0.25">
      <c r="A26" s="264">
        <v>22</v>
      </c>
      <c r="B26" s="256" t="s">
        <v>154</v>
      </c>
      <c r="C26" s="34">
        <v>140</v>
      </c>
      <c r="D26" s="35">
        <v>240</v>
      </c>
      <c r="E26" s="35">
        <v>7</v>
      </c>
      <c r="F26" s="19">
        <f t="shared" si="5"/>
        <v>0.23519999999999999</v>
      </c>
      <c r="G26" s="286">
        <v>26</v>
      </c>
      <c r="H26" s="288">
        <f t="shared" si="6"/>
        <v>6.1151999999999997</v>
      </c>
      <c r="I26" s="290">
        <v>18</v>
      </c>
      <c r="J26" s="205">
        <f t="shared" si="0"/>
        <v>4.2336</v>
      </c>
      <c r="K26" s="290">
        <v>8</v>
      </c>
      <c r="L26" s="205">
        <f t="shared" si="16"/>
        <v>1.8815999999999999</v>
      </c>
      <c r="M26" s="290">
        <v>4</v>
      </c>
      <c r="N26" s="205">
        <f t="shared" si="13"/>
        <v>0.94079999999999997</v>
      </c>
      <c r="O26" s="290">
        <v>5</v>
      </c>
      <c r="P26" s="205">
        <f t="shared" si="14"/>
        <v>1.1759999999999999</v>
      </c>
      <c r="Q26" s="290">
        <v>0</v>
      </c>
      <c r="R26" s="205">
        <f t="shared" si="17"/>
        <v>0</v>
      </c>
      <c r="S26" s="39">
        <f t="shared" si="7"/>
        <v>-9</v>
      </c>
      <c r="T26" s="38">
        <f t="shared" si="4"/>
        <v>-2.1168</v>
      </c>
      <c r="U26" s="290">
        <v>126</v>
      </c>
      <c r="V26" s="13">
        <f t="shared" si="8"/>
        <v>29.635199999999998</v>
      </c>
      <c r="W26" s="294">
        <f t="shared" si="9"/>
        <v>117</v>
      </c>
      <c r="X26" s="295">
        <f t="shared" si="10"/>
        <v>27.5184</v>
      </c>
      <c r="Y26" s="238">
        <v>50</v>
      </c>
      <c r="Z26" s="101">
        <v>200</v>
      </c>
    </row>
    <row r="27" spans="1:26" ht="15.75" x14ac:dyDescent="0.25">
      <c r="A27" s="264">
        <v>23</v>
      </c>
      <c r="B27" s="256" t="s">
        <v>55</v>
      </c>
      <c r="C27" s="111">
        <v>50</v>
      </c>
      <c r="D27" s="112">
        <v>45</v>
      </c>
      <c r="E27" s="112">
        <v>4</v>
      </c>
      <c r="F27" s="19">
        <f t="shared" si="5"/>
        <v>8.9999999999999993E-3</v>
      </c>
      <c r="G27" s="286">
        <v>1870</v>
      </c>
      <c r="H27" s="288">
        <f t="shared" si="6"/>
        <v>16.829999999999998</v>
      </c>
      <c r="I27" s="290">
        <v>0</v>
      </c>
      <c r="J27" s="205">
        <f t="shared" si="0"/>
        <v>0</v>
      </c>
      <c r="K27" s="290">
        <v>0</v>
      </c>
      <c r="L27" s="205">
        <f t="shared" si="16"/>
        <v>0</v>
      </c>
      <c r="M27" s="290">
        <v>0</v>
      </c>
      <c r="N27" s="205">
        <f t="shared" si="13"/>
        <v>0</v>
      </c>
      <c r="O27" s="290">
        <v>0</v>
      </c>
      <c r="P27" s="205">
        <f t="shared" si="14"/>
        <v>0</v>
      </c>
      <c r="Q27" s="290">
        <v>0</v>
      </c>
      <c r="R27" s="205">
        <f t="shared" si="17"/>
        <v>0</v>
      </c>
      <c r="S27" s="39">
        <f t="shared" si="7"/>
        <v>1870</v>
      </c>
      <c r="T27" s="38">
        <f t="shared" si="4"/>
        <v>16.829999999999998</v>
      </c>
      <c r="U27" s="290">
        <v>0</v>
      </c>
      <c r="V27" s="13">
        <f t="shared" si="8"/>
        <v>0</v>
      </c>
      <c r="W27" s="294">
        <f t="shared" si="9"/>
        <v>1870</v>
      </c>
      <c r="X27" s="295">
        <f t="shared" si="10"/>
        <v>16.829999999999998</v>
      </c>
      <c r="Y27" s="238">
        <v>300</v>
      </c>
      <c r="Z27" s="101">
        <v>1000</v>
      </c>
    </row>
    <row r="28" spans="1:26" ht="15.75" x14ac:dyDescent="0.25">
      <c r="A28" s="264">
        <v>24</v>
      </c>
      <c r="B28" s="256" t="s">
        <v>56</v>
      </c>
      <c r="C28" s="111">
        <v>50</v>
      </c>
      <c r="D28" s="112">
        <v>35</v>
      </c>
      <c r="E28" s="112">
        <v>4</v>
      </c>
      <c r="F28" s="19">
        <f t="shared" si="5"/>
        <v>7.0000000000000001E-3</v>
      </c>
      <c r="G28" s="286">
        <v>0</v>
      </c>
      <c r="H28" s="288">
        <f t="shared" si="6"/>
        <v>0</v>
      </c>
      <c r="I28" s="290">
        <v>0</v>
      </c>
      <c r="J28" s="205">
        <f t="shared" si="0"/>
        <v>0</v>
      </c>
      <c r="K28" s="290">
        <v>0</v>
      </c>
      <c r="L28" s="205">
        <f t="shared" si="16"/>
        <v>0</v>
      </c>
      <c r="M28" s="290">
        <v>0</v>
      </c>
      <c r="N28" s="205">
        <f t="shared" si="13"/>
        <v>0</v>
      </c>
      <c r="O28" s="290">
        <v>0</v>
      </c>
      <c r="P28" s="205">
        <f t="shared" si="14"/>
        <v>0</v>
      </c>
      <c r="Q28" s="290">
        <v>0</v>
      </c>
      <c r="R28" s="205">
        <f t="shared" si="17"/>
        <v>0</v>
      </c>
      <c r="S28" s="39">
        <f t="shared" si="7"/>
        <v>0</v>
      </c>
      <c r="T28" s="38">
        <f t="shared" si="4"/>
        <v>0</v>
      </c>
      <c r="U28" s="290">
        <v>0</v>
      </c>
      <c r="V28" s="13">
        <f t="shared" si="8"/>
        <v>0</v>
      </c>
      <c r="W28" s="294">
        <f t="shared" si="9"/>
        <v>0</v>
      </c>
      <c r="X28" s="295">
        <f t="shared" si="10"/>
        <v>0</v>
      </c>
      <c r="Y28" s="238">
        <v>300</v>
      </c>
      <c r="Z28" s="101">
        <v>1000</v>
      </c>
    </row>
    <row r="29" spans="1:26" ht="15.75" x14ac:dyDescent="0.25">
      <c r="A29" s="264">
        <v>25</v>
      </c>
      <c r="B29" s="256" t="s">
        <v>57</v>
      </c>
      <c r="C29" s="111">
        <v>45</v>
      </c>
      <c r="D29" s="112">
        <v>44</v>
      </c>
      <c r="E29" s="112">
        <v>3</v>
      </c>
      <c r="F29" s="19">
        <f t="shared" si="5"/>
        <v>5.94E-3</v>
      </c>
      <c r="G29" s="286">
        <v>1510</v>
      </c>
      <c r="H29" s="288">
        <f t="shared" si="6"/>
        <v>8.9694000000000003</v>
      </c>
      <c r="I29" s="290">
        <v>0</v>
      </c>
      <c r="J29" s="205">
        <f t="shared" si="0"/>
        <v>0</v>
      </c>
      <c r="K29" s="290">
        <v>150</v>
      </c>
      <c r="L29" s="205">
        <f t="shared" si="16"/>
        <v>0.89100000000000001</v>
      </c>
      <c r="M29" s="290">
        <v>0</v>
      </c>
      <c r="N29" s="205">
        <f t="shared" si="13"/>
        <v>0</v>
      </c>
      <c r="O29" s="290">
        <v>0</v>
      </c>
      <c r="P29" s="205">
        <f t="shared" si="14"/>
        <v>0</v>
      </c>
      <c r="Q29" s="290">
        <v>0</v>
      </c>
      <c r="R29" s="205">
        <f t="shared" si="17"/>
        <v>0</v>
      </c>
      <c r="S29" s="39">
        <f t="shared" si="7"/>
        <v>1360</v>
      </c>
      <c r="T29" s="38">
        <f t="shared" si="4"/>
        <v>8.0784000000000002</v>
      </c>
      <c r="U29" s="290">
        <v>0</v>
      </c>
      <c r="V29" s="13">
        <f t="shared" si="8"/>
        <v>0</v>
      </c>
      <c r="W29" s="294">
        <f t="shared" si="9"/>
        <v>1360</v>
      </c>
      <c r="X29" s="295">
        <f t="shared" si="10"/>
        <v>8.0784000000000002</v>
      </c>
      <c r="Y29" s="238">
        <v>500</v>
      </c>
      <c r="Z29" s="101">
        <v>1500</v>
      </c>
    </row>
    <row r="30" spans="1:26" ht="15.75" x14ac:dyDescent="0.25">
      <c r="A30" s="264">
        <v>26</v>
      </c>
      <c r="B30" s="256" t="s">
        <v>58</v>
      </c>
      <c r="C30" s="111">
        <v>45</v>
      </c>
      <c r="D30" s="112">
        <v>35.5</v>
      </c>
      <c r="E30" s="112">
        <v>3</v>
      </c>
      <c r="F30" s="19">
        <f t="shared" si="5"/>
        <v>4.7924999999999999E-3</v>
      </c>
      <c r="G30" s="286">
        <v>1650</v>
      </c>
      <c r="H30" s="288">
        <f t="shared" si="6"/>
        <v>7.9076249999999995</v>
      </c>
      <c r="I30" s="290">
        <v>0</v>
      </c>
      <c r="J30" s="205">
        <f t="shared" si="0"/>
        <v>0</v>
      </c>
      <c r="K30" s="290">
        <v>130</v>
      </c>
      <c r="L30" s="205">
        <f t="shared" si="16"/>
        <v>0.62302499999999994</v>
      </c>
      <c r="M30" s="290">
        <v>0</v>
      </c>
      <c r="N30" s="205">
        <f t="shared" si="13"/>
        <v>0</v>
      </c>
      <c r="O30" s="290">
        <v>0</v>
      </c>
      <c r="P30" s="205">
        <f t="shared" si="14"/>
        <v>0</v>
      </c>
      <c r="Q30" s="290">
        <v>0</v>
      </c>
      <c r="R30" s="205">
        <f t="shared" si="17"/>
        <v>0</v>
      </c>
      <c r="S30" s="39">
        <f t="shared" si="7"/>
        <v>1520</v>
      </c>
      <c r="T30" s="38">
        <f t="shared" si="4"/>
        <v>7.2846000000000002</v>
      </c>
      <c r="U30" s="290">
        <v>0</v>
      </c>
      <c r="V30" s="13">
        <f t="shared" si="8"/>
        <v>0</v>
      </c>
      <c r="W30" s="294">
        <f t="shared" si="9"/>
        <v>1520</v>
      </c>
      <c r="X30" s="295">
        <f t="shared" si="10"/>
        <v>7.2846000000000002</v>
      </c>
      <c r="Y30" s="238">
        <v>500</v>
      </c>
      <c r="Z30" s="101">
        <v>1500</v>
      </c>
    </row>
    <row r="31" spans="1:26" x14ac:dyDescent="0.25">
      <c r="A31" s="264">
        <v>27</v>
      </c>
      <c r="B31" s="256" t="s">
        <v>155</v>
      </c>
      <c r="C31" s="34">
        <v>140</v>
      </c>
      <c r="D31" s="35">
        <v>9.5</v>
      </c>
      <c r="E31" s="35">
        <v>6.5</v>
      </c>
      <c r="F31" s="19">
        <f t="shared" si="5"/>
        <v>8.6449999999999999E-3</v>
      </c>
      <c r="G31" s="286">
        <v>587</v>
      </c>
      <c r="H31" s="288">
        <f t="shared" si="6"/>
        <v>5.0746149999999997</v>
      </c>
      <c r="I31" s="290">
        <v>0</v>
      </c>
      <c r="J31" s="205">
        <f t="shared" si="0"/>
        <v>0</v>
      </c>
      <c r="K31" s="290">
        <v>0</v>
      </c>
      <c r="L31" s="205">
        <f t="shared" si="16"/>
        <v>0</v>
      </c>
      <c r="M31" s="290">
        <v>0</v>
      </c>
      <c r="N31" s="205">
        <f t="shared" si="13"/>
        <v>0</v>
      </c>
      <c r="O31" s="290">
        <v>0</v>
      </c>
      <c r="P31" s="205">
        <f t="shared" si="14"/>
        <v>0</v>
      </c>
      <c r="Q31" s="290">
        <v>0</v>
      </c>
      <c r="R31" s="205">
        <f t="shared" si="17"/>
        <v>0</v>
      </c>
      <c r="S31" s="39">
        <f t="shared" si="7"/>
        <v>587</v>
      </c>
      <c r="T31" s="38">
        <f t="shared" si="4"/>
        <v>5.0746149999999997</v>
      </c>
      <c r="U31" s="290">
        <v>0</v>
      </c>
      <c r="V31" s="13">
        <f t="shared" si="8"/>
        <v>0</v>
      </c>
      <c r="W31" s="294">
        <f t="shared" si="9"/>
        <v>587</v>
      </c>
      <c r="X31" s="295">
        <f t="shared" si="10"/>
        <v>5.0746149999999997</v>
      </c>
      <c r="Y31" s="238">
        <v>500</v>
      </c>
      <c r="Z31" s="101">
        <v>1500</v>
      </c>
    </row>
    <row r="32" spans="1:26" x14ac:dyDescent="0.25">
      <c r="A32" s="264">
        <v>28</v>
      </c>
      <c r="B32" s="256" t="s">
        <v>156</v>
      </c>
      <c r="C32" s="34">
        <v>140</v>
      </c>
      <c r="D32" s="35">
        <v>240</v>
      </c>
      <c r="E32" s="35">
        <v>1</v>
      </c>
      <c r="F32" s="19">
        <f t="shared" si="5"/>
        <v>3.3599999999999998E-2</v>
      </c>
      <c r="G32" s="286">
        <v>1346</v>
      </c>
      <c r="H32" s="288">
        <f t="shared" si="6"/>
        <v>45.2256</v>
      </c>
      <c r="I32" s="290">
        <v>133</v>
      </c>
      <c r="J32" s="205">
        <f t="shared" si="0"/>
        <v>4.4687999999999999</v>
      </c>
      <c r="K32" s="290">
        <v>163</v>
      </c>
      <c r="L32" s="205">
        <f t="shared" si="16"/>
        <v>5.4767999999999999</v>
      </c>
      <c r="M32" s="290">
        <v>113</v>
      </c>
      <c r="N32" s="205">
        <f t="shared" si="13"/>
        <v>3.7967999999999997</v>
      </c>
      <c r="O32" s="290">
        <v>77</v>
      </c>
      <c r="P32" s="205">
        <f t="shared" si="14"/>
        <v>2.5871999999999997</v>
      </c>
      <c r="Q32" s="290">
        <v>0</v>
      </c>
      <c r="R32" s="205">
        <f>F32*Q32</f>
        <v>0</v>
      </c>
      <c r="S32" s="39">
        <f t="shared" si="7"/>
        <v>860</v>
      </c>
      <c r="T32" s="38">
        <f t="shared" si="4"/>
        <v>28.895999999999997</v>
      </c>
      <c r="U32" s="290">
        <v>0</v>
      </c>
      <c r="V32" s="13">
        <f t="shared" si="8"/>
        <v>0</v>
      </c>
      <c r="W32" s="294">
        <f t="shared" si="9"/>
        <v>860</v>
      </c>
      <c r="X32" s="295">
        <f t="shared" si="10"/>
        <v>28.895999999999997</v>
      </c>
      <c r="Y32" s="238">
        <v>250</v>
      </c>
      <c r="Z32" s="101">
        <v>750</v>
      </c>
    </row>
    <row r="33" spans="1:26" x14ac:dyDescent="0.25">
      <c r="A33" s="264">
        <v>29</v>
      </c>
      <c r="B33" s="256" t="s">
        <v>157</v>
      </c>
      <c r="C33" s="34">
        <v>140</v>
      </c>
      <c r="D33" s="35">
        <v>240</v>
      </c>
      <c r="E33" s="35">
        <v>2</v>
      </c>
      <c r="F33" s="19">
        <f t="shared" si="5"/>
        <v>6.7199999999999996E-2</v>
      </c>
      <c r="G33" s="286">
        <v>151</v>
      </c>
      <c r="H33" s="288">
        <f t="shared" si="6"/>
        <v>10.1472</v>
      </c>
      <c r="I33" s="290">
        <v>15</v>
      </c>
      <c r="J33" s="205">
        <f t="shared" si="0"/>
        <v>1.008</v>
      </c>
      <c r="K33" s="290">
        <v>54</v>
      </c>
      <c r="L33" s="205">
        <f t="shared" si="16"/>
        <v>3.6287999999999996</v>
      </c>
      <c r="M33" s="290">
        <v>25</v>
      </c>
      <c r="N33" s="205">
        <f t="shared" si="13"/>
        <v>1.68</v>
      </c>
      <c r="O33" s="290">
        <v>11</v>
      </c>
      <c r="P33" s="205">
        <f t="shared" si="14"/>
        <v>0.73919999999999997</v>
      </c>
      <c r="Q33" s="290">
        <v>0</v>
      </c>
      <c r="R33" s="205">
        <f>F33*Q33</f>
        <v>0</v>
      </c>
      <c r="S33" s="39">
        <f t="shared" si="7"/>
        <v>46</v>
      </c>
      <c r="T33" s="38">
        <f t="shared" si="4"/>
        <v>3.0911999999999997</v>
      </c>
      <c r="U33" s="290">
        <v>0</v>
      </c>
      <c r="V33" s="13">
        <f t="shared" si="8"/>
        <v>0</v>
      </c>
      <c r="W33" s="294">
        <f t="shared" si="9"/>
        <v>46</v>
      </c>
      <c r="X33" s="295">
        <f t="shared" si="10"/>
        <v>3.0911999999999997</v>
      </c>
      <c r="Y33" s="238">
        <v>75</v>
      </c>
      <c r="Z33" s="101">
        <v>150</v>
      </c>
    </row>
    <row r="34" spans="1:26" x14ac:dyDescent="0.25">
      <c r="A34" s="264">
        <v>30</v>
      </c>
      <c r="B34" s="256" t="s">
        <v>158</v>
      </c>
      <c r="C34" s="34">
        <v>140</v>
      </c>
      <c r="D34" s="35">
        <v>240</v>
      </c>
      <c r="E34" s="35">
        <v>3</v>
      </c>
      <c r="F34" s="19">
        <f t="shared" si="5"/>
        <v>0.1008</v>
      </c>
      <c r="G34" s="286">
        <v>315</v>
      </c>
      <c r="H34" s="288">
        <f t="shared" si="6"/>
        <v>31.751999999999999</v>
      </c>
      <c r="I34" s="290">
        <v>11</v>
      </c>
      <c r="J34" s="205">
        <f>F34*I34</f>
        <v>1.1088</v>
      </c>
      <c r="K34" s="290">
        <v>9</v>
      </c>
      <c r="L34" s="205">
        <f t="shared" si="16"/>
        <v>0.90720000000000001</v>
      </c>
      <c r="M34" s="290">
        <v>6</v>
      </c>
      <c r="N34" s="205">
        <f t="shared" si="13"/>
        <v>0.6048</v>
      </c>
      <c r="O34" s="290">
        <v>18</v>
      </c>
      <c r="P34" s="205">
        <f t="shared" si="14"/>
        <v>1.8144</v>
      </c>
      <c r="Q34" s="290">
        <v>0</v>
      </c>
      <c r="R34" s="205">
        <f t="shared" si="17"/>
        <v>0</v>
      </c>
      <c r="S34" s="39">
        <f t="shared" si="7"/>
        <v>271</v>
      </c>
      <c r="T34" s="38">
        <f t="shared" si="4"/>
        <v>27.316800000000001</v>
      </c>
      <c r="U34" s="290">
        <v>0</v>
      </c>
      <c r="V34" s="13">
        <f t="shared" si="8"/>
        <v>0</v>
      </c>
      <c r="W34" s="294">
        <f t="shared" si="9"/>
        <v>271</v>
      </c>
      <c r="X34" s="295">
        <f t="shared" si="10"/>
        <v>27.316800000000001</v>
      </c>
      <c r="Y34" s="238">
        <v>75</v>
      </c>
      <c r="Z34" s="101">
        <v>150</v>
      </c>
    </row>
    <row r="35" spans="1:26" x14ac:dyDescent="0.25">
      <c r="A35" s="264">
        <v>31</v>
      </c>
      <c r="B35" s="256" t="s">
        <v>159</v>
      </c>
      <c r="C35" s="34">
        <v>140</v>
      </c>
      <c r="D35" s="35">
        <v>240</v>
      </c>
      <c r="E35" s="35">
        <v>4</v>
      </c>
      <c r="F35" s="19">
        <f t="shared" si="5"/>
        <v>0.13439999999999999</v>
      </c>
      <c r="G35" s="286">
        <v>143</v>
      </c>
      <c r="H35" s="288">
        <f t="shared" si="6"/>
        <v>19.219199999999997</v>
      </c>
      <c r="I35" s="290">
        <v>4</v>
      </c>
      <c r="J35" s="205">
        <f t="shared" si="0"/>
        <v>0.53759999999999997</v>
      </c>
      <c r="K35" s="290">
        <v>6</v>
      </c>
      <c r="L35" s="205">
        <f t="shared" si="16"/>
        <v>0.80640000000000001</v>
      </c>
      <c r="M35" s="290">
        <v>2</v>
      </c>
      <c r="N35" s="205">
        <f t="shared" si="13"/>
        <v>0.26879999999999998</v>
      </c>
      <c r="O35" s="290">
        <v>4</v>
      </c>
      <c r="P35" s="205">
        <f t="shared" si="14"/>
        <v>0.53759999999999997</v>
      </c>
      <c r="Q35" s="290">
        <v>0</v>
      </c>
      <c r="R35" s="205">
        <f t="shared" si="17"/>
        <v>0</v>
      </c>
      <c r="S35" s="39">
        <f t="shared" si="7"/>
        <v>127</v>
      </c>
      <c r="T35" s="38">
        <f t="shared" si="4"/>
        <v>17.0688</v>
      </c>
      <c r="U35" s="290">
        <v>0</v>
      </c>
      <c r="V35" s="13">
        <f t="shared" si="8"/>
        <v>0</v>
      </c>
      <c r="W35" s="294">
        <f t="shared" si="9"/>
        <v>127</v>
      </c>
      <c r="X35" s="295">
        <f t="shared" si="10"/>
        <v>17.0688</v>
      </c>
      <c r="Y35" s="238">
        <v>50</v>
      </c>
      <c r="Z35" s="101">
        <v>100</v>
      </c>
    </row>
    <row r="36" spans="1:26" x14ac:dyDescent="0.25">
      <c r="A36" s="264">
        <v>32</v>
      </c>
      <c r="B36" s="256" t="s">
        <v>160</v>
      </c>
      <c r="C36" s="34">
        <v>140</v>
      </c>
      <c r="D36" s="35">
        <v>240</v>
      </c>
      <c r="E36" s="35">
        <v>2</v>
      </c>
      <c r="F36" s="19">
        <f t="shared" si="5"/>
        <v>6.7199999999999996E-2</v>
      </c>
      <c r="G36" s="286">
        <v>215</v>
      </c>
      <c r="H36" s="288">
        <f t="shared" si="6"/>
        <v>14.447999999999999</v>
      </c>
      <c r="I36" s="290">
        <v>30</v>
      </c>
      <c r="J36" s="205">
        <f>F36*I36</f>
        <v>2.016</v>
      </c>
      <c r="K36" s="290">
        <v>43</v>
      </c>
      <c r="L36" s="205">
        <f t="shared" si="16"/>
        <v>2.8895999999999997</v>
      </c>
      <c r="M36" s="290">
        <v>33</v>
      </c>
      <c r="N36" s="205">
        <f t="shared" si="13"/>
        <v>2.2176</v>
      </c>
      <c r="O36" s="290">
        <v>43</v>
      </c>
      <c r="P36" s="205">
        <f t="shared" si="14"/>
        <v>2.8895999999999997</v>
      </c>
      <c r="Q36" s="290">
        <v>0</v>
      </c>
      <c r="R36" s="205">
        <f t="shared" si="17"/>
        <v>0</v>
      </c>
      <c r="S36" s="39">
        <f t="shared" si="7"/>
        <v>66</v>
      </c>
      <c r="T36" s="38">
        <f t="shared" si="4"/>
        <v>4.4352</v>
      </c>
      <c r="U36" s="290">
        <v>329</v>
      </c>
      <c r="V36" s="13">
        <f t="shared" si="8"/>
        <v>22.108799999999999</v>
      </c>
      <c r="W36" s="294">
        <f t="shared" si="9"/>
        <v>395</v>
      </c>
      <c r="X36" s="295">
        <f t="shared" si="10"/>
        <v>26.543999999999997</v>
      </c>
      <c r="Y36" s="238">
        <v>100</v>
      </c>
      <c r="Z36" s="101">
        <v>300</v>
      </c>
    </row>
    <row r="37" spans="1:26" x14ac:dyDescent="0.25">
      <c r="A37" s="264">
        <v>33</v>
      </c>
      <c r="B37" s="256" t="s">
        <v>161</v>
      </c>
      <c r="C37" s="34">
        <v>140</v>
      </c>
      <c r="D37" s="35">
        <v>240</v>
      </c>
      <c r="E37" s="35">
        <v>6</v>
      </c>
      <c r="F37" s="19">
        <f t="shared" si="5"/>
        <v>0.2016</v>
      </c>
      <c r="G37" s="286">
        <v>27</v>
      </c>
      <c r="H37" s="288">
        <f t="shared" si="6"/>
        <v>5.4432</v>
      </c>
      <c r="I37" s="290">
        <v>0</v>
      </c>
      <c r="J37" s="205">
        <f t="shared" si="0"/>
        <v>0</v>
      </c>
      <c r="K37" s="290">
        <v>0</v>
      </c>
      <c r="L37" s="205">
        <f>F37*K37</f>
        <v>0</v>
      </c>
      <c r="M37" s="290">
        <v>0</v>
      </c>
      <c r="N37" s="205">
        <f t="shared" si="13"/>
        <v>0</v>
      </c>
      <c r="O37" s="290">
        <v>0</v>
      </c>
      <c r="P37" s="21">
        <v>0</v>
      </c>
      <c r="Q37" s="290">
        <v>0</v>
      </c>
      <c r="R37" s="205">
        <f t="shared" si="17"/>
        <v>0</v>
      </c>
      <c r="S37" s="39">
        <f t="shared" si="7"/>
        <v>27</v>
      </c>
      <c r="T37" s="38">
        <f t="shared" si="4"/>
        <v>5.4432</v>
      </c>
      <c r="U37" s="290">
        <v>0</v>
      </c>
      <c r="V37" s="13">
        <f t="shared" si="8"/>
        <v>0</v>
      </c>
      <c r="W37" s="294">
        <f t="shared" si="9"/>
        <v>27</v>
      </c>
      <c r="X37" s="295">
        <f t="shared" si="10"/>
        <v>5.4432</v>
      </c>
      <c r="Y37" s="238">
        <v>10</v>
      </c>
      <c r="Z37" s="101">
        <v>30</v>
      </c>
    </row>
    <row r="38" spans="1:26" x14ac:dyDescent="0.25">
      <c r="A38" s="264">
        <v>34</v>
      </c>
      <c r="B38" s="256" t="s">
        <v>181</v>
      </c>
      <c r="C38" s="34">
        <v>80</v>
      </c>
      <c r="D38" s="35">
        <v>75</v>
      </c>
      <c r="E38" s="35">
        <v>5</v>
      </c>
      <c r="F38" s="19">
        <f t="shared" si="5"/>
        <v>0.03</v>
      </c>
      <c r="G38" s="286">
        <v>68</v>
      </c>
      <c r="H38" s="288">
        <f t="shared" si="6"/>
        <v>2.04</v>
      </c>
      <c r="I38" s="290">
        <v>0</v>
      </c>
      <c r="J38" s="205">
        <f t="shared" si="0"/>
        <v>0</v>
      </c>
      <c r="K38" s="290">
        <v>0</v>
      </c>
      <c r="L38" s="205">
        <f t="shared" si="0"/>
        <v>0</v>
      </c>
      <c r="M38" s="290">
        <v>0</v>
      </c>
      <c r="N38" s="21">
        <v>0</v>
      </c>
      <c r="O38" s="290">
        <v>0</v>
      </c>
      <c r="P38" s="21">
        <v>0</v>
      </c>
      <c r="Q38" s="290">
        <v>0</v>
      </c>
      <c r="R38" s="21">
        <v>0</v>
      </c>
      <c r="S38" s="39">
        <f t="shared" si="7"/>
        <v>68</v>
      </c>
      <c r="T38" s="38">
        <f t="shared" si="4"/>
        <v>2.04</v>
      </c>
      <c r="U38" s="290">
        <v>0</v>
      </c>
      <c r="V38" s="13">
        <f t="shared" si="8"/>
        <v>0</v>
      </c>
      <c r="W38" s="294">
        <f t="shared" si="9"/>
        <v>68</v>
      </c>
      <c r="X38" s="295">
        <f t="shared" si="10"/>
        <v>2.04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182</v>
      </c>
      <c r="C39" s="34">
        <v>100</v>
      </c>
      <c r="D39" s="35">
        <v>95</v>
      </c>
      <c r="E39" s="35">
        <v>5</v>
      </c>
      <c r="F39" s="19">
        <f t="shared" si="5"/>
        <v>4.7500000000000001E-2</v>
      </c>
      <c r="G39" s="286">
        <v>144</v>
      </c>
      <c r="H39" s="288">
        <f t="shared" si="6"/>
        <v>6.84</v>
      </c>
      <c r="I39" s="290">
        <v>5</v>
      </c>
      <c r="J39" s="205">
        <f t="shared" si="0"/>
        <v>0.23749999999999999</v>
      </c>
      <c r="K39" s="290">
        <v>0</v>
      </c>
      <c r="L39" s="205">
        <f>F39*K39</f>
        <v>0</v>
      </c>
      <c r="M39" s="290">
        <v>0</v>
      </c>
      <c r="N39" s="205">
        <f>F39*M39</f>
        <v>0</v>
      </c>
      <c r="O39" s="290">
        <v>0</v>
      </c>
      <c r="P39" s="205">
        <f>J39*O39</f>
        <v>0</v>
      </c>
      <c r="Q39" s="290">
        <v>0</v>
      </c>
      <c r="R39" s="205">
        <f>L39*Q39</f>
        <v>0</v>
      </c>
      <c r="S39" s="39">
        <f t="shared" si="7"/>
        <v>139</v>
      </c>
      <c r="T39" s="38">
        <f t="shared" si="4"/>
        <v>6.6025</v>
      </c>
      <c r="U39" s="290">
        <v>0</v>
      </c>
      <c r="V39" s="13">
        <f t="shared" si="8"/>
        <v>0</v>
      </c>
      <c r="W39" s="294">
        <f t="shared" si="9"/>
        <v>139</v>
      </c>
      <c r="X39" s="295">
        <f t="shared" si="10"/>
        <v>6.6025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196</v>
      </c>
      <c r="C40" s="34">
        <v>65</v>
      </c>
      <c r="D40" s="35">
        <v>60</v>
      </c>
      <c r="E40" s="35">
        <v>5</v>
      </c>
      <c r="F40" s="19">
        <f t="shared" si="5"/>
        <v>1.95E-2</v>
      </c>
      <c r="G40" s="286">
        <v>248</v>
      </c>
      <c r="H40" s="288">
        <f t="shared" si="6"/>
        <v>4.8360000000000003</v>
      </c>
      <c r="I40" s="290">
        <v>20</v>
      </c>
      <c r="J40" s="205">
        <f t="shared" si="0"/>
        <v>0.39</v>
      </c>
      <c r="K40" s="290">
        <v>0</v>
      </c>
      <c r="L40" s="205">
        <f>F40*K40</f>
        <v>0</v>
      </c>
      <c r="M40" s="290">
        <v>21</v>
      </c>
      <c r="N40" s="205">
        <f>F40*M40</f>
        <v>0.40949999999999998</v>
      </c>
      <c r="O40" s="290">
        <v>0</v>
      </c>
      <c r="P40" s="205">
        <f>F40*O40</f>
        <v>0</v>
      </c>
      <c r="Q40" s="290">
        <v>0</v>
      </c>
      <c r="R40" s="205">
        <f>F40*Q40</f>
        <v>0</v>
      </c>
      <c r="S40" s="39">
        <f t="shared" si="7"/>
        <v>207</v>
      </c>
      <c r="T40" s="38">
        <f t="shared" si="4"/>
        <v>4.0365000000000002</v>
      </c>
      <c r="U40" s="290">
        <v>0</v>
      </c>
      <c r="V40" s="13">
        <f t="shared" si="8"/>
        <v>0</v>
      </c>
      <c r="W40" s="294">
        <f t="shared" si="9"/>
        <v>207</v>
      </c>
      <c r="X40" s="295">
        <f t="shared" si="10"/>
        <v>4.0365000000000002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165</v>
      </c>
      <c r="C41" s="34">
        <v>140</v>
      </c>
      <c r="D41" s="35">
        <v>240</v>
      </c>
      <c r="E41" s="35">
        <v>10</v>
      </c>
      <c r="F41" s="19">
        <f t="shared" si="5"/>
        <v>0.33600000000000002</v>
      </c>
      <c r="G41" s="286">
        <v>50</v>
      </c>
      <c r="H41" s="288">
        <f t="shared" si="6"/>
        <v>16.8</v>
      </c>
      <c r="I41" s="290">
        <v>4</v>
      </c>
      <c r="J41" s="205">
        <f>F41*I41</f>
        <v>1.3440000000000001</v>
      </c>
      <c r="K41" s="290">
        <v>7</v>
      </c>
      <c r="L41" s="205">
        <f>F41*K41</f>
        <v>2.3520000000000003</v>
      </c>
      <c r="M41" s="290">
        <v>6</v>
      </c>
      <c r="N41" s="205">
        <f>F41*M41</f>
        <v>2.016</v>
      </c>
      <c r="O41" s="290">
        <v>7</v>
      </c>
      <c r="P41" s="205">
        <f>F41*O41</f>
        <v>2.3520000000000003</v>
      </c>
      <c r="Q41" s="290">
        <v>0</v>
      </c>
      <c r="R41" s="205">
        <f>F41*Q41</f>
        <v>0</v>
      </c>
      <c r="S41" s="39">
        <f t="shared" si="7"/>
        <v>26</v>
      </c>
      <c r="T41" s="38">
        <f t="shared" si="4"/>
        <v>8.7360000000000007</v>
      </c>
      <c r="U41" s="290">
        <v>89</v>
      </c>
      <c r="V41" s="13">
        <f t="shared" si="8"/>
        <v>29.904000000000003</v>
      </c>
      <c r="W41" s="294">
        <f t="shared" si="9"/>
        <v>115</v>
      </c>
      <c r="X41" s="295">
        <f t="shared" si="10"/>
        <v>38.64</v>
      </c>
      <c r="Y41" s="238">
        <v>50</v>
      </c>
      <c r="Z41" s="101">
        <v>100</v>
      </c>
    </row>
    <row r="42" spans="1:26" x14ac:dyDescent="0.25">
      <c r="A42" s="264">
        <v>38</v>
      </c>
      <c r="B42" s="256" t="s">
        <v>166</v>
      </c>
      <c r="C42" s="34">
        <v>92</v>
      </c>
      <c r="D42" s="35">
        <v>82</v>
      </c>
      <c r="E42" s="35">
        <v>2</v>
      </c>
      <c r="F42" s="19">
        <f t="shared" si="5"/>
        <v>1.5088000000000001E-2</v>
      </c>
      <c r="G42" s="286">
        <v>353</v>
      </c>
      <c r="H42" s="288">
        <f t="shared" si="6"/>
        <v>5.3260640000000006</v>
      </c>
      <c r="I42" s="290">
        <v>0</v>
      </c>
      <c r="J42" s="205">
        <f t="shared" si="0"/>
        <v>0</v>
      </c>
      <c r="K42" s="290">
        <v>0</v>
      </c>
      <c r="L42" s="205">
        <f>F42*K42</f>
        <v>0</v>
      </c>
      <c r="M42" s="290">
        <v>0</v>
      </c>
      <c r="N42" s="205">
        <f>F42*M42</f>
        <v>0</v>
      </c>
      <c r="O42" s="290">
        <v>0</v>
      </c>
      <c r="P42" s="205">
        <f>F42*O42</f>
        <v>0</v>
      </c>
      <c r="Q42" s="290">
        <v>0</v>
      </c>
      <c r="R42" s="205">
        <f>F42*Q42</f>
        <v>0</v>
      </c>
      <c r="S42" s="39">
        <f t="shared" si="7"/>
        <v>353</v>
      </c>
      <c r="T42" s="38">
        <f t="shared" si="4"/>
        <v>5.3260640000000006</v>
      </c>
      <c r="U42" s="290">
        <v>0</v>
      </c>
      <c r="V42" s="13">
        <f t="shared" si="8"/>
        <v>0</v>
      </c>
      <c r="W42" s="294">
        <f t="shared" si="9"/>
        <v>353</v>
      </c>
      <c r="X42" s="295">
        <f t="shared" si="10"/>
        <v>5.3260640000000006</v>
      </c>
      <c r="Y42" s="238">
        <v>100</v>
      </c>
      <c r="Z42" s="101">
        <v>300</v>
      </c>
    </row>
    <row r="43" spans="1:26" x14ac:dyDescent="0.25">
      <c r="A43" s="264">
        <v>39</v>
      </c>
      <c r="B43" s="256" t="s">
        <v>183</v>
      </c>
      <c r="C43" s="34">
        <v>90</v>
      </c>
      <c r="D43" s="35">
        <v>90</v>
      </c>
      <c r="E43" s="35">
        <v>3</v>
      </c>
      <c r="F43" s="19">
        <f t="shared" si="5"/>
        <v>2.4299999999999999E-2</v>
      </c>
      <c r="G43" s="286">
        <v>171</v>
      </c>
      <c r="H43" s="288">
        <f t="shared" si="6"/>
        <v>4.1552999999999995</v>
      </c>
      <c r="I43" s="290">
        <v>0</v>
      </c>
      <c r="J43" s="205">
        <f t="shared" si="0"/>
        <v>0</v>
      </c>
      <c r="K43" s="290">
        <v>0</v>
      </c>
      <c r="L43" s="205">
        <f t="shared" si="0"/>
        <v>0</v>
      </c>
      <c r="M43" s="290">
        <v>0</v>
      </c>
      <c r="N43" s="21">
        <v>0</v>
      </c>
      <c r="O43" s="290">
        <v>12</v>
      </c>
      <c r="P43" s="21">
        <v>0</v>
      </c>
      <c r="Q43" s="290">
        <v>0</v>
      </c>
      <c r="R43" s="21">
        <v>0</v>
      </c>
      <c r="S43" s="39">
        <f t="shared" si="7"/>
        <v>159</v>
      </c>
      <c r="T43" s="38">
        <f t="shared" si="4"/>
        <v>3.8636999999999997</v>
      </c>
      <c r="U43" s="290">
        <v>0</v>
      </c>
      <c r="V43" s="13">
        <f t="shared" si="8"/>
        <v>0</v>
      </c>
      <c r="W43" s="294">
        <f t="shared" si="9"/>
        <v>159</v>
      </c>
      <c r="X43" s="295">
        <f t="shared" si="10"/>
        <v>3.8636999999999997</v>
      </c>
      <c r="Y43" s="238">
        <v>0</v>
      </c>
      <c r="Z43" s="101">
        <v>0</v>
      </c>
    </row>
    <row r="44" spans="1:26" x14ac:dyDescent="0.25">
      <c r="A44" s="264">
        <v>40</v>
      </c>
      <c r="B44" s="256" t="s">
        <v>168</v>
      </c>
      <c r="C44" s="34">
        <v>140</v>
      </c>
      <c r="D44" s="35">
        <v>240</v>
      </c>
      <c r="E44" s="35">
        <v>3</v>
      </c>
      <c r="F44" s="19">
        <f t="shared" si="5"/>
        <v>0.1008</v>
      </c>
      <c r="G44" s="286">
        <v>0</v>
      </c>
      <c r="H44" s="288">
        <f t="shared" si="6"/>
        <v>0</v>
      </c>
      <c r="I44" s="290">
        <v>0</v>
      </c>
      <c r="J44" s="205">
        <f t="shared" si="0"/>
        <v>0</v>
      </c>
      <c r="K44" s="290">
        <v>0</v>
      </c>
      <c r="L44" s="205">
        <f t="shared" ref="L44:L52" si="18">F44*K44</f>
        <v>0</v>
      </c>
      <c r="M44" s="290">
        <v>0</v>
      </c>
      <c r="N44" s="205">
        <f t="shared" ref="N44:N70" si="19">F44*M44</f>
        <v>0</v>
      </c>
      <c r="O44" s="290">
        <v>0</v>
      </c>
      <c r="P44" s="205">
        <f t="shared" ref="P44:P66" si="20">F44*O44</f>
        <v>0</v>
      </c>
      <c r="Q44" s="290">
        <v>0</v>
      </c>
      <c r="R44" s="205">
        <f t="shared" ref="R44:R58" si="21">F44*Q44</f>
        <v>0</v>
      </c>
      <c r="S44" s="39">
        <f t="shared" si="7"/>
        <v>0</v>
      </c>
      <c r="T44" s="38">
        <f t="shared" si="4"/>
        <v>0</v>
      </c>
      <c r="U44" s="290">
        <v>0</v>
      </c>
      <c r="V44" s="13">
        <f t="shared" si="8"/>
        <v>0</v>
      </c>
      <c r="W44" s="294">
        <f t="shared" si="9"/>
        <v>0</v>
      </c>
      <c r="X44" s="295">
        <f t="shared" si="10"/>
        <v>0</v>
      </c>
      <c r="Y44" s="238">
        <v>0</v>
      </c>
      <c r="Z44" s="101">
        <v>0</v>
      </c>
    </row>
    <row r="45" spans="1:26" x14ac:dyDescent="0.25">
      <c r="A45" s="264">
        <v>41</v>
      </c>
      <c r="B45" s="256" t="s">
        <v>169</v>
      </c>
      <c r="C45" s="34">
        <v>82</v>
      </c>
      <c r="D45" s="34">
        <v>80</v>
      </c>
      <c r="E45" s="34">
        <v>2</v>
      </c>
      <c r="F45" s="19">
        <f t="shared" si="5"/>
        <v>1.312E-2</v>
      </c>
      <c r="G45" s="284">
        <v>747</v>
      </c>
      <c r="H45" s="288">
        <f t="shared" si="6"/>
        <v>9.8006399999999996</v>
      </c>
      <c r="I45" s="290">
        <v>0</v>
      </c>
      <c r="J45" s="205">
        <f t="shared" si="0"/>
        <v>0</v>
      </c>
      <c r="K45" s="290">
        <v>0</v>
      </c>
      <c r="L45" s="205">
        <f t="shared" si="18"/>
        <v>0</v>
      </c>
      <c r="M45" s="290">
        <v>0</v>
      </c>
      <c r="N45" s="205">
        <f t="shared" si="19"/>
        <v>0</v>
      </c>
      <c r="O45" s="290">
        <v>0</v>
      </c>
      <c r="P45" s="205">
        <f t="shared" si="20"/>
        <v>0</v>
      </c>
      <c r="Q45" s="290">
        <v>0</v>
      </c>
      <c r="R45" s="205">
        <f t="shared" si="21"/>
        <v>0</v>
      </c>
      <c r="S45" s="39">
        <f t="shared" si="7"/>
        <v>747</v>
      </c>
      <c r="T45" s="38">
        <f t="shared" si="4"/>
        <v>9.8006399999999996</v>
      </c>
      <c r="U45" s="290">
        <v>39</v>
      </c>
      <c r="V45" s="13">
        <f t="shared" si="8"/>
        <v>0.51168000000000002</v>
      </c>
      <c r="W45" s="294">
        <f t="shared" si="9"/>
        <v>786</v>
      </c>
      <c r="X45" s="295">
        <f t="shared" si="10"/>
        <v>10.31232</v>
      </c>
      <c r="Y45" s="238">
        <v>100</v>
      </c>
      <c r="Z45" s="101">
        <v>300</v>
      </c>
    </row>
    <row r="46" spans="1:26" x14ac:dyDescent="0.25">
      <c r="A46" s="264">
        <v>42</v>
      </c>
      <c r="B46" s="256" t="s">
        <v>170</v>
      </c>
      <c r="C46" s="34">
        <v>90</v>
      </c>
      <c r="D46" s="34">
        <v>83</v>
      </c>
      <c r="E46" s="34">
        <v>2</v>
      </c>
      <c r="F46" s="19">
        <f t="shared" si="5"/>
        <v>1.494E-2</v>
      </c>
      <c r="G46" s="284">
        <v>0</v>
      </c>
      <c r="H46" s="288">
        <f t="shared" si="6"/>
        <v>0</v>
      </c>
      <c r="I46" s="290">
        <v>0</v>
      </c>
      <c r="J46" s="205">
        <f t="shared" si="0"/>
        <v>0</v>
      </c>
      <c r="K46" s="290">
        <v>0</v>
      </c>
      <c r="L46" s="205">
        <f t="shared" si="18"/>
        <v>0</v>
      </c>
      <c r="M46" s="290">
        <v>0</v>
      </c>
      <c r="N46" s="205">
        <f t="shared" si="19"/>
        <v>0</v>
      </c>
      <c r="O46" s="290">
        <v>0</v>
      </c>
      <c r="P46" s="205">
        <f t="shared" si="20"/>
        <v>0</v>
      </c>
      <c r="Q46" s="290">
        <v>0</v>
      </c>
      <c r="R46" s="205">
        <f t="shared" si="21"/>
        <v>0</v>
      </c>
      <c r="S46" s="39">
        <f t="shared" si="7"/>
        <v>0</v>
      </c>
      <c r="T46" s="38">
        <f t="shared" si="4"/>
        <v>0</v>
      </c>
      <c r="U46" s="290">
        <v>0</v>
      </c>
      <c r="V46" s="13">
        <f t="shared" si="8"/>
        <v>0</v>
      </c>
      <c r="W46" s="294">
        <f t="shared" si="9"/>
        <v>0</v>
      </c>
      <c r="X46" s="295">
        <f t="shared" si="10"/>
        <v>0</v>
      </c>
      <c r="Y46" s="238">
        <v>100</v>
      </c>
      <c r="Z46" s="101">
        <v>300</v>
      </c>
    </row>
    <row r="47" spans="1:26" x14ac:dyDescent="0.25">
      <c r="A47" s="264">
        <v>43</v>
      </c>
      <c r="B47" s="256" t="s">
        <v>184</v>
      </c>
      <c r="C47" s="34">
        <v>112</v>
      </c>
      <c r="D47" s="34">
        <v>67</v>
      </c>
      <c r="E47" s="34">
        <v>3</v>
      </c>
      <c r="F47" s="19">
        <f t="shared" si="5"/>
        <v>2.2512000000000001E-2</v>
      </c>
      <c r="G47" s="284">
        <v>65</v>
      </c>
      <c r="H47" s="288">
        <f t="shared" si="6"/>
        <v>1.4632800000000001</v>
      </c>
      <c r="I47" s="290">
        <v>0</v>
      </c>
      <c r="J47" s="205">
        <f t="shared" si="0"/>
        <v>0</v>
      </c>
      <c r="K47" s="290">
        <v>0</v>
      </c>
      <c r="L47" s="205">
        <f t="shared" si="18"/>
        <v>0</v>
      </c>
      <c r="M47" s="290">
        <v>0</v>
      </c>
      <c r="N47" s="205">
        <f t="shared" si="19"/>
        <v>0</v>
      </c>
      <c r="O47" s="290">
        <v>0</v>
      </c>
      <c r="P47" s="205">
        <f t="shared" si="20"/>
        <v>0</v>
      </c>
      <c r="Q47" s="290">
        <v>0</v>
      </c>
      <c r="R47" s="205">
        <f t="shared" si="21"/>
        <v>0</v>
      </c>
      <c r="S47" s="39">
        <f t="shared" si="7"/>
        <v>65</v>
      </c>
      <c r="T47" s="38">
        <f t="shared" si="4"/>
        <v>1.4632800000000001</v>
      </c>
      <c r="U47" s="290">
        <v>0</v>
      </c>
      <c r="V47" s="13">
        <f t="shared" si="8"/>
        <v>0</v>
      </c>
      <c r="W47" s="294">
        <f t="shared" si="9"/>
        <v>65</v>
      </c>
      <c r="X47" s="295">
        <f t="shared" si="10"/>
        <v>1.4632800000000001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189</v>
      </c>
      <c r="C48" s="34">
        <v>70</v>
      </c>
      <c r="D48" s="34">
        <v>54</v>
      </c>
      <c r="E48" s="34">
        <v>7</v>
      </c>
      <c r="F48" s="19">
        <f t="shared" si="5"/>
        <v>2.6460000000000001E-2</v>
      </c>
      <c r="G48" s="284">
        <v>0</v>
      </c>
      <c r="H48" s="288">
        <f t="shared" si="6"/>
        <v>0</v>
      </c>
      <c r="I48" s="290">
        <v>0</v>
      </c>
      <c r="J48" s="205">
        <f t="shared" si="0"/>
        <v>0</v>
      </c>
      <c r="K48" s="290">
        <v>0</v>
      </c>
      <c r="L48" s="205">
        <f t="shared" si="18"/>
        <v>0</v>
      </c>
      <c r="M48" s="290">
        <v>0</v>
      </c>
      <c r="N48" s="205">
        <f t="shared" si="19"/>
        <v>0</v>
      </c>
      <c r="O48" s="290">
        <v>0</v>
      </c>
      <c r="P48" s="205">
        <f t="shared" si="20"/>
        <v>0</v>
      </c>
      <c r="Q48" s="290">
        <v>0</v>
      </c>
      <c r="R48" s="205">
        <f t="shared" si="21"/>
        <v>0</v>
      </c>
      <c r="S48" s="39">
        <f t="shared" si="7"/>
        <v>0</v>
      </c>
      <c r="T48" s="38">
        <f t="shared" si="4"/>
        <v>0</v>
      </c>
      <c r="U48" s="290">
        <v>0</v>
      </c>
      <c r="V48" s="13">
        <f t="shared" si="8"/>
        <v>0</v>
      </c>
      <c r="W48" s="294">
        <f t="shared" si="9"/>
        <v>0</v>
      </c>
      <c r="X48" s="295">
        <f t="shared" si="10"/>
        <v>0</v>
      </c>
      <c r="Y48" s="238">
        <v>0</v>
      </c>
      <c r="Z48" s="101">
        <v>0</v>
      </c>
    </row>
    <row r="49" spans="1:26" x14ac:dyDescent="0.25">
      <c r="A49" s="264">
        <v>45</v>
      </c>
      <c r="B49" s="256" t="s">
        <v>174</v>
      </c>
      <c r="C49" s="34">
        <v>140</v>
      </c>
      <c r="D49" s="34">
        <v>240</v>
      </c>
      <c r="E49" s="34">
        <v>14</v>
      </c>
      <c r="F49" s="19">
        <f t="shared" si="5"/>
        <v>0.47039999999999998</v>
      </c>
      <c r="G49" s="284">
        <v>0</v>
      </c>
      <c r="H49" s="288">
        <f t="shared" si="6"/>
        <v>0</v>
      </c>
      <c r="I49" s="290">
        <v>0</v>
      </c>
      <c r="J49" s="205">
        <f t="shared" si="0"/>
        <v>0</v>
      </c>
      <c r="K49" s="290">
        <v>0</v>
      </c>
      <c r="L49" s="205">
        <f t="shared" si="18"/>
        <v>0</v>
      </c>
      <c r="M49" s="290">
        <v>0</v>
      </c>
      <c r="N49" s="205">
        <f t="shared" si="19"/>
        <v>0</v>
      </c>
      <c r="O49" s="290">
        <v>0</v>
      </c>
      <c r="P49" s="205">
        <f t="shared" si="20"/>
        <v>0</v>
      </c>
      <c r="Q49" s="290">
        <v>0</v>
      </c>
      <c r="R49" s="205">
        <f t="shared" si="21"/>
        <v>0</v>
      </c>
      <c r="S49" s="39">
        <f t="shared" si="7"/>
        <v>0</v>
      </c>
      <c r="T49" s="38">
        <f t="shared" si="4"/>
        <v>0</v>
      </c>
      <c r="U49" s="290">
        <v>0</v>
      </c>
      <c r="V49" s="13">
        <f t="shared" si="8"/>
        <v>0</v>
      </c>
      <c r="W49" s="294">
        <f t="shared" si="9"/>
        <v>0</v>
      </c>
      <c r="X49" s="295">
        <f t="shared" si="10"/>
        <v>0</v>
      </c>
      <c r="Y49" s="238">
        <v>10</v>
      </c>
      <c r="Z49" s="101">
        <v>20</v>
      </c>
    </row>
    <row r="50" spans="1:26" x14ac:dyDescent="0.25">
      <c r="A50" s="264">
        <v>46</v>
      </c>
      <c r="B50" s="256" t="s">
        <v>175</v>
      </c>
      <c r="C50" s="34">
        <v>140</v>
      </c>
      <c r="D50" s="34">
        <v>240</v>
      </c>
      <c r="E50" s="34">
        <v>12</v>
      </c>
      <c r="F50" s="19">
        <f t="shared" si="5"/>
        <v>0.4032</v>
      </c>
      <c r="G50" s="284">
        <v>10</v>
      </c>
      <c r="H50" s="288">
        <f t="shared" si="6"/>
        <v>4.032</v>
      </c>
      <c r="I50" s="290">
        <v>0</v>
      </c>
      <c r="J50" s="205">
        <f t="shared" si="0"/>
        <v>0</v>
      </c>
      <c r="K50" s="290">
        <v>0</v>
      </c>
      <c r="L50" s="205">
        <f t="shared" si="18"/>
        <v>0</v>
      </c>
      <c r="M50" s="290">
        <v>0</v>
      </c>
      <c r="N50" s="205">
        <f t="shared" si="19"/>
        <v>0</v>
      </c>
      <c r="O50" s="290">
        <v>2</v>
      </c>
      <c r="P50" s="205">
        <f t="shared" si="20"/>
        <v>0.80640000000000001</v>
      </c>
      <c r="Q50" s="290">
        <v>0</v>
      </c>
      <c r="R50" s="205">
        <f t="shared" si="21"/>
        <v>0</v>
      </c>
      <c r="S50" s="39">
        <f t="shared" si="7"/>
        <v>8</v>
      </c>
      <c r="T50" s="38">
        <f t="shared" si="4"/>
        <v>3.2256</v>
      </c>
      <c r="U50" s="290">
        <v>0</v>
      </c>
      <c r="V50" s="13">
        <f t="shared" si="8"/>
        <v>0</v>
      </c>
      <c r="W50" s="294">
        <f t="shared" si="9"/>
        <v>8</v>
      </c>
      <c r="X50" s="295">
        <f t="shared" si="10"/>
        <v>3.2256</v>
      </c>
      <c r="Y50" s="238">
        <v>10</v>
      </c>
      <c r="Z50" s="101">
        <v>20</v>
      </c>
    </row>
    <row r="51" spans="1:26" x14ac:dyDescent="0.25">
      <c r="A51" s="264">
        <v>47</v>
      </c>
      <c r="B51" s="256" t="s">
        <v>176</v>
      </c>
      <c r="C51" s="34">
        <v>130</v>
      </c>
      <c r="D51" s="34">
        <v>60</v>
      </c>
      <c r="E51" s="34">
        <v>5</v>
      </c>
      <c r="F51" s="19">
        <f t="shared" si="5"/>
        <v>3.9E-2</v>
      </c>
      <c r="G51" s="284">
        <v>0</v>
      </c>
      <c r="H51" s="288">
        <f t="shared" si="6"/>
        <v>0</v>
      </c>
      <c r="I51" s="290">
        <v>0</v>
      </c>
      <c r="J51" s="205">
        <f t="shared" si="0"/>
        <v>0</v>
      </c>
      <c r="K51" s="290">
        <v>0</v>
      </c>
      <c r="L51" s="205">
        <f t="shared" si="18"/>
        <v>0</v>
      </c>
      <c r="M51" s="290">
        <v>0</v>
      </c>
      <c r="N51" s="205">
        <f t="shared" si="19"/>
        <v>0</v>
      </c>
      <c r="O51" s="290">
        <v>0</v>
      </c>
      <c r="P51" s="205">
        <f t="shared" si="20"/>
        <v>0</v>
      </c>
      <c r="Q51" s="290">
        <v>0</v>
      </c>
      <c r="R51" s="205">
        <f t="shared" si="21"/>
        <v>0</v>
      </c>
      <c r="S51" s="39">
        <f t="shared" si="7"/>
        <v>0</v>
      </c>
      <c r="T51" s="38">
        <f t="shared" si="4"/>
        <v>0</v>
      </c>
      <c r="U51" s="290">
        <v>0</v>
      </c>
      <c r="V51" s="13">
        <f t="shared" si="8"/>
        <v>0</v>
      </c>
      <c r="W51" s="294">
        <f t="shared" si="9"/>
        <v>0</v>
      </c>
      <c r="X51" s="295">
        <f t="shared" si="10"/>
        <v>0</v>
      </c>
      <c r="Y51" s="238">
        <v>30</v>
      </c>
      <c r="Z51" s="101">
        <v>100</v>
      </c>
    </row>
    <row r="52" spans="1:26" x14ac:dyDescent="0.25">
      <c r="A52" s="264">
        <v>48</v>
      </c>
      <c r="B52" s="255" t="s">
        <v>178</v>
      </c>
      <c r="C52" s="34">
        <v>140</v>
      </c>
      <c r="D52" s="34">
        <v>240</v>
      </c>
      <c r="E52" s="34">
        <v>3</v>
      </c>
      <c r="F52" s="19">
        <f t="shared" si="5"/>
        <v>0.1008</v>
      </c>
      <c r="G52" s="284">
        <v>884</v>
      </c>
      <c r="H52" s="288">
        <f t="shared" si="6"/>
        <v>89.107200000000006</v>
      </c>
      <c r="I52" s="290">
        <v>58</v>
      </c>
      <c r="J52" s="205">
        <f t="shared" si="0"/>
        <v>5.8464</v>
      </c>
      <c r="K52" s="290">
        <v>25</v>
      </c>
      <c r="L52" s="205">
        <f t="shared" si="18"/>
        <v>2.52</v>
      </c>
      <c r="M52" s="290">
        <v>4</v>
      </c>
      <c r="N52" s="205">
        <f t="shared" si="19"/>
        <v>0.4032</v>
      </c>
      <c r="O52" s="290">
        <v>7</v>
      </c>
      <c r="P52" s="205">
        <f t="shared" si="20"/>
        <v>0.7056</v>
      </c>
      <c r="Q52" s="290">
        <v>0</v>
      </c>
      <c r="R52" s="205">
        <f t="shared" si="21"/>
        <v>0</v>
      </c>
      <c r="S52" s="39">
        <f t="shared" si="7"/>
        <v>790</v>
      </c>
      <c r="T52" s="38">
        <f t="shared" si="4"/>
        <v>79.632000000000005</v>
      </c>
      <c r="U52" s="290">
        <v>0</v>
      </c>
      <c r="V52" s="13">
        <f t="shared" si="8"/>
        <v>0</v>
      </c>
      <c r="W52" s="294">
        <f t="shared" si="9"/>
        <v>790</v>
      </c>
      <c r="X52" s="295">
        <f t="shared" si="10"/>
        <v>79.632000000000005</v>
      </c>
      <c r="Y52" s="238">
        <v>100</v>
      </c>
      <c r="Z52" s="101">
        <v>300</v>
      </c>
    </row>
    <row r="53" spans="1:26" x14ac:dyDescent="0.25">
      <c r="A53" s="264">
        <v>49</v>
      </c>
      <c r="B53" s="256" t="s">
        <v>185</v>
      </c>
      <c r="C53" s="34">
        <v>140</v>
      </c>
      <c r="D53" s="34">
        <v>240</v>
      </c>
      <c r="E53" s="34">
        <v>1</v>
      </c>
      <c r="F53" s="19">
        <f t="shared" si="5"/>
        <v>3.3599999999999998E-2</v>
      </c>
      <c r="G53" s="284">
        <v>300</v>
      </c>
      <c r="H53" s="288">
        <f t="shared" si="6"/>
        <v>10.08</v>
      </c>
      <c r="I53" s="290">
        <v>0</v>
      </c>
      <c r="J53" s="205">
        <f t="shared" si="0"/>
        <v>0</v>
      </c>
      <c r="K53" s="290">
        <v>0</v>
      </c>
      <c r="L53" s="205">
        <f>F53*K53</f>
        <v>0</v>
      </c>
      <c r="M53" s="290">
        <v>0</v>
      </c>
      <c r="N53" s="205">
        <f t="shared" si="19"/>
        <v>0</v>
      </c>
      <c r="O53" s="290">
        <v>0</v>
      </c>
      <c r="P53" s="205">
        <f t="shared" si="20"/>
        <v>0</v>
      </c>
      <c r="Q53" s="290">
        <v>0</v>
      </c>
      <c r="R53" s="205">
        <f t="shared" si="21"/>
        <v>0</v>
      </c>
      <c r="S53" s="39">
        <f t="shared" si="7"/>
        <v>300</v>
      </c>
      <c r="T53" s="38">
        <f t="shared" si="4"/>
        <v>10.08</v>
      </c>
      <c r="U53" s="290">
        <v>0</v>
      </c>
      <c r="V53" s="13">
        <f t="shared" si="8"/>
        <v>0</v>
      </c>
      <c r="W53" s="294">
        <f t="shared" si="9"/>
        <v>300</v>
      </c>
      <c r="X53" s="295">
        <f t="shared" si="10"/>
        <v>10.08</v>
      </c>
      <c r="Y53" s="238">
        <v>50</v>
      </c>
      <c r="Z53" s="101">
        <v>0</v>
      </c>
    </row>
    <row r="54" spans="1:26" x14ac:dyDescent="0.25">
      <c r="A54" s="264">
        <v>50</v>
      </c>
      <c r="B54" s="256" t="s">
        <v>186</v>
      </c>
      <c r="C54" s="34">
        <v>140</v>
      </c>
      <c r="D54" s="34">
        <v>240</v>
      </c>
      <c r="E54" s="34">
        <v>3</v>
      </c>
      <c r="F54" s="19">
        <f t="shared" si="5"/>
        <v>0.1008</v>
      </c>
      <c r="G54" s="284">
        <v>126</v>
      </c>
      <c r="H54" s="288">
        <f t="shared" si="6"/>
        <v>12.700800000000001</v>
      </c>
      <c r="I54" s="290">
        <v>6</v>
      </c>
      <c r="J54" s="205">
        <f t="shared" si="0"/>
        <v>0.6048</v>
      </c>
      <c r="K54" s="290">
        <v>0</v>
      </c>
      <c r="L54" s="205">
        <f>F54*K54</f>
        <v>0</v>
      </c>
      <c r="M54" s="290">
        <v>18</v>
      </c>
      <c r="N54" s="205">
        <f t="shared" si="19"/>
        <v>1.8144</v>
      </c>
      <c r="O54" s="290">
        <v>27</v>
      </c>
      <c r="P54" s="205">
        <f t="shared" si="20"/>
        <v>2.7216</v>
      </c>
      <c r="Q54" s="290">
        <v>0</v>
      </c>
      <c r="R54" s="205">
        <f t="shared" si="21"/>
        <v>0</v>
      </c>
      <c r="S54" s="39">
        <f t="shared" si="7"/>
        <v>75</v>
      </c>
      <c r="T54" s="38">
        <f t="shared" si="4"/>
        <v>7.5600000000000005</v>
      </c>
      <c r="U54" s="290">
        <v>0</v>
      </c>
      <c r="V54" s="13">
        <f t="shared" si="8"/>
        <v>0</v>
      </c>
      <c r="W54" s="294">
        <f t="shared" si="9"/>
        <v>75</v>
      </c>
      <c r="X54" s="295">
        <f t="shared" si="10"/>
        <v>7.5600000000000005</v>
      </c>
      <c r="Y54" s="238">
        <v>50</v>
      </c>
      <c r="Z54" s="101">
        <v>0</v>
      </c>
    </row>
    <row r="55" spans="1:26" x14ac:dyDescent="0.25">
      <c r="A55" s="277">
        <v>51</v>
      </c>
      <c r="B55" s="283" t="s">
        <v>187</v>
      </c>
      <c r="C55" s="264">
        <v>140</v>
      </c>
      <c r="D55" s="264">
        <v>240</v>
      </c>
      <c r="E55" s="264">
        <v>5</v>
      </c>
      <c r="F55" s="19">
        <f t="shared" si="5"/>
        <v>0.16800000000000001</v>
      </c>
      <c r="G55" s="296">
        <v>148</v>
      </c>
      <c r="H55" s="299">
        <f t="shared" si="6"/>
        <v>24.864000000000001</v>
      </c>
      <c r="I55" s="290">
        <v>0</v>
      </c>
      <c r="J55" s="205">
        <f t="shared" si="0"/>
        <v>0</v>
      </c>
      <c r="K55" s="290">
        <v>0</v>
      </c>
      <c r="L55" s="205">
        <f>F55*K55</f>
        <v>0</v>
      </c>
      <c r="M55" s="290">
        <v>0</v>
      </c>
      <c r="N55" s="205">
        <f t="shared" si="19"/>
        <v>0</v>
      </c>
      <c r="O55" s="290">
        <v>0</v>
      </c>
      <c r="P55" s="205">
        <f t="shared" si="20"/>
        <v>0</v>
      </c>
      <c r="Q55" s="290">
        <v>0</v>
      </c>
      <c r="R55" s="205">
        <f t="shared" si="21"/>
        <v>0</v>
      </c>
      <c r="S55" s="39">
        <f t="shared" si="7"/>
        <v>148</v>
      </c>
      <c r="T55" s="38">
        <f t="shared" si="4"/>
        <v>24.864000000000001</v>
      </c>
      <c r="U55" s="290">
        <v>0</v>
      </c>
      <c r="V55" s="13">
        <f t="shared" si="8"/>
        <v>0</v>
      </c>
      <c r="W55" s="294">
        <f t="shared" si="9"/>
        <v>148</v>
      </c>
      <c r="X55" s="295">
        <f t="shared" si="10"/>
        <v>24.864000000000001</v>
      </c>
      <c r="Y55" s="101">
        <v>30</v>
      </c>
      <c r="Z55" s="101"/>
    </row>
    <row r="56" spans="1:26" x14ac:dyDescent="0.25">
      <c r="A56" s="277">
        <v>52</v>
      </c>
      <c r="B56" s="283" t="s">
        <v>188</v>
      </c>
      <c r="C56" s="264">
        <v>140</v>
      </c>
      <c r="D56" s="264">
        <v>240</v>
      </c>
      <c r="E56" s="264">
        <v>10</v>
      </c>
      <c r="F56" s="19">
        <f t="shared" si="5"/>
        <v>0.33600000000000002</v>
      </c>
      <c r="G56" s="296">
        <v>72</v>
      </c>
      <c r="H56" s="299">
        <f t="shared" si="6"/>
        <v>24.192</v>
      </c>
      <c r="I56" s="290">
        <v>0</v>
      </c>
      <c r="J56" s="205">
        <f t="shared" ref="J56:J69" si="22">F56*I56</f>
        <v>0</v>
      </c>
      <c r="K56" s="290">
        <v>0</v>
      </c>
      <c r="L56" s="205">
        <f>F56*K56</f>
        <v>0</v>
      </c>
      <c r="M56" s="290">
        <v>0</v>
      </c>
      <c r="N56" s="205">
        <f t="shared" si="19"/>
        <v>0</v>
      </c>
      <c r="O56" s="290">
        <v>0</v>
      </c>
      <c r="P56" s="205">
        <f t="shared" si="20"/>
        <v>0</v>
      </c>
      <c r="Q56" s="290">
        <v>0</v>
      </c>
      <c r="R56" s="205">
        <f t="shared" si="21"/>
        <v>0</v>
      </c>
      <c r="S56" s="39">
        <f t="shared" si="7"/>
        <v>72</v>
      </c>
      <c r="T56" s="38">
        <f t="shared" si="4"/>
        <v>24.192</v>
      </c>
      <c r="U56" s="290">
        <v>0</v>
      </c>
      <c r="V56" s="13">
        <f t="shared" si="8"/>
        <v>0</v>
      </c>
      <c r="W56" s="294">
        <f t="shared" si="9"/>
        <v>72</v>
      </c>
      <c r="X56" s="295">
        <f t="shared" si="10"/>
        <v>24.192</v>
      </c>
      <c r="Y56" s="101">
        <v>20</v>
      </c>
      <c r="Z56" s="101"/>
    </row>
    <row r="57" spans="1:26" x14ac:dyDescent="0.25">
      <c r="A57" s="264">
        <v>53</v>
      </c>
      <c r="B57" s="101" t="s">
        <v>201</v>
      </c>
      <c r="C57" s="264">
        <v>52</v>
      </c>
      <c r="D57" s="264">
        <v>52</v>
      </c>
      <c r="E57" s="264">
        <v>5</v>
      </c>
      <c r="F57" s="19">
        <f t="shared" si="5"/>
        <v>1.3520000000000001E-2</v>
      </c>
      <c r="G57" s="296">
        <v>78</v>
      </c>
      <c r="H57" s="299">
        <f t="shared" si="6"/>
        <v>1.0545600000000002</v>
      </c>
      <c r="I57" s="290">
        <v>20</v>
      </c>
      <c r="J57" s="205">
        <f t="shared" si="22"/>
        <v>0.27040000000000003</v>
      </c>
      <c r="K57" s="290">
        <v>0</v>
      </c>
      <c r="L57" s="205">
        <f t="shared" ref="L57:L65" si="23">F57*K57</f>
        <v>0</v>
      </c>
      <c r="M57" s="290">
        <v>0</v>
      </c>
      <c r="N57" s="205">
        <f t="shared" si="19"/>
        <v>0</v>
      </c>
      <c r="O57" s="290">
        <v>0</v>
      </c>
      <c r="P57" s="205">
        <f t="shared" si="20"/>
        <v>0</v>
      </c>
      <c r="Q57" s="290">
        <v>0</v>
      </c>
      <c r="R57" s="205">
        <f t="shared" si="21"/>
        <v>0</v>
      </c>
      <c r="S57" s="39">
        <f t="shared" si="7"/>
        <v>58</v>
      </c>
      <c r="T57" s="38">
        <f t="shared" si="4"/>
        <v>0.78416000000000008</v>
      </c>
      <c r="U57" s="290">
        <v>0</v>
      </c>
      <c r="V57" s="13">
        <f t="shared" si="8"/>
        <v>0</v>
      </c>
      <c r="W57" s="294">
        <f t="shared" si="9"/>
        <v>58</v>
      </c>
      <c r="X57" s="295">
        <f t="shared" si="10"/>
        <v>0.78416000000000008</v>
      </c>
      <c r="Y57" s="101"/>
      <c r="Z57" s="101"/>
    </row>
    <row r="58" spans="1:26" x14ac:dyDescent="0.25">
      <c r="A58" s="264">
        <v>54</v>
      </c>
      <c r="B58" s="101" t="s">
        <v>193</v>
      </c>
      <c r="C58" s="264">
        <v>80</v>
      </c>
      <c r="D58" s="264">
        <v>75</v>
      </c>
      <c r="E58" s="264">
        <v>5</v>
      </c>
      <c r="F58" s="19">
        <f t="shared" si="5"/>
        <v>0.03</v>
      </c>
      <c r="G58" s="264">
        <v>170</v>
      </c>
      <c r="H58" s="299">
        <f t="shared" si="6"/>
        <v>5.0999999999999996</v>
      </c>
      <c r="I58" s="290">
        <v>0</v>
      </c>
      <c r="J58" s="205">
        <f t="shared" si="22"/>
        <v>0</v>
      </c>
      <c r="K58" s="290">
        <v>0</v>
      </c>
      <c r="L58" s="205">
        <f t="shared" si="23"/>
        <v>0</v>
      </c>
      <c r="M58" s="290">
        <v>0</v>
      </c>
      <c r="N58" s="205">
        <f t="shared" si="19"/>
        <v>0</v>
      </c>
      <c r="O58" s="290">
        <v>0</v>
      </c>
      <c r="P58" s="205">
        <f t="shared" si="20"/>
        <v>0</v>
      </c>
      <c r="Q58" s="290">
        <v>0</v>
      </c>
      <c r="R58" s="205">
        <f t="shared" si="21"/>
        <v>0</v>
      </c>
      <c r="S58" s="39">
        <f t="shared" si="7"/>
        <v>170</v>
      </c>
      <c r="T58" s="38">
        <f t="shared" si="4"/>
        <v>5.0999999999999996</v>
      </c>
      <c r="U58" s="290">
        <v>0</v>
      </c>
      <c r="V58" s="308">
        <f t="shared" si="8"/>
        <v>0</v>
      </c>
      <c r="W58" s="294">
        <f t="shared" si="9"/>
        <v>170</v>
      </c>
      <c r="X58" s="300">
        <f t="shared" si="10"/>
        <v>5.0999999999999996</v>
      </c>
      <c r="Y58" s="101"/>
      <c r="Z58" s="101"/>
    </row>
    <row r="59" spans="1:26" x14ac:dyDescent="0.25">
      <c r="A59" s="264">
        <v>55</v>
      </c>
      <c r="B59" s="101" t="s">
        <v>194</v>
      </c>
      <c r="C59" s="264">
        <v>58</v>
      </c>
      <c r="D59" s="264">
        <v>25</v>
      </c>
      <c r="E59" s="264">
        <v>3</v>
      </c>
      <c r="F59" s="298">
        <f t="shared" si="5"/>
        <v>4.3499999999999997E-3</v>
      </c>
      <c r="G59" s="264">
        <v>0</v>
      </c>
      <c r="H59" s="299">
        <f t="shared" si="6"/>
        <v>0</v>
      </c>
      <c r="I59" s="290">
        <v>0</v>
      </c>
      <c r="J59" s="205">
        <f t="shared" si="22"/>
        <v>0</v>
      </c>
      <c r="K59" s="290">
        <v>0</v>
      </c>
      <c r="L59" s="205">
        <f t="shared" si="23"/>
        <v>0</v>
      </c>
      <c r="M59" s="290">
        <v>0</v>
      </c>
      <c r="N59" s="205">
        <f t="shared" si="19"/>
        <v>0</v>
      </c>
      <c r="O59" s="290">
        <v>0</v>
      </c>
      <c r="P59" s="205">
        <f t="shared" si="20"/>
        <v>0</v>
      </c>
      <c r="Q59" s="290">
        <v>0</v>
      </c>
      <c r="R59" s="205">
        <f>F59*Q59</f>
        <v>0</v>
      </c>
      <c r="S59" s="39">
        <f t="shared" si="7"/>
        <v>0</v>
      </c>
      <c r="T59" s="38">
        <f t="shared" si="4"/>
        <v>0</v>
      </c>
      <c r="U59" s="290">
        <v>0</v>
      </c>
      <c r="V59" s="309">
        <f t="shared" si="8"/>
        <v>0</v>
      </c>
      <c r="W59" s="294">
        <f t="shared" si="9"/>
        <v>0</v>
      </c>
      <c r="X59" s="300">
        <f t="shared" si="10"/>
        <v>0</v>
      </c>
      <c r="Y59" s="101"/>
      <c r="Z59" s="101"/>
    </row>
    <row r="60" spans="1:26" x14ac:dyDescent="0.25">
      <c r="A60" s="264">
        <v>56</v>
      </c>
      <c r="B60" s="101" t="s">
        <v>195</v>
      </c>
      <c r="C60" s="264">
        <v>64</v>
      </c>
      <c r="D60" s="264">
        <v>58</v>
      </c>
      <c r="E60" s="264">
        <v>5</v>
      </c>
      <c r="F60" s="298">
        <f t="shared" si="5"/>
        <v>1.856E-2</v>
      </c>
      <c r="G60" s="264">
        <v>130</v>
      </c>
      <c r="H60" s="299">
        <f t="shared" si="6"/>
        <v>2.4127999999999998</v>
      </c>
      <c r="I60" s="290">
        <v>0</v>
      </c>
      <c r="J60" s="205">
        <f t="shared" si="22"/>
        <v>0</v>
      </c>
      <c r="K60" s="290">
        <v>0</v>
      </c>
      <c r="L60" s="205">
        <f t="shared" si="23"/>
        <v>0</v>
      </c>
      <c r="M60" s="290">
        <v>0</v>
      </c>
      <c r="N60" s="205">
        <f t="shared" si="19"/>
        <v>0</v>
      </c>
      <c r="O60" s="290">
        <v>14</v>
      </c>
      <c r="P60" s="205">
        <f t="shared" si="20"/>
        <v>0.25984000000000002</v>
      </c>
      <c r="Q60" s="290">
        <v>0</v>
      </c>
      <c r="R60" s="205">
        <f t="shared" ref="R60:R65" si="24">F60*Q60</f>
        <v>0</v>
      </c>
      <c r="S60" s="39">
        <f t="shared" si="7"/>
        <v>116</v>
      </c>
      <c r="T60" s="38">
        <f t="shared" si="4"/>
        <v>2.1529600000000002</v>
      </c>
      <c r="U60" s="290">
        <v>0</v>
      </c>
      <c r="V60" s="309">
        <f t="shared" si="8"/>
        <v>0</v>
      </c>
      <c r="W60" s="294">
        <f t="shared" si="9"/>
        <v>116</v>
      </c>
      <c r="X60" s="301">
        <f t="shared" si="10"/>
        <v>2.1529600000000002</v>
      </c>
      <c r="Y60" s="101"/>
      <c r="Z60" s="101"/>
    </row>
    <row r="61" spans="1:26" x14ac:dyDescent="0.25">
      <c r="A61" s="264">
        <v>57</v>
      </c>
      <c r="B61" s="101" t="s">
        <v>197</v>
      </c>
      <c r="C61" s="264">
        <v>65</v>
      </c>
      <c r="D61" s="264">
        <v>65</v>
      </c>
      <c r="E61" s="264">
        <v>5</v>
      </c>
      <c r="F61" s="101">
        <f t="shared" si="5"/>
        <v>2.1125000000000001E-2</v>
      </c>
      <c r="G61" s="264">
        <v>252</v>
      </c>
      <c r="H61" s="299">
        <f t="shared" si="6"/>
        <v>5.3235000000000001</v>
      </c>
      <c r="I61" s="290">
        <v>0</v>
      </c>
      <c r="J61" s="205">
        <f t="shared" si="22"/>
        <v>0</v>
      </c>
      <c r="K61" s="290">
        <v>0</v>
      </c>
      <c r="L61" s="205">
        <f t="shared" si="23"/>
        <v>0</v>
      </c>
      <c r="M61" s="290">
        <v>0</v>
      </c>
      <c r="N61" s="174">
        <f t="shared" si="19"/>
        <v>0</v>
      </c>
      <c r="O61" s="290">
        <v>0</v>
      </c>
      <c r="P61" s="205">
        <f t="shared" si="20"/>
        <v>0</v>
      </c>
      <c r="Q61" s="290">
        <v>0</v>
      </c>
      <c r="R61" s="205">
        <f t="shared" si="24"/>
        <v>0</v>
      </c>
      <c r="S61" s="39">
        <f t="shared" si="7"/>
        <v>252</v>
      </c>
      <c r="T61" s="38">
        <f t="shared" si="4"/>
        <v>5.3235000000000001</v>
      </c>
      <c r="U61" s="290">
        <v>0</v>
      </c>
      <c r="V61" s="309">
        <f t="shared" si="8"/>
        <v>0</v>
      </c>
      <c r="W61" s="294">
        <f t="shared" si="9"/>
        <v>252</v>
      </c>
      <c r="X61" s="300">
        <f t="shared" si="10"/>
        <v>5.3235000000000001</v>
      </c>
      <c r="Y61" s="101"/>
      <c r="Z61" s="101"/>
    </row>
    <row r="62" spans="1:26" x14ac:dyDescent="0.25">
      <c r="A62" s="264">
        <v>58</v>
      </c>
      <c r="B62" s="101" t="s">
        <v>198</v>
      </c>
      <c r="C62" s="264">
        <v>83</v>
      </c>
      <c r="D62" s="264">
        <v>55</v>
      </c>
      <c r="E62" s="264">
        <v>3</v>
      </c>
      <c r="F62" s="101">
        <f t="shared" si="5"/>
        <v>1.3695000000000001E-2</v>
      </c>
      <c r="G62" s="264">
        <v>225</v>
      </c>
      <c r="H62" s="299">
        <f t="shared" si="6"/>
        <v>3.081375</v>
      </c>
      <c r="I62" s="290">
        <v>0</v>
      </c>
      <c r="J62" s="205">
        <f t="shared" si="22"/>
        <v>0</v>
      </c>
      <c r="K62" s="290">
        <v>0</v>
      </c>
      <c r="L62" s="205">
        <f t="shared" si="23"/>
        <v>0</v>
      </c>
      <c r="M62" s="290">
        <v>0</v>
      </c>
      <c r="N62" s="174">
        <f t="shared" si="19"/>
        <v>0</v>
      </c>
      <c r="O62" s="290">
        <v>0</v>
      </c>
      <c r="P62" s="205">
        <f t="shared" si="20"/>
        <v>0</v>
      </c>
      <c r="Q62" s="290">
        <v>0</v>
      </c>
      <c r="R62" s="205">
        <f t="shared" si="24"/>
        <v>0</v>
      </c>
      <c r="S62" s="39">
        <f t="shared" si="7"/>
        <v>225</v>
      </c>
      <c r="T62" s="38">
        <f t="shared" si="4"/>
        <v>3.081375</v>
      </c>
      <c r="U62" s="290">
        <v>0</v>
      </c>
      <c r="V62" s="309">
        <f t="shared" si="8"/>
        <v>0</v>
      </c>
      <c r="W62" s="294">
        <f t="shared" si="9"/>
        <v>225</v>
      </c>
      <c r="X62" s="300">
        <f t="shared" si="10"/>
        <v>3.081375</v>
      </c>
      <c r="Y62" s="101"/>
      <c r="Z62" s="101"/>
    </row>
    <row r="63" spans="1:26" x14ac:dyDescent="0.25">
      <c r="A63" s="264">
        <v>59</v>
      </c>
      <c r="B63" s="101" t="s">
        <v>199</v>
      </c>
      <c r="C63" s="264">
        <v>75</v>
      </c>
      <c r="D63" s="264">
        <v>55</v>
      </c>
      <c r="E63" s="264">
        <v>3</v>
      </c>
      <c r="F63" s="101">
        <f t="shared" si="5"/>
        <v>1.2375000000000001E-2</v>
      </c>
      <c r="G63" s="264">
        <v>200</v>
      </c>
      <c r="H63" s="299">
        <f t="shared" si="6"/>
        <v>2.4750000000000001</v>
      </c>
      <c r="I63" s="290">
        <v>0</v>
      </c>
      <c r="J63" s="205">
        <f t="shared" si="22"/>
        <v>0</v>
      </c>
      <c r="K63" s="290">
        <v>0</v>
      </c>
      <c r="L63" s="205">
        <f t="shared" si="23"/>
        <v>0</v>
      </c>
      <c r="M63" s="290">
        <v>0</v>
      </c>
      <c r="N63" s="174">
        <f t="shared" si="19"/>
        <v>0</v>
      </c>
      <c r="O63" s="290">
        <v>0</v>
      </c>
      <c r="P63" s="205">
        <f t="shared" si="20"/>
        <v>0</v>
      </c>
      <c r="Q63" s="290">
        <v>0</v>
      </c>
      <c r="R63" s="205">
        <f t="shared" si="24"/>
        <v>0</v>
      </c>
      <c r="S63" s="39">
        <f t="shared" si="7"/>
        <v>200</v>
      </c>
      <c r="T63" s="38">
        <f t="shared" si="4"/>
        <v>2.4750000000000001</v>
      </c>
      <c r="U63" s="290">
        <v>0</v>
      </c>
      <c r="V63" s="309">
        <f t="shared" si="8"/>
        <v>0</v>
      </c>
      <c r="W63" s="294">
        <f t="shared" si="9"/>
        <v>200</v>
      </c>
      <c r="X63" s="300">
        <f t="shared" si="10"/>
        <v>2.4750000000000001</v>
      </c>
      <c r="Y63" s="101"/>
      <c r="Z63" s="101"/>
    </row>
    <row r="64" spans="1:26" x14ac:dyDescent="0.25">
      <c r="A64" s="264">
        <v>60</v>
      </c>
      <c r="B64" s="101" t="s">
        <v>200</v>
      </c>
      <c r="C64" s="264">
        <v>58</v>
      </c>
      <c r="D64" s="264">
        <v>19</v>
      </c>
      <c r="E64" s="264">
        <v>3</v>
      </c>
      <c r="F64" s="101">
        <f t="shared" si="5"/>
        <v>3.3059999999999999E-3</v>
      </c>
      <c r="G64" s="264">
        <v>180</v>
      </c>
      <c r="H64" s="299">
        <f t="shared" si="6"/>
        <v>0.59507999999999994</v>
      </c>
      <c r="I64" s="290">
        <v>0</v>
      </c>
      <c r="J64" s="205">
        <f t="shared" si="22"/>
        <v>0</v>
      </c>
      <c r="K64" s="290">
        <v>0</v>
      </c>
      <c r="L64" s="205">
        <f t="shared" si="23"/>
        <v>0</v>
      </c>
      <c r="M64" s="290">
        <v>0</v>
      </c>
      <c r="N64" s="174">
        <f t="shared" si="19"/>
        <v>0</v>
      </c>
      <c r="O64" s="290">
        <v>0</v>
      </c>
      <c r="P64" s="205">
        <f t="shared" si="20"/>
        <v>0</v>
      </c>
      <c r="Q64" s="290">
        <v>0</v>
      </c>
      <c r="R64" s="205">
        <f t="shared" si="24"/>
        <v>0</v>
      </c>
      <c r="S64" s="39">
        <f t="shared" si="7"/>
        <v>180</v>
      </c>
      <c r="T64" s="38">
        <f t="shared" si="4"/>
        <v>0.59507999999999994</v>
      </c>
      <c r="U64" s="290">
        <v>0</v>
      </c>
      <c r="V64" s="309">
        <f t="shared" si="8"/>
        <v>0</v>
      </c>
      <c r="W64" s="294">
        <f t="shared" si="9"/>
        <v>180</v>
      </c>
      <c r="X64" s="300">
        <f t="shared" si="10"/>
        <v>0.59507999999999994</v>
      </c>
      <c r="Y64" s="101"/>
      <c r="Z64" s="101"/>
    </row>
    <row r="65" spans="1:26" x14ac:dyDescent="0.25">
      <c r="A65" s="264">
        <v>61</v>
      </c>
      <c r="B65" s="101" t="s">
        <v>202</v>
      </c>
      <c r="C65" s="264">
        <v>140</v>
      </c>
      <c r="D65" s="264">
        <v>240</v>
      </c>
      <c r="E65" s="264">
        <v>4</v>
      </c>
      <c r="F65" s="101">
        <f t="shared" si="5"/>
        <v>0.13439999999999999</v>
      </c>
      <c r="G65" s="264">
        <v>42</v>
      </c>
      <c r="H65" s="299">
        <f t="shared" si="6"/>
        <v>5.6448</v>
      </c>
      <c r="I65" s="290">
        <v>0</v>
      </c>
      <c r="J65" s="205">
        <f t="shared" si="22"/>
        <v>0</v>
      </c>
      <c r="K65" s="290">
        <v>0</v>
      </c>
      <c r="L65" s="205">
        <f t="shared" si="23"/>
        <v>0</v>
      </c>
      <c r="M65" s="290">
        <v>42</v>
      </c>
      <c r="N65" s="174">
        <f t="shared" si="19"/>
        <v>5.6448</v>
      </c>
      <c r="O65" s="290">
        <v>0</v>
      </c>
      <c r="P65" s="205">
        <f t="shared" si="20"/>
        <v>0</v>
      </c>
      <c r="Q65" s="290">
        <v>0</v>
      </c>
      <c r="R65" s="205">
        <f t="shared" si="24"/>
        <v>0</v>
      </c>
      <c r="S65" s="39">
        <f t="shared" si="7"/>
        <v>0</v>
      </c>
      <c r="T65" s="38">
        <f t="shared" si="4"/>
        <v>0</v>
      </c>
      <c r="U65" s="290">
        <v>0</v>
      </c>
      <c r="V65" s="309">
        <f t="shared" si="8"/>
        <v>0</v>
      </c>
      <c r="W65" s="294">
        <f t="shared" si="9"/>
        <v>0</v>
      </c>
      <c r="X65" s="300">
        <f t="shared" si="10"/>
        <v>0</v>
      </c>
      <c r="Y65" s="101"/>
      <c r="Z65" s="101"/>
    </row>
    <row r="66" spans="1:26" x14ac:dyDescent="0.25">
      <c r="A66" s="264">
        <v>62</v>
      </c>
      <c r="B66" s="101" t="s">
        <v>203</v>
      </c>
      <c r="C66" s="264">
        <v>50</v>
      </c>
      <c r="D66" s="264">
        <v>46.5</v>
      </c>
      <c r="E66" s="264">
        <v>3</v>
      </c>
      <c r="F66" s="101">
        <f t="shared" si="5"/>
        <v>6.9750000000000003E-3</v>
      </c>
      <c r="G66" s="264">
        <v>1030</v>
      </c>
      <c r="H66" s="289">
        <f t="shared" si="6"/>
        <v>7.1842500000000005</v>
      </c>
      <c r="I66" s="290">
        <v>0</v>
      </c>
      <c r="J66" s="205">
        <f t="shared" si="22"/>
        <v>0</v>
      </c>
      <c r="K66" s="290">
        <v>0</v>
      </c>
      <c r="L66" s="101"/>
      <c r="M66" s="290">
        <v>0</v>
      </c>
      <c r="N66" s="264">
        <f t="shared" si="19"/>
        <v>0</v>
      </c>
      <c r="O66" s="290">
        <v>0</v>
      </c>
      <c r="P66" s="264">
        <f t="shared" si="20"/>
        <v>0</v>
      </c>
      <c r="Q66" s="290">
        <v>0</v>
      </c>
      <c r="R66" s="101"/>
      <c r="S66" s="39">
        <f t="shared" si="7"/>
        <v>1030</v>
      </c>
      <c r="T66" s="38">
        <f t="shared" si="4"/>
        <v>7.1842500000000005</v>
      </c>
      <c r="U66" s="290">
        <v>0</v>
      </c>
      <c r="V66" s="309">
        <f t="shared" si="8"/>
        <v>0</v>
      </c>
      <c r="W66" s="294">
        <f t="shared" si="9"/>
        <v>1030</v>
      </c>
      <c r="X66" s="300">
        <f t="shared" si="10"/>
        <v>7.1842500000000005</v>
      </c>
      <c r="Y66" s="101"/>
      <c r="Z66" s="101"/>
    </row>
    <row r="67" spans="1:26" x14ac:dyDescent="0.25">
      <c r="A67" s="264">
        <v>63</v>
      </c>
      <c r="B67" s="101" t="s">
        <v>204</v>
      </c>
      <c r="C67" s="264">
        <v>50</v>
      </c>
      <c r="D67" s="264">
        <v>35</v>
      </c>
      <c r="E67" s="264">
        <v>3</v>
      </c>
      <c r="F67" s="101">
        <f t="shared" si="5"/>
        <v>5.2500000000000003E-3</v>
      </c>
      <c r="G67" s="264">
        <v>1195</v>
      </c>
      <c r="H67" s="289">
        <f t="shared" si="6"/>
        <v>6.2737500000000006</v>
      </c>
      <c r="I67" s="290">
        <v>0</v>
      </c>
      <c r="J67" s="205">
        <f t="shared" si="22"/>
        <v>0</v>
      </c>
      <c r="K67" s="290">
        <v>0</v>
      </c>
      <c r="L67" s="205">
        <f t="shared" ref="L67" si="25">F67*K67</f>
        <v>0</v>
      </c>
      <c r="M67" s="290">
        <v>0</v>
      </c>
      <c r="N67" s="264">
        <f t="shared" si="19"/>
        <v>0</v>
      </c>
      <c r="O67" s="290">
        <v>0</v>
      </c>
      <c r="P67" s="264"/>
      <c r="Q67" s="290">
        <v>0</v>
      </c>
      <c r="R67" s="264"/>
      <c r="S67" s="39">
        <f t="shared" si="7"/>
        <v>1195</v>
      </c>
      <c r="T67" s="38">
        <f t="shared" si="4"/>
        <v>6.2737500000000006</v>
      </c>
      <c r="U67" s="290">
        <v>0</v>
      </c>
      <c r="V67" s="309">
        <f t="shared" si="8"/>
        <v>0</v>
      </c>
      <c r="W67" s="294">
        <f t="shared" si="9"/>
        <v>1195</v>
      </c>
      <c r="X67" s="300">
        <f t="shared" si="10"/>
        <v>6.2737500000000006</v>
      </c>
      <c r="Y67" s="101"/>
      <c r="Z67" s="101"/>
    </row>
    <row r="68" spans="1:26" x14ac:dyDescent="0.25">
      <c r="A68" s="264">
        <v>64</v>
      </c>
      <c r="B68" s="101" t="s">
        <v>205</v>
      </c>
      <c r="C68" s="264">
        <v>140</v>
      </c>
      <c r="D68" s="264">
        <v>240</v>
      </c>
      <c r="E68" s="264">
        <v>8</v>
      </c>
      <c r="F68" s="101">
        <f t="shared" si="5"/>
        <v>0.26879999999999998</v>
      </c>
      <c r="G68" s="264">
        <v>1</v>
      </c>
      <c r="H68" s="289">
        <f t="shared" si="6"/>
        <v>0.26879999999999998</v>
      </c>
      <c r="I68" s="290">
        <v>0</v>
      </c>
      <c r="J68" s="264">
        <f t="shared" si="22"/>
        <v>0</v>
      </c>
      <c r="K68" s="290">
        <v>0</v>
      </c>
      <c r="L68" s="264"/>
      <c r="M68" s="290">
        <v>0</v>
      </c>
      <c r="N68" s="264">
        <v>0</v>
      </c>
      <c r="O68" s="290">
        <v>0</v>
      </c>
      <c r="P68" s="264"/>
      <c r="Q68" s="290">
        <v>0</v>
      </c>
      <c r="R68" s="264">
        <v>0</v>
      </c>
      <c r="S68" s="39">
        <f t="shared" si="7"/>
        <v>1</v>
      </c>
      <c r="T68" s="38">
        <f t="shared" si="4"/>
        <v>0.26879999999999998</v>
      </c>
      <c r="U68" s="290">
        <v>0</v>
      </c>
      <c r="V68" s="309">
        <v>0</v>
      </c>
      <c r="W68" s="294">
        <f t="shared" si="9"/>
        <v>1</v>
      </c>
      <c r="X68" s="300">
        <f t="shared" si="10"/>
        <v>0.26879999999999998</v>
      </c>
      <c r="Y68" s="101"/>
      <c r="Z68" s="101"/>
    </row>
    <row r="69" spans="1:26" x14ac:dyDescent="0.25">
      <c r="A69" s="264">
        <v>65</v>
      </c>
      <c r="B69" s="101" t="s">
        <v>206</v>
      </c>
      <c r="C69" s="264">
        <v>140</v>
      </c>
      <c r="D69" s="264">
        <v>240</v>
      </c>
      <c r="E69" s="264">
        <v>2</v>
      </c>
      <c r="F69" s="101">
        <f t="shared" si="5"/>
        <v>6.7199999999999996E-2</v>
      </c>
      <c r="G69" s="264">
        <v>70</v>
      </c>
      <c r="H69" s="289">
        <f t="shared" si="6"/>
        <v>4.7039999999999997</v>
      </c>
      <c r="I69" s="290">
        <v>0</v>
      </c>
      <c r="J69" s="264">
        <f t="shared" si="22"/>
        <v>0</v>
      </c>
      <c r="K69" s="290">
        <v>0</v>
      </c>
      <c r="L69" s="264"/>
      <c r="M69" s="290">
        <v>0</v>
      </c>
      <c r="N69" s="174">
        <v>0</v>
      </c>
      <c r="O69" s="290">
        <v>0</v>
      </c>
      <c r="P69" s="264">
        <f t="shared" ref="P69" si="26">F69*O69</f>
        <v>0</v>
      </c>
      <c r="Q69" s="290">
        <v>0</v>
      </c>
      <c r="R69" s="205">
        <f t="shared" ref="R69" si="27">F69*Q69</f>
        <v>0</v>
      </c>
      <c r="S69" s="39">
        <f t="shared" si="7"/>
        <v>70</v>
      </c>
      <c r="T69" s="38">
        <f t="shared" ref="T69:T70" si="28">F69*S69</f>
        <v>4.7039999999999997</v>
      </c>
      <c r="U69" s="290">
        <v>0</v>
      </c>
      <c r="V69" s="309">
        <v>0</v>
      </c>
      <c r="W69" s="294">
        <f t="shared" si="9"/>
        <v>70</v>
      </c>
      <c r="X69" s="300">
        <f t="shared" si="10"/>
        <v>4.7039999999999997</v>
      </c>
      <c r="Y69" s="101"/>
      <c r="Z69" s="101"/>
    </row>
    <row r="70" spans="1:26" x14ac:dyDescent="0.25">
      <c r="A70" s="264">
        <v>66</v>
      </c>
      <c r="B70" s="101"/>
      <c r="C70" s="264"/>
      <c r="D70" s="264"/>
      <c r="E70" s="264"/>
      <c r="F70" s="101"/>
      <c r="G70" s="264"/>
      <c r="H70" s="289"/>
      <c r="I70" s="290">
        <v>0</v>
      </c>
      <c r="J70" s="264"/>
      <c r="K70" s="290">
        <v>0</v>
      </c>
      <c r="L70" s="264"/>
      <c r="M70" s="290">
        <v>0</v>
      </c>
      <c r="N70" s="264">
        <f t="shared" si="19"/>
        <v>0</v>
      </c>
      <c r="O70" s="290">
        <v>0</v>
      </c>
      <c r="P70" s="264"/>
      <c r="Q70" s="290">
        <v>0</v>
      </c>
      <c r="R70" s="264"/>
      <c r="S70" s="39">
        <f t="shared" ref="S70" si="29">G70-I70-K70-M70-O70-Q70</f>
        <v>0</v>
      </c>
      <c r="T70" s="38">
        <f t="shared" si="28"/>
        <v>0</v>
      </c>
      <c r="U70" s="290">
        <v>0</v>
      </c>
      <c r="V70" s="309">
        <f t="shared" ref="V70" si="30">F70*U70</f>
        <v>0</v>
      </c>
      <c r="W70" s="294">
        <f t="shared" ref="W70" si="31">S70+U70</f>
        <v>0</v>
      </c>
      <c r="X70" s="300">
        <f t="shared" ref="X70" si="32">F70*W70</f>
        <v>0</v>
      </c>
      <c r="Y70" s="101"/>
      <c r="Z70" s="101"/>
    </row>
    <row r="71" spans="1:26" x14ac:dyDescent="0.2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spans="1:26" x14ac:dyDescent="0.2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1:26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1:26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1:26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1:26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1:26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1:26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</sheetData>
  <mergeCells count="24">
    <mergeCell ref="C1:H1"/>
    <mergeCell ref="G2:H3"/>
    <mergeCell ref="I2:J2"/>
    <mergeCell ref="K2:L2"/>
    <mergeCell ref="M2:N2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S4:T4"/>
    <mergeCell ref="U4:V4"/>
    <mergeCell ref="W4:X4"/>
    <mergeCell ref="G4:H4"/>
    <mergeCell ref="I4:J4"/>
    <mergeCell ref="K4:L4"/>
    <mergeCell ref="M4:N4"/>
    <mergeCell ref="O4:P4"/>
    <mergeCell ref="Q4:R4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F549-DAFE-4566-9B85-E2531FFDE801}">
  <dimension ref="A1:Z78"/>
  <sheetViews>
    <sheetView topLeftCell="A12" workbookViewId="0">
      <selection activeCell="Q13" sqref="Q13"/>
    </sheetView>
  </sheetViews>
  <sheetFormatPr defaultRowHeight="15" x14ac:dyDescent="0.25"/>
  <cols>
    <col min="1" max="1" width="5" customWidth="1"/>
    <col min="2" max="2" width="31.85546875" style="3" customWidth="1"/>
    <col min="3" max="3" width="4.7109375" style="2" hidden="1" customWidth="1"/>
    <col min="4" max="4" width="7.28515625" style="2" hidden="1" customWidth="1"/>
    <col min="5" max="5" width="5.85546875" style="2" hidden="1" customWidth="1"/>
    <col min="6" max="6" width="8" style="4" hidden="1" customWidth="1"/>
    <col min="7" max="7" width="7.5703125" style="5" customWidth="1"/>
    <col min="8" max="8" width="9" style="5" customWidth="1"/>
    <col min="9" max="9" width="6" style="2" customWidth="1"/>
    <col min="10" max="10" width="7.140625" style="2" customWidth="1"/>
    <col min="11" max="11" width="6.28515625" style="2" customWidth="1"/>
    <col min="12" max="12" width="8" style="2" customWidth="1"/>
    <col min="13" max="20" width="6.42578125" style="2" customWidth="1"/>
    <col min="21" max="24" width="6.42578125" customWidth="1"/>
    <col min="25" max="25" width="10.28515625" customWidth="1"/>
  </cols>
  <sheetData>
    <row r="1" spans="1:26" ht="15.75" thickBot="1" x14ac:dyDescent="0.3">
      <c r="B1" s="4" t="s">
        <v>18</v>
      </c>
      <c r="C1" s="384" t="s">
        <v>210</v>
      </c>
      <c r="D1" s="320"/>
      <c r="E1" s="320"/>
      <c r="F1" s="320"/>
      <c r="G1" s="320"/>
      <c r="H1" s="320"/>
      <c r="Y1" s="314">
        <v>45656</v>
      </c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45751</v>
      </c>
      <c r="J2" s="326"/>
      <c r="K2" s="327">
        <v>45758</v>
      </c>
      <c r="L2" s="328"/>
      <c r="M2" s="325">
        <v>45765</v>
      </c>
      <c r="N2" s="329"/>
      <c r="O2" s="327">
        <v>45772</v>
      </c>
      <c r="P2" s="346"/>
      <c r="Q2" s="325">
        <v>45777</v>
      </c>
      <c r="R2" s="329"/>
      <c r="S2" s="330" t="s">
        <v>69</v>
      </c>
      <c r="T2" s="331"/>
      <c r="U2" s="334" t="s">
        <v>70</v>
      </c>
      <c r="V2" s="335"/>
      <c r="W2" s="385" t="s">
        <v>71</v>
      </c>
      <c r="X2" s="386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87"/>
      <c r="X3" s="388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89" t="s">
        <v>63</v>
      </c>
      <c r="X4" s="390"/>
      <c r="Y4" s="268" t="s">
        <v>179</v>
      </c>
      <c r="Z4" s="269" t="s">
        <v>99</v>
      </c>
    </row>
    <row r="5" spans="1:26" x14ac:dyDescent="0.25">
      <c r="A5" s="263">
        <v>1</v>
      </c>
      <c r="B5" s="256" t="s">
        <v>134</v>
      </c>
      <c r="C5" s="32">
        <v>70</v>
      </c>
      <c r="D5" s="33">
        <v>64</v>
      </c>
      <c r="E5" s="33">
        <v>8</v>
      </c>
      <c r="F5" s="15">
        <f>(C5*D5*E5)/1000000</f>
        <v>3.5839999999999997E-2</v>
      </c>
      <c r="G5" s="286">
        <v>233</v>
      </c>
      <c r="H5" s="287">
        <f>F5*G5</f>
        <v>8.350719999999999</v>
      </c>
      <c r="I5" s="290">
        <v>0</v>
      </c>
      <c r="J5" s="205">
        <f t="shared" ref="J5:R55" si="0">F5*I5</f>
        <v>0</v>
      </c>
      <c r="K5" s="290">
        <v>0</v>
      </c>
      <c r="L5" s="205">
        <f>F5*K5</f>
        <v>0</v>
      </c>
      <c r="M5" s="290">
        <v>19</v>
      </c>
      <c r="N5" s="205">
        <f t="shared" ref="N5:N10" si="1">F5*M5</f>
        <v>0.6809599999999999</v>
      </c>
      <c r="O5" s="290">
        <v>0</v>
      </c>
      <c r="P5" s="205">
        <f t="shared" ref="P5:P10" si="2">F5*O5</f>
        <v>0</v>
      </c>
      <c r="Q5" s="290">
        <v>0</v>
      </c>
      <c r="R5" s="205">
        <f t="shared" ref="R5:R11" si="3">F5*Q5</f>
        <v>0</v>
      </c>
      <c r="S5" s="39">
        <f>G5-I5-K5-M5-O5-Q5</f>
        <v>214</v>
      </c>
      <c r="T5" s="38">
        <f t="shared" ref="T5:T68" si="4">F5*S5</f>
        <v>7.6697599999999992</v>
      </c>
      <c r="U5" s="290">
        <v>0</v>
      </c>
      <c r="V5" s="13">
        <f>F5*U5</f>
        <v>0</v>
      </c>
      <c r="W5" s="294">
        <f>S5+U5</f>
        <v>214</v>
      </c>
      <c r="X5" s="295">
        <f>F5*W5</f>
        <v>7.6697599999999992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135</v>
      </c>
      <c r="C6" s="34">
        <v>70</v>
      </c>
      <c r="D6" s="35">
        <v>80</v>
      </c>
      <c r="E6" s="35">
        <v>8</v>
      </c>
      <c r="F6" s="19">
        <f t="shared" ref="F6:F69" si="5">(C6*D6*E6)/1000000</f>
        <v>4.48E-2</v>
      </c>
      <c r="G6" s="286">
        <v>187</v>
      </c>
      <c r="H6" s="288">
        <f t="shared" ref="H6:H69" si="6">F6*G6</f>
        <v>8.3775999999999993</v>
      </c>
      <c r="I6" s="290">
        <v>2</v>
      </c>
      <c r="J6" s="205">
        <f t="shared" si="0"/>
        <v>8.9599999999999999E-2</v>
      </c>
      <c r="K6" s="290">
        <v>0</v>
      </c>
      <c r="L6" s="205">
        <f>F6*K6</f>
        <v>0</v>
      </c>
      <c r="M6" s="290">
        <v>14</v>
      </c>
      <c r="N6" s="205">
        <f t="shared" si="1"/>
        <v>0.62719999999999998</v>
      </c>
      <c r="O6" s="290">
        <v>0</v>
      </c>
      <c r="P6" s="205">
        <f t="shared" si="2"/>
        <v>0</v>
      </c>
      <c r="Q6" s="290">
        <v>0</v>
      </c>
      <c r="R6" s="205">
        <f t="shared" si="3"/>
        <v>0</v>
      </c>
      <c r="S6" s="39">
        <f t="shared" ref="S6:S69" si="7">G6-I6-K6-M6-O6-Q6</f>
        <v>171</v>
      </c>
      <c r="T6" s="38">
        <f t="shared" si="4"/>
        <v>7.6608000000000001</v>
      </c>
      <c r="U6" s="290">
        <v>0</v>
      </c>
      <c r="V6" s="13">
        <f t="shared" ref="V6:V67" si="8">F6*U6</f>
        <v>0</v>
      </c>
      <c r="W6" s="294">
        <f t="shared" ref="W6:W69" si="9">S6+U6</f>
        <v>171</v>
      </c>
      <c r="X6" s="295">
        <f t="shared" ref="X6:X69" si="10">F6*W6</f>
        <v>7.6608000000000001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136</v>
      </c>
      <c r="C7" s="34">
        <v>70</v>
      </c>
      <c r="D7" s="35">
        <v>74</v>
      </c>
      <c r="E7" s="35">
        <v>8</v>
      </c>
      <c r="F7" s="19">
        <f t="shared" si="5"/>
        <v>4.1439999999999998E-2</v>
      </c>
      <c r="G7" s="286">
        <v>187</v>
      </c>
      <c r="H7" s="288">
        <f t="shared" si="6"/>
        <v>7.7492799999999997</v>
      </c>
      <c r="I7" s="290">
        <v>0</v>
      </c>
      <c r="J7" s="205">
        <f t="shared" si="0"/>
        <v>0</v>
      </c>
      <c r="K7" s="290">
        <v>0</v>
      </c>
      <c r="L7" s="205">
        <f>F7*K7</f>
        <v>0</v>
      </c>
      <c r="M7" s="290">
        <v>10</v>
      </c>
      <c r="N7" s="205">
        <f t="shared" si="1"/>
        <v>0.41439999999999999</v>
      </c>
      <c r="O7" s="290">
        <v>0</v>
      </c>
      <c r="P7" s="205">
        <f t="shared" si="2"/>
        <v>0</v>
      </c>
      <c r="Q7" s="290">
        <v>0</v>
      </c>
      <c r="R7" s="205">
        <f t="shared" si="3"/>
        <v>0</v>
      </c>
      <c r="S7" s="39">
        <f t="shared" si="7"/>
        <v>177</v>
      </c>
      <c r="T7" s="38">
        <f t="shared" si="4"/>
        <v>7.3348799999999992</v>
      </c>
      <c r="U7" s="290">
        <v>0</v>
      </c>
      <c r="V7" s="13">
        <f t="shared" si="8"/>
        <v>0</v>
      </c>
      <c r="W7" s="294">
        <f t="shared" si="9"/>
        <v>177</v>
      </c>
      <c r="X7" s="295">
        <f t="shared" si="10"/>
        <v>7.3348799999999992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208</v>
      </c>
      <c r="C8" s="34">
        <v>70</v>
      </c>
      <c r="D8" s="35">
        <v>88</v>
      </c>
      <c r="E8" s="35">
        <v>8</v>
      </c>
      <c r="F8" s="19">
        <f t="shared" si="5"/>
        <v>4.9279999999999997E-2</v>
      </c>
      <c r="G8" s="286">
        <v>261</v>
      </c>
      <c r="H8" s="288">
        <f t="shared" si="6"/>
        <v>12.862079999999999</v>
      </c>
      <c r="I8" s="290">
        <v>2</v>
      </c>
      <c r="J8" s="205">
        <f t="shared" si="0"/>
        <v>9.8559999999999995E-2</v>
      </c>
      <c r="K8" s="290">
        <v>2</v>
      </c>
      <c r="L8" s="205">
        <f>F8*K8</f>
        <v>9.8559999999999995E-2</v>
      </c>
      <c r="M8" s="290">
        <v>0</v>
      </c>
      <c r="N8" s="205">
        <f t="shared" si="1"/>
        <v>0</v>
      </c>
      <c r="O8" s="290">
        <v>0</v>
      </c>
      <c r="P8" s="205">
        <f t="shared" si="2"/>
        <v>0</v>
      </c>
      <c r="Q8" s="290">
        <v>0</v>
      </c>
      <c r="R8" s="205">
        <f t="shared" si="3"/>
        <v>0</v>
      </c>
      <c r="S8" s="39">
        <f t="shared" si="7"/>
        <v>257</v>
      </c>
      <c r="T8" s="38">
        <f t="shared" si="4"/>
        <v>12.664959999999999</v>
      </c>
      <c r="U8" s="290">
        <v>0</v>
      </c>
      <c r="V8" s="13">
        <f t="shared" si="8"/>
        <v>0</v>
      </c>
      <c r="W8" s="294">
        <f t="shared" si="9"/>
        <v>257</v>
      </c>
      <c r="X8" s="295">
        <f t="shared" si="10"/>
        <v>12.664959999999999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138</v>
      </c>
      <c r="C9" s="34">
        <v>140</v>
      </c>
      <c r="D9" s="35">
        <v>240</v>
      </c>
      <c r="E9" s="35">
        <v>5</v>
      </c>
      <c r="F9" s="19">
        <f t="shared" si="5"/>
        <v>0.16800000000000001</v>
      </c>
      <c r="G9" s="286">
        <v>220</v>
      </c>
      <c r="H9" s="288">
        <f t="shared" si="6"/>
        <v>36.96</v>
      </c>
      <c r="I9" s="290">
        <v>7</v>
      </c>
      <c r="J9" s="205">
        <f t="shared" si="0"/>
        <v>1.1760000000000002</v>
      </c>
      <c r="K9" s="290">
        <v>16</v>
      </c>
      <c r="L9" s="205">
        <f>F9*K9</f>
        <v>2.6880000000000002</v>
      </c>
      <c r="M9" s="290">
        <v>17</v>
      </c>
      <c r="N9" s="205">
        <f t="shared" si="1"/>
        <v>2.8560000000000003</v>
      </c>
      <c r="O9" s="290">
        <v>5</v>
      </c>
      <c r="P9" s="205">
        <f t="shared" si="2"/>
        <v>0.84000000000000008</v>
      </c>
      <c r="Q9" s="290">
        <v>10</v>
      </c>
      <c r="R9" s="205">
        <f t="shared" si="3"/>
        <v>1.6800000000000002</v>
      </c>
      <c r="S9" s="39">
        <f t="shared" si="7"/>
        <v>165</v>
      </c>
      <c r="T9" s="38">
        <f t="shared" si="4"/>
        <v>27.720000000000002</v>
      </c>
      <c r="U9" s="290">
        <v>0</v>
      </c>
      <c r="V9" s="13">
        <f t="shared" si="8"/>
        <v>0</v>
      </c>
      <c r="W9" s="294">
        <f t="shared" si="9"/>
        <v>165</v>
      </c>
      <c r="X9" s="295">
        <f t="shared" si="10"/>
        <v>27.720000000000002</v>
      </c>
      <c r="Y9" s="238">
        <v>100</v>
      </c>
      <c r="Z9" s="101">
        <v>250</v>
      </c>
    </row>
    <row r="10" spans="1:26" x14ac:dyDescent="0.25">
      <c r="A10" s="264">
        <v>6</v>
      </c>
      <c r="B10" s="256" t="s">
        <v>211</v>
      </c>
      <c r="C10" s="34">
        <v>143</v>
      </c>
      <c r="D10" s="35">
        <v>68</v>
      </c>
      <c r="E10" s="35">
        <v>5</v>
      </c>
      <c r="F10" s="19">
        <f t="shared" si="5"/>
        <v>4.8619999999999997E-2</v>
      </c>
      <c r="G10" s="286">
        <v>0</v>
      </c>
      <c r="H10" s="288">
        <f t="shared" si="6"/>
        <v>0</v>
      </c>
      <c r="I10" s="290">
        <v>0</v>
      </c>
      <c r="J10" s="205">
        <f t="shared" si="0"/>
        <v>0</v>
      </c>
      <c r="K10" s="290">
        <v>0</v>
      </c>
      <c r="L10" s="205">
        <f t="shared" ref="L10" si="11">F10*K10</f>
        <v>0</v>
      </c>
      <c r="M10" s="290">
        <v>0</v>
      </c>
      <c r="N10" s="205">
        <f t="shared" si="1"/>
        <v>0</v>
      </c>
      <c r="O10" s="290">
        <v>0</v>
      </c>
      <c r="P10" s="205">
        <f t="shared" si="2"/>
        <v>0</v>
      </c>
      <c r="Q10" s="290">
        <v>0</v>
      </c>
      <c r="R10" s="205">
        <f t="shared" si="3"/>
        <v>0</v>
      </c>
      <c r="S10" s="39">
        <f t="shared" si="7"/>
        <v>0</v>
      </c>
      <c r="T10" s="38">
        <f t="shared" si="4"/>
        <v>0</v>
      </c>
      <c r="U10" s="290">
        <v>530</v>
      </c>
      <c r="V10" s="13">
        <f t="shared" si="8"/>
        <v>25.768599999999999</v>
      </c>
      <c r="W10" s="294">
        <f t="shared" si="9"/>
        <v>530</v>
      </c>
      <c r="X10" s="295">
        <f t="shared" si="10"/>
        <v>25.768599999999999</v>
      </c>
      <c r="Y10" s="238">
        <v>75</v>
      </c>
      <c r="Z10" s="101">
        <v>250</v>
      </c>
    </row>
    <row r="11" spans="1:26" x14ac:dyDescent="0.25">
      <c r="A11" s="264">
        <v>7</v>
      </c>
      <c r="B11" s="256" t="s">
        <v>207</v>
      </c>
      <c r="C11" s="34">
        <v>140</v>
      </c>
      <c r="D11" s="35">
        <v>240</v>
      </c>
      <c r="E11" s="35">
        <v>8</v>
      </c>
      <c r="F11" s="19">
        <f t="shared" si="5"/>
        <v>0.26879999999999998</v>
      </c>
      <c r="G11" s="286">
        <v>49</v>
      </c>
      <c r="H11" s="288">
        <f t="shared" si="6"/>
        <v>13.171199999999999</v>
      </c>
      <c r="I11" s="290">
        <v>1</v>
      </c>
      <c r="J11" s="205">
        <f t="shared" si="0"/>
        <v>0.26879999999999998</v>
      </c>
      <c r="K11" s="290">
        <v>0</v>
      </c>
      <c r="L11" s="205">
        <f>F11*K11</f>
        <v>0</v>
      </c>
      <c r="M11" s="290">
        <v>0</v>
      </c>
      <c r="N11" s="21">
        <v>0</v>
      </c>
      <c r="O11" s="290">
        <v>0</v>
      </c>
      <c r="P11" s="21">
        <v>0</v>
      </c>
      <c r="Q11" s="290">
        <v>0</v>
      </c>
      <c r="R11" s="205">
        <f t="shared" si="3"/>
        <v>0</v>
      </c>
      <c r="S11" s="39">
        <f t="shared" si="7"/>
        <v>48</v>
      </c>
      <c r="T11" s="38">
        <f t="shared" si="4"/>
        <v>12.9024</v>
      </c>
      <c r="U11" s="290">
        <v>0</v>
      </c>
      <c r="V11" s="13">
        <f t="shared" si="8"/>
        <v>0</v>
      </c>
      <c r="W11" s="294">
        <f t="shared" si="9"/>
        <v>48</v>
      </c>
      <c r="X11" s="295">
        <f t="shared" si="10"/>
        <v>12.9024</v>
      </c>
      <c r="Y11" s="238">
        <v>50</v>
      </c>
      <c r="Z11" s="101">
        <v>100</v>
      </c>
    </row>
    <row r="12" spans="1:26" x14ac:dyDescent="0.25">
      <c r="A12" s="264">
        <v>8</v>
      </c>
      <c r="B12" s="256" t="s">
        <v>191</v>
      </c>
      <c r="C12" s="34">
        <v>75</v>
      </c>
      <c r="D12" s="35">
        <v>54</v>
      </c>
      <c r="E12" s="35">
        <v>5</v>
      </c>
      <c r="F12" s="19">
        <f t="shared" si="5"/>
        <v>2.0250000000000001E-2</v>
      </c>
      <c r="G12" s="286">
        <v>0</v>
      </c>
      <c r="H12" s="288">
        <f t="shared" si="6"/>
        <v>0</v>
      </c>
      <c r="I12" s="290">
        <v>0</v>
      </c>
      <c r="J12" s="205">
        <f t="shared" si="0"/>
        <v>0</v>
      </c>
      <c r="K12" s="290">
        <v>0</v>
      </c>
      <c r="L12" s="205">
        <f>F12*K12</f>
        <v>0</v>
      </c>
      <c r="M12" s="290">
        <v>0</v>
      </c>
      <c r="N12" s="205">
        <f>F12*M12</f>
        <v>0</v>
      </c>
      <c r="O12" s="290">
        <v>0</v>
      </c>
      <c r="P12" s="205">
        <f>F12*O12</f>
        <v>0</v>
      </c>
      <c r="Q12" s="290">
        <v>0</v>
      </c>
      <c r="R12" s="21">
        <v>0</v>
      </c>
      <c r="S12" s="39">
        <f t="shared" si="7"/>
        <v>0</v>
      </c>
      <c r="T12" s="38">
        <f t="shared" si="4"/>
        <v>0</v>
      </c>
      <c r="U12" s="290">
        <v>0</v>
      </c>
      <c r="V12" s="13">
        <f t="shared" si="8"/>
        <v>0</v>
      </c>
      <c r="W12" s="294">
        <f t="shared" si="9"/>
        <v>0</v>
      </c>
      <c r="X12" s="295">
        <f t="shared" si="10"/>
        <v>0</v>
      </c>
      <c r="Y12" s="238">
        <v>50</v>
      </c>
      <c r="Z12" s="101">
        <v>100</v>
      </c>
    </row>
    <row r="13" spans="1:26" x14ac:dyDescent="0.25">
      <c r="A13" s="264">
        <v>9</v>
      </c>
      <c r="B13" s="256" t="s">
        <v>142</v>
      </c>
      <c r="C13" s="34">
        <v>140</v>
      </c>
      <c r="D13" s="35">
        <v>240</v>
      </c>
      <c r="E13" s="35">
        <v>5</v>
      </c>
      <c r="F13" s="19">
        <f t="shared" si="5"/>
        <v>0.16800000000000001</v>
      </c>
      <c r="G13" s="286">
        <v>103</v>
      </c>
      <c r="H13" s="288">
        <f t="shared" si="6"/>
        <v>17.304000000000002</v>
      </c>
      <c r="I13" s="290">
        <v>1</v>
      </c>
      <c r="J13" s="205">
        <f t="shared" si="0"/>
        <v>0.16800000000000001</v>
      </c>
      <c r="K13" s="290">
        <v>19</v>
      </c>
      <c r="L13" s="205">
        <f>F13*K13</f>
        <v>3.1920000000000002</v>
      </c>
      <c r="M13" s="290">
        <v>3</v>
      </c>
      <c r="N13" s="205">
        <f>F13*M13</f>
        <v>0.504</v>
      </c>
      <c r="O13" s="290">
        <v>10</v>
      </c>
      <c r="P13" s="205">
        <f>F13*O13</f>
        <v>1.6800000000000002</v>
      </c>
      <c r="Q13" s="290">
        <v>7</v>
      </c>
      <c r="R13" s="205">
        <f>F13*Q13</f>
        <v>1.1760000000000002</v>
      </c>
      <c r="S13" s="39">
        <f t="shared" si="7"/>
        <v>63</v>
      </c>
      <c r="T13" s="38">
        <f t="shared" si="4"/>
        <v>10.584000000000001</v>
      </c>
      <c r="U13" s="290">
        <v>0</v>
      </c>
      <c r="V13" s="13">
        <f t="shared" si="8"/>
        <v>0</v>
      </c>
      <c r="W13" s="294">
        <f t="shared" si="9"/>
        <v>63</v>
      </c>
      <c r="X13" s="295">
        <f t="shared" si="10"/>
        <v>10.584000000000001</v>
      </c>
      <c r="Y13" s="238">
        <v>100</v>
      </c>
      <c r="Z13" s="101">
        <v>300</v>
      </c>
    </row>
    <row r="14" spans="1:26" x14ac:dyDescent="0.25">
      <c r="A14" s="264">
        <v>10</v>
      </c>
      <c r="B14" s="256" t="s">
        <v>143</v>
      </c>
      <c r="C14" s="34">
        <v>90</v>
      </c>
      <c r="D14" s="35">
        <v>85</v>
      </c>
      <c r="E14" s="35">
        <v>5</v>
      </c>
      <c r="F14" s="19">
        <f t="shared" si="5"/>
        <v>3.8249999999999999E-2</v>
      </c>
      <c r="G14" s="286">
        <v>0</v>
      </c>
      <c r="H14" s="288">
        <f t="shared" si="6"/>
        <v>0</v>
      </c>
      <c r="I14" s="290">
        <v>0</v>
      </c>
      <c r="J14" s="205">
        <f t="shared" si="0"/>
        <v>0</v>
      </c>
      <c r="K14" s="290">
        <v>0</v>
      </c>
      <c r="L14" s="205">
        <f t="shared" ref="L14:L20" si="12">F14*K14</f>
        <v>0</v>
      </c>
      <c r="M14" s="290">
        <v>0</v>
      </c>
      <c r="N14" s="205">
        <f>F14*M14</f>
        <v>0</v>
      </c>
      <c r="O14" s="290">
        <v>0</v>
      </c>
      <c r="P14" s="205">
        <f t="shared" si="0"/>
        <v>0</v>
      </c>
      <c r="Q14" s="290">
        <v>0</v>
      </c>
      <c r="R14" s="205">
        <f t="shared" si="0"/>
        <v>0</v>
      </c>
      <c r="S14" s="39">
        <f t="shared" si="7"/>
        <v>0</v>
      </c>
      <c r="T14" s="38">
        <f t="shared" si="4"/>
        <v>0</v>
      </c>
      <c r="U14" s="290">
        <v>0</v>
      </c>
      <c r="V14" s="13">
        <f t="shared" si="8"/>
        <v>0</v>
      </c>
      <c r="W14" s="294">
        <f t="shared" si="9"/>
        <v>0</v>
      </c>
      <c r="X14" s="295">
        <f t="shared" si="10"/>
        <v>0</v>
      </c>
      <c r="Y14" s="238">
        <v>50</v>
      </c>
      <c r="Z14" s="101">
        <v>100</v>
      </c>
    </row>
    <row r="15" spans="1:26" x14ac:dyDescent="0.25">
      <c r="A15" s="264">
        <v>11</v>
      </c>
      <c r="B15" s="256" t="s">
        <v>144</v>
      </c>
      <c r="C15" s="34">
        <v>140</v>
      </c>
      <c r="D15" s="35">
        <v>240</v>
      </c>
      <c r="E15" s="35">
        <v>5</v>
      </c>
      <c r="F15" s="19">
        <f t="shared" si="5"/>
        <v>0.16800000000000001</v>
      </c>
      <c r="G15" s="286">
        <v>68</v>
      </c>
      <c r="H15" s="288">
        <f t="shared" si="6"/>
        <v>11.424000000000001</v>
      </c>
      <c r="I15" s="290">
        <v>6</v>
      </c>
      <c r="J15" s="205">
        <f t="shared" si="0"/>
        <v>1.008</v>
      </c>
      <c r="K15" s="290">
        <v>19</v>
      </c>
      <c r="L15" s="205">
        <f t="shared" si="12"/>
        <v>3.1920000000000002</v>
      </c>
      <c r="M15" s="290">
        <v>22</v>
      </c>
      <c r="N15" s="205">
        <f t="shared" ref="N15:N37" si="13">F15*M15</f>
        <v>3.6960000000000002</v>
      </c>
      <c r="O15" s="290">
        <v>21</v>
      </c>
      <c r="P15" s="205">
        <f t="shared" ref="P15:P36" si="14">F15*O15</f>
        <v>3.528</v>
      </c>
      <c r="Q15" s="290">
        <v>0</v>
      </c>
      <c r="R15" s="205">
        <f t="shared" ref="R15:R20" si="15">F15*Q15</f>
        <v>0</v>
      </c>
      <c r="S15" s="39">
        <f t="shared" si="7"/>
        <v>0</v>
      </c>
      <c r="T15" s="38">
        <f t="shared" si="4"/>
        <v>0</v>
      </c>
      <c r="U15" s="290">
        <v>0</v>
      </c>
      <c r="V15" s="13">
        <f t="shared" si="8"/>
        <v>0</v>
      </c>
      <c r="W15" s="294">
        <f t="shared" si="9"/>
        <v>0</v>
      </c>
      <c r="X15" s="295">
        <f t="shared" si="10"/>
        <v>0</v>
      </c>
      <c r="Y15" s="238">
        <v>200</v>
      </c>
      <c r="Z15" s="101">
        <v>400</v>
      </c>
    </row>
    <row r="16" spans="1:26" x14ac:dyDescent="0.25">
      <c r="A16" s="264">
        <v>12</v>
      </c>
      <c r="B16" s="256" t="s">
        <v>145</v>
      </c>
      <c r="C16" s="34">
        <v>140</v>
      </c>
      <c r="D16" s="35">
        <v>240</v>
      </c>
      <c r="E16" s="35">
        <v>5</v>
      </c>
      <c r="F16" s="19">
        <f t="shared" si="5"/>
        <v>0.16800000000000001</v>
      </c>
      <c r="G16" s="286">
        <v>64</v>
      </c>
      <c r="H16" s="288">
        <f t="shared" si="6"/>
        <v>10.752000000000001</v>
      </c>
      <c r="I16" s="290">
        <v>8</v>
      </c>
      <c r="J16" s="205">
        <f t="shared" si="0"/>
        <v>1.3440000000000001</v>
      </c>
      <c r="K16" s="290">
        <v>22</v>
      </c>
      <c r="L16" s="205">
        <f t="shared" si="12"/>
        <v>3.6960000000000002</v>
      </c>
      <c r="M16" s="290">
        <v>8</v>
      </c>
      <c r="N16" s="205">
        <f t="shared" si="13"/>
        <v>1.3440000000000001</v>
      </c>
      <c r="O16" s="290">
        <v>8</v>
      </c>
      <c r="P16" s="205">
        <f t="shared" si="14"/>
        <v>1.3440000000000001</v>
      </c>
      <c r="Q16" s="290">
        <v>6</v>
      </c>
      <c r="R16" s="205">
        <f t="shared" si="15"/>
        <v>1.008</v>
      </c>
      <c r="S16" s="39">
        <f t="shared" si="7"/>
        <v>12</v>
      </c>
      <c r="T16" s="38">
        <f t="shared" si="4"/>
        <v>2.016</v>
      </c>
      <c r="U16" s="290">
        <v>55</v>
      </c>
      <c r="V16" s="13">
        <f t="shared" si="8"/>
        <v>9.24</v>
      </c>
      <c r="W16" s="294">
        <f t="shared" si="9"/>
        <v>67</v>
      </c>
      <c r="X16" s="295">
        <f t="shared" si="10"/>
        <v>11.256</v>
      </c>
      <c r="Y16" s="238">
        <v>100</v>
      </c>
      <c r="Z16" s="101">
        <v>300</v>
      </c>
    </row>
    <row r="17" spans="1:26" x14ac:dyDescent="0.25">
      <c r="A17" s="264">
        <v>13</v>
      </c>
      <c r="B17" s="256" t="s">
        <v>146</v>
      </c>
      <c r="C17" s="34">
        <v>140</v>
      </c>
      <c r="D17" s="35">
        <v>240</v>
      </c>
      <c r="E17" s="35">
        <v>8</v>
      </c>
      <c r="F17" s="19">
        <f t="shared" si="5"/>
        <v>0.26879999999999998</v>
      </c>
      <c r="G17" s="286">
        <v>118</v>
      </c>
      <c r="H17" s="288">
        <f t="shared" si="6"/>
        <v>31.718399999999999</v>
      </c>
      <c r="I17" s="290">
        <v>0</v>
      </c>
      <c r="J17" s="205">
        <f t="shared" si="0"/>
        <v>0</v>
      </c>
      <c r="K17" s="290">
        <v>0</v>
      </c>
      <c r="L17" s="205">
        <f t="shared" si="12"/>
        <v>0</v>
      </c>
      <c r="M17" s="290">
        <v>0</v>
      </c>
      <c r="N17" s="205">
        <f t="shared" si="13"/>
        <v>0</v>
      </c>
      <c r="O17" s="290">
        <v>0</v>
      </c>
      <c r="P17" s="205">
        <f t="shared" si="14"/>
        <v>0</v>
      </c>
      <c r="Q17" s="290">
        <v>0</v>
      </c>
      <c r="R17" s="205">
        <f t="shared" si="15"/>
        <v>0</v>
      </c>
      <c r="S17" s="39">
        <f t="shared" si="7"/>
        <v>118</v>
      </c>
      <c r="T17" s="38">
        <f t="shared" si="4"/>
        <v>31.718399999999999</v>
      </c>
      <c r="U17" s="290">
        <v>0</v>
      </c>
      <c r="V17" s="13">
        <f t="shared" si="8"/>
        <v>0</v>
      </c>
      <c r="W17" s="294">
        <f t="shared" si="9"/>
        <v>118</v>
      </c>
      <c r="X17" s="295">
        <f t="shared" si="10"/>
        <v>31.718399999999999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147</v>
      </c>
      <c r="C18" s="34">
        <v>77</v>
      </c>
      <c r="D18" s="35">
        <v>86</v>
      </c>
      <c r="E18" s="35">
        <v>8</v>
      </c>
      <c r="F18" s="19">
        <f t="shared" si="5"/>
        <v>5.2976000000000002E-2</v>
      </c>
      <c r="G18" s="286">
        <v>849</v>
      </c>
      <c r="H18" s="288">
        <f t="shared" si="6"/>
        <v>44.976624000000001</v>
      </c>
      <c r="I18" s="290">
        <v>12</v>
      </c>
      <c r="J18" s="205">
        <f t="shared" si="0"/>
        <v>0.63571200000000005</v>
      </c>
      <c r="K18" s="290">
        <v>4</v>
      </c>
      <c r="L18" s="205">
        <f t="shared" si="12"/>
        <v>0.21190400000000001</v>
      </c>
      <c r="M18" s="290">
        <v>14</v>
      </c>
      <c r="N18" s="205">
        <f t="shared" si="13"/>
        <v>0.74166399999999999</v>
      </c>
      <c r="O18" s="290">
        <v>0</v>
      </c>
      <c r="P18" s="205">
        <f t="shared" si="14"/>
        <v>0</v>
      </c>
      <c r="Q18" s="290">
        <v>0</v>
      </c>
      <c r="R18" s="205">
        <f t="shared" si="15"/>
        <v>0</v>
      </c>
      <c r="S18" s="39">
        <f t="shared" si="7"/>
        <v>819</v>
      </c>
      <c r="T18" s="38">
        <f t="shared" si="4"/>
        <v>43.387343999999999</v>
      </c>
      <c r="U18" s="290">
        <v>0</v>
      </c>
      <c r="V18" s="13">
        <f t="shared" si="8"/>
        <v>0</v>
      </c>
      <c r="W18" s="294">
        <f t="shared" si="9"/>
        <v>819</v>
      </c>
      <c r="X18" s="295">
        <f t="shared" si="10"/>
        <v>43.387343999999999</v>
      </c>
      <c r="Y18" s="238">
        <v>100</v>
      </c>
      <c r="Z18" s="101">
        <v>300</v>
      </c>
    </row>
    <row r="19" spans="1:26" x14ac:dyDescent="0.25">
      <c r="A19" s="264">
        <v>15</v>
      </c>
      <c r="B19" s="256" t="s">
        <v>148</v>
      </c>
      <c r="C19" s="34">
        <v>77</v>
      </c>
      <c r="D19" s="35">
        <v>68</v>
      </c>
      <c r="E19" s="35">
        <v>8</v>
      </c>
      <c r="F19" s="19">
        <f t="shared" si="5"/>
        <v>4.1888000000000002E-2</v>
      </c>
      <c r="G19" s="286">
        <v>497</v>
      </c>
      <c r="H19" s="288">
        <f t="shared" si="6"/>
        <v>20.818336000000002</v>
      </c>
      <c r="I19" s="290">
        <v>15</v>
      </c>
      <c r="J19" s="205">
        <f t="shared" si="0"/>
        <v>0.62831999999999999</v>
      </c>
      <c r="K19" s="290">
        <v>2</v>
      </c>
      <c r="L19" s="205">
        <f t="shared" si="12"/>
        <v>8.3776000000000003E-2</v>
      </c>
      <c r="M19" s="290">
        <v>10</v>
      </c>
      <c r="N19" s="205">
        <f t="shared" si="13"/>
        <v>0.41888000000000003</v>
      </c>
      <c r="O19" s="290">
        <v>0</v>
      </c>
      <c r="P19" s="205">
        <f t="shared" si="14"/>
        <v>0</v>
      </c>
      <c r="Q19" s="290">
        <v>0</v>
      </c>
      <c r="R19" s="205">
        <f t="shared" si="15"/>
        <v>0</v>
      </c>
      <c r="S19" s="39">
        <f t="shared" si="7"/>
        <v>470</v>
      </c>
      <c r="T19" s="38">
        <f t="shared" si="4"/>
        <v>19.687360000000002</v>
      </c>
      <c r="U19" s="290">
        <v>0</v>
      </c>
      <c r="V19" s="13">
        <f t="shared" si="8"/>
        <v>0</v>
      </c>
      <c r="W19" s="294">
        <f t="shared" si="9"/>
        <v>470</v>
      </c>
      <c r="X19" s="295">
        <f t="shared" si="10"/>
        <v>19.687360000000002</v>
      </c>
      <c r="Y19" s="238">
        <v>100</v>
      </c>
      <c r="Z19" s="101">
        <v>300</v>
      </c>
    </row>
    <row r="20" spans="1:26" x14ac:dyDescent="0.25">
      <c r="A20" s="264">
        <v>16</v>
      </c>
      <c r="B20" s="256" t="s">
        <v>149</v>
      </c>
      <c r="C20" s="34">
        <v>76</v>
      </c>
      <c r="D20" s="35">
        <v>75</v>
      </c>
      <c r="E20" s="35">
        <v>8</v>
      </c>
      <c r="F20" s="19">
        <f t="shared" si="5"/>
        <v>4.5600000000000002E-2</v>
      </c>
      <c r="G20" s="286">
        <v>1188</v>
      </c>
      <c r="H20" s="288">
        <f t="shared" si="6"/>
        <v>54.172800000000002</v>
      </c>
      <c r="I20" s="290">
        <v>0</v>
      </c>
      <c r="J20" s="205">
        <f t="shared" si="0"/>
        <v>0</v>
      </c>
      <c r="K20" s="290">
        <v>4</v>
      </c>
      <c r="L20" s="205">
        <f t="shared" si="12"/>
        <v>0.18240000000000001</v>
      </c>
      <c r="M20" s="290">
        <v>10</v>
      </c>
      <c r="N20" s="205">
        <f t="shared" si="13"/>
        <v>0.45600000000000002</v>
      </c>
      <c r="O20" s="290">
        <v>0</v>
      </c>
      <c r="P20" s="205">
        <f t="shared" si="14"/>
        <v>0</v>
      </c>
      <c r="Q20" s="290">
        <v>0</v>
      </c>
      <c r="R20" s="205">
        <f t="shared" si="15"/>
        <v>0</v>
      </c>
      <c r="S20" s="39">
        <f t="shared" si="7"/>
        <v>1174</v>
      </c>
      <c r="T20" s="38">
        <f t="shared" si="4"/>
        <v>53.534400000000005</v>
      </c>
      <c r="U20" s="290">
        <v>0</v>
      </c>
      <c r="V20" s="13">
        <f t="shared" si="8"/>
        <v>0</v>
      </c>
      <c r="W20" s="294">
        <f t="shared" si="9"/>
        <v>1174</v>
      </c>
      <c r="X20" s="295">
        <f t="shared" si="10"/>
        <v>53.534400000000005</v>
      </c>
      <c r="Y20" s="238">
        <v>100</v>
      </c>
      <c r="Z20" s="101">
        <v>300</v>
      </c>
    </row>
    <row r="21" spans="1:26" x14ac:dyDescent="0.25">
      <c r="A21" s="264">
        <v>17</v>
      </c>
      <c r="B21" s="256" t="s">
        <v>150</v>
      </c>
      <c r="C21" s="34">
        <v>60</v>
      </c>
      <c r="D21" s="35">
        <v>63</v>
      </c>
      <c r="E21" s="35">
        <v>10</v>
      </c>
      <c r="F21" s="19">
        <f t="shared" si="5"/>
        <v>3.78E-2</v>
      </c>
      <c r="G21" s="286">
        <v>242</v>
      </c>
      <c r="H21" s="288">
        <f t="shared" si="6"/>
        <v>9.1476000000000006</v>
      </c>
      <c r="I21" s="290">
        <v>0</v>
      </c>
      <c r="J21" s="205">
        <f t="shared" si="0"/>
        <v>0</v>
      </c>
      <c r="K21" s="290">
        <v>0</v>
      </c>
      <c r="L21" s="205">
        <f t="shared" si="0"/>
        <v>0</v>
      </c>
      <c r="M21" s="290">
        <v>34</v>
      </c>
      <c r="N21" s="21">
        <v>0</v>
      </c>
      <c r="O21" s="290">
        <v>51</v>
      </c>
      <c r="P21" s="205">
        <f t="shared" si="14"/>
        <v>1.9278</v>
      </c>
      <c r="Q21" s="290">
        <v>0</v>
      </c>
      <c r="R21" s="21">
        <v>0</v>
      </c>
      <c r="S21" s="39">
        <f t="shared" si="7"/>
        <v>157</v>
      </c>
      <c r="T21" s="38">
        <f t="shared" si="4"/>
        <v>5.9345999999999997</v>
      </c>
      <c r="U21" s="290">
        <v>480</v>
      </c>
      <c r="V21" s="13">
        <f t="shared" si="8"/>
        <v>18.143999999999998</v>
      </c>
      <c r="W21" s="294">
        <f t="shared" si="9"/>
        <v>637</v>
      </c>
      <c r="X21" s="295">
        <f t="shared" si="10"/>
        <v>24.078600000000002</v>
      </c>
      <c r="Y21" s="238">
        <v>50</v>
      </c>
      <c r="Z21" s="101">
        <v>200</v>
      </c>
    </row>
    <row r="22" spans="1:26" x14ac:dyDescent="0.25">
      <c r="A22" s="264">
        <v>18</v>
      </c>
      <c r="B22" s="256" t="s">
        <v>151</v>
      </c>
      <c r="C22" s="34">
        <v>63</v>
      </c>
      <c r="D22" s="35">
        <v>60</v>
      </c>
      <c r="E22" s="35">
        <v>3</v>
      </c>
      <c r="F22" s="19">
        <f t="shared" si="5"/>
        <v>1.1339999999999999E-2</v>
      </c>
      <c r="G22" s="286">
        <v>130</v>
      </c>
      <c r="H22" s="288">
        <f t="shared" si="6"/>
        <v>1.4742</v>
      </c>
      <c r="I22" s="290">
        <v>0</v>
      </c>
      <c r="J22" s="205">
        <f t="shared" si="0"/>
        <v>0</v>
      </c>
      <c r="K22" s="290">
        <v>0</v>
      </c>
      <c r="L22" s="205">
        <f>F22*K22</f>
        <v>0</v>
      </c>
      <c r="M22" s="290">
        <v>12</v>
      </c>
      <c r="N22" s="205">
        <f t="shared" si="13"/>
        <v>0.13607999999999998</v>
      </c>
      <c r="O22" s="290">
        <v>54</v>
      </c>
      <c r="P22" s="205">
        <f t="shared" si="14"/>
        <v>0.61236000000000002</v>
      </c>
      <c r="Q22" s="290">
        <v>0</v>
      </c>
      <c r="R22" s="21">
        <v>0</v>
      </c>
      <c r="S22" s="39">
        <f t="shared" si="7"/>
        <v>64</v>
      </c>
      <c r="T22" s="38">
        <f t="shared" si="4"/>
        <v>0.72575999999999996</v>
      </c>
      <c r="U22" s="290">
        <v>0</v>
      </c>
      <c r="V22" s="13">
        <f t="shared" si="8"/>
        <v>0</v>
      </c>
      <c r="W22" s="294">
        <f t="shared" si="9"/>
        <v>64</v>
      </c>
      <c r="X22" s="295">
        <f t="shared" si="10"/>
        <v>0.72575999999999996</v>
      </c>
      <c r="Y22" s="238">
        <v>50</v>
      </c>
      <c r="Z22" s="101">
        <v>200</v>
      </c>
    </row>
    <row r="23" spans="1:26" x14ac:dyDescent="0.25">
      <c r="A23" s="264">
        <v>19</v>
      </c>
      <c r="B23" s="42" t="s">
        <v>152</v>
      </c>
      <c r="C23" s="34">
        <v>140</v>
      </c>
      <c r="D23" s="35">
        <v>240</v>
      </c>
      <c r="E23" s="35">
        <v>1.4</v>
      </c>
      <c r="F23" s="19">
        <f t="shared" si="5"/>
        <v>4.7039999999999998E-2</v>
      </c>
      <c r="G23" s="286">
        <v>532</v>
      </c>
      <c r="H23" s="288">
        <f t="shared" si="6"/>
        <v>25.025279999999999</v>
      </c>
      <c r="I23" s="290">
        <v>9</v>
      </c>
      <c r="J23" s="205">
        <f t="shared" si="0"/>
        <v>0.42335999999999996</v>
      </c>
      <c r="K23" s="290">
        <v>69</v>
      </c>
      <c r="L23" s="205">
        <f t="shared" ref="L23:L36" si="16">F23*K23</f>
        <v>3.2457599999999998</v>
      </c>
      <c r="M23" s="290">
        <v>41</v>
      </c>
      <c r="N23" s="205">
        <f t="shared" si="13"/>
        <v>1.9286399999999999</v>
      </c>
      <c r="O23" s="290">
        <v>68</v>
      </c>
      <c r="P23" s="205">
        <f t="shared" si="14"/>
        <v>3.1987199999999998</v>
      </c>
      <c r="Q23" s="290">
        <v>34</v>
      </c>
      <c r="R23" s="205">
        <f t="shared" ref="R23:R37" si="17">F23*Q23</f>
        <v>1.5993599999999999</v>
      </c>
      <c r="S23" s="39">
        <f t="shared" si="7"/>
        <v>311</v>
      </c>
      <c r="T23" s="38">
        <f t="shared" si="4"/>
        <v>14.629439999999999</v>
      </c>
      <c r="U23" s="290">
        <v>0</v>
      </c>
      <c r="V23" s="13">
        <f t="shared" si="8"/>
        <v>0</v>
      </c>
      <c r="W23" s="294">
        <f t="shared" si="9"/>
        <v>311</v>
      </c>
      <c r="X23" s="295">
        <f t="shared" si="10"/>
        <v>14.629439999999999</v>
      </c>
      <c r="Y23" s="238">
        <v>200</v>
      </c>
      <c r="Z23" s="101">
        <v>500</v>
      </c>
    </row>
    <row r="24" spans="1:26" x14ac:dyDescent="0.25">
      <c r="A24" s="264">
        <v>20</v>
      </c>
      <c r="B24" s="256" t="s">
        <v>3</v>
      </c>
      <c r="C24" s="34">
        <v>140</v>
      </c>
      <c r="D24" s="35">
        <v>240</v>
      </c>
      <c r="E24" s="35">
        <v>0.8</v>
      </c>
      <c r="F24" s="19">
        <f t="shared" si="5"/>
        <v>2.6880000000000001E-2</v>
      </c>
      <c r="G24" s="286">
        <v>583</v>
      </c>
      <c r="H24" s="288">
        <f t="shared" si="6"/>
        <v>15.671040000000001</v>
      </c>
      <c r="I24" s="290">
        <v>9</v>
      </c>
      <c r="J24" s="205">
        <f t="shared" si="0"/>
        <v>0.24192000000000002</v>
      </c>
      <c r="K24" s="290">
        <v>36</v>
      </c>
      <c r="L24" s="205">
        <f t="shared" si="16"/>
        <v>0.9676800000000001</v>
      </c>
      <c r="M24" s="290">
        <v>33</v>
      </c>
      <c r="N24" s="205">
        <f t="shared" si="13"/>
        <v>0.88704000000000005</v>
      </c>
      <c r="O24" s="290">
        <v>33</v>
      </c>
      <c r="P24" s="205">
        <f t="shared" si="14"/>
        <v>0.88704000000000005</v>
      </c>
      <c r="Q24" s="290">
        <v>15</v>
      </c>
      <c r="R24" s="205">
        <f t="shared" si="17"/>
        <v>0.4032</v>
      </c>
      <c r="S24" s="39">
        <f t="shared" si="7"/>
        <v>457</v>
      </c>
      <c r="T24" s="38">
        <f t="shared" si="4"/>
        <v>12.28416</v>
      </c>
      <c r="U24" s="290">
        <v>0</v>
      </c>
      <c r="V24" s="13">
        <f t="shared" si="8"/>
        <v>0</v>
      </c>
      <c r="W24" s="294">
        <f t="shared" si="9"/>
        <v>457</v>
      </c>
      <c r="X24" s="295">
        <f t="shared" si="10"/>
        <v>12.28416</v>
      </c>
      <c r="Y24" s="238">
        <v>100</v>
      </c>
      <c r="Z24" s="101">
        <v>300</v>
      </c>
    </row>
    <row r="25" spans="1:26" x14ac:dyDescent="0.25">
      <c r="A25" s="264">
        <v>21</v>
      </c>
      <c r="B25" s="256" t="s">
        <v>153</v>
      </c>
      <c r="C25" s="34">
        <v>58</v>
      </c>
      <c r="D25" s="35">
        <v>58</v>
      </c>
      <c r="E25" s="35">
        <v>2.2999999999999998</v>
      </c>
      <c r="F25" s="19">
        <f t="shared" si="5"/>
        <v>7.7371999999999996E-3</v>
      </c>
      <c r="G25" s="286">
        <v>1080</v>
      </c>
      <c r="H25" s="288">
        <f t="shared" si="6"/>
        <v>8.3561759999999996</v>
      </c>
      <c r="I25" s="290">
        <v>0</v>
      </c>
      <c r="J25" s="205">
        <f t="shared" si="0"/>
        <v>0</v>
      </c>
      <c r="K25" s="290">
        <v>0</v>
      </c>
      <c r="L25" s="205">
        <f t="shared" si="16"/>
        <v>0</v>
      </c>
      <c r="M25" s="290">
        <v>0</v>
      </c>
      <c r="N25" s="205">
        <f t="shared" si="13"/>
        <v>0</v>
      </c>
      <c r="O25" s="290">
        <v>0</v>
      </c>
      <c r="P25" s="205">
        <f t="shared" si="14"/>
        <v>0</v>
      </c>
      <c r="Q25" s="290">
        <v>0</v>
      </c>
      <c r="R25" s="205">
        <f t="shared" si="17"/>
        <v>0</v>
      </c>
      <c r="S25" s="39">
        <f t="shared" si="7"/>
        <v>1080</v>
      </c>
      <c r="T25" s="38">
        <f t="shared" si="4"/>
        <v>8.3561759999999996</v>
      </c>
      <c r="U25" s="290">
        <v>1921</v>
      </c>
      <c r="V25" s="13">
        <f t="shared" si="8"/>
        <v>14.863161199999999</v>
      </c>
      <c r="W25" s="294">
        <f t="shared" si="9"/>
        <v>3001</v>
      </c>
      <c r="X25" s="295">
        <f t="shared" si="10"/>
        <v>23.219337199999998</v>
      </c>
      <c r="Y25" s="238">
        <v>200</v>
      </c>
      <c r="Z25" s="101">
        <v>750</v>
      </c>
    </row>
    <row r="26" spans="1:26" x14ac:dyDescent="0.25">
      <c r="A26" s="264">
        <v>22</v>
      </c>
      <c r="B26" s="256" t="s">
        <v>154</v>
      </c>
      <c r="C26" s="34">
        <v>140</v>
      </c>
      <c r="D26" s="35">
        <v>240</v>
      </c>
      <c r="E26" s="35">
        <v>7</v>
      </c>
      <c r="F26" s="19">
        <f t="shared" si="5"/>
        <v>0.23519999999999999</v>
      </c>
      <c r="G26" s="286">
        <v>117</v>
      </c>
      <c r="H26" s="288">
        <f t="shared" si="6"/>
        <v>27.5184</v>
      </c>
      <c r="I26" s="290">
        <v>10</v>
      </c>
      <c r="J26" s="205">
        <f t="shared" si="0"/>
        <v>2.3519999999999999</v>
      </c>
      <c r="K26" s="290">
        <v>12</v>
      </c>
      <c r="L26" s="205">
        <f t="shared" si="16"/>
        <v>2.8224</v>
      </c>
      <c r="M26" s="290">
        <v>7</v>
      </c>
      <c r="N26" s="205">
        <f t="shared" si="13"/>
        <v>1.6463999999999999</v>
      </c>
      <c r="O26" s="290">
        <v>7</v>
      </c>
      <c r="P26" s="205">
        <f t="shared" si="14"/>
        <v>1.6463999999999999</v>
      </c>
      <c r="Q26" s="290">
        <v>2</v>
      </c>
      <c r="R26" s="205">
        <f t="shared" si="17"/>
        <v>0.47039999999999998</v>
      </c>
      <c r="S26" s="39">
        <f t="shared" si="7"/>
        <v>79</v>
      </c>
      <c r="T26" s="38">
        <f t="shared" si="4"/>
        <v>18.5808</v>
      </c>
      <c r="U26" s="290">
        <v>0</v>
      </c>
      <c r="V26" s="13">
        <f t="shared" si="8"/>
        <v>0</v>
      </c>
      <c r="W26" s="294">
        <f t="shared" si="9"/>
        <v>79</v>
      </c>
      <c r="X26" s="295">
        <f t="shared" si="10"/>
        <v>18.5808</v>
      </c>
      <c r="Y26" s="238">
        <v>50</v>
      </c>
      <c r="Z26" s="101">
        <v>200</v>
      </c>
    </row>
    <row r="27" spans="1:26" ht="15.75" x14ac:dyDescent="0.25">
      <c r="A27" s="264">
        <v>23</v>
      </c>
      <c r="B27" s="256" t="s">
        <v>55</v>
      </c>
      <c r="C27" s="111">
        <v>50</v>
      </c>
      <c r="D27" s="112">
        <v>45</v>
      </c>
      <c r="E27" s="112">
        <v>4</v>
      </c>
      <c r="F27" s="19">
        <f t="shared" si="5"/>
        <v>8.9999999999999993E-3</v>
      </c>
      <c r="G27" s="286">
        <v>1870</v>
      </c>
      <c r="H27" s="288">
        <f t="shared" si="6"/>
        <v>16.829999999999998</v>
      </c>
      <c r="I27" s="290">
        <v>0</v>
      </c>
      <c r="J27" s="205">
        <f t="shared" si="0"/>
        <v>0</v>
      </c>
      <c r="K27" s="290">
        <v>0</v>
      </c>
      <c r="L27" s="205">
        <f t="shared" si="16"/>
        <v>0</v>
      </c>
      <c r="M27" s="290">
        <v>0</v>
      </c>
      <c r="N27" s="205">
        <f t="shared" si="13"/>
        <v>0</v>
      </c>
      <c r="O27" s="290">
        <v>0</v>
      </c>
      <c r="P27" s="205">
        <f t="shared" si="14"/>
        <v>0</v>
      </c>
      <c r="Q27" s="290">
        <v>0</v>
      </c>
      <c r="R27" s="205">
        <f t="shared" si="17"/>
        <v>0</v>
      </c>
      <c r="S27" s="39">
        <f t="shared" si="7"/>
        <v>1870</v>
      </c>
      <c r="T27" s="38">
        <f t="shared" si="4"/>
        <v>16.829999999999998</v>
      </c>
      <c r="U27" s="290">
        <v>0</v>
      </c>
      <c r="V27" s="13">
        <f t="shared" si="8"/>
        <v>0</v>
      </c>
      <c r="W27" s="294">
        <f t="shared" si="9"/>
        <v>1870</v>
      </c>
      <c r="X27" s="295">
        <f t="shared" si="10"/>
        <v>16.829999999999998</v>
      </c>
      <c r="Y27" s="238">
        <v>300</v>
      </c>
      <c r="Z27" s="101">
        <v>1000</v>
      </c>
    </row>
    <row r="28" spans="1:26" ht="15.75" x14ac:dyDescent="0.25">
      <c r="A28" s="264">
        <v>24</v>
      </c>
      <c r="B28" s="256" t="s">
        <v>56</v>
      </c>
      <c r="C28" s="111">
        <v>50</v>
      </c>
      <c r="D28" s="112">
        <v>35</v>
      </c>
      <c r="E28" s="112">
        <v>4</v>
      </c>
      <c r="F28" s="19">
        <f t="shared" si="5"/>
        <v>7.0000000000000001E-3</v>
      </c>
      <c r="G28" s="286">
        <v>0</v>
      </c>
      <c r="H28" s="288">
        <f t="shared" si="6"/>
        <v>0</v>
      </c>
      <c r="I28" s="290">
        <v>0</v>
      </c>
      <c r="J28" s="205">
        <f t="shared" si="0"/>
        <v>0</v>
      </c>
      <c r="K28" s="290">
        <v>0</v>
      </c>
      <c r="L28" s="205">
        <f t="shared" si="16"/>
        <v>0</v>
      </c>
      <c r="M28" s="290">
        <v>0</v>
      </c>
      <c r="N28" s="205">
        <f t="shared" si="13"/>
        <v>0</v>
      </c>
      <c r="O28" s="290">
        <v>0</v>
      </c>
      <c r="P28" s="205">
        <f t="shared" si="14"/>
        <v>0</v>
      </c>
      <c r="Q28" s="290">
        <v>0</v>
      </c>
      <c r="R28" s="205">
        <f t="shared" si="17"/>
        <v>0</v>
      </c>
      <c r="S28" s="39">
        <f t="shared" si="7"/>
        <v>0</v>
      </c>
      <c r="T28" s="38">
        <f t="shared" si="4"/>
        <v>0</v>
      </c>
      <c r="U28" s="290">
        <v>0</v>
      </c>
      <c r="V28" s="13">
        <f t="shared" si="8"/>
        <v>0</v>
      </c>
      <c r="W28" s="294">
        <f t="shared" si="9"/>
        <v>0</v>
      </c>
      <c r="X28" s="295">
        <f t="shared" si="10"/>
        <v>0</v>
      </c>
      <c r="Y28" s="238">
        <v>300</v>
      </c>
      <c r="Z28" s="101">
        <v>1000</v>
      </c>
    </row>
    <row r="29" spans="1:26" ht="15.75" x14ac:dyDescent="0.25">
      <c r="A29" s="264">
        <v>25</v>
      </c>
      <c r="B29" s="256" t="s">
        <v>57</v>
      </c>
      <c r="C29" s="111">
        <v>45</v>
      </c>
      <c r="D29" s="112">
        <v>44</v>
      </c>
      <c r="E29" s="112">
        <v>3</v>
      </c>
      <c r="F29" s="19">
        <f t="shared" si="5"/>
        <v>5.94E-3</v>
      </c>
      <c r="G29" s="286">
        <v>787</v>
      </c>
      <c r="H29" s="288">
        <f t="shared" si="6"/>
        <v>4.6747800000000002</v>
      </c>
      <c r="I29" s="290">
        <v>0</v>
      </c>
      <c r="J29" s="205">
        <f t="shared" si="0"/>
        <v>0</v>
      </c>
      <c r="K29" s="290">
        <v>0</v>
      </c>
      <c r="L29" s="205">
        <f t="shared" si="16"/>
        <v>0</v>
      </c>
      <c r="M29" s="290">
        <v>0</v>
      </c>
      <c r="N29" s="205">
        <f t="shared" si="13"/>
        <v>0</v>
      </c>
      <c r="O29" s="290">
        <v>0</v>
      </c>
      <c r="P29" s="205">
        <f t="shared" si="14"/>
        <v>0</v>
      </c>
      <c r="Q29" s="290">
        <v>0</v>
      </c>
      <c r="R29" s="205">
        <f t="shared" si="17"/>
        <v>0</v>
      </c>
      <c r="S29" s="39">
        <f t="shared" si="7"/>
        <v>787</v>
      </c>
      <c r="T29" s="38">
        <f t="shared" si="4"/>
        <v>4.6747800000000002</v>
      </c>
      <c r="U29" s="290">
        <v>0</v>
      </c>
      <c r="V29" s="13">
        <f t="shared" si="8"/>
        <v>0</v>
      </c>
      <c r="W29" s="294">
        <f t="shared" si="9"/>
        <v>787</v>
      </c>
      <c r="X29" s="295">
        <f t="shared" si="10"/>
        <v>4.6747800000000002</v>
      </c>
      <c r="Y29" s="238">
        <v>500</v>
      </c>
      <c r="Z29" s="101">
        <v>1500</v>
      </c>
    </row>
    <row r="30" spans="1:26" ht="15.75" x14ac:dyDescent="0.25">
      <c r="A30" s="264">
        <v>26</v>
      </c>
      <c r="B30" s="256" t="s">
        <v>58</v>
      </c>
      <c r="C30" s="111">
        <v>45</v>
      </c>
      <c r="D30" s="112">
        <v>35.5</v>
      </c>
      <c r="E30" s="112">
        <v>3</v>
      </c>
      <c r="F30" s="19">
        <f t="shared" si="5"/>
        <v>4.7924999999999999E-3</v>
      </c>
      <c r="G30" s="286">
        <v>710</v>
      </c>
      <c r="H30" s="288">
        <f t="shared" si="6"/>
        <v>3.4026749999999999</v>
      </c>
      <c r="I30" s="290">
        <v>0</v>
      </c>
      <c r="J30" s="205">
        <f t="shared" si="0"/>
        <v>0</v>
      </c>
      <c r="K30" s="290">
        <v>0</v>
      </c>
      <c r="L30" s="205">
        <f t="shared" si="16"/>
        <v>0</v>
      </c>
      <c r="M30" s="290">
        <v>0</v>
      </c>
      <c r="N30" s="205">
        <f t="shared" si="13"/>
        <v>0</v>
      </c>
      <c r="O30" s="290">
        <v>0</v>
      </c>
      <c r="P30" s="205">
        <f t="shared" si="14"/>
        <v>0</v>
      </c>
      <c r="Q30" s="290">
        <v>0</v>
      </c>
      <c r="R30" s="205">
        <f t="shared" si="17"/>
        <v>0</v>
      </c>
      <c r="S30" s="39">
        <f t="shared" si="7"/>
        <v>710</v>
      </c>
      <c r="T30" s="38">
        <f t="shared" si="4"/>
        <v>3.4026749999999999</v>
      </c>
      <c r="U30" s="290">
        <v>0</v>
      </c>
      <c r="V30" s="13">
        <f t="shared" si="8"/>
        <v>0</v>
      </c>
      <c r="W30" s="294">
        <f t="shared" si="9"/>
        <v>710</v>
      </c>
      <c r="X30" s="295">
        <f t="shared" si="10"/>
        <v>3.4026749999999999</v>
      </c>
      <c r="Y30" s="238">
        <v>500</v>
      </c>
      <c r="Z30" s="101">
        <v>1500</v>
      </c>
    </row>
    <row r="31" spans="1:26" x14ac:dyDescent="0.25">
      <c r="A31" s="264">
        <v>27</v>
      </c>
      <c r="B31" s="256" t="s">
        <v>155</v>
      </c>
      <c r="C31" s="34">
        <v>140</v>
      </c>
      <c r="D31" s="35">
        <v>9.5</v>
      </c>
      <c r="E31" s="35">
        <v>6.5</v>
      </c>
      <c r="F31" s="19">
        <f t="shared" si="5"/>
        <v>8.6449999999999999E-3</v>
      </c>
      <c r="G31" s="286">
        <v>587</v>
      </c>
      <c r="H31" s="288">
        <f t="shared" si="6"/>
        <v>5.0746149999999997</v>
      </c>
      <c r="I31" s="290">
        <v>40</v>
      </c>
      <c r="J31" s="205">
        <f t="shared" si="0"/>
        <v>0.3458</v>
      </c>
      <c r="K31" s="290">
        <v>0</v>
      </c>
      <c r="L31" s="205">
        <f t="shared" si="16"/>
        <v>0</v>
      </c>
      <c r="M31" s="290">
        <v>0</v>
      </c>
      <c r="N31" s="205">
        <f t="shared" si="13"/>
        <v>0</v>
      </c>
      <c r="O31" s="290">
        <v>14</v>
      </c>
      <c r="P31" s="205">
        <f t="shared" si="14"/>
        <v>0.12103</v>
      </c>
      <c r="Q31" s="290">
        <v>0</v>
      </c>
      <c r="R31" s="205">
        <f t="shared" si="17"/>
        <v>0</v>
      </c>
      <c r="S31" s="39">
        <f t="shared" si="7"/>
        <v>533</v>
      </c>
      <c r="T31" s="38">
        <f t="shared" si="4"/>
        <v>4.6077849999999998</v>
      </c>
      <c r="U31" s="290">
        <v>140</v>
      </c>
      <c r="V31" s="13">
        <f t="shared" si="8"/>
        <v>1.2102999999999999</v>
      </c>
      <c r="W31" s="294">
        <f t="shared" si="9"/>
        <v>673</v>
      </c>
      <c r="X31" s="295">
        <f t="shared" si="10"/>
        <v>5.818085</v>
      </c>
      <c r="Y31" s="238">
        <v>500</v>
      </c>
      <c r="Z31" s="101">
        <v>1500</v>
      </c>
    </row>
    <row r="32" spans="1:26" x14ac:dyDescent="0.25">
      <c r="A32" s="264">
        <v>28</v>
      </c>
      <c r="B32" s="256" t="s">
        <v>156</v>
      </c>
      <c r="C32" s="34">
        <v>140</v>
      </c>
      <c r="D32" s="35">
        <v>240</v>
      </c>
      <c r="E32" s="35">
        <v>1</v>
      </c>
      <c r="F32" s="19">
        <f t="shared" si="5"/>
        <v>3.3599999999999998E-2</v>
      </c>
      <c r="G32" s="286">
        <v>560</v>
      </c>
      <c r="H32" s="288">
        <f t="shared" si="6"/>
        <v>18.815999999999999</v>
      </c>
      <c r="I32" s="290">
        <v>102</v>
      </c>
      <c r="J32" s="205">
        <f t="shared" si="0"/>
        <v>3.4271999999999996</v>
      </c>
      <c r="K32" s="290">
        <v>127</v>
      </c>
      <c r="L32" s="205">
        <f t="shared" si="16"/>
        <v>4.2671999999999999</v>
      </c>
      <c r="M32" s="290">
        <v>198</v>
      </c>
      <c r="N32" s="205">
        <f t="shared" si="13"/>
        <v>6.6527999999999992</v>
      </c>
      <c r="O32" s="290">
        <v>100</v>
      </c>
      <c r="P32" s="205">
        <f t="shared" si="14"/>
        <v>3.36</v>
      </c>
      <c r="Q32" s="290">
        <v>110</v>
      </c>
      <c r="R32" s="205">
        <f>F32*Q32</f>
        <v>3.6959999999999997</v>
      </c>
      <c r="S32" s="39">
        <f t="shared" si="7"/>
        <v>-77</v>
      </c>
      <c r="T32" s="38">
        <f t="shared" si="4"/>
        <v>-2.5871999999999997</v>
      </c>
      <c r="U32" s="290">
        <v>517</v>
      </c>
      <c r="V32" s="13">
        <f t="shared" si="8"/>
        <v>17.371199999999998</v>
      </c>
      <c r="W32" s="294">
        <f t="shared" si="9"/>
        <v>440</v>
      </c>
      <c r="X32" s="295">
        <f t="shared" si="10"/>
        <v>14.783999999999999</v>
      </c>
      <c r="Y32" s="238">
        <v>500</v>
      </c>
      <c r="Z32" s="101">
        <v>1500</v>
      </c>
    </row>
    <row r="33" spans="1:26" x14ac:dyDescent="0.25">
      <c r="A33" s="264">
        <v>29</v>
      </c>
      <c r="B33" s="256" t="s">
        <v>157</v>
      </c>
      <c r="C33" s="34">
        <v>140</v>
      </c>
      <c r="D33" s="35">
        <v>240</v>
      </c>
      <c r="E33" s="35">
        <v>2</v>
      </c>
      <c r="F33" s="19">
        <f t="shared" si="5"/>
        <v>6.7199999999999996E-2</v>
      </c>
      <c r="G33" s="286">
        <v>25</v>
      </c>
      <c r="H33" s="288">
        <f t="shared" si="6"/>
        <v>1.68</v>
      </c>
      <c r="I33" s="290">
        <v>25</v>
      </c>
      <c r="J33" s="205">
        <f t="shared" si="0"/>
        <v>1.68</v>
      </c>
      <c r="K33" s="290">
        <v>3</v>
      </c>
      <c r="L33" s="205">
        <f t="shared" si="16"/>
        <v>0.2016</v>
      </c>
      <c r="M33" s="290">
        <v>6</v>
      </c>
      <c r="N33" s="205">
        <f t="shared" si="13"/>
        <v>0.4032</v>
      </c>
      <c r="O33" s="290">
        <v>17</v>
      </c>
      <c r="P33" s="205">
        <f t="shared" si="14"/>
        <v>1.1423999999999999</v>
      </c>
      <c r="Q33" s="290">
        <v>71</v>
      </c>
      <c r="R33" s="205">
        <f>F33*Q33</f>
        <v>4.7711999999999994</v>
      </c>
      <c r="S33" s="39">
        <f t="shared" si="7"/>
        <v>-97</v>
      </c>
      <c r="T33" s="38">
        <f t="shared" si="4"/>
        <v>-6.5183999999999997</v>
      </c>
      <c r="U33" s="290">
        <v>160</v>
      </c>
      <c r="V33" s="13">
        <f t="shared" si="8"/>
        <v>10.751999999999999</v>
      </c>
      <c r="W33" s="294">
        <f t="shared" si="9"/>
        <v>63</v>
      </c>
      <c r="X33" s="295">
        <f t="shared" si="10"/>
        <v>4.2336</v>
      </c>
      <c r="Y33" s="238">
        <v>75</v>
      </c>
      <c r="Z33" s="101">
        <v>150</v>
      </c>
    </row>
    <row r="34" spans="1:26" x14ac:dyDescent="0.25">
      <c r="A34" s="264">
        <v>30</v>
      </c>
      <c r="B34" s="256" t="s">
        <v>158</v>
      </c>
      <c r="C34" s="34">
        <v>140</v>
      </c>
      <c r="D34" s="35">
        <v>240</v>
      </c>
      <c r="E34" s="35">
        <v>3</v>
      </c>
      <c r="F34" s="19">
        <f t="shared" si="5"/>
        <v>0.1008</v>
      </c>
      <c r="G34" s="286">
        <v>271</v>
      </c>
      <c r="H34" s="288">
        <f t="shared" si="6"/>
        <v>27.316800000000001</v>
      </c>
      <c r="I34" s="290">
        <v>3</v>
      </c>
      <c r="J34" s="205">
        <f>F34*I34</f>
        <v>0.3024</v>
      </c>
      <c r="K34" s="290">
        <v>4</v>
      </c>
      <c r="L34" s="205">
        <f t="shared" si="16"/>
        <v>0.4032</v>
      </c>
      <c r="M34" s="290">
        <v>10</v>
      </c>
      <c r="N34" s="205">
        <f t="shared" si="13"/>
        <v>1.008</v>
      </c>
      <c r="O34" s="290">
        <v>5</v>
      </c>
      <c r="P34" s="205">
        <f t="shared" si="14"/>
        <v>0.504</v>
      </c>
      <c r="Q34" s="290">
        <v>9</v>
      </c>
      <c r="R34" s="205">
        <f t="shared" si="17"/>
        <v>0.90720000000000001</v>
      </c>
      <c r="S34" s="39">
        <f t="shared" si="7"/>
        <v>240</v>
      </c>
      <c r="T34" s="38">
        <f t="shared" si="4"/>
        <v>24.192</v>
      </c>
      <c r="U34" s="290">
        <v>0</v>
      </c>
      <c r="V34" s="13">
        <f t="shared" si="8"/>
        <v>0</v>
      </c>
      <c r="W34" s="294">
        <f t="shared" si="9"/>
        <v>240</v>
      </c>
      <c r="X34" s="295">
        <f t="shared" si="10"/>
        <v>24.192</v>
      </c>
      <c r="Y34" s="238">
        <v>75</v>
      </c>
      <c r="Z34" s="101">
        <v>150</v>
      </c>
    </row>
    <row r="35" spans="1:26" x14ac:dyDescent="0.25">
      <c r="A35" s="264">
        <v>31</v>
      </c>
      <c r="B35" s="256" t="s">
        <v>159</v>
      </c>
      <c r="C35" s="34">
        <v>140</v>
      </c>
      <c r="D35" s="35">
        <v>240</v>
      </c>
      <c r="E35" s="35">
        <v>4</v>
      </c>
      <c r="F35" s="19">
        <f t="shared" si="5"/>
        <v>0.13439999999999999</v>
      </c>
      <c r="G35" s="286">
        <v>127</v>
      </c>
      <c r="H35" s="288">
        <f t="shared" si="6"/>
        <v>17.0688</v>
      </c>
      <c r="I35" s="290">
        <v>0</v>
      </c>
      <c r="J35" s="205">
        <f t="shared" si="0"/>
        <v>0</v>
      </c>
      <c r="K35" s="290">
        <v>4</v>
      </c>
      <c r="L35" s="205">
        <f t="shared" si="16"/>
        <v>0.53759999999999997</v>
      </c>
      <c r="M35" s="290">
        <v>3</v>
      </c>
      <c r="N35" s="205">
        <f t="shared" si="13"/>
        <v>0.4032</v>
      </c>
      <c r="O35" s="290">
        <v>3</v>
      </c>
      <c r="P35" s="205">
        <f t="shared" si="14"/>
        <v>0.4032</v>
      </c>
      <c r="Q35" s="290">
        <v>2</v>
      </c>
      <c r="R35" s="205">
        <f t="shared" si="17"/>
        <v>0.26879999999999998</v>
      </c>
      <c r="S35" s="39">
        <f t="shared" si="7"/>
        <v>115</v>
      </c>
      <c r="T35" s="38">
        <f t="shared" si="4"/>
        <v>15.456</v>
      </c>
      <c r="U35" s="290">
        <v>0</v>
      </c>
      <c r="V35" s="13">
        <f t="shared" si="8"/>
        <v>0</v>
      </c>
      <c r="W35" s="294">
        <f t="shared" si="9"/>
        <v>115</v>
      </c>
      <c r="X35" s="295">
        <f t="shared" si="10"/>
        <v>15.456</v>
      </c>
      <c r="Y35" s="238">
        <v>50</v>
      </c>
      <c r="Z35" s="101">
        <v>100</v>
      </c>
    </row>
    <row r="36" spans="1:26" x14ac:dyDescent="0.25">
      <c r="A36" s="264">
        <v>32</v>
      </c>
      <c r="B36" s="256" t="s">
        <v>160</v>
      </c>
      <c r="C36" s="34">
        <v>140</v>
      </c>
      <c r="D36" s="35">
        <v>240</v>
      </c>
      <c r="E36" s="35">
        <v>2</v>
      </c>
      <c r="F36" s="19">
        <f t="shared" si="5"/>
        <v>6.7199999999999996E-2</v>
      </c>
      <c r="G36" s="286">
        <v>395</v>
      </c>
      <c r="H36" s="288">
        <f t="shared" si="6"/>
        <v>26.543999999999997</v>
      </c>
      <c r="I36" s="290">
        <v>27</v>
      </c>
      <c r="J36" s="205">
        <f>F36*I36</f>
        <v>1.8143999999999998</v>
      </c>
      <c r="K36" s="290">
        <v>75</v>
      </c>
      <c r="L36" s="205">
        <f t="shared" si="16"/>
        <v>5.04</v>
      </c>
      <c r="M36" s="290">
        <v>84</v>
      </c>
      <c r="N36" s="205">
        <f t="shared" si="13"/>
        <v>5.6448</v>
      </c>
      <c r="O36" s="290">
        <v>15</v>
      </c>
      <c r="P36" s="205">
        <f t="shared" si="14"/>
        <v>1.008</v>
      </c>
      <c r="Q36" s="290">
        <v>22</v>
      </c>
      <c r="R36" s="205">
        <f t="shared" si="17"/>
        <v>1.4783999999999999</v>
      </c>
      <c r="S36" s="39">
        <f t="shared" si="7"/>
        <v>172</v>
      </c>
      <c r="T36" s="38">
        <f t="shared" si="4"/>
        <v>11.558399999999999</v>
      </c>
      <c r="U36" s="290">
        <v>171</v>
      </c>
      <c r="V36" s="13">
        <f t="shared" si="8"/>
        <v>11.491199999999999</v>
      </c>
      <c r="W36" s="294">
        <f t="shared" si="9"/>
        <v>343</v>
      </c>
      <c r="X36" s="295">
        <f t="shared" si="10"/>
        <v>23.049599999999998</v>
      </c>
      <c r="Y36" s="238">
        <v>200</v>
      </c>
      <c r="Z36" s="101">
        <v>300</v>
      </c>
    </row>
    <row r="37" spans="1:26" x14ac:dyDescent="0.25">
      <c r="A37" s="264">
        <v>33</v>
      </c>
      <c r="B37" s="256" t="s">
        <v>161</v>
      </c>
      <c r="C37" s="34">
        <v>140</v>
      </c>
      <c r="D37" s="35">
        <v>240</v>
      </c>
      <c r="E37" s="35">
        <v>6</v>
      </c>
      <c r="F37" s="19">
        <f t="shared" si="5"/>
        <v>0.2016</v>
      </c>
      <c r="G37" s="286">
        <v>27</v>
      </c>
      <c r="H37" s="288">
        <f t="shared" si="6"/>
        <v>5.4432</v>
      </c>
      <c r="I37" s="290">
        <v>0</v>
      </c>
      <c r="J37" s="205">
        <f t="shared" si="0"/>
        <v>0</v>
      </c>
      <c r="K37" s="290">
        <v>0</v>
      </c>
      <c r="L37" s="205">
        <f>F37*K37</f>
        <v>0</v>
      </c>
      <c r="M37" s="290">
        <v>0</v>
      </c>
      <c r="N37" s="205">
        <f t="shared" si="13"/>
        <v>0</v>
      </c>
      <c r="O37" s="290">
        <v>0</v>
      </c>
      <c r="P37" s="21">
        <v>0</v>
      </c>
      <c r="Q37" s="290">
        <v>0</v>
      </c>
      <c r="R37" s="205">
        <f t="shared" si="17"/>
        <v>0</v>
      </c>
      <c r="S37" s="39">
        <f t="shared" si="7"/>
        <v>27</v>
      </c>
      <c r="T37" s="38">
        <f t="shared" si="4"/>
        <v>5.4432</v>
      </c>
      <c r="U37" s="290">
        <v>0</v>
      </c>
      <c r="V37" s="13">
        <f t="shared" si="8"/>
        <v>0</v>
      </c>
      <c r="W37" s="294">
        <f t="shared" si="9"/>
        <v>27</v>
      </c>
      <c r="X37" s="295">
        <f t="shared" si="10"/>
        <v>5.4432</v>
      </c>
      <c r="Y37" s="238">
        <v>10</v>
      </c>
      <c r="Z37" s="101">
        <v>30</v>
      </c>
    </row>
    <row r="38" spans="1:26" x14ac:dyDescent="0.25">
      <c r="A38" s="264">
        <v>34</v>
      </c>
      <c r="B38" s="256" t="s">
        <v>181</v>
      </c>
      <c r="C38" s="34">
        <v>80</v>
      </c>
      <c r="D38" s="35">
        <v>75</v>
      </c>
      <c r="E38" s="35">
        <v>5</v>
      </c>
      <c r="F38" s="19">
        <f t="shared" si="5"/>
        <v>0.03</v>
      </c>
      <c r="G38" s="286">
        <v>68</v>
      </c>
      <c r="H38" s="288">
        <f t="shared" si="6"/>
        <v>2.04</v>
      </c>
      <c r="I38" s="290">
        <v>0</v>
      </c>
      <c r="J38" s="205">
        <f t="shared" si="0"/>
        <v>0</v>
      </c>
      <c r="K38" s="290">
        <v>0</v>
      </c>
      <c r="L38" s="205">
        <f t="shared" si="0"/>
        <v>0</v>
      </c>
      <c r="M38" s="290">
        <v>0</v>
      </c>
      <c r="N38" s="21">
        <v>0</v>
      </c>
      <c r="O38" s="290">
        <v>0</v>
      </c>
      <c r="P38" s="21">
        <v>0</v>
      </c>
      <c r="Q38" s="290">
        <v>0</v>
      </c>
      <c r="R38" s="21">
        <v>0</v>
      </c>
      <c r="S38" s="39">
        <f t="shared" si="7"/>
        <v>68</v>
      </c>
      <c r="T38" s="38">
        <f t="shared" si="4"/>
        <v>2.04</v>
      </c>
      <c r="U38" s="290">
        <v>0</v>
      </c>
      <c r="V38" s="13">
        <f t="shared" si="8"/>
        <v>0</v>
      </c>
      <c r="W38" s="294">
        <f t="shared" si="9"/>
        <v>68</v>
      </c>
      <c r="X38" s="295">
        <f t="shared" si="10"/>
        <v>2.04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182</v>
      </c>
      <c r="C39" s="34">
        <v>100</v>
      </c>
      <c r="D39" s="35">
        <v>95</v>
      </c>
      <c r="E39" s="35">
        <v>5</v>
      </c>
      <c r="F39" s="19">
        <f t="shared" si="5"/>
        <v>4.7500000000000001E-2</v>
      </c>
      <c r="G39" s="286">
        <v>139</v>
      </c>
      <c r="H39" s="288">
        <f t="shared" si="6"/>
        <v>6.6025</v>
      </c>
      <c r="I39" s="290">
        <v>0</v>
      </c>
      <c r="J39" s="205">
        <f t="shared" si="0"/>
        <v>0</v>
      </c>
      <c r="K39" s="290">
        <v>1</v>
      </c>
      <c r="L39" s="205">
        <f>F39*K39</f>
        <v>4.7500000000000001E-2</v>
      </c>
      <c r="M39" s="290">
        <v>1</v>
      </c>
      <c r="N39" s="205">
        <f>F39*M39</f>
        <v>4.7500000000000001E-2</v>
      </c>
      <c r="O39" s="290">
        <v>0</v>
      </c>
      <c r="P39" s="205">
        <f>J39*O39</f>
        <v>0</v>
      </c>
      <c r="Q39" s="290">
        <v>0</v>
      </c>
      <c r="R39" s="205">
        <f>L39*Q39</f>
        <v>0</v>
      </c>
      <c r="S39" s="39">
        <f t="shared" si="7"/>
        <v>137</v>
      </c>
      <c r="T39" s="38">
        <f t="shared" si="4"/>
        <v>6.5075000000000003</v>
      </c>
      <c r="U39" s="290">
        <v>0</v>
      </c>
      <c r="V39" s="13">
        <f t="shared" si="8"/>
        <v>0</v>
      </c>
      <c r="W39" s="294">
        <f t="shared" si="9"/>
        <v>137</v>
      </c>
      <c r="X39" s="295">
        <f t="shared" si="10"/>
        <v>6.5075000000000003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196</v>
      </c>
      <c r="C40" s="34">
        <v>65</v>
      </c>
      <c r="D40" s="35">
        <v>60</v>
      </c>
      <c r="E40" s="35">
        <v>5</v>
      </c>
      <c r="F40" s="19">
        <f t="shared" si="5"/>
        <v>1.95E-2</v>
      </c>
      <c r="G40" s="286">
        <v>207</v>
      </c>
      <c r="H40" s="288">
        <f t="shared" si="6"/>
        <v>4.0365000000000002</v>
      </c>
      <c r="I40" s="290">
        <v>28</v>
      </c>
      <c r="J40" s="205">
        <f t="shared" si="0"/>
        <v>0.54600000000000004</v>
      </c>
      <c r="K40" s="290">
        <v>0</v>
      </c>
      <c r="L40" s="205">
        <f>F40*K40</f>
        <v>0</v>
      </c>
      <c r="M40" s="290">
        <v>7</v>
      </c>
      <c r="N40" s="205">
        <f>F40*M40</f>
        <v>0.13650000000000001</v>
      </c>
      <c r="O40" s="290">
        <v>0</v>
      </c>
      <c r="P40" s="205">
        <f>F40*O40</f>
        <v>0</v>
      </c>
      <c r="Q40" s="290">
        <v>0</v>
      </c>
      <c r="R40" s="205">
        <f>F40*Q40</f>
        <v>0</v>
      </c>
      <c r="S40" s="39">
        <f t="shared" si="7"/>
        <v>172</v>
      </c>
      <c r="T40" s="38">
        <f t="shared" si="4"/>
        <v>3.3540000000000001</v>
      </c>
      <c r="U40" s="290">
        <v>0</v>
      </c>
      <c r="V40" s="13">
        <f t="shared" si="8"/>
        <v>0</v>
      </c>
      <c r="W40" s="294">
        <f t="shared" si="9"/>
        <v>172</v>
      </c>
      <c r="X40" s="295">
        <f t="shared" si="10"/>
        <v>3.3540000000000001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165</v>
      </c>
      <c r="C41" s="34">
        <v>140</v>
      </c>
      <c r="D41" s="35">
        <v>240</v>
      </c>
      <c r="E41" s="35">
        <v>10</v>
      </c>
      <c r="F41" s="19">
        <f t="shared" si="5"/>
        <v>0.33600000000000002</v>
      </c>
      <c r="G41" s="286">
        <v>115</v>
      </c>
      <c r="H41" s="288">
        <f t="shared" si="6"/>
        <v>38.64</v>
      </c>
      <c r="I41" s="290">
        <v>7</v>
      </c>
      <c r="J41" s="205">
        <f>F41*I41</f>
        <v>2.3520000000000003</v>
      </c>
      <c r="K41" s="290">
        <v>14</v>
      </c>
      <c r="L41" s="205">
        <f>F41*K41</f>
        <v>4.7040000000000006</v>
      </c>
      <c r="M41" s="290">
        <v>4</v>
      </c>
      <c r="N41" s="205">
        <f>F41*M41</f>
        <v>1.3440000000000001</v>
      </c>
      <c r="O41" s="290">
        <v>2</v>
      </c>
      <c r="P41" s="205">
        <f>F41*O41</f>
        <v>0.67200000000000004</v>
      </c>
      <c r="Q41" s="290">
        <v>3</v>
      </c>
      <c r="R41" s="205">
        <f>F41*Q41</f>
        <v>1.008</v>
      </c>
      <c r="S41" s="39">
        <f t="shared" si="7"/>
        <v>85</v>
      </c>
      <c r="T41" s="38">
        <f t="shared" si="4"/>
        <v>28.560000000000002</v>
      </c>
      <c r="U41" s="290">
        <v>0</v>
      </c>
      <c r="V41" s="13">
        <f t="shared" si="8"/>
        <v>0</v>
      </c>
      <c r="W41" s="294">
        <f t="shared" si="9"/>
        <v>85</v>
      </c>
      <c r="X41" s="295">
        <f t="shared" si="10"/>
        <v>28.560000000000002</v>
      </c>
      <c r="Y41" s="238">
        <v>50</v>
      </c>
      <c r="Z41" s="101">
        <v>100</v>
      </c>
    </row>
    <row r="42" spans="1:26" x14ac:dyDescent="0.25">
      <c r="A42" s="264">
        <v>38</v>
      </c>
      <c r="B42" s="256" t="s">
        <v>166</v>
      </c>
      <c r="C42" s="34">
        <v>92</v>
      </c>
      <c r="D42" s="35">
        <v>82</v>
      </c>
      <c r="E42" s="35">
        <v>2</v>
      </c>
      <c r="F42" s="19">
        <f t="shared" si="5"/>
        <v>1.5088000000000001E-2</v>
      </c>
      <c r="G42" s="286">
        <v>353</v>
      </c>
      <c r="H42" s="288">
        <f t="shared" si="6"/>
        <v>5.3260640000000006</v>
      </c>
      <c r="I42" s="290">
        <v>57</v>
      </c>
      <c r="J42" s="205">
        <f t="shared" si="0"/>
        <v>0.860016</v>
      </c>
      <c r="K42" s="290">
        <v>0</v>
      </c>
      <c r="L42" s="205">
        <f>F42*K42</f>
        <v>0</v>
      </c>
      <c r="M42" s="290">
        <v>0</v>
      </c>
      <c r="N42" s="205">
        <f>F42*M42</f>
        <v>0</v>
      </c>
      <c r="O42" s="290">
        <v>0</v>
      </c>
      <c r="P42" s="205">
        <f>F42*O42</f>
        <v>0</v>
      </c>
      <c r="Q42" s="290">
        <v>0</v>
      </c>
      <c r="R42" s="205">
        <f>F42*Q42</f>
        <v>0</v>
      </c>
      <c r="S42" s="39">
        <f t="shared" si="7"/>
        <v>296</v>
      </c>
      <c r="T42" s="38">
        <f t="shared" si="4"/>
        <v>4.4660479999999998</v>
      </c>
      <c r="U42" s="290">
        <v>0</v>
      </c>
      <c r="V42" s="13">
        <f t="shared" si="8"/>
        <v>0</v>
      </c>
      <c r="W42" s="294">
        <f t="shared" si="9"/>
        <v>296</v>
      </c>
      <c r="X42" s="295">
        <f t="shared" si="10"/>
        <v>4.4660479999999998</v>
      </c>
      <c r="Y42" s="238">
        <v>100</v>
      </c>
      <c r="Z42" s="101">
        <v>300</v>
      </c>
    </row>
    <row r="43" spans="1:26" x14ac:dyDescent="0.25">
      <c r="A43" s="264">
        <v>39</v>
      </c>
      <c r="B43" s="256" t="s">
        <v>183</v>
      </c>
      <c r="C43" s="34">
        <v>90</v>
      </c>
      <c r="D43" s="35">
        <v>90</v>
      </c>
      <c r="E43" s="35">
        <v>3</v>
      </c>
      <c r="F43" s="19">
        <f t="shared" si="5"/>
        <v>2.4299999999999999E-2</v>
      </c>
      <c r="G43" s="286">
        <v>159</v>
      </c>
      <c r="H43" s="288">
        <f t="shared" si="6"/>
        <v>3.8636999999999997</v>
      </c>
      <c r="I43" s="290">
        <v>0</v>
      </c>
      <c r="J43" s="205">
        <f t="shared" si="0"/>
        <v>0</v>
      </c>
      <c r="K43" s="290">
        <v>6</v>
      </c>
      <c r="L43" s="205">
        <f t="shared" si="0"/>
        <v>23.182199999999998</v>
      </c>
      <c r="M43" s="290">
        <v>5</v>
      </c>
      <c r="N43" s="21">
        <v>0</v>
      </c>
      <c r="O43" s="290">
        <v>0</v>
      </c>
      <c r="P43" s="21">
        <v>0</v>
      </c>
      <c r="Q43" s="290">
        <v>0</v>
      </c>
      <c r="R43" s="21">
        <v>0</v>
      </c>
      <c r="S43" s="39">
        <f t="shared" si="7"/>
        <v>148</v>
      </c>
      <c r="T43" s="38">
        <f t="shared" si="4"/>
        <v>3.5963999999999996</v>
      </c>
      <c r="U43" s="290">
        <v>0</v>
      </c>
      <c r="V43" s="13">
        <f t="shared" si="8"/>
        <v>0</v>
      </c>
      <c r="W43" s="294">
        <f t="shared" si="9"/>
        <v>148</v>
      </c>
      <c r="X43" s="295">
        <f t="shared" si="10"/>
        <v>3.5963999999999996</v>
      </c>
      <c r="Y43" s="238">
        <v>0</v>
      </c>
      <c r="Z43" s="101">
        <v>0</v>
      </c>
    </row>
    <row r="44" spans="1:26" x14ac:dyDescent="0.25">
      <c r="A44" s="264">
        <v>40</v>
      </c>
      <c r="B44" s="256" t="s">
        <v>168</v>
      </c>
      <c r="C44" s="34">
        <v>140</v>
      </c>
      <c r="D44" s="35">
        <v>240</v>
      </c>
      <c r="E44" s="35">
        <v>3</v>
      </c>
      <c r="F44" s="19">
        <f t="shared" si="5"/>
        <v>0.1008</v>
      </c>
      <c r="G44" s="286">
        <v>0</v>
      </c>
      <c r="H44" s="288">
        <f t="shared" si="6"/>
        <v>0</v>
      </c>
      <c r="I44" s="290">
        <v>0</v>
      </c>
      <c r="J44" s="205">
        <f t="shared" si="0"/>
        <v>0</v>
      </c>
      <c r="K44" s="290">
        <v>0</v>
      </c>
      <c r="L44" s="205">
        <f t="shared" ref="L44:L52" si="18">F44*K44</f>
        <v>0</v>
      </c>
      <c r="M44" s="290">
        <v>0</v>
      </c>
      <c r="N44" s="205">
        <f t="shared" ref="N44:N70" si="19">F44*M44</f>
        <v>0</v>
      </c>
      <c r="O44" s="290">
        <v>0</v>
      </c>
      <c r="P44" s="205">
        <f t="shared" ref="P44:P66" si="20">F44*O44</f>
        <v>0</v>
      </c>
      <c r="Q44" s="290">
        <v>0</v>
      </c>
      <c r="R44" s="205">
        <f t="shared" ref="R44:R58" si="21">F44*Q44</f>
        <v>0</v>
      </c>
      <c r="S44" s="39">
        <f t="shared" si="7"/>
        <v>0</v>
      </c>
      <c r="T44" s="38">
        <f t="shared" si="4"/>
        <v>0</v>
      </c>
      <c r="U44" s="290">
        <v>0</v>
      </c>
      <c r="V44" s="13">
        <f t="shared" si="8"/>
        <v>0</v>
      </c>
      <c r="W44" s="294">
        <f t="shared" si="9"/>
        <v>0</v>
      </c>
      <c r="X44" s="295">
        <f t="shared" si="10"/>
        <v>0</v>
      </c>
      <c r="Y44" s="238">
        <v>0</v>
      </c>
      <c r="Z44" s="101">
        <v>0</v>
      </c>
    </row>
    <row r="45" spans="1:26" x14ac:dyDescent="0.25">
      <c r="A45" s="264">
        <v>41</v>
      </c>
      <c r="B45" s="256" t="s">
        <v>169</v>
      </c>
      <c r="C45" s="34">
        <v>82</v>
      </c>
      <c r="D45" s="34">
        <v>80</v>
      </c>
      <c r="E45" s="34">
        <v>2</v>
      </c>
      <c r="F45" s="19">
        <f t="shared" si="5"/>
        <v>1.312E-2</v>
      </c>
      <c r="G45" s="284">
        <v>786</v>
      </c>
      <c r="H45" s="288">
        <f t="shared" si="6"/>
        <v>10.31232</v>
      </c>
      <c r="I45" s="290">
        <v>0</v>
      </c>
      <c r="J45" s="205">
        <f t="shared" si="0"/>
        <v>0</v>
      </c>
      <c r="K45" s="290">
        <v>0</v>
      </c>
      <c r="L45" s="205">
        <f t="shared" si="18"/>
        <v>0</v>
      </c>
      <c r="M45" s="290">
        <v>0</v>
      </c>
      <c r="N45" s="205">
        <f t="shared" si="19"/>
        <v>0</v>
      </c>
      <c r="O45" s="290">
        <v>0</v>
      </c>
      <c r="P45" s="205">
        <f t="shared" si="20"/>
        <v>0</v>
      </c>
      <c r="Q45" s="290">
        <v>0</v>
      </c>
      <c r="R45" s="205">
        <f t="shared" si="21"/>
        <v>0</v>
      </c>
      <c r="S45" s="39">
        <f t="shared" si="7"/>
        <v>786</v>
      </c>
      <c r="T45" s="38">
        <f t="shared" si="4"/>
        <v>10.31232</v>
      </c>
      <c r="U45" s="290">
        <v>0</v>
      </c>
      <c r="V45" s="13">
        <f t="shared" si="8"/>
        <v>0</v>
      </c>
      <c r="W45" s="294">
        <f t="shared" si="9"/>
        <v>786</v>
      </c>
      <c r="X45" s="295">
        <f t="shared" si="10"/>
        <v>10.31232</v>
      </c>
      <c r="Y45" s="238">
        <v>100</v>
      </c>
      <c r="Z45" s="101">
        <v>300</v>
      </c>
    </row>
    <row r="46" spans="1:26" x14ac:dyDescent="0.25">
      <c r="A46" s="264">
        <v>42</v>
      </c>
      <c r="B46" s="256" t="s">
        <v>170</v>
      </c>
      <c r="C46" s="34">
        <v>90</v>
      </c>
      <c r="D46" s="34">
        <v>83</v>
      </c>
      <c r="E46" s="34">
        <v>2</v>
      </c>
      <c r="F46" s="19">
        <f t="shared" si="5"/>
        <v>1.494E-2</v>
      </c>
      <c r="G46" s="284">
        <v>0</v>
      </c>
      <c r="H46" s="288">
        <f t="shared" si="6"/>
        <v>0</v>
      </c>
      <c r="I46" s="290">
        <v>0</v>
      </c>
      <c r="J46" s="205">
        <f t="shared" si="0"/>
        <v>0</v>
      </c>
      <c r="K46" s="290">
        <v>0</v>
      </c>
      <c r="L46" s="205">
        <f t="shared" si="18"/>
        <v>0</v>
      </c>
      <c r="M46" s="290">
        <v>0</v>
      </c>
      <c r="N46" s="205">
        <f t="shared" si="19"/>
        <v>0</v>
      </c>
      <c r="O46" s="290">
        <v>0</v>
      </c>
      <c r="P46" s="205">
        <f t="shared" si="20"/>
        <v>0</v>
      </c>
      <c r="Q46" s="290">
        <v>0</v>
      </c>
      <c r="R46" s="205">
        <f t="shared" si="21"/>
        <v>0</v>
      </c>
      <c r="S46" s="39">
        <f t="shared" si="7"/>
        <v>0</v>
      </c>
      <c r="T46" s="38">
        <f t="shared" si="4"/>
        <v>0</v>
      </c>
      <c r="U46" s="290">
        <v>0</v>
      </c>
      <c r="V46" s="13">
        <f t="shared" si="8"/>
        <v>0</v>
      </c>
      <c r="W46" s="294">
        <f t="shared" si="9"/>
        <v>0</v>
      </c>
      <c r="X46" s="295">
        <f t="shared" si="10"/>
        <v>0</v>
      </c>
      <c r="Y46" s="238">
        <v>100</v>
      </c>
      <c r="Z46" s="101">
        <v>300</v>
      </c>
    </row>
    <row r="47" spans="1:26" x14ac:dyDescent="0.25">
      <c r="A47" s="264">
        <v>43</v>
      </c>
      <c r="B47" s="256" t="s">
        <v>184</v>
      </c>
      <c r="C47" s="34">
        <v>112</v>
      </c>
      <c r="D47" s="34">
        <v>67</v>
      </c>
      <c r="E47" s="34">
        <v>3</v>
      </c>
      <c r="F47" s="19">
        <f t="shared" si="5"/>
        <v>2.2512000000000001E-2</v>
      </c>
      <c r="G47" s="284">
        <v>65</v>
      </c>
      <c r="H47" s="288">
        <f t="shared" si="6"/>
        <v>1.4632800000000001</v>
      </c>
      <c r="I47" s="290">
        <v>0</v>
      </c>
      <c r="J47" s="205">
        <f t="shared" si="0"/>
        <v>0</v>
      </c>
      <c r="K47" s="290">
        <v>0</v>
      </c>
      <c r="L47" s="205">
        <f t="shared" si="18"/>
        <v>0</v>
      </c>
      <c r="M47" s="290">
        <v>2</v>
      </c>
      <c r="N47" s="205">
        <f t="shared" si="19"/>
        <v>4.5024000000000002E-2</v>
      </c>
      <c r="O47" s="290">
        <v>0</v>
      </c>
      <c r="P47" s="205">
        <f t="shared" si="20"/>
        <v>0</v>
      </c>
      <c r="Q47" s="290">
        <v>0</v>
      </c>
      <c r="R47" s="205">
        <f t="shared" si="21"/>
        <v>0</v>
      </c>
      <c r="S47" s="39">
        <f t="shared" si="7"/>
        <v>63</v>
      </c>
      <c r="T47" s="38">
        <f t="shared" si="4"/>
        <v>1.418256</v>
      </c>
      <c r="U47" s="290">
        <v>0</v>
      </c>
      <c r="V47" s="13">
        <f t="shared" si="8"/>
        <v>0</v>
      </c>
      <c r="W47" s="294">
        <f t="shared" si="9"/>
        <v>63</v>
      </c>
      <c r="X47" s="295">
        <f t="shared" si="10"/>
        <v>1.418256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189</v>
      </c>
      <c r="C48" s="34">
        <v>70</v>
      </c>
      <c r="D48" s="34">
        <v>54</v>
      </c>
      <c r="E48" s="34">
        <v>7</v>
      </c>
      <c r="F48" s="19">
        <f t="shared" si="5"/>
        <v>2.6460000000000001E-2</v>
      </c>
      <c r="G48" s="284">
        <v>0</v>
      </c>
      <c r="H48" s="288">
        <f t="shared" si="6"/>
        <v>0</v>
      </c>
      <c r="I48" s="290">
        <v>0</v>
      </c>
      <c r="J48" s="205">
        <f t="shared" si="0"/>
        <v>0</v>
      </c>
      <c r="K48" s="290">
        <v>0</v>
      </c>
      <c r="L48" s="205">
        <f t="shared" si="18"/>
        <v>0</v>
      </c>
      <c r="M48" s="290">
        <v>0</v>
      </c>
      <c r="N48" s="205">
        <f t="shared" si="19"/>
        <v>0</v>
      </c>
      <c r="O48" s="290">
        <v>0</v>
      </c>
      <c r="P48" s="205">
        <f t="shared" si="20"/>
        <v>0</v>
      </c>
      <c r="Q48" s="290">
        <v>0</v>
      </c>
      <c r="R48" s="205">
        <f t="shared" si="21"/>
        <v>0</v>
      </c>
      <c r="S48" s="39">
        <f t="shared" si="7"/>
        <v>0</v>
      </c>
      <c r="T48" s="38">
        <f t="shared" si="4"/>
        <v>0</v>
      </c>
      <c r="U48" s="290">
        <v>0</v>
      </c>
      <c r="V48" s="13">
        <f t="shared" si="8"/>
        <v>0</v>
      </c>
      <c r="W48" s="294">
        <f t="shared" si="9"/>
        <v>0</v>
      </c>
      <c r="X48" s="295">
        <f t="shared" si="10"/>
        <v>0</v>
      </c>
      <c r="Y48" s="238">
        <v>0</v>
      </c>
      <c r="Z48" s="101">
        <v>0</v>
      </c>
    </row>
    <row r="49" spans="1:26" x14ac:dyDescent="0.25">
      <c r="A49" s="264">
        <v>45</v>
      </c>
      <c r="B49" s="256" t="s">
        <v>174</v>
      </c>
      <c r="C49" s="34">
        <v>140</v>
      </c>
      <c r="D49" s="34">
        <v>240</v>
      </c>
      <c r="E49" s="34">
        <v>14</v>
      </c>
      <c r="F49" s="19">
        <f t="shared" si="5"/>
        <v>0.47039999999999998</v>
      </c>
      <c r="G49" s="284">
        <v>0</v>
      </c>
      <c r="H49" s="288">
        <f t="shared" si="6"/>
        <v>0</v>
      </c>
      <c r="I49" s="290">
        <v>0</v>
      </c>
      <c r="J49" s="205">
        <f t="shared" si="0"/>
        <v>0</v>
      </c>
      <c r="K49" s="290">
        <v>0</v>
      </c>
      <c r="L49" s="205">
        <f t="shared" si="18"/>
        <v>0</v>
      </c>
      <c r="M49" s="290">
        <v>0</v>
      </c>
      <c r="N49" s="205">
        <f t="shared" si="19"/>
        <v>0</v>
      </c>
      <c r="O49" s="290">
        <v>0</v>
      </c>
      <c r="P49" s="205">
        <f t="shared" si="20"/>
        <v>0</v>
      </c>
      <c r="Q49" s="290">
        <v>0</v>
      </c>
      <c r="R49" s="205">
        <f t="shared" si="21"/>
        <v>0</v>
      </c>
      <c r="S49" s="39">
        <f t="shared" si="7"/>
        <v>0</v>
      </c>
      <c r="T49" s="38">
        <f t="shared" si="4"/>
        <v>0</v>
      </c>
      <c r="U49" s="290">
        <v>0</v>
      </c>
      <c r="V49" s="13">
        <f t="shared" si="8"/>
        <v>0</v>
      </c>
      <c r="W49" s="294">
        <f t="shared" si="9"/>
        <v>0</v>
      </c>
      <c r="X49" s="295">
        <f t="shared" si="10"/>
        <v>0</v>
      </c>
      <c r="Y49" s="238">
        <v>10</v>
      </c>
      <c r="Z49" s="101">
        <v>20</v>
      </c>
    </row>
    <row r="50" spans="1:26" x14ac:dyDescent="0.25">
      <c r="A50" s="264">
        <v>46</v>
      </c>
      <c r="B50" s="256" t="s">
        <v>175</v>
      </c>
      <c r="C50" s="34">
        <v>140</v>
      </c>
      <c r="D50" s="34">
        <v>240</v>
      </c>
      <c r="E50" s="34">
        <v>12</v>
      </c>
      <c r="F50" s="19">
        <f t="shared" si="5"/>
        <v>0.4032</v>
      </c>
      <c r="G50" s="284">
        <v>15</v>
      </c>
      <c r="H50" s="288">
        <f t="shared" si="6"/>
        <v>6.048</v>
      </c>
      <c r="I50" s="290">
        <v>0</v>
      </c>
      <c r="J50" s="205">
        <f t="shared" si="0"/>
        <v>0</v>
      </c>
      <c r="K50" s="290">
        <v>2</v>
      </c>
      <c r="L50" s="205">
        <f t="shared" si="18"/>
        <v>0.80640000000000001</v>
      </c>
      <c r="M50" s="290">
        <v>0</v>
      </c>
      <c r="N50" s="205">
        <f t="shared" si="19"/>
        <v>0</v>
      </c>
      <c r="O50" s="290">
        <v>0</v>
      </c>
      <c r="P50" s="205">
        <f t="shared" si="20"/>
        <v>0</v>
      </c>
      <c r="Q50" s="290">
        <v>0</v>
      </c>
      <c r="R50" s="205">
        <f t="shared" si="21"/>
        <v>0</v>
      </c>
      <c r="S50" s="39">
        <f t="shared" si="7"/>
        <v>13</v>
      </c>
      <c r="T50" s="38">
        <f t="shared" si="4"/>
        <v>5.2416</v>
      </c>
      <c r="U50" s="290">
        <v>0</v>
      </c>
      <c r="V50" s="13">
        <f t="shared" si="8"/>
        <v>0</v>
      </c>
      <c r="W50" s="294">
        <f t="shared" si="9"/>
        <v>13</v>
      </c>
      <c r="X50" s="295">
        <f t="shared" si="10"/>
        <v>5.2416</v>
      </c>
      <c r="Y50" s="238">
        <v>10</v>
      </c>
      <c r="Z50" s="101">
        <v>20</v>
      </c>
    </row>
    <row r="51" spans="1:26" x14ac:dyDescent="0.25">
      <c r="A51" s="264">
        <v>47</v>
      </c>
      <c r="B51" s="256" t="s">
        <v>176</v>
      </c>
      <c r="C51" s="34">
        <v>130</v>
      </c>
      <c r="D51" s="34">
        <v>60</v>
      </c>
      <c r="E51" s="34">
        <v>5</v>
      </c>
      <c r="F51" s="19">
        <f t="shared" si="5"/>
        <v>3.9E-2</v>
      </c>
      <c r="G51" s="284">
        <v>0</v>
      </c>
      <c r="H51" s="288">
        <f t="shared" si="6"/>
        <v>0</v>
      </c>
      <c r="I51" s="290">
        <v>0</v>
      </c>
      <c r="J51" s="205">
        <f t="shared" si="0"/>
        <v>0</v>
      </c>
      <c r="K51" s="290">
        <v>0</v>
      </c>
      <c r="L51" s="205">
        <f t="shared" si="18"/>
        <v>0</v>
      </c>
      <c r="M51" s="290">
        <v>0</v>
      </c>
      <c r="N51" s="205">
        <f t="shared" si="19"/>
        <v>0</v>
      </c>
      <c r="O51" s="290">
        <v>0</v>
      </c>
      <c r="P51" s="205">
        <f t="shared" si="20"/>
        <v>0</v>
      </c>
      <c r="Q51" s="290">
        <v>0</v>
      </c>
      <c r="R51" s="205">
        <f t="shared" si="21"/>
        <v>0</v>
      </c>
      <c r="S51" s="39">
        <f t="shared" si="7"/>
        <v>0</v>
      </c>
      <c r="T51" s="38">
        <f t="shared" si="4"/>
        <v>0</v>
      </c>
      <c r="U51" s="290">
        <v>0</v>
      </c>
      <c r="V51" s="13">
        <f t="shared" si="8"/>
        <v>0</v>
      </c>
      <c r="W51" s="294">
        <f t="shared" si="9"/>
        <v>0</v>
      </c>
      <c r="X51" s="295">
        <f t="shared" si="10"/>
        <v>0</v>
      </c>
      <c r="Y51" s="238">
        <v>30</v>
      </c>
      <c r="Z51" s="101">
        <v>100</v>
      </c>
    </row>
    <row r="52" spans="1:26" x14ac:dyDescent="0.25">
      <c r="A52" s="264">
        <v>48</v>
      </c>
      <c r="B52" s="255" t="s">
        <v>178</v>
      </c>
      <c r="C52" s="34">
        <v>140</v>
      </c>
      <c r="D52" s="34">
        <v>240</v>
      </c>
      <c r="E52" s="34">
        <v>3</v>
      </c>
      <c r="F52" s="19">
        <f t="shared" si="5"/>
        <v>0.1008</v>
      </c>
      <c r="G52" s="284">
        <v>790</v>
      </c>
      <c r="H52" s="288">
        <f t="shared" si="6"/>
        <v>79.632000000000005</v>
      </c>
      <c r="I52" s="290">
        <v>2</v>
      </c>
      <c r="J52" s="205">
        <f t="shared" si="0"/>
        <v>0.2016</v>
      </c>
      <c r="K52" s="290">
        <v>16</v>
      </c>
      <c r="L52" s="205">
        <f t="shared" si="18"/>
        <v>1.6128</v>
      </c>
      <c r="M52" s="290">
        <v>7</v>
      </c>
      <c r="N52" s="205">
        <f t="shared" si="19"/>
        <v>0.7056</v>
      </c>
      <c r="O52" s="290">
        <v>31</v>
      </c>
      <c r="P52" s="205">
        <f t="shared" si="20"/>
        <v>3.1248</v>
      </c>
      <c r="Q52" s="290">
        <v>0</v>
      </c>
      <c r="R52" s="205">
        <f t="shared" si="21"/>
        <v>0</v>
      </c>
      <c r="S52" s="39">
        <f t="shared" si="7"/>
        <v>734</v>
      </c>
      <c r="T52" s="38">
        <f t="shared" si="4"/>
        <v>73.987200000000001</v>
      </c>
      <c r="U52" s="290">
        <v>0</v>
      </c>
      <c r="V52" s="13">
        <f t="shared" si="8"/>
        <v>0</v>
      </c>
      <c r="W52" s="294">
        <f t="shared" si="9"/>
        <v>734</v>
      </c>
      <c r="X52" s="295">
        <f t="shared" si="10"/>
        <v>73.987200000000001</v>
      </c>
      <c r="Y52" s="238">
        <v>100</v>
      </c>
      <c r="Z52" s="101">
        <v>300</v>
      </c>
    </row>
    <row r="53" spans="1:26" x14ac:dyDescent="0.25">
      <c r="A53" s="264">
        <v>49</v>
      </c>
      <c r="B53" s="256" t="s">
        <v>185</v>
      </c>
      <c r="C53" s="34">
        <v>140</v>
      </c>
      <c r="D53" s="34">
        <v>240</v>
      </c>
      <c r="E53" s="34">
        <v>1</v>
      </c>
      <c r="F53" s="19">
        <f t="shared" si="5"/>
        <v>3.3599999999999998E-2</v>
      </c>
      <c r="G53" s="284">
        <v>300</v>
      </c>
      <c r="H53" s="288">
        <f t="shared" si="6"/>
        <v>10.08</v>
      </c>
      <c r="I53" s="290">
        <v>0</v>
      </c>
      <c r="J53" s="205">
        <f t="shared" si="0"/>
        <v>0</v>
      </c>
      <c r="K53" s="290">
        <v>0</v>
      </c>
      <c r="L53" s="205">
        <f>F53*K53</f>
        <v>0</v>
      </c>
      <c r="M53" s="290">
        <v>0</v>
      </c>
      <c r="N53" s="205">
        <f t="shared" si="19"/>
        <v>0</v>
      </c>
      <c r="O53" s="290">
        <v>0</v>
      </c>
      <c r="P53" s="205">
        <f t="shared" si="20"/>
        <v>0</v>
      </c>
      <c r="Q53" s="290">
        <v>0</v>
      </c>
      <c r="R53" s="205">
        <f t="shared" si="21"/>
        <v>0</v>
      </c>
      <c r="S53" s="39">
        <f t="shared" si="7"/>
        <v>300</v>
      </c>
      <c r="T53" s="38">
        <f t="shared" si="4"/>
        <v>10.08</v>
      </c>
      <c r="U53" s="290">
        <v>0</v>
      </c>
      <c r="V53" s="13">
        <f t="shared" si="8"/>
        <v>0</v>
      </c>
      <c r="W53" s="294">
        <f t="shared" si="9"/>
        <v>300</v>
      </c>
      <c r="X53" s="295">
        <f t="shared" si="10"/>
        <v>10.08</v>
      </c>
      <c r="Y53" s="238">
        <v>50</v>
      </c>
      <c r="Z53" s="101">
        <v>0</v>
      </c>
    </row>
    <row r="54" spans="1:26" x14ac:dyDescent="0.25">
      <c r="A54" s="264">
        <v>50</v>
      </c>
      <c r="B54" s="256" t="s">
        <v>186</v>
      </c>
      <c r="C54" s="34">
        <v>140</v>
      </c>
      <c r="D54" s="34">
        <v>240</v>
      </c>
      <c r="E54" s="34">
        <v>3</v>
      </c>
      <c r="F54" s="19">
        <f t="shared" si="5"/>
        <v>0.1008</v>
      </c>
      <c r="G54" s="284">
        <v>75</v>
      </c>
      <c r="H54" s="288">
        <f t="shared" si="6"/>
        <v>7.5600000000000005</v>
      </c>
      <c r="I54" s="290">
        <v>2</v>
      </c>
      <c r="J54" s="205">
        <f t="shared" si="0"/>
        <v>0.2016</v>
      </c>
      <c r="K54" s="290">
        <v>0</v>
      </c>
      <c r="L54" s="205">
        <f>F54*K54</f>
        <v>0</v>
      </c>
      <c r="M54" s="290">
        <v>0</v>
      </c>
      <c r="N54" s="205">
        <f t="shared" si="19"/>
        <v>0</v>
      </c>
      <c r="O54" s="290">
        <v>14</v>
      </c>
      <c r="P54" s="205">
        <f t="shared" si="20"/>
        <v>1.4112</v>
      </c>
      <c r="Q54" s="290">
        <v>15</v>
      </c>
      <c r="R54" s="205">
        <f t="shared" si="21"/>
        <v>1.512</v>
      </c>
      <c r="S54" s="39">
        <f t="shared" si="7"/>
        <v>44</v>
      </c>
      <c r="T54" s="38">
        <f t="shared" si="4"/>
        <v>4.4352</v>
      </c>
      <c r="U54" s="290">
        <v>0</v>
      </c>
      <c r="V54" s="13">
        <f t="shared" si="8"/>
        <v>0</v>
      </c>
      <c r="W54" s="294">
        <f t="shared" si="9"/>
        <v>44</v>
      </c>
      <c r="X54" s="295">
        <f t="shared" si="10"/>
        <v>4.4352</v>
      </c>
      <c r="Y54" s="238">
        <v>50</v>
      </c>
      <c r="Z54" s="101">
        <v>0</v>
      </c>
    </row>
    <row r="55" spans="1:26" x14ac:dyDescent="0.25">
      <c r="A55" s="277">
        <v>51</v>
      </c>
      <c r="B55" s="283" t="s">
        <v>187</v>
      </c>
      <c r="C55" s="264">
        <v>140</v>
      </c>
      <c r="D55" s="264">
        <v>240</v>
      </c>
      <c r="E55" s="264">
        <v>5</v>
      </c>
      <c r="F55" s="19">
        <f t="shared" si="5"/>
        <v>0.16800000000000001</v>
      </c>
      <c r="G55" s="296">
        <v>148</v>
      </c>
      <c r="H55" s="299">
        <f t="shared" si="6"/>
        <v>24.864000000000001</v>
      </c>
      <c r="I55" s="290">
        <v>0</v>
      </c>
      <c r="J55" s="205">
        <f t="shared" si="0"/>
        <v>0</v>
      </c>
      <c r="K55" s="290">
        <v>2</v>
      </c>
      <c r="L55" s="205">
        <f>F55*K55</f>
        <v>0.33600000000000002</v>
      </c>
      <c r="M55" s="290">
        <v>0</v>
      </c>
      <c r="N55" s="205">
        <f t="shared" si="19"/>
        <v>0</v>
      </c>
      <c r="O55" s="290">
        <v>0</v>
      </c>
      <c r="P55" s="205">
        <f t="shared" si="20"/>
        <v>0</v>
      </c>
      <c r="Q55" s="290">
        <v>3</v>
      </c>
      <c r="R55" s="205">
        <f t="shared" si="21"/>
        <v>0.504</v>
      </c>
      <c r="S55" s="39">
        <f t="shared" si="7"/>
        <v>143</v>
      </c>
      <c r="T55" s="38">
        <f t="shared" si="4"/>
        <v>24.024000000000001</v>
      </c>
      <c r="U55" s="290">
        <v>0</v>
      </c>
      <c r="V55" s="13">
        <f t="shared" si="8"/>
        <v>0</v>
      </c>
      <c r="W55" s="294">
        <f t="shared" si="9"/>
        <v>143</v>
      </c>
      <c r="X55" s="295">
        <f t="shared" si="10"/>
        <v>24.024000000000001</v>
      </c>
      <c r="Y55" s="101">
        <v>30</v>
      </c>
      <c r="Z55" s="101"/>
    </row>
    <row r="56" spans="1:26" x14ac:dyDescent="0.25">
      <c r="A56" s="277">
        <v>52</v>
      </c>
      <c r="B56" s="283" t="s">
        <v>188</v>
      </c>
      <c r="C56" s="264">
        <v>140</v>
      </c>
      <c r="D56" s="264">
        <v>240</v>
      </c>
      <c r="E56" s="264">
        <v>10</v>
      </c>
      <c r="F56" s="19">
        <f t="shared" si="5"/>
        <v>0.33600000000000002</v>
      </c>
      <c r="G56" s="296">
        <v>72</v>
      </c>
      <c r="H56" s="299">
        <f t="shared" si="6"/>
        <v>24.192</v>
      </c>
      <c r="I56" s="290">
        <v>0</v>
      </c>
      <c r="J56" s="205">
        <f t="shared" ref="J56:J69" si="22">F56*I56</f>
        <v>0</v>
      </c>
      <c r="K56" s="290">
        <v>0</v>
      </c>
      <c r="L56" s="205">
        <f>F56*K56</f>
        <v>0</v>
      </c>
      <c r="M56" s="290">
        <v>0</v>
      </c>
      <c r="N56" s="205">
        <f t="shared" si="19"/>
        <v>0</v>
      </c>
      <c r="O56" s="290">
        <v>12</v>
      </c>
      <c r="P56" s="205">
        <f t="shared" si="20"/>
        <v>4.032</v>
      </c>
      <c r="Q56" s="290">
        <v>0</v>
      </c>
      <c r="R56" s="205">
        <f t="shared" si="21"/>
        <v>0</v>
      </c>
      <c r="S56" s="39">
        <f t="shared" si="7"/>
        <v>60</v>
      </c>
      <c r="T56" s="38">
        <f t="shared" si="4"/>
        <v>20.16</v>
      </c>
      <c r="U56" s="290">
        <v>0</v>
      </c>
      <c r="V56" s="13">
        <f t="shared" si="8"/>
        <v>0</v>
      </c>
      <c r="W56" s="294">
        <f t="shared" si="9"/>
        <v>60</v>
      </c>
      <c r="X56" s="295">
        <f t="shared" si="10"/>
        <v>20.16</v>
      </c>
      <c r="Y56" s="101">
        <v>20</v>
      </c>
      <c r="Z56" s="101"/>
    </row>
    <row r="57" spans="1:26" x14ac:dyDescent="0.25">
      <c r="A57" s="264">
        <v>53</v>
      </c>
      <c r="B57" s="101" t="s">
        <v>201</v>
      </c>
      <c r="C57" s="264">
        <v>52</v>
      </c>
      <c r="D57" s="264">
        <v>52</v>
      </c>
      <c r="E57" s="264">
        <v>5</v>
      </c>
      <c r="F57" s="19">
        <f t="shared" si="5"/>
        <v>1.3520000000000001E-2</v>
      </c>
      <c r="G57" s="296">
        <v>58</v>
      </c>
      <c r="H57" s="299">
        <f t="shared" si="6"/>
        <v>0.78416000000000008</v>
      </c>
      <c r="I57" s="290">
        <v>5</v>
      </c>
      <c r="J57" s="205">
        <f t="shared" si="22"/>
        <v>6.7600000000000007E-2</v>
      </c>
      <c r="K57" s="290">
        <v>0</v>
      </c>
      <c r="L57" s="205">
        <f t="shared" ref="L57:L65" si="23">F57*K57</f>
        <v>0</v>
      </c>
      <c r="M57" s="290">
        <v>0</v>
      </c>
      <c r="N57" s="205">
        <f t="shared" si="19"/>
        <v>0</v>
      </c>
      <c r="O57" s="290">
        <v>0</v>
      </c>
      <c r="P57" s="205">
        <f t="shared" si="20"/>
        <v>0</v>
      </c>
      <c r="Q57" s="290">
        <v>0</v>
      </c>
      <c r="R57" s="205">
        <f t="shared" si="21"/>
        <v>0</v>
      </c>
      <c r="S57" s="39">
        <f t="shared" si="7"/>
        <v>53</v>
      </c>
      <c r="T57" s="38">
        <f t="shared" si="4"/>
        <v>0.71656000000000009</v>
      </c>
      <c r="U57" s="290">
        <v>0</v>
      </c>
      <c r="V57" s="13">
        <f t="shared" si="8"/>
        <v>0</v>
      </c>
      <c r="W57" s="294">
        <f t="shared" si="9"/>
        <v>53</v>
      </c>
      <c r="X57" s="295">
        <f t="shared" si="10"/>
        <v>0.71656000000000009</v>
      </c>
      <c r="Y57" s="101"/>
      <c r="Z57" s="101"/>
    </row>
    <row r="58" spans="1:26" x14ac:dyDescent="0.25">
      <c r="A58" s="264">
        <v>54</v>
      </c>
      <c r="B58" s="101" t="s">
        <v>193</v>
      </c>
      <c r="C58" s="264">
        <v>80</v>
      </c>
      <c r="D58" s="264">
        <v>75</v>
      </c>
      <c r="E58" s="264">
        <v>5</v>
      </c>
      <c r="F58" s="19">
        <f t="shared" si="5"/>
        <v>0.03</v>
      </c>
      <c r="G58" s="264">
        <v>170</v>
      </c>
      <c r="H58" s="299">
        <f t="shared" si="6"/>
        <v>5.0999999999999996</v>
      </c>
      <c r="I58" s="290">
        <v>0</v>
      </c>
      <c r="J58" s="205">
        <f t="shared" si="22"/>
        <v>0</v>
      </c>
      <c r="K58" s="290">
        <v>0</v>
      </c>
      <c r="L58" s="205">
        <f t="shared" si="23"/>
        <v>0</v>
      </c>
      <c r="M58" s="290">
        <v>0</v>
      </c>
      <c r="N58" s="205">
        <f t="shared" si="19"/>
        <v>0</v>
      </c>
      <c r="O58" s="290">
        <v>0</v>
      </c>
      <c r="P58" s="205">
        <f t="shared" si="20"/>
        <v>0</v>
      </c>
      <c r="Q58" s="290">
        <v>0</v>
      </c>
      <c r="R58" s="205">
        <f t="shared" si="21"/>
        <v>0</v>
      </c>
      <c r="S58" s="39">
        <f t="shared" si="7"/>
        <v>170</v>
      </c>
      <c r="T58" s="38">
        <f t="shared" si="4"/>
        <v>5.0999999999999996</v>
      </c>
      <c r="U58" s="290">
        <v>0</v>
      </c>
      <c r="V58" s="308">
        <f t="shared" si="8"/>
        <v>0</v>
      </c>
      <c r="W58" s="294">
        <f t="shared" si="9"/>
        <v>170</v>
      </c>
      <c r="X58" s="300">
        <f t="shared" si="10"/>
        <v>5.0999999999999996</v>
      </c>
      <c r="Y58" s="101"/>
      <c r="Z58" s="101"/>
    </row>
    <row r="59" spans="1:26" x14ac:dyDescent="0.25">
      <c r="A59" s="264">
        <v>55</v>
      </c>
      <c r="B59" s="101" t="s">
        <v>194</v>
      </c>
      <c r="C59" s="264">
        <v>58</v>
      </c>
      <c r="D59" s="264">
        <v>25</v>
      </c>
      <c r="E59" s="264">
        <v>3</v>
      </c>
      <c r="F59" s="298">
        <f t="shared" si="5"/>
        <v>4.3499999999999997E-3</v>
      </c>
      <c r="G59" s="264">
        <v>0</v>
      </c>
      <c r="H59" s="299">
        <f t="shared" si="6"/>
        <v>0</v>
      </c>
      <c r="I59" s="290">
        <v>0</v>
      </c>
      <c r="J59" s="205">
        <f t="shared" si="22"/>
        <v>0</v>
      </c>
      <c r="K59" s="290">
        <v>0</v>
      </c>
      <c r="L59" s="205">
        <f t="shared" si="23"/>
        <v>0</v>
      </c>
      <c r="M59" s="290">
        <v>0</v>
      </c>
      <c r="N59" s="205">
        <f t="shared" si="19"/>
        <v>0</v>
      </c>
      <c r="O59" s="290">
        <v>0</v>
      </c>
      <c r="P59" s="205">
        <f t="shared" si="20"/>
        <v>0</v>
      </c>
      <c r="Q59" s="290">
        <v>0</v>
      </c>
      <c r="R59" s="205">
        <f>F59*Q59</f>
        <v>0</v>
      </c>
      <c r="S59" s="39">
        <f t="shared" si="7"/>
        <v>0</v>
      </c>
      <c r="T59" s="38">
        <f t="shared" si="4"/>
        <v>0</v>
      </c>
      <c r="U59" s="290">
        <v>0</v>
      </c>
      <c r="V59" s="309">
        <f t="shared" si="8"/>
        <v>0</v>
      </c>
      <c r="W59" s="294">
        <f t="shared" si="9"/>
        <v>0</v>
      </c>
      <c r="X59" s="300">
        <f t="shared" si="10"/>
        <v>0</v>
      </c>
      <c r="Y59" s="101"/>
      <c r="Z59" s="101"/>
    </row>
    <row r="60" spans="1:26" x14ac:dyDescent="0.25">
      <c r="A60" s="264">
        <v>56</v>
      </c>
      <c r="B60" s="101" t="s">
        <v>195</v>
      </c>
      <c r="C60" s="264">
        <v>64</v>
      </c>
      <c r="D60" s="264">
        <v>58</v>
      </c>
      <c r="E60" s="264">
        <v>5</v>
      </c>
      <c r="F60" s="298">
        <f t="shared" si="5"/>
        <v>1.856E-2</v>
      </c>
      <c r="G60" s="264">
        <v>116</v>
      </c>
      <c r="H60" s="299">
        <f t="shared" si="6"/>
        <v>2.1529600000000002</v>
      </c>
      <c r="I60" s="290">
        <v>0</v>
      </c>
      <c r="J60" s="205">
        <f t="shared" si="22"/>
        <v>0</v>
      </c>
      <c r="K60" s="290">
        <v>0</v>
      </c>
      <c r="L60" s="205">
        <f t="shared" si="23"/>
        <v>0</v>
      </c>
      <c r="M60" s="290">
        <v>0</v>
      </c>
      <c r="N60" s="205">
        <f t="shared" si="19"/>
        <v>0</v>
      </c>
      <c r="O60" s="290">
        <v>0</v>
      </c>
      <c r="P60" s="205">
        <f t="shared" si="20"/>
        <v>0</v>
      </c>
      <c r="Q60" s="290">
        <v>0</v>
      </c>
      <c r="R60" s="205">
        <f t="shared" ref="R60:R65" si="24">F60*Q60</f>
        <v>0</v>
      </c>
      <c r="S60" s="39">
        <f t="shared" si="7"/>
        <v>116</v>
      </c>
      <c r="T60" s="38">
        <f t="shared" si="4"/>
        <v>2.1529600000000002</v>
      </c>
      <c r="U60" s="290">
        <v>0</v>
      </c>
      <c r="V60" s="309">
        <f t="shared" si="8"/>
        <v>0</v>
      </c>
      <c r="W60" s="294">
        <f t="shared" si="9"/>
        <v>116</v>
      </c>
      <c r="X60" s="301">
        <f t="shared" si="10"/>
        <v>2.1529600000000002</v>
      </c>
      <c r="Y60" s="101"/>
      <c r="Z60" s="101"/>
    </row>
    <row r="61" spans="1:26" x14ac:dyDescent="0.25">
      <c r="A61" s="264">
        <v>57</v>
      </c>
      <c r="B61" s="101" t="s">
        <v>197</v>
      </c>
      <c r="C61" s="264">
        <v>65</v>
      </c>
      <c r="D61" s="264">
        <v>65</v>
      </c>
      <c r="E61" s="264">
        <v>5</v>
      </c>
      <c r="F61" s="101">
        <f t="shared" si="5"/>
        <v>2.1125000000000001E-2</v>
      </c>
      <c r="G61" s="264">
        <v>252</v>
      </c>
      <c r="H61" s="299">
        <f t="shared" si="6"/>
        <v>5.3235000000000001</v>
      </c>
      <c r="I61" s="290">
        <v>0</v>
      </c>
      <c r="J61" s="205">
        <f t="shared" si="22"/>
        <v>0</v>
      </c>
      <c r="K61" s="290">
        <v>0</v>
      </c>
      <c r="L61" s="205">
        <f t="shared" si="23"/>
        <v>0</v>
      </c>
      <c r="M61" s="290">
        <v>0</v>
      </c>
      <c r="N61" s="174">
        <f t="shared" si="19"/>
        <v>0</v>
      </c>
      <c r="O61" s="290">
        <v>0</v>
      </c>
      <c r="P61" s="205">
        <f t="shared" si="20"/>
        <v>0</v>
      </c>
      <c r="Q61" s="290">
        <v>0</v>
      </c>
      <c r="R61" s="205">
        <f t="shared" si="24"/>
        <v>0</v>
      </c>
      <c r="S61" s="39">
        <f t="shared" si="7"/>
        <v>252</v>
      </c>
      <c r="T61" s="38">
        <f t="shared" si="4"/>
        <v>5.3235000000000001</v>
      </c>
      <c r="U61" s="290">
        <v>0</v>
      </c>
      <c r="V61" s="309">
        <f t="shared" si="8"/>
        <v>0</v>
      </c>
      <c r="W61" s="294">
        <f t="shared" si="9"/>
        <v>252</v>
      </c>
      <c r="X61" s="300">
        <f t="shared" si="10"/>
        <v>5.3235000000000001</v>
      </c>
      <c r="Y61" s="101"/>
      <c r="Z61" s="101"/>
    </row>
    <row r="62" spans="1:26" x14ac:dyDescent="0.25">
      <c r="A62" s="264">
        <v>58</v>
      </c>
      <c r="B62" s="101" t="s">
        <v>198</v>
      </c>
      <c r="C62" s="264">
        <v>83</v>
      </c>
      <c r="D62" s="264">
        <v>55</v>
      </c>
      <c r="E62" s="264">
        <v>3</v>
      </c>
      <c r="F62" s="101">
        <f t="shared" si="5"/>
        <v>1.3695000000000001E-2</v>
      </c>
      <c r="G62" s="264">
        <v>225</v>
      </c>
      <c r="H62" s="299">
        <f t="shared" si="6"/>
        <v>3.081375</v>
      </c>
      <c r="I62" s="290">
        <v>0</v>
      </c>
      <c r="J62" s="205">
        <f t="shared" si="22"/>
        <v>0</v>
      </c>
      <c r="K62" s="290">
        <v>0</v>
      </c>
      <c r="L62" s="205">
        <f t="shared" si="23"/>
        <v>0</v>
      </c>
      <c r="M62" s="290">
        <v>0</v>
      </c>
      <c r="N62" s="174">
        <f t="shared" si="19"/>
        <v>0</v>
      </c>
      <c r="O62" s="290">
        <v>0</v>
      </c>
      <c r="P62" s="205">
        <f t="shared" si="20"/>
        <v>0</v>
      </c>
      <c r="Q62" s="290">
        <v>0</v>
      </c>
      <c r="R62" s="205">
        <f t="shared" si="24"/>
        <v>0</v>
      </c>
      <c r="S62" s="39">
        <f t="shared" si="7"/>
        <v>225</v>
      </c>
      <c r="T62" s="38">
        <f t="shared" si="4"/>
        <v>3.081375</v>
      </c>
      <c r="U62" s="290">
        <v>0</v>
      </c>
      <c r="V62" s="309">
        <f t="shared" si="8"/>
        <v>0</v>
      </c>
      <c r="W62" s="294">
        <f t="shared" si="9"/>
        <v>225</v>
      </c>
      <c r="X62" s="300">
        <f t="shared" si="10"/>
        <v>3.081375</v>
      </c>
      <c r="Y62" s="101"/>
      <c r="Z62" s="101"/>
    </row>
    <row r="63" spans="1:26" x14ac:dyDescent="0.25">
      <c r="A63" s="264">
        <v>59</v>
      </c>
      <c r="B63" s="101" t="s">
        <v>199</v>
      </c>
      <c r="C63" s="264">
        <v>75</v>
      </c>
      <c r="D63" s="264">
        <v>55</v>
      </c>
      <c r="E63" s="264">
        <v>3</v>
      </c>
      <c r="F63" s="101">
        <f t="shared" si="5"/>
        <v>1.2375000000000001E-2</v>
      </c>
      <c r="G63" s="264">
        <v>200</v>
      </c>
      <c r="H63" s="299">
        <f t="shared" si="6"/>
        <v>2.4750000000000001</v>
      </c>
      <c r="I63" s="290">
        <v>16</v>
      </c>
      <c r="J63" s="205">
        <f t="shared" si="22"/>
        <v>0.19800000000000001</v>
      </c>
      <c r="K63" s="290">
        <v>0</v>
      </c>
      <c r="L63" s="205">
        <f t="shared" si="23"/>
        <v>0</v>
      </c>
      <c r="M63" s="290">
        <v>0</v>
      </c>
      <c r="N63" s="174">
        <f t="shared" si="19"/>
        <v>0</v>
      </c>
      <c r="O63" s="290">
        <v>0</v>
      </c>
      <c r="P63" s="205">
        <f t="shared" si="20"/>
        <v>0</v>
      </c>
      <c r="Q63" s="290">
        <v>0</v>
      </c>
      <c r="R63" s="205">
        <f t="shared" si="24"/>
        <v>0</v>
      </c>
      <c r="S63" s="39">
        <f t="shared" si="7"/>
        <v>184</v>
      </c>
      <c r="T63" s="38">
        <f t="shared" si="4"/>
        <v>2.2770000000000001</v>
      </c>
      <c r="U63" s="290">
        <v>0</v>
      </c>
      <c r="V63" s="309">
        <f t="shared" si="8"/>
        <v>0</v>
      </c>
      <c r="W63" s="294">
        <f t="shared" si="9"/>
        <v>184</v>
      </c>
      <c r="X63" s="300">
        <f t="shared" si="10"/>
        <v>2.2770000000000001</v>
      </c>
      <c r="Y63" s="101"/>
      <c r="Z63" s="101"/>
    </row>
    <row r="64" spans="1:26" x14ac:dyDescent="0.25">
      <c r="A64" s="264">
        <v>60</v>
      </c>
      <c r="B64" s="101" t="s">
        <v>200</v>
      </c>
      <c r="C64" s="264">
        <v>58</v>
      </c>
      <c r="D64" s="264">
        <v>19</v>
      </c>
      <c r="E64" s="264">
        <v>3</v>
      </c>
      <c r="F64" s="101">
        <f t="shared" si="5"/>
        <v>3.3059999999999999E-3</v>
      </c>
      <c r="G64" s="264">
        <v>180</v>
      </c>
      <c r="H64" s="299">
        <f t="shared" si="6"/>
        <v>0.59507999999999994</v>
      </c>
      <c r="I64" s="290">
        <v>0</v>
      </c>
      <c r="J64" s="205">
        <f t="shared" si="22"/>
        <v>0</v>
      </c>
      <c r="K64" s="290">
        <v>0</v>
      </c>
      <c r="L64" s="205">
        <f t="shared" si="23"/>
        <v>0</v>
      </c>
      <c r="M64" s="290">
        <v>0</v>
      </c>
      <c r="N64" s="174">
        <f t="shared" si="19"/>
        <v>0</v>
      </c>
      <c r="O64" s="290">
        <v>0</v>
      </c>
      <c r="P64" s="205">
        <f t="shared" si="20"/>
        <v>0</v>
      </c>
      <c r="Q64" s="290">
        <v>0</v>
      </c>
      <c r="R64" s="205">
        <f t="shared" si="24"/>
        <v>0</v>
      </c>
      <c r="S64" s="39">
        <f t="shared" si="7"/>
        <v>180</v>
      </c>
      <c r="T64" s="38">
        <f t="shared" si="4"/>
        <v>0.59507999999999994</v>
      </c>
      <c r="U64" s="290">
        <v>0</v>
      </c>
      <c r="V64" s="309">
        <f t="shared" si="8"/>
        <v>0</v>
      </c>
      <c r="W64" s="294">
        <f t="shared" si="9"/>
        <v>180</v>
      </c>
      <c r="X64" s="300">
        <f t="shared" si="10"/>
        <v>0.59507999999999994</v>
      </c>
      <c r="Y64" s="101"/>
      <c r="Z64" s="101"/>
    </row>
    <row r="65" spans="1:26" x14ac:dyDescent="0.25">
      <c r="A65" s="264">
        <v>61</v>
      </c>
      <c r="B65" s="101" t="s">
        <v>202</v>
      </c>
      <c r="C65" s="264">
        <v>140</v>
      </c>
      <c r="D65" s="264">
        <v>240</v>
      </c>
      <c r="E65" s="264">
        <v>4</v>
      </c>
      <c r="F65" s="101">
        <f t="shared" si="5"/>
        <v>0.13439999999999999</v>
      </c>
      <c r="G65" s="264">
        <v>0</v>
      </c>
      <c r="H65" s="299">
        <f t="shared" si="6"/>
        <v>0</v>
      </c>
      <c r="I65" s="290">
        <v>0</v>
      </c>
      <c r="J65" s="205">
        <f t="shared" si="22"/>
        <v>0</v>
      </c>
      <c r="K65" s="290">
        <v>0</v>
      </c>
      <c r="L65" s="205">
        <f t="shared" si="23"/>
        <v>0</v>
      </c>
      <c r="M65" s="290">
        <v>0</v>
      </c>
      <c r="N65" s="174">
        <f t="shared" si="19"/>
        <v>0</v>
      </c>
      <c r="O65" s="290">
        <v>0</v>
      </c>
      <c r="P65" s="205">
        <f t="shared" si="20"/>
        <v>0</v>
      </c>
      <c r="Q65" s="290">
        <v>0</v>
      </c>
      <c r="R65" s="205">
        <f t="shared" si="24"/>
        <v>0</v>
      </c>
      <c r="S65" s="39">
        <f t="shared" si="7"/>
        <v>0</v>
      </c>
      <c r="T65" s="38">
        <f t="shared" si="4"/>
        <v>0</v>
      </c>
      <c r="U65" s="290">
        <v>0</v>
      </c>
      <c r="V65" s="309">
        <f t="shared" si="8"/>
        <v>0</v>
      </c>
      <c r="W65" s="294">
        <f t="shared" si="9"/>
        <v>0</v>
      </c>
      <c r="X65" s="300">
        <f t="shared" si="10"/>
        <v>0</v>
      </c>
      <c r="Y65" s="101"/>
      <c r="Z65" s="101"/>
    </row>
    <row r="66" spans="1:26" x14ac:dyDescent="0.25">
      <c r="A66" s="264">
        <v>62</v>
      </c>
      <c r="B66" s="101" t="s">
        <v>203</v>
      </c>
      <c r="C66" s="264">
        <v>50</v>
      </c>
      <c r="D66" s="264">
        <v>46.5</v>
      </c>
      <c r="E66" s="264">
        <v>3</v>
      </c>
      <c r="F66" s="101">
        <f t="shared" si="5"/>
        <v>6.9750000000000003E-3</v>
      </c>
      <c r="G66" s="264">
        <v>1150</v>
      </c>
      <c r="H66" s="289">
        <f t="shared" si="6"/>
        <v>8.0212500000000002</v>
      </c>
      <c r="I66" s="290">
        <v>0</v>
      </c>
      <c r="J66" s="205">
        <f t="shared" si="22"/>
        <v>0</v>
      </c>
      <c r="K66" s="290">
        <v>150</v>
      </c>
      <c r="L66" s="101"/>
      <c r="M66" s="290">
        <v>30</v>
      </c>
      <c r="N66" s="264">
        <f t="shared" si="19"/>
        <v>0.20925000000000002</v>
      </c>
      <c r="O66" s="290">
        <v>0</v>
      </c>
      <c r="P66" s="264">
        <f t="shared" si="20"/>
        <v>0</v>
      </c>
      <c r="Q66" s="290">
        <v>0</v>
      </c>
      <c r="R66" s="101"/>
      <c r="S66" s="39">
        <f t="shared" si="7"/>
        <v>970</v>
      </c>
      <c r="T66" s="38">
        <f t="shared" si="4"/>
        <v>6.7657500000000006</v>
      </c>
      <c r="U66" s="290">
        <v>0</v>
      </c>
      <c r="V66" s="309">
        <f t="shared" si="8"/>
        <v>0</v>
      </c>
      <c r="W66" s="294">
        <f t="shared" si="9"/>
        <v>970</v>
      </c>
      <c r="X66" s="300">
        <f t="shared" si="10"/>
        <v>6.7657500000000006</v>
      </c>
      <c r="Y66" s="101"/>
      <c r="Z66" s="101"/>
    </row>
    <row r="67" spans="1:26" x14ac:dyDescent="0.25">
      <c r="A67" s="264">
        <v>63</v>
      </c>
      <c r="B67" s="101" t="s">
        <v>204</v>
      </c>
      <c r="C67" s="264">
        <v>50</v>
      </c>
      <c r="D67" s="264">
        <v>35</v>
      </c>
      <c r="E67" s="264">
        <v>3</v>
      </c>
      <c r="F67" s="101">
        <f t="shared" si="5"/>
        <v>5.2500000000000003E-3</v>
      </c>
      <c r="G67" s="264">
        <v>1500</v>
      </c>
      <c r="H67" s="289">
        <f t="shared" si="6"/>
        <v>7.8750000000000009</v>
      </c>
      <c r="I67" s="290">
        <v>0</v>
      </c>
      <c r="J67" s="205">
        <f t="shared" si="22"/>
        <v>0</v>
      </c>
      <c r="K67" s="290">
        <v>150</v>
      </c>
      <c r="L67" s="205">
        <f t="shared" ref="L67" si="25">F67*K67</f>
        <v>0.78750000000000009</v>
      </c>
      <c r="M67" s="290">
        <v>30</v>
      </c>
      <c r="N67" s="264">
        <f t="shared" si="19"/>
        <v>0.1575</v>
      </c>
      <c r="O67" s="290">
        <v>0</v>
      </c>
      <c r="P67" s="264"/>
      <c r="Q67" s="290">
        <v>0</v>
      </c>
      <c r="R67" s="264"/>
      <c r="S67" s="39">
        <f t="shared" si="7"/>
        <v>1320</v>
      </c>
      <c r="T67" s="38">
        <f t="shared" si="4"/>
        <v>6.9300000000000006</v>
      </c>
      <c r="U67" s="290">
        <v>0</v>
      </c>
      <c r="V67" s="309">
        <f t="shared" si="8"/>
        <v>0</v>
      </c>
      <c r="W67" s="294">
        <f t="shared" si="9"/>
        <v>1320</v>
      </c>
      <c r="X67" s="300">
        <f t="shared" si="10"/>
        <v>6.9300000000000006</v>
      </c>
      <c r="Y67" s="101"/>
      <c r="Z67" s="101"/>
    </row>
    <row r="68" spans="1:26" x14ac:dyDescent="0.25">
      <c r="A68" s="264">
        <v>64</v>
      </c>
      <c r="B68" s="101" t="s">
        <v>205</v>
      </c>
      <c r="C68" s="264">
        <v>140</v>
      </c>
      <c r="D68" s="264">
        <v>240</v>
      </c>
      <c r="E68" s="264">
        <v>8</v>
      </c>
      <c r="F68" s="101">
        <f t="shared" si="5"/>
        <v>0.26879999999999998</v>
      </c>
      <c r="G68" s="264">
        <v>1</v>
      </c>
      <c r="H68" s="289">
        <f t="shared" si="6"/>
        <v>0.26879999999999998</v>
      </c>
      <c r="I68" s="290">
        <v>0</v>
      </c>
      <c r="J68" s="264">
        <f t="shared" si="22"/>
        <v>0</v>
      </c>
      <c r="K68" s="290">
        <v>0</v>
      </c>
      <c r="L68" s="264"/>
      <c r="M68" s="290">
        <v>0</v>
      </c>
      <c r="N68" s="264">
        <v>0</v>
      </c>
      <c r="O68" s="290">
        <v>0</v>
      </c>
      <c r="P68" s="264"/>
      <c r="Q68" s="290">
        <v>0</v>
      </c>
      <c r="R68" s="264">
        <v>0</v>
      </c>
      <c r="S68" s="39">
        <f t="shared" si="7"/>
        <v>1</v>
      </c>
      <c r="T68" s="38">
        <f t="shared" si="4"/>
        <v>0.26879999999999998</v>
      </c>
      <c r="U68" s="290">
        <v>0</v>
      </c>
      <c r="V68" s="309">
        <v>0</v>
      </c>
      <c r="W68" s="294">
        <f t="shared" si="9"/>
        <v>1</v>
      </c>
      <c r="X68" s="300">
        <f t="shared" si="10"/>
        <v>0.26879999999999998</v>
      </c>
      <c r="Y68" s="101"/>
      <c r="Z68" s="101"/>
    </row>
    <row r="69" spans="1:26" x14ac:dyDescent="0.25">
      <c r="A69" s="264">
        <v>65</v>
      </c>
      <c r="B69" s="101" t="s">
        <v>206</v>
      </c>
      <c r="C69" s="264">
        <v>140</v>
      </c>
      <c r="D69" s="264">
        <v>240</v>
      </c>
      <c r="E69" s="264">
        <v>2</v>
      </c>
      <c r="F69" s="101">
        <f t="shared" si="5"/>
        <v>6.7199999999999996E-2</v>
      </c>
      <c r="G69" s="264">
        <v>70</v>
      </c>
      <c r="H69" s="289">
        <f t="shared" si="6"/>
        <v>4.7039999999999997</v>
      </c>
      <c r="I69" s="290">
        <v>0</v>
      </c>
      <c r="J69" s="264">
        <f t="shared" si="22"/>
        <v>0</v>
      </c>
      <c r="K69" s="290">
        <v>14</v>
      </c>
      <c r="L69" s="264"/>
      <c r="M69" s="290">
        <v>0</v>
      </c>
      <c r="N69" s="174">
        <v>0</v>
      </c>
      <c r="O69" s="290">
        <v>0</v>
      </c>
      <c r="P69" s="264">
        <f t="shared" ref="P69" si="26">F69*O69</f>
        <v>0</v>
      </c>
      <c r="Q69" s="290">
        <v>20</v>
      </c>
      <c r="R69" s="205">
        <f t="shared" ref="R69" si="27">F69*Q69</f>
        <v>1.3439999999999999</v>
      </c>
      <c r="S69" s="39">
        <f t="shared" si="7"/>
        <v>36</v>
      </c>
      <c r="T69" s="38">
        <f t="shared" ref="T69:T70" si="28">F69*S69</f>
        <v>2.4192</v>
      </c>
      <c r="U69" s="290">
        <v>0</v>
      </c>
      <c r="V69" s="309">
        <v>0</v>
      </c>
      <c r="W69" s="294">
        <f t="shared" si="9"/>
        <v>36</v>
      </c>
      <c r="X69" s="300">
        <f t="shared" si="10"/>
        <v>2.4192</v>
      </c>
      <c r="Y69" s="101"/>
      <c r="Z69" s="101"/>
    </row>
    <row r="70" spans="1:26" x14ac:dyDescent="0.25">
      <c r="A70" s="264">
        <v>66</v>
      </c>
      <c r="B70" s="101"/>
      <c r="C70" s="264"/>
      <c r="D70" s="264"/>
      <c r="E70" s="264"/>
      <c r="F70" s="101"/>
      <c r="G70" s="264"/>
      <c r="H70" s="289"/>
      <c r="I70" s="290">
        <v>0</v>
      </c>
      <c r="J70" s="264"/>
      <c r="K70" s="290">
        <v>0</v>
      </c>
      <c r="L70" s="264"/>
      <c r="M70" s="290">
        <v>0</v>
      </c>
      <c r="N70" s="264">
        <f t="shared" si="19"/>
        <v>0</v>
      </c>
      <c r="O70" s="290">
        <v>0</v>
      </c>
      <c r="P70" s="264"/>
      <c r="Q70" s="290">
        <v>0</v>
      </c>
      <c r="R70" s="264"/>
      <c r="S70" s="39">
        <f t="shared" ref="S70" si="29">G70-I70-K70-M70-O70-Q70</f>
        <v>0</v>
      </c>
      <c r="T70" s="38">
        <f t="shared" si="28"/>
        <v>0</v>
      </c>
      <c r="U70" s="290">
        <v>0</v>
      </c>
      <c r="V70" s="309">
        <f t="shared" ref="V70" si="30">F70*U70</f>
        <v>0</v>
      </c>
      <c r="W70" s="294">
        <f t="shared" ref="W70" si="31">S70+U70</f>
        <v>0</v>
      </c>
      <c r="X70" s="300">
        <f t="shared" ref="X70" si="32">F70*W70</f>
        <v>0</v>
      </c>
      <c r="Y70" s="101"/>
      <c r="Z70" s="101"/>
    </row>
    <row r="71" spans="1:26" x14ac:dyDescent="0.2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spans="1:26" x14ac:dyDescent="0.2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1:26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1:26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1:26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1:26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1:26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1:26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</sheetData>
  <mergeCells count="24">
    <mergeCell ref="S4:T4"/>
    <mergeCell ref="U4:V4"/>
    <mergeCell ref="W4:X4"/>
    <mergeCell ref="G4:H4"/>
    <mergeCell ref="I4:J4"/>
    <mergeCell ref="K4:L4"/>
    <mergeCell ref="M4:N4"/>
    <mergeCell ref="O4:P4"/>
    <mergeCell ref="Q4:R4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C1:H1"/>
    <mergeCell ref="G2:H3"/>
    <mergeCell ref="I2:J2"/>
    <mergeCell ref="K2:L2"/>
    <mergeCell ref="M2:N2"/>
  </mergeCell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F4316-F1C9-4F90-A100-6F4F8981B889}">
  <dimension ref="A1:Z78"/>
  <sheetViews>
    <sheetView workbookViewId="0">
      <selection activeCell="O67" sqref="O67"/>
    </sheetView>
  </sheetViews>
  <sheetFormatPr defaultRowHeight="15" x14ac:dyDescent="0.25"/>
  <cols>
    <col min="1" max="1" width="5" customWidth="1"/>
    <col min="2" max="2" width="31.85546875" style="3" customWidth="1"/>
    <col min="3" max="3" width="4.7109375" style="2" hidden="1" customWidth="1"/>
    <col min="4" max="4" width="7.28515625" style="2" hidden="1" customWidth="1"/>
    <col min="5" max="5" width="5.85546875" style="2" hidden="1" customWidth="1"/>
    <col min="6" max="6" width="8" style="4" hidden="1" customWidth="1"/>
    <col min="7" max="7" width="7.5703125" style="5" customWidth="1"/>
    <col min="8" max="8" width="9" style="5" customWidth="1"/>
    <col min="9" max="9" width="6" style="2" customWidth="1"/>
    <col min="10" max="10" width="7.140625" style="2" customWidth="1"/>
    <col min="11" max="11" width="6.28515625" style="2" customWidth="1"/>
    <col min="12" max="12" width="8" style="2" customWidth="1"/>
    <col min="13" max="20" width="6.42578125" style="2" customWidth="1"/>
    <col min="21" max="24" width="6.42578125" customWidth="1"/>
    <col min="25" max="25" width="10.28515625" customWidth="1"/>
  </cols>
  <sheetData>
    <row r="1" spans="1:26" ht="15.75" thickBot="1" x14ac:dyDescent="0.3">
      <c r="B1" s="4" t="s">
        <v>18</v>
      </c>
      <c r="C1" s="384">
        <v>45778</v>
      </c>
      <c r="D1" s="320"/>
      <c r="E1" s="320"/>
      <c r="F1" s="320"/>
      <c r="G1" s="320"/>
      <c r="H1" s="320"/>
      <c r="Y1" s="314">
        <v>45656</v>
      </c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45786</v>
      </c>
      <c r="J2" s="326"/>
      <c r="K2" s="327">
        <v>45793</v>
      </c>
      <c r="L2" s="328"/>
      <c r="M2" s="325">
        <v>45800</v>
      </c>
      <c r="N2" s="329"/>
      <c r="O2" s="327">
        <v>45807</v>
      </c>
      <c r="P2" s="346"/>
      <c r="Q2" s="325">
        <v>0</v>
      </c>
      <c r="R2" s="329"/>
      <c r="S2" s="330" t="s">
        <v>69</v>
      </c>
      <c r="T2" s="331"/>
      <c r="U2" s="334" t="s">
        <v>70</v>
      </c>
      <c r="V2" s="335"/>
      <c r="W2" s="385" t="s">
        <v>71</v>
      </c>
      <c r="X2" s="386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87"/>
      <c r="X3" s="388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89" t="s">
        <v>63</v>
      </c>
      <c r="X4" s="390"/>
      <c r="Y4" s="268" t="s">
        <v>179</v>
      </c>
      <c r="Z4" s="269" t="s">
        <v>99</v>
      </c>
    </row>
    <row r="5" spans="1:26" x14ac:dyDescent="0.25">
      <c r="A5" s="263">
        <v>1</v>
      </c>
      <c r="B5" s="256" t="s">
        <v>134</v>
      </c>
      <c r="C5" s="32">
        <v>70</v>
      </c>
      <c r="D5" s="33">
        <v>64</v>
      </c>
      <c r="E5" s="33">
        <v>8</v>
      </c>
      <c r="F5" s="15">
        <f>(C5*D5*E5)/1000000</f>
        <v>3.5839999999999997E-2</v>
      </c>
      <c r="G5" s="286">
        <v>214</v>
      </c>
      <c r="H5" s="287">
        <f>F5*G5</f>
        <v>7.6697599999999992</v>
      </c>
      <c r="I5" s="290">
        <v>0</v>
      </c>
      <c r="J5" s="205">
        <f t="shared" ref="J5:R55" si="0">F5*I5</f>
        <v>0</v>
      </c>
      <c r="K5" s="290">
        <v>16</v>
      </c>
      <c r="L5" s="205">
        <f>F5*K5</f>
        <v>0.57343999999999995</v>
      </c>
      <c r="M5" s="290">
        <v>0</v>
      </c>
      <c r="N5" s="205">
        <f t="shared" ref="N5:N10" si="1">F5*M5</f>
        <v>0</v>
      </c>
      <c r="O5" s="290">
        <v>0</v>
      </c>
      <c r="P5" s="205">
        <f t="shared" ref="P5:P10" si="2">F5*O5</f>
        <v>0</v>
      </c>
      <c r="Q5" s="290">
        <v>0</v>
      </c>
      <c r="R5" s="205">
        <f t="shared" ref="R5:R11" si="3">F5*Q5</f>
        <v>0</v>
      </c>
      <c r="S5" s="39">
        <f>G5-I5-K5-M5-O5-Q5</f>
        <v>198</v>
      </c>
      <c r="T5" s="38">
        <f t="shared" ref="T5:T68" si="4">F5*S5</f>
        <v>7.0963199999999995</v>
      </c>
      <c r="U5" s="290">
        <v>0</v>
      </c>
      <c r="V5" s="13">
        <f>F5*U5</f>
        <v>0</v>
      </c>
      <c r="W5" s="294">
        <f>S5+U5</f>
        <v>198</v>
      </c>
      <c r="X5" s="295">
        <f>F5*W5</f>
        <v>7.0963199999999995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135</v>
      </c>
      <c r="C6" s="34">
        <v>70</v>
      </c>
      <c r="D6" s="35">
        <v>80</v>
      </c>
      <c r="E6" s="35">
        <v>8</v>
      </c>
      <c r="F6" s="19">
        <f t="shared" ref="F6:F69" si="5">(C6*D6*E6)/1000000</f>
        <v>4.48E-2</v>
      </c>
      <c r="G6" s="286">
        <v>171</v>
      </c>
      <c r="H6" s="288">
        <f t="shared" ref="H6:H69" si="6">F6*G6</f>
        <v>7.6608000000000001</v>
      </c>
      <c r="I6" s="290">
        <v>0</v>
      </c>
      <c r="J6" s="205">
        <f t="shared" si="0"/>
        <v>0</v>
      </c>
      <c r="K6" s="290">
        <v>30</v>
      </c>
      <c r="L6" s="205">
        <f>F6*K6</f>
        <v>1.3440000000000001</v>
      </c>
      <c r="M6" s="290">
        <v>2</v>
      </c>
      <c r="N6" s="205">
        <f t="shared" si="1"/>
        <v>8.9599999999999999E-2</v>
      </c>
      <c r="O6" s="290">
        <v>5</v>
      </c>
      <c r="P6" s="205">
        <f t="shared" si="2"/>
        <v>0.224</v>
      </c>
      <c r="Q6" s="290">
        <v>0</v>
      </c>
      <c r="R6" s="205">
        <f t="shared" si="3"/>
        <v>0</v>
      </c>
      <c r="S6" s="39">
        <f t="shared" ref="S6:S69" si="7">G6-I6-K6-M6-O6-Q6</f>
        <v>134</v>
      </c>
      <c r="T6" s="38">
        <f t="shared" si="4"/>
        <v>6.0031999999999996</v>
      </c>
      <c r="U6" s="290">
        <v>0</v>
      </c>
      <c r="V6" s="13">
        <f t="shared" ref="V6:V67" si="8">F6*U6</f>
        <v>0</v>
      </c>
      <c r="W6" s="294">
        <f t="shared" ref="W6:W69" si="9">S6+U6</f>
        <v>134</v>
      </c>
      <c r="X6" s="295">
        <f t="shared" ref="X6:X69" si="10">F6*W6</f>
        <v>6.0031999999999996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136</v>
      </c>
      <c r="C7" s="34">
        <v>70</v>
      </c>
      <c r="D7" s="35">
        <v>74</v>
      </c>
      <c r="E7" s="35">
        <v>8</v>
      </c>
      <c r="F7" s="19">
        <f t="shared" si="5"/>
        <v>4.1439999999999998E-2</v>
      </c>
      <c r="G7" s="286">
        <v>177</v>
      </c>
      <c r="H7" s="288">
        <f t="shared" si="6"/>
        <v>7.3348799999999992</v>
      </c>
      <c r="I7" s="290">
        <v>0</v>
      </c>
      <c r="J7" s="205">
        <f t="shared" si="0"/>
        <v>0</v>
      </c>
      <c r="K7" s="290">
        <v>28</v>
      </c>
      <c r="L7" s="205">
        <f>F7*K7</f>
        <v>1.16032</v>
      </c>
      <c r="M7" s="290">
        <v>0</v>
      </c>
      <c r="N7" s="205">
        <f t="shared" si="1"/>
        <v>0</v>
      </c>
      <c r="O7" s="290">
        <v>0</v>
      </c>
      <c r="P7" s="205">
        <f t="shared" si="2"/>
        <v>0</v>
      </c>
      <c r="Q7" s="290">
        <v>0</v>
      </c>
      <c r="R7" s="205">
        <f t="shared" si="3"/>
        <v>0</v>
      </c>
      <c r="S7" s="39">
        <f t="shared" si="7"/>
        <v>149</v>
      </c>
      <c r="T7" s="38">
        <f t="shared" si="4"/>
        <v>6.1745599999999996</v>
      </c>
      <c r="U7" s="290">
        <v>0</v>
      </c>
      <c r="V7" s="13">
        <f t="shared" si="8"/>
        <v>0</v>
      </c>
      <c r="W7" s="294">
        <f t="shared" si="9"/>
        <v>149</v>
      </c>
      <c r="X7" s="295">
        <f t="shared" si="10"/>
        <v>6.1745599999999996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208</v>
      </c>
      <c r="C8" s="34">
        <v>70</v>
      </c>
      <c r="D8" s="35">
        <v>88</v>
      </c>
      <c r="E8" s="35">
        <v>8</v>
      </c>
      <c r="F8" s="19">
        <f t="shared" si="5"/>
        <v>4.9279999999999997E-2</v>
      </c>
      <c r="G8" s="286">
        <v>257</v>
      </c>
      <c r="H8" s="288">
        <f t="shared" si="6"/>
        <v>12.664959999999999</v>
      </c>
      <c r="I8" s="290">
        <v>0</v>
      </c>
      <c r="J8" s="205">
        <f t="shared" si="0"/>
        <v>0</v>
      </c>
      <c r="K8" s="290">
        <v>4</v>
      </c>
      <c r="L8" s="205">
        <f>F8*K8</f>
        <v>0.19711999999999999</v>
      </c>
      <c r="M8" s="290">
        <v>2</v>
      </c>
      <c r="N8" s="205">
        <f t="shared" si="1"/>
        <v>9.8559999999999995E-2</v>
      </c>
      <c r="O8" s="290">
        <v>6</v>
      </c>
      <c r="P8" s="205">
        <f t="shared" si="2"/>
        <v>0.29568</v>
      </c>
      <c r="Q8" s="290">
        <v>0</v>
      </c>
      <c r="R8" s="205">
        <f t="shared" si="3"/>
        <v>0</v>
      </c>
      <c r="S8" s="39">
        <f t="shared" si="7"/>
        <v>245</v>
      </c>
      <c r="T8" s="38">
        <f t="shared" si="4"/>
        <v>12.073599999999999</v>
      </c>
      <c r="U8" s="290">
        <v>0</v>
      </c>
      <c r="V8" s="13">
        <f t="shared" si="8"/>
        <v>0</v>
      </c>
      <c r="W8" s="294">
        <f t="shared" si="9"/>
        <v>245</v>
      </c>
      <c r="X8" s="295">
        <f t="shared" si="10"/>
        <v>12.073599999999999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138</v>
      </c>
      <c r="C9" s="34">
        <v>140</v>
      </c>
      <c r="D9" s="35">
        <v>240</v>
      </c>
      <c r="E9" s="35">
        <v>5</v>
      </c>
      <c r="F9" s="19">
        <f t="shared" si="5"/>
        <v>0.16800000000000001</v>
      </c>
      <c r="G9" s="286">
        <v>165</v>
      </c>
      <c r="H9" s="288">
        <f t="shared" si="6"/>
        <v>27.720000000000002</v>
      </c>
      <c r="I9" s="290">
        <v>7</v>
      </c>
      <c r="J9" s="205">
        <f t="shared" si="0"/>
        <v>1.1760000000000002</v>
      </c>
      <c r="K9" s="290">
        <v>8</v>
      </c>
      <c r="L9" s="205">
        <f>F9*K9</f>
        <v>1.3440000000000001</v>
      </c>
      <c r="M9" s="290">
        <v>1</v>
      </c>
      <c r="N9" s="205">
        <f t="shared" si="1"/>
        <v>0.16800000000000001</v>
      </c>
      <c r="O9" s="290">
        <v>15</v>
      </c>
      <c r="P9" s="205">
        <f t="shared" si="2"/>
        <v>2.52</v>
      </c>
      <c r="Q9" s="290">
        <v>0</v>
      </c>
      <c r="R9" s="205">
        <f t="shared" si="3"/>
        <v>0</v>
      </c>
      <c r="S9" s="39">
        <f t="shared" si="7"/>
        <v>134</v>
      </c>
      <c r="T9" s="38">
        <f t="shared" si="4"/>
        <v>22.512</v>
      </c>
      <c r="U9" s="290">
        <v>0</v>
      </c>
      <c r="V9" s="13">
        <f t="shared" si="8"/>
        <v>0</v>
      </c>
      <c r="W9" s="294">
        <f t="shared" si="9"/>
        <v>134</v>
      </c>
      <c r="X9" s="295">
        <f t="shared" si="10"/>
        <v>22.512</v>
      </c>
      <c r="Y9" s="238">
        <v>100</v>
      </c>
      <c r="Z9" s="101">
        <v>250</v>
      </c>
    </row>
    <row r="10" spans="1:26" x14ac:dyDescent="0.25">
      <c r="A10" s="264">
        <v>6</v>
      </c>
      <c r="B10" s="256" t="s">
        <v>211</v>
      </c>
      <c r="C10" s="34">
        <v>143</v>
      </c>
      <c r="D10" s="35">
        <v>68</v>
      </c>
      <c r="E10" s="35">
        <v>5</v>
      </c>
      <c r="F10" s="19">
        <f t="shared" si="5"/>
        <v>4.8619999999999997E-2</v>
      </c>
      <c r="G10" s="286">
        <v>530</v>
      </c>
      <c r="H10" s="288">
        <f t="shared" si="6"/>
        <v>25.768599999999999</v>
      </c>
      <c r="I10" s="290">
        <v>0</v>
      </c>
      <c r="J10" s="205">
        <f t="shared" si="0"/>
        <v>0</v>
      </c>
      <c r="K10" s="290">
        <v>0</v>
      </c>
      <c r="L10" s="205">
        <f t="shared" ref="L10" si="11">F10*K10</f>
        <v>0</v>
      </c>
      <c r="M10" s="290">
        <v>0</v>
      </c>
      <c r="N10" s="205">
        <f t="shared" si="1"/>
        <v>0</v>
      </c>
      <c r="O10" s="290">
        <v>0</v>
      </c>
      <c r="P10" s="205">
        <f t="shared" si="2"/>
        <v>0</v>
      </c>
      <c r="Q10" s="290">
        <v>0</v>
      </c>
      <c r="R10" s="205">
        <f t="shared" si="3"/>
        <v>0</v>
      </c>
      <c r="S10" s="39">
        <f t="shared" si="7"/>
        <v>530</v>
      </c>
      <c r="T10" s="38">
        <f t="shared" si="4"/>
        <v>25.768599999999999</v>
      </c>
      <c r="U10" s="290">
        <v>0</v>
      </c>
      <c r="V10" s="13">
        <f t="shared" si="8"/>
        <v>0</v>
      </c>
      <c r="W10" s="294">
        <f t="shared" si="9"/>
        <v>530</v>
      </c>
      <c r="X10" s="295">
        <f t="shared" si="10"/>
        <v>25.768599999999999</v>
      </c>
      <c r="Y10" s="238">
        <v>75</v>
      </c>
      <c r="Z10" s="101">
        <v>250</v>
      </c>
    </row>
    <row r="11" spans="1:26" x14ac:dyDescent="0.25">
      <c r="A11" s="264">
        <v>7</v>
      </c>
      <c r="B11" s="256" t="s">
        <v>207</v>
      </c>
      <c r="C11" s="34">
        <v>140</v>
      </c>
      <c r="D11" s="35">
        <v>240</v>
      </c>
      <c r="E11" s="35">
        <v>8</v>
      </c>
      <c r="F11" s="19">
        <f t="shared" si="5"/>
        <v>0.26879999999999998</v>
      </c>
      <c r="G11" s="286">
        <v>48</v>
      </c>
      <c r="H11" s="288">
        <f t="shared" si="6"/>
        <v>12.9024</v>
      </c>
      <c r="I11" s="290">
        <v>0</v>
      </c>
      <c r="J11" s="205">
        <f t="shared" si="0"/>
        <v>0</v>
      </c>
      <c r="K11" s="290">
        <v>0</v>
      </c>
      <c r="L11" s="205">
        <f>F11*K11</f>
        <v>0</v>
      </c>
      <c r="M11" s="290">
        <v>0</v>
      </c>
      <c r="N11" s="21">
        <v>0</v>
      </c>
      <c r="O11" s="290">
        <v>0</v>
      </c>
      <c r="P11" s="21">
        <v>0</v>
      </c>
      <c r="Q11" s="290">
        <v>0</v>
      </c>
      <c r="R11" s="205">
        <f t="shared" si="3"/>
        <v>0</v>
      </c>
      <c r="S11" s="39">
        <f t="shared" si="7"/>
        <v>48</v>
      </c>
      <c r="T11" s="38">
        <f t="shared" si="4"/>
        <v>12.9024</v>
      </c>
      <c r="U11" s="290">
        <v>0</v>
      </c>
      <c r="V11" s="13">
        <f t="shared" si="8"/>
        <v>0</v>
      </c>
      <c r="W11" s="294">
        <f t="shared" si="9"/>
        <v>48</v>
      </c>
      <c r="X11" s="295">
        <f t="shared" si="10"/>
        <v>12.9024</v>
      </c>
      <c r="Y11" s="238">
        <v>50</v>
      </c>
      <c r="Z11" s="101">
        <v>100</v>
      </c>
    </row>
    <row r="12" spans="1:26" x14ac:dyDescent="0.25">
      <c r="A12" s="264">
        <v>8</v>
      </c>
      <c r="B12" s="256" t="s">
        <v>191</v>
      </c>
      <c r="C12" s="34">
        <v>75</v>
      </c>
      <c r="D12" s="35">
        <v>54</v>
      </c>
      <c r="E12" s="35">
        <v>5</v>
      </c>
      <c r="F12" s="19">
        <f t="shared" si="5"/>
        <v>2.0250000000000001E-2</v>
      </c>
      <c r="G12" s="286">
        <v>0</v>
      </c>
      <c r="H12" s="288">
        <f t="shared" si="6"/>
        <v>0</v>
      </c>
      <c r="I12" s="290">
        <v>0</v>
      </c>
      <c r="J12" s="205">
        <f t="shared" si="0"/>
        <v>0</v>
      </c>
      <c r="K12" s="290">
        <v>0</v>
      </c>
      <c r="L12" s="205">
        <f>F12*K12</f>
        <v>0</v>
      </c>
      <c r="M12" s="290">
        <v>0</v>
      </c>
      <c r="N12" s="205">
        <f>F12*M12</f>
        <v>0</v>
      </c>
      <c r="O12" s="290">
        <v>0</v>
      </c>
      <c r="P12" s="205">
        <f>F12*O12</f>
        <v>0</v>
      </c>
      <c r="Q12" s="290">
        <v>0</v>
      </c>
      <c r="R12" s="21">
        <v>0</v>
      </c>
      <c r="S12" s="39">
        <f t="shared" si="7"/>
        <v>0</v>
      </c>
      <c r="T12" s="38">
        <f t="shared" si="4"/>
        <v>0</v>
      </c>
      <c r="U12" s="290">
        <v>0</v>
      </c>
      <c r="V12" s="13">
        <f t="shared" si="8"/>
        <v>0</v>
      </c>
      <c r="W12" s="294">
        <f t="shared" si="9"/>
        <v>0</v>
      </c>
      <c r="X12" s="295">
        <f t="shared" si="10"/>
        <v>0</v>
      </c>
      <c r="Y12" s="238">
        <v>50</v>
      </c>
      <c r="Z12" s="101">
        <v>100</v>
      </c>
    </row>
    <row r="13" spans="1:26" x14ac:dyDescent="0.25">
      <c r="A13" s="264">
        <v>9</v>
      </c>
      <c r="B13" s="256" t="s">
        <v>142</v>
      </c>
      <c r="C13" s="34">
        <v>140</v>
      </c>
      <c r="D13" s="35">
        <v>240</v>
      </c>
      <c r="E13" s="35">
        <v>5</v>
      </c>
      <c r="F13" s="19">
        <f t="shared" si="5"/>
        <v>0.16800000000000001</v>
      </c>
      <c r="G13" s="286">
        <v>50</v>
      </c>
      <c r="H13" s="288">
        <f t="shared" si="6"/>
        <v>8.4</v>
      </c>
      <c r="I13" s="290">
        <v>23</v>
      </c>
      <c r="J13" s="205">
        <f t="shared" si="0"/>
        <v>3.8640000000000003</v>
      </c>
      <c r="K13" s="290">
        <v>1</v>
      </c>
      <c r="L13" s="205">
        <f>F13*K13</f>
        <v>0.16800000000000001</v>
      </c>
      <c r="M13" s="290">
        <v>7</v>
      </c>
      <c r="N13" s="205">
        <f>F13*M13</f>
        <v>1.1760000000000002</v>
      </c>
      <c r="O13" s="290">
        <v>7</v>
      </c>
      <c r="P13" s="205">
        <f>F13*O13</f>
        <v>1.1760000000000002</v>
      </c>
      <c r="Q13" s="290">
        <v>0</v>
      </c>
      <c r="R13" s="205">
        <f>F13*Q13</f>
        <v>0</v>
      </c>
      <c r="S13" s="39">
        <f t="shared" si="7"/>
        <v>12</v>
      </c>
      <c r="T13" s="38">
        <f t="shared" si="4"/>
        <v>2.016</v>
      </c>
      <c r="U13" s="290">
        <v>0</v>
      </c>
      <c r="V13" s="13">
        <f t="shared" si="8"/>
        <v>0</v>
      </c>
      <c r="W13" s="294">
        <f t="shared" si="9"/>
        <v>12</v>
      </c>
      <c r="X13" s="295">
        <f t="shared" si="10"/>
        <v>2.016</v>
      </c>
      <c r="Y13" s="238">
        <v>100</v>
      </c>
      <c r="Z13" s="101">
        <v>300</v>
      </c>
    </row>
    <row r="14" spans="1:26" x14ac:dyDescent="0.25">
      <c r="A14" s="264">
        <v>10</v>
      </c>
      <c r="B14" s="256" t="s">
        <v>143</v>
      </c>
      <c r="C14" s="34">
        <v>90</v>
      </c>
      <c r="D14" s="35">
        <v>85</v>
      </c>
      <c r="E14" s="35">
        <v>5</v>
      </c>
      <c r="F14" s="19">
        <f t="shared" si="5"/>
        <v>3.8249999999999999E-2</v>
      </c>
      <c r="G14" s="286">
        <v>0</v>
      </c>
      <c r="H14" s="288">
        <f t="shared" si="6"/>
        <v>0</v>
      </c>
      <c r="I14" s="290">
        <v>0</v>
      </c>
      <c r="J14" s="205">
        <f t="shared" si="0"/>
        <v>0</v>
      </c>
      <c r="K14" s="290">
        <v>0</v>
      </c>
      <c r="L14" s="205">
        <f t="shared" ref="L14:L20" si="12">F14*K14</f>
        <v>0</v>
      </c>
      <c r="M14" s="290">
        <v>0</v>
      </c>
      <c r="N14" s="205">
        <f>F14*M14</f>
        <v>0</v>
      </c>
      <c r="O14" s="290">
        <v>0</v>
      </c>
      <c r="P14" s="205">
        <f t="shared" si="0"/>
        <v>0</v>
      </c>
      <c r="Q14" s="290">
        <v>0</v>
      </c>
      <c r="R14" s="205">
        <f t="shared" si="0"/>
        <v>0</v>
      </c>
      <c r="S14" s="39">
        <f t="shared" si="7"/>
        <v>0</v>
      </c>
      <c r="T14" s="38">
        <f t="shared" si="4"/>
        <v>0</v>
      </c>
      <c r="U14" s="290">
        <v>0</v>
      </c>
      <c r="V14" s="13">
        <f t="shared" si="8"/>
        <v>0</v>
      </c>
      <c r="W14" s="294">
        <f t="shared" si="9"/>
        <v>0</v>
      </c>
      <c r="X14" s="295">
        <f t="shared" si="10"/>
        <v>0</v>
      </c>
      <c r="Y14" s="238">
        <v>50</v>
      </c>
      <c r="Z14" s="101">
        <v>100</v>
      </c>
    </row>
    <row r="15" spans="1:26" x14ac:dyDescent="0.25">
      <c r="A15" s="264">
        <v>11</v>
      </c>
      <c r="B15" s="256" t="s">
        <v>144</v>
      </c>
      <c r="C15" s="34">
        <v>140</v>
      </c>
      <c r="D15" s="35">
        <v>240</v>
      </c>
      <c r="E15" s="35">
        <v>5</v>
      </c>
      <c r="F15" s="19">
        <f t="shared" si="5"/>
        <v>0.16800000000000001</v>
      </c>
      <c r="G15" s="286">
        <v>0</v>
      </c>
      <c r="H15" s="288">
        <f t="shared" si="6"/>
        <v>0</v>
      </c>
      <c r="I15" s="290">
        <v>1</v>
      </c>
      <c r="J15" s="205">
        <f t="shared" si="0"/>
        <v>0.16800000000000001</v>
      </c>
      <c r="K15" s="290">
        <v>4</v>
      </c>
      <c r="L15" s="205">
        <f t="shared" si="12"/>
        <v>0.67200000000000004</v>
      </c>
      <c r="M15" s="290">
        <v>2</v>
      </c>
      <c r="N15" s="205">
        <f t="shared" ref="N15:N37" si="13">F15*M15</f>
        <v>0.33600000000000002</v>
      </c>
      <c r="O15" s="290">
        <v>17</v>
      </c>
      <c r="P15" s="205">
        <f t="shared" ref="P15:P36" si="14">F15*O15</f>
        <v>2.8560000000000003</v>
      </c>
      <c r="Q15" s="290">
        <v>0</v>
      </c>
      <c r="R15" s="205">
        <f t="shared" ref="R15:R20" si="15">F15*Q15</f>
        <v>0</v>
      </c>
      <c r="S15" s="39">
        <f t="shared" si="7"/>
        <v>-24</v>
      </c>
      <c r="T15" s="38">
        <f t="shared" si="4"/>
        <v>-4.032</v>
      </c>
      <c r="U15" s="290">
        <v>200</v>
      </c>
      <c r="V15" s="13">
        <f t="shared" si="8"/>
        <v>33.6</v>
      </c>
      <c r="W15" s="294">
        <f t="shared" si="9"/>
        <v>176</v>
      </c>
      <c r="X15" s="295">
        <f t="shared" si="10"/>
        <v>29.568000000000001</v>
      </c>
      <c r="Y15" s="238">
        <v>200</v>
      </c>
      <c r="Z15" s="101">
        <v>400</v>
      </c>
    </row>
    <row r="16" spans="1:26" x14ac:dyDescent="0.25">
      <c r="A16" s="264">
        <v>12</v>
      </c>
      <c r="B16" s="256" t="s">
        <v>145</v>
      </c>
      <c r="C16" s="34">
        <v>140</v>
      </c>
      <c r="D16" s="35">
        <v>240</v>
      </c>
      <c r="E16" s="35">
        <v>5</v>
      </c>
      <c r="F16" s="19">
        <f t="shared" si="5"/>
        <v>0.16800000000000001</v>
      </c>
      <c r="G16" s="286">
        <v>117</v>
      </c>
      <c r="H16" s="288">
        <f t="shared" si="6"/>
        <v>19.656000000000002</v>
      </c>
      <c r="I16" s="290">
        <v>18</v>
      </c>
      <c r="J16" s="205">
        <f t="shared" si="0"/>
        <v>3.024</v>
      </c>
      <c r="K16" s="290">
        <v>9</v>
      </c>
      <c r="L16" s="205">
        <f t="shared" si="12"/>
        <v>1.512</v>
      </c>
      <c r="M16" s="290">
        <v>1</v>
      </c>
      <c r="N16" s="205">
        <f t="shared" si="13"/>
        <v>0.16800000000000001</v>
      </c>
      <c r="O16" s="290">
        <v>7</v>
      </c>
      <c r="P16" s="205">
        <f t="shared" si="14"/>
        <v>1.1760000000000002</v>
      </c>
      <c r="Q16" s="290">
        <v>0</v>
      </c>
      <c r="R16" s="205">
        <f t="shared" si="15"/>
        <v>0</v>
      </c>
      <c r="S16" s="39">
        <f t="shared" si="7"/>
        <v>82</v>
      </c>
      <c r="T16" s="38">
        <f t="shared" si="4"/>
        <v>13.776000000000002</v>
      </c>
      <c r="U16" s="290">
        <v>0</v>
      </c>
      <c r="V16" s="13">
        <f t="shared" si="8"/>
        <v>0</v>
      </c>
      <c r="W16" s="294">
        <f t="shared" si="9"/>
        <v>82</v>
      </c>
      <c r="X16" s="295">
        <f t="shared" si="10"/>
        <v>13.776000000000002</v>
      </c>
      <c r="Y16" s="238">
        <v>100</v>
      </c>
      <c r="Z16" s="101">
        <v>300</v>
      </c>
    </row>
    <row r="17" spans="1:26" x14ac:dyDescent="0.25">
      <c r="A17" s="264">
        <v>13</v>
      </c>
      <c r="B17" s="256" t="s">
        <v>146</v>
      </c>
      <c r="C17" s="34">
        <v>140</v>
      </c>
      <c r="D17" s="35">
        <v>240</v>
      </c>
      <c r="E17" s="35">
        <v>8</v>
      </c>
      <c r="F17" s="19">
        <f t="shared" si="5"/>
        <v>0.26879999999999998</v>
      </c>
      <c r="G17" s="286">
        <v>118</v>
      </c>
      <c r="H17" s="288">
        <f t="shared" si="6"/>
        <v>31.718399999999999</v>
      </c>
      <c r="I17" s="290">
        <v>0</v>
      </c>
      <c r="J17" s="205">
        <f t="shared" si="0"/>
        <v>0</v>
      </c>
      <c r="K17" s="290">
        <v>0</v>
      </c>
      <c r="L17" s="205">
        <f t="shared" si="12"/>
        <v>0</v>
      </c>
      <c r="M17" s="290">
        <v>0</v>
      </c>
      <c r="N17" s="205">
        <f t="shared" si="13"/>
        <v>0</v>
      </c>
      <c r="O17" s="290">
        <v>0</v>
      </c>
      <c r="P17" s="205">
        <f t="shared" si="14"/>
        <v>0</v>
      </c>
      <c r="Q17" s="290">
        <v>0</v>
      </c>
      <c r="R17" s="205">
        <f t="shared" si="15"/>
        <v>0</v>
      </c>
      <c r="S17" s="39">
        <f t="shared" si="7"/>
        <v>118</v>
      </c>
      <c r="T17" s="38">
        <f t="shared" si="4"/>
        <v>31.718399999999999</v>
      </c>
      <c r="U17" s="290">
        <v>0</v>
      </c>
      <c r="V17" s="13">
        <f t="shared" si="8"/>
        <v>0</v>
      </c>
      <c r="W17" s="294">
        <f t="shared" si="9"/>
        <v>118</v>
      </c>
      <c r="X17" s="295">
        <f t="shared" si="10"/>
        <v>31.718399999999999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147</v>
      </c>
      <c r="C18" s="34">
        <v>77</v>
      </c>
      <c r="D18" s="35">
        <v>86</v>
      </c>
      <c r="E18" s="35">
        <v>8</v>
      </c>
      <c r="F18" s="19">
        <f t="shared" si="5"/>
        <v>5.2976000000000002E-2</v>
      </c>
      <c r="G18" s="286">
        <v>819</v>
      </c>
      <c r="H18" s="288">
        <f t="shared" si="6"/>
        <v>43.387343999999999</v>
      </c>
      <c r="I18" s="290">
        <v>0</v>
      </c>
      <c r="J18" s="205">
        <f t="shared" si="0"/>
        <v>0</v>
      </c>
      <c r="K18" s="290">
        <v>34</v>
      </c>
      <c r="L18" s="205">
        <f t="shared" si="12"/>
        <v>1.8011840000000001</v>
      </c>
      <c r="M18" s="290">
        <v>20</v>
      </c>
      <c r="N18" s="205">
        <f t="shared" si="13"/>
        <v>1.05952</v>
      </c>
      <c r="O18" s="290">
        <v>11</v>
      </c>
      <c r="P18" s="205">
        <f t="shared" si="14"/>
        <v>0.58273600000000003</v>
      </c>
      <c r="Q18" s="290">
        <v>0</v>
      </c>
      <c r="R18" s="205">
        <f t="shared" si="15"/>
        <v>0</v>
      </c>
      <c r="S18" s="39">
        <f t="shared" si="7"/>
        <v>754</v>
      </c>
      <c r="T18" s="38">
        <f t="shared" si="4"/>
        <v>39.943904000000003</v>
      </c>
      <c r="U18" s="290">
        <v>0</v>
      </c>
      <c r="V18" s="13">
        <f t="shared" si="8"/>
        <v>0</v>
      </c>
      <c r="W18" s="294">
        <f t="shared" si="9"/>
        <v>754</v>
      </c>
      <c r="X18" s="295">
        <f t="shared" si="10"/>
        <v>39.943904000000003</v>
      </c>
      <c r="Y18" s="238">
        <v>100</v>
      </c>
      <c r="Z18" s="101">
        <v>300</v>
      </c>
    </row>
    <row r="19" spans="1:26" x14ac:dyDescent="0.25">
      <c r="A19" s="264">
        <v>15</v>
      </c>
      <c r="B19" s="256" t="s">
        <v>148</v>
      </c>
      <c r="C19" s="34">
        <v>77</v>
      </c>
      <c r="D19" s="35">
        <v>68</v>
      </c>
      <c r="E19" s="35">
        <v>8</v>
      </c>
      <c r="F19" s="19">
        <f t="shared" si="5"/>
        <v>4.1888000000000002E-2</v>
      </c>
      <c r="G19" s="286">
        <v>470</v>
      </c>
      <c r="H19" s="288">
        <f t="shared" si="6"/>
        <v>19.687360000000002</v>
      </c>
      <c r="I19" s="290">
        <v>0</v>
      </c>
      <c r="J19" s="205">
        <f t="shared" si="0"/>
        <v>0</v>
      </c>
      <c r="K19" s="290">
        <v>16</v>
      </c>
      <c r="L19" s="205">
        <f t="shared" si="12"/>
        <v>0.67020800000000003</v>
      </c>
      <c r="M19" s="290">
        <v>0</v>
      </c>
      <c r="N19" s="205">
        <f t="shared" si="13"/>
        <v>0</v>
      </c>
      <c r="O19" s="290">
        <v>0</v>
      </c>
      <c r="P19" s="205">
        <f t="shared" si="14"/>
        <v>0</v>
      </c>
      <c r="Q19" s="290">
        <v>0</v>
      </c>
      <c r="R19" s="205">
        <f t="shared" si="15"/>
        <v>0</v>
      </c>
      <c r="S19" s="39">
        <f t="shared" si="7"/>
        <v>454</v>
      </c>
      <c r="T19" s="38">
        <f t="shared" si="4"/>
        <v>19.017151999999999</v>
      </c>
      <c r="U19" s="290">
        <v>0</v>
      </c>
      <c r="V19" s="13">
        <f t="shared" si="8"/>
        <v>0</v>
      </c>
      <c r="W19" s="294">
        <f t="shared" si="9"/>
        <v>454</v>
      </c>
      <c r="X19" s="295">
        <f t="shared" si="10"/>
        <v>19.017151999999999</v>
      </c>
      <c r="Y19" s="238">
        <v>100</v>
      </c>
      <c r="Z19" s="101">
        <v>300</v>
      </c>
    </row>
    <row r="20" spans="1:26" x14ac:dyDescent="0.25">
      <c r="A20" s="264">
        <v>16</v>
      </c>
      <c r="B20" s="256" t="s">
        <v>149</v>
      </c>
      <c r="C20" s="34">
        <v>76</v>
      </c>
      <c r="D20" s="35">
        <v>75</v>
      </c>
      <c r="E20" s="35">
        <v>8</v>
      </c>
      <c r="F20" s="19">
        <f t="shared" si="5"/>
        <v>4.5600000000000002E-2</v>
      </c>
      <c r="G20" s="286">
        <v>1174</v>
      </c>
      <c r="H20" s="288">
        <f t="shared" si="6"/>
        <v>53.534400000000005</v>
      </c>
      <c r="I20" s="290">
        <v>0</v>
      </c>
      <c r="J20" s="205">
        <f t="shared" si="0"/>
        <v>0</v>
      </c>
      <c r="K20" s="290">
        <v>28</v>
      </c>
      <c r="L20" s="205">
        <f t="shared" si="12"/>
        <v>1.2768000000000002</v>
      </c>
      <c r="M20" s="290">
        <v>0</v>
      </c>
      <c r="N20" s="205">
        <f t="shared" si="13"/>
        <v>0</v>
      </c>
      <c r="O20" s="290">
        <v>0</v>
      </c>
      <c r="P20" s="205">
        <f t="shared" si="14"/>
        <v>0</v>
      </c>
      <c r="Q20" s="290">
        <v>0</v>
      </c>
      <c r="R20" s="205">
        <f t="shared" si="15"/>
        <v>0</v>
      </c>
      <c r="S20" s="39">
        <f t="shared" si="7"/>
        <v>1146</v>
      </c>
      <c r="T20" s="38">
        <f t="shared" si="4"/>
        <v>52.257600000000004</v>
      </c>
      <c r="U20" s="290">
        <v>0</v>
      </c>
      <c r="V20" s="13">
        <f t="shared" si="8"/>
        <v>0</v>
      </c>
      <c r="W20" s="294">
        <f t="shared" si="9"/>
        <v>1146</v>
      </c>
      <c r="X20" s="295">
        <f t="shared" si="10"/>
        <v>52.257600000000004</v>
      </c>
      <c r="Y20" s="238">
        <v>100</v>
      </c>
      <c r="Z20" s="101">
        <v>300</v>
      </c>
    </row>
    <row r="21" spans="1:26" x14ac:dyDescent="0.25">
      <c r="A21" s="264">
        <v>17</v>
      </c>
      <c r="B21" s="256" t="s">
        <v>150</v>
      </c>
      <c r="C21" s="34">
        <v>60</v>
      </c>
      <c r="D21" s="35">
        <v>63</v>
      </c>
      <c r="E21" s="35">
        <v>10</v>
      </c>
      <c r="F21" s="19">
        <f t="shared" si="5"/>
        <v>3.78E-2</v>
      </c>
      <c r="G21" s="286">
        <v>637</v>
      </c>
      <c r="H21" s="288">
        <f t="shared" si="6"/>
        <v>24.078600000000002</v>
      </c>
      <c r="I21" s="290">
        <v>24</v>
      </c>
      <c r="J21" s="205">
        <f t="shared" si="0"/>
        <v>0.90720000000000001</v>
      </c>
      <c r="K21" s="290">
        <v>0</v>
      </c>
      <c r="L21" s="205">
        <f t="shared" si="0"/>
        <v>0</v>
      </c>
      <c r="M21" s="290">
        <v>0</v>
      </c>
      <c r="N21" s="21">
        <v>0</v>
      </c>
      <c r="O21" s="290">
        <v>0</v>
      </c>
      <c r="P21" s="205">
        <f t="shared" si="14"/>
        <v>0</v>
      </c>
      <c r="Q21" s="290">
        <v>0</v>
      </c>
      <c r="R21" s="21">
        <v>0</v>
      </c>
      <c r="S21" s="39">
        <f t="shared" si="7"/>
        <v>613</v>
      </c>
      <c r="T21" s="38">
        <f t="shared" si="4"/>
        <v>23.171399999999998</v>
      </c>
      <c r="U21" s="290">
        <v>0</v>
      </c>
      <c r="V21" s="13">
        <f t="shared" si="8"/>
        <v>0</v>
      </c>
      <c r="W21" s="294">
        <f t="shared" si="9"/>
        <v>613</v>
      </c>
      <c r="X21" s="295">
        <f t="shared" si="10"/>
        <v>23.171399999999998</v>
      </c>
      <c r="Y21" s="238">
        <v>50</v>
      </c>
      <c r="Z21" s="101">
        <v>200</v>
      </c>
    </row>
    <row r="22" spans="1:26" x14ac:dyDescent="0.25">
      <c r="A22" s="264">
        <v>18</v>
      </c>
      <c r="B22" s="256" t="s">
        <v>151</v>
      </c>
      <c r="C22" s="34">
        <v>63</v>
      </c>
      <c r="D22" s="35">
        <v>60</v>
      </c>
      <c r="E22" s="35">
        <v>3</v>
      </c>
      <c r="F22" s="19">
        <f t="shared" si="5"/>
        <v>1.1339999999999999E-2</v>
      </c>
      <c r="G22" s="286">
        <v>64</v>
      </c>
      <c r="H22" s="288">
        <f t="shared" si="6"/>
        <v>0.72575999999999996</v>
      </c>
      <c r="I22" s="290">
        <v>8</v>
      </c>
      <c r="J22" s="205">
        <f t="shared" si="0"/>
        <v>9.0719999999999995E-2</v>
      </c>
      <c r="K22" s="290">
        <v>0</v>
      </c>
      <c r="L22" s="205">
        <f>F22*K22</f>
        <v>0</v>
      </c>
      <c r="M22" s="290">
        <v>0</v>
      </c>
      <c r="N22" s="205">
        <f t="shared" si="13"/>
        <v>0</v>
      </c>
      <c r="O22" s="290">
        <v>0</v>
      </c>
      <c r="P22" s="205">
        <f t="shared" si="14"/>
        <v>0</v>
      </c>
      <c r="Q22" s="290">
        <v>0</v>
      </c>
      <c r="R22" s="21">
        <v>0</v>
      </c>
      <c r="S22" s="39">
        <f t="shared" si="7"/>
        <v>56</v>
      </c>
      <c r="T22" s="38">
        <f t="shared" si="4"/>
        <v>0.63503999999999994</v>
      </c>
      <c r="U22" s="290">
        <v>0</v>
      </c>
      <c r="V22" s="13">
        <f t="shared" si="8"/>
        <v>0</v>
      </c>
      <c r="W22" s="294">
        <f t="shared" si="9"/>
        <v>56</v>
      </c>
      <c r="X22" s="295">
        <f t="shared" si="10"/>
        <v>0.63503999999999994</v>
      </c>
      <c r="Y22" s="238">
        <v>50</v>
      </c>
      <c r="Z22" s="101">
        <v>200</v>
      </c>
    </row>
    <row r="23" spans="1:26" x14ac:dyDescent="0.25">
      <c r="A23" s="264">
        <v>19</v>
      </c>
      <c r="B23" s="42" t="s">
        <v>152</v>
      </c>
      <c r="C23" s="34">
        <v>140</v>
      </c>
      <c r="D23" s="35">
        <v>240</v>
      </c>
      <c r="E23" s="35">
        <v>1.4</v>
      </c>
      <c r="F23" s="19">
        <f t="shared" si="5"/>
        <v>4.7039999999999998E-2</v>
      </c>
      <c r="G23" s="286">
        <v>311</v>
      </c>
      <c r="H23" s="288">
        <f t="shared" si="6"/>
        <v>14.629439999999999</v>
      </c>
      <c r="I23" s="290">
        <v>55</v>
      </c>
      <c r="J23" s="205">
        <f t="shared" si="0"/>
        <v>2.5871999999999997</v>
      </c>
      <c r="K23" s="290">
        <v>36</v>
      </c>
      <c r="L23" s="205">
        <f t="shared" ref="L23:L36" si="16">F23*K23</f>
        <v>1.6934399999999998</v>
      </c>
      <c r="M23" s="290">
        <v>41</v>
      </c>
      <c r="N23" s="205">
        <f t="shared" si="13"/>
        <v>1.9286399999999999</v>
      </c>
      <c r="O23" s="290">
        <v>37</v>
      </c>
      <c r="P23" s="205">
        <f t="shared" si="14"/>
        <v>1.74048</v>
      </c>
      <c r="Q23" s="290">
        <v>0</v>
      </c>
      <c r="R23" s="205">
        <f t="shared" ref="R23:R37" si="17">F23*Q23</f>
        <v>0</v>
      </c>
      <c r="S23" s="39">
        <f t="shared" si="7"/>
        <v>142</v>
      </c>
      <c r="T23" s="38">
        <f t="shared" si="4"/>
        <v>6.6796799999999994</v>
      </c>
      <c r="U23" s="290">
        <v>322</v>
      </c>
      <c r="V23" s="13">
        <f t="shared" si="8"/>
        <v>15.146879999999999</v>
      </c>
      <c r="W23" s="294">
        <f t="shared" si="9"/>
        <v>464</v>
      </c>
      <c r="X23" s="295">
        <f t="shared" si="10"/>
        <v>21.826560000000001</v>
      </c>
      <c r="Y23" s="238">
        <v>200</v>
      </c>
      <c r="Z23" s="101">
        <v>500</v>
      </c>
    </row>
    <row r="24" spans="1:26" x14ac:dyDescent="0.25">
      <c r="A24" s="264">
        <v>20</v>
      </c>
      <c r="B24" s="256" t="s">
        <v>3</v>
      </c>
      <c r="C24" s="34">
        <v>140</v>
      </c>
      <c r="D24" s="35">
        <v>240</v>
      </c>
      <c r="E24" s="35">
        <v>0.8</v>
      </c>
      <c r="F24" s="19">
        <f t="shared" si="5"/>
        <v>2.6880000000000001E-2</v>
      </c>
      <c r="G24" s="286">
        <v>457</v>
      </c>
      <c r="H24" s="288">
        <f t="shared" si="6"/>
        <v>12.28416</v>
      </c>
      <c r="I24" s="290">
        <v>2</v>
      </c>
      <c r="J24" s="205">
        <f t="shared" si="0"/>
        <v>5.3760000000000002E-2</v>
      </c>
      <c r="K24" s="290">
        <v>7</v>
      </c>
      <c r="L24" s="205">
        <f t="shared" si="16"/>
        <v>0.18815999999999999</v>
      </c>
      <c r="M24" s="290">
        <v>14</v>
      </c>
      <c r="N24" s="205">
        <f t="shared" si="13"/>
        <v>0.37631999999999999</v>
      </c>
      <c r="O24" s="290">
        <v>2</v>
      </c>
      <c r="P24" s="205">
        <f t="shared" si="14"/>
        <v>5.3760000000000002E-2</v>
      </c>
      <c r="Q24" s="290">
        <v>0</v>
      </c>
      <c r="R24" s="205">
        <f t="shared" si="17"/>
        <v>0</v>
      </c>
      <c r="S24" s="39">
        <f t="shared" si="7"/>
        <v>432</v>
      </c>
      <c r="T24" s="38">
        <f t="shared" si="4"/>
        <v>11.612160000000001</v>
      </c>
      <c r="U24" s="290">
        <v>0</v>
      </c>
      <c r="V24" s="13">
        <f t="shared" si="8"/>
        <v>0</v>
      </c>
      <c r="W24" s="294">
        <f t="shared" si="9"/>
        <v>432</v>
      </c>
      <c r="X24" s="295">
        <f t="shared" si="10"/>
        <v>11.612160000000001</v>
      </c>
      <c r="Y24" s="238">
        <v>100</v>
      </c>
      <c r="Z24" s="101">
        <v>300</v>
      </c>
    </row>
    <row r="25" spans="1:26" x14ac:dyDescent="0.25">
      <c r="A25" s="264">
        <v>21</v>
      </c>
      <c r="B25" s="256" t="s">
        <v>153</v>
      </c>
      <c r="C25" s="34">
        <v>58</v>
      </c>
      <c r="D25" s="35">
        <v>58</v>
      </c>
      <c r="E25" s="35">
        <v>2.2999999999999998</v>
      </c>
      <c r="F25" s="19">
        <f t="shared" si="5"/>
        <v>7.7371999999999996E-3</v>
      </c>
      <c r="G25" s="286">
        <v>3001</v>
      </c>
      <c r="H25" s="288">
        <f t="shared" si="6"/>
        <v>23.219337199999998</v>
      </c>
      <c r="I25" s="290">
        <v>277</v>
      </c>
      <c r="J25" s="205">
        <f t="shared" si="0"/>
        <v>2.1432044000000001</v>
      </c>
      <c r="K25" s="290">
        <v>0</v>
      </c>
      <c r="L25" s="205">
        <f t="shared" si="16"/>
        <v>0</v>
      </c>
      <c r="M25" s="290">
        <v>138</v>
      </c>
      <c r="N25" s="205">
        <f t="shared" si="13"/>
        <v>1.0677335999999999</v>
      </c>
      <c r="O25" s="290">
        <v>186</v>
      </c>
      <c r="P25" s="205">
        <f t="shared" si="14"/>
        <v>1.4391191999999999</v>
      </c>
      <c r="Q25" s="290">
        <v>0</v>
      </c>
      <c r="R25" s="205">
        <f t="shared" si="17"/>
        <v>0</v>
      </c>
      <c r="S25" s="39">
        <f t="shared" si="7"/>
        <v>2400</v>
      </c>
      <c r="T25" s="38">
        <f t="shared" si="4"/>
        <v>18.569279999999999</v>
      </c>
      <c r="U25" s="290">
        <v>0</v>
      </c>
      <c r="V25" s="13">
        <f t="shared" si="8"/>
        <v>0</v>
      </c>
      <c r="W25" s="294">
        <f t="shared" si="9"/>
        <v>2400</v>
      </c>
      <c r="X25" s="295">
        <f t="shared" si="10"/>
        <v>18.569279999999999</v>
      </c>
      <c r="Y25" s="238">
        <v>200</v>
      </c>
      <c r="Z25" s="101">
        <v>750</v>
      </c>
    </row>
    <row r="26" spans="1:26" x14ac:dyDescent="0.25">
      <c r="A26" s="264">
        <v>22</v>
      </c>
      <c r="B26" s="256" t="s">
        <v>154</v>
      </c>
      <c r="C26" s="34">
        <v>140</v>
      </c>
      <c r="D26" s="35">
        <v>240</v>
      </c>
      <c r="E26" s="35">
        <v>7</v>
      </c>
      <c r="F26" s="19">
        <f t="shared" si="5"/>
        <v>0.23519999999999999</v>
      </c>
      <c r="G26" s="286">
        <v>79</v>
      </c>
      <c r="H26" s="288">
        <f t="shared" si="6"/>
        <v>18.5808</v>
      </c>
      <c r="I26" s="290">
        <v>14</v>
      </c>
      <c r="J26" s="205">
        <f t="shared" si="0"/>
        <v>3.2927999999999997</v>
      </c>
      <c r="K26" s="290">
        <v>11</v>
      </c>
      <c r="L26" s="205">
        <f t="shared" si="16"/>
        <v>2.5871999999999997</v>
      </c>
      <c r="M26" s="290">
        <v>9</v>
      </c>
      <c r="N26" s="205">
        <f t="shared" si="13"/>
        <v>2.1168</v>
      </c>
      <c r="O26" s="290">
        <v>12</v>
      </c>
      <c r="P26" s="205">
        <f t="shared" si="14"/>
        <v>2.8224</v>
      </c>
      <c r="Q26" s="290">
        <v>0</v>
      </c>
      <c r="R26" s="205">
        <f t="shared" si="17"/>
        <v>0</v>
      </c>
      <c r="S26" s="39">
        <f t="shared" si="7"/>
        <v>33</v>
      </c>
      <c r="T26" s="38">
        <f t="shared" si="4"/>
        <v>7.7615999999999996</v>
      </c>
      <c r="U26" s="290">
        <v>51</v>
      </c>
      <c r="V26" s="13">
        <f t="shared" si="8"/>
        <v>11.995199999999999</v>
      </c>
      <c r="W26" s="294">
        <f t="shared" si="9"/>
        <v>84</v>
      </c>
      <c r="X26" s="295">
        <f t="shared" si="10"/>
        <v>19.756799999999998</v>
      </c>
      <c r="Y26" s="238">
        <v>50</v>
      </c>
      <c r="Z26" s="101">
        <v>200</v>
      </c>
    </row>
    <row r="27" spans="1:26" ht="15.75" x14ac:dyDescent="0.25">
      <c r="A27" s="264">
        <v>23</v>
      </c>
      <c r="B27" s="256" t="s">
        <v>55</v>
      </c>
      <c r="C27" s="111">
        <v>50</v>
      </c>
      <c r="D27" s="112">
        <v>45</v>
      </c>
      <c r="E27" s="112">
        <v>4</v>
      </c>
      <c r="F27" s="19">
        <f t="shared" si="5"/>
        <v>8.9999999999999993E-3</v>
      </c>
      <c r="G27" s="286">
        <v>1870</v>
      </c>
      <c r="H27" s="288">
        <f t="shared" si="6"/>
        <v>16.829999999999998</v>
      </c>
      <c r="I27" s="290">
        <v>0</v>
      </c>
      <c r="J27" s="205">
        <f t="shared" si="0"/>
        <v>0</v>
      </c>
      <c r="K27" s="290">
        <v>0</v>
      </c>
      <c r="L27" s="205">
        <f t="shared" si="16"/>
        <v>0</v>
      </c>
      <c r="M27" s="290">
        <v>0</v>
      </c>
      <c r="N27" s="205">
        <f t="shared" si="13"/>
        <v>0</v>
      </c>
      <c r="O27" s="290">
        <v>0</v>
      </c>
      <c r="P27" s="205">
        <f t="shared" si="14"/>
        <v>0</v>
      </c>
      <c r="Q27" s="290">
        <v>0</v>
      </c>
      <c r="R27" s="205">
        <f t="shared" si="17"/>
        <v>0</v>
      </c>
      <c r="S27" s="39">
        <f t="shared" si="7"/>
        <v>1870</v>
      </c>
      <c r="T27" s="38">
        <f t="shared" si="4"/>
        <v>16.829999999999998</v>
      </c>
      <c r="U27" s="290">
        <v>0</v>
      </c>
      <c r="V27" s="13">
        <f t="shared" si="8"/>
        <v>0</v>
      </c>
      <c r="W27" s="294">
        <f t="shared" si="9"/>
        <v>1870</v>
      </c>
      <c r="X27" s="295">
        <f t="shared" si="10"/>
        <v>16.829999999999998</v>
      </c>
      <c r="Y27" s="238">
        <v>300</v>
      </c>
      <c r="Z27" s="101">
        <v>1000</v>
      </c>
    </row>
    <row r="28" spans="1:26" ht="15.75" x14ac:dyDescent="0.25">
      <c r="A28" s="264">
        <v>24</v>
      </c>
      <c r="B28" s="256" t="s">
        <v>56</v>
      </c>
      <c r="C28" s="111">
        <v>50</v>
      </c>
      <c r="D28" s="112">
        <v>35</v>
      </c>
      <c r="E28" s="112">
        <v>4</v>
      </c>
      <c r="F28" s="19">
        <f t="shared" si="5"/>
        <v>7.0000000000000001E-3</v>
      </c>
      <c r="G28" s="286">
        <v>0</v>
      </c>
      <c r="H28" s="288">
        <f t="shared" si="6"/>
        <v>0</v>
      </c>
      <c r="I28" s="290">
        <v>0</v>
      </c>
      <c r="J28" s="205">
        <f t="shared" si="0"/>
        <v>0</v>
      </c>
      <c r="K28" s="290">
        <v>0</v>
      </c>
      <c r="L28" s="205">
        <f t="shared" si="16"/>
        <v>0</v>
      </c>
      <c r="M28" s="290">
        <v>0</v>
      </c>
      <c r="N28" s="205">
        <f t="shared" si="13"/>
        <v>0</v>
      </c>
      <c r="O28" s="290">
        <v>0</v>
      </c>
      <c r="P28" s="205">
        <f t="shared" si="14"/>
        <v>0</v>
      </c>
      <c r="Q28" s="290">
        <v>0</v>
      </c>
      <c r="R28" s="205">
        <f t="shared" si="17"/>
        <v>0</v>
      </c>
      <c r="S28" s="39">
        <f t="shared" si="7"/>
        <v>0</v>
      </c>
      <c r="T28" s="38">
        <f t="shared" si="4"/>
        <v>0</v>
      </c>
      <c r="U28" s="290">
        <v>0</v>
      </c>
      <c r="V28" s="13">
        <f t="shared" si="8"/>
        <v>0</v>
      </c>
      <c r="W28" s="294">
        <f t="shared" si="9"/>
        <v>0</v>
      </c>
      <c r="X28" s="295">
        <f t="shared" si="10"/>
        <v>0</v>
      </c>
      <c r="Y28" s="238">
        <v>300</v>
      </c>
      <c r="Z28" s="101">
        <v>1000</v>
      </c>
    </row>
    <row r="29" spans="1:26" ht="15.75" x14ac:dyDescent="0.25">
      <c r="A29" s="264">
        <v>25</v>
      </c>
      <c r="B29" s="256" t="s">
        <v>57</v>
      </c>
      <c r="C29" s="111">
        <v>45</v>
      </c>
      <c r="D29" s="112">
        <v>44</v>
      </c>
      <c r="E29" s="112">
        <v>3</v>
      </c>
      <c r="F29" s="19">
        <f t="shared" si="5"/>
        <v>5.94E-3</v>
      </c>
      <c r="G29" s="286">
        <v>787</v>
      </c>
      <c r="H29" s="288">
        <f t="shared" si="6"/>
        <v>4.6747800000000002</v>
      </c>
      <c r="I29" s="290">
        <v>0</v>
      </c>
      <c r="J29" s="205">
        <f t="shared" si="0"/>
        <v>0</v>
      </c>
      <c r="K29" s="290">
        <v>0</v>
      </c>
      <c r="L29" s="205">
        <f t="shared" si="16"/>
        <v>0</v>
      </c>
      <c r="M29" s="290">
        <v>0</v>
      </c>
      <c r="N29" s="205">
        <f t="shared" si="13"/>
        <v>0</v>
      </c>
      <c r="O29" s="290">
        <v>324</v>
      </c>
      <c r="P29" s="205">
        <f t="shared" si="14"/>
        <v>1.92456</v>
      </c>
      <c r="Q29" s="290">
        <v>0</v>
      </c>
      <c r="R29" s="205">
        <f t="shared" si="17"/>
        <v>0</v>
      </c>
      <c r="S29" s="39">
        <f t="shared" si="7"/>
        <v>463</v>
      </c>
      <c r="T29" s="38">
        <f t="shared" si="4"/>
        <v>2.7502200000000001</v>
      </c>
      <c r="U29" s="290">
        <v>0</v>
      </c>
      <c r="V29" s="13">
        <f t="shared" si="8"/>
        <v>0</v>
      </c>
      <c r="W29" s="294">
        <f t="shared" si="9"/>
        <v>463</v>
      </c>
      <c r="X29" s="295">
        <f t="shared" si="10"/>
        <v>2.7502200000000001</v>
      </c>
      <c r="Y29" s="238">
        <v>500</v>
      </c>
      <c r="Z29" s="101">
        <v>1500</v>
      </c>
    </row>
    <row r="30" spans="1:26" ht="15.75" x14ac:dyDescent="0.25">
      <c r="A30" s="264">
        <v>26</v>
      </c>
      <c r="B30" s="256" t="s">
        <v>58</v>
      </c>
      <c r="C30" s="111">
        <v>45</v>
      </c>
      <c r="D30" s="112">
        <v>35.5</v>
      </c>
      <c r="E30" s="112">
        <v>3</v>
      </c>
      <c r="F30" s="19">
        <f t="shared" si="5"/>
        <v>4.7924999999999999E-3</v>
      </c>
      <c r="G30" s="286">
        <v>710</v>
      </c>
      <c r="H30" s="288">
        <f t="shared" si="6"/>
        <v>3.4026749999999999</v>
      </c>
      <c r="I30" s="290">
        <v>0</v>
      </c>
      <c r="J30" s="205">
        <f t="shared" si="0"/>
        <v>0</v>
      </c>
      <c r="K30" s="290">
        <v>0</v>
      </c>
      <c r="L30" s="205">
        <f t="shared" si="16"/>
        <v>0</v>
      </c>
      <c r="M30" s="290">
        <v>0</v>
      </c>
      <c r="N30" s="205">
        <f t="shared" si="13"/>
        <v>0</v>
      </c>
      <c r="O30" s="290">
        <v>30</v>
      </c>
      <c r="P30" s="205">
        <f t="shared" si="14"/>
        <v>0.14377499999999999</v>
      </c>
      <c r="Q30" s="290">
        <v>0</v>
      </c>
      <c r="R30" s="205">
        <f t="shared" si="17"/>
        <v>0</v>
      </c>
      <c r="S30" s="39">
        <f t="shared" si="7"/>
        <v>680</v>
      </c>
      <c r="T30" s="38">
        <f t="shared" si="4"/>
        <v>3.2589000000000001</v>
      </c>
      <c r="U30" s="290">
        <v>0</v>
      </c>
      <c r="V30" s="13">
        <f t="shared" si="8"/>
        <v>0</v>
      </c>
      <c r="W30" s="294">
        <f t="shared" si="9"/>
        <v>680</v>
      </c>
      <c r="X30" s="295">
        <f t="shared" si="10"/>
        <v>3.2589000000000001</v>
      </c>
      <c r="Y30" s="238">
        <v>500</v>
      </c>
      <c r="Z30" s="101">
        <v>1500</v>
      </c>
    </row>
    <row r="31" spans="1:26" x14ac:dyDescent="0.25">
      <c r="A31" s="264">
        <v>27</v>
      </c>
      <c r="B31" s="256" t="s">
        <v>155</v>
      </c>
      <c r="C31" s="34">
        <v>140</v>
      </c>
      <c r="D31" s="35">
        <v>9.5</v>
      </c>
      <c r="E31" s="35">
        <v>6.5</v>
      </c>
      <c r="F31" s="19">
        <f t="shared" si="5"/>
        <v>8.6449999999999999E-3</v>
      </c>
      <c r="G31" s="286">
        <v>673</v>
      </c>
      <c r="H31" s="288">
        <f t="shared" si="6"/>
        <v>5.818085</v>
      </c>
      <c r="I31" s="290">
        <v>150</v>
      </c>
      <c r="J31" s="205">
        <f t="shared" si="0"/>
        <v>1.2967500000000001</v>
      </c>
      <c r="K31" s="290">
        <v>62</v>
      </c>
      <c r="L31" s="205">
        <f t="shared" si="16"/>
        <v>0.53598999999999997</v>
      </c>
      <c r="M31" s="290">
        <v>0</v>
      </c>
      <c r="N31" s="205">
        <f t="shared" si="13"/>
        <v>0</v>
      </c>
      <c r="O31" s="290">
        <v>0</v>
      </c>
      <c r="P31" s="205">
        <f t="shared" si="14"/>
        <v>0</v>
      </c>
      <c r="Q31" s="290">
        <v>0</v>
      </c>
      <c r="R31" s="205">
        <f t="shared" si="17"/>
        <v>0</v>
      </c>
      <c r="S31" s="39">
        <f t="shared" si="7"/>
        <v>461</v>
      </c>
      <c r="T31" s="38">
        <f t="shared" si="4"/>
        <v>3.9853450000000001</v>
      </c>
      <c r="U31" s="290">
        <v>0</v>
      </c>
      <c r="V31" s="13">
        <f t="shared" si="8"/>
        <v>0</v>
      </c>
      <c r="W31" s="294">
        <f t="shared" si="9"/>
        <v>461</v>
      </c>
      <c r="X31" s="295">
        <f t="shared" si="10"/>
        <v>3.9853450000000001</v>
      </c>
      <c r="Y31" s="238">
        <v>500</v>
      </c>
      <c r="Z31" s="101">
        <v>1500</v>
      </c>
    </row>
    <row r="32" spans="1:26" x14ac:dyDescent="0.25">
      <c r="A32" s="264">
        <v>28</v>
      </c>
      <c r="B32" s="256" t="s">
        <v>156</v>
      </c>
      <c r="C32" s="34">
        <v>140</v>
      </c>
      <c r="D32" s="35">
        <v>240</v>
      </c>
      <c r="E32" s="35">
        <v>1</v>
      </c>
      <c r="F32" s="19">
        <f t="shared" si="5"/>
        <v>3.3599999999999998E-2</v>
      </c>
      <c r="G32" s="286">
        <v>440</v>
      </c>
      <c r="H32" s="288">
        <f t="shared" si="6"/>
        <v>14.783999999999999</v>
      </c>
      <c r="I32" s="290">
        <v>105</v>
      </c>
      <c r="J32" s="205">
        <f t="shared" si="0"/>
        <v>3.5279999999999996</v>
      </c>
      <c r="K32" s="290">
        <v>148</v>
      </c>
      <c r="L32" s="205">
        <f t="shared" si="16"/>
        <v>4.9727999999999994</v>
      </c>
      <c r="M32" s="290">
        <v>61</v>
      </c>
      <c r="N32" s="205">
        <f t="shared" si="13"/>
        <v>2.0495999999999999</v>
      </c>
      <c r="O32" s="290">
        <v>107</v>
      </c>
      <c r="P32" s="205">
        <f t="shared" si="14"/>
        <v>3.5951999999999997</v>
      </c>
      <c r="Q32" s="290">
        <v>0</v>
      </c>
      <c r="R32" s="205">
        <f>F32*Q32</f>
        <v>0</v>
      </c>
      <c r="S32" s="39">
        <f t="shared" si="7"/>
        <v>19</v>
      </c>
      <c r="T32" s="38">
        <f t="shared" si="4"/>
        <v>0.63839999999999997</v>
      </c>
      <c r="U32" s="290">
        <v>544</v>
      </c>
      <c r="V32" s="13">
        <f t="shared" si="8"/>
        <v>18.278399999999998</v>
      </c>
      <c r="W32" s="294">
        <f t="shared" si="9"/>
        <v>563</v>
      </c>
      <c r="X32" s="295">
        <f t="shared" si="10"/>
        <v>18.916799999999999</v>
      </c>
      <c r="Y32" s="238">
        <v>500</v>
      </c>
      <c r="Z32" s="101">
        <v>1500</v>
      </c>
    </row>
    <row r="33" spans="1:26" x14ac:dyDescent="0.25">
      <c r="A33" s="264">
        <v>29</v>
      </c>
      <c r="B33" s="256" t="s">
        <v>157</v>
      </c>
      <c r="C33" s="34">
        <v>140</v>
      </c>
      <c r="D33" s="35">
        <v>240</v>
      </c>
      <c r="E33" s="35">
        <v>2</v>
      </c>
      <c r="F33" s="19">
        <f t="shared" si="5"/>
        <v>6.7199999999999996E-2</v>
      </c>
      <c r="G33" s="286">
        <v>63</v>
      </c>
      <c r="H33" s="288">
        <f t="shared" si="6"/>
        <v>4.2336</v>
      </c>
      <c r="I33" s="290">
        <v>13</v>
      </c>
      <c r="J33" s="205">
        <f t="shared" si="0"/>
        <v>0.87359999999999993</v>
      </c>
      <c r="K33" s="290">
        <v>15</v>
      </c>
      <c r="L33" s="205">
        <f t="shared" si="16"/>
        <v>1.008</v>
      </c>
      <c r="M33" s="290">
        <v>10</v>
      </c>
      <c r="N33" s="205">
        <f t="shared" si="13"/>
        <v>0.67199999999999993</v>
      </c>
      <c r="O33" s="290">
        <v>14</v>
      </c>
      <c r="P33" s="205">
        <f t="shared" si="14"/>
        <v>0.94079999999999997</v>
      </c>
      <c r="Q33" s="290">
        <v>0</v>
      </c>
      <c r="R33" s="205">
        <f>F33*Q33</f>
        <v>0</v>
      </c>
      <c r="S33" s="39">
        <f t="shared" si="7"/>
        <v>11</v>
      </c>
      <c r="T33" s="38">
        <f t="shared" si="4"/>
        <v>0.73919999999999997</v>
      </c>
      <c r="U33" s="290">
        <v>0</v>
      </c>
      <c r="V33" s="13">
        <f t="shared" si="8"/>
        <v>0</v>
      </c>
      <c r="W33" s="294">
        <f t="shared" si="9"/>
        <v>11</v>
      </c>
      <c r="X33" s="295">
        <f t="shared" si="10"/>
        <v>0.73919999999999997</v>
      </c>
      <c r="Y33" s="238">
        <v>75</v>
      </c>
      <c r="Z33" s="101">
        <v>150</v>
      </c>
    </row>
    <row r="34" spans="1:26" x14ac:dyDescent="0.25">
      <c r="A34" s="264">
        <v>30</v>
      </c>
      <c r="B34" s="256" t="s">
        <v>158</v>
      </c>
      <c r="C34" s="34">
        <v>140</v>
      </c>
      <c r="D34" s="35">
        <v>240</v>
      </c>
      <c r="E34" s="35">
        <v>3</v>
      </c>
      <c r="F34" s="19">
        <f t="shared" si="5"/>
        <v>0.1008</v>
      </c>
      <c r="G34" s="286">
        <v>240</v>
      </c>
      <c r="H34" s="288">
        <f t="shared" si="6"/>
        <v>24.192</v>
      </c>
      <c r="I34" s="290">
        <v>30</v>
      </c>
      <c r="J34" s="205">
        <f>F34*I34</f>
        <v>3.024</v>
      </c>
      <c r="K34" s="290">
        <v>8</v>
      </c>
      <c r="L34" s="205">
        <f t="shared" si="16"/>
        <v>0.80640000000000001</v>
      </c>
      <c r="M34" s="290">
        <v>43</v>
      </c>
      <c r="N34" s="205">
        <f t="shared" si="13"/>
        <v>4.3344000000000005</v>
      </c>
      <c r="O34" s="290">
        <v>27</v>
      </c>
      <c r="P34" s="205">
        <f t="shared" si="14"/>
        <v>2.7216</v>
      </c>
      <c r="Q34" s="290">
        <v>0</v>
      </c>
      <c r="R34" s="205">
        <f t="shared" si="17"/>
        <v>0</v>
      </c>
      <c r="S34" s="39">
        <f t="shared" si="7"/>
        <v>132</v>
      </c>
      <c r="T34" s="38">
        <f t="shared" si="4"/>
        <v>13.3056</v>
      </c>
      <c r="U34" s="290">
        <v>0</v>
      </c>
      <c r="V34" s="13">
        <f t="shared" si="8"/>
        <v>0</v>
      </c>
      <c r="W34" s="294">
        <f t="shared" si="9"/>
        <v>132</v>
      </c>
      <c r="X34" s="295">
        <f t="shared" si="10"/>
        <v>13.3056</v>
      </c>
      <c r="Y34" s="238">
        <v>75</v>
      </c>
      <c r="Z34" s="101">
        <v>150</v>
      </c>
    </row>
    <row r="35" spans="1:26" x14ac:dyDescent="0.25">
      <c r="A35" s="264">
        <v>31</v>
      </c>
      <c r="B35" s="256" t="s">
        <v>159</v>
      </c>
      <c r="C35" s="34">
        <v>140</v>
      </c>
      <c r="D35" s="35">
        <v>240</v>
      </c>
      <c r="E35" s="35">
        <v>4</v>
      </c>
      <c r="F35" s="19">
        <f t="shared" si="5"/>
        <v>0.13439999999999999</v>
      </c>
      <c r="G35" s="286">
        <v>115</v>
      </c>
      <c r="H35" s="288">
        <f t="shared" si="6"/>
        <v>15.456</v>
      </c>
      <c r="I35" s="290">
        <v>2</v>
      </c>
      <c r="J35" s="205">
        <f t="shared" si="0"/>
        <v>0.26879999999999998</v>
      </c>
      <c r="K35" s="290">
        <v>5</v>
      </c>
      <c r="L35" s="205">
        <f t="shared" si="16"/>
        <v>0.67199999999999993</v>
      </c>
      <c r="M35" s="290">
        <v>2</v>
      </c>
      <c r="N35" s="205">
        <f t="shared" si="13"/>
        <v>0.26879999999999998</v>
      </c>
      <c r="O35" s="290">
        <v>3</v>
      </c>
      <c r="P35" s="205">
        <f t="shared" si="14"/>
        <v>0.4032</v>
      </c>
      <c r="Q35" s="290">
        <v>0</v>
      </c>
      <c r="R35" s="205">
        <f t="shared" si="17"/>
        <v>0</v>
      </c>
      <c r="S35" s="39">
        <f t="shared" si="7"/>
        <v>103</v>
      </c>
      <c r="T35" s="38">
        <f t="shared" si="4"/>
        <v>13.8432</v>
      </c>
      <c r="U35" s="290">
        <v>0</v>
      </c>
      <c r="V35" s="13">
        <f t="shared" si="8"/>
        <v>0</v>
      </c>
      <c r="W35" s="294">
        <f t="shared" si="9"/>
        <v>103</v>
      </c>
      <c r="X35" s="295">
        <f t="shared" si="10"/>
        <v>13.8432</v>
      </c>
      <c r="Y35" s="238">
        <v>50</v>
      </c>
      <c r="Z35" s="101">
        <v>100</v>
      </c>
    </row>
    <row r="36" spans="1:26" x14ac:dyDescent="0.25">
      <c r="A36" s="264">
        <v>32</v>
      </c>
      <c r="B36" s="256" t="s">
        <v>160</v>
      </c>
      <c r="C36" s="34">
        <v>140</v>
      </c>
      <c r="D36" s="35">
        <v>240</v>
      </c>
      <c r="E36" s="35">
        <v>2</v>
      </c>
      <c r="F36" s="19">
        <f t="shared" si="5"/>
        <v>6.7199999999999996E-2</v>
      </c>
      <c r="G36" s="286">
        <v>313</v>
      </c>
      <c r="H36" s="288">
        <f t="shared" si="6"/>
        <v>21.0336</v>
      </c>
      <c r="I36" s="290">
        <v>47</v>
      </c>
      <c r="J36" s="205">
        <f>F36*I36</f>
        <v>3.1583999999999999</v>
      </c>
      <c r="K36" s="290">
        <v>25</v>
      </c>
      <c r="L36" s="205">
        <f t="shared" si="16"/>
        <v>1.68</v>
      </c>
      <c r="M36" s="290">
        <v>47</v>
      </c>
      <c r="N36" s="205">
        <f t="shared" si="13"/>
        <v>3.1583999999999999</v>
      </c>
      <c r="O36" s="290">
        <v>31</v>
      </c>
      <c r="P36" s="205">
        <f t="shared" si="14"/>
        <v>2.0831999999999997</v>
      </c>
      <c r="Q36" s="290">
        <v>0</v>
      </c>
      <c r="R36" s="205">
        <f t="shared" si="17"/>
        <v>0</v>
      </c>
      <c r="S36" s="39">
        <f t="shared" si="7"/>
        <v>163</v>
      </c>
      <c r="T36" s="38">
        <f t="shared" si="4"/>
        <v>10.9536</v>
      </c>
      <c r="U36" s="290">
        <v>0</v>
      </c>
      <c r="V36" s="13">
        <f t="shared" si="8"/>
        <v>0</v>
      </c>
      <c r="W36" s="294">
        <f t="shared" si="9"/>
        <v>163</v>
      </c>
      <c r="X36" s="295">
        <f t="shared" si="10"/>
        <v>10.9536</v>
      </c>
      <c r="Y36" s="238">
        <v>200</v>
      </c>
      <c r="Z36" s="101">
        <v>300</v>
      </c>
    </row>
    <row r="37" spans="1:26" x14ac:dyDescent="0.25">
      <c r="A37" s="264">
        <v>33</v>
      </c>
      <c r="B37" s="256" t="s">
        <v>161</v>
      </c>
      <c r="C37" s="34">
        <v>140</v>
      </c>
      <c r="D37" s="35">
        <v>240</v>
      </c>
      <c r="E37" s="35">
        <v>6</v>
      </c>
      <c r="F37" s="19">
        <f t="shared" si="5"/>
        <v>0.2016</v>
      </c>
      <c r="G37" s="286">
        <v>27</v>
      </c>
      <c r="H37" s="288">
        <f t="shared" si="6"/>
        <v>5.4432</v>
      </c>
      <c r="I37" s="290">
        <v>0</v>
      </c>
      <c r="J37" s="205">
        <f t="shared" si="0"/>
        <v>0</v>
      </c>
      <c r="K37" s="290">
        <v>1</v>
      </c>
      <c r="L37" s="205">
        <f>F37*K37</f>
        <v>0.2016</v>
      </c>
      <c r="M37" s="290">
        <v>0</v>
      </c>
      <c r="N37" s="205">
        <f t="shared" si="13"/>
        <v>0</v>
      </c>
      <c r="O37" s="290">
        <v>3</v>
      </c>
      <c r="P37" s="21">
        <v>0</v>
      </c>
      <c r="Q37" s="290">
        <v>0</v>
      </c>
      <c r="R37" s="205">
        <f t="shared" si="17"/>
        <v>0</v>
      </c>
      <c r="S37" s="39">
        <f t="shared" si="7"/>
        <v>23</v>
      </c>
      <c r="T37" s="38">
        <f t="shared" si="4"/>
        <v>4.6368</v>
      </c>
      <c r="U37" s="290">
        <v>0</v>
      </c>
      <c r="V37" s="13">
        <f t="shared" si="8"/>
        <v>0</v>
      </c>
      <c r="W37" s="294">
        <f t="shared" si="9"/>
        <v>23</v>
      </c>
      <c r="X37" s="295">
        <f t="shared" si="10"/>
        <v>4.6368</v>
      </c>
      <c r="Y37" s="238">
        <v>10</v>
      </c>
      <c r="Z37" s="101">
        <v>30</v>
      </c>
    </row>
    <row r="38" spans="1:26" x14ac:dyDescent="0.25">
      <c r="A38" s="264">
        <v>34</v>
      </c>
      <c r="B38" s="256" t="s">
        <v>181</v>
      </c>
      <c r="C38" s="34">
        <v>80</v>
      </c>
      <c r="D38" s="35">
        <v>75</v>
      </c>
      <c r="E38" s="35">
        <v>5</v>
      </c>
      <c r="F38" s="19">
        <f t="shared" si="5"/>
        <v>0.03</v>
      </c>
      <c r="G38" s="286">
        <v>68</v>
      </c>
      <c r="H38" s="288">
        <f t="shared" si="6"/>
        <v>2.04</v>
      </c>
      <c r="I38" s="290">
        <v>0</v>
      </c>
      <c r="J38" s="205">
        <f t="shared" si="0"/>
        <v>0</v>
      </c>
      <c r="K38" s="290">
        <v>0</v>
      </c>
      <c r="L38" s="205">
        <f t="shared" si="0"/>
        <v>0</v>
      </c>
      <c r="M38" s="290">
        <v>0</v>
      </c>
      <c r="N38" s="21">
        <v>0</v>
      </c>
      <c r="O38" s="290">
        <v>0</v>
      </c>
      <c r="P38" s="21">
        <v>0</v>
      </c>
      <c r="Q38" s="290">
        <v>0</v>
      </c>
      <c r="R38" s="21">
        <v>0</v>
      </c>
      <c r="S38" s="39">
        <f t="shared" si="7"/>
        <v>68</v>
      </c>
      <c r="T38" s="38">
        <f t="shared" si="4"/>
        <v>2.04</v>
      </c>
      <c r="U38" s="290">
        <v>0</v>
      </c>
      <c r="V38" s="13">
        <f t="shared" si="8"/>
        <v>0</v>
      </c>
      <c r="W38" s="294">
        <f t="shared" si="9"/>
        <v>68</v>
      </c>
      <c r="X38" s="295">
        <f t="shared" si="10"/>
        <v>2.04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182</v>
      </c>
      <c r="C39" s="34">
        <v>100</v>
      </c>
      <c r="D39" s="35">
        <v>95</v>
      </c>
      <c r="E39" s="35">
        <v>5</v>
      </c>
      <c r="F39" s="19">
        <f t="shared" si="5"/>
        <v>4.7500000000000001E-2</v>
      </c>
      <c r="G39" s="286">
        <v>137</v>
      </c>
      <c r="H39" s="288">
        <f t="shared" si="6"/>
        <v>6.5075000000000003</v>
      </c>
      <c r="I39" s="290">
        <v>0</v>
      </c>
      <c r="J39" s="205">
        <f t="shared" si="0"/>
        <v>0</v>
      </c>
      <c r="K39" s="290">
        <v>0</v>
      </c>
      <c r="L39" s="205">
        <f>F39*K39</f>
        <v>0</v>
      </c>
      <c r="M39" s="290">
        <v>0</v>
      </c>
      <c r="N39" s="205">
        <f>F39*M39</f>
        <v>0</v>
      </c>
      <c r="O39" s="290">
        <v>0</v>
      </c>
      <c r="P39" s="205">
        <f>J39*O39</f>
        <v>0</v>
      </c>
      <c r="Q39" s="290">
        <v>0</v>
      </c>
      <c r="R39" s="205">
        <f>L39*Q39</f>
        <v>0</v>
      </c>
      <c r="S39" s="39">
        <f t="shared" si="7"/>
        <v>137</v>
      </c>
      <c r="T39" s="38">
        <f t="shared" si="4"/>
        <v>6.5075000000000003</v>
      </c>
      <c r="U39" s="290">
        <v>0</v>
      </c>
      <c r="V39" s="13">
        <f t="shared" si="8"/>
        <v>0</v>
      </c>
      <c r="W39" s="294">
        <f t="shared" si="9"/>
        <v>137</v>
      </c>
      <c r="X39" s="295">
        <f t="shared" si="10"/>
        <v>6.5075000000000003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196</v>
      </c>
      <c r="C40" s="34">
        <v>65</v>
      </c>
      <c r="D40" s="35">
        <v>60</v>
      </c>
      <c r="E40" s="35">
        <v>5</v>
      </c>
      <c r="F40" s="19">
        <f t="shared" si="5"/>
        <v>1.95E-2</v>
      </c>
      <c r="G40" s="286">
        <v>172</v>
      </c>
      <c r="H40" s="288">
        <f t="shared" si="6"/>
        <v>3.3540000000000001</v>
      </c>
      <c r="I40" s="290">
        <v>0</v>
      </c>
      <c r="J40" s="205">
        <f t="shared" si="0"/>
        <v>0</v>
      </c>
      <c r="K40" s="290">
        <v>0</v>
      </c>
      <c r="L40" s="205">
        <f>F40*K40</f>
        <v>0</v>
      </c>
      <c r="M40" s="290">
        <v>0</v>
      </c>
      <c r="N40" s="205">
        <f>F40*M40</f>
        <v>0</v>
      </c>
      <c r="O40" s="290">
        <v>0</v>
      </c>
      <c r="P40" s="205">
        <f>F40*O40</f>
        <v>0</v>
      </c>
      <c r="Q40" s="290">
        <v>0</v>
      </c>
      <c r="R40" s="205">
        <f>F40*Q40</f>
        <v>0</v>
      </c>
      <c r="S40" s="39">
        <f t="shared" si="7"/>
        <v>172</v>
      </c>
      <c r="T40" s="38">
        <f t="shared" si="4"/>
        <v>3.3540000000000001</v>
      </c>
      <c r="U40" s="290">
        <v>0</v>
      </c>
      <c r="V40" s="13">
        <f t="shared" si="8"/>
        <v>0</v>
      </c>
      <c r="W40" s="294">
        <f t="shared" si="9"/>
        <v>172</v>
      </c>
      <c r="X40" s="295">
        <f t="shared" si="10"/>
        <v>3.3540000000000001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165</v>
      </c>
      <c r="C41" s="34">
        <v>140</v>
      </c>
      <c r="D41" s="35">
        <v>240</v>
      </c>
      <c r="E41" s="35">
        <v>10</v>
      </c>
      <c r="F41" s="19">
        <f t="shared" si="5"/>
        <v>0.33600000000000002</v>
      </c>
      <c r="G41" s="286">
        <v>85</v>
      </c>
      <c r="H41" s="288">
        <f t="shared" si="6"/>
        <v>28.560000000000002</v>
      </c>
      <c r="I41" s="290">
        <v>9</v>
      </c>
      <c r="J41" s="205">
        <f>F41*I41</f>
        <v>3.024</v>
      </c>
      <c r="K41" s="290">
        <v>6</v>
      </c>
      <c r="L41" s="205">
        <f>F41*K41</f>
        <v>2.016</v>
      </c>
      <c r="M41" s="290">
        <v>10</v>
      </c>
      <c r="N41" s="205">
        <f>F41*M41</f>
        <v>3.3600000000000003</v>
      </c>
      <c r="O41" s="290">
        <v>6</v>
      </c>
      <c r="P41" s="205">
        <f>F41*O41</f>
        <v>2.016</v>
      </c>
      <c r="Q41" s="290">
        <v>0</v>
      </c>
      <c r="R41" s="205">
        <f>F41*Q41</f>
        <v>0</v>
      </c>
      <c r="S41" s="39">
        <f t="shared" si="7"/>
        <v>54</v>
      </c>
      <c r="T41" s="38">
        <f t="shared" si="4"/>
        <v>18.144000000000002</v>
      </c>
      <c r="U41" s="290">
        <v>0</v>
      </c>
      <c r="V41" s="13">
        <f t="shared" si="8"/>
        <v>0</v>
      </c>
      <c r="W41" s="294">
        <f t="shared" si="9"/>
        <v>54</v>
      </c>
      <c r="X41" s="295">
        <f t="shared" si="10"/>
        <v>18.144000000000002</v>
      </c>
      <c r="Y41" s="238">
        <v>50</v>
      </c>
      <c r="Z41" s="101">
        <v>100</v>
      </c>
    </row>
    <row r="42" spans="1:26" x14ac:dyDescent="0.25">
      <c r="A42" s="264">
        <v>38</v>
      </c>
      <c r="B42" s="256" t="s">
        <v>166</v>
      </c>
      <c r="C42" s="34">
        <v>92</v>
      </c>
      <c r="D42" s="35">
        <v>82</v>
      </c>
      <c r="E42" s="35">
        <v>2</v>
      </c>
      <c r="F42" s="19">
        <f t="shared" si="5"/>
        <v>1.5088000000000001E-2</v>
      </c>
      <c r="G42" s="286">
        <v>296</v>
      </c>
      <c r="H42" s="288">
        <f t="shared" si="6"/>
        <v>4.4660479999999998</v>
      </c>
      <c r="I42" s="290">
        <v>148</v>
      </c>
      <c r="J42" s="205">
        <f t="shared" si="0"/>
        <v>2.2330239999999999</v>
      </c>
      <c r="K42" s="290">
        <v>0</v>
      </c>
      <c r="L42" s="205">
        <f>F42*K42</f>
        <v>0</v>
      </c>
      <c r="M42" s="290">
        <v>0</v>
      </c>
      <c r="N42" s="205">
        <f>F42*M42</f>
        <v>0</v>
      </c>
      <c r="O42" s="290">
        <v>0</v>
      </c>
      <c r="P42" s="205">
        <f>F42*O42</f>
        <v>0</v>
      </c>
      <c r="Q42" s="290">
        <v>0</v>
      </c>
      <c r="R42" s="205">
        <f>F42*Q42</f>
        <v>0</v>
      </c>
      <c r="S42" s="39">
        <f t="shared" si="7"/>
        <v>148</v>
      </c>
      <c r="T42" s="38">
        <f t="shared" si="4"/>
        <v>2.2330239999999999</v>
      </c>
      <c r="U42" s="290">
        <v>0</v>
      </c>
      <c r="V42" s="13">
        <f t="shared" si="8"/>
        <v>0</v>
      </c>
      <c r="W42" s="294">
        <f t="shared" si="9"/>
        <v>148</v>
      </c>
      <c r="X42" s="295">
        <f t="shared" si="10"/>
        <v>2.2330239999999999</v>
      </c>
      <c r="Y42" s="238">
        <v>100</v>
      </c>
      <c r="Z42" s="101">
        <v>300</v>
      </c>
    </row>
    <row r="43" spans="1:26" x14ac:dyDescent="0.25">
      <c r="A43" s="264">
        <v>39</v>
      </c>
      <c r="B43" s="256" t="s">
        <v>183</v>
      </c>
      <c r="C43" s="34">
        <v>90</v>
      </c>
      <c r="D43" s="35">
        <v>90</v>
      </c>
      <c r="E43" s="35">
        <v>3</v>
      </c>
      <c r="F43" s="19">
        <f t="shared" si="5"/>
        <v>2.4299999999999999E-2</v>
      </c>
      <c r="G43" s="286">
        <v>148</v>
      </c>
      <c r="H43" s="288">
        <f t="shared" si="6"/>
        <v>3.5963999999999996</v>
      </c>
      <c r="I43" s="290">
        <v>0</v>
      </c>
      <c r="J43" s="205">
        <f t="shared" si="0"/>
        <v>0</v>
      </c>
      <c r="K43" s="290">
        <v>0</v>
      </c>
      <c r="L43" s="205">
        <f t="shared" si="0"/>
        <v>0</v>
      </c>
      <c r="M43" s="290">
        <v>0</v>
      </c>
      <c r="N43" s="21">
        <v>0</v>
      </c>
      <c r="O43" s="290">
        <v>0</v>
      </c>
      <c r="P43" s="21">
        <v>0</v>
      </c>
      <c r="Q43" s="290">
        <v>0</v>
      </c>
      <c r="R43" s="21">
        <v>0</v>
      </c>
      <c r="S43" s="39">
        <f t="shared" si="7"/>
        <v>148</v>
      </c>
      <c r="T43" s="38">
        <f t="shared" si="4"/>
        <v>3.5963999999999996</v>
      </c>
      <c r="U43" s="290">
        <v>0</v>
      </c>
      <c r="V43" s="13">
        <f t="shared" si="8"/>
        <v>0</v>
      </c>
      <c r="W43" s="294">
        <f t="shared" si="9"/>
        <v>148</v>
      </c>
      <c r="X43" s="295">
        <f t="shared" si="10"/>
        <v>3.5963999999999996</v>
      </c>
      <c r="Y43" s="238">
        <v>0</v>
      </c>
      <c r="Z43" s="101">
        <v>0</v>
      </c>
    </row>
    <row r="44" spans="1:26" x14ac:dyDescent="0.25">
      <c r="A44" s="264">
        <v>40</v>
      </c>
      <c r="B44" s="256" t="s">
        <v>168</v>
      </c>
      <c r="C44" s="34">
        <v>140</v>
      </c>
      <c r="D44" s="35">
        <v>240</v>
      </c>
      <c r="E44" s="35">
        <v>3</v>
      </c>
      <c r="F44" s="19">
        <f t="shared" si="5"/>
        <v>0.1008</v>
      </c>
      <c r="G44" s="286">
        <v>0</v>
      </c>
      <c r="H44" s="288">
        <f t="shared" si="6"/>
        <v>0</v>
      </c>
      <c r="I44" s="290">
        <v>0</v>
      </c>
      <c r="J44" s="205">
        <f t="shared" si="0"/>
        <v>0</v>
      </c>
      <c r="K44" s="290">
        <v>0</v>
      </c>
      <c r="L44" s="205">
        <f t="shared" ref="L44:L52" si="18">F44*K44</f>
        <v>0</v>
      </c>
      <c r="M44" s="290">
        <v>0</v>
      </c>
      <c r="N44" s="205">
        <f t="shared" ref="N44:N70" si="19">F44*M44</f>
        <v>0</v>
      </c>
      <c r="O44" s="290">
        <v>0</v>
      </c>
      <c r="P44" s="205">
        <f t="shared" ref="P44:P66" si="20">F44*O44</f>
        <v>0</v>
      </c>
      <c r="Q44" s="290">
        <v>0</v>
      </c>
      <c r="R44" s="205">
        <f t="shared" ref="R44:R58" si="21">F44*Q44</f>
        <v>0</v>
      </c>
      <c r="S44" s="39">
        <f t="shared" si="7"/>
        <v>0</v>
      </c>
      <c r="T44" s="38">
        <f t="shared" si="4"/>
        <v>0</v>
      </c>
      <c r="U44" s="290">
        <v>0</v>
      </c>
      <c r="V44" s="13">
        <f t="shared" si="8"/>
        <v>0</v>
      </c>
      <c r="W44" s="294">
        <f t="shared" si="9"/>
        <v>0</v>
      </c>
      <c r="X44" s="295">
        <f t="shared" si="10"/>
        <v>0</v>
      </c>
      <c r="Y44" s="238">
        <v>0</v>
      </c>
      <c r="Z44" s="101">
        <v>0</v>
      </c>
    </row>
    <row r="45" spans="1:26" x14ac:dyDescent="0.25">
      <c r="A45" s="264">
        <v>41</v>
      </c>
      <c r="B45" s="256" t="s">
        <v>169</v>
      </c>
      <c r="C45" s="34">
        <v>82</v>
      </c>
      <c r="D45" s="34">
        <v>80</v>
      </c>
      <c r="E45" s="34">
        <v>2</v>
      </c>
      <c r="F45" s="19">
        <f t="shared" si="5"/>
        <v>1.312E-2</v>
      </c>
      <c r="G45" s="284">
        <v>786</v>
      </c>
      <c r="H45" s="288">
        <f t="shared" si="6"/>
        <v>10.31232</v>
      </c>
      <c r="I45" s="290">
        <v>0</v>
      </c>
      <c r="J45" s="205">
        <f t="shared" si="0"/>
        <v>0</v>
      </c>
      <c r="K45" s="290">
        <v>0</v>
      </c>
      <c r="L45" s="205">
        <f t="shared" si="18"/>
        <v>0</v>
      </c>
      <c r="M45" s="290">
        <v>0</v>
      </c>
      <c r="N45" s="205">
        <f t="shared" si="19"/>
        <v>0</v>
      </c>
      <c r="O45" s="290">
        <v>0</v>
      </c>
      <c r="P45" s="205">
        <f t="shared" si="20"/>
        <v>0</v>
      </c>
      <c r="Q45" s="290">
        <v>0</v>
      </c>
      <c r="R45" s="205">
        <f t="shared" si="21"/>
        <v>0</v>
      </c>
      <c r="S45" s="39">
        <f t="shared" si="7"/>
        <v>786</v>
      </c>
      <c r="T45" s="38">
        <f t="shared" si="4"/>
        <v>10.31232</v>
      </c>
      <c r="U45" s="290">
        <v>0</v>
      </c>
      <c r="V45" s="13">
        <f t="shared" si="8"/>
        <v>0</v>
      </c>
      <c r="W45" s="294">
        <f t="shared" si="9"/>
        <v>786</v>
      </c>
      <c r="X45" s="295">
        <f t="shared" si="10"/>
        <v>10.31232</v>
      </c>
      <c r="Y45" s="238">
        <v>100</v>
      </c>
      <c r="Z45" s="101">
        <v>300</v>
      </c>
    </row>
    <row r="46" spans="1:26" x14ac:dyDescent="0.25">
      <c r="A46" s="264">
        <v>42</v>
      </c>
      <c r="B46" s="256" t="s">
        <v>170</v>
      </c>
      <c r="C46" s="34">
        <v>90</v>
      </c>
      <c r="D46" s="34">
        <v>83</v>
      </c>
      <c r="E46" s="34">
        <v>2</v>
      </c>
      <c r="F46" s="19">
        <f t="shared" si="5"/>
        <v>1.494E-2</v>
      </c>
      <c r="G46" s="284">
        <v>0</v>
      </c>
      <c r="H46" s="288">
        <f t="shared" si="6"/>
        <v>0</v>
      </c>
      <c r="I46" s="290">
        <v>0</v>
      </c>
      <c r="J46" s="205">
        <f t="shared" si="0"/>
        <v>0</v>
      </c>
      <c r="K46" s="290">
        <v>0</v>
      </c>
      <c r="L46" s="205">
        <f t="shared" si="18"/>
        <v>0</v>
      </c>
      <c r="M46" s="290">
        <v>0</v>
      </c>
      <c r="N46" s="205">
        <f t="shared" si="19"/>
        <v>0</v>
      </c>
      <c r="O46" s="290">
        <v>0</v>
      </c>
      <c r="P46" s="205">
        <f t="shared" si="20"/>
        <v>0</v>
      </c>
      <c r="Q46" s="290">
        <v>0</v>
      </c>
      <c r="R46" s="205">
        <f t="shared" si="21"/>
        <v>0</v>
      </c>
      <c r="S46" s="39">
        <f t="shared" si="7"/>
        <v>0</v>
      </c>
      <c r="T46" s="38">
        <f t="shared" si="4"/>
        <v>0</v>
      </c>
      <c r="U46" s="290">
        <v>0</v>
      </c>
      <c r="V46" s="13">
        <f t="shared" si="8"/>
        <v>0</v>
      </c>
      <c r="W46" s="294">
        <f t="shared" si="9"/>
        <v>0</v>
      </c>
      <c r="X46" s="295">
        <f t="shared" si="10"/>
        <v>0</v>
      </c>
      <c r="Y46" s="238">
        <v>100</v>
      </c>
      <c r="Z46" s="101">
        <v>300</v>
      </c>
    </row>
    <row r="47" spans="1:26" x14ac:dyDescent="0.25">
      <c r="A47" s="264">
        <v>43</v>
      </c>
      <c r="B47" s="256" t="s">
        <v>184</v>
      </c>
      <c r="C47" s="34">
        <v>112</v>
      </c>
      <c r="D47" s="34">
        <v>67</v>
      </c>
      <c r="E47" s="34">
        <v>3</v>
      </c>
      <c r="F47" s="19">
        <f t="shared" si="5"/>
        <v>2.2512000000000001E-2</v>
      </c>
      <c r="G47" s="284">
        <v>63</v>
      </c>
      <c r="H47" s="288">
        <f t="shared" si="6"/>
        <v>1.418256</v>
      </c>
      <c r="I47" s="290">
        <v>0</v>
      </c>
      <c r="J47" s="205">
        <f t="shared" si="0"/>
        <v>0</v>
      </c>
      <c r="K47" s="290">
        <v>0</v>
      </c>
      <c r="L47" s="205">
        <f t="shared" si="18"/>
        <v>0</v>
      </c>
      <c r="M47" s="290">
        <v>0</v>
      </c>
      <c r="N47" s="205">
        <f t="shared" si="19"/>
        <v>0</v>
      </c>
      <c r="O47" s="290">
        <v>0</v>
      </c>
      <c r="P47" s="205">
        <f t="shared" si="20"/>
        <v>0</v>
      </c>
      <c r="Q47" s="290">
        <v>0</v>
      </c>
      <c r="R47" s="205">
        <f t="shared" si="21"/>
        <v>0</v>
      </c>
      <c r="S47" s="39">
        <f t="shared" si="7"/>
        <v>63</v>
      </c>
      <c r="T47" s="38">
        <f t="shared" si="4"/>
        <v>1.418256</v>
      </c>
      <c r="U47" s="290">
        <v>0</v>
      </c>
      <c r="V47" s="13">
        <f t="shared" si="8"/>
        <v>0</v>
      </c>
      <c r="W47" s="294">
        <f t="shared" si="9"/>
        <v>63</v>
      </c>
      <c r="X47" s="295">
        <f t="shared" si="10"/>
        <v>1.418256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189</v>
      </c>
      <c r="C48" s="34">
        <v>70</v>
      </c>
      <c r="D48" s="34">
        <v>54</v>
      </c>
      <c r="E48" s="34">
        <v>7</v>
      </c>
      <c r="F48" s="19">
        <f t="shared" si="5"/>
        <v>2.6460000000000001E-2</v>
      </c>
      <c r="G48" s="284">
        <v>0</v>
      </c>
      <c r="H48" s="288">
        <f t="shared" si="6"/>
        <v>0</v>
      </c>
      <c r="I48" s="290">
        <v>0</v>
      </c>
      <c r="J48" s="205">
        <f t="shared" si="0"/>
        <v>0</v>
      </c>
      <c r="K48" s="290">
        <v>0</v>
      </c>
      <c r="L48" s="205">
        <f t="shared" si="18"/>
        <v>0</v>
      </c>
      <c r="M48" s="290">
        <v>0</v>
      </c>
      <c r="N48" s="205">
        <f t="shared" si="19"/>
        <v>0</v>
      </c>
      <c r="O48" s="290">
        <v>0</v>
      </c>
      <c r="P48" s="205">
        <f t="shared" si="20"/>
        <v>0</v>
      </c>
      <c r="Q48" s="290">
        <v>0</v>
      </c>
      <c r="R48" s="205">
        <f t="shared" si="21"/>
        <v>0</v>
      </c>
      <c r="S48" s="39">
        <f t="shared" si="7"/>
        <v>0</v>
      </c>
      <c r="T48" s="38">
        <f t="shared" si="4"/>
        <v>0</v>
      </c>
      <c r="U48" s="290">
        <v>0</v>
      </c>
      <c r="V48" s="13">
        <f t="shared" si="8"/>
        <v>0</v>
      </c>
      <c r="W48" s="294">
        <f t="shared" si="9"/>
        <v>0</v>
      </c>
      <c r="X48" s="295">
        <f t="shared" si="10"/>
        <v>0</v>
      </c>
      <c r="Y48" s="238">
        <v>0</v>
      </c>
      <c r="Z48" s="101">
        <v>0</v>
      </c>
    </row>
    <row r="49" spans="1:26" x14ac:dyDescent="0.25">
      <c r="A49" s="264">
        <v>45</v>
      </c>
      <c r="B49" s="256" t="s">
        <v>174</v>
      </c>
      <c r="C49" s="34">
        <v>140</v>
      </c>
      <c r="D49" s="34">
        <v>240</v>
      </c>
      <c r="E49" s="34">
        <v>14</v>
      </c>
      <c r="F49" s="19">
        <f t="shared" si="5"/>
        <v>0.47039999999999998</v>
      </c>
      <c r="G49" s="284">
        <v>0</v>
      </c>
      <c r="H49" s="288">
        <f t="shared" si="6"/>
        <v>0</v>
      </c>
      <c r="I49" s="290">
        <v>0</v>
      </c>
      <c r="J49" s="205">
        <f t="shared" si="0"/>
        <v>0</v>
      </c>
      <c r="K49" s="290">
        <v>0</v>
      </c>
      <c r="L49" s="205">
        <f t="shared" si="18"/>
        <v>0</v>
      </c>
      <c r="M49" s="290">
        <v>2</v>
      </c>
      <c r="N49" s="205">
        <f t="shared" si="19"/>
        <v>0.94079999999999997</v>
      </c>
      <c r="O49" s="290">
        <v>0</v>
      </c>
      <c r="P49" s="205">
        <f t="shared" si="20"/>
        <v>0</v>
      </c>
      <c r="Q49" s="290">
        <v>0</v>
      </c>
      <c r="R49" s="205">
        <f t="shared" si="21"/>
        <v>0</v>
      </c>
      <c r="S49" s="39">
        <f t="shared" si="7"/>
        <v>-2</v>
      </c>
      <c r="T49" s="38">
        <f t="shared" si="4"/>
        <v>-0.94079999999999997</v>
      </c>
      <c r="U49" s="290">
        <v>10</v>
      </c>
      <c r="V49" s="13">
        <f t="shared" si="8"/>
        <v>4.7039999999999997</v>
      </c>
      <c r="W49" s="294">
        <f t="shared" si="9"/>
        <v>8</v>
      </c>
      <c r="X49" s="295">
        <f t="shared" si="10"/>
        <v>3.7631999999999999</v>
      </c>
      <c r="Y49" s="238">
        <v>10</v>
      </c>
      <c r="Z49" s="101">
        <v>20</v>
      </c>
    </row>
    <row r="50" spans="1:26" x14ac:dyDescent="0.25">
      <c r="A50" s="264">
        <v>46</v>
      </c>
      <c r="B50" s="256" t="s">
        <v>175</v>
      </c>
      <c r="C50" s="34">
        <v>140</v>
      </c>
      <c r="D50" s="34">
        <v>240</v>
      </c>
      <c r="E50" s="34">
        <v>12</v>
      </c>
      <c r="F50" s="19">
        <f t="shared" si="5"/>
        <v>0.4032</v>
      </c>
      <c r="G50" s="284">
        <v>13</v>
      </c>
      <c r="H50" s="288">
        <f t="shared" si="6"/>
        <v>5.2416</v>
      </c>
      <c r="I50" s="290">
        <v>0</v>
      </c>
      <c r="J50" s="205">
        <f t="shared" si="0"/>
        <v>0</v>
      </c>
      <c r="K50" s="290">
        <v>0</v>
      </c>
      <c r="L50" s="205">
        <f t="shared" si="18"/>
        <v>0</v>
      </c>
      <c r="M50" s="290">
        <v>0</v>
      </c>
      <c r="N50" s="205">
        <f t="shared" si="19"/>
        <v>0</v>
      </c>
      <c r="O50" s="290">
        <v>0</v>
      </c>
      <c r="P50" s="205">
        <f t="shared" si="20"/>
        <v>0</v>
      </c>
      <c r="Q50" s="290">
        <v>0</v>
      </c>
      <c r="R50" s="205">
        <f t="shared" si="21"/>
        <v>0</v>
      </c>
      <c r="S50" s="39">
        <f t="shared" si="7"/>
        <v>13</v>
      </c>
      <c r="T50" s="38">
        <f t="shared" si="4"/>
        <v>5.2416</v>
      </c>
      <c r="U50" s="290">
        <v>0</v>
      </c>
      <c r="V50" s="13">
        <f t="shared" si="8"/>
        <v>0</v>
      </c>
      <c r="W50" s="294">
        <f t="shared" si="9"/>
        <v>13</v>
      </c>
      <c r="X50" s="295">
        <f t="shared" si="10"/>
        <v>5.2416</v>
      </c>
      <c r="Y50" s="238">
        <v>10</v>
      </c>
      <c r="Z50" s="101">
        <v>20</v>
      </c>
    </row>
    <row r="51" spans="1:26" x14ac:dyDescent="0.25">
      <c r="A51" s="264">
        <v>47</v>
      </c>
      <c r="B51" s="256" t="s">
        <v>176</v>
      </c>
      <c r="C51" s="34">
        <v>130</v>
      </c>
      <c r="D51" s="34">
        <v>60</v>
      </c>
      <c r="E51" s="34">
        <v>5</v>
      </c>
      <c r="F51" s="19">
        <f t="shared" si="5"/>
        <v>3.9E-2</v>
      </c>
      <c r="G51" s="284">
        <v>0</v>
      </c>
      <c r="H51" s="288">
        <f t="shared" si="6"/>
        <v>0</v>
      </c>
      <c r="I51" s="290">
        <v>0</v>
      </c>
      <c r="J51" s="205">
        <f t="shared" si="0"/>
        <v>0</v>
      </c>
      <c r="K51" s="290">
        <v>0</v>
      </c>
      <c r="L51" s="205">
        <f t="shared" si="18"/>
        <v>0</v>
      </c>
      <c r="M51" s="290">
        <v>0</v>
      </c>
      <c r="N51" s="205">
        <f t="shared" si="19"/>
        <v>0</v>
      </c>
      <c r="O51" s="290">
        <v>0</v>
      </c>
      <c r="P51" s="205">
        <f t="shared" si="20"/>
        <v>0</v>
      </c>
      <c r="Q51" s="290">
        <v>0</v>
      </c>
      <c r="R51" s="205">
        <f t="shared" si="21"/>
        <v>0</v>
      </c>
      <c r="S51" s="39">
        <f t="shared" si="7"/>
        <v>0</v>
      </c>
      <c r="T51" s="38">
        <f t="shared" si="4"/>
        <v>0</v>
      </c>
      <c r="U51" s="290">
        <v>0</v>
      </c>
      <c r="V51" s="13">
        <f t="shared" si="8"/>
        <v>0</v>
      </c>
      <c r="W51" s="294">
        <f t="shared" si="9"/>
        <v>0</v>
      </c>
      <c r="X51" s="295">
        <f t="shared" si="10"/>
        <v>0</v>
      </c>
      <c r="Y51" s="238">
        <v>30</v>
      </c>
      <c r="Z51" s="101">
        <v>100</v>
      </c>
    </row>
    <row r="52" spans="1:26" x14ac:dyDescent="0.25">
      <c r="A52" s="264">
        <v>48</v>
      </c>
      <c r="B52" s="255" t="s">
        <v>178</v>
      </c>
      <c r="C52" s="34">
        <v>140</v>
      </c>
      <c r="D52" s="34">
        <v>240</v>
      </c>
      <c r="E52" s="34">
        <v>3</v>
      </c>
      <c r="F52" s="19">
        <f t="shared" si="5"/>
        <v>0.1008</v>
      </c>
      <c r="G52" s="284">
        <v>734</v>
      </c>
      <c r="H52" s="288">
        <f t="shared" si="6"/>
        <v>73.987200000000001</v>
      </c>
      <c r="I52" s="290">
        <v>20</v>
      </c>
      <c r="J52" s="205">
        <f t="shared" si="0"/>
        <v>2.016</v>
      </c>
      <c r="K52" s="290">
        <v>10</v>
      </c>
      <c r="L52" s="205">
        <f t="shared" si="18"/>
        <v>1.008</v>
      </c>
      <c r="M52" s="290">
        <v>8</v>
      </c>
      <c r="N52" s="205">
        <f t="shared" si="19"/>
        <v>0.80640000000000001</v>
      </c>
      <c r="O52" s="290">
        <v>8</v>
      </c>
      <c r="P52" s="205">
        <f t="shared" si="20"/>
        <v>0.80640000000000001</v>
      </c>
      <c r="Q52" s="290">
        <v>0</v>
      </c>
      <c r="R52" s="205">
        <f t="shared" si="21"/>
        <v>0</v>
      </c>
      <c r="S52" s="39">
        <f t="shared" si="7"/>
        <v>688</v>
      </c>
      <c r="T52" s="38">
        <f t="shared" si="4"/>
        <v>69.350400000000008</v>
      </c>
      <c r="U52" s="290">
        <v>0</v>
      </c>
      <c r="V52" s="13">
        <f t="shared" si="8"/>
        <v>0</v>
      </c>
      <c r="W52" s="294">
        <f t="shared" si="9"/>
        <v>688</v>
      </c>
      <c r="X52" s="295">
        <f t="shared" si="10"/>
        <v>69.350400000000008</v>
      </c>
      <c r="Y52" s="238">
        <v>100</v>
      </c>
      <c r="Z52" s="101">
        <v>300</v>
      </c>
    </row>
    <row r="53" spans="1:26" x14ac:dyDescent="0.25">
      <c r="A53" s="264">
        <v>49</v>
      </c>
      <c r="B53" s="256" t="s">
        <v>185</v>
      </c>
      <c r="C53" s="34">
        <v>140</v>
      </c>
      <c r="D53" s="34">
        <v>240</v>
      </c>
      <c r="E53" s="34">
        <v>1</v>
      </c>
      <c r="F53" s="19">
        <f t="shared" si="5"/>
        <v>3.3599999999999998E-2</v>
      </c>
      <c r="G53" s="284">
        <v>300</v>
      </c>
      <c r="H53" s="288">
        <f t="shared" si="6"/>
        <v>10.08</v>
      </c>
      <c r="I53" s="290">
        <v>0</v>
      </c>
      <c r="J53" s="205">
        <f t="shared" si="0"/>
        <v>0</v>
      </c>
      <c r="K53" s="290">
        <v>0</v>
      </c>
      <c r="L53" s="205">
        <f>F53*K53</f>
        <v>0</v>
      </c>
      <c r="M53" s="290">
        <v>0</v>
      </c>
      <c r="N53" s="205">
        <f t="shared" si="19"/>
        <v>0</v>
      </c>
      <c r="O53" s="290">
        <v>0</v>
      </c>
      <c r="P53" s="205">
        <f t="shared" si="20"/>
        <v>0</v>
      </c>
      <c r="Q53" s="290">
        <v>0</v>
      </c>
      <c r="R53" s="205">
        <f t="shared" si="21"/>
        <v>0</v>
      </c>
      <c r="S53" s="39">
        <f t="shared" si="7"/>
        <v>300</v>
      </c>
      <c r="T53" s="38">
        <f t="shared" si="4"/>
        <v>10.08</v>
      </c>
      <c r="U53" s="290">
        <v>0</v>
      </c>
      <c r="V53" s="13">
        <f t="shared" si="8"/>
        <v>0</v>
      </c>
      <c r="W53" s="294">
        <f t="shared" si="9"/>
        <v>300</v>
      </c>
      <c r="X53" s="295">
        <f t="shared" si="10"/>
        <v>10.08</v>
      </c>
      <c r="Y53" s="238">
        <v>50</v>
      </c>
      <c r="Z53" s="101">
        <v>0</v>
      </c>
    </row>
    <row r="54" spans="1:26" x14ac:dyDescent="0.25">
      <c r="A54" s="264">
        <v>50</v>
      </c>
      <c r="B54" s="256" t="s">
        <v>186</v>
      </c>
      <c r="C54" s="34">
        <v>140</v>
      </c>
      <c r="D54" s="34">
        <v>240</v>
      </c>
      <c r="E54" s="34">
        <v>3</v>
      </c>
      <c r="F54" s="19">
        <f t="shared" si="5"/>
        <v>0.1008</v>
      </c>
      <c r="G54" s="284">
        <v>44</v>
      </c>
      <c r="H54" s="288">
        <f t="shared" si="6"/>
        <v>4.4352</v>
      </c>
      <c r="I54" s="290">
        <v>0</v>
      </c>
      <c r="J54" s="205">
        <f t="shared" si="0"/>
        <v>0</v>
      </c>
      <c r="K54" s="290">
        <v>1</v>
      </c>
      <c r="L54" s="205">
        <f>F54*K54</f>
        <v>0.1008</v>
      </c>
      <c r="M54" s="290">
        <v>0</v>
      </c>
      <c r="N54" s="205">
        <f t="shared" si="19"/>
        <v>0</v>
      </c>
      <c r="O54" s="290">
        <v>0</v>
      </c>
      <c r="P54" s="205">
        <f t="shared" si="20"/>
        <v>0</v>
      </c>
      <c r="Q54" s="290">
        <v>0</v>
      </c>
      <c r="R54" s="205">
        <f t="shared" si="21"/>
        <v>0</v>
      </c>
      <c r="S54" s="39">
        <f t="shared" si="7"/>
        <v>43</v>
      </c>
      <c r="T54" s="38">
        <f t="shared" si="4"/>
        <v>4.3344000000000005</v>
      </c>
      <c r="U54" s="290">
        <v>0</v>
      </c>
      <c r="V54" s="13">
        <f t="shared" si="8"/>
        <v>0</v>
      </c>
      <c r="W54" s="294">
        <f t="shared" si="9"/>
        <v>43</v>
      </c>
      <c r="X54" s="295">
        <f t="shared" si="10"/>
        <v>4.3344000000000005</v>
      </c>
      <c r="Y54" s="238">
        <v>50</v>
      </c>
      <c r="Z54" s="101">
        <v>0</v>
      </c>
    </row>
    <row r="55" spans="1:26" x14ac:dyDescent="0.25">
      <c r="A55" s="277">
        <v>51</v>
      </c>
      <c r="B55" s="283" t="s">
        <v>187</v>
      </c>
      <c r="C55" s="264">
        <v>140</v>
      </c>
      <c r="D55" s="264">
        <v>240</v>
      </c>
      <c r="E55" s="264">
        <v>5</v>
      </c>
      <c r="F55" s="19">
        <f t="shared" si="5"/>
        <v>0.16800000000000001</v>
      </c>
      <c r="G55" s="296">
        <v>143</v>
      </c>
      <c r="H55" s="299">
        <f t="shared" si="6"/>
        <v>24.024000000000001</v>
      </c>
      <c r="I55" s="290">
        <v>0</v>
      </c>
      <c r="J55" s="205">
        <f t="shared" si="0"/>
        <v>0</v>
      </c>
      <c r="K55" s="290">
        <v>0</v>
      </c>
      <c r="L55" s="205">
        <f>F55*K55</f>
        <v>0</v>
      </c>
      <c r="M55" s="290">
        <v>15</v>
      </c>
      <c r="N55" s="205">
        <f t="shared" si="19"/>
        <v>2.52</v>
      </c>
      <c r="O55" s="290">
        <v>0</v>
      </c>
      <c r="P55" s="205">
        <f t="shared" si="20"/>
        <v>0</v>
      </c>
      <c r="Q55" s="290">
        <v>0</v>
      </c>
      <c r="R55" s="205">
        <f t="shared" si="21"/>
        <v>0</v>
      </c>
      <c r="S55" s="39">
        <f t="shared" si="7"/>
        <v>128</v>
      </c>
      <c r="T55" s="38">
        <f t="shared" si="4"/>
        <v>21.504000000000001</v>
      </c>
      <c r="U55" s="290">
        <v>0</v>
      </c>
      <c r="V55" s="13">
        <f t="shared" si="8"/>
        <v>0</v>
      </c>
      <c r="W55" s="294">
        <f t="shared" si="9"/>
        <v>128</v>
      </c>
      <c r="X55" s="295">
        <f t="shared" si="10"/>
        <v>21.504000000000001</v>
      </c>
      <c r="Y55" s="101">
        <v>30</v>
      </c>
      <c r="Z55" s="101"/>
    </row>
    <row r="56" spans="1:26" x14ac:dyDescent="0.25">
      <c r="A56" s="277">
        <v>52</v>
      </c>
      <c r="B56" s="283" t="s">
        <v>188</v>
      </c>
      <c r="C56" s="264">
        <v>140</v>
      </c>
      <c r="D56" s="264">
        <v>240</v>
      </c>
      <c r="E56" s="264">
        <v>10</v>
      </c>
      <c r="F56" s="19">
        <f t="shared" si="5"/>
        <v>0.33600000000000002</v>
      </c>
      <c r="G56" s="296">
        <v>60</v>
      </c>
      <c r="H56" s="299">
        <f t="shared" si="6"/>
        <v>20.16</v>
      </c>
      <c r="I56" s="290">
        <v>0</v>
      </c>
      <c r="J56" s="205">
        <f t="shared" ref="J56:J69" si="22">F56*I56</f>
        <v>0</v>
      </c>
      <c r="K56" s="290">
        <v>0</v>
      </c>
      <c r="L56" s="205">
        <f>F56*K56</f>
        <v>0</v>
      </c>
      <c r="M56" s="290">
        <v>0</v>
      </c>
      <c r="N56" s="205">
        <f t="shared" si="19"/>
        <v>0</v>
      </c>
      <c r="O56" s="290">
        <v>2</v>
      </c>
      <c r="P56" s="205">
        <f t="shared" si="20"/>
        <v>0.67200000000000004</v>
      </c>
      <c r="Q56" s="290">
        <v>0</v>
      </c>
      <c r="R56" s="205">
        <f t="shared" si="21"/>
        <v>0</v>
      </c>
      <c r="S56" s="39">
        <f t="shared" si="7"/>
        <v>58</v>
      </c>
      <c r="T56" s="38">
        <f t="shared" si="4"/>
        <v>19.488</v>
      </c>
      <c r="U56" s="290">
        <v>0</v>
      </c>
      <c r="V56" s="13">
        <f t="shared" si="8"/>
        <v>0</v>
      </c>
      <c r="W56" s="294">
        <f t="shared" si="9"/>
        <v>58</v>
      </c>
      <c r="X56" s="295">
        <f t="shared" si="10"/>
        <v>19.488</v>
      </c>
      <c r="Y56" s="101">
        <v>20</v>
      </c>
      <c r="Z56" s="101"/>
    </row>
    <row r="57" spans="1:26" x14ac:dyDescent="0.25">
      <c r="A57" s="264">
        <v>53</v>
      </c>
      <c r="B57" s="101" t="s">
        <v>201</v>
      </c>
      <c r="C57" s="264">
        <v>52</v>
      </c>
      <c r="D57" s="264">
        <v>52</v>
      </c>
      <c r="E57" s="264">
        <v>5</v>
      </c>
      <c r="F57" s="19">
        <f t="shared" si="5"/>
        <v>1.3520000000000001E-2</v>
      </c>
      <c r="G57" s="296">
        <v>53</v>
      </c>
      <c r="H57" s="299">
        <f t="shared" si="6"/>
        <v>0.71656000000000009</v>
      </c>
      <c r="I57" s="290">
        <v>0</v>
      </c>
      <c r="J57" s="205">
        <f t="shared" si="22"/>
        <v>0</v>
      </c>
      <c r="K57" s="290">
        <v>0</v>
      </c>
      <c r="L57" s="205">
        <f t="shared" ref="L57:L65" si="23">F57*K57</f>
        <v>0</v>
      </c>
      <c r="M57" s="290">
        <v>0</v>
      </c>
      <c r="N57" s="205">
        <f t="shared" si="19"/>
        <v>0</v>
      </c>
      <c r="O57" s="290">
        <v>0</v>
      </c>
      <c r="P57" s="205">
        <f t="shared" si="20"/>
        <v>0</v>
      </c>
      <c r="Q57" s="290">
        <v>0</v>
      </c>
      <c r="R57" s="205">
        <f t="shared" si="21"/>
        <v>0</v>
      </c>
      <c r="S57" s="39">
        <f t="shared" si="7"/>
        <v>53</v>
      </c>
      <c r="T57" s="38">
        <f t="shared" si="4"/>
        <v>0.71656000000000009</v>
      </c>
      <c r="U57" s="290">
        <v>0</v>
      </c>
      <c r="V57" s="13">
        <f t="shared" si="8"/>
        <v>0</v>
      </c>
      <c r="W57" s="294">
        <f t="shared" si="9"/>
        <v>53</v>
      </c>
      <c r="X57" s="295">
        <f t="shared" si="10"/>
        <v>0.71656000000000009</v>
      </c>
      <c r="Y57" s="101"/>
      <c r="Z57" s="101"/>
    </row>
    <row r="58" spans="1:26" x14ac:dyDescent="0.25">
      <c r="A58" s="264">
        <v>54</v>
      </c>
      <c r="B58" s="101" t="s">
        <v>193</v>
      </c>
      <c r="C58" s="264">
        <v>80</v>
      </c>
      <c r="D58" s="264">
        <v>75</v>
      </c>
      <c r="E58" s="264">
        <v>5</v>
      </c>
      <c r="F58" s="19">
        <f t="shared" si="5"/>
        <v>0.03</v>
      </c>
      <c r="G58" s="264">
        <v>170</v>
      </c>
      <c r="H58" s="299">
        <f t="shared" si="6"/>
        <v>5.0999999999999996</v>
      </c>
      <c r="I58" s="290">
        <v>0</v>
      </c>
      <c r="J58" s="205">
        <f t="shared" si="22"/>
        <v>0</v>
      </c>
      <c r="K58" s="290">
        <v>0</v>
      </c>
      <c r="L58" s="205">
        <f t="shared" si="23"/>
        <v>0</v>
      </c>
      <c r="M58" s="290">
        <v>0</v>
      </c>
      <c r="N58" s="205">
        <f t="shared" si="19"/>
        <v>0</v>
      </c>
      <c r="O58" s="290">
        <v>0</v>
      </c>
      <c r="P58" s="205">
        <f t="shared" si="20"/>
        <v>0</v>
      </c>
      <c r="Q58" s="290">
        <v>0</v>
      </c>
      <c r="R58" s="205">
        <f t="shared" si="21"/>
        <v>0</v>
      </c>
      <c r="S58" s="39">
        <f t="shared" si="7"/>
        <v>170</v>
      </c>
      <c r="T58" s="38">
        <f t="shared" si="4"/>
        <v>5.0999999999999996</v>
      </c>
      <c r="U58" s="290">
        <v>0</v>
      </c>
      <c r="V58" s="308">
        <f t="shared" si="8"/>
        <v>0</v>
      </c>
      <c r="W58" s="294">
        <f t="shared" si="9"/>
        <v>170</v>
      </c>
      <c r="X58" s="300">
        <f t="shared" si="10"/>
        <v>5.0999999999999996</v>
      </c>
      <c r="Y58" s="101"/>
      <c r="Z58" s="101"/>
    </row>
    <row r="59" spans="1:26" x14ac:dyDescent="0.25">
      <c r="A59" s="264">
        <v>55</v>
      </c>
      <c r="B59" s="101" t="s">
        <v>194</v>
      </c>
      <c r="C59" s="264">
        <v>58</v>
      </c>
      <c r="D59" s="264">
        <v>25</v>
      </c>
      <c r="E59" s="264">
        <v>3</v>
      </c>
      <c r="F59" s="298">
        <f t="shared" si="5"/>
        <v>4.3499999999999997E-3</v>
      </c>
      <c r="G59" s="264">
        <v>0</v>
      </c>
      <c r="H59" s="299">
        <f t="shared" si="6"/>
        <v>0</v>
      </c>
      <c r="I59" s="290">
        <v>0</v>
      </c>
      <c r="J59" s="205">
        <f t="shared" si="22"/>
        <v>0</v>
      </c>
      <c r="K59" s="290">
        <v>0</v>
      </c>
      <c r="L59" s="205">
        <f t="shared" si="23"/>
        <v>0</v>
      </c>
      <c r="M59" s="290">
        <v>0</v>
      </c>
      <c r="N59" s="205">
        <f t="shared" si="19"/>
        <v>0</v>
      </c>
      <c r="O59" s="290">
        <v>0</v>
      </c>
      <c r="P59" s="205">
        <f t="shared" si="20"/>
        <v>0</v>
      </c>
      <c r="Q59" s="290">
        <v>0</v>
      </c>
      <c r="R59" s="205">
        <f>F59*Q59</f>
        <v>0</v>
      </c>
      <c r="S59" s="39">
        <f t="shared" si="7"/>
        <v>0</v>
      </c>
      <c r="T59" s="38">
        <f t="shared" si="4"/>
        <v>0</v>
      </c>
      <c r="U59" s="290">
        <v>0</v>
      </c>
      <c r="V59" s="309">
        <f t="shared" si="8"/>
        <v>0</v>
      </c>
      <c r="W59" s="294">
        <f t="shared" si="9"/>
        <v>0</v>
      </c>
      <c r="X59" s="300">
        <f t="shared" si="10"/>
        <v>0</v>
      </c>
      <c r="Y59" s="101"/>
      <c r="Z59" s="101"/>
    </row>
    <row r="60" spans="1:26" x14ac:dyDescent="0.25">
      <c r="A60" s="264">
        <v>56</v>
      </c>
      <c r="B60" s="101" t="s">
        <v>195</v>
      </c>
      <c r="C60" s="264">
        <v>64</v>
      </c>
      <c r="D60" s="264">
        <v>58</v>
      </c>
      <c r="E60" s="264">
        <v>5</v>
      </c>
      <c r="F60" s="298">
        <f t="shared" si="5"/>
        <v>1.856E-2</v>
      </c>
      <c r="G60" s="264">
        <v>116</v>
      </c>
      <c r="H60" s="299">
        <f t="shared" si="6"/>
        <v>2.1529600000000002</v>
      </c>
      <c r="I60" s="290">
        <v>0</v>
      </c>
      <c r="J60" s="205">
        <f t="shared" si="22"/>
        <v>0</v>
      </c>
      <c r="K60" s="290">
        <v>0</v>
      </c>
      <c r="L60" s="205">
        <f t="shared" si="23"/>
        <v>0</v>
      </c>
      <c r="M60" s="290">
        <v>0</v>
      </c>
      <c r="N60" s="205">
        <f t="shared" si="19"/>
        <v>0</v>
      </c>
      <c r="O60" s="290">
        <v>0</v>
      </c>
      <c r="P60" s="205">
        <f t="shared" si="20"/>
        <v>0</v>
      </c>
      <c r="Q60" s="290">
        <v>0</v>
      </c>
      <c r="R60" s="205">
        <f t="shared" ref="R60:R65" si="24">F60*Q60</f>
        <v>0</v>
      </c>
      <c r="S60" s="39">
        <f t="shared" si="7"/>
        <v>116</v>
      </c>
      <c r="T60" s="38">
        <f t="shared" si="4"/>
        <v>2.1529600000000002</v>
      </c>
      <c r="U60" s="290">
        <v>0</v>
      </c>
      <c r="V60" s="309">
        <f t="shared" si="8"/>
        <v>0</v>
      </c>
      <c r="W60" s="294">
        <f t="shared" si="9"/>
        <v>116</v>
      </c>
      <c r="X60" s="301">
        <f t="shared" si="10"/>
        <v>2.1529600000000002</v>
      </c>
      <c r="Y60" s="101"/>
      <c r="Z60" s="101"/>
    </row>
    <row r="61" spans="1:26" x14ac:dyDescent="0.25">
      <c r="A61" s="264">
        <v>57</v>
      </c>
      <c r="B61" s="101" t="s">
        <v>197</v>
      </c>
      <c r="C61" s="264">
        <v>65</v>
      </c>
      <c r="D61" s="264">
        <v>65</v>
      </c>
      <c r="E61" s="264">
        <v>5</v>
      </c>
      <c r="F61" s="101">
        <f t="shared" si="5"/>
        <v>2.1125000000000001E-2</v>
      </c>
      <c r="G61" s="264">
        <v>252</v>
      </c>
      <c r="H61" s="299">
        <f t="shared" si="6"/>
        <v>5.3235000000000001</v>
      </c>
      <c r="I61" s="290">
        <v>0</v>
      </c>
      <c r="J61" s="205">
        <f t="shared" si="22"/>
        <v>0</v>
      </c>
      <c r="K61" s="290">
        <v>0</v>
      </c>
      <c r="L61" s="205">
        <f t="shared" si="23"/>
        <v>0</v>
      </c>
      <c r="M61" s="290">
        <v>0</v>
      </c>
      <c r="N61" s="174">
        <f t="shared" si="19"/>
        <v>0</v>
      </c>
      <c r="O61" s="290">
        <v>0</v>
      </c>
      <c r="P61" s="205">
        <f t="shared" si="20"/>
        <v>0</v>
      </c>
      <c r="Q61" s="290">
        <v>0</v>
      </c>
      <c r="R61" s="205">
        <f t="shared" si="24"/>
        <v>0</v>
      </c>
      <c r="S61" s="39">
        <f t="shared" si="7"/>
        <v>252</v>
      </c>
      <c r="T61" s="38">
        <f t="shared" si="4"/>
        <v>5.3235000000000001</v>
      </c>
      <c r="U61" s="290">
        <v>0</v>
      </c>
      <c r="V61" s="309">
        <f t="shared" si="8"/>
        <v>0</v>
      </c>
      <c r="W61" s="294">
        <f t="shared" si="9"/>
        <v>252</v>
      </c>
      <c r="X61" s="300">
        <f t="shared" si="10"/>
        <v>5.3235000000000001</v>
      </c>
      <c r="Y61" s="101"/>
      <c r="Z61" s="101"/>
    </row>
    <row r="62" spans="1:26" x14ac:dyDescent="0.25">
      <c r="A62" s="264">
        <v>58</v>
      </c>
      <c r="B62" s="101" t="s">
        <v>198</v>
      </c>
      <c r="C62" s="264">
        <v>83</v>
      </c>
      <c r="D62" s="264">
        <v>55</v>
      </c>
      <c r="E62" s="264">
        <v>3</v>
      </c>
      <c r="F62" s="101">
        <f t="shared" si="5"/>
        <v>1.3695000000000001E-2</v>
      </c>
      <c r="G62" s="264">
        <v>225</v>
      </c>
      <c r="H62" s="299">
        <f t="shared" si="6"/>
        <v>3.081375</v>
      </c>
      <c r="I62" s="290">
        <v>0</v>
      </c>
      <c r="J62" s="205">
        <f t="shared" si="22"/>
        <v>0</v>
      </c>
      <c r="K62" s="290">
        <v>0</v>
      </c>
      <c r="L62" s="205">
        <f t="shared" si="23"/>
        <v>0</v>
      </c>
      <c r="M62" s="290">
        <v>0</v>
      </c>
      <c r="N62" s="174">
        <f t="shared" si="19"/>
        <v>0</v>
      </c>
      <c r="O62" s="290">
        <v>0</v>
      </c>
      <c r="P62" s="205">
        <f t="shared" si="20"/>
        <v>0</v>
      </c>
      <c r="Q62" s="290">
        <v>0</v>
      </c>
      <c r="R62" s="205">
        <f t="shared" si="24"/>
        <v>0</v>
      </c>
      <c r="S62" s="39">
        <f t="shared" si="7"/>
        <v>225</v>
      </c>
      <c r="T62" s="38">
        <f t="shared" si="4"/>
        <v>3.081375</v>
      </c>
      <c r="U62" s="290">
        <v>0</v>
      </c>
      <c r="V62" s="309">
        <f t="shared" si="8"/>
        <v>0</v>
      </c>
      <c r="W62" s="294">
        <f t="shared" si="9"/>
        <v>225</v>
      </c>
      <c r="X62" s="300">
        <f t="shared" si="10"/>
        <v>3.081375</v>
      </c>
      <c r="Y62" s="101"/>
      <c r="Z62" s="101"/>
    </row>
    <row r="63" spans="1:26" x14ac:dyDescent="0.25">
      <c r="A63" s="264">
        <v>59</v>
      </c>
      <c r="B63" s="101" t="s">
        <v>199</v>
      </c>
      <c r="C63" s="264">
        <v>75</v>
      </c>
      <c r="D63" s="264">
        <v>55</v>
      </c>
      <c r="E63" s="264">
        <v>3</v>
      </c>
      <c r="F63" s="101">
        <f t="shared" si="5"/>
        <v>1.2375000000000001E-2</v>
      </c>
      <c r="G63" s="264">
        <v>184</v>
      </c>
      <c r="H63" s="299">
        <f t="shared" si="6"/>
        <v>2.2770000000000001</v>
      </c>
      <c r="I63" s="290">
        <v>0</v>
      </c>
      <c r="J63" s="205">
        <f t="shared" si="22"/>
        <v>0</v>
      </c>
      <c r="K63" s="290">
        <v>0</v>
      </c>
      <c r="L63" s="205">
        <f t="shared" si="23"/>
        <v>0</v>
      </c>
      <c r="M63" s="290">
        <v>0</v>
      </c>
      <c r="N63" s="174">
        <f t="shared" si="19"/>
        <v>0</v>
      </c>
      <c r="O63" s="290">
        <v>0</v>
      </c>
      <c r="P63" s="205">
        <f t="shared" si="20"/>
        <v>0</v>
      </c>
      <c r="Q63" s="290">
        <v>0</v>
      </c>
      <c r="R63" s="205">
        <f t="shared" si="24"/>
        <v>0</v>
      </c>
      <c r="S63" s="39">
        <f t="shared" si="7"/>
        <v>184</v>
      </c>
      <c r="T63" s="38">
        <f t="shared" si="4"/>
        <v>2.2770000000000001</v>
      </c>
      <c r="U63" s="290">
        <v>0</v>
      </c>
      <c r="V63" s="309">
        <f t="shared" si="8"/>
        <v>0</v>
      </c>
      <c r="W63" s="294">
        <f t="shared" si="9"/>
        <v>184</v>
      </c>
      <c r="X63" s="300">
        <f t="shared" si="10"/>
        <v>2.2770000000000001</v>
      </c>
      <c r="Y63" s="101"/>
      <c r="Z63" s="101"/>
    </row>
    <row r="64" spans="1:26" x14ac:dyDescent="0.25">
      <c r="A64" s="264">
        <v>60</v>
      </c>
      <c r="B64" s="101" t="s">
        <v>200</v>
      </c>
      <c r="C64" s="264">
        <v>58</v>
      </c>
      <c r="D64" s="264">
        <v>19</v>
      </c>
      <c r="E64" s="264">
        <v>3</v>
      </c>
      <c r="F64" s="101">
        <f t="shared" si="5"/>
        <v>3.3059999999999999E-3</v>
      </c>
      <c r="G64" s="264">
        <v>180</v>
      </c>
      <c r="H64" s="299">
        <f t="shared" si="6"/>
        <v>0.59507999999999994</v>
      </c>
      <c r="I64" s="290">
        <v>0</v>
      </c>
      <c r="J64" s="205">
        <f t="shared" si="22"/>
        <v>0</v>
      </c>
      <c r="K64" s="290">
        <v>0</v>
      </c>
      <c r="L64" s="205">
        <f t="shared" si="23"/>
        <v>0</v>
      </c>
      <c r="M64" s="290">
        <v>0</v>
      </c>
      <c r="N64" s="174">
        <f t="shared" si="19"/>
        <v>0</v>
      </c>
      <c r="O64" s="290">
        <v>0</v>
      </c>
      <c r="P64" s="205">
        <f t="shared" si="20"/>
        <v>0</v>
      </c>
      <c r="Q64" s="290">
        <v>0</v>
      </c>
      <c r="R64" s="205">
        <f t="shared" si="24"/>
        <v>0</v>
      </c>
      <c r="S64" s="39">
        <f t="shared" si="7"/>
        <v>180</v>
      </c>
      <c r="T64" s="38">
        <f t="shared" si="4"/>
        <v>0.59507999999999994</v>
      </c>
      <c r="U64" s="290">
        <v>0</v>
      </c>
      <c r="V64" s="309">
        <f t="shared" si="8"/>
        <v>0</v>
      </c>
      <c r="W64" s="294">
        <f t="shared" si="9"/>
        <v>180</v>
      </c>
      <c r="X64" s="300">
        <f t="shared" si="10"/>
        <v>0.59507999999999994</v>
      </c>
      <c r="Y64" s="101"/>
      <c r="Z64" s="101"/>
    </row>
    <row r="65" spans="1:26" x14ac:dyDescent="0.25">
      <c r="A65" s="264">
        <v>61</v>
      </c>
      <c r="B65" s="101" t="s">
        <v>202</v>
      </c>
      <c r="C65" s="264">
        <v>140</v>
      </c>
      <c r="D65" s="264">
        <v>240</v>
      </c>
      <c r="E65" s="264">
        <v>4</v>
      </c>
      <c r="F65" s="101">
        <f t="shared" si="5"/>
        <v>0.13439999999999999</v>
      </c>
      <c r="G65" s="264">
        <v>12</v>
      </c>
      <c r="H65" s="299">
        <f t="shared" si="6"/>
        <v>1.6128</v>
      </c>
      <c r="I65" s="290">
        <v>0</v>
      </c>
      <c r="J65" s="205">
        <f t="shared" si="22"/>
        <v>0</v>
      </c>
      <c r="K65" s="290">
        <v>0</v>
      </c>
      <c r="L65" s="205">
        <f t="shared" si="23"/>
        <v>0</v>
      </c>
      <c r="M65" s="290">
        <v>0</v>
      </c>
      <c r="N65" s="174">
        <f t="shared" si="19"/>
        <v>0</v>
      </c>
      <c r="O65" s="290">
        <v>2</v>
      </c>
      <c r="P65" s="205">
        <f t="shared" si="20"/>
        <v>0.26879999999999998</v>
      </c>
      <c r="Q65" s="290">
        <v>0</v>
      </c>
      <c r="R65" s="205">
        <f t="shared" si="24"/>
        <v>0</v>
      </c>
      <c r="S65" s="39">
        <f t="shared" si="7"/>
        <v>10</v>
      </c>
      <c r="T65" s="38">
        <f t="shared" si="4"/>
        <v>1.3439999999999999</v>
      </c>
      <c r="U65" s="290">
        <v>0</v>
      </c>
      <c r="V65" s="309">
        <f t="shared" si="8"/>
        <v>0</v>
      </c>
      <c r="W65" s="294">
        <f t="shared" si="9"/>
        <v>10</v>
      </c>
      <c r="X65" s="300">
        <f t="shared" si="10"/>
        <v>1.3439999999999999</v>
      </c>
      <c r="Y65" s="101"/>
      <c r="Z65" s="101"/>
    </row>
    <row r="66" spans="1:26" x14ac:dyDescent="0.25">
      <c r="A66" s="264">
        <v>62</v>
      </c>
      <c r="B66" s="101" t="s">
        <v>203</v>
      </c>
      <c r="C66" s="264">
        <v>50</v>
      </c>
      <c r="D66" s="264">
        <v>46.5</v>
      </c>
      <c r="E66" s="264">
        <v>3</v>
      </c>
      <c r="F66" s="101">
        <f t="shared" si="5"/>
        <v>6.9750000000000003E-3</v>
      </c>
      <c r="G66" s="264">
        <v>970</v>
      </c>
      <c r="H66" s="289">
        <f t="shared" si="6"/>
        <v>6.7657500000000006</v>
      </c>
      <c r="I66" s="290">
        <v>30</v>
      </c>
      <c r="J66" s="205">
        <f t="shared" si="22"/>
        <v>0.20925000000000002</v>
      </c>
      <c r="K66" s="290">
        <v>0</v>
      </c>
      <c r="L66" s="101"/>
      <c r="M66" s="290">
        <v>0</v>
      </c>
      <c r="N66" s="264">
        <f t="shared" si="19"/>
        <v>0</v>
      </c>
      <c r="O66" s="290">
        <v>122</v>
      </c>
      <c r="P66" s="264">
        <f t="shared" si="20"/>
        <v>0.85094999999999998</v>
      </c>
      <c r="Q66" s="290">
        <v>0</v>
      </c>
      <c r="R66" s="101"/>
      <c r="S66" s="39">
        <f t="shared" si="7"/>
        <v>818</v>
      </c>
      <c r="T66" s="38">
        <f t="shared" si="4"/>
        <v>5.7055500000000006</v>
      </c>
      <c r="U66" s="290">
        <v>0</v>
      </c>
      <c r="V66" s="309">
        <f t="shared" si="8"/>
        <v>0</v>
      </c>
      <c r="W66" s="294">
        <f t="shared" si="9"/>
        <v>818</v>
      </c>
      <c r="X66" s="300">
        <f t="shared" si="10"/>
        <v>5.7055500000000006</v>
      </c>
      <c r="Y66" s="101"/>
      <c r="Z66" s="101"/>
    </row>
    <row r="67" spans="1:26" x14ac:dyDescent="0.25">
      <c r="A67" s="264">
        <v>63</v>
      </c>
      <c r="B67" s="101" t="s">
        <v>204</v>
      </c>
      <c r="C67" s="264">
        <v>50</v>
      </c>
      <c r="D67" s="264">
        <v>35</v>
      </c>
      <c r="E67" s="264">
        <v>3</v>
      </c>
      <c r="F67" s="101">
        <f t="shared" si="5"/>
        <v>5.2500000000000003E-3</v>
      </c>
      <c r="G67" s="264">
        <v>1320</v>
      </c>
      <c r="H67" s="289">
        <f t="shared" si="6"/>
        <v>6.9300000000000006</v>
      </c>
      <c r="I67" s="290">
        <v>30</v>
      </c>
      <c r="J67" s="205">
        <f t="shared" si="22"/>
        <v>0.1575</v>
      </c>
      <c r="K67" s="290">
        <v>0</v>
      </c>
      <c r="L67" s="205">
        <f t="shared" ref="L67" si="25">F67*K67</f>
        <v>0</v>
      </c>
      <c r="M67" s="290">
        <v>0</v>
      </c>
      <c r="N67" s="264">
        <f t="shared" si="19"/>
        <v>0</v>
      </c>
      <c r="O67" s="290">
        <v>150</v>
      </c>
      <c r="P67" s="264"/>
      <c r="Q67" s="290">
        <v>0</v>
      </c>
      <c r="R67" s="264"/>
      <c r="S67" s="39">
        <f t="shared" si="7"/>
        <v>1140</v>
      </c>
      <c r="T67" s="38">
        <f t="shared" si="4"/>
        <v>5.9850000000000003</v>
      </c>
      <c r="U67" s="290">
        <v>0</v>
      </c>
      <c r="V67" s="309">
        <f t="shared" si="8"/>
        <v>0</v>
      </c>
      <c r="W67" s="294">
        <f t="shared" si="9"/>
        <v>1140</v>
      </c>
      <c r="X67" s="300">
        <f t="shared" si="10"/>
        <v>5.9850000000000003</v>
      </c>
      <c r="Y67" s="101"/>
      <c r="Z67" s="101"/>
    </row>
    <row r="68" spans="1:26" x14ac:dyDescent="0.25">
      <c r="A68" s="264">
        <v>64</v>
      </c>
      <c r="B68" s="101" t="s">
        <v>205</v>
      </c>
      <c r="C68" s="264">
        <v>140</v>
      </c>
      <c r="D68" s="264">
        <v>240</v>
      </c>
      <c r="E68" s="264">
        <v>8</v>
      </c>
      <c r="F68" s="101">
        <f t="shared" si="5"/>
        <v>0.26879999999999998</v>
      </c>
      <c r="G68" s="264">
        <v>1</v>
      </c>
      <c r="H68" s="289">
        <f t="shared" si="6"/>
        <v>0.26879999999999998</v>
      </c>
      <c r="I68" s="290">
        <v>0</v>
      </c>
      <c r="J68" s="264">
        <f t="shared" si="22"/>
        <v>0</v>
      </c>
      <c r="K68" s="290">
        <v>0</v>
      </c>
      <c r="L68" s="264"/>
      <c r="M68" s="290">
        <v>0</v>
      </c>
      <c r="N68" s="264">
        <v>0</v>
      </c>
      <c r="O68" s="290">
        <v>0</v>
      </c>
      <c r="P68" s="264"/>
      <c r="Q68" s="290">
        <v>0</v>
      </c>
      <c r="R68" s="264">
        <v>0</v>
      </c>
      <c r="S68" s="39">
        <f t="shared" si="7"/>
        <v>1</v>
      </c>
      <c r="T68" s="38">
        <f t="shared" si="4"/>
        <v>0.26879999999999998</v>
      </c>
      <c r="U68" s="290">
        <v>0</v>
      </c>
      <c r="V68" s="309">
        <v>0</v>
      </c>
      <c r="W68" s="294">
        <f t="shared" si="9"/>
        <v>1</v>
      </c>
      <c r="X68" s="300">
        <f t="shared" si="10"/>
        <v>0.26879999999999998</v>
      </c>
      <c r="Y68" s="101"/>
      <c r="Z68" s="101"/>
    </row>
    <row r="69" spans="1:26" x14ac:dyDescent="0.25">
      <c r="A69" s="264">
        <v>65</v>
      </c>
      <c r="B69" s="101" t="s">
        <v>206</v>
      </c>
      <c r="C69" s="264">
        <v>140</v>
      </c>
      <c r="D69" s="264">
        <v>240</v>
      </c>
      <c r="E69" s="264">
        <v>2</v>
      </c>
      <c r="F69" s="101">
        <f t="shared" si="5"/>
        <v>6.7199999999999996E-2</v>
      </c>
      <c r="G69" s="264">
        <v>36</v>
      </c>
      <c r="H69" s="289">
        <f t="shared" si="6"/>
        <v>2.4192</v>
      </c>
      <c r="I69" s="290">
        <v>0</v>
      </c>
      <c r="J69" s="264">
        <f t="shared" si="22"/>
        <v>0</v>
      </c>
      <c r="K69" s="290">
        <v>0</v>
      </c>
      <c r="L69" s="264"/>
      <c r="M69" s="290">
        <v>0</v>
      </c>
      <c r="N69" s="174">
        <v>0</v>
      </c>
      <c r="O69" s="290">
        <v>15</v>
      </c>
      <c r="P69" s="264">
        <f t="shared" ref="P69" si="26">F69*O69</f>
        <v>1.008</v>
      </c>
      <c r="Q69" s="290">
        <v>0</v>
      </c>
      <c r="R69" s="205">
        <f t="shared" ref="R69" si="27">F69*Q69</f>
        <v>0</v>
      </c>
      <c r="S69" s="39">
        <f t="shared" si="7"/>
        <v>21</v>
      </c>
      <c r="T69" s="38">
        <f t="shared" ref="T69:T70" si="28">F69*S69</f>
        <v>1.4112</v>
      </c>
      <c r="U69" s="290">
        <v>0</v>
      </c>
      <c r="V69" s="309">
        <v>0</v>
      </c>
      <c r="W69" s="294">
        <f t="shared" si="9"/>
        <v>21</v>
      </c>
      <c r="X69" s="300">
        <f t="shared" si="10"/>
        <v>1.4112</v>
      </c>
      <c r="Y69" s="101"/>
      <c r="Z69" s="101"/>
    </row>
    <row r="70" spans="1:26" x14ac:dyDescent="0.25">
      <c r="A70" s="264">
        <v>66</v>
      </c>
      <c r="B70" s="101"/>
      <c r="C70" s="264"/>
      <c r="D70" s="264"/>
      <c r="E70" s="264"/>
      <c r="F70" s="101"/>
      <c r="G70" s="264"/>
      <c r="H70" s="289"/>
      <c r="I70" s="290">
        <v>0</v>
      </c>
      <c r="J70" s="264"/>
      <c r="K70" s="290">
        <v>0</v>
      </c>
      <c r="L70" s="264"/>
      <c r="M70" s="290">
        <v>0</v>
      </c>
      <c r="N70" s="264">
        <f t="shared" si="19"/>
        <v>0</v>
      </c>
      <c r="O70" s="290">
        <v>0</v>
      </c>
      <c r="P70" s="264"/>
      <c r="Q70" s="290">
        <v>0</v>
      </c>
      <c r="R70" s="264"/>
      <c r="S70" s="39">
        <f t="shared" ref="S70" si="29">G70-I70-K70-M70-O70-Q70</f>
        <v>0</v>
      </c>
      <c r="T70" s="38">
        <f t="shared" si="28"/>
        <v>0</v>
      </c>
      <c r="U70" s="290">
        <v>0</v>
      </c>
      <c r="V70" s="309">
        <f t="shared" ref="V70" si="30">F70*U70</f>
        <v>0</v>
      </c>
      <c r="W70" s="294">
        <f t="shared" ref="W70" si="31">S70+U70</f>
        <v>0</v>
      </c>
      <c r="X70" s="300">
        <f t="shared" ref="X70" si="32">F70*W70</f>
        <v>0</v>
      </c>
      <c r="Y70" s="101"/>
      <c r="Z70" s="101"/>
    </row>
    <row r="71" spans="1:26" x14ac:dyDescent="0.2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spans="1:26" x14ac:dyDescent="0.2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1:26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1:26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1:26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1:26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1:26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1:26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</sheetData>
  <mergeCells count="24">
    <mergeCell ref="C1:H1"/>
    <mergeCell ref="G2:H3"/>
    <mergeCell ref="I2:J2"/>
    <mergeCell ref="K2:L2"/>
    <mergeCell ref="M2:N2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S4:T4"/>
    <mergeCell ref="U4:V4"/>
    <mergeCell ref="W4:X4"/>
    <mergeCell ref="G4:H4"/>
    <mergeCell ref="I4:J4"/>
    <mergeCell ref="K4:L4"/>
    <mergeCell ref="M4:N4"/>
    <mergeCell ref="O4:P4"/>
    <mergeCell ref="Q4:R4"/>
  </mergeCell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243AE-F6BE-4972-8D3B-A59E69C1CCE9}">
  <dimension ref="A1:Z78"/>
  <sheetViews>
    <sheetView workbookViewId="0">
      <selection activeCell="W23" sqref="W23"/>
    </sheetView>
  </sheetViews>
  <sheetFormatPr defaultRowHeight="15" x14ac:dyDescent="0.25"/>
  <cols>
    <col min="1" max="1" width="5" customWidth="1"/>
    <col min="2" max="2" width="31.85546875" style="3" customWidth="1"/>
    <col min="3" max="3" width="4.7109375" style="2" hidden="1" customWidth="1"/>
    <col min="4" max="4" width="7.28515625" style="2" hidden="1" customWidth="1"/>
    <col min="5" max="5" width="5.85546875" style="2" hidden="1" customWidth="1"/>
    <col min="6" max="6" width="8" style="4" hidden="1" customWidth="1"/>
    <col min="7" max="7" width="7.5703125" style="5" customWidth="1"/>
    <col min="8" max="8" width="9" style="5" customWidth="1"/>
    <col min="9" max="9" width="6" style="2" customWidth="1"/>
    <col min="10" max="10" width="7.140625" style="2" customWidth="1"/>
    <col min="11" max="11" width="6.28515625" style="2" customWidth="1"/>
    <col min="12" max="12" width="8" style="2" customWidth="1"/>
    <col min="13" max="20" width="6.42578125" style="2" customWidth="1"/>
    <col min="21" max="24" width="6.42578125" customWidth="1"/>
    <col min="25" max="25" width="10.28515625" customWidth="1"/>
  </cols>
  <sheetData>
    <row r="1" spans="1:26" ht="15.75" thickBot="1" x14ac:dyDescent="0.3">
      <c r="B1" s="4" t="s">
        <v>18</v>
      </c>
      <c r="C1" s="384" t="s">
        <v>212</v>
      </c>
      <c r="D1" s="320"/>
      <c r="E1" s="320"/>
      <c r="F1" s="320"/>
      <c r="G1" s="320"/>
      <c r="H1" s="320"/>
      <c r="Y1" s="314">
        <v>45656</v>
      </c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45814</v>
      </c>
      <c r="J2" s="326"/>
      <c r="K2" s="327">
        <v>45821</v>
      </c>
      <c r="L2" s="328"/>
      <c r="M2" s="325">
        <v>45828</v>
      </c>
      <c r="N2" s="329"/>
      <c r="O2" s="327">
        <v>45835</v>
      </c>
      <c r="P2" s="346"/>
      <c r="Q2" s="325">
        <v>45838</v>
      </c>
      <c r="R2" s="329"/>
      <c r="S2" s="330" t="s">
        <v>69</v>
      </c>
      <c r="T2" s="331"/>
      <c r="U2" s="334" t="s">
        <v>70</v>
      </c>
      <c r="V2" s="335"/>
      <c r="W2" s="385" t="s">
        <v>71</v>
      </c>
      <c r="X2" s="386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87"/>
      <c r="X3" s="388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89" t="s">
        <v>63</v>
      </c>
      <c r="X4" s="390"/>
      <c r="Y4" s="268" t="s">
        <v>179</v>
      </c>
      <c r="Z4" s="269" t="s">
        <v>99</v>
      </c>
    </row>
    <row r="5" spans="1:26" x14ac:dyDescent="0.25">
      <c r="A5" s="263">
        <v>1</v>
      </c>
      <c r="B5" s="256" t="s">
        <v>134</v>
      </c>
      <c r="C5" s="32">
        <v>70</v>
      </c>
      <c r="D5" s="33">
        <v>64</v>
      </c>
      <c r="E5" s="33">
        <v>8</v>
      </c>
      <c r="F5" s="15">
        <f>(C5*D5*E5)/1000000</f>
        <v>3.5839999999999997E-2</v>
      </c>
      <c r="G5" s="286">
        <v>270</v>
      </c>
      <c r="H5" s="287">
        <f>F5*G5</f>
        <v>9.6767999999999983</v>
      </c>
      <c r="I5" s="290">
        <v>0</v>
      </c>
      <c r="J5" s="205">
        <f t="shared" ref="J5:R55" si="0">F5*I5</f>
        <v>0</v>
      </c>
      <c r="K5" s="290">
        <v>0</v>
      </c>
      <c r="L5" s="205">
        <f>F5*K5</f>
        <v>0</v>
      </c>
      <c r="M5" s="290">
        <v>0</v>
      </c>
      <c r="N5" s="205">
        <f t="shared" ref="N5:N10" si="1">F5*M5</f>
        <v>0</v>
      </c>
      <c r="O5" s="290">
        <v>0</v>
      </c>
      <c r="P5" s="205">
        <f t="shared" ref="P5:P10" si="2">F5*O5</f>
        <v>0</v>
      </c>
      <c r="Q5" s="290">
        <v>0</v>
      </c>
      <c r="R5" s="205">
        <f t="shared" ref="R5:R11" si="3">F5*Q5</f>
        <v>0</v>
      </c>
      <c r="S5" s="39">
        <f>G5-I5-K5-M5-O5-Q5</f>
        <v>270</v>
      </c>
      <c r="T5" s="38">
        <f t="shared" ref="T5:T68" si="4">F5*S5</f>
        <v>9.6767999999999983</v>
      </c>
      <c r="U5" s="290">
        <v>0</v>
      </c>
      <c r="V5" s="13">
        <f>F5*U5</f>
        <v>0</v>
      </c>
      <c r="W5" s="294">
        <f>S5+U5</f>
        <v>270</v>
      </c>
      <c r="X5" s="295">
        <f>F5*W5</f>
        <v>9.6767999999999983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135</v>
      </c>
      <c r="C6" s="34">
        <v>70</v>
      </c>
      <c r="D6" s="35">
        <v>80</v>
      </c>
      <c r="E6" s="35">
        <v>8</v>
      </c>
      <c r="F6" s="19">
        <f t="shared" ref="F6:F69" si="5">(C6*D6*E6)/1000000</f>
        <v>4.48E-2</v>
      </c>
      <c r="G6" s="286">
        <v>53</v>
      </c>
      <c r="H6" s="288">
        <f t="shared" ref="H6:H69" si="6">F6*G6</f>
        <v>2.3744000000000001</v>
      </c>
      <c r="I6" s="290">
        <v>0</v>
      </c>
      <c r="J6" s="205">
        <f t="shared" si="0"/>
        <v>0</v>
      </c>
      <c r="K6" s="290">
        <v>0</v>
      </c>
      <c r="L6" s="205">
        <f>F6*K6</f>
        <v>0</v>
      </c>
      <c r="M6" s="290">
        <v>0</v>
      </c>
      <c r="N6" s="205">
        <f t="shared" si="1"/>
        <v>0</v>
      </c>
      <c r="O6" s="290">
        <v>0</v>
      </c>
      <c r="P6" s="205">
        <f t="shared" si="2"/>
        <v>0</v>
      </c>
      <c r="Q6" s="290">
        <v>0</v>
      </c>
      <c r="R6" s="205">
        <f t="shared" si="3"/>
        <v>0</v>
      </c>
      <c r="S6" s="39">
        <f t="shared" ref="S6:S69" si="7">G6-I6-K6-M6-O6-Q6</f>
        <v>53</v>
      </c>
      <c r="T6" s="38">
        <f t="shared" si="4"/>
        <v>2.3744000000000001</v>
      </c>
      <c r="U6" s="290">
        <v>0</v>
      </c>
      <c r="V6" s="13">
        <f t="shared" ref="V6:V67" si="8">F6*U6</f>
        <v>0</v>
      </c>
      <c r="W6" s="294">
        <f t="shared" ref="W6:W69" si="9">S6+U6</f>
        <v>53</v>
      </c>
      <c r="X6" s="295">
        <f t="shared" ref="X6:X69" si="10">F6*W6</f>
        <v>2.3744000000000001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136</v>
      </c>
      <c r="C7" s="34">
        <v>70</v>
      </c>
      <c r="D7" s="35">
        <v>74</v>
      </c>
      <c r="E7" s="35">
        <v>8</v>
      </c>
      <c r="F7" s="19">
        <f t="shared" si="5"/>
        <v>4.1439999999999998E-2</v>
      </c>
      <c r="G7" s="286">
        <v>60</v>
      </c>
      <c r="H7" s="288">
        <f t="shared" si="6"/>
        <v>2.4863999999999997</v>
      </c>
      <c r="I7" s="290">
        <v>0</v>
      </c>
      <c r="J7" s="205">
        <f t="shared" si="0"/>
        <v>0</v>
      </c>
      <c r="K7" s="290">
        <v>0</v>
      </c>
      <c r="L7" s="205">
        <f>F7*K7</f>
        <v>0</v>
      </c>
      <c r="M7" s="290">
        <v>0</v>
      </c>
      <c r="N7" s="205">
        <f t="shared" si="1"/>
        <v>0</v>
      </c>
      <c r="O7" s="290">
        <v>0</v>
      </c>
      <c r="P7" s="205">
        <f t="shared" si="2"/>
        <v>0</v>
      </c>
      <c r="Q7" s="290">
        <v>0</v>
      </c>
      <c r="R7" s="205">
        <f t="shared" si="3"/>
        <v>0</v>
      </c>
      <c r="S7" s="39">
        <f t="shared" si="7"/>
        <v>60</v>
      </c>
      <c r="T7" s="38">
        <f t="shared" si="4"/>
        <v>2.4863999999999997</v>
      </c>
      <c r="U7" s="290">
        <v>0</v>
      </c>
      <c r="V7" s="13">
        <f t="shared" si="8"/>
        <v>0</v>
      </c>
      <c r="W7" s="294">
        <f t="shared" si="9"/>
        <v>60</v>
      </c>
      <c r="X7" s="295">
        <f t="shared" si="10"/>
        <v>2.4863999999999997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208</v>
      </c>
      <c r="C8" s="34">
        <v>70</v>
      </c>
      <c r="D8" s="35">
        <v>88</v>
      </c>
      <c r="E8" s="35">
        <v>8</v>
      </c>
      <c r="F8" s="19">
        <f t="shared" si="5"/>
        <v>4.9279999999999997E-2</v>
      </c>
      <c r="G8" s="286">
        <v>270</v>
      </c>
      <c r="H8" s="288">
        <f t="shared" si="6"/>
        <v>13.3056</v>
      </c>
      <c r="I8" s="290">
        <v>0</v>
      </c>
      <c r="J8" s="205">
        <f t="shared" si="0"/>
        <v>0</v>
      </c>
      <c r="K8" s="290">
        <v>0</v>
      </c>
      <c r="L8" s="205">
        <f>F8*K8</f>
        <v>0</v>
      </c>
      <c r="M8" s="290">
        <v>0</v>
      </c>
      <c r="N8" s="205">
        <f t="shared" si="1"/>
        <v>0</v>
      </c>
      <c r="O8" s="290">
        <v>0</v>
      </c>
      <c r="P8" s="205">
        <f t="shared" si="2"/>
        <v>0</v>
      </c>
      <c r="Q8" s="290">
        <v>0</v>
      </c>
      <c r="R8" s="205">
        <f t="shared" si="3"/>
        <v>0</v>
      </c>
      <c r="S8" s="39">
        <f t="shared" si="7"/>
        <v>270</v>
      </c>
      <c r="T8" s="38">
        <f t="shared" si="4"/>
        <v>13.3056</v>
      </c>
      <c r="U8" s="290">
        <v>0</v>
      </c>
      <c r="V8" s="13">
        <f t="shared" si="8"/>
        <v>0</v>
      </c>
      <c r="W8" s="294">
        <f t="shared" si="9"/>
        <v>270</v>
      </c>
      <c r="X8" s="295">
        <f t="shared" si="10"/>
        <v>13.3056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138</v>
      </c>
      <c r="C9" s="34">
        <v>140</v>
      </c>
      <c r="D9" s="35">
        <v>240</v>
      </c>
      <c r="E9" s="35">
        <v>5</v>
      </c>
      <c r="F9" s="19">
        <f t="shared" si="5"/>
        <v>0.16800000000000001</v>
      </c>
      <c r="G9" s="286">
        <v>134</v>
      </c>
      <c r="H9" s="288">
        <f t="shared" si="6"/>
        <v>22.512</v>
      </c>
      <c r="I9" s="290">
        <v>0</v>
      </c>
      <c r="J9" s="205">
        <f t="shared" si="0"/>
        <v>0</v>
      </c>
      <c r="K9" s="290">
        <v>14</v>
      </c>
      <c r="L9" s="205">
        <f>F9*K9</f>
        <v>2.3520000000000003</v>
      </c>
      <c r="M9" s="290">
        <v>4</v>
      </c>
      <c r="N9" s="205">
        <f t="shared" si="1"/>
        <v>0.67200000000000004</v>
      </c>
      <c r="O9" s="290">
        <v>8</v>
      </c>
      <c r="P9" s="205">
        <f t="shared" si="2"/>
        <v>1.3440000000000001</v>
      </c>
      <c r="Q9" s="290">
        <v>0</v>
      </c>
      <c r="R9" s="205">
        <f t="shared" si="3"/>
        <v>0</v>
      </c>
      <c r="S9" s="39">
        <f t="shared" si="7"/>
        <v>108</v>
      </c>
      <c r="T9" s="38">
        <f t="shared" si="4"/>
        <v>18.144000000000002</v>
      </c>
      <c r="U9" s="290">
        <v>0</v>
      </c>
      <c r="V9" s="13">
        <f t="shared" si="8"/>
        <v>0</v>
      </c>
      <c r="W9" s="294">
        <f t="shared" si="9"/>
        <v>108</v>
      </c>
      <c r="X9" s="295">
        <f t="shared" si="10"/>
        <v>18.144000000000002</v>
      </c>
      <c r="Y9" s="238">
        <v>100</v>
      </c>
      <c r="Z9" s="101">
        <v>250</v>
      </c>
    </row>
    <row r="10" spans="1:26" x14ac:dyDescent="0.25">
      <c r="A10" s="264">
        <v>6</v>
      </c>
      <c r="B10" s="256" t="s">
        <v>211</v>
      </c>
      <c r="C10" s="34">
        <v>143</v>
      </c>
      <c r="D10" s="35">
        <v>68</v>
      </c>
      <c r="E10" s="35">
        <v>5</v>
      </c>
      <c r="F10" s="19">
        <f t="shared" si="5"/>
        <v>4.8619999999999997E-2</v>
      </c>
      <c r="G10" s="286">
        <v>530</v>
      </c>
      <c r="H10" s="288">
        <f t="shared" si="6"/>
        <v>25.768599999999999</v>
      </c>
      <c r="I10" s="290">
        <v>0</v>
      </c>
      <c r="J10" s="205">
        <f t="shared" si="0"/>
        <v>0</v>
      </c>
      <c r="K10" s="290">
        <v>23</v>
      </c>
      <c r="L10" s="205">
        <f t="shared" ref="L10" si="11">F10*K10</f>
        <v>1.1182599999999998</v>
      </c>
      <c r="M10" s="290">
        <v>0</v>
      </c>
      <c r="N10" s="205">
        <f t="shared" si="1"/>
        <v>0</v>
      </c>
      <c r="O10" s="290">
        <v>0</v>
      </c>
      <c r="P10" s="205">
        <f t="shared" si="2"/>
        <v>0</v>
      </c>
      <c r="Q10" s="290">
        <v>0</v>
      </c>
      <c r="R10" s="205">
        <f t="shared" si="3"/>
        <v>0</v>
      </c>
      <c r="S10" s="39">
        <f t="shared" si="7"/>
        <v>507</v>
      </c>
      <c r="T10" s="38">
        <f t="shared" si="4"/>
        <v>24.65034</v>
      </c>
      <c r="U10" s="290">
        <v>0</v>
      </c>
      <c r="V10" s="13">
        <f t="shared" si="8"/>
        <v>0</v>
      </c>
      <c r="W10" s="294">
        <f t="shared" si="9"/>
        <v>507</v>
      </c>
      <c r="X10" s="295">
        <f t="shared" si="10"/>
        <v>24.65034</v>
      </c>
      <c r="Y10" s="238">
        <v>75</v>
      </c>
      <c r="Z10" s="101">
        <v>250</v>
      </c>
    </row>
    <row r="11" spans="1:26" x14ac:dyDescent="0.25">
      <c r="A11" s="264">
        <v>7</v>
      </c>
      <c r="B11" s="256" t="s">
        <v>207</v>
      </c>
      <c r="C11" s="34">
        <v>140</v>
      </c>
      <c r="D11" s="35">
        <v>240</v>
      </c>
      <c r="E11" s="35">
        <v>8</v>
      </c>
      <c r="F11" s="19">
        <f t="shared" si="5"/>
        <v>0.26879999999999998</v>
      </c>
      <c r="G11" s="286">
        <v>40</v>
      </c>
      <c r="H11" s="288">
        <f t="shared" si="6"/>
        <v>10.751999999999999</v>
      </c>
      <c r="I11" s="290">
        <v>0</v>
      </c>
      <c r="J11" s="205">
        <f t="shared" si="0"/>
        <v>0</v>
      </c>
      <c r="K11" s="290">
        <v>0</v>
      </c>
      <c r="L11" s="205">
        <f>F11*K11</f>
        <v>0</v>
      </c>
      <c r="M11" s="290">
        <v>0</v>
      </c>
      <c r="N11" s="21">
        <v>0</v>
      </c>
      <c r="O11" s="290">
        <v>0</v>
      </c>
      <c r="P11" s="21">
        <v>0</v>
      </c>
      <c r="Q11" s="290">
        <v>0</v>
      </c>
      <c r="R11" s="205">
        <f t="shared" si="3"/>
        <v>0</v>
      </c>
      <c r="S11" s="39">
        <f t="shared" si="7"/>
        <v>40</v>
      </c>
      <c r="T11" s="38">
        <f t="shared" si="4"/>
        <v>10.751999999999999</v>
      </c>
      <c r="U11" s="290">
        <v>0</v>
      </c>
      <c r="V11" s="13">
        <f t="shared" si="8"/>
        <v>0</v>
      </c>
      <c r="W11" s="294">
        <f t="shared" si="9"/>
        <v>40</v>
      </c>
      <c r="X11" s="295">
        <f t="shared" si="10"/>
        <v>10.751999999999999</v>
      </c>
      <c r="Y11" s="238">
        <v>50</v>
      </c>
      <c r="Z11" s="101">
        <v>100</v>
      </c>
    </row>
    <row r="12" spans="1:26" x14ac:dyDescent="0.25">
      <c r="A12" s="264">
        <v>8</v>
      </c>
      <c r="B12" s="256" t="s">
        <v>191</v>
      </c>
      <c r="C12" s="34">
        <v>75</v>
      </c>
      <c r="D12" s="35">
        <v>54</v>
      </c>
      <c r="E12" s="35">
        <v>5</v>
      </c>
      <c r="F12" s="19">
        <f t="shared" si="5"/>
        <v>2.0250000000000001E-2</v>
      </c>
      <c r="G12" s="286">
        <v>0</v>
      </c>
      <c r="H12" s="288">
        <f t="shared" si="6"/>
        <v>0</v>
      </c>
      <c r="I12" s="290">
        <v>0</v>
      </c>
      <c r="J12" s="205">
        <f t="shared" si="0"/>
        <v>0</v>
      </c>
      <c r="K12" s="290">
        <v>0</v>
      </c>
      <c r="L12" s="205">
        <f>F12*K12</f>
        <v>0</v>
      </c>
      <c r="M12" s="290">
        <v>0</v>
      </c>
      <c r="N12" s="205">
        <f>F12*M12</f>
        <v>0</v>
      </c>
      <c r="O12" s="290">
        <v>0</v>
      </c>
      <c r="P12" s="205">
        <f>F12*O12</f>
        <v>0</v>
      </c>
      <c r="Q12" s="290">
        <v>0</v>
      </c>
      <c r="R12" s="21">
        <v>0</v>
      </c>
      <c r="S12" s="39">
        <f t="shared" si="7"/>
        <v>0</v>
      </c>
      <c r="T12" s="38">
        <f t="shared" si="4"/>
        <v>0</v>
      </c>
      <c r="U12" s="290">
        <v>0</v>
      </c>
      <c r="V12" s="13">
        <f t="shared" si="8"/>
        <v>0</v>
      </c>
      <c r="W12" s="294">
        <f t="shared" si="9"/>
        <v>0</v>
      </c>
      <c r="X12" s="295">
        <f t="shared" si="10"/>
        <v>0</v>
      </c>
      <c r="Y12" s="238">
        <v>50</v>
      </c>
      <c r="Z12" s="101">
        <v>100</v>
      </c>
    </row>
    <row r="13" spans="1:26" x14ac:dyDescent="0.25">
      <c r="A13" s="264">
        <v>9</v>
      </c>
      <c r="B13" s="256" t="s">
        <v>142</v>
      </c>
      <c r="C13" s="34">
        <v>140</v>
      </c>
      <c r="D13" s="35">
        <v>240</v>
      </c>
      <c r="E13" s="35">
        <v>5</v>
      </c>
      <c r="F13" s="19">
        <f t="shared" si="5"/>
        <v>0.16800000000000001</v>
      </c>
      <c r="G13" s="286">
        <v>12</v>
      </c>
      <c r="H13" s="288">
        <f t="shared" si="6"/>
        <v>2.016</v>
      </c>
      <c r="I13" s="290">
        <v>0</v>
      </c>
      <c r="J13" s="205">
        <f t="shared" si="0"/>
        <v>0</v>
      </c>
      <c r="K13" s="290">
        <v>2</v>
      </c>
      <c r="L13" s="205">
        <f>F13*K13</f>
        <v>0.33600000000000002</v>
      </c>
      <c r="M13" s="290">
        <v>2</v>
      </c>
      <c r="N13" s="205">
        <f>F13*M13</f>
        <v>0.33600000000000002</v>
      </c>
      <c r="O13" s="290">
        <v>0</v>
      </c>
      <c r="P13" s="205">
        <f>F13*O13</f>
        <v>0</v>
      </c>
      <c r="Q13" s="290">
        <v>0</v>
      </c>
      <c r="R13" s="205">
        <f>F13*Q13</f>
        <v>0</v>
      </c>
      <c r="S13" s="39">
        <f t="shared" si="7"/>
        <v>8</v>
      </c>
      <c r="T13" s="38">
        <f t="shared" si="4"/>
        <v>1.3440000000000001</v>
      </c>
      <c r="U13" s="290">
        <v>100</v>
      </c>
      <c r="V13" s="13">
        <f t="shared" si="8"/>
        <v>16.8</v>
      </c>
      <c r="W13" s="294">
        <f t="shared" si="9"/>
        <v>108</v>
      </c>
      <c r="X13" s="295">
        <f t="shared" si="10"/>
        <v>18.144000000000002</v>
      </c>
      <c r="Y13" s="238">
        <v>100</v>
      </c>
      <c r="Z13" s="101">
        <v>300</v>
      </c>
    </row>
    <row r="14" spans="1:26" x14ac:dyDescent="0.25">
      <c r="A14" s="264">
        <v>10</v>
      </c>
      <c r="B14" s="256" t="s">
        <v>143</v>
      </c>
      <c r="C14" s="34">
        <v>90</v>
      </c>
      <c r="D14" s="35">
        <v>85</v>
      </c>
      <c r="E14" s="35">
        <v>5</v>
      </c>
      <c r="F14" s="19">
        <f t="shared" si="5"/>
        <v>3.8249999999999999E-2</v>
      </c>
      <c r="G14" s="286">
        <v>0</v>
      </c>
      <c r="H14" s="288">
        <f t="shared" si="6"/>
        <v>0</v>
      </c>
      <c r="I14" s="290">
        <v>0</v>
      </c>
      <c r="J14" s="205">
        <f t="shared" si="0"/>
        <v>0</v>
      </c>
      <c r="K14" s="290">
        <v>0</v>
      </c>
      <c r="L14" s="205">
        <f t="shared" ref="L14:L20" si="12">F14*K14</f>
        <v>0</v>
      </c>
      <c r="M14" s="290">
        <v>0</v>
      </c>
      <c r="N14" s="205">
        <f>F14*M14</f>
        <v>0</v>
      </c>
      <c r="O14" s="290">
        <v>0</v>
      </c>
      <c r="P14" s="205">
        <f t="shared" si="0"/>
        <v>0</v>
      </c>
      <c r="Q14" s="290">
        <v>0</v>
      </c>
      <c r="R14" s="205">
        <f t="shared" si="0"/>
        <v>0</v>
      </c>
      <c r="S14" s="39">
        <f t="shared" si="7"/>
        <v>0</v>
      </c>
      <c r="T14" s="38">
        <f t="shared" si="4"/>
        <v>0</v>
      </c>
      <c r="U14" s="290">
        <v>0</v>
      </c>
      <c r="V14" s="13">
        <f t="shared" si="8"/>
        <v>0</v>
      </c>
      <c r="W14" s="294">
        <f t="shared" si="9"/>
        <v>0</v>
      </c>
      <c r="X14" s="295">
        <f t="shared" si="10"/>
        <v>0</v>
      </c>
      <c r="Y14" s="238">
        <v>50</v>
      </c>
      <c r="Z14" s="101">
        <v>100</v>
      </c>
    </row>
    <row r="15" spans="1:26" x14ac:dyDescent="0.25">
      <c r="A15" s="264">
        <v>11</v>
      </c>
      <c r="B15" s="256" t="s">
        <v>144</v>
      </c>
      <c r="C15" s="34">
        <v>140</v>
      </c>
      <c r="D15" s="35">
        <v>240</v>
      </c>
      <c r="E15" s="35">
        <v>5</v>
      </c>
      <c r="F15" s="19">
        <f t="shared" si="5"/>
        <v>0.16800000000000001</v>
      </c>
      <c r="G15" s="286">
        <v>170</v>
      </c>
      <c r="H15" s="288">
        <f t="shared" si="6"/>
        <v>28.560000000000002</v>
      </c>
      <c r="I15" s="290">
        <v>0</v>
      </c>
      <c r="J15" s="205">
        <f t="shared" si="0"/>
        <v>0</v>
      </c>
      <c r="K15" s="290">
        <v>7</v>
      </c>
      <c r="L15" s="205">
        <f t="shared" si="12"/>
        <v>1.1760000000000002</v>
      </c>
      <c r="M15" s="290">
        <v>6</v>
      </c>
      <c r="N15" s="205">
        <f t="shared" ref="N15:N37" si="13">F15*M15</f>
        <v>1.008</v>
      </c>
      <c r="O15" s="290">
        <v>0</v>
      </c>
      <c r="P15" s="205">
        <f t="shared" ref="P15:P36" si="14">F15*O15</f>
        <v>0</v>
      </c>
      <c r="Q15" s="290">
        <v>0</v>
      </c>
      <c r="R15" s="205">
        <f t="shared" ref="R15:R20" si="15">F15*Q15</f>
        <v>0</v>
      </c>
      <c r="S15" s="39">
        <f t="shared" si="7"/>
        <v>157</v>
      </c>
      <c r="T15" s="38">
        <f t="shared" si="4"/>
        <v>26.376000000000001</v>
      </c>
      <c r="U15" s="290">
        <v>0</v>
      </c>
      <c r="V15" s="13">
        <f t="shared" si="8"/>
        <v>0</v>
      </c>
      <c r="W15" s="294">
        <f t="shared" si="9"/>
        <v>157</v>
      </c>
      <c r="X15" s="295">
        <f t="shared" si="10"/>
        <v>26.376000000000001</v>
      </c>
      <c r="Y15" s="238">
        <v>200</v>
      </c>
      <c r="Z15" s="101">
        <v>400</v>
      </c>
    </row>
    <row r="16" spans="1:26" x14ac:dyDescent="0.25">
      <c r="A16" s="264">
        <v>12</v>
      </c>
      <c r="B16" s="256" t="s">
        <v>145</v>
      </c>
      <c r="C16" s="34">
        <v>140</v>
      </c>
      <c r="D16" s="35">
        <v>240</v>
      </c>
      <c r="E16" s="35">
        <v>5</v>
      </c>
      <c r="F16" s="19">
        <f t="shared" si="5"/>
        <v>0.16800000000000001</v>
      </c>
      <c r="G16" s="286">
        <v>82</v>
      </c>
      <c r="H16" s="288">
        <f t="shared" si="6"/>
        <v>13.776000000000002</v>
      </c>
      <c r="I16" s="290">
        <v>0</v>
      </c>
      <c r="J16" s="205">
        <f t="shared" si="0"/>
        <v>0</v>
      </c>
      <c r="K16" s="290">
        <v>7</v>
      </c>
      <c r="L16" s="205">
        <f t="shared" si="12"/>
        <v>1.1760000000000002</v>
      </c>
      <c r="M16" s="290">
        <v>3</v>
      </c>
      <c r="N16" s="205">
        <f t="shared" si="13"/>
        <v>0.504</v>
      </c>
      <c r="O16" s="290">
        <v>18</v>
      </c>
      <c r="P16" s="205">
        <f t="shared" si="14"/>
        <v>3.024</v>
      </c>
      <c r="Q16" s="290">
        <v>0</v>
      </c>
      <c r="R16" s="205">
        <f t="shared" si="15"/>
        <v>0</v>
      </c>
      <c r="S16" s="39">
        <f t="shared" si="7"/>
        <v>54</v>
      </c>
      <c r="T16" s="38">
        <f t="shared" si="4"/>
        <v>9.072000000000001</v>
      </c>
      <c r="U16" s="290">
        <v>102</v>
      </c>
      <c r="V16" s="13">
        <f t="shared" si="8"/>
        <v>17.136000000000003</v>
      </c>
      <c r="W16" s="294">
        <f t="shared" si="9"/>
        <v>156</v>
      </c>
      <c r="X16" s="295">
        <f t="shared" si="10"/>
        <v>26.208000000000002</v>
      </c>
      <c r="Y16" s="238">
        <v>100</v>
      </c>
      <c r="Z16" s="101">
        <v>300</v>
      </c>
    </row>
    <row r="17" spans="1:26" x14ac:dyDescent="0.25">
      <c r="A17" s="264">
        <v>13</v>
      </c>
      <c r="B17" s="256" t="s">
        <v>146</v>
      </c>
      <c r="C17" s="34">
        <v>140</v>
      </c>
      <c r="D17" s="35">
        <v>240</v>
      </c>
      <c r="E17" s="35">
        <v>8</v>
      </c>
      <c r="F17" s="19">
        <f t="shared" si="5"/>
        <v>0.26879999999999998</v>
      </c>
      <c r="G17" s="286">
        <v>120</v>
      </c>
      <c r="H17" s="288">
        <f t="shared" si="6"/>
        <v>32.256</v>
      </c>
      <c r="I17" s="290">
        <v>0</v>
      </c>
      <c r="J17" s="205">
        <f t="shared" si="0"/>
        <v>0</v>
      </c>
      <c r="K17" s="290">
        <v>0</v>
      </c>
      <c r="L17" s="205">
        <f t="shared" si="12"/>
        <v>0</v>
      </c>
      <c r="M17" s="290">
        <v>0</v>
      </c>
      <c r="N17" s="205">
        <f t="shared" si="13"/>
        <v>0</v>
      </c>
      <c r="O17" s="290">
        <v>0</v>
      </c>
      <c r="P17" s="205">
        <f t="shared" si="14"/>
        <v>0</v>
      </c>
      <c r="Q17" s="290">
        <v>0</v>
      </c>
      <c r="R17" s="205">
        <f t="shared" si="15"/>
        <v>0</v>
      </c>
      <c r="S17" s="39">
        <f t="shared" si="7"/>
        <v>120</v>
      </c>
      <c r="T17" s="38">
        <f t="shared" si="4"/>
        <v>32.256</v>
      </c>
      <c r="U17" s="290">
        <v>0</v>
      </c>
      <c r="V17" s="13">
        <f t="shared" si="8"/>
        <v>0</v>
      </c>
      <c r="W17" s="294">
        <f t="shared" si="9"/>
        <v>120</v>
      </c>
      <c r="X17" s="295">
        <f t="shared" si="10"/>
        <v>32.256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147</v>
      </c>
      <c r="C18" s="34">
        <v>77</v>
      </c>
      <c r="D18" s="35">
        <v>86</v>
      </c>
      <c r="E18" s="35">
        <v>8</v>
      </c>
      <c r="F18" s="19">
        <f t="shared" si="5"/>
        <v>5.2976000000000002E-2</v>
      </c>
      <c r="G18" s="286">
        <v>454</v>
      </c>
      <c r="H18" s="288">
        <f t="shared" si="6"/>
        <v>24.051104000000002</v>
      </c>
      <c r="I18" s="290">
        <v>0</v>
      </c>
      <c r="J18" s="205">
        <f t="shared" si="0"/>
        <v>0</v>
      </c>
      <c r="K18" s="290">
        <v>0</v>
      </c>
      <c r="L18" s="205">
        <f t="shared" si="12"/>
        <v>0</v>
      </c>
      <c r="M18" s="290">
        <v>0</v>
      </c>
      <c r="N18" s="205">
        <f t="shared" si="13"/>
        <v>0</v>
      </c>
      <c r="O18" s="290">
        <v>0</v>
      </c>
      <c r="P18" s="205">
        <f t="shared" si="14"/>
        <v>0</v>
      </c>
      <c r="Q18" s="290">
        <v>0</v>
      </c>
      <c r="R18" s="205">
        <f t="shared" si="15"/>
        <v>0</v>
      </c>
      <c r="S18" s="39">
        <f t="shared" si="7"/>
        <v>454</v>
      </c>
      <c r="T18" s="38">
        <f t="shared" si="4"/>
        <v>24.051104000000002</v>
      </c>
      <c r="U18" s="290">
        <v>0</v>
      </c>
      <c r="V18" s="13">
        <f t="shared" si="8"/>
        <v>0</v>
      </c>
      <c r="W18" s="294">
        <f t="shared" si="9"/>
        <v>454</v>
      </c>
      <c r="X18" s="295">
        <f t="shared" si="10"/>
        <v>24.051104000000002</v>
      </c>
      <c r="Y18" s="238">
        <v>100</v>
      </c>
      <c r="Z18" s="101">
        <v>300</v>
      </c>
    </row>
    <row r="19" spans="1:26" x14ac:dyDescent="0.25">
      <c r="A19" s="264">
        <v>15</v>
      </c>
      <c r="B19" s="256" t="s">
        <v>148</v>
      </c>
      <c r="C19" s="34">
        <v>77</v>
      </c>
      <c r="D19" s="35">
        <v>68</v>
      </c>
      <c r="E19" s="35">
        <v>8</v>
      </c>
      <c r="F19" s="19">
        <f t="shared" si="5"/>
        <v>4.1888000000000002E-2</v>
      </c>
      <c r="G19" s="286">
        <v>454</v>
      </c>
      <c r="H19" s="288">
        <f t="shared" si="6"/>
        <v>19.017151999999999</v>
      </c>
      <c r="I19" s="290">
        <v>0</v>
      </c>
      <c r="J19" s="205">
        <f t="shared" si="0"/>
        <v>0</v>
      </c>
      <c r="K19" s="290">
        <v>0</v>
      </c>
      <c r="L19" s="205">
        <f t="shared" si="12"/>
        <v>0</v>
      </c>
      <c r="M19" s="290">
        <v>4</v>
      </c>
      <c r="N19" s="205">
        <f t="shared" si="13"/>
        <v>0.16755200000000001</v>
      </c>
      <c r="O19" s="290">
        <v>0</v>
      </c>
      <c r="P19" s="205">
        <f t="shared" si="14"/>
        <v>0</v>
      </c>
      <c r="Q19" s="290">
        <v>0</v>
      </c>
      <c r="R19" s="205">
        <f t="shared" si="15"/>
        <v>0</v>
      </c>
      <c r="S19" s="39">
        <f t="shared" si="7"/>
        <v>450</v>
      </c>
      <c r="T19" s="38">
        <f t="shared" si="4"/>
        <v>18.849600000000002</v>
      </c>
      <c r="U19" s="290">
        <v>0</v>
      </c>
      <c r="V19" s="13">
        <f t="shared" si="8"/>
        <v>0</v>
      </c>
      <c r="W19" s="294">
        <f t="shared" si="9"/>
        <v>450</v>
      </c>
      <c r="X19" s="295">
        <f t="shared" si="10"/>
        <v>18.849600000000002</v>
      </c>
      <c r="Y19" s="238">
        <v>100</v>
      </c>
      <c r="Z19" s="101">
        <v>300</v>
      </c>
    </row>
    <row r="20" spans="1:26" x14ac:dyDescent="0.25">
      <c r="A20" s="264">
        <v>16</v>
      </c>
      <c r="B20" s="256" t="s">
        <v>149</v>
      </c>
      <c r="C20" s="34">
        <v>76</v>
      </c>
      <c r="D20" s="35">
        <v>75</v>
      </c>
      <c r="E20" s="35">
        <v>8</v>
      </c>
      <c r="F20" s="19">
        <f t="shared" si="5"/>
        <v>4.5600000000000002E-2</v>
      </c>
      <c r="G20" s="286">
        <v>1146</v>
      </c>
      <c r="H20" s="288">
        <f t="shared" si="6"/>
        <v>52.257600000000004</v>
      </c>
      <c r="I20" s="290">
        <v>0</v>
      </c>
      <c r="J20" s="205">
        <f t="shared" si="0"/>
        <v>0</v>
      </c>
      <c r="K20" s="290">
        <v>0</v>
      </c>
      <c r="L20" s="205">
        <f t="shared" si="12"/>
        <v>0</v>
      </c>
      <c r="M20" s="290">
        <v>0</v>
      </c>
      <c r="N20" s="205">
        <f t="shared" si="13"/>
        <v>0</v>
      </c>
      <c r="O20" s="290">
        <v>15</v>
      </c>
      <c r="P20" s="205">
        <f t="shared" si="14"/>
        <v>0.68400000000000005</v>
      </c>
      <c r="Q20" s="290">
        <v>0</v>
      </c>
      <c r="R20" s="205">
        <f t="shared" si="15"/>
        <v>0</v>
      </c>
      <c r="S20" s="39">
        <f t="shared" si="7"/>
        <v>1131</v>
      </c>
      <c r="T20" s="38">
        <f t="shared" si="4"/>
        <v>51.573599999999999</v>
      </c>
      <c r="U20" s="290">
        <v>0</v>
      </c>
      <c r="V20" s="13">
        <f t="shared" si="8"/>
        <v>0</v>
      </c>
      <c r="W20" s="294">
        <f t="shared" si="9"/>
        <v>1131</v>
      </c>
      <c r="X20" s="295">
        <f t="shared" si="10"/>
        <v>51.573599999999999</v>
      </c>
      <c r="Y20" s="238">
        <v>100</v>
      </c>
      <c r="Z20" s="101">
        <v>300</v>
      </c>
    </row>
    <row r="21" spans="1:26" x14ac:dyDescent="0.25">
      <c r="A21" s="264">
        <v>17</v>
      </c>
      <c r="B21" s="256" t="s">
        <v>150</v>
      </c>
      <c r="C21" s="34">
        <v>60</v>
      </c>
      <c r="D21" s="35">
        <v>63</v>
      </c>
      <c r="E21" s="35">
        <v>10</v>
      </c>
      <c r="F21" s="19">
        <f t="shared" si="5"/>
        <v>3.78E-2</v>
      </c>
      <c r="G21" s="286">
        <v>613</v>
      </c>
      <c r="H21" s="288">
        <f t="shared" si="6"/>
        <v>23.171399999999998</v>
      </c>
      <c r="I21" s="290">
        <v>0</v>
      </c>
      <c r="J21" s="205">
        <f t="shared" si="0"/>
        <v>0</v>
      </c>
      <c r="K21" s="290">
        <v>19</v>
      </c>
      <c r="L21" s="205">
        <f t="shared" si="0"/>
        <v>440.25659999999999</v>
      </c>
      <c r="M21" s="290">
        <v>0</v>
      </c>
      <c r="N21" s="21">
        <v>0</v>
      </c>
      <c r="O21" s="290">
        <v>0</v>
      </c>
      <c r="P21" s="205">
        <f t="shared" si="14"/>
        <v>0</v>
      </c>
      <c r="Q21" s="290">
        <v>0</v>
      </c>
      <c r="R21" s="21">
        <v>0</v>
      </c>
      <c r="S21" s="39">
        <f t="shared" si="7"/>
        <v>594</v>
      </c>
      <c r="T21" s="38">
        <f t="shared" si="4"/>
        <v>22.453199999999999</v>
      </c>
      <c r="U21" s="290">
        <v>0</v>
      </c>
      <c r="V21" s="13">
        <f t="shared" si="8"/>
        <v>0</v>
      </c>
      <c r="W21" s="294">
        <f t="shared" si="9"/>
        <v>594</v>
      </c>
      <c r="X21" s="295">
        <f t="shared" si="10"/>
        <v>22.453199999999999</v>
      </c>
      <c r="Y21" s="238">
        <v>50</v>
      </c>
      <c r="Z21" s="101">
        <v>200</v>
      </c>
    </row>
    <row r="22" spans="1:26" x14ac:dyDescent="0.25">
      <c r="A22" s="264">
        <v>18</v>
      </c>
      <c r="B22" s="256" t="s">
        <v>151</v>
      </c>
      <c r="C22" s="34">
        <v>63</v>
      </c>
      <c r="D22" s="35">
        <v>60</v>
      </c>
      <c r="E22" s="35">
        <v>3</v>
      </c>
      <c r="F22" s="19">
        <f t="shared" si="5"/>
        <v>1.1339999999999999E-2</v>
      </c>
      <c r="G22" s="286">
        <v>56</v>
      </c>
      <c r="H22" s="288">
        <f t="shared" si="6"/>
        <v>0.63503999999999994</v>
      </c>
      <c r="I22" s="290">
        <v>0</v>
      </c>
      <c r="J22" s="205">
        <f t="shared" si="0"/>
        <v>0</v>
      </c>
      <c r="K22" s="290">
        <v>9</v>
      </c>
      <c r="L22" s="205">
        <f>F22*K22</f>
        <v>0.10206</v>
      </c>
      <c r="M22" s="290">
        <v>15</v>
      </c>
      <c r="N22" s="205">
        <f t="shared" si="13"/>
        <v>0.1701</v>
      </c>
      <c r="O22" s="290">
        <v>0</v>
      </c>
      <c r="P22" s="205">
        <f t="shared" si="14"/>
        <v>0</v>
      </c>
      <c r="Q22" s="290">
        <v>0</v>
      </c>
      <c r="R22" s="21">
        <v>0</v>
      </c>
      <c r="S22" s="39">
        <f t="shared" si="7"/>
        <v>32</v>
      </c>
      <c r="T22" s="38">
        <f t="shared" si="4"/>
        <v>0.36287999999999998</v>
      </c>
      <c r="U22" s="290">
        <v>152</v>
      </c>
      <c r="V22" s="13">
        <f t="shared" si="8"/>
        <v>1.7236799999999999</v>
      </c>
      <c r="W22" s="294">
        <f t="shared" si="9"/>
        <v>184</v>
      </c>
      <c r="X22" s="295">
        <f t="shared" si="10"/>
        <v>2.08656</v>
      </c>
      <c r="Y22" s="238">
        <v>50</v>
      </c>
      <c r="Z22" s="101">
        <v>200</v>
      </c>
    </row>
    <row r="23" spans="1:26" x14ac:dyDescent="0.25">
      <c r="A23" s="264">
        <v>19</v>
      </c>
      <c r="B23" s="42" t="s">
        <v>152</v>
      </c>
      <c r="C23" s="34">
        <v>140</v>
      </c>
      <c r="D23" s="35">
        <v>240</v>
      </c>
      <c r="E23" s="35">
        <v>1.4</v>
      </c>
      <c r="F23" s="19">
        <f t="shared" si="5"/>
        <v>4.7039999999999998E-2</v>
      </c>
      <c r="G23" s="286">
        <v>360</v>
      </c>
      <c r="H23" s="288">
        <f t="shared" si="6"/>
        <v>16.9344</v>
      </c>
      <c r="I23" s="290">
        <v>0</v>
      </c>
      <c r="J23" s="205">
        <f t="shared" si="0"/>
        <v>0</v>
      </c>
      <c r="K23" s="290">
        <v>80</v>
      </c>
      <c r="L23" s="205">
        <f t="shared" ref="L23:L36" si="16">F23*K23</f>
        <v>3.7631999999999999</v>
      </c>
      <c r="M23" s="290">
        <v>32</v>
      </c>
      <c r="N23" s="205">
        <f t="shared" si="13"/>
        <v>1.50528</v>
      </c>
      <c r="O23" s="290">
        <v>32</v>
      </c>
      <c r="P23" s="205">
        <f t="shared" si="14"/>
        <v>1.50528</v>
      </c>
      <c r="Q23" s="290">
        <v>0</v>
      </c>
      <c r="R23" s="205">
        <f t="shared" ref="R23:R37" si="17">F23*Q23</f>
        <v>0</v>
      </c>
      <c r="S23" s="39">
        <f t="shared" si="7"/>
        <v>216</v>
      </c>
      <c r="T23" s="38">
        <f t="shared" si="4"/>
        <v>10.160639999999999</v>
      </c>
      <c r="U23" s="290">
        <v>150</v>
      </c>
      <c r="V23" s="13">
        <f t="shared" si="8"/>
        <v>7.056</v>
      </c>
      <c r="W23" s="294">
        <f t="shared" si="9"/>
        <v>366</v>
      </c>
      <c r="X23" s="295">
        <f t="shared" si="10"/>
        <v>17.216639999999998</v>
      </c>
      <c r="Y23" s="238">
        <v>200</v>
      </c>
      <c r="Z23" s="101">
        <v>500</v>
      </c>
    </row>
    <row r="24" spans="1:26" x14ac:dyDescent="0.25">
      <c r="A24" s="264">
        <v>20</v>
      </c>
      <c r="B24" s="256" t="s">
        <v>3</v>
      </c>
      <c r="C24" s="34">
        <v>140</v>
      </c>
      <c r="D24" s="35">
        <v>240</v>
      </c>
      <c r="E24" s="35">
        <v>0.8</v>
      </c>
      <c r="F24" s="19">
        <f t="shared" si="5"/>
        <v>2.6880000000000001E-2</v>
      </c>
      <c r="G24" s="286">
        <v>402</v>
      </c>
      <c r="H24" s="288">
        <f t="shared" si="6"/>
        <v>10.805760000000001</v>
      </c>
      <c r="I24" s="290">
        <v>0</v>
      </c>
      <c r="J24" s="205">
        <f t="shared" si="0"/>
        <v>0</v>
      </c>
      <c r="K24" s="290">
        <v>42</v>
      </c>
      <c r="L24" s="205">
        <f t="shared" si="16"/>
        <v>1.12896</v>
      </c>
      <c r="M24" s="290">
        <v>15</v>
      </c>
      <c r="N24" s="205">
        <f t="shared" si="13"/>
        <v>0.4032</v>
      </c>
      <c r="O24" s="290">
        <v>6</v>
      </c>
      <c r="P24" s="205">
        <f t="shared" si="14"/>
        <v>0.16128000000000001</v>
      </c>
      <c r="Q24" s="290">
        <v>0</v>
      </c>
      <c r="R24" s="205">
        <f t="shared" si="17"/>
        <v>0</v>
      </c>
      <c r="S24" s="39">
        <f t="shared" si="7"/>
        <v>339</v>
      </c>
      <c r="T24" s="38">
        <f t="shared" si="4"/>
        <v>9.1123200000000004</v>
      </c>
      <c r="U24" s="290">
        <v>0</v>
      </c>
      <c r="V24" s="13">
        <f t="shared" si="8"/>
        <v>0</v>
      </c>
      <c r="W24" s="294">
        <f t="shared" si="9"/>
        <v>339</v>
      </c>
      <c r="X24" s="295">
        <f t="shared" si="10"/>
        <v>9.1123200000000004</v>
      </c>
      <c r="Y24" s="238">
        <v>100</v>
      </c>
      <c r="Z24" s="101">
        <v>300</v>
      </c>
    </row>
    <row r="25" spans="1:26" x14ac:dyDescent="0.25">
      <c r="A25" s="264">
        <v>21</v>
      </c>
      <c r="B25" s="256" t="s">
        <v>153</v>
      </c>
      <c r="C25" s="34">
        <v>58</v>
      </c>
      <c r="D25" s="35">
        <v>58</v>
      </c>
      <c r="E25" s="35">
        <v>2.2999999999999998</v>
      </c>
      <c r="F25" s="19">
        <f t="shared" si="5"/>
        <v>7.7371999999999996E-3</v>
      </c>
      <c r="G25" s="286">
        <v>2400</v>
      </c>
      <c r="H25" s="288">
        <f t="shared" si="6"/>
        <v>18.569279999999999</v>
      </c>
      <c r="I25" s="290">
        <v>0</v>
      </c>
      <c r="J25" s="205">
        <f t="shared" si="0"/>
        <v>0</v>
      </c>
      <c r="K25" s="290">
        <v>230</v>
      </c>
      <c r="L25" s="205">
        <f t="shared" si="16"/>
        <v>1.7795559999999999</v>
      </c>
      <c r="M25" s="290">
        <v>0</v>
      </c>
      <c r="N25" s="205">
        <f t="shared" si="13"/>
        <v>0</v>
      </c>
      <c r="O25" s="290">
        <v>192</v>
      </c>
      <c r="P25" s="205">
        <f t="shared" si="14"/>
        <v>1.4855423999999999</v>
      </c>
      <c r="Q25" s="290">
        <v>0</v>
      </c>
      <c r="R25" s="205">
        <f t="shared" si="17"/>
        <v>0</v>
      </c>
      <c r="S25" s="39">
        <f t="shared" si="7"/>
        <v>1978</v>
      </c>
      <c r="T25" s="38">
        <f t="shared" si="4"/>
        <v>15.3041816</v>
      </c>
      <c r="U25" s="290">
        <v>0</v>
      </c>
      <c r="V25" s="13">
        <f t="shared" si="8"/>
        <v>0</v>
      </c>
      <c r="W25" s="294">
        <f t="shared" si="9"/>
        <v>1978</v>
      </c>
      <c r="X25" s="295">
        <f t="shared" si="10"/>
        <v>15.3041816</v>
      </c>
      <c r="Y25" s="238">
        <v>200</v>
      </c>
      <c r="Z25" s="101">
        <v>750</v>
      </c>
    </row>
    <row r="26" spans="1:26" x14ac:dyDescent="0.25">
      <c r="A26" s="264">
        <v>22</v>
      </c>
      <c r="B26" s="256" t="s">
        <v>154</v>
      </c>
      <c r="C26" s="34">
        <v>140</v>
      </c>
      <c r="D26" s="35">
        <v>240</v>
      </c>
      <c r="E26" s="35">
        <v>7</v>
      </c>
      <c r="F26" s="19">
        <f t="shared" si="5"/>
        <v>0.23519999999999999</v>
      </c>
      <c r="G26" s="286">
        <v>90</v>
      </c>
      <c r="H26" s="288">
        <f t="shared" si="6"/>
        <v>21.167999999999999</v>
      </c>
      <c r="I26" s="290">
        <v>0</v>
      </c>
      <c r="J26" s="205">
        <f t="shared" si="0"/>
        <v>0</v>
      </c>
      <c r="K26" s="290">
        <v>5</v>
      </c>
      <c r="L26" s="205">
        <f t="shared" si="16"/>
        <v>1.1759999999999999</v>
      </c>
      <c r="M26" s="290">
        <v>10</v>
      </c>
      <c r="N26" s="205">
        <f t="shared" si="13"/>
        <v>2.3519999999999999</v>
      </c>
      <c r="O26" s="290">
        <v>3</v>
      </c>
      <c r="P26" s="205">
        <f t="shared" si="14"/>
        <v>0.7056</v>
      </c>
      <c r="Q26" s="290">
        <v>0</v>
      </c>
      <c r="R26" s="205">
        <f t="shared" si="17"/>
        <v>0</v>
      </c>
      <c r="S26" s="39">
        <f t="shared" si="7"/>
        <v>72</v>
      </c>
      <c r="T26" s="38">
        <f t="shared" si="4"/>
        <v>16.9344</v>
      </c>
      <c r="U26" s="290">
        <v>0</v>
      </c>
      <c r="V26" s="13">
        <f t="shared" si="8"/>
        <v>0</v>
      </c>
      <c r="W26" s="294">
        <f t="shared" si="9"/>
        <v>72</v>
      </c>
      <c r="X26" s="295">
        <f t="shared" si="10"/>
        <v>16.9344</v>
      </c>
      <c r="Y26" s="238">
        <v>50</v>
      </c>
      <c r="Z26" s="101">
        <v>200</v>
      </c>
    </row>
    <row r="27" spans="1:26" ht="15.75" x14ac:dyDescent="0.25">
      <c r="A27" s="264">
        <v>23</v>
      </c>
      <c r="B27" s="256" t="s">
        <v>55</v>
      </c>
      <c r="C27" s="111">
        <v>50</v>
      </c>
      <c r="D27" s="112">
        <v>45</v>
      </c>
      <c r="E27" s="112">
        <v>4</v>
      </c>
      <c r="F27" s="19">
        <f t="shared" si="5"/>
        <v>8.9999999999999993E-3</v>
      </c>
      <c r="G27" s="286">
        <v>1870</v>
      </c>
      <c r="H27" s="288">
        <f t="shared" si="6"/>
        <v>16.829999999999998</v>
      </c>
      <c r="I27" s="290">
        <v>0</v>
      </c>
      <c r="J27" s="205">
        <f t="shared" si="0"/>
        <v>0</v>
      </c>
      <c r="K27" s="290">
        <v>0</v>
      </c>
      <c r="L27" s="205">
        <f t="shared" si="16"/>
        <v>0</v>
      </c>
      <c r="M27" s="290">
        <v>0</v>
      </c>
      <c r="N27" s="205">
        <f t="shared" si="13"/>
        <v>0</v>
      </c>
      <c r="O27" s="290">
        <v>0</v>
      </c>
      <c r="P27" s="205">
        <f t="shared" si="14"/>
        <v>0</v>
      </c>
      <c r="Q27" s="290">
        <v>0</v>
      </c>
      <c r="R27" s="205">
        <f t="shared" si="17"/>
        <v>0</v>
      </c>
      <c r="S27" s="39">
        <f t="shared" si="7"/>
        <v>1870</v>
      </c>
      <c r="T27" s="38">
        <f t="shared" si="4"/>
        <v>16.829999999999998</v>
      </c>
      <c r="U27" s="290">
        <v>0</v>
      </c>
      <c r="V27" s="13">
        <f t="shared" si="8"/>
        <v>0</v>
      </c>
      <c r="W27" s="294">
        <f t="shared" si="9"/>
        <v>1870</v>
      </c>
      <c r="X27" s="295">
        <f t="shared" si="10"/>
        <v>16.829999999999998</v>
      </c>
      <c r="Y27" s="238">
        <v>300</v>
      </c>
      <c r="Z27" s="101">
        <v>1000</v>
      </c>
    </row>
    <row r="28" spans="1:26" ht="15.75" x14ac:dyDescent="0.25">
      <c r="A28" s="264">
        <v>24</v>
      </c>
      <c r="B28" s="256" t="s">
        <v>56</v>
      </c>
      <c r="C28" s="111">
        <v>50</v>
      </c>
      <c r="D28" s="112">
        <v>35</v>
      </c>
      <c r="E28" s="112">
        <v>4</v>
      </c>
      <c r="F28" s="19">
        <f t="shared" si="5"/>
        <v>7.0000000000000001E-3</v>
      </c>
      <c r="G28" s="286">
        <v>0</v>
      </c>
      <c r="H28" s="288">
        <f t="shared" si="6"/>
        <v>0</v>
      </c>
      <c r="I28" s="290">
        <v>0</v>
      </c>
      <c r="J28" s="205">
        <f t="shared" si="0"/>
        <v>0</v>
      </c>
      <c r="K28" s="290">
        <v>0</v>
      </c>
      <c r="L28" s="205">
        <f t="shared" si="16"/>
        <v>0</v>
      </c>
      <c r="M28" s="290">
        <v>0</v>
      </c>
      <c r="N28" s="205">
        <f t="shared" si="13"/>
        <v>0</v>
      </c>
      <c r="O28" s="290">
        <v>0</v>
      </c>
      <c r="P28" s="205">
        <f t="shared" si="14"/>
        <v>0</v>
      </c>
      <c r="Q28" s="290">
        <v>0</v>
      </c>
      <c r="R28" s="205">
        <f t="shared" si="17"/>
        <v>0</v>
      </c>
      <c r="S28" s="39">
        <f t="shared" si="7"/>
        <v>0</v>
      </c>
      <c r="T28" s="38">
        <f t="shared" si="4"/>
        <v>0</v>
      </c>
      <c r="U28" s="290">
        <v>0</v>
      </c>
      <c r="V28" s="13">
        <f t="shared" si="8"/>
        <v>0</v>
      </c>
      <c r="W28" s="294">
        <f t="shared" si="9"/>
        <v>0</v>
      </c>
      <c r="X28" s="295">
        <f t="shared" si="10"/>
        <v>0</v>
      </c>
      <c r="Y28" s="238">
        <v>300</v>
      </c>
      <c r="Z28" s="101">
        <v>1000</v>
      </c>
    </row>
    <row r="29" spans="1:26" ht="15.75" x14ac:dyDescent="0.25">
      <c r="A29" s="264">
        <v>25</v>
      </c>
      <c r="B29" s="256" t="s">
        <v>57</v>
      </c>
      <c r="C29" s="111">
        <v>45</v>
      </c>
      <c r="D29" s="112">
        <v>44</v>
      </c>
      <c r="E29" s="112">
        <v>3</v>
      </c>
      <c r="F29" s="19">
        <f t="shared" si="5"/>
        <v>5.94E-3</v>
      </c>
      <c r="G29" s="286">
        <v>463</v>
      </c>
      <c r="H29" s="288">
        <f t="shared" si="6"/>
        <v>2.7502200000000001</v>
      </c>
      <c r="I29" s="290">
        <v>0</v>
      </c>
      <c r="J29" s="205">
        <f t="shared" si="0"/>
        <v>0</v>
      </c>
      <c r="K29" s="290">
        <v>432</v>
      </c>
      <c r="L29" s="205">
        <f t="shared" si="16"/>
        <v>2.5660799999999999</v>
      </c>
      <c r="M29" s="290">
        <v>0</v>
      </c>
      <c r="N29" s="205">
        <f t="shared" si="13"/>
        <v>0</v>
      </c>
      <c r="O29" s="290">
        <v>0</v>
      </c>
      <c r="P29" s="205">
        <f t="shared" si="14"/>
        <v>0</v>
      </c>
      <c r="Q29" s="290">
        <v>0</v>
      </c>
      <c r="R29" s="205">
        <f t="shared" si="17"/>
        <v>0</v>
      </c>
      <c r="S29" s="39">
        <f t="shared" si="7"/>
        <v>31</v>
      </c>
      <c r="T29" s="38">
        <f t="shared" si="4"/>
        <v>0.18414</v>
      </c>
      <c r="U29" s="290">
        <v>0</v>
      </c>
      <c r="V29" s="13">
        <f t="shared" si="8"/>
        <v>0</v>
      </c>
      <c r="W29" s="294">
        <f t="shared" si="9"/>
        <v>31</v>
      </c>
      <c r="X29" s="295">
        <f t="shared" si="10"/>
        <v>0.18414</v>
      </c>
      <c r="Y29" s="238">
        <v>500</v>
      </c>
      <c r="Z29" s="101">
        <v>1500</v>
      </c>
    </row>
    <row r="30" spans="1:26" ht="15.75" x14ac:dyDescent="0.25">
      <c r="A30" s="264">
        <v>26</v>
      </c>
      <c r="B30" s="256" t="s">
        <v>58</v>
      </c>
      <c r="C30" s="111">
        <v>45</v>
      </c>
      <c r="D30" s="112">
        <v>35.5</v>
      </c>
      <c r="E30" s="112">
        <v>3</v>
      </c>
      <c r="F30" s="19">
        <f t="shared" si="5"/>
        <v>4.7924999999999999E-3</v>
      </c>
      <c r="G30" s="286">
        <v>732</v>
      </c>
      <c r="H30" s="288">
        <f t="shared" si="6"/>
        <v>3.5081099999999998</v>
      </c>
      <c r="I30" s="290">
        <v>0</v>
      </c>
      <c r="J30" s="205">
        <f t="shared" si="0"/>
        <v>0</v>
      </c>
      <c r="K30" s="290">
        <v>0</v>
      </c>
      <c r="L30" s="205">
        <f t="shared" si="16"/>
        <v>0</v>
      </c>
      <c r="M30" s="290">
        <v>0</v>
      </c>
      <c r="N30" s="205">
        <f t="shared" si="13"/>
        <v>0</v>
      </c>
      <c r="O30" s="290">
        <v>0</v>
      </c>
      <c r="P30" s="205">
        <f t="shared" si="14"/>
        <v>0</v>
      </c>
      <c r="Q30" s="290">
        <v>0</v>
      </c>
      <c r="R30" s="205">
        <f t="shared" si="17"/>
        <v>0</v>
      </c>
      <c r="S30" s="39">
        <f t="shared" si="7"/>
        <v>732</v>
      </c>
      <c r="T30" s="38">
        <f t="shared" si="4"/>
        <v>3.5081099999999998</v>
      </c>
      <c r="U30" s="290">
        <v>0</v>
      </c>
      <c r="V30" s="13">
        <f t="shared" si="8"/>
        <v>0</v>
      </c>
      <c r="W30" s="294">
        <f t="shared" si="9"/>
        <v>732</v>
      </c>
      <c r="X30" s="295">
        <f t="shared" si="10"/>
        <v>3.5081099999999998</v>
      </c>
      <c r="Y30" s="238">
        <v>500</v>
      </c>
      <c r="Z30" s="101">
        <v>1500</v>
      </c>
    </row>
    <row r="31" spans="1:26" x14ac:dyDescent="0.25">
      <c r="A31" s="264">
        <v>27</v>
      </c>
      <c r="B31" s="256" t="s">
        <v>155</v>
      </c>
      <c r="C31" s="34">
        <v>140</v>
      </c>
      <c r="D31" s="35">
        <v>9.5</v>
      </c>
      <c r="E31" s="35">
        <v>6.5</v>
      </c>
      <c r="F31" s="19">
        <f t="shared" si="5"/>
        <v>8.6449999999999999E-3</v>
      </c>
      <c r="G31" s="286">
        <v>570</v>
      </c>
      <c r="H31" s="288">
        <f t="shared" si="6"/>
        <v>4.9276499999999999</v>
      </c>
      <c r="I31" s="290">
        <v>0</v>
      </c>
      <c r="J31" s="205">
        <f t="shared" si="0"/>
        <v>0</v>
      </c>
      <c r="K31" s="290">
        <v>240</v>
      </c>
      <c r="L31" s="205">
        <f t="shared" si="16"/>
        <v>2.0747999999999998</v>
      </c>
      <c r="M31" s="290">
        <v>10</v>
      </c>
      <c r="N31" s="205">
        <f t="shared" si="13"/>
        <v>8.6449999999999999E-2</v>
      </c>
      <c r="O31" s="290">
        <v>42</v>
      </c>
      <c r="P31" s="205">
        <f t="shared" si="14"/>
        <v>0.36309000000000002</v>
      </c>
      <c r="Q31" s="290">
        <v>0</v>
      </c>
      <c r="R31" s="205">
        <f t="shared" si="17"/>
        <v>0</v>
      </c>
      <c r="S31" s="39">
        <f t="shared" si="7"/>
        <v>278</v>
      </c>
      <c r="T31" s="38">
        <f t="shared" si="4"/>
        <v>2.4033099999999998</v>
      </c>
      <c r="U31" s="290">
        <v>355</v>
      </c>
      <c r="V31" s="13">
        <f t="shared" si="8"/>
        <v>3.068975</v>
      </c>
      <c r="W31" s="294">
        <f t="shared" si="9"/>
        <v>633</v>
      </c>
      <c r="X31" s="295">
        <f t="shared" si="10"/>
        <v>5.4722850000000003</v>
      </c>
      <c r="Y31" s="238">
        <v>500</v>
      </c>
      <c r="Z31" s="101">
        <v>1500</v>
      </c>
    </row>
    <row r="32" spans="1:26" x14ac:dyDescent="0.25">
      <c r="A32" s="264">
        <v>28</v>
      </c>
      <c r="B32" s="256" t="s">
        <v>156</v>
      </c>
      <c r="C32" s="34">
        <v>140</v>
      </c>
      <c r="D32" s="35">
        <v>240</v>
      </c>
      <c r="E32" s="35">
        <v>1</v>
      </c>
      <c r="F32" s="19">
        <f t="shared" si="5"/>
        <v>3.3599999999999998E-2</v>
      </c>
      <c r="G32" s="286">
        <v>670</v>
      </c>
      <c r="H32" s="288">
        <f t="shared" si="6"/>
        <v>22.511999999999997</v>
      </c>
      <c r="I32" s="290">
        <v>0</v>
      </c>
      <c r="J32" s="205">
        <f t="shared" si="0"/>
        <v>0</v>
      </c>
      <c r="K32" s="290">
        <v>92</v>
      </c>
      <c r="L32" s="205">
        <f t="shared" si="16"/>
        <v>3.0911999999999997</v>
      </c>
      <c r="M32" s="290">
        <v>58</v>
      </c>
      <c r="N32" s="205">
        <f t="shared" si="13"/>
        <v>1.9487999999999999</v>
      </c>
      <c r="O32" s="290">
        <v>73</v>
      </c>
      <c r="P32" s="205">
        <f t="shared" si="14"/>
        <v>2.4527999999999999</v>
      </c>
      <c r="Q32" s="290">
        <v>0</v>
      </c>
      <c r="R32" s="205">
        <f>F32*Q32</f>
        <v>0</v>
      </c>
      <c r="S32" s="39">
        <f t="shared" si="7"/>
        <v>447</v>
      </c>
      <c r="T32" s="38">
        <f t="shared" si="4"/>
        <v>15.0192</v>
      </c>
      <c r="U32" s="290">
        <v>189</v>
      </c>
      <c r="V32" s="13">
        <f t="shared" si="8"/>
        <v>6.3503999999999996</v>
      </c>
      <c r="W32" s="294">
        <f t="shared" si="9"/>
        <v>636</v>
      </c>
      <c r="X32" s="295">
        <f t="shared" si="10"/>
        <v>21.369599999999998</v>
      </c>
      <c r="Y32" s="238">
        <v>500</v>
      </c>
      <c r="Z32" s="101">
        <v>1500</v>
      </c>
    </row>
    <row r="33" spans="1:26" x14ac:dyDescent="0.25">
      <c r="A33" s="264">
        <v>29</v>
      </c>
      <c r="B33" s="256" t="s">
        <v>157</v>
      </c>
      <c r="C33" s="34">
        <v>140</v>
      </c>
      <c r="D33" s="35">
        <v>240</v>
      </c>
      <c r="E33" s="35">
        <v>2</v>
      </c>
      <c r="F33" s="19">
        <f t="shared" si="5"/>
        <v>6.7199999999999996E-2</v>
      </c>
      <c r="G33" s="286">
        <v>17</v>
      </c>
      <c r="H33" s="288">
        <f t="shared" si="6"/>
        <v>1.1423999999999999</v>
      </c>
      <c r="I33" s="290">
        <v>0</v>
      </c>
      <c r="J33" s="205">
        <f t="shared" si="0"/>
        <v>0</v>
      </c>
      <c r="K33" s="290">
        <v>9</v>
      </c>
      <c r="L33" s="205">
        <f t="shared" si="16"/>
        <v>0.6048</v>
      </c>
      <c r="M33" s="290">
        <v>14</v>
      </c>
      <c r="N33" s="205">
        <f t="shared" si="13"/>
        <v>0.94079999999999997</v>
      </c>
      <c r="O33" s="290">
        <v>16</v>
      </c>
      <c r="P33" s="205">
        <f t="shared" si="14"/>
        <v>1.0751999999999999</v>
      </c>
      <c r="Q33" s="290">
        <v>0</v>
      </c>
      <c r="R33" s="205">
        <f>F33*Q33</f>
        <v>0</v>
      </c>
      <c r="S33" s="39">
        <f t="shared" si="7"/>
        <v>-22</v>
      </c>
      <c r="T33" s="38">
        <f t="shared" si="4"/>
        <v>-1.4783999999999999</v>
      </c>
      <c r="U33" s="290">
        <v>109</v>
      </c>
      <c r="V33" s="13">
        <f t="shared" si="8"/>
        <v>7.3247999999999998</v>
      </c>
      <c r="W33" s="294">
        <f t="shared" si="9"/>
        <v>87</v>
      </c>
      <c r="X33" s="295">
        <f t="shared" si="10"/>
        <v>5.8464</v>
      </c>
      <c r="Y33" s="238">
        <v>75</v>
      </c>
      <c r="Z33" s="101">
        <v>150</v>
      </c>
    </row>
    <row r="34" spans="1:26" x14ac:dyDescent="0.25">
      <c r="A34" s="264">
        <v>30</v>
      </c>
      <c r="B34" s="256" t="s">
        <v>158</v>
      </c>
      <c r="C34" s="34">
        <v>140</v>
      </c>
      <c r="D34" s="35">
        <v>240</v>
      </c>
      <c r="E34" s="35">
        <v>3</v>
      </c>
      <c r="F34" s="19">
        <f t="shared" si="5"/>
        <v>0.1008</v>
      </c>
      <c r="G34" s="286">
        <v>125</v>
      </c>
      <c r="H34" s="288">
        <f t="shared" si="6"/>
        <v>12.6</v>
      </c>
      <c r="I34" s="290">
        <v>0</v>
      </c>
      <c r="J34" s="205">
        <f>F34*I34</f>
        <v>0</v>
      </c>
      <c r="K34" s="290">
        <v>15</v>
      </c>
      <c r="L34" s="205">
        <f t="shared" si="16"/>
        <v>1.512</v>
      </c>
      <c r="M34" s="290">
        <v>41</v>
      </c>
      <c r="N34" s="205">
        <f t="shared" si="13"/>
        <v>4.1327999999999996</v>
      </c>
      <c r="O34" s="290">
        <v>5</v>
      </c>
      <c r="P34" s="205">
        <f t="shared" si="14"/>
        <v>0.504</v>
      </c>
      <c r="Q34" s="290">
        <v>0</v>
      </c>
      <c r="R34" s="205">
        <f t="shared" si="17"/>
        <v>0</v>
      </c>
      <c r="S34" s="39">
        <f t="shared" si="7"/>
        <v>64</v>
      </c>
      <c r="T34" s="38">
        <f t="shared" si="4"/>
        <v>6.4512</v>
      </c>
      <c r="U34" s="290">
        <v>96</v>
      </c>
      <c r="V34" s="13">
        <f t="shared" si="8"/>
        <v>9.6768000000000001</v>
      </c>
      <c r="W34" s="294">
        <f t="shared" si="9"/>
        <v>160</v>
      </c>
      <c r="X34" s="295">
        <f t="shared" si="10"/>
        <v>16.128</v>
      </c>
      <c r="Y34" s="238">
        <v>75</v>
      </c>
      <c r="Z34" s="101">
        <v>150</v>
      </c>
    </row>
    <row r="35" spans="1:26" x14ac:dyDescent="0.25">
      <c r="A35" s="264">
        <v>31</v>
      </c>
      <c r="B35" s="256" t="s">
        <v>159</v>
      </c>
      <c r="C35" s="34">
        <v>140</v>
      </c>
      <c r="D35" s="35">
        <v>240</v>
      </c>
      <c r="E35" s="35">
        <v>4</v>
      </c>
      <c r="F35" s="19">
        <f t="shared" si="5"/>
        <v>0.13439999999999999</v>
      </c>
      <c r="G35" s="286">
        <v>95</v>
      </c>
      <c r="H35" s="288">
        <f t="shared" si="6"/>
        <v>12.767999999999999</v>
      </c>
      <c r="I35" s="290">
        <v>0</v>
      </c>
      <c r="J35" s="205">
        <f t="shared" si="0"/>
        <v>0</v>
      </c>
      <c r="K35" s="290">
        <v>4</v>
      </c>
      <c r="L35" s="205">
        <f t="shared" si="16"/>
        <v>0.53759999999999997</v>
      </c>
      <c r="M35" s="290">
        <v>3</v>
      </c>
      <c r="N35" s="205">
        <f t="shared" si="13"/>
        <v>0.4032</v>
      </c>
      <c r="O35" s="290">
        <v>10</v>
      </c>
      <c r="P35" s="205">
        <f t="shared" si="14"/>
        <v>1.3439999999999999</v>
      </c>
      <c r="Q35" s="290">
        <v>0</v>
      </c>
      <c r="R35" s="205">
        <f t="shared" si="17"/>
        <v>0</v>
      </c>
      <c r="S35" s="39">
        <f t="shared" si="7"/>
        <v>78</v>
      </c>
      <c r="T35" s="38">
        <f t="shared" si="4"/>
        <v>10.4832</v>
      </c>
      <c r="U35" s="290">
        <v>0</v>
      </c>
      <c r="V35" s="13">
        <f t="shared" si="8"/>
        <v>0</v>
      </c>
      <c r="W35" s="294">
        <f t="shared" si="9"/>
        <v>78</v>
      </c>
      <c r="X35" s="295">
        <f t="shared" si="10"/>
        <v>10.4832</v>
      </c>
      <c r="Y35" s="238">
        <v>50</v>
      </c>
      <c r="Z35" s="101">
        <v>100</v>
      </c>
    </row>
    <row r="36" spans="1:26" x14ac:dyDescent="0.25">
      <c r="A36" s="264">
        <v>32</v>
      </c>
      <c r="B36" s="256" t="s">
        <v>160</v>
      </c>
      <c r="C36" s="34">
        <v>140</v>
      </c>
      <c r="D36" s="35">
        <v>240</v>
      </c>
      <c r="E36" s="35">
        <v>2</v>
      </c>
      <c r="F36" s="19">
        <f t="shared" si="5"/>
        <v>6.7199999999999996E-2</v>
      </c>
      <c r="G36" s="286">
        <v>130</v>
      </c>
      <c r="H36" s="288">
        <f t="shared" si="6"/>
        <v>8.7359999999999989</v>
      </c>
      <c r="I36" s="290">
        <v>0</v>
      </c>
      <c r="J36" s="205">
        <f>F36*I36</f>
        <v>0</v>
      </c>
      <c r="K36" s="290">
        <v>16</v>
      </c>
      <c r="L36" s="205">
        <f t="shared" si="16"/>
        <v>1.0751999999999999</v>
      </c>
      <c r="M36" s="290">
        <v>11</v>
      </c>
      <c r="N36" s="205">
        <f t="shared" si="13"/>
        <v>0.73919999999999997</v>
      </c>
      <c r="O36" s="290">
        <v>33</v>
      </c>
      <c r="P36" s="205">
        <f t="shared" si="14"/>
        <v>2.2176</v>
      </c>
      <c r="Q36" s="290">
        <v>0</v>
      </c>
      <c r="R36" s="205">
        <f t="shared" si="17"/>
        <v>0</v>
      </c>
      <c r="S36" s="39">
        <f t="shared" si="7"/>
        <v>70</v>
      </c>
      <c r="T36" s="38">
        <f t="shared" si="4"/>
        <v>4.7039999999999997</v>
      </c>
      <c r="U36" s="290">
        <v>140</v>
      </c>
      <c r="V36" s="13">
        <f t="shared" si="8"/>
        <v>9.4079999999999995</v>
      </c>
      <c r="W36" s="294">
        <f t="shared" si="9"/>
        <v>210</v>
      </c>
      <c r="X36" s="295">
        <f t="shared" si="10"/>
        <v>14.111999999999998</v>
      </c>
      <c r="Y36" s="238">
        <v>200</v>
      </c>
      <c r="Z36" s="101">
        <v>300</v>
      </c>
    </row>
    <row r="37" spans="1:26" x14ac:dyDescent="0.25">
      <c r="A37" s="264">
        <v>33</v>
      </c>
      <c r="B37" s="256" t="s">
        <v>161</v>
      </c>
      <c r="C37" s="34">
        <v>140</v>
      </c>
      <c r="D37" s="35">
        <v>240</v>
      </c>
      <c r="E37" s="35">
        <v>6</v>
      </c>
      <c r="F37" s="19">
        <f t="shared" si="5"/>
        <v>0.2016</v>
      </c>
      <c r="G37" s="286">
        <v>48</v>
      </c>
      <c r="H37" s="288">
        <f t="shared" si="6"/>
        <v>9.6768000000000001</v>
      </c>
      <c r="I37" s="290">
        <v>0</v>
      </c>
      <c r="J37" s="205">
        <f t="shared" si="0"/>
        <v>0</v>
      </c>
      <c r="K37" s="290">
        <v>4</v>
      </c>
      <c r="L37" s="205">
        <f>F37*K37</f>
        <v>0.80640000000000001</v>
      </c>
      <c r="M37" s="290">
        <v>0</v>
      </c>
      <c r="N37" s="205">
        <f t="shared" si="13"/>
        <v>0</v>
      </c>
      <c r="O37" s="290">
        <v>0</v>
      </c>
      <c r="P37" s="21">
        <v>0</v>
      </c>
      <c r="Q37" s="290">
        <v>0</v>
      </c>
      <c r="R37" s="205">
        <f t="shared" si="17"/>
        <v>0</v>
      </c>
      <c r="S37" s="39">
        <f t="shared" si="7"/>
        <v>44</v>
      </c>
      <c r="T37" s="38">
        <f t="shared" si="4"/>
        <v>8.8704000000000001</v>
      </c>
      <c r="U37" s="290">
        <v>0</v>
      </c>
      <c r="V37" s="13">
        <f t="shared" si="8"/>
        <v>0</v>
      </c>
      <c r="W37" s="294">
        <f t="shared" si="9"/>
        <v>44</v>
      </c>
      <c r="X37" s="295">
        <f t="shared" si="10"/>
        <v>8.8704000000000001</v>
      </c>
      <c r="Y37" s="238">
        <v>10</v>
      </c>
      <c r="Z37" s="101">
        <v>30</v>
      </c>
    </row>
    <row r="38" spans="1:26" x14ac:dyDescent="0.25">
      <c r="A38" s="264">
        <v>34</v>
      </c>
      <c r="B38" s="256" t="s">
        <v>181</v>
      </c>
      <c r="C38" s="34">
        <v>80</v>
      </c>
      <c r="D38" s="35">
        <v>75</v>
      </c>
      <c r="E38" s="35">
        <v>5</v>
      </c>
      <c r="F38" s="19">
        <f t="shared" si="5"/>
        <v>0.03</v>
      </c>
      <c r="G38" s="286">
        <v>68</v>
      </c>
      <c r="H38" s="288">
        <f t="shared" si="6"/>
        <v>2.04</v>
      </c>
      <c r="I38" s="290">
        <v>0</v>
      </c>
      <c r="J38" s="205">
        <f t="shared" si="0"/>
        <v>0</v>
      </c>
      <c r="K38" s="290">
        <v>0</v>
      </c>
      <c r="L38" s="205">
        <f t="shared" si="0"/>
        <v>0</v>
      </c>
      <c r="M38" s="290">
        <v>0</v>
      </c>
      <c r="N38" s="21">
        <v>0</v>
      </c>
      <c r="O38" s="290">
        <v>0</v>
      </c>
      <c r="P38" s="21">
        <v>0</v>
      </c>
      <c r="Q38" s="290">
        <v>0</v>
      </c>
      <c r="R38" s="21">
        <v>0</v>
      </c>
      <c r="S38" s="39">
        <f t="shared" si="7"/>
        <v>68</v>
      </c>
      <c r="T38" s="38">
        <f t="shared" si="4"/>
        <v>2.04</v>
      </c>
      <c r="U38" s="290">
        <v>0</v>
      </c>
      <c r="V38" s="13">
        <f t="shared" si="8"/>
        <v>0</v>
      </c>
      <c r="W38" s="294">
        <f t="shared" si="9"/>
        <v>68</v>
      </c>
      <c r="X38" s="295">
        <f t="shared" si="10"/>
        <v>2.04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182</v>
      </c>
      <c r="C39" s="34">
        <v>100</v>
      </c>
      <c r="D39" s="35">
        <v>95</v>
      </c>
      <c r="E39" s="35">
        <v>5</v>
      </c>
      <c r="F39" s="19">
        <f t="shared" si="5"/>
        <v>4.7500000000000001E-2</v>
      </c>
      <c r="G39" s="286">
        <v>137</v>
      </c>
      <c r="H39" s="288">
        <f t="shared" si="6"/>
        <v>6.5075000000000003</v>
      </c>
      <c r="I39" s="290">
        <v>0</v>
      </c>
      <c r="J39" s="205">
        <f t="shared" si="0"/>
        <v>0</v>
      </c>
      <c r="K39" s="290">
        <v>0</v>
      </c>
      <c r="L39" s="205">
        <f>F39*K39</f>
        <v>0</v>
      </c>
      <c r="M39" s="290">
        <v>0</v>
      </c>
      <c r="N39" s="205">
        <f>F39*M39</f>
        <v>0</v>
      </c>
      <c r="O39" s="290">
        <v>0</v>
      </c>
      <c r="P39" s="205">
        <f>J39*O39</f>
        <v>0</v>
      </c>
      <c r="Q39" s="290">
        <v>0</v>
      </c>
      <c r="R39" s="205">
        <f>L39*Q39</f>
        <v>0</v>
      </c>
      <c r="S39" s="39">
        <f t="shared" si="7"/>
        <v>137</v>
      </c>
      <c r="T39" s="38">
        <f t="shared" si="4"/>
        <v>6.5075000000000003</v>
      </c>
      <c r="U39" s="290">
        <v>0</v>
      </c>
      <c r="V39" s="13">
        <f t="shared" si="8"/>
        <v>0</v>
      </c>
      <c r="W39" s="294">
        <f t="shared" si="9"/>
        <v>137</v>
      </c>
      <c r="X39" s="295">
        <f t="shared" si="10"/>
        <v>6.5075000000000003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196</v>
      </c>
      <c r="C40" s="34">
        <v>65</v>
      </c>
      <c r="D40" s="35">
        <v>60</v>
      </c>
      <c r="E40" s="35">
        <v>5</v>
      </c>
      <c r="F40" s="19">
        <f t="shared" si="5"/>
        <v>1.95E-2</v>
      </c>
      <c r="G40" s="286">
        <v>172</v>
      </c>
      <c r="H40" s="288">
        <f t="shared" si="6"/>
        <v>3.3540000000000001</v>
      </c>
      <c r="I40" s="290">
        <v>0</v>
      </c>
      <c r="J40" s="205">
        <f t="shared" si="0"/>
        <v>0</v>
      </c>
      <c r="K40" s="290">
        <v>0</v>
      </c>
      <c r="L40" s="205">
        <f>F40*K40</f>
        <v>0</v>
      </c>
      <c r="M40" s="290">
        <v>0</v>
      </c>
      <c r="N40" s="205">
        <f>F40*M40</f>
        <v>0</v>
      </c>
      <c r="O40" s="290">
        <v>0</v>
      </c>
      <c r="P40" s="205">
        <f>F40*O40</f>
        <v>0</v>
      </c>
      <c r="Q40" s="290">
        <v>0</v>
      </c>
      <c r="R40" s="205">
        <f>F40*Q40</f>
        <v>0</v>
      </c>
      <c r="S40" s="39">
        <f t="shared" si="7"/>
        <v>172</v>
      </c>
      <c r="T40" s="38">
        <f t="shared" si="4"/>
        <v>3.3540000000000001</v>
      </c>
      <c r="U40" s="290">
        <v>0</v>
      </c>
      <c r="V40" s="13">
        <f t="shared" si="8"/>
        <v>0</v>
      </c>
      <c r="W40" s="294">
        <f t="shared" si="9"/>
        <v>172</v>
      </c>
      <c r="X40" s="295">
        <f t="shared" si="10"/>
        <v>3.3540000000000001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165</v>
      </c>
      <c r="C41" s="34">
        <v>140</v>
      </c>
      <c r="D41" s="35">
        <v>240</v>
      </c>
      <c r="E41" s="35">
        <v>10</v>
      </c>
      <c r="F41" s="19">
        <f t="shared" si="5"/>
        <v>0.33600000000000002</v>
      </c>
      <c r="G41" s="286">
        <v>63</v>
      </c>
      <c r="H41" s="288">
        <f t="shared" si="6"/>
        <v>21.168000000000003</v>
      </c>
      <c r="I41" s="290">
        <v>0</v>
      </c>
      <c r="J41" s="205">
        <f>F41*I41</f>
        <v>0</v>
      </c>
      <c r="K41" s="290">
        <v>8</v>
      </c>
      <c r="L41" s="205">
        <f>F41*K41</f>
        <v>2.6880000000000002</v>
      </c>
      <c r="M41" s="290">
        <v>10</v>
      </c>
      <c r="N41" s="205">
        <f>F41*M41</f>
        <v>3.3600000000000003</v>
      </c>
      <c r="O41" s="290">
        <v>3</v>
      </c>
      <c r="P41" s="205">
        <f>F41*O41</f>
        <v>1.008</v>
      </c>
      <c r="Q41" s="290">
        <v>0</v>
      </c>
      <c r="R41" s="205">
        <f>F41*Q41</f>
        <v>0</v>
      </c>
      <c r="S41" s="39">
        <f t="shared" si="7"/>
        <v>42</v>
      </c>
      <c r="T41" s="38">
        <f t="shared" si="4"/>
        <v>14.112</v>
      </c>
      <c r="U41" s="290">
        <v>0</v>
      </c>
      <c r="V41" s="13">
        <f t="shared" si="8"/>
        <v>0</v>
      </c>
      <c r="W41" s="294">
        <f t="shared" si="9"/>
        <v>42</v>
      </c>
      <c r="X41" s="295">
        <f t="shared" si="10"/>
        <v>14.112</v>
      </c>
      <c r="Y41" s="238">
        <v>50</v>
      </c>
      <c r="Z41" s="101">
        <v>100</v>
      </c>
    </row>
    <row r="42" spans="1:26" x14ac:dyDescent="0.25">
      <c r="A42" s="264">
        <v>38</v>
      </c>
      <c r="B42" s="256" t="s">
        <v>166</v>
      </c>
      <c r="C42" s="34">
        <v>92</v>
      </c>
      <c r="D42" s="35">
        <v>82</v>
      </c>
      <c r="E42" s="35">
        <v>2</v>
      </c>
      <c r="F42" s="19">
        <f t="shared" si="5"/>
        <v>1.5088000000000001E-2</v>
      </c>
      <c r="G42" s="286">
        <v>550</v>
      </c>
      <c r="H42" s="288">
        <f t="shared" si="6"/>
        <v>8.2984000000000009</v>
      </c>
      <c r="I42" s="290">
        <v>0</v>
      </c>
      <c r="J42" s="205">
        <f t="shared" si="0"/>
        <v>0</v>
      </c>
      <c r="K42" s="290">
        <v>0</v>
      </c>
      <c r="L42" s="205">
        <f>F42*K42</f>
        <v>0</v>
      </c>
      <c r="M42" s="290">
        <v>0</v>
      </c>
      <c r="N42" s="205">
        <f>F42*M42</f>
        <v>0</v>
      </c>
      <c r="O42" s="290">
        <v>0</v>
      </c>
      <c r="P42" s="205">
        <f>F42*O42</f>
        <v>0</v>
      </c>
      <c r="Q42" s="290">
        <v>0</v>
      </c>
      <c r="R42" s="205">
        <f>F42*Q42</f>
        <v>0</v>
      </c>
      <c r="S42" s="39">
        <f t="shared" si="7"/>
        <v>550</v>
      </c>
      <c r="T42" s="38">
        <f t="shared" si="4"/>
        <v>8.2984000000000009</v>
      </c>
      <c r="U42" s="290">
        <v>0</v>
      </c>
      <c r="V42" s="13">
        <f t="shared" si="8"/>
        <v>0</v>
      </c>
      <c r="W42" s="294">
        <f t="shared" si="9"/>
        <v>550</v>
      </c>
      <c r="X42" s="295">
        <f t="shared" si="10"/>
        <v>8.2984000000000009</v>
      </c>
      <c r="Y42" s="238">
        <v>100</v>
      </c>
      <c r="Z42" s="101">
        <v>300</v>
      </c>
    </row>
    <row r="43" spans="1:26" x14ac:dyDescent="0.25">
      <c r="A43" s="264">
        <v>39</v>
      </c>
      <c r="B43" s="256" t="s">
        <v>183</v>
      </c>
      <c r="C43" s="34">
        <v>90</v>
      </c>
      <c r="D43" s="35">
        <v>90</v>
      </c>
      <c r="E43" s="35">
        <v>3</v>
      </c>
      <c r="F43" s="19">
        <f t="shared" si="5"/>
        <v>2.4299999999999999E-2</v>
      </c>
      <c r="G43" s="286">
        <v>148</v>
      </c>
      <c r="H43" s="288">
        <f t="shared" si="6"/>
        <v>3.5963999999999996</v>
      </c>
      <c r="I43" s="290">
        <v>0</v>
      </c>
      <c r="J43" s="205">
        <f t="shared" si="0"/>
        <v>0</v>
      </c>
      <c r="K43" s="290">
        <v>0</v>
      </c>
      <c r="L43" s="205">
        <f t="shared" si="0"/>
        <v>0</v>
      </c>
      <c r="M43" s="290">
        <v>0</v>
      </c>
      <c r="N43" s="21">
        <v>0</v>
      </c>
      <c r="O43" s="290">
        <v>0</v>
      </c>
      <c r="P43" s="21">
        <v>0</v>
      </c>
      <c r="Q43" s="290">
        <v>0</v>
      </c>
      <c r="R43" s="21">
        <v>0</v>
      </c>
      <c r="S43" s="39">
        <f t="shared" si="7"/>
        <v>148</v>
      </c>
      <c r="T43" s="38">
        <f t="shared" si="4"/>
        <v>3.5963999999999996</v>
      </c>
      <c r="U43" s="290">
        <v>0</v>
      </c>
      <c r="V43" s="13">
        <f t="shared" si="8"/>
        <v>0</v>
      </c>
      <c r="W43" s="294">
        <f t="shared" si="9"/>
        <v>148</v>
      </c>
      <c r="X43" s="295">
        <f t="shared" si="10"/>
        <v>3.5963999999999996</v>
      </c>
      <c r="Y43" s="238">
        <v>0</v>
      </c>
      <c r="Z43" s="101">
        <v>0</v>
      </c>
    </row>
    <row r="44" spans="1:26" x14ac:dyDescent="0.25">
      <c r="A44" s="264">
        <v>40</v>
      </c>
      <c r="B44" s="256" t="s">
        <v>168</v>
      </c>
      <c r="C44" s="34">
        <v>140</v>
      </c>
      <c r="D44" s="35">
        <v>240</v>
      </c>
      <c r="E44" s="35">
        <v>3</v>
      </c>
      <c r="F44" s="19">
        <f t="shared" si="5"/>
        <v>0.1008</v>
      </c>
      <c r="G44" s="286">
        <v>0</v>
      </c>
      <c r="H44" s="288">
        <f t="shared" si="6"/>
        <v>0</v>
      </c>
      <c r="I44" s="290">
        <v>0</v>
      </c>
      <c r="J44" s="205">
        <f t="shared" si="0"/>
        <v>0</v>
      </c>
      <c r="K44" s="290">
        <v>0</v>
      </c>
      <c r="L44" s="205">
        <f t="shared" ref="L44:L52" si="18">F44*K44</f>
        <v>0</v>
      </c>
      <c r="M44" s="290">
        <v>0</v>
      </c>
      <c r="N44" s="205">
        <f t="shared" ref="N44:N70" si="19">F44*M44</f>
        <v>0</v>
      </c>
      <c r="O44" s="290">
        <v>0</v>
      </c>
      <c r="P44" s="205">
        <f t="shared" ref="P44:P66" si="20">F44*O44</f>
        <v>0</v>
      </c>
      <c r="Q44" s="290">
        <v>0</v>
      </c>
      <c r="R44" s="205">
        <f t="shared" ref="R44:R58" si="21">F44*Q44</f>
        <v>0</v>
      </c>
      <c r="S44" s="39">
        <f t="shared" si="7"/>
        <v>0</v>
      </c>
      <c r="T44" s="38">
        <f t="shared" si="4"/>
        <v>0</v>
      </c>
      <c r="U44" s="290">
        <v>0</v>
      </c>
      <c r="V44" s="13">
        <f t="shared" si="8"/>
        <v>0</v>
      </c>
      <c r="W44" s="294">
        <f t="shared" si="9"/>
        <v>0</v>
      </c>
      <c r="X44" s="295">
        <f t="shared" si="10"/>
        <v>0</v>
      </c>
      <c r="Y44" s="238">
        <v>0</v>
      </c>
      <c r="Z44" s="101">
        <v>0</v>
      </c>
    </row>
    <row r="45" spans="1:26" x14ac:dyDescent="0.25">
      <c r="A45" s="264">
        <v>41</v>
      </c>
      <c r="B45" s="256" t="s">
        <v>169</v>
      </c>
      <c r="C45" s="34">
        <v>82</v>
      </c>
      <c r="D45" s="34">
        <v>80</v>
      </c>
      <c r="E45" s="34">
        <v>2</v>
      </c>
      <c r="F45" s="19">
        <f t="shared" si="5"/>
        <v>1.312E-2</v>
      </c>
      <c r="G45" s="284">
        <v>786</v>
      </c>
      <c r="H45" s="288">
        <f t="shared" si="6"/>
        <v>10.31232</v>
      </c>
      <c r="I45" s="290">
        <v>0</v>
      </c>
      <c r="J45" s="205">
        <f t="shared" si="0"/>
        <v>0</v>
      </c>
      <c r="K45" s="290">
        <v>0</v>
      </c>
      <c r="L45" s="205">
        <f t="shared" si="18"/>
        <v>0</v>
      </c>
      <c r="M45" s="290">
        <v>0</v>
      </c>
      <c r="N45" s="205">
        <f t="shared" si="19"/>
        <v>0</v>
      </c>
      <c r="O45" s="290">
        <v>0</v>
      </c>
      <c r="P45" s="205">
        <f t="shared" si="20"/>
        <v>0</v>
      </c>
      <c r="Q45" s="290">
        <v>0</v>
      </c>
      <c r="R45" s="205">
        <f t="shared" si="21"/>
        <v>0</v>
      </c>
      <c r="S45" s="39">
        <f t="shared" si="7"/>
        <v>786</v>
      </c>
      <c r="T45" s="38">
        <f t="shared" si="4"/>
        <v>10.31232</v>
      </c>
      <c r="U45" s="290">
        <v>0</v>
      </c>
      <c r="V45" s="13">
        <f t="shared" si="8"/>
        <v>0</v>
      </c>
      <c r="W45" s="294">
        <f t="shared" si="9"/>
        <v>786</v>
      </c>
      <c r="X45" s="295">
        <f t="shared" si="10"/>
        <v>10.31232</v>
      </c>
      <c r="Y45" s="238">
        <v>100</v>
      </c>
      <c r="Z45" s="101">
        <v>300</v>
      </c>
    </row>
    <row r="46" spans="1:26" x14ac:dyDescent="0.25">
      <c r="A46" s="264">
        <v>42</v>
      </c>
      <c r="B46" s="256" t="s">
        <v>170</v>
      </c>
      <c r="C46" s="34">
        <v>90</v>
      </c>
      <c r="D46" s="34">
        <v>83</v>
      </c>
      <c r="E46" s="34">
        <v>2</v>
      </c>
      <c r="F46" s="19">
        <f t="shared" si="5"/>
        <v>1.494E-2</v>
      </c>
      <c r="G46" s="284">
        <v>0</v>
      </c>
      <c r="H46" s="288">
        <f t="shared" si="6"/>
        <v>0</v>
      </c>
      <c r="I46" s="290">
        <v>0</v>
      </c>
      <c r="J46" s="205">
        <f t="shared" si="0"/>
        <v>0</v>
      </c>
      <c r="K46" s="290">
        <v>0</v>
      </c>
      <c r="L46" s="205">
        <f t="shared" si="18"/>
        <v>0</v>
      </c>
      <c r="M46" s="290">
        <v>0</v>
      </c>
      <c r="N46" s="205">
        <f t="shared" si="19"/>
        <v>0</v>
      </c>
      <c r="O46" s="290">
        <v>0</v>
      </c>
      <c r="P46" s="205">
        <f t="shared" si="20"/>
        <v>0</v>
      </c>
      <c r="Q46" s="290">
        <v>0</v>
      </c>
      <c r="R46" s="205">
        <f t="shared" si="21"/>
        <v>0</v>
      </c>
      <c r="S46" s="39">
        <f t="shared" si="7"/>
        <v>0</v>
      </c>
      <c r="T46" s="38">
        <f t="shared" si="4"/>
        <v>0</v>
      </c>
      <c r="U46" s="290">
        <v>0</v>
      </c>
      <c r="V46" s="13">
        <f t="shared" si="8"/>
        <v>0</v>
      </c>
      <c r="W46" s="294">
        <f t="shared" si="9"/>
        <v>0</v>
      </c>
      <c r="X46" s="295">
        <f t="shared" si="10"/>
        <v>0</v>
      </c>
      <c r="Y46" s="238">
        <v>100</v>
      </c>
      <c r="Z46" s="101">
        <v>300</v>
      </c>
    </row>
    <row r="47" spans="1:26" x14ac:dyDescent="0.25">
      <c r="A47" s="264">
        <v>43</v>
      </c>
      <c r="B47" s="256" t="s">
        <v>184</v>
      </c>
      <c r="C47" s="34">
        <v>112</v>
      </c>
      <c r="D47" s="34">
        <v>67</v>
      </c>
      <c r="E47" s="34">
        <v>3</v>
      </c>
      <c r="F47" s="19">
        <f t="shared" si="5"/>
        <v>2.2512000000000001E-2</v>
      </c>
      <c r="G47" s="284">
        <v>63</v>
      </c>
      <c r="H47" s="288">
        <f t="shared" si="6"/>
        <v>1.418256</v>
      </c>
      <c r="I47" s="290">
        <v>0</v>
      </c>
      <c r="J47" s="205">
        <f t="shared" si="0"/>
        <v>0</v>
      </c>
      <c r="K47" s="290">
        <v>0</v>
      </c>
      <c r="L47" s="205">
        <f t="shared" si="18"/>
        <v>0</v>
      </c>
      <c r="M47" s="290">
        <v>0</v>
      </c>
      <c r="N47" s="205">
        <f t="shared" si="19"/>
        <v>0</v>
      </c>
      <c r="O47" s="290">
        <v>0</v>
      </c>
      <c r="P47" s="205">
        <f t="shared" si="20"/>
        <v>0</v>
      </c>
      <c r="Q47" s="290">
        <v>0</v>
      </c>
      <c r="R47" s="205">
        <f t="shared" si="21"/>
        <v>0</v>
      </c>
      <c r="S47" s="39">
        <f t="shared" si="7"/>
        <v>63</v>
      </c>
      <c r="T47" s="38">
        <f t="shared" si="4"/>
        <v>1.418256</v>
      </c>
      <c r="U47" s="290">
        <v>0</v>
      </c>
      <c r="V47" s="13">
        <f t="shared" si="8"/>
        <v>0</v>
      </c>
      <c r="W47" s="294">
        <f t="shared" si="9"/>
        <v>63</v>
      </c>
      <c r="X47" s="295">
        <f t="shared" si="10"/>
        <v>1.418256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189</v>
      </c>
      <c r="C48" s="34">
        <v>70</v>
      </c>
      <c r="D48" s="34">
        <v>54</v>
      </c>
      <c r="E48" s="34">
        <v>7</v>
      </c>
      <c r="F48" s="19">
        <f t="shared" si="5"/>
        <v>2.6460000000000001E-2</v>
      </c>
      <c r="G48" s="284">
        <v>0</v>
      </c>
      <c r="H48" s="288">
        <f t="shared" si="6"/>
        <v>0</v>
      </c>
      <c r="I48" s="290">
        <v>0</v>
      </c>
      <c r="J48" s="205">
        <f t="shared" si="0"/>
        <v>0</v>
      </c>
      <c r="K48" s="290">
        <v>0</v>
      </c>
      <c r="L48" s="205">
        <f t="shared" si="18"/>
        <v>0</v>
      </c>
      <c r="M48" s="290">
        <v>0</v>
      </c>
      <c r="N48" s="205">
        <f t="shared" si="19"/>
        <v>0</v>
      </c>
      <c r="O48" s="290">
        <v>0</v>
      </c>
      <c r="P48" s="205">
        <f t="shared" si="20"/>
        <v>0</v>
      </c>
      <c r="Q48" s="290">
        <v>0</v>
      </c>
      <c r="R48" s="205">
        <f t="shared" si="21"/>
        <v>0</v>
      </c>
      <c r="S48" s="39">
        <f t="shared" si="7"/>
        <v>0</v>
      </c>
      <c r="T48" s="38">
        <f t="shared" si="4"/>
        <v>0</v>
      </c>
      <c r="U48" s="290">
        <v>0</v>
      </c>
      <c r="V48" s="13">
        <f t="shared" si="8"/>
        <v>0</v>
      </c>
      <c r="W48" s="294">
        <f t="shared" si="9"/>
        <v>0</v>
      </c>
      <c r="X48" s="295">
        <f t="shared" si="10"/>
        <v>0</v>
      </c>
      <c r="Y48" s="238">
        <v>0</v>
      </c>
      <c r="Z48" s="101">
        <v>0</v>
      </c>
    </row>
    <row r="49" spans="1:26" x14ac:dyDescent="0.25">
      <c r="A49" s="264">
        <v>45</v>
      </c>
      <c r="B49" s="256" t="s">
        <v>174</v>
      </c>
      <c r="C49" s="34">
        <v>140</v>
      </c>
      <c r="D49" s="34">
        <v>240</v>
      </c>
      <c r="E49" s="34">
        <v>14</v>
      </c>
      <c r="F49" s="19">
        <f t="shared" si="5"/>
        <v>0.47039999999999998</v>
      </c>
      <c r="G49" s="284">
        <v>8</v>
      </c>
      <c r="H49" s="288">
        <f t="shared" si="6"/>
        <v>3.7631999999999999</v>
      </c>
      <c r="I49" s="290">
        <v>0</v>
      </c>
      <c r="J49" s="205">
        <f t="shared" si="0"/>
        <v>0</v>
      </c>
      <c r="K49" s="290">
        <v>0</v>
      </c>
      <c r="L49" s="205">
        <f t="shared" si="18"/>
        <v>0</v>
      </c>
      <c r="M49" s="290">
        <v>0</v>
      </c>
      <c r="N49" s="205">
        <f t="shared" si="19"/>
        <v>0</v>
      </c>
      <c r="O49" s="290">
        <v>0</v>
      </c>
      <c r="P49" s="205">
        <f t="shared" si="20"/>
        <v>0</v>
      </c>
      <c r="Q49" s="290">
        <v>0</v>
      </c>
      <c r="R49" s="205">
        <f t="shared" si="21"/>
        <v>0</v>
      </c>
      <c r="S49" s="39">
        <f t="shared" si="7"/>
        <v>8</v>
      </c>
      <c r="T49" s="38">
        <f t="shared" si="4"/>
        <v>3.7631999999999999</v>
      </c>
      <c r="U49" s="290">
        <v>0</v>
      </c>
      <c r="V49" s="13">
        <f t="shared" si="8"/>
        <v>0</v>
      </c>
      <c r="W49" s="294">
        <f t="shared" si="9"/>
        <v>8</v>
      </c>
      <c r="X49" s="295">
        <f t="shared" si="10"/>
        <v>3.7631999999999999</v>
      </c>
      <c r="Y49" s="238">
        <v>10</v>
      </c>
      <c r="Z49" s="101">
        <v>20</v>
      </c>
    </row>
    <row r="50" spans="1:26" x14ac:dyDescent="0.25">
      <c r="A50" s="264">
        <v>46</v>
      </c>
      <c r="B50" s="256" t="s">
        <v>175</v>
      </c>
      <c r="C50" s="34">
        <v>140</v>
      </c>
      <c r="D50" s="34">
        <v>240</v>
      </c>
      <c r="E50" s="34">
        <v>12</v>
      </c>
      <c r="F50" s="19">
        <f t="shared" si="5"/>
        <v>0.4032</v>
      </c>
      <c r="G50" s="284">
        <v>13</v>
      </c>
      <c r="H50" s="288">
        <f t="shared" si="6"/>
        <v>5.2416</v>
      </c>
      <c r="I50" s="290">
        <v>0</v>
      </c>
      <c r="J50" s="205">
        <f t="shared" si="0"/>
        <v>0</v>
      </c>
      <c r="K50" s="290">
        <v>0</v>
      </c>
      <c r="L50" s="205">
        <f t="shared" si="18"/>
        <v>0</v>
      </c>
      <c r="M50" s="290">
        <v>0</v>
      </c>
      <c r="N50" s="205">
        <f t="shared" si="19"/>
        <v>0</v>
      </c>
      <c r="O50" s="290">
        <v>0</v>
      </c>
      <c r="P50" s="205">
        <f t="shared" si="20"/>
        <v>0</v>
      </c>
      <c r="Q50" s="290">
        <v>0</v>
      </c>
      <c r="R50" s="205">
        <f t="shared" si="21"/>
        <v>0</v>
      </c>
      <c r="S50" s="39">
        <f t="shared" si="7"/>
        <v>13</v>
      </c>
      <c r="T50" s="38">
        <f t="shared" si="4"/>
        <v>5.2416</v>
      </c>
      <c r="U50" s="290">
        <v>0</v>
      </c>
      <c r="V50" s="13">
        <f t="shared" si="8"/>
        <v>0</v>
      </c>
      <c r="W50" s="294">
        <f t="shared" si="9"/>
        <v>13</v>
      </c>
      <c r="X50" s="295">
        <f t="shared" si="10"/>
        <v>5.2416</v>
      </c>
      <c r="Y50" s="238">
        <v>10</v>
      </c>
      <c r="Z50" s="101">
        <v>20</v>
      </c>
    </row>
    <row r="51" spans="1:26" x14ac:dyDescent="0.25">
      <c r="A51" s="264">
        <v>47</v>
      </c>
      <c r="B51" s="256" t="s">
        <v>176</v>
      </c>
      <c r="C51" s="34">
        <v>130</v>
      </c>
      <c r="D51" s="34">
        <v>60</v>
      </c>
      <c r="E51" s="34">
        <v>5</v>
      </c>
      <c r="F51" s="19">
        <f t="shared" si="5"/>
        <v>3.9E-2</v>
      </c>
      <c r="G51" s="284">
        <v>0</v>
      </c>
      <c r="H51" s="288">
        <f t="shared" si="6"/>
        <v>0</v>
      </c>
      <c r="I51" s="290">
        <v>0</v>
      </c>
      <c r="J51" s="205">
        <f t="shared" si="0"/>
        <v>0</v>
      </c>
      <c r="K51" s="290">
        <v>0</v>
      </c>
      <c r="L51" s="205">
        <f t="shared" si="18"/>
        <v>0</v>
      </c>
      <c r="M51" s="290">
        <v>0</v>
      </c>
      <c r="N51" s="205">
        <f t="shared" si="19"/>
        <v>0</v>
      </c>
      <c r="O51" s="290">
        <v>0</v>
      </c>
      <c r="P51" s="205">
        <f t="shared" si="20"/>
        <v>0</v>
      </c>
      <c r="Q51" s="290">
        <v>0</v>
      </c>
      <c r="R51" s="205">
        <f t="shared" si="21"/>
        <v>0</v>
      </c>
      <c r="S51" s="39">
        <f t="shared" si="7"/>
        <v>0</v>
      </c>
      <c r="T51" s="38">
        <f t="shared" si="4"/>
        <v>0</v>
      </c>
      <c r="U51" s="290">
        <v>0</v>
      </c>
      <c r="V51" s="13">
        <f t="shared" si="8"/>
        <v>0</v>
      </c>
      <c r="W51" s="294">
        <f t="shared" si="9"/>
        <v>0</v>
      </c>
      <c r="X51" s="295">
        <f t="shared" si="10"/>
        <v>0</v>
      </c>
      <c r="Y51" s="238">
        <v>30</v>
      </c>
      <c r="Z51" s="101">
        <v>100</v>
      </c>
    </row>
    <row r="52" spans="1:26" x14ac:dyDescent="0.25">
      <c r="A52" s="264">
        <v>48</v>
      </c>
      <c r="B52" s="255" t="s">
        <v>178</v>
      </c>
      <c r="C52" s="34">
        <v>140</v>
      </c>
      <c r="D52" s="34">
        <v>240</v>
      </c>
      <c r="E52" s="34">
        <v>3</v>
      </c>
      <c r="F52" s="19">
        <f t="shared" si="5"/>
        <v>0.1008</v>
      </c>
      <c r="G52" s="284">
        <v>570</v>
      </c>
      <c r="H52" s="288">
        <f t="shared" si="6"/>
        <v>57.456000000000003</v>
      </c>
      <c r="I52" s="290">
        <v>0</v>
      </c>
      <c r="J52" s="205">
        <f t="shared" si="0"/>
        <v>0</v>
      </c>
      <c r="K52" s="290">
        <v>5</v>
      </c>
      <c r="L52" s="205">
        <f t="shared" si="18"/>
        <v>0.504</v>
      </c>
      <c r="M52" s="290">
        <v>23</v>
      </c>
      <c r="N52" s="205">
        <f t="shared" si="19"/>
        <v>2.3184</v>
      </c>
      <c r="O52" s="290">
        <v>2</v>
      </c>
      <c r="P52" s="205">
        <f t="shared" si="20"/>
        <v>0.2016</v>
      </c>
      <c r="Q52" s="290">
        <v>0</v>
      </c>
      <c r="R52" s="205">
        <f t="shared" si="21"/>
        <v>0</v>
      </c>
      <c r="S52" s="39">
        <f t="shared" si="7"/>
        <v>540</v>
      </c>
      <c r="T52" s="38">
        <f t="shared" si="4"/>
        <v>54.432000000000002</v>
      </c>
      <c r="U52" s="290">
        <v>0</v>
      </c>
      <c r="V52" s="13">
        <f t="shared" si="8"/>
        <v>0</v>
      </c>
      <c r="W52" s="294">
        <f t="shared" si="9"/>
        <v>540</v>
      </c>
      <c r="X52" s="295">
        <f t="shared" si="10"/>
        <v>54.432000000000002</v>
      </c>
      <c r="Y52" s="238">
        <v>100</v>
      </c>
      <c r="Z52" s="101">
        <v>300</v>
      </c>
    </row>
    <row r="53" spans="1:26" x14ac:dyDescent="0.25">
      <c r="A53" s="264">
        <v>49</v>
      </c>
      <c r="B53" s="256" t="s">
        <v>185</v>
      </c>
      <c r="C53" s="34">
        <v>140</v>
      </c>
      <c r="D53" s="34">
        <v>240</v>
      </c>
      <c r="E53" s="34">
        <v>1</v>
      </c>
      <c r="F53" s="19">
        <f t="shared" si="5"/>
        <v>3.3599999999999998E-2</v>
      </c>
      <c r="G53" s="284">
        <v>255</v>
      </c>
      <c r="H53" s="288">
        <f t="shared" si="6"/>
        <v>8.5679999999999996</v>
      </c>
      <c r="I53" s="290">
        <v>0</v>
      </c>
      <c r="J53" s="205">
        <f t="shared" si="0"/>
        <v>0</v>
      </c>
      <c r="K53" s="290">
        <v>0</v>
      </c>
      <c r="L53" s="205">
        <f>F53*K53</f>
        <v>0</v>
      </c>
      <c r="M53" s="290">
        <v>0</v>
      </c>
      <c r="N53" s="205">
        <f t="shared" si="19"/>
        <v>0</v>
      </c>
      <c r="O53" s="290">
        <v>0</v>
      </c>
      <c r="P53" s="205">
        <f t="shared" si="20"/>
        <v>0</v>
      </c>
      <c r="Q53" s="290">
        <v>0</v>
      </c>
      <c r="R53" s="205">
        <f t="shared" si="21"/>
        <v>0</v>
      </c>
      <c r="S53" s="39">
        <f t="shared" si="7"/>
        <v>255</v>
      </c>
      <c r="T53" s="38">
        <f t="shared" si="4"/>
        <v>8.5679999999999996</v>
      </c>
      <c r="U53" s="290">
        <v>0</v>
      </c>
      <c r="V53" s="13">
        <f t="shared" si="8"/>
        <v>0</v>
      </c>
      <c r="W53" s="294">
        <f t="shared" si="9"/>
        <v>255</v>
      </c>
      <c r="X53" s="295">
        <f t="shared" si="10"/>
        <v>8.5679999999999996</v>
      </c>
      <c r="Y53" s="238">
        <v>50</v>
      </c>
      <c r="Z53" s="101">
        <v>0</v>
      </c>
    </row>
    <row r="54" spans="1:26" x14ac:dyDescent="0.25">
      <c r="A54" s="264">
        <v>50</v>
      </c>
      <c r="B54" s="256" t="s">
        <v>186</v>
      </c>
      <c r="C54" s="34">
        <v>140</v>
      </c>
      <c r="D54" s="34">
        <v>240</v>
      </c>
      <c r="E54" s="34">
        <v>3</v>
      </c>
      <c r="F54" s="19">
        <f t="shared" si="5"/>
        <v>0.1008</v>
      </c>
      <c r="G54" s="284">
        <v>22</v>
      </c>
      <c r="H54" s="288">
        <f t="shared" si="6"/>
        <v>2.2176</v>
      </c>
      <c r="I54" s="290">
        <v>0</v>
      </c>
      <c r="J54" s="205">
        <f t="shared" si="0"/>
        <v>0</v>
      </c>
      <c r="K54" s="290">
        <v>12</v>
      </c>
      <c r="L54" s="205">
        <f>F54*K54</f>
        <v>1.2096</v>
      </c>
      <c r="M54" s="290">
        <v>10</v>
      </c>
      <c r="N54" s="205">
        <f t="shared" si="19"/>
        <v>1.008</v>
      </c>
      <c r="O54" s="290">
        <v>0</v>
      </c>
      <c r="P54" s="205">
        <f t="shared" si="20"/>
        <v>0</v>
      </c>
      <c r="Q54" s="290">
        <v>0</v>
      </c>
      <c r="R54" s="205">
        <f t="shared" si="21"/>
        <v>0</v>
      </c>
      <c r="S54" s="39">
        <f t="shared" si="7"/>
        <v>0</v>
      </c>
      <c r="T54" s="38">
        <f t="shared" si="4"/>
        <v>0</v>
      </c>
      <c r="U54" s="290">
        <v>0</v>
      </c>
      <c r="V54" s="13">
        <f t="shared" si="8"/>
        <v>0</v>
      </c>
      <c r="W54" s="294">
        <f t="shared" si="9"/>
        <v>0</v>
      </c>
      <c r="X54" s="295">
        <f t="shared" si="10"/>
        <v>0</v>
      </c>
      <c r="Y54" s="238">
        <v>50</v>
      </c>
      <c r="Z54" s="101">
        <v>0</v>
      </c>
    </row>
    <row r="55" spans="1:26" x14ac:dyDescent="0.25">
      <c r="A55" s="277">
        <v>51</v>
      </c>
      <c r="B55" s="283" t="s">
        <v>187</v>
      </c>
      <c r="C55" s="264">
        <v>140</v>
      </c>
      <c r="D55" s="264">
        <v>240</v>
      </c>
      <c r="E55" s="264">
        <v>5</v>
      </c>
      <c r="F55" s="19">
        <f t="shared" si="5"/>
        <v>0.16800000000000001</v>
      </c>
      <c r="G55" s="296">
        <v>90</v>
      </c>
      <c r="H55" s="299">
        <f t="shared" si="6"/>
        <v>15.120000000000001</v>
      </c>
      <c r="I55" s="290">
        <v>0</v>
      </c>
      <c r="J55" s="205">
        <f t="shared" si="0"/>
        <v>0</v>
      </c>
      <c r="K55" s="290">
        <v>1</v>
      </c>
      <c r="L55" s="205">
        <f>F55*K55</f>
        <v>0.16800000000000001</v>
      </c>
      <c r="M55" s="290">
        <v>6</v>
      </c>
      <c r="N55" s="205">
        <f t="shared" si="19"/>
        <v>1.008</v>
      </c>
      <c r="O55" s="290">
        <v>6</v>
      </c>
      <c r="P55" s="205">
        <f t="shared" si="20"/>
        <v>1.008</v>
      </c>
      <c r="Q55" s="290">
        <v>0</v>
      </c>
      <c r="R55" s="205">
        <f t="shared" si="21"/>
        <v>0</v>
      </c>
      <c r="S55" s="39">
        <f t="shared" si="7"/>
        <v>77</v>
      </c>
      <c r="T55" s="38">
        <f t="shared" si="4"/>
        <v>12.936</v>
      </c>
      <c r="U55" s="290">
        <v>0</v>
      </c>
      <c r="V55" s="13">
        <f t="shared" si="8"/>
        <v>0</v>
      </c>
      <c r="W55" s="294">
        <f t="shared" si="9"/>
        <v>77</v>
      </c>
      <c r="X55" s="295">
        <f t="shared" si="10"/>
        <v>12.936</v>
      </c>
      <c r="Y55" s="101">
        <v>30</v>
      </c>
      <c r="Z55" s="101"/>
    </row>
    <row r="56" spans="1:26" x14ac:dyDescent="0.25">
      <c r="A56" s="277">
        <v>52</v>
      </c>
      <c r="B56" s="283" t="s">
        <v>188</v>
      </c>
      <c r="C56" s="264">
        <v>140</v>
      </c>
      <c r="D56" s="264">
        <v>240</v>
      </c>
      <c r="E56" s="264">
        <v>10</v>
      </c>
      <c r="F56" s="19">
        <f t="shared" si="5"/>
        <v>0.33600000000000002</v>
      </c>
      <c r="G56" s="296">
        <v>58</v>
      </c>
      <c r="H56" s="299">
        <f t="shared" si="6"/>
        <v>19.488</v>
      </c>
      <c r="I56" s="290">
        <v>0</v>
      </c>
      <c r="J56" s="205">
        <f t="shared" ref="J56:J69" si="22">F56*I56</f>
        <v>0</v>
      </c>
      <c r="K56" s="290">
        <v>0</v>
      </c>
      <c r="L56" s="205">
        <f>F56*K56</f>
        <v>0</v>
      </c>
      <c r="M56" s="290">
        <v>0</v>
      </c>
      <c r="N56" s="205">
        <f t="shared" si="19"/>
        <v>0</v>
      </c>
      <c r="O56" s="290">
        <v>0</v>
      </c>
      <c r="P56" s="205">
        <f t="shared" si="20"/>
        <v>0</v>
      </c>
      <c r="Q56" s="290">
        <v>0</v>
      </c>
      <c r="R56" s="205">
        <f t="shared" si="21"/>
        <v>0</v>
      </c>
      <c r="S56" s="39">
        <f t="shared" si="7"/>
        <v>58</v>
      </c>
      <c r="T56" s="38">
        <f t="shared" si="4"/>
        <v>19.488</v>
      </c>
      <c r="U56" s="290">
        <v>0</v>
      </c>
      <c r="V56" s="13">
        <f t="shared" si="8"/>
        <v>0</v>
      </c>
      <c r="W56" s="294">
        <f t="shared" si="9"/>
        <v>58</v>
      </c>
      <c r="X56" s="295">
        <f t="shared" si="10"/>
        <v>19.488</v>
      </c>
      <c r="Y56" s="101">
        <v>20</v>
      </c>
      <c r="Z56" s="101"/>
    </row>
    <row r="57" spans="1:26" x14ac:dyDescent="0.25">
      <c r="A57" s="264">
        <v>53</v>
      </c>
      <c r="B57" s="101" t="s">
        <v>201</v>
      </c>
      <c r="C57" s="264">
        <v>52</v>
      </c>
      <c r="D57" s="264">
        <v>52</v>
      </c>
      <c r="E57" s="264">
        <v>5</v>
      </c>
      <c r="F57" s="19">
        <f t="shared" si="5"/>
        <v>1.3520000000000001E-2</v>
      </c>
      <c r="G57" s="296">
        <v>53</v>
      </c>
      <c r="H57" s="299">
        <f t="shared" si="6"/>
        <v>0.71656000000000009</v>
      </c>
      <c r="I57" s="290">
        <v>0</v>
      </c>
      <c r="J57" s="205">
        <f t="shared" si="22"/>
        <v>0</v>
      </c>
      <c r="K57" s="290">
        <v>0</v>
      </c>
      <c r="L57" s="205">
        <f t="shared" ref="L57:L65" si="23">F57*K57</f>
        <v>0</v>
      </c>
      <c r="M57" s="290">
        <v>0</v>
      </c>
      <c r="N57" s="205">
        <f t="shared" si="19"/>
        <v>0</v>
      </c>
      <c r="O57" s="290">
        <v>0</v>
      </c>
      <c r="P57" s="205">
        <f t="shared" si="20"/>
        <v>0</v>
      </c>
      <c r="Q57" s="290">
        <v>0</v>
      </c>
      <c r="R57" s="205">
        <f t="shared" si="21"/>
        <v>0</v>
      </c>
      <c r="S57" s="39">
        <f t="shared" si="7"/>
        <v>53</v>
      </c>
      <c r="T57" s="38">
        <f t="shared" si="4"/>
        <v>0.71656000000000009</v>
      </c>
      <c r="U57" s="290">
        <v>0</v>
      </c>
      <c r="V57" s="13">
        <f t="shared" si="8"/>
        <v>0</v>
      </c>
      <c r="W57" s="294">
        <f t="shared" si="9"/>
        <v>53</v>
      </c>
      <c r="X57" s="295">
        <f t="shared" si="10"/>
        <v>0.71656000000000009</v>
      </c>
      <c r="Y57" s="101"/>
      <c r="Z57" s="101"/>
    </row>
    <row r="58" spans="1:26" x14ac:dyDescent="0.25">
      <c r="A58" s="264">
        <v>54</v>
      </c>
      <c r="B58" s="101" t="s">
        <v>193</v>
      </c>
      <c r="C58" s="264">
        <v>80</v>
      </c>
      <c r="D58" s="264">
        <v>75</v>
      </c>
      <c r="E58" s="264">
        <v>5</v>
      </c>
      <c r="F58" s="19">
        <f t="shared" si="5"/>
        <v>0.03</v>
      </c>
      <c r="G58" s="264">
        <v>170</v>
      </c>
      <c r="H58" s="299">
        <f t="shared" si="6"/>
        <v>5.0999999999999996</v>
      </c>
      <c r="I58" s="290">
        <v>0</v>
      </c>
      <c r="J58" s="205">
        <f t="shared" si="22"/>
        <v>0</v>
      </c>
      <c r="K58" s="290">
        <v>0</v>
      </c>
      <c r="L58" s="205">
        <f t="shared" si="23"/>
        <v>0</v>
      </c>
      <c r="M58" s="290">
        <v>0</v>
      </c>
      <c r="N58" s="205">
        <f t="shared" si="19"/>
        <v>0</v>
      </c>
      <c r="O58" s="290">
        <v>0</v>
      </c>
      <c r="P58" s="205">
        <f t="shared" si="20"/>
        <v>0</v>
      </c>
      <c r="Q58" s="290">
        <v>0</v>
      </c>
      <c r="R58" s="205">
        <f t="shared" si="21"/>
        <v>0</v>
      </c>
      <c r="S58" s="39">
        <f t="shared" si="7"/>
        <v>170</v>
      </c>
      <c r="T58" s="38">
        <f t="shared" si="4"/>
        <v>5.0999999999999996</v>
      </c>
      <c r="U58" s="290">
        <v>0</v>
      </c>
      <c r="V58" s="308">
        <f t="shared" si="8"/>
        <v>0</v>
      </c>
      <c r="W58" s="294">
        <f t="shared" si="9"/>
        <v>170</v>
      </c>
      <c r="X58" s="300">
        <f t="shared" si="10"/>
        <v>5.0999999999999996</v>
      </c>
      <c r="Y58" s="101"/>
      <c r="Z58" s="101"/>
    </row>
    <row r="59" spans="1:26" x14ac:dyDescent="0.25">
      <c r="A59" s="264">
        <v>55</v>
      </c>
      <c r="B59" s="101" t="s">
        <v>194</v>
      </c>
      <c r="C59" s="264">
        <v>58</v>
      </c>
      <c r="D59" s="264">
        <v>25</v>
      </c>
      <c r="E59" s="264">
        <v>3</v>
      </c>
      <c r="F59" s="298">
        <f t="shared" si="5"/>
        <v>4.3499999999999997E-3</v>
      </c>
      <c r="G59" s="264">
        <v>0</v>
      </c>
      <c r="H59" s="299">
        <f t="shared" si="6"/>
        <v>0</v>
      </c>
      <c r="I59" s="290">
        <v>0</v>
      </c>
      <c r="J59" s="205">
        <f t="shared" si="22"/>
        <v>0</v>
      </c>
      <c r="K59" s="290">
        <v>0</v>
      </c>
      <c r="L59" s="205">
        <f t="shared" si="23"/>
        <v>0</v>
      </c>
      <c r="M59" s="290">
        <v>0</v>
      </c>
      <c r="N59" s="205">
        <f t="shared" si="19"/>
        <v>0</v>
      </c>
      <c r="O59" s="290">
        <v>0</v>
      </c>
      <c r="P59" s="205">
        <f t="shared" si="20"/>
        <v>0</v>
      </c>
      <c r="Q59" s="290">
        <v>0</v>
      </c>
      <c r="R59" s="205">
        <f>F59*Q59</f>
        <v>0</v>
      </c>
      <c r="S59" s="39">
        <f t="shared" si="7"/>
        <v>0</v>
      </c>
      <c r="T59" s="38">
        <f t="shared" si="4"/>
        <v>0</v>
      </c>
      <c r="U59" s="290">
        <v>0</v>
      </c>
      <c r="V59" s="309">
        <f t="shared" si="8"/>
        <v>0</v>
      </c>
      <c r="W59" s="294">
        <f t="shared" si="9"/>
        <v>0</v>
      </c>
      <c r="X59" s="300">
        <f t="shared" si="10"/>
        <v>0</v>
      </c>
      <c r="Y59" s="101"/>
      <c r="Z59" s="101"/>
    </row>
    <row r="60" spans="1:26" x14ac:dyDescent="0.25">
      <c r="A60" s="264">
        <v>56</v>
      </c>
      <c r="B60" s="101" t="s">
        <v>195</v>
      </c>
      <c r="C60" s="264">
        <v>64</v>
      </c>
      <c r="D60" s="264">
        <v>58</v>
      </c>
      <c r="E60" s="264">
        <v>5</v>
      </c>
      <c r="F60" s="298">
        <f t="shared" si="5"/>
        <v>1.856E-2</v>
      </c>
      <c r="G60" s="264">
        <v>116</v>
      </c>
      <c r="H60" s="299">
        <f t="shared" si="6"/>
        <v>2.1529600000000002</v>
      </c>
      <c r="I60" s="290">
        <v>0</v>
      </c>
      <c r="J60" s="205">
        <f t="shared" si="22"/>
        <v>0</v>
      </c>
      <c r="K60" s="290">
        <v>0</v>
      </c>
      <c r="L60" s="205">
        <f t="shared" si="23"/>
        <v>0</v>
      </c>
      <c r="M60" s="290">
        <v>22</v>
      </c>
      <c r="N60" s="205">
        <f t="shared" si="19"/>
        <v>0.40832000000000002</v>
      </c>
      <c r="O60" s="290">
        <v>0</v>
      </c>
      <c r="P60" s="205">
        <f t="shared" si="20"/>
        <v>0</v>
      </c>
      <c r="Q60" s="290">
        <v>0</v>
      </c>
      <c r="R60" s="205">
        <f t="shared" ref="R60:R65" si="24">F60*Q60</f>
        <v>0</v>
      </c>
      <c r="S60" s="39">
        <f t="shared" si="7"/>
        <v>94</v>
      </c>
      <c r="T60" s="38">
        <f t="shared" si="4"/>
        <v>1.74464</v>
      </c>
      <c r="U60" s="290">
        <v>0</v>
      </c>
      <c r="V60" s="309">
        <f t="shared" si="8"/>
        <v>0</v>
      </c>
      <c r="W60" s="294">
        <f t="shared" si="9"/>
        <v>94</v>
      </c>
      <c r="X60" s="301">
        <f t="shared" si="10"/>
        <v>1.74464</v>
      </c>
      <c r="Y60" s="101"/>
      <c r="Z60" s="101"/>
    </row>
    <row r="61" spans="1:26" x14ac:dyDescent="0.25">
      <c r="A61" s="264">
        <v>57</v>
      </c>
      <c r="B61" s="101" t="s">
        <v>197</v>
      </c>
      <c r="C61" s="264">
        <v>65</v>
      </c>
      <c r="D61" s="264">
        <v>65</v>
      </c>
      <c r="E61" s="264">
        <v>5</v>
      </c>
      <c r="F61" s="101">
        <f t="shared" si="5"/>
        <v>2.1125000000000001E-2</v>
      </c>
      <c r="G61" s="264">
        <v>252</v>
      </c>
      <c r="H61" s="299">
        <f t="shared" si="6"/>
        <v>5.3235000000000001</v>
      </c>
      <c r="I61" s="290">
        <v>0</v>
      </c>
      <c r="J61" s="205">
        <f t="shared" si="22"/>
        <v>0</v>
      </c>
      <c r="K61" s="290">
        <v>0</v>
      </c>
      <c r="L61" s="205">
        <f t="shared" si="23"/>
        <v>0</v>
      </c>
      <c r="M61" s="290">
        <v>0</v>
      </c>
      <c r="N61" s="174">
        <f t="shared" si="19"/>
        <v>0</v>
      </c>
      <c r="O61" s="290">
        <v>0</v>
      </c>
      <c r="P61" s="205">
        <f t="shared" si="20"/>
        <v>0</v>
      </c>
      <c r="Q61" s="290">
        <v>0</v>
      </c>
      <c r="R61" s="205">
        <f t="shared" si="24"/>
        <v>0</v>
      </c>
      <c r="S61" s="39">
        <f t="shared" si="7"/>
        <v>252</v>
      </c>
      <c r="T61" s="38">
        <f t="shared" si="4"/>
        <v>5.3235000000000001</v>
      </c>
      <c r="U61" s="290">
        <v>0</v>
      </c>
      <c r="V61" s="309">
        <f t="shared" si="8"/>
        <v>0</v>
      </c>
      <c r="W61" s="294">
        <f t="shared" si="9"/>
        <v>252</v>
      </c>
      <c r="X61" s="300">
        <f t="shared" si="10"/>
        <v>5.3235000000000001</v>
      </c>
      <c r="Y61" s="101"/>
      <c r="Z61" s="101"/>
    </row>
    <row r="62" spans="1:26" x14ac:dyDescent="0.25">
      <c r="A62" s="264">
        <v>58</v>
      </c>
      <c r="B62" s="101" t="s">
        <v>198</v>
      </c>
      <c r="C62" s="264">
        <v>83</v>
      </c>
      <c r="D62" s="264">
        <v>55</v>
      </c>
      <c r="E62" s="264">
        <v>3</v>
      </c>
      <c r="F62" s="101">
        <f t="shared" si="5"/>
        <v>1.3695000000000001E-2</v>
      </c>
      <c r="G62" s="264">
        <v>225</v>
      </c>
      <c r="H62" s="299">
        <f t="shared" si="6"/>
        <v>3.081375</v>
      </c>
      <c r="I62" s="290">
        <v>0</v>
      </c>
      <c r="J62" s="205">
        <f t="shared" si="22"/>
        <v>0</v>
      </c>
      <c r="K62" s="290">
        <v>0</v>
      </c>
      <c r="L62" s="205">
        <f t="shared" si="23"/>
        <v>0</v>
      </c>
      <c r="M62" s="290">
        <v>0</v>
      </c>
      <c r="N62" s="174">
        <f t="shared" si="19"/>
        <v>0</v>
      </c>
      <c r="O62" s="290">
        <v>0</v>
      </c>
      <c r="P62" s="205">
        <f t="shared" si="20"/>
        <v>0</v>
      </c>
      <c r="Q62" s="290">
        <v>0</v>
      </c>
      <c r="R62" s="205">
        <f t="shared" si="24"/>
        <v>0</v>
      </c>
      <c r="S62" s="39">
        <f t="shared" si="7"/>
        <v>225</v>
      </c>
      <c r="T62" s="38">
        <f t="shared" si="4"/>
        <v>3.081375</v>
      </c>
      <c r="U62" s="290">
        <v>0</v>
      </c>
      <c r="V62" s="309">
        <f t="shared" si="8"/>
        <v>0</v>
      </c>
      <c r="W62" s="294">
        <f t="shared" si="9"/>
        <v>225</v>
      </c>
      <c r="X62" s="300">
        <f t="shared" si="10"/>
        <v>3.081375</v>
      </c>
      <c r="Y62" s="101"/>
      <c r="Z62" s="101"/>
    </row>
    <row r="63" spans="1:26" x14ac:dyDescent="0.25">
      <c r="A63" s="264">
        <v>59</v>
      </c>
      <c r="B63" s="101" t="s">
        <v>199</v>
      </c>
      <c r="C63" s="264">
        <v>75</v>
      </c>
      <c r="D63" s="264">
        <v>55</v>
      </c>
      <c r="E63" s="264">
        <v>3</v>
      </c>
      <c r="F63" s="101">
        <f t="shared" si="5"/>
        <v>1.2375000000000001E-2</v>
      </c>
      <c r="G63" s="264">
        <v>184</v>
      </c>
      <c r="H63" s="299">
        <f t="shared" si="6"/>
        <v>2.2770000000000001</v>
      </c>
      <c r="I63" s="290">
        <v>0</v>
      </c>
      <c r="J63" s="205">
        <f t="shared" si="22"/>
        <v>0</v>
      </c>
      <c r="K63" s="290">
        <v>0</v>
      </c>
      <c r="L63" s="205">
        <f t="shared" si="23"/>
        <v>0</v>
      </c>
      <c r="M63" s="290">
        <v>0</v>
      </c>
      <c r="N63" s="174">
        <f t="shared" si="19"/>
        <v>0</v>
      </c>
      <c r="O63" s="290">
        <v>0</v>
      </c>
      <c r="P63" s="205">
        <f t="shared" si="20"/>
        <v>0</v>
      </c>
      <c r="Q63" s="290">
        <v>0</v>
      </c>
      <c r="R63" s="205">
        <f t="shared" si="24"/>
        <v>0</v>
      </c>
      <c r="S63" s="39">
        <f t="shared" si="7"/>
        <v>184</v>
      </c>
      <c r="T63" s="38">
        <f t="shared" si="4"/>
        <v>2.2770000000000001</v>
      </c>
      <c r="U63" s="290">
        <v>0</v>
      </c>
      <c r="V63" s="309">
        <f t="shared" si="8"/>
        <v>0</v>
      </c>
      <c r="W63" s="294">
        <f t="shared" si="9"/>
        <v>184</v>
      </c>
      <c r="X63" s="300">
        <f t="shared" si="10"/>
        <v>2.2770000000000001</v>
      </c>
      <c r="Y63" s="101"/>
      <c r="Z63" s="101"/>
    </row>
    <row r="64" spans="1:26" x14ac:dyDescent="0.25">
      <c r="A64" s="264">
        <v>60</v>
      </c>
      <c r="B64" s="101" t="s">
        <v>200</v>
      </c>
      <c r="C64" s="264">
        <v>58</v>
      </c>
      <c r="D64" s="264">
        <v>19</v>
      </c>
      <c r="E64" s="264">
        <v>3</v>
      </c>
      <c r="F64" s="101">
        <f t="shared" si="5"/>
        <v>3.3059999999999999E-3</v>
      </c>
      <c r="G64" s="264">
        <v>180</v>
      </c>
      <c r="H64" s="299">
        <f t="shared" si="6"/>
        <v>0.59507999999999994</v>
      </c>
      <c r="I64" s="290">
        <v>0</v>
      </c>
      <c r="J64" s="205">
        <f t="shared" si="22"/>
        <v>0</v>
      </c>
      <c r="K64" s="290">
        <v>0</v>
      </c>
      <c r="L64" s="205">
        <f t="shared" si="23"/>
        <v>0</v>
      </c>
      <c r="M64" s="290">
        <v>0</v>
      </c>
      <c r="N64" s="174">
        <f t="shared" si="19"/>
        <v>0</v>
      </c>
      <c r="O64" s="290">
        <v>0</v>
      </c>
      <c r="P64" s="205">
        <f t="shared" si="20"/>
        <v>0</v>
      </c>
      <c r="Q64" s="290">
        <v>0</v>
      </c>
      <c r="R64" s="205">
        <f t="shared" si="24"/>
        <v>0</v>
      </c>
      <c r="S64" s="39">
        <f t="shared" si="7"/>
        <v>180</v>
      </c>
      <c r="T64" s="38">
        <f t="shared" si="4"/>
        <v>0.59507999999999994</v>
      </c>
      <c r="U64" s="290">
        <v>0</v>
      </c>
      <c r="V64" s="309">
        <f t="shared" si="8"/>
        <v>0</v>
      </c>
      <c r="W64" s="294">
        <f t="shared" si="9"/>
        <v>180</v>
      </c>
      <c r="X64" s="300">
        <f t="shared" si="10"/>
        <v>0.59507999999999994</v>
      </c>
      <c r="Y64" s="101"/>
      <c r="Z64" s="101"/>
    </row>
    <row r="65" spans="1:26" x14ac:dyDescent="0.25">
      <c r="A65" s="264">
        <v>61</v>
      </c>
      <c r="B65" s="101" t="s">
        <v>202</v>
      </c>
      <c r="C65" s="264">
        <v>140</v>
      </c>
      <c r="D65" s="264">
        <v>240</v>
      </c>
      <c r="E65" s="264">
        <v>4</v>
      </c>
      <c r="F65" s="101">
        <f t="shared" si="5"/>
        <v>0.13439999999999999</v>
      </c>
      <c r="G65" s="264">
        <v>8</v>
      </c>
      <c r="H65" s="299">
        <f t="shared" si="6"/>
        <v>1.0751999999999999</v>
      </c>
      <c r="I65" s="290">
        <v>0</v>
      </c>
      <c r="J65" s="205">
        <f t="shared" si="22"/>
        <v>0</v>
      </c>
      <c r="K65" s="290">
        <v>0</v>
      </c>
      <c r="L65" s="205">
        <f t="shared" si="23"/>
        <v>0</v>
      </c>
      <c r="M65" s="290">
        <v>0</v>
      </c>
      <c r="N65" s="174">
        <f t="shared" si="19"/>
        <v>0</v>
      </c>
      <c r="O65" s="290">
        <v>0</v>
      </c>
      <c r="P65" s="205">
        <f t="shared" si="20"/>
        <v>0</v>
      </c>
      <c r="Q65" s="290">
        <v>0</v>
      </c>
      <c r="R65" s="205">
        <f t="shared" si="24"/>
        <v>0</v>
      </c>
      <c r="S65" s="39">
        <f t="shared" si="7"/>
        <v>8</v>
      </c>
      <c r="T65" s="38">
        <f t="shared" si="4"/>
        <v>1.0751999999999999</v>
      </c>
      <c r="U65" s="290">
        <v>0</v>
      </c>
      <c r="V65" s="309">
        <f t="shared" si="8"/>
        <v>0</v>
      </c>
      <c r="W65" s="294">
        <f t="shared" si="9"/>
        <v>8</v>
      </c>
      <c r="X65" s="300">
        <f t="shared" si="10"/>
        <v>1.0751999999999999</v>
      </c>
      <c r="Y65" s="101"/>
      <c r="Z65" s="101"/>
    </row>
    <row r="66" spans="1:26" x14ac:dyDescent="0.25">
      <c r="A66" s="264">
        <v>62</v>
      </c>
      <c r="B66" s="101" t="s">
        <v>203</v>
      </c>
      <c r="C66" s="264">
        <v>50</v>
      </c>
      <c r="D66" s="264">
        <v>46.5</v>
      </c>
      <c r="E66" s="264">
        <v>3</v>
      </c>
      <c r="F66" s="101">
        <f t="shared" si="5"/>
        <v>6.9750000000000003E-3</v>
      </c>
      <c r="G66" s="264">
        <v>818</v>
      </c>
      <c r="H66" s="289">
        <f t="shared" si="6"/>
        <v>5.7055500000000006</v>
      </c>
      <c r="I66" s="290">
        <v>0</v>
      </c>
      <c r="J66" s="205">
        <f t="shared" si="22"/>
        <v>0</v>
      </c>
      <c r="K66" s="290">
        <v>40</v>
      </c>
      <c r="L66" s="101"/>
      <c r="M66" s="290">
        <v>6</v>
      </c>
      <c r="N66" s="264">
        <f t="shared" si="19"/>
        <v>4.1849999999999998E-2</v>
      </c>
      <c r="O66" s="290">
        <v>0</v>
      </c>
      <c r="P66" s="264">
        <f t="shared" si="20"/>
        <v>0</v>
      </c>
      <c r="Q66" s="290">
        <v>0</v>
      </c>
      <c r="R66" s="101"/>
      <c r="S66" s="39">
        <f t="shared" si="7"/>
        <v>772</v>
      </c>
      <c r="T66" s="38">
        <f t="shared" si="4"/>
        <v>5.3847000000000005</v>
      </c>
      <c r="U66" s="290">
        <v>0</v>
      </c>
      <c r="V66" s="309">
        <f t="shared" si="8"/>
        <v>0</v>
      </c>
      <c r="W66" s="294">
        <f t="shared" si="9"/>
        <v>772</v>
      </c>
      <c r="X66" s="300">
        <f t="shared" si="10"/>
        <v>5.3847000000000005</v>
      </c>
      <c r="Y66" s="101"/>
      <c r="Z66" s="101"/>
    </row>
    <row r="67" spans="1:26" x14ac:dyDescent="0.25">
      <c r="A67" s="264">
        <v>63</v>
      </c>
      <c r="B67" s="101" t="s">
        <v>204</v>
      </c>
      <c r="C67" s="264">
        <v>50</v>
      </c>
      <c r="D67" s="264">
        <v>35</v>
      </c>
      <c r="E67" s="264">
        <v>3</v>
      </c>
      <c r="F67" s="101">
        <f t="shared" si="5"/>
        <v>5.2500000000000003E-3</v>
      </c>
      <c r="G67" s="264">
        <v>1140</v>
      </c>
      <c r="H67" s="289">
        <f t="shared" si="6"/>
        <v>5.9850000000000003</v>
      </c>
      <c r="I67" s="290">
        <v>0</v>
      </c>
      <c r="J67" s="205">
        <f t="shared" si="22"/>
        <v>0</v>
      </c>
      <c r="K67" s="290">
        <v>40</v>
      </c>
      <c r="L67" s="205">
        <f t="shared" ref="L67" si="25">F67*K67</f>
        <v>0.21000000000000002</v>
      </c>
      <c r="M67" s="290">
        <v>0</v>
      </c>
      <c r="N67" s="264">
        <f t="shared" si="19"/>
        <v>0</v>
      </c>
      <c r="O67" s="290">
        <v>0</v>
      </c>
      <c r="P67" s="264"/>
      <c r="Q67" s="290">
        <v>0</v>
      </c>
      <c r="R67" s="264"/>
      <c r="S67" s="39">
        <f t="shared" si="7"/>
        <v>1100</v>
      </c>
      <c r="T67" s="38">
        <f t="shared" si="4"/>
        <v>5.7750000000000004</v>
      </c>
      <c r="U67" s="290">
        <v>0</v>
      </c>
      <c r="V67" s="309">
        <f t="shared" si="8"/>
        <v>0</v>
      </c>
      <c r="W67" s="294">
        <f t="shared" si="9"/>
        <v>1100</v>
      </c>
      <c r="X67" s="300">
        <f t="shared" si="10"/>
        <v>5.7750000000000004</v>
      </c>
      <c r="Y67" s="101"/>
      <c r="Z67" s="101"/>
    </row>
    <row r="68" spans="1:26" x14ac:dyDescent="0.25">
      <c r="A68" s="264">
        <v>64</v>
      </c>
      <c r="B68" s="101" t="s">
        <v>205</v>
      </c>
      <c r="C68" s="264">
        <v>140</v>
      </c>
      <c r="D68" s="264">
        <v>240</v>
      </c>
      <c r="E68" s="264">
        <v>8</v>
      </c>
      <c r="F68" s="101">
        <f t="shared" si="5"/>
        <v>0.26879999999999998</v>
      </c>
      <c r="G68" s="264">
        <v>1</v>
      </c>
      <c r="H68" s="289">
        <f t="shared" si="6"/>
        <v>0.26879999999999998</v>
      </c>
      <c r="I68" s="290">
        <v>0</v>
      </c>
      <c r="J68" s="264">
        <f t="shared" si="22"/>
        <v>0</v>
      </c>
      <c r="K68" s="290">
        <v>0</v>
      </c>
      <c r="L68" s="264"/>
      <c r="M68" s="290">
        <v>0</v>
      </c>
      <c r="N68" s="264">
        <v>0</v>
      </c>
      <c r="O68" s="290">
        <v>0</v>
      </c>
      <c r="P68" s="264"/>
      <c r="Q68" s="290">
        <v>0</v>
      </c>
      <c r="R68" s="264">
        <v>0</v>
      </c>
      <c r="S68" s="39">
        <f t="shared" si="7"/>
        <v>1</v>
      </c>
      <c r="T68" s="38">
        <f t="shared" si="4"/>
        <v>0.26879999999999998</v>
      </c>
      <c r="U68" s="290">
        <v>0</v>
      </c>
      <c r="V68" s="309">
        <v>0</v>
      </c>
      <c r="W68" s="294">
        <f t="shared" si="9"/>
        <v>1</v>
      </c>
      <c r="X68" s="300">
        <f t="shared" si="10"/>
        <v>0.26879999999999998</v>
      </c>
      <c r="Y68" s="101"/>
      <c r="Z68" s="101"/>
    </row>
    <row r="69" spans="1:26" x14ac:dyDescent="0.25">
      <c r="A69" s="264">
        <v>65</v>
      </c>
      <c r="B69" s="101" t="s">
        <v>206</v>
      </c>
      <c r="C69" s="264">
        <v>140</v>
      </c>
      <c r="D69" s="264">
        <v>240</v>
      </c>
      <c r="E69" s="264">
        <v>2</v>
      </c>
      <c r="F69" s="101">
        <f t="shared" si="5"/>
        <v>6.7199999999999996E-2</v>
      </c>
      <c r="G69" s="264">
        <v>21</v>
      </c>
      <c r="H69" s="289">
        <f t="shared" si="6"/>
        <v>1.4112</v>
      </c>
      <c r="I69" s="290">
        <v>0</v>
      </c>
      <c r="J69" s="264">
        <f t="shared" si="22"/>
        <v>0</v>
      </c>
      <c r="K69" s="290">
        <v>10</v>
      </c>
      <c r="L69" s="264"/>
      <c r="M69" s="290">
        <v>0</v>
      </c>
      <c r="N69" s="174">
        <v>0</v>
      </c>
      <c r="O69" s="290">
        <v>0</v>
      </c>
      <c r="P69" s="264">
        <f t="shared" ref="P69" si="26">F69*O69</f>
        <v>0</v>
      </c>
      <c r="Q69" s="290">
        <v>0</v>
      </c>
      <c r="R69" s="205">
        <f t="shared" ref="R69" si="27">F69*Q69</f>
        <v>0</v>
      </c>
      <c r="S69" s="39">
        <f t="shared" si="7"/>
        <v>11</v>
      </c>
      <c r="T69" s="38">
        <f t="shared" ref="T69:T70" si="28">F69*S69</f>
        <v>0.73919999999999997</v>
      </c>
      <c r="U69" s="290">
        <v>0</v>
      </c>
      <c r="V69" s="309">
        <v>0</v>
      </c>
      <c r="W69" s="294">
        <f t="shared" si="9"/>
        <v>11</v>
      </c>
      <c r="X69" s="300">
        <f t="shared" si="10"/>
        <v>0.73919999999999997</v>
      </c>
      <c r="Y69" s="101"/>
      <c r="Z69" s="101"/>
    </row>
    <row r="70" spans="1:26" x14ac:dyDescent="0.25">
      <c r="A70" s="264">
        <v>66</v>
      </c>
      <c r="B70" s="101" t="s">
        <v>213</v>
      </c>
      <c r="C70" s="264"/>
      <c r="D70" s="264"/>
      <c r="E70" s="264"/>
      <c r="F70" s="101"/>
      <c r="G70" s="264"/>
      <c r="H70" s="289"/>
      <c r="I70" s="290">
        <v>0</v>
      </c>
      <c r="J70" s="264"/>
      <c r="K70" s="290">
        <v>0</v>
      </c>
      <c r="L70" s="264"/>
      <c r="M70" s="290">
        <v>0</v>
      </c>
      <c r="N70" s="264">
        <f t="shared" si="19"/>
        <v>0</v>
      </c>
      <c r="O70" s="290">
        <v>0</v>
      </c>
      <c r="P70" s="264"/>
      <c r="Q70" s="290">
        <v>0</v>
      </c>
      <c r="R70" s="264"/>
      <c r="S70" s="39">
        <f t="shared" ref="S70" si="29">G70-I70-K70-M70-O70-Q70</f>
        <v>0</v>
      </c>
      <c r="T70" s="38">
        <f t="shared" si="28"/>
        <v>0</v>
      </c>
      <c r="U70" s="290">
        <v>495</v>
      </c>
      <c r="V70" s="309">
        <f t="shared" ref="V70" si="30">F70*U70</f>
        <v>0</v>
      </c>
      <c r="W70" s="294">
        <f t="shared" ref="W70" si="31">S70+U70</f>
        <v>495</v>
      </c>
      <c r="X70" s="300">
        <f t="shared" ref="X70" si="32">F70*W70</f>
        <v>0</v>
      </c>
      <c r="Y70" s="101"/>
      <c r="Z70" s="101"/>
    </row>
    <row r="71" spans="1:26" x14ac:dyDescent="0.2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spans="1:26" x14ac:dyDescent="0.2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1:26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1:26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1:26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1:26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1:26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1:26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</sheetData>
  <mergeCells count="24">
    <mergeCell ref="S4:T4"/>
    <mergeCell ref="U4:V4"/>
    <mergeCell ref="W4:X4"/>
    <mergeCell ref="G4:H4"/>
    <mergeCell ref="I4:J4"/>
    <mergeCell ref="K4:L4"/>
    <mergeCell ref="M4:N4"/>
    <mergeCell ref="O4:P4"/>
    <mergeCell ref="Q4:R4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C1:H1"/>
    <mergeCell ref="G2:H3"/>
    <mergeCell ref="I2:J2"/>
    <mergeCell ref="K2:L2"/>
    <mergeCell ref="M2:N2"/>
  </mergeCell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501B4-B9BC-4619-912C-087C1625AF88}">
  <dimension ref="A1:Z78"/>
  <sheetViews>
    <sheetView workbookViewId="0">
      <selection activeCell="Q62" sqref="Q62"/>
    </sheetView>
  </sheetViews>
  <sheetFormatPr defaultRowHeight="15" x14ac:dyDescent="0.25"/>
  <cols>
    <col min="1" max="1" width="5" customWidth="1"/>
    <col min="2" max="2" width="31.85546875" style="3" customWidth="1"/>
    <col min="3" max="3" width="4.7109375" style="2" hidden="1" customWidth="1"/>
    <col min="4" max="4" width="7.28515625" style="2" hidden="1" customWidth="1"/>
    <col min="5" max="5" width="5.85546875" style="2" hidden="1" customWidth="1"/>
    <col min="6" max="6" width="8" style="4" hidden="1" customWidth="1"/>
    <col min="7" max="7" width="7.5703125" style="5" customWidth="1"/>
    <col min="8" max="8" width="9" style="5" customWidth="1"/>
    <col min="9" max="9" width="6" style="2" customWidth="1"/>
    <col min="10" max="10" width="7.140625" style="2" customWidth="1"/>
    <col min="11" max="11" width="6.28515625" style="2" customWidth="1"/>
    <col min="12" max="12" width="8" style="2" customWidth="1"/>
    <col min="13" max="20" width="6.42578125" style="2" customWidth="1"/>
    <col min="21" max="24" width="6.42578125" customWidth="1"/>
    <col min="25" max="25" width="10.28515625" customWidth="1"/>
  </cols>
  <sheetData>
    <row r="1" spans="1:26" ht="15.75" thickBot="1" x14ac:dyDescent="0.3">
      <c r="B1" s="4" t="s">
        <v>18</v>
      </c>
      <c r="C1" s="384" t="s">
        <v>214</v>
      </c>
      <c r="D1" s="320"/>
      <c r="E1" s="320"/>
      <c r="F1" s="320"/>
      <c r="G1" s="320"/>
      <c r="H1" s="320"/>
      <c r="Y1" s="314">
        <v>45656</v>
      </c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45842</v>
      </c>
      <c r="J2" s="326"/>
      <c r="K2" s="327">
        <v>45849</v>
      </c>
      <c r="L2" s="328"/>
      <c r="M2" s="325">
        <v>45856</v>
      </c>
      <c r="N2" s="329"/>
      <c r="O2" s="327">
        <v>45863</v>
      </c>
      <c r="P2" s="346"/>
      <c r="Q2" s="325">
        <v>45869</v>
      </c>
      <c r="R2" s="329"/>
      <c r="S2" s="330" t="s">
        <v>69</v>
      </c>
      <c r="T2" s="331"/>
      <c r="U2" s="334" t="s">
        <v>70</v>
      </c>
      <c r="V2" s="335"/>
      <c r="W2" s="385" t="s">
        <v>71</v>
      </c>
      <c r="X2" s="386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87"/>
      <c r="X3" s="388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89" t="s">
        <v>63</v>
      </c>
      <c r="X4" s="390"/>
      <c r="Y4" s="268" t="s">
        <v>179</v>
      </c>
      <c r="Z4" s="269" t="s">
        <v>99</v>
      </c>
    </row>
    <row r="5" spans="1:26" x14ac:dyDescent="0.25">
      <c r="A5" s="263">
        <v>1</v>
      </c>
      <c r="B5" s="256" t="s">
        <v>134</v>
      </c>
      <c r="C5" s="32">
        <v>70</v>
      </c>
      <c r="D5" s="33">
        <v>64</v>
      </c>
      <c r="E5" s="33">
        <v>8</v>
      </c>
      <c r="F5" s="15">
        <f>(C5*D5*E5)/1000000</f>
        <v>3.5839999999999997E-2</v>
      </c>
      <c r="G5" s="286">
        <v>270</v>
      </c>
      <c r="H5" s="287">
        <f>F5*G5</f>
        <v>9.6767999999999983</v>
      </c>
      <c r="I5" s="290">
        <v>0</v>
      </c>
      <c r="J5" s="205">
        <f t="shared" ref="J5:R55" si="0">F5*I5</f>
        <v>0</v>
      </c>
      <c r="K5" s="290">
        <v>0</v>
      </c>
      <c r="L5" s="205">
        <f>F5*K5</f>
        <v>0</v>
      </c>
      <c r="M5" s="290">
        <v>0</v>
      </c>
      <c r="N5" s="205">
        <f t="shared" ref="N5:N10" si="1">F5*M5</f>
        <v>0</v>
      </c>
      <c r="O5" s="290">
        <v>0</v>
      </c>
      <c r="P5" s="205">
        <f t="shared" ref="P5:P10" si="2">F5*O5</f>
        <v>0</v>
      </c>
      <c r="Q5" s="290">
        <v>0</v>
      </c>
      <c r="R5" s="205">
        <f t="shared" ref="R5:R11" si="3">F5*Q5</f>
        <v>0</v>
      </c>
      <c r="S5" s="39">
        <f>G5-I5-K5-M5-O5-Q5</f>
        <v>270</v>
      </c>
      <c r="T5" s="38">
        <f t="shared" ref="T5:T68" si="4">F5*S5</f>
        <v>9.6767999999999983</v>
      </c>
      <c r="U5" s="290">
        <v>0</v>
      </c>
      <c r="V5" s="13">
        <f>F5*U5</f>
        <v>0</v>
      </c>
      <c r="W5" s="294">
        <f>S5+U5</f>
        <v>270</v>
      </c>
      <c r="X5" s="295">
        <f>F5*W5</f>
        <v>9.6767999999999983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135</v>
      </c>
      <c r="C6" s="34">
        <v>70</v>
      </c>
      <c r="D6" s="35">
        <v>80</v>
      </c>
      <c r="E6" s="35">
        <v>8</v>
      </c>
      <c r="F6" s="19">
        <f t="shared" ref="F6:F69" si="5">(C6*D6*E6)/1000000</f>
        <v>4.48E-2</v>
      </c>
      <c r="G6" s="286">
        <v>53</v>
      </c>
      <c r="H6" s="288">
        <f t="shared" ref="H6:H69" si="6">F6*G6</f>
        <v>2.3744000000000001</v>
      </c>
      <c r="I6" s="290">
        <v>0</v>
      </c>
      <c r="J6" s="205">
        <f t="shared" si="0"/>
        <v>0</v>
      </c>
      <c r="K6" s="290">
        <v>0</v>
      </c>
      <c r="L6" s="205">
        <f>F6*K6</f>
        <v>0</v>
      </c>
      <c r="M6" s="290">
        <v>0</v>
      </c>
      <c r="N6" s="205">
        <f t="shared" si="1"/>
        <v>0</v>
      </c>
      <c r="O6" s="290">
        <v>10</v>
      </c>
      <c r="P6" s="205">
        <f t="shared" si="2"/>
        <v>0.44800000000000001</v>
      </c>
      <c r="Q6" s="290">
        <v>0</v>
      </c>
      <c r="R6" s="205">
        <f t="shared" si="3"/>
        <v>0</v>
      </c>
      <c r="S6" s="39">
        <f t="shared" ref="S6:S69" si="7">G6-I6-K6-M6-O6-Q6</f>
        <v>43</v>
      </c>
      <c r="T6" s="38">
        <f t="shared" si="4"/>
        <v>1.9263999999999999</v>
      </c>
      <c r="U6" s="290">
        <v>108</v>
      </c>
      <c r="V6" s="13">
        <f t="shared" ref="V6:V67" si="8">F6*U6</f>
        <v>4.8384</v>
      </c>
      <c r="W6" s="294">
        <f t="shared" ref="W6:W69" si="9">S6+U6</f>
        <v>151</v>
      </c>
      <c r="X6" s="295">
        <f t="shared" ref="X6:X69" si="10">F6*W6</f>
        <v>6.7648000000000001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136</v>
      </c>
      <c r="C7" s="34">
        <v>70</v>
      </c>
      <c r="D7" s="35">
        <v>74</v>
      </c>
      <c r="E7" s="35">
        <v>8</v>
      </c>
      <c r="F7" s="19">
        <f t="shared" si="5"/>
        <v>4.1439999999999998E-2</v>
      </c>
      <c r="G7" s="286">
        <v>60</v>
      </c>
      <c r="H7" s="288">
        <f t="shared" si="6"/>
        <v>2.4863999999999997</v>
      </c>
      <c r="I7" s="290">
        <v>0</v>
      </c>
      <c r="J7" s="205">
        <f t="shared" si="0"/>
        <v>0</v>
      </c>
      <c r="K7" s="290">
        <v>0</v>
      </c>
      <c r="L7" s="205">
        <f>F7*K7</f>
        <v>0</v>
      </c>
      <c r="M7" s="290">
        <v>0</v>
      </c>
      <c r="N7" s="205">
        <f t="shared" si="1"/>
        <v>0</v>
      </c>
      <c r="O7" s="290">
        <v>20</v>
      </c>
      <c r="P7" s="205">
        <f t="shared" si="2"/>
        <v>0.82879999999999998</v>
      </c>
      <c r="Q7" s="290">
        <v>0</v>
      </c>
      <c r="R7" s="205">
        <f t="shared" si="3"/>
        <v>0</v>
      </c>
      <c r="S7" s="39">
        <f t="shared" si="7"/>
        <v>40</v>
      </c>
      <c r="T7" s="38">
        <f t="shared" si="4"/>
        <v>1.6576</v>
      </c>
      <c r="U7" s="290">
        <v>0</v>
      </c>
      <c r="V7" s="13">
        <f t="shared" si="8"/>
        <v>0</v>
      </c>
      <c r="W7" s="294">
        <f t="shared" si="9"/>
        <v>40</v>
      </c>
      <c r="X7" s="295">
        <f t="shared" si="10"/>
        <v>1.6576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208</v>
      </c>
      <c r="C8" s="34">
        <v>70</v>
      </c>
      <c r="D8" s="35">
        <v>88</v>
      </c>
      <c r="E8" s="35">
        <v>8</v>
      </c>
      <c r="F8" s="19">
        <f t="shared" si="5"/>
        <v>4.9279999999999997E-2</v>
      </c>
      <c r="G8" s="286">
        <v>270</v>
      </c>
      <c r="H8" s="288">
        <f t="shared" si="6"/>
        <v>13.3056</v>
      </c>
      <c r="I8" s="290">
        <v>0</v>
      </c>
      <c r="J8" s="205">
        <f t="shared" si="0"/>
        <v>0</v>
      </c>
      <c r="K8" s="290">
        <v>0</v>
      </c>
      <c r="L8" s="205">
        <f>F8*K8</f>
        <v>0</v>
      </c>
      <c r="M8" s="290">
        <v>0</v>
      </c>
      <c r="N8" s="205">
        <f t="shared" si="1"/>
        <v>0</v>
      </c>
      <c r="O8" s="290">
        <v>10</v>
      </c>
      <c r="P8" s="205">
        <f t="shared" si="2"/>
        <v>0.49279999999999996</v>
      </c>
      <c r="Q8" s="290">
        <v>0</v>
      </c>
      <c r="R8" s="205">
        <f t="shared" si="3"/>
        <v>0</v>
      </c>
      <c r="S8" s="39">
        <f t="shared" si="7"/>
        <v>260</v>
      </c>
      <c r="T8" s="38">
        <f t="shared" si="4"/>
        <v>12.812799999999999</v>
      </c>
      <c r="U8" s="290">
        <v>0</v>
      </c>
      <c r="V8" s="13">
        <f t="shared" si="8"/>
        <v>0</v>
      </c>
      <c r="W8" s="294">
        <f t="shared" si="9"/>
        <v>260</v>
      </c>
      <c r="X8" s="295">
        <f t="shared" si="10"/>
        <v>12.812799999999999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138</v>
      </c>
      <c r="C9" s="34">
        <v>140</v>
      </c>
      <c r="D9" s="35">
        <v>240</v>
      </c>
      <c r="E9" s="35">
        <v>5</v>
      </c>
      <c r="F9" s="19">
        <f t="shared" si="5"/>
        <v>0.16800000000000001</v>
      </c>
      <c r="G9" s="286">
        <v>108</v>
      </c>
      <c r="H9" s="288">
        <f t="shared" si="6"/>
        <v>18.144000000000002</v>
      </c>
      <c r="I9" s="290">
        <v>8</v>
      </c>
      <c r="J9" s="205">
        <f t="shared" si="0"/>
        <v>1.3440000000000001</v>
      </c>
      <c r="K9" s="290">
        <v>6</v>
      </c>
      <c r="L9" s="205">
        <f>F9*K9</f>
        <v>1.008</v>
      </c>
      <c r="M9" s="290">
        <v>13</v>
      </c>
      <c r="N9" s="205">
        <f t="shared" si="1"/>
        <v>2.1840000000000002</v>
      </c>
      <c r="O9" s="290">
        <v>7</v>
      </c>
      <c r="P9" s="205">
        <f t="shared" si="2"/>
        <v>1.1760000000000002</v>
      </c>
      <c r="Q9" s="290">
        <v>10</v>
      </c>
      <c r="R9" s="205">
        <f t="shared" si="3"/>
        <v>1.6800000000000002</v>
      </c>
      <c r="S9" s="39">
        <f t="shared" si="7"/>
        <v>64</v>
      </c>
      <c r="T9" s="38">
        <f t="shared" si="4"/>
        <v>10.752000000000001</v>
      </c>
      <c r="U9" s="290">
        <v>0</v>
      </c>
      <c r="V9" s="13">
        <f t="shared" si="8"/>
        <v>0</v>
      </c>
      <c r="W9" s="294">
        <f t="shared" si="9"/>
        <v>64</v>
      </c>
      <c r="X9" s="295">
        <f t="shared" si="10"/>
        <v>10.752000000000001</v>
      </c>
      <c r="Y9" s="238">
        <v>100</v>
      </c>
      <c r="Z9" s="101">
        <v>250</v>
      </c>
    </row>
    <row r="10" spans="1:26" x14ac:dyDescent="0.25">
      <c r="A10" s="264">
        <v>6</v>
      </c>
      <c r="B10" s="256" t="s">
        <v>211</v>
      </c>
      <c r="C10" s="34">
        <v>143</v>
      </c>
      <c r="D10" s="35">
        <v>68</v>
      </c>
      <c r="E10" s="35">
        <v>5</v>
      </c>
      <c r="F10" s="19">
        <f t="shared" si="5"/>
        <v>4.8619999999999997E-2</v>
      </c>
      <c r="G10" s="286">
        <v>507</v>
      </c>
      <c r="H10" s="288">
        <f t="shared" si="6"/>
        <v>24.65034</v>
      </c>
      <c r="I10" s="290">
        <v>2</v>
      </c>
      <c r="J10" s="205">
        <f t="shared" si="0"/>
        <v>9.7239999999999993E-2</v>
      </c>
      <c r="K10" s="290">
        <v>15</v>
      </c>
      <c r="L10" s="205">
        <f t="shared" ref="L10" si="11">F10*K10</f>
        <v>0.72929999999999995</v>
      </c>
      <c r="M10" s="290">
        <v>0</v>
      </c>
      <c r="N10" s="205">
        <f t="shared" si="1"/>
        <v>0</v>
      </c>
      <c r="O10" s="290">
        <v>0</v>
      </c>
      <c r="P10" s="205">
        <f t="shared" si="2"/>
        <v>0</v>
      </c>
      <c r="Q10" s="290">
        <v>0</v>
      </c>
      <c r="R10" s="205">
        <f t="shared" si="3"/>
        <v>0</v>
      </c>
      <c r="S10" s="39">
        <f t="shared" si="7"/>
        <v>490</v>
      </c>
      <c r="T10" s="38">
        <f t="shared" si="4"/>
        <v>23.823799999999999</v>
      </c>
      <c r="U10" s="290">
        <v>0</v>
      </c>
      <c r="V10" s="13">
        <f t="shared" si="8"/>
        <v>0</v>
      </c>
      <c r="W10" s="294">
        <f t="shared" si="9"/>
        <v>490</v>
      </c>
      <c r="X10" s="295">
        <f t="shared" si="10"/>
        <v>23.823799999999999</v>
      </c>
      <c r="Y10" s="238">
        <v>75</v>
      </c>
      <c r="Z10" s="101">
        <v>250</v>
      </c>
    </row>
    <row r="11" spans="1:26" x14ac:dyDescent="0.25">
      <c r="A11" s="264">
        <v>7</v>
      </c>
      <c r="B11" s="256" t="s">
        <v>207</v>
      </c>
      <c r="C11" s="34">
        <v>140</v>
      </c>
      <c r="D11" s="35">
        <v>240</v>
      </c>
      <c r="E11" s="35">
        <v>8</v>
      </c>
      <c r="F11" s="19">
        <f t="shared" si="5"/>
        <v>0.26879999999999998</v>
      </c>
      <c r="G11" s="286">
        <v>40</v>
      </c>
      <c r="H11" s="288">
        <f t="shared" si="6"/>
        <v>10.751999999999999</v>
      </c>
      <c r="I11" s="290">
        <v>0</v>
      </c>
      <c r="J11" s="205">
        <f t="shared" si="0"/>
        <v>0</v>
      </c>
      <c r="K11" s="290">
        <v>0</v>
      </c>
      <c r="L11" s="205">
        <f>F11*K11</f>
        <v>0</v>
      </c>
      <c r="M11" s="290">
        <v>0</v>
      </c>
      <c r="N11" s="21">
        <v>0</v>
      </c>
      <c r="O11" s="290">
        <v>0</v>
      </c>
      <c r="P11" s="21">
        <v>0</v>
      </c>
      <c r="Q11" s="290">
        <v>1</v>
      </c>
      <c r="R11" s="205">
        <f t="shared" si="3"/>
        <v>0.26879999999999998</v>
      </c>
      <c r="S11" s="39">
        <f t="shared" si="7"/>
        <v>39</v>
      </c>
      <c r="T11" s="38">
        <f t="shared" si="4"/>
        <v>10.4832</v>
      </c>
      <c r="U11" s="290">
        <v>0</v>
      </c>
      <c r="V11" s="13">
        <f t="shared" si="8"/>
        <v>0</v>
      </c>
      <c r="W11" s="294">
        <f t="shared" si="9"/>
        <v>39</v>
      </c>
      <c r="X11" s="295">
        <f t="shared" si="10"/>
        <v>10.4832</v>
      </c>
      <c r="Y11" s="238">
        <v>50</v>
      </c>
      <c r="Z11" s="101">
        <v>100</v>
      </c>
    </row>
    <row r="12" spans="1:26" x14ac:dyDescent="0.25">
      <c r="A12" s="264">
        <v>8</v>
      </c>
      <c r="B12" s="256" t="s">
        <v>191</v>
      </c>
      <c r="C12" s="34">
        <v>75</v>
      </c>
      <c r="D12" s="35">
        <v>54</v>
      </c>
      <c r="E12" s="35">
        <v>5</v>
      </c>
      <c r="F12" s="19">
        <f t="shared" si="5"/>
        <v>2.0250000000000001E-2</v>
      </c>
      <c r="G12" s="286">
        <v>0</v>
      </c>
      <c r="H12" s="288">
        <f t="shared" si="6"/>
        <v>0</v>
      </c>
      <c r="I12" s="290">
        <v>0</v>
      </c>
      <c r="J12" s="205">
        <f t="shared" si="0"/>
        <v>0</v>
      </c>
      <c r="K12" s="290">
        <v>0</v>
      </c>
      <c r="L12" s="205">
        <f>F12*K12</f>
        <v>0</v>
      </c>
      <c r="M12" s="290">
        <v>0</v>
      </c>
      <c r="N12" s="205">
        <f>F12*M12</f>
        <v>0</v>
      </c>
      <c r="O12" s="290">
        <v>0</v>
      </c>
      <c r="P12" s="205">
        <f>F12*O12</f>
        <v>0</v>
      </c>
      <c r="Q12" s="290">
        <v>0</v>
      </c>
      <c r="R12" s="21">
        <v>0</v>
      </c>
      <c r="S12" s="39">
        <f t="shared" si="7"/>
        <v>0</v>
      </c>
      <c r="T12" s="38">
        <f t="shared" si="4"/>
        <v>0</v>
      </c>
      <c r="U12" s="290">
        <v>0</v>
      </c>
      <c r="V12" s="13">
        <f t="shared" si="8"/>
        <v>0</v>
      </c>
      <c r="W12" s="294">
        <f t="shared" si="9"/>
        <v>0</v>
      </c>
      <c r="X12" s="295">
        <f t="shared" si="10"/>
        <v>0</v>
      </c>
      <c r="Y12" s="238">
        <v>50</v>
      </c>
      <c r="Z12" s="101">
        <v>100</v>
      </c>
    </row>
    <row r="13" spans="1:26" x14ac:dyDescent="0.25">
      <c r="A13" s="264">
        <v>9</v>
      </c>
      <c r="B13" s="256" t="s">
        <v>142</v>
      </c>
      <c r="C13" s="34">
        <v>140</v>
      </c>
      <c r="D13" s="35">
        <v>240</v>
      </c>
      <c r="E13" s="35">
        <v>5</v>
      </c>
      <c r="F13" s="19">
        <f t="shared" si="5"/>
        <v>0.16800000000000001</v>
      </c>
      <c r="G13" s="286">
        <v>108</v>
      </c>
      <c r="H13" s="288">
        <f t="shared" si="6"/>
        <v>18.144000000000002</v>
      </c>
      <c r="I13" s="290">
        <v>0</v>
      </c>
      <c r="J13" s="205">
        <f t="shared" si="0"/>
        <v>0</v>
      </c>
      <c r="K13" s="290">
        <v>0</v>
      </c>
      <c r="L13" s="205">
        <f>F13*K13</f>
        <v>0</v>
      </c>
      <c r="M13" s="290">
        <v>4</v>
      </c>
      <c r="N13" s="205">
        <f>F13*M13</f>
        <v>0.67200000000000004</v>
      </c>
      <c r="O13" s="290">
        <v>5</v>
      </c>
      <c r="P13" s="205">
        <f>F13*O13</f>
        <v>0.84000000000000008</v>
      </c>
      <c r="Q13" s="290">
        <v>2</v>
      </c>
      <c r="R13" s="205">
        <f>F13*Q13</f>
        <v>0.33600000000000002</v>
      </c>
      <c r="S13" s="39">
        <f t="shared" si="7"/>
        <v>97</v>
      </c>
      <c r="T13" s="38">
        <f t="shared" si="4"/>
        <v>16.295999999999999</v>
      </c>
      <c r="U13" s="290">
        <v>0</v>
      </c>
      <c r="V13" s="13">
        <f t="shared" si="8"/>
        <v>0</v>
      </c>
      <c r="W13" s="294">
        <f t="shared" si="9"/>
        <v>97</v>
      </c>
      <c r="X13" s="295">
        <f t="shared" si="10"/>
        <v>16.295999999999999</v>
      </c>
      <c r="Y13" s="238">
        <v>100</v>
      </c>
      <c r="Z13" s="101">
        <v>300</v>
      </c>
    </row>
    <row r="14" spans="1:26" x14ac:dyDescent="0.25">
      <c r="A14" s="264">
        <v>10</v>
      </c>
      <c r="B14" s="256" t="s">
        <v>143</v>
      </c>
      <c r="C14" s="34">
        <v>90</v>
      </c>
      <c r="D14" s="35">
        <v>85</v>
      </c>
      <c r="E14" s="35">
        <v>5</v>
      </c>
      <c r="F14" s="19">
        <f t="shared" si="5"/>
        <v>3.8249999999999999E-2</v>
      </c>
      <c r="G14" s="286">
        <v>0</v>
      </c>
      <c r="H14" s="288">
        <f t="shared" si="6"/>
        <v>0</v>
      </c>
      <c r="I14" s="290">
        <v>0</v>
      </c>
      <c r="J14" s="205">
        <f t="shared" si="0"/>
        <v>0</v>
      </c>
      <c r="K14" s="290">
        <v>0</v>
      </c>
      <c r="L14" s="205">
        <f t="shared" ref="L14:L20" si="12">F14*K14</f>
        <v>0</v>
      </c>
      <c r="M14" s="290">
        <v>0</v>
      </c>
      <c r="N14" s="205">
        <f>F14*M14</f>
        <v>0</v>
      </c>
      <c r="O14" s="290">
        <v>0</v>
      </c>
      <c r="P14" s="205">
        <f t="shared" si="0"/>
        <v>0</v>
      </c>
      <c r="Q14" s="290">
        <v>0</v>
      </c>
      <c r="R14" s="205">
        <f t="shared" si="0"/>
        <v>0</v>
      </c>
      <c r="S14" s="39">
        <f t="shared" si="7"/>
        <v>0</v>
      </c>
      <c r="T14" s="38">
        <f t="shared" si="4"/>
        <v>0</v>
      </c>
      <c r="U14" s="290">
        <v>0</v>
      </c>
      <c r="V14" s="13">
        <f t="shared" si="8"/>
        <v>0</v>
      </c>
      <c r="W14" s="294">
        <f t="shared" si="9"/>
        <v>0</v>
      </c>
      <c r="X14" s="295">
        <f t="shared" si="10"/>
        <v>0</v>
      </c>
      <c r="Y14" s="238">
        <v>50</v>
      </c>
      <c r="Z14" s="101">
        <v>100</v>
      </c>
    </row>
    <row r="15" spans="1:26" x14ac:dyDescent="0.25">
      <c r="A15" s="264">
        <v>11</v>
      </c>
      <c r="B15" s="256" t="s">
        <v>144</v>
      </c>
      <c r="C15" s="34">
        <v>140</v>
      </c>
      <c r="D15" s="35">
        <v>240</v>
      </c>
      <c r="E15" s="35">
        <v>5</v>
      </c>
      <c r="F15" s="19">
        <f t="shared" si="5"/>
        <v>0.16800000000000001</v>
      </c>
      <c r="G15" s="286">
        <v>157</v>
      </c>
      <c r="H15" s="288">
        <f t="shared" si="6"/>
        <v>26.376000000000001</v>
      </c>
      <c r="I15" s="290">
        <v>8</v>
      </c>
      <c r="J15" s="205">
        <f t="shared" si="0"/>
        <v>1.3440000000000001</v>
      </c>
      <c r="K15" s="290">
        <v>9</v>
      </c>
      <c r="L15" s="205">
        <f t="shared" si="12"/>
        <v>1.512</v>
      </c>
      <c r="M15" s="290">
        <v>4</v>
      </c>
      <c r="N15" s="205">
        <f t="shared" ref="N15:N37" si="13">F15*M15</f>
        <v>0.67200000000000004</v>
      </c>
      <c r="O15" s="290">
        <v>2</v>
      </c>
      <c r="P15" s="205">
        <f t="shared" ref="P15:P36" si="14">F15*O15</f>
        <v>0.33600000000000002</v>
      </c>
      <c r="Q15" s="290">
        <v>2</v>
      </c>
      <c r="R15" s="205">
        <f t="shared" ref="R15:R20" si="15">F15*Q15</f>
        <v>0.33600000000000002</v>
      </c>
      <c r="S15" s="39">
        <f t="shared" si="7"/>
        <v>132</v>
      </c>
      <c r="T15" s="38">
        <f t="shared" si="4"/>
        <v>22.176000000000002</v>
      </c>
      <c r="U15" s="290">
        <v>0</v>
      </c>
      <c r="V15" s="13">
        <f t="shared" si="8"/>
        <v>0</v>
      </c>
      <c r="W15" s="294">
        <f t="shared" si="9"/>
        <v>132</v>
      </c>
      <c r="X15" s="295">
        <f t="shared" si="10"/>
        <v>22.176000000000002</v>
      </c>
      <c r="Y15" s="238">
        <v>200</v>
      </c>
      <c r="Z15" s="101">
        <v>400</v>
      </c>
    </row>
    <row r="16" spans="1:26" x14ac:dyDescent="0.25">
      <c r="A16" s="264">
        <v>12</v>
      </c>
      <c r="B16" s="256" t="s">
        <v>145</v>
      </c>
      <c r="C16" s="34">
        <v>140</v>
      </c>
      <c r="D16" s="35">
        <v>240</v>
      </c>
      <c r="E16" s="35">
        <v>5</v>
      </c>
      <c r="F16" s="19">
        <f t="shared" si="5"/>
        <v>0.16800000000000001</v>
      </c>
      <c r="G16" s="286">
        <v>156</v>
      </c>
      <c r="H16" s="288">
        <f t="shared" si="6"/>
        <v>26.208000000000002</v>
      </c>
      <c r="I16" s="290">
        <v>12</v>
      </c>
      <c r="J16" s="205">
        <f t="shared" si="0"/>
        <v>2.016</v>
      </c>
      <c r="K16" s="290">
        <v>1</v>
      </c>
      <c r="L16" s="205">
        <f t="shared" si="12"/>
        <v>0.16800000000000001</v>
      </c>
      <c r="M16" s="290">
        <v>4</v>
      </c>
      <c r="N16" s="205">
        <f t="shared" si="13"/>
        <v>0.67200000000000004</v>
      </c>
      <c r="O16" s="290">
        <v>12</v>
      </c>
      <c r="P16" s="205">
        <f t="shared" si="14"/>
        <v>2.016</v>
      </c>
      <c r="Q16" s="290">
        <v>2</v>
      </c>
      <c r="R16" s="205">
        <f t="shared" si="15"/>
        <v>0.33600000000000002</v>
      </c>
      <c r="S16" s="39">
        <f t="shared" si="7"/>
        <v>125</v>
      </c>
      <c r="T16" s="38">
        <f t="shared" si="4"/>
        <v>21</v>
      </c>
      <c r="U16" s="290">
        <v>0</v>
      </c>
      <c r="V16" s="13">
        <f t="shared" si="8"/>
        <v>0</v>
      </c>
      <c r="W16" s="294">
        <f t="shared" si="9"/>
        <v>125</v>
      </c>
      <c r="X16" s="295">
        <f t="shared" si="10"/>
        <v>21</v>
      </c>
      <c r="Y16" s="238">
        <v>100</v>
      </c>
      <c r="Z16" s="101">
        <v>300</v>
      </c>
    </row>
    <row r="17" spans="1:26" x14ac:dyDescent="0.25">
      <c r="A17" s="264">
        <v>13</v>
      </c>
      <c r="B17" s="256" t="s">
        <v>146</v>
      </c>
      <c r="C17" s="34">
        <v>140</v>
      </c>
      <c r="D17" s="35">
        <v>240</v>
      </c>
      <c r="E17" s="35">
        <v>8</v>
      </c>
      <c r="F17" s="19">
        <f t="shared" si="5"/>
        <v>0.26879999999999998</v>
      </c>
      <c r="G17" s="286">
        <v>120</v>
      </c>
      <c r="H17" s="288">
        <f t="shared" si="6"/>
        <v>32.256</v>
      </c>
      <c r="I17" s="290">
        <v>0</v>
      </c>
      <c r="J17" s="205">
        <f t="shared" si="0"/>
        <v>0</v>
      </c>
      <c r="K17" s="290">
        <v>0</v>
      </c>
      <c r="L17" s="205">
        <f t="shared" si="12"/>
        <v>0</v>
      </c>
      <c r="M17" s="290">
        <v>0</v>
      </c>
      <c r="N17" s="205">
        <f t="shared" si="13"/>
        <v>0</v>
      </c>
      <c r="O17" s="290">
        <v>0</v>
      </c>
      <c r="P17" s="205">
        <f t="shared" si="14"/>
        <v>0</v>
      </c>
      <c r="Q17" s="290">
        <v>0</v>
      </c>
      <c r="R17" s="205">
        <f t="shared" si="15"/>
        <v>0</v>
      </c>
      <c r="S17" s="39">
        <f t="shared" si="7"/>
        <v>120</v>
      </c>
      <c r="T17" s="38">
        <f t="shared" si="4"/>
        <v>32.256</v>
      </c>
      <c r="U17" s="290">
        <v>0</v>
      </c>
      <c r="V17" s="13">
        <f t="shared" si="8"/>
        <v>0</v>
      </c>
      <c r="W17" s="294">
        <f t="shared" si="9"/>
        <v>120</v>
      </c>
      <c r="X17" s="295">
        <f t="shared" si="10"/>
        <v>32.256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147</v>
      </c>
      <c r="C18" s="34">
        <v>77</v>
      </c>
      <c r="D18" s="35">
        <v>86</v>
      </c>
      <c r="E18" s="35">
        <v>8</v>
      </c>
      <c r="F18" s="19">
        <f t="shared" si="5"/>
        <v>5.2976000000000002E-2</v>
      </c>
      <c r="G18" s="286">
        <v>454</v>
      </c>
      <c r="H18" s="288">
        <f t="shared" si="6"/>
        <v>24.051104000000002</v>
      </c>
      <c r="I18" s="290">
        <v>0</v>
      </c>
      <c r="J18" s="205">
        <f t="shared" si="0"/>
        <v>0</v>
      </c>
      <c r="K18" s="290">
        <v>0</v>
      </c>
      <c r="L18" s="205">
        <f t="shared" si="12"/>
        <v>0</v>
      </c>
      <c r="M18" s="290">
        <v>0</v>
      </c>
      <c r="N18" s="205">
        <f t="shared" si="13"/>
        <v>0</v>
      </c>
      <c r="O18" s="290">
        <v>12</v>
      </c>
      <c r="P18" s="205">
        <f t="shared" si="14"/>
        <v>0.63571200000000005</v>
      </c>
      <c r="Q18" s="290">
        <v>0</v>
      </c>
      <c r="R18" s="205">
        <f t="shared" si="15"/>
        <v>0</v>
      </c>
      <c r="S18" s="39">
        <f t="shared" si="7"/>
        <v>442</v>
      </c>
      <c r="T18" s="38">
        <f t="shared" si="4"/>
        <v>23.415392000000001</v>
      </c>
      <c r="U18" s="290">
        <v>0</v>
      </c>
      <c r="V18" s="13">
        <f t="shared" si="8"/>
        <v>0</v>
      </c>
      <c r="W18" s="294">
        <f t="shared" si="9"/>
        <v>442</v>
      </c>
      <c r="X18" s="295">
        <f t="shared" si="10"/>
        <v>23.415392000000001</v>
      </c>
      <c r="Y18" s="238">
        <v>100</v>
      </c>
      <c r="Z18" s="101">
        <v>300</v>
      </c>
    </row>
    <row r="19" spans="1:26" x14ac:dyDescent="0.25">
      <c r="A19" s="264">
        <v>15</v>
      </c>
      <c r="B19" s="256" t="s">
        <v>148</v>
      </c>
      <c r="C19" s="34">
        <v>77</v>
      </c>
      <c r="D19" s="35">
        <v>68</v>
      </c>
      <c r="E19" s="35">
        <v>8</v>
      </c>
      <c r="F19" s="19">
        <f t="shared" si="5"/>
        <v>4.1888000000000002E-2</v>
      </c>
      <c r="G19" s="286">
        <v>450</v>
      </c>
      <c r="H19" s="288">
        <f t="shared" si="6"/>
        <v>18.849600000000002</v>
      </c>
      <c r="I19" s="290">
        <v>0</v>
      </c>
      <c r="J19" s="205">
        <f t="shared" si="0"/>
        <v>0</v>
      </c>
      <c r="K19" s="290">
        <v>8</v>
      </c>
      <c r="L19" s="205">
        <f t="shared" si="12"/>
        <v>0.33510400000000001</v>
      </c>
      <c r="M19" s="290">
        <v>0</v>
      </c>
      <c r="N19" s="205">
        <f t="shared" si="13"/>
        <v>0</v>
      </c>
      <c r="O19" s="290">
        <v>12</v>
      </c>
      <c r="P19" s="205">
        <f t="shared" si="14"/>
        <v>0.50265599999999999</v>
      </c>
      <c r="Q19" s="290">
        <v>0</v>
      </c>
      <c r="R19" s="205">
        <f t="shared" si="15"/>
        <v>0</v>
      </c>
      <c r="S19" s="39">
        <f t="shared" si="7"/>
        <v>430</v>
      </c>
      <c r="T19" s="38">
        <f t="shared" si="4"/>
        <v>18.011839999999999</v>
      </c>
      <c r="U19" s="290">
        <v>0</v>
      </c>
      <c r="V19" s="13">
        <f t="shared" si="8"/>
        <v>0</v>
      </c>
      <c r="W19" s="294">
        <f t="shared" si="9"/>
        <v>430</v>
      </c>
      <c r="X19" s="295">
        <f t="shared" si="10"/>
        <v>18.011839999999999</v>
      </c>
      <c r="Y19" s="238">
        <v>100</v>
      </c>
      <c r="Z19" s="101">
        <v>300</v>
      </c>
    </row>
    <row r="20" spans="1:26" x14ac:dyDescent="0.25">
      <c r="A20" s="264">
        <v>16</v>
      </c>
      <c r="B20" s="256" t="s">
        <v>149</v>
      </c>
      <c r="C20" s="34">
        <v>76</v>
      </c>
      <c r="D20" s="35">
        <v>75</v>
      </c>
      <c r="E20" s="35">
        <v>8</v>
      </c>
      <c r="F20" s="19">
        <f t="shared" si="5"/>
        <v>4.5600000000000002E-2</v>
      </c>
      <c r="G20" s="286">
        <v>1131</v>
      </c>
      <c r="H20" s="288">
        <f t="shared" si="6"/>
        <v>51.573599999999999</v>
      </c>
      <c r="I20" s="290">
        <v>4</v>
      </c>
      <c r="J20" s="205">
        <f t="shared" si="0"/>
        <v>0.18240000000000001</v>
      </c>
      <c r="K20" s="290">
        <v>4</v>
      </c>
      <c r="L20" s="205">
        <f t="shared" si="12"/>
        <v>0.18240000000000001</v>
      </c>
      <c r="M20" s="290">
        <v>0</v>
      </c>
      <c r="N20" s="205">
        <f t="shared" si="13"/>
        <v>0</v>
      </c>
      <c r="O20" s="290">
        <v>20</v>
      </c>
      <c r="P20" s="205">
        <f t="shared" si="14"/>
        <v>0.91200000000000003</v>
      </c>
      <c r="Q20" s="290">
        <v>15</v>
      </c>
      <c r="R20" s="205">
        <f t="shared" si="15"/>
        <v>0.68400000000000005</v>
      </c>
      <c r="S20" s="39">
        <f t="shared" si="7"/>
        <v>1088</v>
      </c>
      <c r="T20" s="38">
        <f t="shared" si="4"/>
        <v>49.6128</v>
      </c>
      <c r="U20" s="290">
        <v>0</v>
      </c>
      <c r="V20" s="13">
        <f t="shared" si="8"/>
        <v>0</v>
      </c>
      <c r="W20" s="294">
        <f t="shared" si="9"/>
        <v>1088</v>
      </c>
      <c r="X20" s="295">
        <f t="shared" si="10"/>
        <v>49.6128</v>
      </c>
      <c r="Y20" s="238">
        <v>100</v>
      </c>
      <c r="Z20" s="101">
        <v>300</v>
      </c>
    </row>
    <row r="21" spans="1:26" x14ac:dyDescent="0.25">
      <c r="A21" s="264">
        <v>17</v>
      </c>
      <c r="B21" s="256" t="s">
        <v>150</v>
      </c>
      <c r="C21" s="34">
        <v>60</v>
      </c>
      <c r="D21" s="35">
        <v>63</v>
      </c>
      <c r="E21" s="35">
        <v>10</v>
      </c>
      <c r="F21" s="19">
        <f t="shared" si="5"/>
        <v>3.78E-2</v>
      </c>
      <c r="G21" s="286">
        <v>594</v>
      </c>
      <c r="H21" s="288">
        <f t="shared" si="6"/>
        <v>22.453199999999999</v>
      </c>
      <c r="I21" s="290">
        <v>0</v>
      </c>
      <c r="J21" s="205">
        <f t="shared" si="0"/>
        <v>0</v>
      </c>
      <c r="K21" s="290">
        <v>96</v>
      </c>
      <c r="L21" s="205">
        <f t="shared" si="0"/>
        <v>2155.5072</v>
      </c>
      <c r="M21" s="290">
        <v>0</v>
      </c>
      <c r="N21" s="21">
        <v>0</v>
      </c>
      <c r="O21" s="290">
        <v>0</v>
      </c>
      <c r="P21" s="205">
        <f t="shared" si="14"/>
        <v>0</v>
      </c>
      <c r="Q21" s="290">
        <v>1</v>
      </c>
      <c r="R21" s="21">
        <v>0</v>
      </c>
      <c r="S21" s="39">
        <f t="shared" si="7"/>
        <v>497</v>
      </c>
      <c r="T21" s="38">
        <f t="shared" si="4"/>
        <v>18.7866</v>
      </c>
      <c r="U21" s="290">
        <v>0</v>
      </c>
      <c r="V21" s="13">
        <f t="shared" si="8"/>
        <v>0</v>
      </c>
      <c r="W21" s="294">
        <f t="shared" si="9"/>
        <v>497</v>
      </c>
      <c r="X21" s="295">
        <f t="shared" si="10"/>
        <v>18.7866</v>
      </c>
      <c r="Y21" s="238">
        <v>50</v>
      </c>
      <c r="Z21" s="101">
        <v>200</v>
      </c>
    </row>
    <row r="22" spans="1:26" x14ac:dyDescent="0.25">
      <c r="A22" s="264">
        <v>18</v>
      </c>
      <c r="B22" s="256" t="s">
        <v>151</v>
      </c>
      <c r="C22" s="34">
        <v>63</v>
      </c>
      <c r="D22" s="35">
        <v>60</v>
      </c>
      <c r="E22" s="35">
        <v>3</v>
      </c>
      <c r="F22" s="19">
        <f t="shared" si="5"/>
        <v>1.1339999999999999E-2</v>
      </c>
      <c r="G22" s="286">
        <v>184</v>
      </c>
      <c r="H22" s="288">
        <f t="shared" si="6"/>
        <v>2.08656</v>
      </c>
      <c r="I22" s="290">
        <v>0</v>
      </c>
      <c r="J22" s="205">
        <f t="shared" si="0"/>
        <v>0</v>
      </c>
      <c r="K22" s="290">
        <v>32</v>
      </c>
      <c r="L22" s="205">
        <f>F22*K22</f>
        <v>0.36287999999999998</v>
      </c>
      <c r="M22" s="290">
        <v>0</v>
      </c>
      <c r="N22" s="205">
        <f t="shared" si="13"/>
        <v>0</v>
      </c>
      <c r="O22" s="290">
        <v>0</v>
      </c>
      <c r="P22" s="205">
        <f t="shared" si="14"/>
        <v>0</v>
      </c>
      <c r="Q22" s="290">
        <v>1</v>
      </c>
      <c r="R22" s="21">
        <v>0</v>
      </c>
      <c r="S22" s="39">
        <f t="shared" si="7"/>
        <v>151</v>
      </c>
      <c r="T22" s="38">
        <f t="shared" si="4"/>
        <v>1.71234</v>
      </c>
      <c r="U22" s="290">
        <v>0</v>
      </c>
      <c r="V22" s="13">
        <f t="shared" si="8"/>
        <v>0</v>
      </c>
      <c r="W22" s="294">
        <f t="shared" si="9"/>
        <v>151</v>
      </c>
      <c r="X22" s="295">
        <f t="shared" si="10"/>
        <v>1.71234</v>
      </c>
      <c r="Y22" s="238">
        <v>50</v>
      </c>
      <c r="Z22" s="101">
        <v>200</v>
      </c>
    </row>
    <row r="23" spans="1:26" x14ac:dyDescent="0.25">
      <c r="A23" s="264">
        <v>19</v>
      </c>
      <c r="B23" s="42" t="s">
        <v>152</v>
      </c>
      <c r="C23" s="34">
        <v>140</v>
      </c>
      <c r="D23" s="35">
        <v>240</v>
      </c>
      <c r="E23" s="35">
        <v>1.4</v>
      </c>
      <c r="F23" s="19">
        <f t="shared" si="5"/>
        <v>4.7039999999999998E-2</v>
      </c>
      <c r="G23" s="286">
        <v>366</v>
      </c>
      <c r="H23" s="288">
        <f t="shared" si="6"/>
        <v>17.216639999999998</v>
      </c>
      <c r="I23" s="290">
        <v>24</v>
      </c>
      <c r="J23" s="205">
        <f t="shared" si="0"/>
        <v>1.12896</v>
      </c>
      <c r="K23" s="290">
        <v>98</v>
      </c>
      <c r="L23" s="205">
        <f t="shared" ref="L23:L36" si="16">F23*K23</f>
        <v>4.6099199999999998</v>
      </c>
      <c r="M23" s="290">
        <v>54</v>
      </c>
      <c r="N23" s="205">
        <f t="shared" si="13"/>
        <v>2.5401599999999998</v>
      </c>
      <c r="O23" s="290">
        <v>34</v>
      </c>
      <c r="P23" s="205">
        <f t="shared" si="14"/>
        <v>1.5993599999999999</v>
      </c>
      <c r="Q23" s="290">
        <v>42</v>
      </c>
      <c r="R23" s="205">
        <f t="shared" ref="R23:R37" si="17">F23*Q23</f>
        <v>1.9756799999999999</v>
      </c>
      <c r="S23" s="39">
        <f t="shared" si="7"/>
        <v>114</v>
      </c>
      <c r="T23" s="38">
        <f t="shared" si="4"/>
        <v>5.3625600000000002</v>
      </c>
      <c r="U23" s="290">
        <v>0</v>
      </c>
      <c r="V23" s="13">
        <f t="shared" si="8"/>
        <v>0</v>
      </c>
      <c r="W23" s="294">
        <f t="shared" si="9"/>
        <v>114</v>
      </c>
      <c r="X23" s="295">
        <f t="shared" si="10"/>
        <v>5.3625600000000002</v>
      </c>
      <c r="Y23" s="238">
        <v>200</v>
      </c>
      <c r="Z23" s="101">
        <v>500</v>
      </c>
    </row>
    <row r="24" spans="1:26" x14ac:dyDescent="0.25">
      <c r="A24" s="264">
        <v>20</v>
      </c>
      <c r="B24" s="256" t="s">
        <v>3</v>
      </c>
      <c r="C24" s="34">
        <v>140</v>
      </c>
      <c r="D24" s="35">
        <v>240</v>
      </c>
      <c r="E24" s="35">
        <v>0.8</v>
      </c>
      <c r="F24" s="19">
        <f t="shared" si="5"/>
        <v>2.6880000000000001E-2</v>
      </c>
      <c r="G24" s="286">
        <v>339</v>
      </c>
      <c r="H24" s="288">
        <f t="shared" si="6"/>
        <v>9.1123200000000004</v>
      </c>
      <c r="I24" s="290">
        <v>31</v>
      </c>
      <c r="J24" s="205">
        <f t="shared" si="0"/>
        <v>0.83328000000000002</v>
      </c>
      <c r="K24" s="290">
        <v>5</v>
      </c>
      <c r="L24" s="205">
        <f t="shared" si="16"/>
        <v>0.13440000000000002</v>
      </c>
      <c r="M24" s="290">
        <v>11</v>
      </c>
      <c r="N24" s="205">
        <f t="shared" si="13"/>
        <v>0.29568</v>
      </c>
      <c r="O24" s="290">
        <v>17</v>
      </c>
      <c r="P24" s="205">
        <f t="shared" si="14"/>
        <v>0.45696000000000003</v>
      </c>
      <c r="Q24" s="290">
        <v>19</v>
      </c>
      <c r="R24" s="205">
        <f t="shared" si="17"/>
        <v>0.51072000000000006</v>
      </c>
      <c r="S24" s="39">
        <f t="shared" si="7"/>
        <v>256</v>
      </c>
      <c r="T24" s="38">
        <f t="shared" si="4"/>
        <v>6.8812800000000003</v>
      </c>
      <c r="U24" s="290">
        <v>0</v>
      </c>
      <c r="V24" s="13">
        <f t="shared" si="8"/>
        <v>0</v>
      </c>
      <c r="W24" s="294">
        <f t="shared" si="9"/>
        <v>256</v>
      </c>
      <c r="X24" s="295">
        <f t="shared" si="10"/>
        <v>6.8812800000000003</v>
      </c>
      <c r="Y24" s="238">
        <v>100</v>
      </c>
      <c r="Z24" s="101">
        <v>300</v>
      </c>
    </row>
    <row r="25" spans="1:26" x14ac:dyDescent="0.25">
      <c r="A25" s="264">
        <v>21</v>
      </c>
      <c r="B25" s="256" t="s">
        <v>153</v>
      </c>
      <c r="C25" s="34">
        <v>58</v>
      </c>
      <c r="D25" s="35">
        <v>58</v>
      </c>
      <c r="E25" s="35">
        <v>2.2999999999999998</v>
      </c>
      <c r="F25" s="19">
        <f t="shared" si="5"/>
        <v>7.7371999999999996E-3</v>
      </c>
      <c r="G25" s="286">
        <v>1978</v>
      </c>
      <c r="H25" s="288">
        <f t="shared" si="6"/>
        <v>15.3041816</v>
      </c>
      <c r="I25" s="290">
        <v>40</v>
      </c>
      <c r="J25" s="205">
        <f t="shared" si="0"/>
        <v>0.30948799999999999</v>
      </c>
      <c r="K25" s="290">
        <v>104</v>
      </c>
      <c r="L25" s="205">
        <f t="shared" si="16"/>
        <v>0.80466879999999996</v>
      </c>
      <c r="M25" s="290">
        <v>0</v>
      </c>
      <c r="N25" s="205">
        <f t="shared" si="13"/>
        <v>0</v>
      </c>
      <c r="O25" s="290">
        <v>0</v>
      </c>
      <c r="P25" s="205">
        <f t="shared" si="14"/>
        <v>0</v>
      </c>
      <c r="Q25" s="290">
        <v>50</v>
      </c>
      <c r="R25" s="205">
        <f t="shared" si="17"/>
        <v>0.38685999999999998</v>
      </c>
      <c r="S25" s="39">
        <f t="shared" si="7"/>
        <v>1784</v>
      </c>
      <c r="T25" s="38">
        <f t="shared" si="4"/>
        <v>13.803164799999999</v>
      </c>
      <c r="U25" s="290">
        <v>0</v>
      </c>
      <c r="V25" s="13">
        <f t="shared" si="8"/>
        <v>0</v>
      </c>
      <c r="W25" s="294">
        <f t="shared" si="9"/>
        <v>1784</v>
      </c>
      <c r="X25" s="295">
        <f t="shared" si="10"/>
        <v>13.803164799999999</v>
      </c>
      <c r="Y25" s="238">
        <v>200</v>
      </c>
      <c r="Z25" s="101">
        <v>750</v>
      </c>
    </row>
    <row r="26" spans="1:26" x14ac:dyDescent="0.25">
      <c r="A26" s="264">
        <v>22</v>
      </c>
      <c r="B26" s="256" t="s">
        <v>154</v>
      </c>
      <c r="C26" s="34">
        <v>140</v>
      </c>
      <c r="D26" s="35">
        <v>240</v>
      </c>
      <c r="E26" s="35">
        <v>7</v>
      </c>
      <c r="F26" s="19">
        <f t="shared" si="5"/>
        <v>0.23519999999999999</v>
      </c>
      <c r="G26" s="286">
        <v>72</v>
      </c>
      <c r="H26" s="288">
        <f t="shared" si="6"/>
        <v>16.9344</v>
      </c>
      <c r="I26" s="290">
        <v>4</v>
      </c>
      <c r="J26" s="205">
        <f t="shared" si="0"/>
        <v>0.94079999999999997</v>
      </c>
      <c r="K26" s="290">
        <v>7</v>
      </c>
      <c r="L26" s="205">
        <f t="shared" si="16"/>
        <v>1.6463999999999999</v>
      </c>
      <c r="M26" s="290">
        <v>6</v>
      </c>
      <c r="N26" s="205">
        <f t="shared" si="13"/>
        <v>1.4112</v>
      </c>
      <c r="O26" s="290">
        <v>0</v>
      </c>
      <c r="P26" s="205">
        <f t="shared" si="14"/>
        <v>0</v>
      </c>
      <c r="Q26" s="290">
        <v>11</v>
      </c>
      <c r="R26" s="205">
        <f t="shared" si="17"/>
        <v>2.5871999999999997</v>
      </c>
      <c r="S26" s="39">
        <f t="shared" si="7"/>
        <v>44</v>
      </c>
      <c r="T26" s="38">
        <f t="shared" si="4"/>
        <v>10.348799999999999</v>
      </c>
      <c r="U26" s="290">
        <v>0</v>
      </c>
      <c r="V26" s="13">
        <f t="shared" si="8"/>
        <v>0</v>
      </c>
      <c r="W26" s="294">
        <f t="shared" si="9"/>
        <v>44</v>
      </c>
      <c r="X26" s="295">
        <f t="shared" si="10"/>
        <v>10.348799999999999</v>
      </c>
      <c r="Y26" s="238">
        <v>50</v>
      </c>
      <c r="Z26" s="101">
        <v>200</v>
      </c>
    </row>
    <row r="27" spans="1:26" ht="15.75" x14ac:dyDescent="0.25">
      <c r="A27" s="264">
        <v>23</v>
      </c>
      <c r="B27" s="256" t="s">
        <v>55</v>
      </c>
      <c r="C27" s="111">
        <v>50</v>
      </c>
      <c r="D27" s="112">
        <v>45</v>
      </c>
      <c r="E27" s="112">
        <v>4</v>
      </c>
      <c r="F27" s="19">
        <f t="shared" si="5"/>
        <v>8.9999999999999993E-3</v>
      </c>
      <c r="G27" s="286">
        <v>1870</v>
      </c>
      <c r="H27" s="288">
        <f t="shared" si="6"/>
        <v>16.829999999999998</v>
      </c>
      <c r="I27" s="290">
        <v>0</v>
      </c>
      <c r="J27" s="205">
        <f t="shared" si="0"/>
        <v>0</v>
      </c>
      <c r="K27" s="290">
        <v>0</v>
      </c>
      <c r="L27" s="205">
        <f t="shared" si="16"/>
        <v>0</v>
      </c>
      <c r="M27" s="290">
        <v>0</v>
      </c>
      <c r="N27" s="205">
        <f t="shared" si="13"/>
        <v>0</v>
      </c>
      <c r="O27" s="290">
        <v>0</v>
      </c>
      <c r="P27" s="205">
        <f t="shared" si="14"/>
        <v>0</v>
      </c>
      <c r="Q27" s="290">
        <v>0</v>
      </c>
      <c r="R27" s="205">
        <f t="shared" si="17"/>
        <v>0</v>
      </c>
      <c r="S27" s="39">
        <f t="shared" si="7"/>
        <v>1870</v>
      </c>
      <c r="T27" s="38">
        <f t="shared" si="4"/>
        <v>16.829999999999998</v>
      </c>
      <c r="U27" s="290">
        <v>0</v>
      </c>
      <c r="V27" s="13">
        <f t="shared" si="8"/>
        <v>0</v>
      </c>
      <c r="W27" s="294">
        <f t="shared" si="9"/>
        <v>1870</v>
      </c>
      <c r="X27" s="295">
        <f t="shared" si="10"/>
        <v>16.829999999999998</v>
      </c>
      <c r="Y27" s="238">
        <v>300</v>
      </c>
      <c r="Z27" s="101">
        <v>1000</v>
      </c>
    </row>
    <row r="28" spans="1:26" ht="15.75" x14ac:dyDescent="0.25">
      <c r="A28" s="264">
        <v>24</v>
      </c>
      <c r="B28" s="256" t="s">
        <v>56</v>
      </c>
      <c r="C28" s="111">
        <v>50</v>
      </c>
      <c r="D28" s="112">
        <v>35</v>
      </c>
      <c r="E28" s="112">
        <v>4</v>
      </c>
      <c r="F28" s="19">
        <f t="shared" si="5"/>
        <v>7.0000000000000001E-3</v>
      </c>
      <c r="G28" s="286">
        <v>0</v>
      </c>
      <c r="H28" s="288">
        <f t="shared" si="6"/>
        <v>0</v>
      </c>
      <c r="I28" s="290">
        <v>0</v>
      </c>
      <c r="J28" s="205">
        <f t="shared" si="0"/>
        <v>0</v>
      </c>
      <c r="K28" s="290">
        <v>0</v>
      </c>
      <c r="L28" s="205">
        <f t="shared" si="16"/>
        <v>0</v>
      </c>
      <c r="M28" s="290">
        <v>0</v>
      </c>
      <c r="N28" s="205">
        <f t="shared" si="13"/>
        <v>0</v>
      </c>
      <c r="O28" s="290">
        <v>0</v>
      </c>
      <c r="P28" s="205">
        <f t="shared" si="14"/>
        <v>0</v>
      </c>
      <c r="Q28" s="290">
        <v>0</v>
      </c>
      <c r="R28" s="205">
        <f t="shared" si="17"/>
        <v>0</v>
      </c>
      <c r="S28" s="39">
        <f t="shared" si="7"/>
        <v>0</v>
      </c>
      <c r="T28" s="38">
        <f t="shared" si="4"/>
        <v>0</v>
      </c>
      <c r="U28" s="290">
        <v>0</v>
      </c>
      <c r="V28" s="13">
        <f t="shared" si="8"/>
        <v>0</v>
      </c>
      <c r="W28" s="294">
        <f t="shared" si="9"/>
        <v>0</v>
      </c>
      <c r="X28" s="295">
        <f t="shared" si="10"/>
        <v>0</v>
      </c>
      <c r="Y28" s="238">
        <v>300</v>
      </c>
      <c r="Z28" s="101">
        <v>1000</v>
      </c>
    </row>
    <row r="29" spans="1:26" ht="15.75" x14ac:dyDescent="0.25">
      <c r="A29" s="264">
        <v>25</v>
      </c>
      <c r="B29" s="256" t="s">
        <v>57</v>
      </c>
      <c r="C29" s="111">
        <v>45</v>
      </c>
      <c r="D29" s="112">
        <v>44</v>
      </c>
      <c r="E29" s="112">
        <v>3</v>
      </c>
      <c r="F29" s="19">
        <f t="shared" si="5"/>
        <v>5.94E-3</v>
      </c>
      <c r="G29" s="286">
        <v>31</v>
      </c>
      <c r="H29" s="288">
        <f t="shared" si="6"/>
        <v>0.18414</v>
      </c>
      <c r="I29" s="290">
        <v>0</v>
      </c>
      <c r="J29" s="205">
        <f t="shared" si="0"/>
        <v>0</v>
      </c>
      <c r="K29" s="290">
        <v>0</v>
      </c>
      <c r="L29" s="205">
        <f t="shared" si="16"/>
        <v>0</v>
      </c>
      <c r="M29" s="290">
        <v>0</v>
      </c>
      <c r="N29" s="205">
        <f t="shared" si="13"/>
        <v>0</v>
      </c>
      <c r="O29" s="290">
        <v>0</v>
      </c>
      <c r="P29" s="205">
        <f t="shared" si="14"/>
        <v>0</v>
      </c>
      <c r="Q29" s="290">
        <v>0</v>
      </c>
      <c r="R29" s="205">
        <f t="shared" si="17"/>
        <v>0</v>
      </c>
      <c r="S29" s="39">
        <f t="shared" si="7"/>
        <v>31</v>
      </c>
      <c r="T29" s="38">
        <f t="shared" si="4"/>
        <v>0.18414</v>
      </c>
      <c r="U29" s="290">
        <v>0</v>
      </c>
      <c r="V29" s="13">
        <f t="shared" si="8"/>
        <v>0</v>
      </c>
      <c r="W29" s="294">
        <f t="shared" si="9"/>
        <v>31</v>
      </c>
      <c r="X29" s="295">
        <f t="shared" si="10"/>
        <v>0.18414</v>
      </c>
      <c r="Y29" s="238">
        <v>500</v>
      </c>
      <c r="Z29" s="101">
        <v>1500</v>
      </c>
    </row>
    <row r="30" spans="1:26" ht="15.75" x14ac:dyDescent="0.25">
      <c r="A30" s="264">
        <v>26</v>
      </c>
      <c r="B30" s="256" t="s">
        <v>58</v>
      </c>
      <c r="C30" s="111">
        <v>45</v>
      </c>
      <c r="D30" s="112">
        <v>35.5</v>
      </c>
      <c r="E30" s="112">
        <v>3</v>
      </c>
      <c r="F30" s="19">
        <f t="shared" si="5"/>
        <v>4.7924999999999999E-3</v>
      </c>
      <c r="G30" s="286">
        <v>732</v>
      </c>
      <c r="H30" s="288">
        <f t="shared" si="6"/>
        <v>3.5081099999999998</v>
      </c>
      <c r="I30" s="290">
        <v>0</v>
      </c>
      <c r="J30" s="205">
        <f t="shared" si="0"/>
        <v>0</v>
      </c>
      <c r="K30" s="290">
        <v>0</v>
      </c>
      <c r="L30" s="205">
        <f t="shared" si="16"/>
        <v>0</v>
      </c>
      <c r="M30" s="290">
        <v>0</v>
      </c>
      <c r="N30" s="205">
        <f t="shared" si="13"/>
        <v>0</v>
      </c>
      <c r="O30" s="290">
        <v>0</v>
      </c>
      <c r="P30" s="205">
        <f t="shared" si="14"/>
        <v>0</v>
      </c>
      <c r="Q30" s="290">
        <v>0</v>
      </c>
      <c r="R30" s="205">
        <f t="shared" si="17"/>
        <v>0</v>
      </c>
      <c r="S30" s="39">
        <f t="shared" si="7"/>
        <v>732</v>
      </c>
      <c r="T30" s="38">
        <f t="shared" si="4"/>
        <v>3.5081099999999998</v>
      </c>
      <c r="U30" s="290">
        <v>0</v>
      </c>
      <c r="V30" s="13">
        <f t="shared" si="8"/>
        <v>0</v>
      </c>
      <c r="W30" s="294">
        <f t="shared" si="9"/>
        <v>732</v>
      </c>
      <c r="X30" s="295">
        <f t="shared" si="10"/>
        <v>3.5081099999999998</v>
      </c>
      <c r="Y30" s="238">
        <v>500</v>
      </c>
      <c r="Z30" s="101">
        <v>1500</v>
      </c>
    </row>
    <row r="31" spans="1:26" x14ac:dyDescent="0.25">
      <c r="A31" s="264">
        <v>27</v>
      </c>
      <c r="B31" s="256" t="s">
        <v>155</v>
      </c>
      <c r="C31" s="34">
        <v>140</v>
      </c>
      <c r="D31" s="35">
        <v>9.5</v>
      </c>
      <c r="E31" s="35">
        <v>6.5</v>
      </c>
      <c r="F31" s="19">
        <f t="shared" si="5"/>
        <v>8.6449999999999999E-3</v>
      </c>
      <c r="G31" s="286">
        <v>633</v>
      </c>
      <c r="H31" s="288">
        <f t="shared" si="6"/>
        <v>5.4722850000000003</v>
      </c>
      <c r="I31" s="290">
        <v>77</v>
      </c>
      <c r="J31" s="205">
        <f t="shared" si="0"/>
        <v>0.66566499999999995</v>
      </c>
      <c r="K31" s="290">
        <v>0</v>
      </c>
      <c r="L31" s="205">
        <f t="shared" si="16"/>
        <v>0</v>
      </c>
      <c r="M31" s="290">
        <v>375</v>
      </c>
      <c r="N31" s="205">
        <f t="shared" si="13"/>
        <v>3.2418749999999998</v>
      </c>
      <c r="O31" s="290">
        <v>0</v>
      </c>
      <c r="P31" s="205">
        <f t="shared" si="14"/>
        <v>0</v>
      </c>
      <c r="Q31" s="290">
        <v>0</v>
      </c>
      <c r="R31" s="205">
        <f t="shared" si="17"/>
        <v>0</v>
      </c>
      <c r="S31" s="39">
        <f t="shared" si="7"/>
        <v>181</v>
      </c>
      <c r="T31" s="38">
        <f t="shared" si="4"/>
        <v>1.5647450000000001</v>
      </c>
      <c r="U31" s="290">
        <v>82</v>
      </c>
      <c r="V31" s="13">
        <f t="shared" si="8"/>
        <v>0.70889000000000002</v>
      </c>
      <c r="W31" s="294">
        <f t="shared" si="9"/>
        <v>263</v>
      </c>
      <c r="X31" s="295">
        <f t="shared" si="10"/>
        <v>2.2736350000000001</v>
      </c>
      <c r="Y31" s="238">
        <v>500</v>
      </c>
      <c r="Z31" s="101">
        <v>1500</v>
      </c>
    </row>
    <row r="32" spans="1:26" x14ac:dyDescent="0.25">
      <c r="A32" s="264">
        <v>28</v>
      </c>
      <c r="B32" s="256" t="s">
        <v>156</v>
      </c>
      <c r="C32" s="34">
        <v>140</v>
      </c>
      <c r="D32" s="35">
        <v>240</v>
      </c>
      <c r="E32" s="35">
        <v>1</v>
      </c>
      <c r="F32" s="19">
        <f t="shared" si="5"/>
        <v>3.3599999999999998E-2</v>
      </c>
      <c r="G32" s="286">
        <v>636</v>
      </c>
      <c r="H32" s="288">
        <f t="shared" si="6"/>
        <v>21.369599999999998</v>
      </c>
      <c r="I32" s="290">
        <v>86</v>
      </c>
      <c r="J32" s="205">
        <f t="shared" si="0"/>
        <v>2.8895999999999997</v>
      </c>
      <c r="K32" s="290">
        <v>195</v>
      </c>
      <c r="L32" s="205">
        <f t="shared" si="16"/>
        <v>6.5519999999999996</v>
      </c>
      <c r="M32" s="290">
        <v>88</v>
      </c>
      <c r="N32" s="205">
        <f t="shared" si="13"/>
        <v>2.9567999999999999</v>
      </c>
      <c r="O32" s="290">
        <v>77</v>
      </c>
      <c r="P32" s="205">
        <f t="shared" si="14"/>
        <v>2.5871999999999997</v>
      </c>
      <c r="Q32" s="290">
        <v>136</v>
      </c>
      <c r="R32" s="205">
        <f>F32*Q32</f>
        <v>4.5695999999999994</v>
      </c>
      <c r="S32" s="39">
        <f t="shared" si="7"/>
        <v>54</v>
      </c>
      <c r="T32" s="38">
        <f t="shared" si="4"/>
        <v>1.8143999999999998</v>
      </c>
      <c r="U32" s="290">
        <v>351</v>
      </c>
      <c r="V32" s="13">
        <f t="shared" si="8"/>
        <v>11.7936</v>
      </c>
      <c r="W32" s="294">
        <f t="shared" si="9"/>
        <v>405</v>
      </c>
      <c r="X32" s="295">
        <f t="shared" si="10"/>
        <v>13.607999999999999</v>
      </c>
      <c r="Y32" s="238">
        <v>500</v>
      </c>
      <c r="Z32" s="101">
        <v>1500</v>
      </c>
    </row>
    <row r="33" spans="1:26" x14ac:dyDescent="0.25">
      <c r="A33" s="264">
        <v>29</v>
      </c>
      <c r="B33" s="256" t="s">
        <v>157</v>
      </c>
      <c r="C33" s="34">
        <v>140</v>
      </c>
      <c r="D33" s="35">
        <v>240</v>
      </c>
      <c r="E33" s="35">
        <v>2</v>
      </c>
      <c r="F33" s="19">
        <f t="shared" si="5"/>
        <v>6.7199999999999996E-2</v>
      </c>
      <c r="G33" s="286">
        <v>87</v>
      </c>
      <c r="H33" s="288">
        <f t="shared" si="6"/>
        <v>5.8464</v>
      </c>
      <c r="I33" s="290">
        <v>42</v>
      </c>
      <c r="J33" s="205">
        <f t="shared" si="0"/>
        <v>2.8224</v>
      </c>
      <c r="K33" s="290">
        <v>23</v>
      </c>
      <c r="L33" s="205">
        <f t="shared" si="16"/>
        <v>1.5455999999999999</v>
      </c>
      <c r="M33" s="290">
        <v>8</v>
      </c>
      <c r="N33" s="205">
        <f t="shared" si="13"/>
        <v>0.53759999999999997</v>
      </c>
      <c r="O33" s="290">
        <v>8</v>
      </c>
      <c r="P33" s="205">
        <f t="shared" si="14"/>
        <v>0.53759999999999997</v>
      </c>
      <c r="Q33" s="290">
        <v>6</v>
      </c>
      <c r="R33" s="205">
        <f>F33*Q33</f>
        <v>0.4032</v>
      </c>
      <c r="S33" s="39">
        <f t="shared" si="7"/>
        <v>0</v>
      </c>
      <c r="T33" s="38">
        <f t="shared" si="4"/>
        <v>0</v>
      </c>
      <c r="U33" s="290">
        <v>0</v>
      </c>
      <c r="V33" s="13">
        <f t="shared" si="8"/>
        <v>0</v>
      </c>
      <c r="W33" s="294">
        <f t="shared" si="9"/>
        <v>0</v>
      </c>
      <c r="X33" s="295">
        <f t="shared" si="10"/>
        <v>0</v>
      </c>
      <c r="Y33" s="238">
        <v>75</v>
      </c>
      <c r="Z33" s="101">
        <v>150</v>
      </c>
    </row>
    <row r="34" spans="1:26" x14ac:dyDescent="0.25">
      <c r="A34" s="264">
        <v>30</v>
      </c>
      <c r="B34" s="256" t="s">
        <v>158</v>
      </c>
      <c r="C34" s="34">
        <v>140</v>
      </c>
      <c r="D34" s="35">
        <v>240</v>
      </c>
      <c r="E34" s="35">
        <v>3</v>
      </c>
      <c r="F34" s="19">
        <f t="shared" si="5"/>
        <v>0.1008</v>
      </c>
      <c r="G34" s="286">
        <v>160</v>
      </c>
      <c r="H34" s="288">
        <f t="shared" si="6"/>
        <v>16.128</v>
      </c>
      <c r="I34" s="290">
        <v>24</v>
      </c>
      <c r="J34" s="205">
        <f>F34*I34</f>
        <v>2.4192</v>
      </c>
      <c r="K34" s="290">
        <v>5</v>
      </c>
      <c r="L34" s="205">
        <f t="shared" si="16"/>
        <v>0.504</v>
      </c>
      <c r="M34" s="290">
        <v>14</v>
      </c>
      <c r="N34" s="205">
        <f t="shared" si="13"/>
        <v>1.4112</v>
      </c>
      <c r="O34" s="290">
        <v>35</v>
      </c>
      <c r="P34" s="205">
        <f t="shared" si="14"/>
        <v>3.528</v>
      </c>
      <c r="Q34" s="290">
        <v>8</v>
      </c>
      <c r="R34" s="205">
        <f t="shared" si="17"/>
        <v>0.80640000000000001</v>
      </c>
      <c r="S34" s="39">
        <f t="shared" si="7"/>
        <v>74</v>
      </c>
      <c r="T34" s="38">
        <f t="shared" si="4"/>
        <v>7.4592000000000001</v>
      </c>
      <c r="U34" s="290">
        <v>4</v>
      </c>
      <c r="V34" s="13">
        <f t="shared" si="8"/>
        <v>0.4032</v>
      </c>
      <c r="W34" s="294">
        <f t="shared" si="9"/>
        <v>78</v>
      </c>
      <c r="X34" s="295">
        <f t="shared" si="10"/>
        <v>7.8624000000000001</v>
      </c>
      <c r="Y34" s="238">
        <v>75</v>
      </c>
      <c r="Z34" s="101">
        <v>150</v>
      </c>
    </row>
    <row r="35" spans="1:26" x14ac:dyDescent="0.25">
      <c r="A35" s="264">
        <v>31</v>
      </c>
      <c r="B35" s="256" t="s">
        <v>159</v>
      </c>
      <c r="C35" s="34">
        <v>140</v>
      </c>
      <c r="D35" s="35">
        <v>240</v>
      </c>
      <c r="E35" s="35">
        <v>4</v>
      </c>
      <c r="F35" s="19">
        <f t="shared" si="5"/>
        <v>0.13439999999999999</v>
      </c>
      <c r="G35" s="286">
        <v>78</v>
      </c>
      <c r="H35" s="288">
        <f t="shared" si="6"/>
        <v>10.4832</v>
      </c>
      <c r="I35" s="290">
        <v>3</v>
      </c>
      <c r="J35" s="205">
        <f t="shared" si="0"/>
        <v>0.4032</v>
      </c>
      <c r="K35" s="290">
        <v>4</v>
      </c>
      <c r="L35" s="205">
        <f t="shared" si="16"/>
        <v>0.53759999999999997</v>
      </c>
      <c r="M35" s="290">
        <v>2</v>
      </c>
      <c r="N35" s="205">
        <f t="shared" si="13"/>
        <v>0.26879999999999998</v>
      </c>
      <c r="O35" s="290">
        <v>9</v>
      </c>
      <c r="P35" s="205">
        <f t="shared" si="14"/>
        <v>1.2096</v>
      </c>
      <c r="Q35" s="290">
        <v>0</v>
      </c>
      <c r="R35" s="205">
        <f t="shared" si="17"/>
        <v>0</v>
      </c>
      <c r="S35" s="39">
        <f t="shared" si="7"/>
        <v>60</v>
      </c>
      <c r="T35" s="38">
        <f t="shared" si="4"/>
        <v>8.0640000000000001</v>
      </c>
      <c r="U35" s="290">
        <v>0</v>
      </c>
      <c r="V35" s="13">
        <f t="shared" si="8"/>
        <v>0</v>
      </c>
      <c r="W35" s="294">
        <f t="shared" si="9"/>
        <v>60</v>
      </c>
      <c r="X35" s="295">
        <f t="shared" si="10"/>
        <v>8.0640000000000001</v>
      </c>
      <c r="Y35" s="238">
        <v>50</v>
      </c>
      <c r="Z35" s="101">
        <v>100</v>
      </c>
    </row>
    <row r="36" spans="1:26" x14ac:dyDescent="0.25">
      <c r="A36" s="264">
        <v>32</v>
      </c>
      <c r="B36" s="256" t="s">
        <v>160</v>
      </c>
      <c r="C36" s="34">
        <v>140</v>
      </c>
      <c r="D36" s="35">
        <v>240</v>
      </c>
      <c r="E36" s="35">
        <v>2</v>
      </c>
      <c r="F36" s="19">
        <f t="shared" si="5"/>
        <v>6.7199999999999996E-2</v>
      </c>
      <c r="G36" s="286">
        <v>210</v>
      </c>
      <c r="H36" s="288">
        <f t="shared" si="6"/>
        <v>14.111999999999998</v>
      </c>
      <c r="I36" s="290">
        <v>38</v>
      </c>
      <c r="J36" s="205">
        <f>F36*I36</f>
        <v>2.5535999999999999</v>
      </c>
      <c r="K36" s="290">
        <v>42</v>
      </c>
      <c r="L36" s="205">
        <f t="shared" si="16"/>
        <v>2.8224</v>
      </c>
      <c r="M36" s="290">
        <v>45</v>
      </c>
      <c r="N36" s="205">
        <f t="shared" si="13"/>
        <v>3.024</v>
      </c>
      <c r="O36" s="290">
        <v>38</v>
      </c>
      <c r="P36" s="205">
        <f t="shared" si="14"/>
        <v>2.5535999999999999</v>
      </c>
      <c r="Q36" s="290">
        <v>28</v>
      </c>
      <c r="R36" s="205">
        <f t="shared" si="17"/>
        <v>1.8815999999999999</v>
      </c>
      <c r="S36" s="39">
        <f t="shared" si="7"/>
        <v>19</v>
      </c>
      <c r="T36" s="38">
        <f t="shared" si="4"/>
        <v>1.2767999999999999</v>
      </c>
      <c r="U36" s="290">
        <v>312</v>
      </c>
      <c r="V36" s="13">
        <f t="shared" si="8"/>
        <v>20.9664</v>
      </c>
      <c r="W36" s="294">
        <f t="shared" si="9"/>
        <v>331</v>
      </c>
      <c r="X36" s="295">
        <f t="shared" si="10"/>
        <v>22.243199999999998</v>
      </c>
      <c r="Y36" s="238">
        <v>200</v>
      </c>
      <c r="Z36" s="101">
        <v>300</v>
      </c>
    </row>
    <row r="37" spans="1:26" x14ac:dyDescent="0.25">
      <c r="A37" s="264">
        <v>33</v>
      </c>
      <c r="B37" s="256" t="s">
        <v>161</v>
      </c>
      <c r="C37" s="34">
        <v>140</v>
      </c>
      <c r="D37" s="35">
        <v>240</v>
      </c>
      <c r="E37" s="35">
        <v>6</v>
      </c>
      <c r="F37" s="19">
        <f t="shared" si="5"/>
        <v>0.2016</v>
      </c>
      <c r="G37" s="286">
        <v>44</v>
      </c>
      <c r="H37" s="288">
        <f t="shared" si="6"/>
        <v>8.8704000000000001</v>
      </c>
      <c r="I37" s="290">
        <v>0</v>
      </c>
      <c r="J37" s="205">
        <f t="shared" si="0"/>
        <v>0</v>
      </c>
      <c r="K37" s="290">
        <v>0</v>
      </c>
      <c r="L37" s="205">
        <f>F37*K37</f>
        <v>0</v>
      </c>
      <c r="M37" s="290">
        <v>0</v>
      </c>
      <c r="N37" s="205">
        <f t="shared" si="13"/>
        <v>0</v>
      </c>
      <c r="O37" s="290">
        <v>0</v>
      </c>
      <c r="P37" s="21">
        <v>0</v>
      </c>
      <c r="Q37" s="290">
        <v>0</v>
      </c>
      <c r="R37" s="205">
        <f t="shared" si="17"/>
        <v>0</v>
      </c>
      <c r="S37" s="39">
        <f t="shared" si="7"/>
        <v>44</v>
      </c>
      <c r="T37" s="38">
        <f t="shared" si="4"/>
        <v>8.8704000000000001</v>
      </c>
      <c r="U37" s="290">
        <v>0</v>
      </c>
      <c r="V37" s="13">
        <f t="shared" si="8"/>
        <v>0</v>
      </c>
      <c r="W37" s="294">
        <f t="shared" si="9"/>
        <v>44</v>
      </c>
      <c r="X37" s="295">
        <f t="shared" si="10"/>
        <v>8.8704000000000001</v>
      </c>
      <c r="Y37" s="238">
        <v>10</v>
      </c>
      <c r="Z37" s="101">
        <v>30</v>
      </c>
    </row>
    <row r="38" spans="1:26" x14ac:dyDescent="0.25">
      <c r="A38" s="264">
        <v>34</v>
      </c>
      <c r="B38" s="256" t="s">
        <v>181</v>
      </c>
      <c r="C38" s="34">
        <v>80</v>
      </c>
      <c r="D38" s="35">
        <v>75</v>
      </c>
      <c r="E38" s="35">
        <v>5</v>
      </c>
      <c r="F38" s="19">
        <f t="shared" si="5"/>
        <v>0.03</v>
      </c>
      <c r="G38" s="286">
        <v>68</v>
      </c>
      <c r="H38" s="288">
        <f t="shared" si="6"/>
        <v>2.04</v>
      </c>
      <c r="I38" s="290">
        <v>0</v>
      </c>
      <c r="J38" s="205">
        <f t="shared" si="0"/>
        <v>0</v>
      </c>
      <c r="K38" s="290">
        <v>0</v>
      </c>
      <c r="L38" s="205">
        <f t="shared" si="0"/>
        <v>0</v>
      </c>
      <c r="M38" s="290">
        <v>0</v>
      </c>
      <c r="N38" s="21">
        <v>0</v>
      </c>
      <c r="O38" s="290">
        <v>0</v>
      </c>
      <c r="P38" s="21">
        <v>0</v>
      </c>
      <c r="Q38" s="290">
        <v>0</v>
      </c>
      <c r="R38" s="21">
        <v>0</v>
      </c>
      <c r="S38" s="39">
        <f t="shared" si="7"/>
        <v>68</v>
      </c>
      <c r="T38" s="38">
        <f t="shared" si="4"/>
        <v>2.04</v>
      </c>
      <c r="U38" s="290">
        <v>0</v>
      </c>
      <c r="V38" s="13">
        <f t="shared" si="8"/>
        <v>0</v>
      </c>
      <c r="W38" s="294">
        <f t="shared" si="9"/>
        <v>68</v>
      </c>
      <c r="X38" s="295">
        <f t="shared" si="10"/>
        <v>2.04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182</v>
      </c>
      <c r="C39" s="34">
        <v>100</v>
      </c>
      <c r="D39" s="35">
        <v>95</v>
      </c>
      <c r="E39" s="35">
        <v>5</v>
      </c>
      <c r="F39" s="19">
        <f t="shared" si="5"/>
        <v>4.7500000000000001E-2</v>
      </c>
      <c r="G39" s="286">
        <v>137</v>
      </c>
      <c r="H39" s="288">
        <f t="shared" si="6"/>
        <v>6.5075000000000003</v>
      </c>
      <c r="I39" s="290">
        <v>0</v>
      </c>
      <c r="J39" s="205">
        <f t="shared" si="0"/>
        <v>0</v>
      </c>
      <c r="K39" s="290">
        <v>0</v>
      </c>
      <c r="L39" s="205">
        <f>F39*K39</f>
        <v>0</v>
      </c>
      <c r="M39" s="290">
        <v>0</v>
      </c>
      <c r="N39" s="205">
        <f>F39*M39</f>
        <v>0</v>
      </c>
      <c r="O39" s="290">
        <v>0</v>
      </c>
      <c r="P39" s="205">
        <f>J39*O39</f>
        <v>0</v>
      </c>
      <c r="Q39" s="290">
        <v>0</v>
      </c>
      <c r="R39" s="205">
        <f>L39*Q39</f>
        <v>0</v>
      </c>
      <c r="S39" s="39">
        <f t="shared" si="7"/>
        <v>137</v>
      </c>
      <c r="T39" s="38">
        <f t="shared" si="4"/>
        <v>6.5075000000000003</v>
      </c>
      <c r="U39" s="290">
        <v>0</v>
      </c>
      <c r="V39" s="13">
        <f t="shared" si="8"/>
        <v>0</v>
      </c>
      <c r="W39" s="294">
        <f t="shared" si="9"/>
        <v>137</v>
      </c>
      <c r="X39" s="295">
        <f t="shared" si="10"/>
        <v>6.5075000000000003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196</v>
      </c>
      <c r="C40" s="34">
        <v>65</v>
      </c>
      <c r="D40" s="35">
        <v>60</v>
      </c>
      <c r="E40" s="35">
        <v>5</v>
      </c>
      <c r="F40" s="19">
        <f t="shared" si="5"/>
        <v>1.95E-2</v>
      </c>
      <c r="G40" s="286">
        <v>172</v>
      </c>
      <c r="H40" s="288">
        <f t="shared" si="6"/>
        <v>3.3540000000000001</v>
      </c>
      <c r="I40" s="290">
        <v>0</v>
      </c>
      <c r="J40" s="205">
        <f t="shared" si="0"/>
        <v>0</v>
      </c>
      <c r="K40" s="290">
        <v>0</v>
      </c>
      <c r="L40" s="205">
        <f>F40*K40</f>
        <v>0</v>
      </c>
      <c r="M40" s="290">
        <v>0</v>
      </c>
      <c r="N40" s="205">
        <f>F40*M40</f>
        <v>0</v>
      </c>
      <c r="O40" s="290">
        <v>0</v>
      </c>
      <c r="P40" s="205">
        <f>F40*O40</f>
        <v>0</v>
      </c>
      <c r="Q40" s="290">
        <v>0</v>
      </c>
      <c r="R40" s="205">
        <f>F40*Q40</f>
        <v>0</v>
      </c>
      <c r="S40" s="39">
        <f t="shared" si="7"/>
        <v>172</v>
      </c>
      <c r="T40" s="38">
        <f t="shared" si="4"/>
        <v>3.3540000000000001</v>
      </c>
      <c r="U40" s="290">
        <v>0</v>
      </c>
      <c r="V40" s="13">
        <f t="shared" si="8"/>
        <v>0</v>
      </c>
      <c r="W40" s="294">
        <f t="shared" si="9"/>
        <v>172</v>
      </c>
      <c r="X40" s="295">
        <f t="shared" si="10"/>
        <v>3.3540000000000001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165</v>
      </c>
      <c r="C41" s="34">
        <v>140</v>
      </c>
      <c r="D41" s="35">
        <v>240</v>
      </c>
      <c r="E41" s="35">
        <v>10</v>
      </c>
      <c r="F41" s="19">
        <f t="shared" si="5"/>
        <v>0.33600000000000002</v>
      </c>
      <c r="G41" s="286">
        <v>42</v>
      </c>
      <c r="H41" s="288">
        <f t="shared" si="6"/>
        <v>14.112</v>
      </c>
      <c r="I41" s="290">
        <v>6</v>
      </c>
      <c r="J41" s="205">
        <f>F41*I41</f>
        <v>2.016</v>
      </c>
      <c r="K41" s="290">
        <v>4</v>
      </c>
      <c r="L41" s="205">
        <f>F41*K41</f>
        <v>1.3440000000000001</v>
      </c>
      <c r="M41" s="290">
        <v>10</v>
      </c>
      <c r="N41" s="205">
        <f>F41*M41</f>
        <v>3.3600000000000003</v>
      </c>
      <c r="O41" s="290">
        <v>3</v>
      </c>
      <c r="P41" s="205">
        <f>F41*O41</f>
        <v>1.008</v>
      </c>
      <c r="Q41" s="290">
        <v>10</v>
      </c>
      <c r="R41" s="205">
        <f>F41*Q41</f>
        <v>3.3600000000000003</v>
      </c>
      <c r="S41" s="39">
        <f t="shared" si="7"/>
        <v>9</v>
      </c>
      <c r="T41" s="38">
        <f t="shared" si="4"/>
        <v>3.024</v>
      </c>
      <c r="U41" s="290">
        <v>38</v>
      </c>
      <c r="V41" s="13">
        <f t="shared" si="8"/>
        <v>12.768000000000001</v>
      </c>
      <c r="W41" s="294">
        <f t="shared" si="9"/>
        <v>47</v>
      </c>
      <c r="X41" s="295">
        <f t="shared" si="10"/>
        <v>15.792000000000002</v>
      </c>
      <c r="Y41" s="238">
        <v>50</v>
      </c>
      <c r="Z41" s="101">
        <v>100</v>
      </c>
    </row>
    <row r="42" spans="1:26" x14ac:dyDescent="0.25">
      <c r="A42" s="264">
        <v>38</v>
      </c>
      <c r="B42" s="256" t="s">
        <v>166</v>
      </c>
      <c r="C42" s="34">
        <v>92</v>
      </c>
      <c r="D42" s="35">
        <v>82</v>
      </c>
      <c r="E42" s="35">
        <v>2</v>
      </c>
      <c r="F42" s="19">
        <f t="shared" si="5"/>
        <v>1.5088000000000001E-2</v>
      </c>
      <c r="G42" s="286">
        <v>550</v>
      </c>
      <c r="H42" s="288">
        <f t="shared" si="6"/>
        <v>8.2984000000000009</v>
      </c>
      <c r="I42" s="290">
        <v>0</v>
      </c>
      <c r="J42" s="205">
        <f t="shared" si="0"/>
        <v>0</v>
      </c>
      <c r="K42" s="290">
        <v>48</v>
      </c>
      <c r="L42" s="205">
        <f>F42*K42</f>
        <v>0.72422399999999998</v>
      </c>
      <c r="M42" s="290">
        <v>0</v>
      </c>
      <c r="N42" s="205">
        <f>F42*M42</f>
        <v>0</v>
      </c>
      <c r="O42" s="290">
        <v>0</v>
      </c>
      <c r="P42" s="205">
        <f>F42*O42</f>
        <v>0</v>
      </c>
      <c r="Q42" s="290">
        <v>0</v>
      </c>
      <c r="R42" s="205">
        <f>F42*Q42</f>
        <v>0</v>
      </c>
      <c r="S42" s="39">
        <f t="shared" si="7"/>
        <v>502</v>
      </c>
      <c r="T42" s="38">
        <f t="shared" si="4"/>
        <v>7.5741760000000005</v>
      </c>
      <c r="U42" s="290">
        <v>0</v>
      </c>
      <c r="V42" s="13">
        <f t="shared" si="8"/>
        <v>0</v>
      </c>
      <c r="W42" s="294">
        <f t="shared" si="9"/>
        <v>502</v>
      </c>
      <c r="X42" s="295">
        <f t="shared" si="10"/>
        <v>7.5741760000000005</v>
      </c>
      <c r="Y42" s="238">
        <v>100</v>
      </c>
      <c r="Z42" s="101">
        <v>300</v>
      </c>
    </row>
    <row r="43" spans="1:26" x14ac:dyDescent="0.25">
      <c r="A43" s="264">
        <v>39</v>
      </c>
      <c r="B43" s="256" t="s">
        <v>183</v>
      </c>
      <c r="C43" s="34">
        <v>90</v>
      </c>
      <c r="D43" s="35">
        <v>90</v>
      </c>
      <c r="E43" s="35">
        <v>3</v>
      </c>
      <c r="F43" s="19">
        <f t="shared" si="5"/>
        <v>2.4299999999999999E-2</v>
      </c>
      <c r="G43" s="286">
        <v>148</v>
      </c>
      <c r="H43" s="288">
        <f t="shared" si="6"/>
        <v>3.5963999999999996</v>
      </c>
      <c r="I43" s="290">
        <v>0</v>
      </c>
      <c r="J43" s="205">
        <f t="shared" si="0"/>
        <v>0</v>
      </c>
      <c r="K43" s="290">
        <v>0</v>
      </c>
      <c r="L43" s="205">
        <f t="shared" si="0"/>
        <v>0</v>
      </c>
      <c r="M43" s="290">
        <v>0</v>
      </c>
      <c r="N43" s="21">
        <v>0</v>
      </c>
      <c r="O43" s="290">
        <v>0</v>
      </c>
      <c r="P43" s="21">
        <v>0</v>
      </c>
      <c r="Q43" s="290">
        <v>0</v>
      </c>
      <c r="R43" s="21">
        <v>0</v>
      </c>
      <c r="S43" s="39">
        <f t="shared" si="7"/>
        <v>148</v>
      </c>
      <c r="T43" s="38">
        <f t="shared" si="4"/>
        <v>3.5963999999999996</v>
      </c>
      <c r="U43" s="290">
        <v>0</v>
      </c>
      <c r="V43" s="13">
        <f t="shared" si="8"/>
        <v>0</v>
      </c>
      <c r="W43" s="294">
        <f t="shared" si="9"/>
        <v>148</v>
      </c>
      <c r="X43" s="295">
        <f t="shared" si="10"/>
        <v>3.5963999999999996</v>
      </c>
      <c r="Y43" s="238">
        <v>0</v>
      </c>
      <c r="Z43" s="101">
        <v>0</v>
      </c>
    </row>
    <row r="44" spans="1:26" x14ac:dyDescent="0.25">
      <c r="A44" s="264">
        <v>40</v>
      </c>
      <c r="B44" s="256" t="s">
        <v>168</v>
      </c>
      <c r="C44" s="34">
        <v>140</v>
      </c>
      <c r="D44" s="35">
        <v>240</v>
      </c>
      <c r="E44" s="35">
        <v>3</v>
      </c>
      <c r="F44" s="19">
        <f t="shared" si="5"/>
        <v>0.1008</v>
      </c>
      <c r="G44" s="286">
        <v>0</v>
      </c>
      <c r="H44" s="288">
        <f t="shared" si="6"/>
        <v>0</v>
      </c>
      <c r="I44" s="290">
        <v>0</v>
      </c>
      <c r="J44" s="205">
        <f t="shared" si="0"/>
        <v>0</v>
      </c>
      <c r="K44" s="290">
        <v>0</v>
      </c>
      <c r="L44" s="205">
        <f t="shared" ref="L44:L52" si="18">F44*K44</f>
        <v>0</v>
      </c>
      <c r="M44" s="290">
        <v>0</v>
      </c>
      <c r="N44" s="205">
        <f t="shared" ref="N44:N70" si="19">F44*M44</f>
        <v>0</v>
      </c>
      <c r="O44" s="290">
        <v>0</v>
      </c>
      <c r="P44" s="205">
        <f t="shared" ref="P44:P66" si="20">F44*O44</f>
        <v>0</v>
      </c>
      <c r="Q44" s="290">
        <v>0</v>
      </c>
      <c r="R44" s="205">
        <f t="shared" ref="R44:R58" si="21">F44*Q44</f>
        <v>0</v>
      </c>
      <c r="S44" s="39">
        <f t="shared" si="7"/>
        <v>0</v>
      </c>
      <c r="T44" s="38">
        <f t="shared" si="4"/>
        <v>0</v>
      </c>
      <c r="U44" s="290">
        <v>0</v>
      </c>
      <c r="V44" s="13">
        <f t="shared" si="8"/>
        <v>0</v>
      </c>
      <c r="W44" s="294">
        <f t="shared" si="9"/>
        <v>0</v>
      </c>
      <c r="X44" s="295">
        <f t="shared" si="10"/>
        <v>0</v>
      </c>
      <c r="Y44" s="238">
        <v>0</v>
      </c>
      <c r="Z44" s="101">
        <v>0</v>
      </c>
    </row>
    <row r="45" spans="1:26" x14ac:dyDescent="0.25">
      <c r="A45" s="264">
        <v>41</v>
      </c>
      <c r="B45" s="256" t="s">
        <v>169</v>
      </c>
      <c r="C45" s="34">
        <v>82</v>
      </c>
      <c r="D45" s="34">
        <v>80</v>
      </c>
      <c r="E45" s="34">
        <v>2</v>
      </c>
      <c r="F45" s="19">
        <f t="shared" si="5"/>
        <v>1.312E-2</v>
      </c>
      <c r="G45" s="284">
        <v>786</v>
      </c>
      <c r="H45" s="288">
        <f t="shared" si="6"/>
        <v>10.31232</v>
      </c>
      <c r="I45" s="290">
        <v>0</v>
      </c>
      <c r="J45" s="205">
        <f t="shared" si="0"/>
        <v>0</v>
      </c>
      <c r="K45" s="290">
        <v>0</v>
      </c>
      <c r="L45" s="205">
        <f t="shared" si="18"/>
        <v>0</v>
      </c>
      <c r="M45" s="290">
        <v>0</v>
      </c>
      <c r="N45" s="205">
        <f t="shared" si="19"/>
        <v>0</v>
      </c>
      <c r="O45" s="290">
        <v>75</v>
      </c>
      <c r="P45" s="205">
        <f t="shared" si="20"/>
        <v>0.98399999999999999</v>
      </c>
      <c r="Q45" s="290">
        <v>0</v>
      </c>
      <c r="R45" s="205">
        <f t="shared" si="21"/>
        <v>0</v>
      </c>
      <c r="S45" s="39">
        <f t="shared" si="7"/>
        <v>711</v>
      </c>
      <c r="T45" s="38">
        <f t="shared" si="4"/>
        <v>9.3283199999999997</v>
      </c>
      <c r="U45" s="290">
        <v>0</v>
      </c>
      <c r="V45" s="13">
        <f t="shared" si="8"/>
        <v>0</v>
      </c>
      <c r="W45" s="294">
        <f t="shared" si="9"/>
        <v>711</v>
      </c>
      <c r="X45" s="295">
        <f t="shared" si="10"/>
        <v>9.3283199999999997</v>
      </c>
      <c r="Y45" s="238">
        <v>100</v>
      </c>
      <c r="Z45" s="101">
        <v>300</v>
      </c>
    </row>
    <row r="46" spans="1:26" x14ac:dyDescent="0.25">
      <c r="A46" s="264">
        <v>42</v>
      </c>
      <c r="B46" s="256" t="s">
        <v>170</v>
      </c>
      <c r="C46" s="34">
        <v>90</v>
      </c>
      <c r="D46" s="34">
        <v>83</v>
      </c>
      <c r="E46" s="34">
        <v>2</v>
      </c>
      <c r="F46" s="19">
        <f t="shared" si="5"/>
        <v>1.494E-2</v>
      </c>
      <c r="G46" s="284">
        <v>0</v>
      </c>
      <c r="H46" s="288">
        <f t="shared" si="6"/>
        <v>0</v>
      </c>
      <c r="I46" s="290">
        <v>0</v>
      </c>
      <c r="J46" s="205">
        <f t="shared" si="0"/>
        <v>0</v>
      </c>
      <c r="K46" s="290">
        <v>0</v>
      </c>
      <c r="L46" s="205">
        <f t="shared" si="18"/>
        <v>0</v>
      </c>
      <c r="M46" s="290">
        <v>0</v>
      </c>
      <c r="N46" s="205">
        <f t="shared" si="19"/>
        <v>0</v>
      </c>
      <c r="O46" s="290">
        <v>0</v>
      </c>
      <c r="P46" s="205">
        <f t="shared" si="20"/>
        <v>0</v>
      </c>
      <c r="Q46" s="290">
        <v>0</v>
      </c>
      <c r="R46" s="205">
        <f t="shared" si="21"/>
        <v>0</v>
      </c>
      <c r="S46" s="39">
        <f t="shared" si="7"/>
        <v>0</v>
      </c>
      <c r="T46" s="38">
        <f t="shared" si="4"/>
        <v>0</v>
      </c>
      <c r="U46" s="290">
        <v>0</v>
      </c>
      <c r="V46" s="13">
        <f t="shared" si="8"/>
        <v>0</v>
      </c>
      <c r="W46" s="294">
        <f t="shared" si="9"/>
        <v>0</v>
      </c>
      <c r="X46" s="295">
        <f t="shared" si="10"/>
        <v>0</v>
      </c>
      <c r="Y46" s="238">
        <v>100</v>
      </c>
      <c r="Z46" s="101">
        <v>300</v>
      </c>
    </row>
    <row r="47" spans="1:26" x14ac:dyDescent="0.25">
      <c r="A47" s="264">
        <v>43</v>
      </c>
      <c r="B47" s="256" t="s">
        <v>184</v>
      </c>
      <c r="C47" s="34">
        <v>112</v>
      </c>
      <c r="D47" s="34">
        <v>67</v>
      </c>
      <c r="E47" s="34">
        <v>3</v>
      </c>
      <c r="F47" s="19">
        <f t="shared" si="5"/>
        <v>2.2512000000000001E-2</v>
      </c>
      <c r="G47" s="284">
        <v>63</v>
      </c>
      <c r="H47" s="288">
        <f t="shared" si="6"/>
        <v>1.418256</v>
      </c>
      <c r="I47" s="290">
        <v>0</v>
      </c>
      <c r="J47" s="205">
        <f t="shared" si="0"/>
        <v>0</v>
      </c>
      <c r="K47" s="290">
        <v>0</v>
      </c>
      <c r="L47" s="205">
        <f t="shared" si="18"/>
        <v>0</v>
      </c>
      <c r="M47" s="290">
        <v>0</v>
      </c>
      <c r="N47" s="205">
        <f t="shared" si="19"/>
        <v>0</v>
      </c>
      <c r="O47" s="290">
        <v>0</v>
      </c>
      <c r="P47" s="205">
        <f t="shared" si="20"/>
        <v>0</v>
      </c>
      <c r="Q47" s="290">
        <v>0</v>
      </c>
      <c r="R47" s="205">
        <f t="shared" si="21"/>
        <v>0</v>
      </c>
      <c r="S47" s="39">
        <f t="shared" si="7"/>
        <v>63</v>
      </c>
      <c r="T47" s="38">
        <f t="shared" si="4"/>
        <v>1.418256</v>
      </c>
      <c r="U47" s="290">
        <v>0</v>
      </c>
      <c r="V47" s="13">
        <f t="shared" si="8"/>
        <v>0</v>
      </c>
      <c r="W47" s="294">
        <f t="shared" si="9"/>
        <v>63</v>
      </c>
      <c r="X47" s="295">
        <f t="shared" si="10"/>
        <v>1.418256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189</v>
      </c>
      <c r="C48" s="34">
        <v>70</v>
      </c>
      <c r="D48" s="34">
        <v>54</v>
      </c>
      <c r="E48" s="34">
        <v>7</v>
      </c>
      <c r="F48" s="19">
        <f t="shared" si="5"/>
        <v>2.6460000000000001E-2</v>
      </c>
      <c r="G48" s="284">
        <v>0</v>
      </c>
      <c r="H48" s="288">
        <f t="shared" si="6"/>
        <v>0</v>
      </c>
      <c r="I48" s="290">
        <v>0</v>
      </c>
      <c r="J48" s="205">
        <f t="shared" si="0"/>
        <v>0</v>
      </c>
      <c r="K48" s="290">
        <v>0</v>
      </c>
      <c r="L48" s="205">
        <f t="shared" si="18"/>
        <v>0</v>
      </c>
      <c r="M48" s="290">
        <v>0</v>
      </c>
      <c r="N48" s="205">
        <f t="shared" si="19"/>
        <v>0</v>
      </c>
      <c r="O48" s="290">
        <v>0</v>
      </c>
      <c r="P48" s="205">
        <f t="shared" si="20"/>
        <v>0</v>
      </c>
      <c r="Q48" s="290">
        <v>0</v>
      </c>
      <c r="R48" s="205">
        <f t="shared" si="21"/>
        <v>0</v>
      </c>
      <c r="S48" s="39">
        <f t="shared" si="7"/>
        <v>0</v>
      </c>
      <c r="T48" s="38">
        <f t="shared" si="4"/>
        <v>0</v>
      </c>
      <c r="U48" s="290">
        <v>0</v>
      </c>
      <c r="V48" s="13">
        <f t="shared" si="8"/>
        <v>0</v>
      </c>
      <c r="W48" s="294">
        <f t="shared" si="9"/>
        <v>0</v>
      </c>
      <c r="X48" s="295">
        <f t="shared" si="10"/>
        <v>0</v>
      </c>
      <c r="Y48" s="238">
        <v>0</v>
      </c>
      <c r="Z48" s="101">
        <v>0</v>
      </c>
    </row>
    <row r="49" spans="1:26" x14ac:dyDescent="0.25">
      <c r="A49" s="264">
        <v>45</v>
      </c>
      <c r="B49" s="256" t="s">
        <v>174</v>
      </c>
      <c r="C49" s="34">
        <v>140</v>
      </c>
      <c r="D49" s="34">
        <v>240</v>
      </c>
      <c r="E49" s="34">
        <v>14</v>
      </c>
      <c r="F49" s="19">
        <f t="shared" si="5"/>
        <v>0.47039999999999998</v>
      </c>
      <c r="G49" s="284">
        <v>8</v>
      </c>
      <c r="H49" s="288">
        <f t="shared" si="6"/>
        <v>3.7631999999999999</v>
      </c>
      <c r="I49" s="290">
        <v>0</v>
      </c>
      <c r="J49" s="205">
        <f t="shared" si="0"/>
        <v>0</v>
      </c>
      <c r="K49" s="290">
        <v>0</v>
      </c>
      <c r="L49" s="205">
        <f t="shared" si="18"/>
        <v>0</v>
      </c>
      <c r="M49" s="290">
        <v>0</v>
      </c>
      <c r="N49" s="205">
        <f t="shared" si="19"/>
        <v>0</v>
      </c>
      <c r="O49" s="290">
        <v>0</v>
      </c>
      <c r="P49" s="205">
        <f t="shared" si="20"/>
        <v>0</v>
      </c>
      <c r="Q49" s="290">
        <v>0</v>
      </c>
      <c r="R49" s="205">
        <f t="shared" si="21"/>
        <v>0</v>
      </c>
      <c r="S49" s="39">
        <f t="shared" si="7"/>
        <v>8</v>
      </c>
      <c r="T49" s="38">
        <f t="shared" si="4"/>
        <v>3.7631999999999999</v>
      </c>
      <c r="U49" s="290">
        <v>0</v>
      </c>
      <c r="V49" s="13">
        <f t="shared" si="8"/>
        <v>0</v>
      </c>
      <c r="W49" s="294">
        <f t="shared" si="9"/>
        <v>8</v>
      </c>
      <c r="X49" s="295">
        <f t="shared" si="10"/>
        <v>3.7631999999999999</v>
      </c>
      <c r="Y49" s="238">
        <v>10</v>
      </c>
      <c r="Z49" s="101">
        <v>20</v>
      </c>
    </row>
    <row r="50" spans="1:26" x14ac:dyDescent="0.25">
      <c r="A50" s="264">
        <v>46</v>
      </c>
      <c r="B50" s="256" t="s">
        <v>175</v>
      </c>
      <c r="C50" s="34">
        <v>140</v>
      </c>
      <c r="D50" s="34">
        <v>240</v>
      </c>
      <c r="E50" s="34">
        <v>12</v>
      </c>
      <c r="F50" s="19">
        <f t="shared" si="5"/>
        <v>0.4032</v>
      </c>
      <c r="G50" s="284">
        <v>13</v>
      </c>
      <c r="H50" s="288">
        <f t="shared" si="6"/>
        <v>5.2416</v>
      </c>
      <c r="I50" s="290">
        <v>0</v>
      </c>
      <c r="J50" s="205">
        <f t="shared" si="0"/>
        <v>0</v>
      </c>
      <c r="K50" s="290">
        <v>0</v>
      </c>
      <c r="L50" s="205">
        <f t="shared" si="18"/>
        <v>0</v>
      </c>
      <c r="M50" s="290">
        <v>0</v>
      </c>
      <c r="N50" s="205">
        <f t="shared" si="19"/>
        <v>0</v>
      </c>
      <c r="O50" s="290">
        <v>0</v>
      </c>
      <c r="P50" s="205">
        <f t="shared" si="20"/>
        <v>0</v>
      </c>
      <c r="Q50" s="290">
        <v>0</v>
      </c>
      <c r="R50" s="205">
        <f t="shared" si="21"/>
        <v>0</v>
      </c>
      <c r="S50" s="39">
        <f t="shared" si="7"/>
        <v>13</v>
      </c>
      <c r="T50" s="38">
        <f t="shared" si="4"/>
        <v>5.2416</v>
      </c>
      <c r="U50" s="290">
        <v>0</v>
      </c>
      <c r="V50" s="13">
        <f t="shared" si="8"/>
        <v>0</v>
      </c>
      <c r="W50" s="294">
        <f t="shared" si="9"/>
        <v>13</v>
      </c>
      <c r="X50" s="295">
        <f t="shared" si="10"/>
        <v>5.2416</v>
      </c>
      <c r="Y50" s="238">
        <v>10</v>
      </c>
      <c r="Z50" s="101">
        <v>20</v>
      </c>
    </row>
    <row r="51" spans="1:26" x14ac:dyDescent="0.25">
      <c r="A51" s="264">
        <v>47</v>
      </c>
      <c r="B51" s="256" t="s">
        <v>176</v>
      </c>
      <c r="C51" s="34">
        <v>130</v>
      </c>
      <c r="D51" s="34">
        <v>60</v>
      </c>
      <c r="E51" s="34">
        <v>5</v>
      </c>
      <c r="F51" s="19">
        <f t="shared" si="5"/>
        <v>3.9E-2</v>
      </c>
      <c r="G51" s="284">
        <v>0</v>
      </c>
      <c r="H51" s="288">
        <f t="shared" si="6"/>
        <v>0</v>
      </c>
      <c r="I51" s="290">
        <v>0</v>
      </c>
      <c r="J51" s="205">
        <f t="shared" si="0"/>
        <v>0</v>
      </c>
      <c r="K51" s="290">
        <v>0</v>
      </c>
      <c r="L51" s="205">
        <f t="shared" si="18"/>
        <v>0</v>
      </c>
      <c r="M51" s="290">
        <v>0</v>
      </c>
      <c r="N51" s="205">
        <f t="shared" si="19"/>
        <v>0</v>
      </c>
      <c r="O51" s="290">
        <v>0</v>
      </c>
      <c r="P51" s="205">
        <f t="shared" si="20"/>
        <v>0</v>
      </c>
      <c r="Q51" s="290">
        <v>0</v>
      </c>
      <c r="R51" s="205">
        <f t="shared" si="21"/>
        <v>0</v>
      </c>
      <c r="S51" s="39">
        <f t="shared" si="7"/>
        <v>0</v>
      </c>
      <c r="T51" s="38">
        <f t="shared" si="4"/>
        <v>0</v>
      </c>
      <c r="U51" s="290">
        <v>0</v>
      </c>
      <c r="V51" s="13">
        <f t="shared" si="8"/>
        <v>0</v>
      </c>
      <c r="W51" s="294">
        <f t="shared" si="9"/>
        <v>0</v>
      </c>
      <c r="X51" s="295">
        <f t="shared" si="10"/>
        <v>0</v>
      </c>
      <c r="Y51" s="238">
        <v>30</v>
      </c>
      <c r="Z51" s="101">
        <v>100</v>
      </c>
    </row>
    <row r="52" spans="1:26" x14ac:dyDescent="0.25">
      <c r="A52" s="264">
        <v>48</v>
      </c>
      <c r="B52" s="255" t="s">
        <v>178</v>
      </c>
      <c r="C52" s="34">
        <v>140</v>
      </c>
      <c r="D52" s="34">
        <v>240</v>
      </c>
      <c r="E52" s="34">
        <v>3</v>
      </c>
      <c r="F52" s="19">
        <f t="shared" si="5"/>
        <v>0.1008</v>
      </c>
      <c r="G52" s="284">
        <v>540</v>
      </c>
      <c r="H52" s="288">
        <f t="shared" si="6"/>
        <v>54.432000000000002</v>
      </c>
      <c r="I52" s="290">
        <v>15</v>
      </c>
      <c r="J52" s="205">
        <f t="shared" si="0"/>
        <v>1.512</v>
      </c>
      <c r="K52" s="290">
        <v>5</v>
      </c>
      <c r="L52" s="205">
        <f t="shared" si="18"/>
        <v>0.504</v>
      </c>
      <c r="M52" s="290">
        <v>5</v>
      </c>
      <c r="N52" s="205">
        <f t="shared" si="19"/>
        <v>0.504</v>
      </c>
      <c r="O52" s="290">
        <v>6</v>
      </c>
      <c r="P52" s="205">
        <f t="shared" si="20"/>
        <v>0.6048</v>
      </c>
      <c r="Q52" s="290">
        <v>7</v>
      </c>
      <c r="R52" s="205">
        <f t="shared" si="21"/>
        <v>0.7056</v>
      </c>
      <c r="S52" s="39">
        <f t="shared" si="7"/>
        <v>502</v>
      </c>
      <c r="T52" s="38">
        <f t="shared" si="4"/>
        <v>50.601599999999998</v>
      </c>
      <c r="U52" s="290">
        <v>0</v>
      </c>
      <c r="V52" s="13">
        <f t="shared" si="8"/>
        <v>0</v>
      </c>
      <c r="W52" s="294">
        <f t="shared" si="9"/>
        <v>502</v>
      </c>
      <c r="X52" s="295">
        <f t="shared" si="10"/>
        <v>50.601599999999998</v>
      </c>
      <c r="Y52" s="238">
        <v>100</v>
      </c>
      <c r="Z52" s="101">
        <v>300</v>
      </c>
    </row>
    <row r="53" spans="1:26" x14ac:dyDescent="0.25">
      <c r="A53" s="264">
        <v>49</v>
      </c>
      <c r="B53" s="256" t="s">
        <v>185</v>
      </c>
      <c r="C53" s="34">
        <v>140</v>
      </c>
      <c r="D53" s="34">
        <v>240</v>
      </c>
      <c r="E53" s="34">
        <v>1</v>
      </c>
      <c r="F53" s="19">
        <f t="shared" si="5"/>
        <v>3.3599999999999998E-2</v>
      </c>
      <c r="G53" s="284">
        <v>255</v>
      </c>
      <c r="H53" s="288">
        <f t="shared" si="6"/>
        <v>8.5679999999999996</v>
      </c>
      <c r="I53" s="290">
        <v>15</v>
      </c>
      <c r="J53" s="205">
        <f t="shared" si="0"/>
        <v>0.504</v>
      </c>
      <c r="K53" s="290">
        <v>2</v>
      </c>
      <c r="L53" s="205">
        <f>F53*K53</f>
        <v>6.7199999999999996E-2</v>
      </c>
      <c r="M53" s="290">
        <v>0</v>
      </c>
      <c r="N53" s="205">
        <f t="shared" si="19"/>
        <v>0</v>
      </c>
      <c r="O53" s="290">
        <v>0</v>
      </c>
      <c r="P53" s="205">
        <f t="shared" si="20"/>
        <v>0</v>
      </c>
      <c r="Q53" s="290">
        <v>0</v>
      </c>
      <c r="R53" s="205">
        <f t="shared" si="21"/>
        <v>0</v>
      </c>
      <c r="S53" s="39">
        <f t="shared" si="7"/>
        <v>238</v>
      </c>
      <c r="T53" s="38">
        <f t="shared" si="4"/>
        <v>7.9967999999999995</v>
      </c>
      <c r="U53" s="290">
        <v>0</v>
      </c>
      <c r="V53" s="13">
        <f t="shared" si="8"/>
        <v>0</v>
      </c>
      <c r="W53" s="294">
        <f t="shared" si="9"/>
        <v>238</v>
      </c>
      <c r="X53" s="295">
        <f t="shared" si="10"/>
        <v>7.9967999999999995</v>
      </c>
      <c r="Y53" s="238">
        <v>50</v>
      </c>
      <c r="Z53" s="101">
        <v>0</v>
      </c>
    </row>
    <row r="54" spans="1:26" x14ac:dyDescent="0.25">
      <c r="A54" s="264">
        <v>50</v>
      </c>
      <c r="B54" s="256" t="s">
        <v>186</v>
      </c>
      <c r="C54" s="34">
        <v>140</v>
      </c>
      <c r="D54" s="34">
        <v>240</v>
      </c>
      <c r="E54" s="34">
        <v>3</v>
      </c>
      <c r="F54" s="19">
        <f t="shared" si="5"/>
        <v>0.1008</v>
      </c>
      <c r="G54" s="284">
        <v>0</v>
      </c>
      <c r="H54" s="288">
        <f t="shared" si="6"/>
        <v>0</v>
      </c>
      <c r="I54" s="290">
        <v>0</v>
      </c>
      <c r="J54" s="205">
        <f t="shared" si="0"/>
        <v>0</v>
      </c>
      <c r="K54" s="290">
        <v>32</v>
      </c>
      <c r="L54" s="205">
        <f>F54*K54</f>
        <v>3.2256</v>
      </c>
      <c r="M54" s="290">
        <v>0</v>
      </c>
      <c r="N54" s="205">
        <f t="shared" si="19"/>
        <v>0</v>
      </c>
      <c r="O54" s="290">
        <v>6</v>
      </c>
      <c r="P54" s="205">
        <f t="shared" si="20"/>
        <v>0.6048</v>
      </c>
      <c r="Q54" s="290">
        <v>10</v>
      </c>
      <c r="R54" s="205">
        <f t="shared" si="21"/>
        <v>1.008</v>
      </c>
      <c r="S54" s="39">
        <f t="shared" si="7"/>
        <v>-48</v>
      </c>
      <c r="T54" s="38">
        <f t="shared" si="4"/>
        <v>-4.8384</v>
      </c>
      <c r="U54" s="290">
        <v>100</v>
      </c>
      <c r="V54" s="13">
        <f t="shared" si="8"/>
        <v>10.08</v>
      </c>
      <c r="W54" s="294">
        <f t="shared" si="9"/>
        <v>52</v>
      </c>
      <c r="X54" s="295">
        <f t="shared" si="10"/>
        <v>5.2416</v>
      </c>
      <c r="Y54" s="238">
        <v>50</v>
      </c>
      <c r="Z54" s="101">
        <v>0</v>
      </c>
    </row>
    <row r="55" spans="1:26" x14ac:dyDescent="0.25">
      <c r="A55" s="277">
        <v>51</v>
      </c>
      <c r="B55" s="283" t="s">
        <v>187</v>
      </c>
      <c r="C55" s="264">
        <v>140</v>
      </c>
      <c r="D55" s="264">
        <v>240</v>
      </c>
      <c r="E55" s="264">
        <v>5</v>
      </c>
      <c r="F55" s="19">
        <f t="shared" si="5"/>
        <v>0.16800000000000001</v>
      </c>
      <c r="G55" s="296">
        <v>77</v>
      </c>
      <c r="H55" s="299">
        <f t="shared" si="6"/>
        <v>12.936</v>
      </c>
      <c r="I55" s="290">
        <v>5</v>
      </c>
      <c r="J55" s="205">
        <f t="shared" si="0"/>
        <v>0.84000000000000008</v>
      </c>
      <c r="K55" s="290">
        <v>25</v>
      </c>
      <c r="L55" s="205">
        <f>F55*K55</f>
        <v>4.2</v>
      </c>
      <c r="M55" s="290">
        <v>0</v>
      </c>
      <c r="N55" s="205">
        <f t="shared" si="19"/>
        <v>0</v>
      </c>
      <c r="O55" s="290">
        <v>0</v>
      </c>
      <c r="P55" s="205">
        <f t="shared" si="20"/>
        <v>0</v>
      </c>
      <c r="Q55" s="290">
        <v>7</v>
      </c>
      <c r="R55" s="205">
        <f t="shared" si="21"/>
        <v>1.1760000000000002</v>
      </c>
      <c r="S55" s="39">
        <f t="shared" si="7"/>
        <v>40</v>
      </c>
      <c r="T55" s="38">
        <f t="shared" si="4"/>
        <v>6.7200000000000006</v>
      </c>
      <c r="U55" s="290">
        <v>0</v>
      </c>
      <c r="V55" s="13">
        <f t="shared" si="8"/>
        <v>0</v>
      </c>
      <c r="W55" s="294">
        <f t="shared" si="9"/>
        <v>40</v>
      </c>
      <c r="X55" s="295">
        <f t="shared" si="10"/>
        <v>6.7200000000000006</v>
      </c>
      <c r="Y55" s="101">
        <v>30</v>
      </c>
      <c r="Z55" s="101"/>
    </row>
    <row r="56" spans="1:26" x14ac:dyDescent="0.25">
      <c r="A56" s="277">
        <v>52</v>
      </c>
      <c r="B56" s="283" t="s">
        <v>188</v>
      </c>
      <c r="C56" s="264">
        <v>140</v>
      </c>
      <c r="D56" s="264">
        <v>240</v>
      </c>
      <c r="E56" s="264">
        <v>10</v>
      </c>
      <c r="F56" s="19">
        <f t="shared" si="5"/>
        <v>0.33600000000000002</v>
      </c>
      <c r="G56" s="296">
        <v>58</v>
      </c>
      <c r="H56" s="299">
        <f t="shared" si="6"/>
        <v>19.488</v>
      </c>
      <c r="I56" s="290">
        <v>0</v>
      </c>
      <c r="J56" s="205">
        <f t="shared" ref="J56:J69" si="22">F56*I56</f>
        <v>0</v>
      </c>
      <c r="K56" s="290">
        <v>0</v>
      </c>
      <c r="L56" s="205">
        <f>F56*K56</f>
        <v>0</v>
      </c>
      <c r="M56" s="290">
        <v>0</v>
      </c>
      <c r="N56" s="205">
        <f t="shared" si="19"/>
        <v>0</v>
      </c>
      <c r="O56" s="290">
        <v>0</v>
      </c>
      <c r="P56" s="205">
        <f t="shared" si="20"/>
        <v>0</v>
      </c>
      <c r="Q56" s="290">
        <v>0</v>
      </c>
      <c r="R56" s="205">
        <f t="shared" si="21"/>
        <v>0</v>
      </c>
      <c r="S56" s="39">
        <f t="shared" si="7"/>
        <v>58</v>
      </c>
      <c r="T56" s="38">
        <f t="shared" si="4"/>
        <v>19.488</v>
      </c>
      <c r="U56" s="290">
        <v>0</v>
      </c>
      <c r="V56" s="13">
        <f t="shared" si="8"/>
        <v>0</v>
      </c>
      <c r="W56" s="294">
        <f t="shared" si="9"/>
        <v>58</v>
      </c>
      <c r="X56" s="295">
        <f t="shared" si="10"/>
        <v>19.488</v>
      </c>
      <c r="Y56" s="101">
        <v>20</v>
      </c>
      <c r="Z56" s="101"/>
    </row>
    <row r="57" spans="1:26" x14ac:dyDescent="0.25">
      <c r="A57" s="264">
        <v>53</v>
      </c>
      <c r="B57" s="101" t="s">
        <v>201</v>
      </c>
      <c r="C57" s="264">
        <v>52</v>
      </c>
      <c r="D57" s="264">
        <v>52</v>
      </c>
      <c r="E57" s="264">
        <v>5</v>
      </c>
      <c r="F57" s="19">
        <f t="shared" si="5"/>
        <v>1.3520000000000001E-2</v>
      </c>
      <c r="G57" s="296">
        <v>53</v>
      </c>
      <c r="H57" s="299">
        <f t="shared" si="6"/>
        <v>0.71656000000000009</v>
      </c>
      <c r="I57" s="290">
        <v>0</v>
      </c>
      <c r="J57" s="205">
        <f t="shared" si="22"/>
        <v>0</v>
      </c>
      <c r="K57" s="290">
        <v>0</v>
      </c>
      <c r="L57" s="205">
        <f t="shared" ref="L57:L65" si="23">F57*K57</f>
        <v>0</v>
      </c>
      <c r="M57" s="290">
        <v>0</v>
      </c>
      <c r="N57" s="205">
        <f t="shared" si="19"/>
        <v>0</v>
      </c>
      <c r="O57" s="290">
        <v>0</v>
      </c>
      <c r="P57" s="205">
        <f t="shared" si="20"/>
        <v>0</v>
      </c>
      <c r="Q57" s="290">
        <v>0</v>
      </c>
      <c r="R57" s="205">
        <f t="shared" si="21"/>
        <v>0</v>
      </c>
      <c r="S57" s="39">
        <f t="shared" si="7"/>
        <v>53</v>
      </c>
      <c r="T57" s="38">
        <f t="shared" si="4"/>
        <v>0.71656000000000009</v>
      </c>
      <c r="U57" s="290">
        <v>0</v>
      </c>
      <c r="V57" s="13">
        <f t="shared" si="8"/>
        <v>0</v>
      </c>
      <c r="W57" s="294">
        <f t="shared" si="9"/>
        <v>53</v>
      </c>
      <c r="X57" s="295">
        <f t="shared" si="10"/>
        <v>0.71656000000000009</v>
      </c>
      <c r="Y57" s="101"/>
      <c r="Z57" s="101"/>
    </row>
    <row r="58" spans="1:26" x14ac:dyDescent="0.25">
      <c r="A58" s="264">
        <v>54</v>
      </c>
      <c r="B58" s="101" t="s">
        <v>193</v>
      </c>
      <c r="C58" s="264">
        <v>80</v>
      </c>
      <c r="D58" s="264">
        <v>75</v>
      </c>
      <c r="E58" s="264">
        <v>5</v>
      </c>
      <c r="F58" s="19">
        <f t="shared" si="5"/>
        <v>0.03</v>
      </c>
      <c r="G58" s="264">
        <v>170</v>
      </c>
      <c r="H58" s="299">
        <f t="shared" si="6"/>
        <v>5.0999999999999996</v>
      </c>
      <c r="I58" s="290">
        <v>0</v>
      </c>
      <c r="J58" s="205">
        <f t="shared" si="22"/>
        <v>0</v>
      </c>
      <c r="K58" s="290">
        <v>0</v>
      </c>
      <c r="L58" s="205">
        <f t="shared" si="23"/>
        <v>0</v>
      </c>
      <c r="M58" s="290">
        <v>0</v>
      </c>
      <c r="N58" s="205">
        <f t="shared" si="19"/>
        <v>0</v>
      </c>
      <c r="O58" s="290">
        <v>0</v>
      </c>
      <c r="P58" s="205">
        <f t="shared" si="20"/>
        <v>0</v>
      </c>
      <c r="Q58" s="290">
        <v>0</v>
      </c>
      <c r="R58" s="205">
        <f t="shared" si="21"/>
        <v>0</v>
      </c>
      <c r="S58" s="39">
        <f t="shared" si="7"/>
        <v>170</v>
      </c>
      <c r="T58" s="38">
        <f t="shared" si="4"/>
        <v>5.0999999999999996</v>
      </c>
      <c r="U58" s="290">
        <v>0</v>
      </c>
      <c r="V58" s="308">
        <f t="shared" si="8"/>
        <v>0</v>
      </c>
      <c r="W58" s="294">
        <f t="shared" si="9"/>
        <v>170</v>
      </c>
      <c r="X58" s="300">
        <f t="shared" si="10"/>
        <v>5.0999999999999996</v>
      </c>
      <c r="Y58" s="101"/>
      <c r="Z58" s="101"/>
    </row>
    <row r="59" spans="1:26" x14ac:dyDescent="0.25">
      <c r="A59" s="264">
        <v>55</v>
      </c>
      <c r="B59" s="101" t="s">
        <v>194</v>
      </c>
      <c r="C59" s="264">
        <v>58</v>
      </c>
      <c r="D59" s="264">
        <v>25</v>
      </c>
      <c r="E59" s="264">
        <v>3</v>
      </c>
      <c r="F59" s="298">
        <f t="shared" si="5"/>
        <v>4.3499999999999997E-3</v>
      </c>
      <c r="G59" s="264">
        <v>0</v>
      </c>
      <c r="H59" s="299">
        <f t="shared" si="6"/>
        <v>0</v>
      </c>
      <c r="I59" s="290">
        <v>0</v>
      </c>
      <c r="J59" s="205">
        <f t="shared" si="22"/>
        <v>0</v>
      </c>
      <c r="K59" s="290">
        <v>0</v>
      </c>
      <c r="L59" s="205">
        <f t="shared" si="23"/>
        <v>0</v>
      </c>
      <c r="M59" s="290">
        <v>0</v>
      </c>
      <c r="N59" s="205">
        <f t="shared" si="19"/>
        <v>0</v>
      </c>
      <c r="O59" s="290">
        <v>0</v>
      </c>
      <c r="P59" s="205">
        <f t="shared" si="20"/>
        <v>0</v>
      </c>
      <c r="Q59" s="290">
        <v>0</v>
      </c>
      <c r="R59" s="205">
        <f>F59*Q59</f>
        <v>0</v>
      </c>
      <c r="S59" s="39">
        <f t="shared" si="7"/>
        <v>0</v>
      </c>
      <c r="T59" s="38">
        <f t="shared" si="4"/>
        <v>0</v>
      </c>
      <c r="U59" s="290">
        <v>0</v>
      </c>
      <c r="V59" s="309">
        <f t="shared" si="8"/>
        <v>0</v>
      </c>
      <c r="W59" s="294">
        <f t="shared" si="9"/>
        <v>0</v>
      </c>
      <c r="X59" s="300">
        <f t="shared" si="10"/>
        <v>0</v>
      </c>
      <c r="Y59" s="101"/>
      <c r="Z59" s="101"/>
    </row>
    <row r="60" spans="1:26" x14ac:dyDescent="0.25">
      <c r="A60" s="264">
        <v>56</v>
      </c>
      <c r="B60" s="101" t="s">
        <v>195</v>
      </c>
      <c r="C60" s="264">
        <v>64</v>
      </c>
      <c r="D60" s="264">
        <v>58</v>
      </c>
      <c r="E60" s="264">
        <v>5</v>
      </c>
      <c r="F60" s="298">
        <f t="shared" si="5"/>
        <v>1.856E-2</v>
      </c>
      <c r="G60" s="264">
        <v>94</v>
      </c>
      <c r="H60" s="299">
        <f t="shared" si="6"/>
        <v>1.74464</v>
      </c>
      <c r="I60" s="290">
        <v>20</v>
      </c>
      <c r="J60" s="205">
        <f t="shared" si="22"/>
        <v>0.37119999999999997</v>
      </c>
      <c r="K60" s="290">
        <v>0</v>
      </c>
      <c r="L60" s="205">
        <f t="shared" si="23"/>
        <v>0</v>
      </c>
      <c r="M60" s="290">
        <v>0</v>
      </c>
      <c r="N60" s="205">
        <f t="shared" si="19"/>
        <v>0</v>
      </c>
      <c r="O60" s="290">
        <v>0</v>
      </c>
      <c r="P60" s="205">
        <f t="shared" si="20"/>
        <v>0</v>
      </c>
      <c r="Q60" s="290">
        <v>0</v>
      </c>
      <c r="R60" s="205">
        <f t="shared" ref="R60:R65" si="24">F60*Q60</f>
        <v>0</v>
      </c>
      <c r="S60" s="39">
        <f t="shared" si="7"/>
        <v>74</v>
      </c>
      <c r="T60" s="38">
        <f t="shared" si="4"/>
        <v>1.37344</v>
      </c>
      <c r="U60" s="290">
        <v>0</v>
      </c>
      <c r="V60" s="309">
        <f t="shared" si="8"/>
        <v>0</v>
      </c>
      <c r="W60" s="294">
        <f t="shared" si="9"/>
        <v>74</v>
      </c>
      <c r="X60" s="301">
        <f t="shared" si="10"/>
        <v>1.37344</v>
      </c>
      <c r="Y60" s="101"/>
      <c r="Z60" s="101"/>
    </row>
    <row r="61" spans="1:26" x14ac:dyDescent="0.25">
      <c r="A61" s="264">
        <v>57</v>
      </c>
      <c r="B61" s="101" t="s">
        <v>197</v>
      </c>
      <c r="C61" s="264">
        <v>65</v>
      </c>
      <c r="D61" s="264">
        <v>65</v>
      </c>
      <c r="E61" s="264">
        <v>5</v>
      </c>
      <c r="F61" s="101">
        <f t="shared" si="5"/>
        <v>2.1125000000000001E-2</v>
      </c>
      <c r="G61" s="264">
        <v>252</v>
      </c>
      <c r="H61" s="299">
        <f t="shared" si="6"/>
        <v>5.3235000000000001</v>
      </c>
      <c r="I61" s="290">
        <v>0</v>
      </c>
      <c r="J61" s="205">
        <f t="shared" si="22"/>
        <v>0</v>
      </c>
      <c r="K61" s="290">
        <v>0</v>
      </c>
      <c r="L61" s="205">
        <f t="shared" si="23"/>
        <v>0</v>
      </c>
      <c r="M61" s="290">
        <v>0</v>
      </c>
      <c r="N61" s="174">
        <f t="shared" si="19"/>
        <v>0</v>
      </c>
      <c r="O61" s="290">
        <v>0</v>
      </c>
      <c r="P61" s="205">
        <f t="shared" si="20"/>
        <v>0</v>
      </c>
      <c r="Q61" s="290">
        <v>0</v>
      </c>
      <c r="R61" s="205">
        <f t="shared" si="24"/>
        <v>0</v>
      </c>
      <c r="S61" s="39">
        <f t="shared" si="7"/>
        <v>252</v>
      </c>
      <c r="T61" s="38">
        <f t="shared" si="4"/>
        <v>5.3235000000000001</v>
      </c>
      <c r="U61" s="290">
        <v>0</v>
      </c>
      <c r="V61" s="309">
        <f t="shared" si="8"/>
        <v>0</v>
      </c>
      <c r="W61" s="294">
        <f t="shared" si="9"/>
        <v>252</v>
      </c>
      <c r="X61" s="300">
        <f t="shared" si="10"/>
        <v>5.3235000000000001</v>
      </c>
      <c r="Y61" s="101"/>
      <c r="Z61" s="101"/>
    </row>
    <row r="62" spans="1:26" x14ac:dyDescent="0.25">
      <c r="A62" s="264">
        <v>58</v>
      </c>
      <c r="B62" s="101" t="s">
        <v>198</v>
      </c>
      <c r="C62" s="264">
        <v>83</v>
      </c>
      <c r="D62" s="264">
        <v>55</v>
      </c>
      <c r="E62" s="264">
        <v>3</v>
      </c>
      <c r="F62" s="101">
        <f t="shared" si="5"/>
        <v>1.3695000000000001E-2</v>
      </c>
      <c r="G62" s="264">
        <v>225</v>
      </c>
      <c r="H62" s="299">
        <f t="shared" si="6"/>
        <v>3.081375</v>
      </c>
      <c r="I62" s="290">
        <v>0</v>
      </c>
      <c r="J62" s="205">
        <f t="shared" si="22"/>
        <v>0</v>
      </c>
      <c r="K62" s="290">
        <v>0</v>
      </c>
      <c r="L62" s="205">
        <f t="shared" si="23"/>
        <v>0</v>
      </c>
      <c r="M62" s="290">
        <v>0</v>
      </c>
      <c r="N62" s="174">
        <f t="shared" si="19"/>
        <v>0</v>
      </c>
      <c r="O62" s="290">
        <v>0</v>
      </c>
      <c r="P62" s="205">
        <f t="shared" si="20"/>
        <v>0</v>
      </c>
      <c r="Q62" s="290">
        <v>50</v>
      </c>
      <c r="R62" s="205">
        <f t="shared" si="24"/>
        <v>0.68475000000000008</v>
      </c>
      <c r="S62" s="39">
        <f t="shared" si="7"/>
        <v>175</v>
      </c>
      <c r="T62" s="38">
        <f t="shared" si="4"/>
        <v>2.3966250000000002</v>
      </c>
      <c r="U62" s="290">
        <v>0</v>
      </c>
      <c r="V62" s="309">
        <f t="shared" si="8"/>
        <v>0</v>
      </c>
      <c r="W62" s="294">
        <f t="shared" si="9"/>
        <v>175</v>
      </c>
      <c r="X62" s="300">
        <f t="shared" si="10"/>
        <v>2.3966250000000002</v>
      </c>
      <c r="Y62" s="101"/>
      <c r="Z62" s="101"/>
    </row>
    <row r="63" spans="1:26" x14ac:dyDescent="0.25">
      <c r="A63" s="264">
        <v>59</v>
      </c>
      <c r="B63" s="101" t="s">
        <v>199</v>
      </c>
      <c r="C63" s="264">
        <v>75</v>
      </c>
      <c r="D63" s="264">
        <v>55</v>
      </c>
      <c r="E63" s="264">
        <v>3</v>
      </c>
      <c r="F63" s="101">
        <f t="shared" si="5"/>
        <v>1.2375000000000001E-2</v>
      </c>
      <c r="G63" s="264">
        <v>184</v>
      </c>
      <c r="H63" s="299">
        <f t="shared" si="6"/>
        <v>2.2770000000000001</v>
      </c>
      <c r="I63" s="290">
        <v>0</v>
      </c>
      <c r="J63" s="205">
        <f t="shared" si="22"/>
        <v>0</v>
      </c>
      <c r="K63" s="290">
        <v>0</v>
      </c>
      <c r="L63" s="205">
        <f t="shared" si="23"/>
        <v>0</v>
      </c>
      <c r="M63" s="290">
        <v>0</v>
      </c>
      <c r="N63" s="174">
        <f t="shared" si="19"/>
        <v>0</v>
      </c>
      <c r="O63" s="290">
        <v>0</v>
      </c>
      <c r="P63" s="205">
        <f t="shared" si="20"/>
        <v>0</v>
      </c>
      <c r="Q63" s="290">
        <v>0</v>
      </c>
      <c r="R63" s="205">
        <f t="shared" si="24"/>
        <v>0</v>
      </c>
      <c r="S63" s="39">
        <f t="shared" si="7"/>
        <v>184</v>
      </c>
      <c r="T63" s="38">
        <f t="shared" si="4"/>
        <v>2.2770000000000001</v>
      </c>
      <c r="U63" s="290">
        <v>0</v>
      </c>
      <c r="V63" s="309">
        <f t="shared" si="8"/>
        <v>0</v>
      </c>
      <c r="W63" s="294">
        <f t="shared" si="9"/>
        <v>184</v>
      </c>
      <c r="X63" s="300">
        <f t="shared" si="10"/>
        <v>2.2770000000000001</v>
      </c>
      <c r="Y63" s="101"/>
      <c r="Z63" s="101"/>
    </row>
    <row r="64" spans="1:26" x14ac:dyDescent="0.25">
      <c r="A64" s="264">
        <v>60</v>
      </c>
      <c r="B64" s="101" t="s">
        <v>200</v>
      </c>
      <c r="C64" s="264">
        <v>58</v>
      </c>
      <c r="D64" s="264">
        <v>19</v>
      </c>
      <c r="E64" s="264">
        <v>3</v>
      </c>
      <c r="F64" s="101">
        <f t="shared" si="5"/>
        <v>3.3059999999999999E-3</v>
      </c>
      <c r="G64" s="264">
        <v>180</v>
      </c>
      <c r="H64" s="299">
        <f t="shared" si="6"/>
        <v>0.59507999999999994</v>
      </c>
      <c r="I64" s="290">
        <v>0</v>
      </c>
      <c r="J64" s="205">
        <f t="shared" si="22"/>
        <v>0</v>
      </c>
      <c r="K64" s="290">
        <v>0</v>
      </c>
      <c r="L64" s="205">
        <f t="shared" si="23"/>
        <v>0</v>
      </c>
      <c r="M64" s="290">
        <v>0</v>
      </c>
      <c r="N64" s="174">
        <f t="shared" si="19"/>
        <v>0</v>
      </c>
      <c r="O64" s="290">
        <v>0</v>
      </c>
      <c r="P64" s="205">
        <f t="shared" si="20"/>
        <v>0</v>
      </c>
      <c r="Q64" s="290">
        <v>0</v>
      </c>
      <c r="R64" s="205">
        <f t="shared" si="24"/>
        <v>0</v>
      </c>
      <c r="S64" s="39">
        <f t="shared" si="7"/>
        <v>180</v>
      </c>
      <c r="T64" s="38">
        <f t="shared" si="4"/>
        <v>0.59507999999999994</v>
      </c>
      <c r="U64" s="290">
        <v>0</v>
      </c>
      <c r="V64" s="309">
        <f t="shared" si="8"/>
        <v>0</v>
      </c>
      <c r="W64" s="294">
        <f t="shared" si="9"/>
        <v>180</v>
      </c>
      <c r="X64" s="300">
        <f t="shared" si="10"/>
        <v>0.59507999999999994</v>
      </c>
      <c r="Y64" s="101"/>
      <c r="Z64" s="101"/>
    </row>
    <row r="65" spans="1:26" x14ac:dyDescent="0.25">
      <c r="A65" s="264">
        <v>61</v>
      </c>
      <c r="B65" s="101" t="s">
        <v>202</v>
      </c>
      <c r="C65" s="264">
        <v>140</v>
      </c>
      <c r="D65" s="264">
        <v>240</v>
      </c>
      <c r="E65" s="264">
        <v>4</v>
      </c>
      <c r="F65" s="101">
        <f t="shared" si="5"/>
        <v>0.13439999999999999</v>
      </c>
      <c r="G65" s="264">
        <v>8</v>
      </c>
      <c r="H65" s="299">
        <f t="shared" si="6"/>
        <v>1.0751999999999999</v>
      </c>
      <c r="I65" s="290">
        <v>0</v>
      </c>
      <c r="J65" s="205">
        <f t="shared" si="22"/>
        <v>0</v>
      </c>
      <c r="K65" s="290">
        <v>0</v>
      </c>
      <c r="L65" s="205">
        <f t="shared" si="23"/>
        <v>0</v>
      </c>
      <c r="M65" s="290">
        <v>0</v>
      </c>
      <c r="N65" s="174">
        <f t="shared" si="19"/>
        <v>0</v>
      </c>
      <c r="O65" s="290">
        <v>0</v>
      </c>
      <c r="P65" s="205">
        <f t="shared" si="20"/>
        <v>0</v>
      </c>
      <c r="Q65" s="290">
        <v>0</v>
      </c>
      <c r="R65" s="205">
        <f t="shared" si="24"/>
        <v>0</v>
      </c>
      <c r="S65" s="39">
        <f t="shared" si="7"/>
        <v>8</v>
      </c>
      <c r="T65" s="38">
        <f t="shared" si="4"/>
        <v>1.0751999999999999</v>
      </c>
      <c r="U65" s="290">
        <v>0</v>
      </c>
      <c r="V65" s="309">
        <f t="shared" si="8"/>
        <v>0</v>
      </c>
      <c r="W65" s="294">
        <f t="shared" si="9"/>
        <v>8</v>
      </c>
      <c r="X65" s="300">
        <f t="shared" si="10"/>
        <v>1.0751999999999999</v>
      </c>
      <c r="Y65" s="101"/>
      <c r="Z65" s="101"/>
    </row>
    <row r="66" spans="1:26" x14ac:dyDescent="0.25">
      <c r="A66" s="264">
        <v>62</v>
      </c>
      <c r="B66" s="101" t="s">
        <v>203</v>
      </c>
      <c r="C66" s="264">
        <v>50</v>
      </c>
      <c r="D66" s="264">
        <v>46.5</v>
      </c>
      <c r="E66" s="264">
        <v>3</v>
      </c>
      <c r="F66" s="101">
        <f t="shared" si="5"/>
        <v>6.9750000000000003E-3</v>
      </c>
      <c r="G66" s="264">
        <v>772</v>
      </c>
      <c r="H66" s="289">
        <f t="shared" si="6"/>
        <v>5.3847000000000005</v>
      </c>
      <c r="I66" s="290">
        <v>0</v>
      </c>
      <c r="J66" s="205">
        <f t="shared" si="22"/>
        <v>0</v>
      </c>
      <c r="K66" s="290">
        <v>0</v>
      </c>
      <c r="L66" s="101"/>
      <c r="M66" s="290">
        <v>0</v>
      </c>
      <c r="N66" s="264">
        <f t="shared" si="19"/>
        <v>0</v>
      </c>
      <c r="O66" s="290">
        <v>50</v>
      </c>
      <c r="P66" s="264">
        <f t="shared" si="20"/>
        <v>0.34875</v>
      </c>
      <c r="Q66" s="290">
        <v>0</v>
      </c>
      <c r="R66" s="101"/>
      <c r="S66" s="39">
        <f t="shared" si="7"/>
        <v>722</v>
      </c>
      <c r="T66" s="38">
        <f t="shared" si="4"/>
        <v>5.0359500000000006</v>
      </c>
      <c r="U66" s="290">
        <v>0</v>
      </c>
      <c r="V66" s="309">
        <f t="shared" si="8"/>
        <v>0</v>
      </c>
      <c r="W66" s="294">
        <f t="shared" si="9"/>
        <v>722</v>
      </c>
      <c r="X66" s="300">
        <f t="shared" si="10"/>
        <v>5.0359500000000006</v>
      </c>
      <c r="Y66" s="101"/>
      <c r="Z66" s="101"/>
    </row>
    <row r="67" spans="1:26" x14ac:dyDescent="0.25">
      <c r="A67" s="264">
        <v>63</v>
      </c>
      <c r="B67" s="101" t="s">
        <v>204</v>
      </c>
      <c r="C67" s="264">
        <v>50</v>
      </c>
      <c r="D67" s="264">
        <v>35</v>
      </c>
      <c r="E67" s="264">
        <v>3</v>
      </c>
      <c r="F67" s="101">
        <f t="shared" si="5"/>
        <v>5.2500000000000003E-3</v>
      </c>
      <c r="G67" s="264">
        <v>1100</v>
      </c>
      <c r="H67" s="289">
        <f t="shared" si="6"/>
        <v>5.7750000000000004</v>
      </c>
      <c r="I67" s="290">
        <v>0</v>
      </c>
      <c r="J67" s="205">
        <f t="shared" si="22"/>
        <v>0</v>
      </c>
      <c r="K67" s="290">
        <v>0</v>
      </c>
      <c r="L67" s="205">
        <f t="shared" ref="L67" si="25">F67*K67</f>
        <v>0</v>
      </c>
      <c r="M67" s="290">
        <v>0</v>
      </c>
      <c r="N67" s="264">
        <f t="shared" si="19"/>
        <v>0</v>
      </c>
      <c r="O67" s="290">
        <v>50</v>
      </c>
      <c r="P67" s="264"/>
      <c r="Q67" s="290">
        <v>0</v>
      </c>
      <c r="R67" s="264"/>
      <c r="S67" s="39">
        <f t="shared" si="7"/>
        <v>1050</v>
      </c>
      <c r="T67" s="38">
        <f t="shared" si="4"/>
        <v>5.5125000000000002</v>
      </c>
      <c r="U67" s="290">
        <v>0</v>
      </c>
      <c r="V67" s="309">
        <f t="shared" si="8"/>
        <v>0</v>
      </c>
      <c r="W67" s="294">
        <f t="shared" si="9"/>
        <v>1050</v>
      </c>
      <c r="X67" s="300">
        <f t="shared" si="10"/>
        <v>5.5125000000000002</v>
      </c>
      <c r="Y67" s="101"/>
      <c r="Z67" s="101"/>
    </row>
    <row r="68" spans="1:26" x14ac:dyDescent="0.25">
      <c r="A68" s="264">
        <v>64</v>
      </c>
      <c r="B68" s="101" t="s">
        <v>205</v>
      </c>
      <c r="C68" s="264">
        <v>140</v>
      </c>
      <c r="D68" s="264">
        <v>240</v>
      </c>
      <c r="E68" s="264">
        <v>8</v>
      </c>
      <c r="F68" s="101">
        <f t="shared" si="5"/>
        <v>0.26879999999999998</v>
      </c>
      <c r="G68" s="264">
        <v>1</v>
      </c>
      <c r="H68" s="289">
        <f t="shared" si="6"/>
        <v>0.26879999999999998</v>
      </c>
      <c r="I68" s="290">
        <v>0</v>
      </c>
      <c r="J68" s="264">
        <f t="shared" si="22"/>
        <v>0</v>
      </c>
      <c r="K68" s="290">
        <v>0</v>
      </c>
      <c r="L68" s="264"/>
      <c r="M68" s="290">
        <v>0</v>
      </c>
      <c r="N68" s="264">
        <v>0</v>
      </c>
      <c r="O68" s="290">
        <v>0</v>
      </c>
      <c r="P68" s="264"/>
      <c r="Q68" s="290">
        <v>0</v>
      </c>
      <c r="R68" s="264">
        <v>0</v>
      </c>
      <c r="S68" s="39">
        <f t="shared" si="7"/>
        <v>1</v>
      </c>
      <c r="T68" s="38">
        <f t="shared" si="4"/>
        <v>0.26879999999999998</v>
      </c>
      <c r="U68" s="290">
        <v>0</v>
      </c>
      <c r="V68" s="309">
        <v>0</v>
      </c>
      <c r="W68" s="294">
        <f t="shared" si="9"/>
        <v>1</v>
      </c>
      <c r="X68" s="300">
        <f t="shared" si="10"/>
        <v>0.26879999999999998</v>
      </c>
      <c r="Y68" s="101"/>
      <c r="Z68" s="101"/>
    </row>
    <row r="69" spans="1:26" x14ac:dyDescent="0.25">
      <c r="A69" s="264">
        <v>65</v>
      </c>
      <c r="B69" s="101" t="s">
        <v>206</v>
      </c>
      <c r="C69" s="264">
        <v>140</v>
      </c>
      <c r="D69" s="264">
        <v>240</v>
      </c>
      <c r="E69" s="264">
        <v>2</v>
      </c>
      <c r="F69" s="101">
        <f t="shared" si="5"/>
        <v>6.7199999999999996E-2</v>
      </c>
      <c r="G69" s="264">
        <v>11</v>
      </c>
      <c r="H69" s="289">
        <f t="shared" si="6"/>
        <v>0.73919999999999997</v>
      </c>
      <c r="I69" s="290">
        <v>11</v>
      </c>
      <c r="J69" s="264">
        <f t="shared" si="22"/>
        <v>0.73919999999999997</v>
      </c>
      <c r="K69" s="290">
        <v>0</v>
      </c>
      <c r="L69" s="264"/>
      <c r="M69" s="290">
        <v>0</v>
      </c>
      <c r="N69" s="174">
        <v>0</v>
      </c>
      <c r="O69" s="290">
        <v>0</v>
      </c>
      <c r="P69" s="264">
        <f t="shared" ref="P69" si="26">F69*O69</f>
        <v>0</v>
      </c>
      <c r="Q69" s="290">
        <v>0</v>
      </c>
      <c r="R69" s="205">
        <f t="shared" ref="R69" si="27">F69*Q69</f>
        <v>0</v>
      </c>
      <c r="S69" s="39">
        <f t="shared" si="7"/>
        <v>0</v>
      </c>
      <c r="T69" s="38">
        <f t="shared" ref="T69:T70" si="28">F69*S69</f>
        <v>0</v>
      </c>
      <c r="U69" s="290">
        <v>0</v>
      </c>
      <c r="V69" s="309">
        <v>0</v>
      </c>
      <c r="W69" s="294">
        <f t="shared" si="9"/>
        <v>0</v>
      </c>
      <c r="X69" s="300">
        <f t="shared" si="10"/>
        <v>0</v>
      </c>
      <c r="Y69" s="101"/>
      <c r="Z69" s="101"/>
    </row>
    <row r="70" spans="1:26" x14ac:dyDescent="0.25">
      <c r="A70" s="264">
        <v>66</v>
      </c>
      <c r="B70" s="101" t="s">
        <v>213</v>
      </c>
      <c r="C70" s="264"/>
      <c r="D70" s="264"/>
      <c r="E70" s="264"/>
      <c r="F70" s="101"/>
      <c r="G70" s="264">
        <v>495</v>
      </c>
      <c r="H70" s="289"/>
      <c r="I70" s="290">
        <v>15</v>
      </c>
      <c r="J70" s="264"/>
      <c r="K70" s="290">
        <v>0</v>
      </c>
      <c r="L70" s="264"/>
      <c r="M70" s="290">
        <v>0</v>
      </c>
      <c r="N70" s="264">
        <f t="shared" si="19"/>
        <v>0</v>
      </c>
      <c r="O70" s="290">
        <v>0</v>
      </c>
      <c r="P70" s="264"/>
      <c r="Q70" s="290">
        <v>0</v>
      </c>
      <c r="R70" s="264"/>
      <c r="S70" s="39">
        <f t="shared" ref="S70" si="29">G70-I70-K70-M70-O70-Q70</f>
        <v>480</v>
      </c>
      <c r="T70" s="38">
        <f t="shared" si="28"/>
        <v>0</v>
      </c>
      <c r="U70" s="290">
        <v>0</v>
      </c>
      <c r="V70" s="309">
        <f t="shared" ref="V70" si="30">F70*U70</f>
        <v>0</v>
      </c>
      <c r="W70" s="294">
        <f t="shared" ref="W70" si="31">S70+U70</f>
        <v>480</v>
      </c>
      <c r="X70" s="300">
        <f t="shared" ref="X70" si="32">F70*W70</f>
        <v>0</v>
      </c>
      <c r="Y70" s="101"/>
      <c r="Z70" s="101"/>
    </row>
    <row r="71" spans="1:26" x14ac:dyDescent="0.25">
      <c r="B71" s="315" t="s">
        <v>215</v>
      </c>
      <c r="C71"/>
      <c r="D71"/>
      <c r="E71"/>
      <c r="F71"/>
      <c r="G71" s="316">
        <v>315</v>
      </c>
      <c r="H71"/>
      <c r="I71"/>
      <c r="J71"/>
      <c r="K71"/>
      <c r="L71"/>
      <c r="M71"/>
      <c r="N71"/>
      <c r="O71"/>
      <c r="P71"/>
      <c r="Q71"/>
      <c r="R71"/>
      <c r="S71"/>
      <c r="T71"/>
    </row>
    <row r="72" spans="1:26" x14ac:dyDescent="0.2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1:26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1:26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1:26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1:26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1:26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1:26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</sheetData>
  <mergeCells count="24">
    <mergeCell ref="C1:H1"/>
    <mergeCell ref="G2:H3"/>
    <mergeCell ref="I2:J2"/>
    <mergeCell ref="K2:L2"/>
    <mergeCell ref="M2:N2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S4:T4"/>
    <mergeCell ref="U4:V4"/>
    <mergeCell ref="W4:X4"/>
    <mergeCell ref="G4:H4"/>
    <mergeCell ref="I4:J4"/>
    <mergeCell ref="K4:L4"/>
    <mergeCell ref="M4:N4"/>
    <mergeCell ref="O4:P4"/>
    <mergeCell ref="Q4:R4"/>
  </mergeCell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44AA4-3D29-4D07-805F-05D7003F410A}">
  <dimension ref="A1:Z78"/>
  <sheetViews>
    <sheetView topLeftCell="A52" workbookViewId="0">
      <selection activeCell="B69" sqref="B69"/>
    </sheetView>
  </sheetViews>
  <sheetFormatPr defaultRowHeight="15" x14ac:dyDescent="0.25"/>
  <cols>
    <col min="1" max="1" width="5" customWidth="1"/>
    <col min="2" max="2" width="31.85546875" style="3" customWidth="1"/>
    <col min="3" max="3" width="4.7109375" style="2" hidden="1" customWidth="1"/>
    <col min="4" max="4" width="7.28515625" style="2" hidden="1" customWidth="1"/>
    <col min="5" max="5" width="5.85546875" style="2" hidden="1" customWidth="1"/>
    <col min="6" max="6" width="8" style="4" hidden="1" customWidth="1"/>
    <col min="7" max="7" width="7.5703125" style="5" customWidth="1"/>
    <col min="8" max="8" width="9" style="5" customWidth="1"/>
    <col min="9" max="9" width="6" style="2" customWidth="1"/>
    <col min="10" max="10" width="7.140625" style="2" customWidth="1"/>
    <col min="11" max="11" width="6.28515625" style="2" customWidth="1"/>
    <col min="12" max="12" width="8" style="2" customWidth="1"/>
    <col min="13" max="20" width="6.42578125" style="2" customWidth="1"/>
    <col min="21" max="24" width="6.42578125" customWidth="1"/>
    <col min="25" max="25" width="10.28515625" customWidth="1"/>
  </cols>
  <sheetData>
    <row r="1" spans="1:26" ht="15.75" thickBot="1" x14ac:dyDescent="0.3">
      <c r="B1" s="4" t="s">
        <v>18</v>
      </c>
      <c r="C1" s="384" t="s">
        <v>216</v>
      </c>
      <c r="D1" s="320"/>
      <c r="E1" s="320"/>
      <c r="F1" s="320"/>
      <c r="G1" s="320"/>
      <c r="H1" s="320"/>
      <c r="Y1" s="314">
        <v>45656</v>
      </c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45877</v>
      </c>
      <c r="J2" s="326"/>
      <c r="K2" s="327">
        <v>45884</v>
      </c>
      <c r="L2" s="328"/>
      <c r="M2" s="325">
        <v>45891</v>
      </c>
      <c r="N2" s="329"/>
      <c r="O2" s="327">
        <v>45898</v>
      </c>
      <c r="P2" s="346"/>
      <c r="Q2" s="325">
        <v>0</v>
      </c>
      <c r="R2" s="329"/>
      <c r="S2" s="330" t="s">
        <v>69</v>
      </c>
      <c r="T2" s="331"/>
      <c r="U2" s="334" t="s">
        <v>70</v>
      </c>
      <c r="V2" s="335"/>
      <c r="W2" s="385" t="s">
        <v>71</v>
      </c>
      <c r="X2" s="386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87"/>
      <c r="X3" s="388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89" t="s">
        <v>63</v>
      </c>
      <c r="X4" s="390"/>
      <c r="Y4" s="268" t="s">
        <v>179</v>
      </c>
      <c r="Z4" s="269" t="s">
        <v>99</v>
      </c>
    </row>
    <row r="5" spans="1:26" x14ac:dyDescent="0.25">
      <c r="A5" s="263">
        <v>1</v>
      </c>
      <c r="B5" s="256" t="s">
        <v>134</v>
      </c>
      <c r="C5" s="32">
        <v>70</v>
      </c>
      <c r="D5" s="33">
        <v>64</v>
      </c>
      <c r="E5" s="33">
        <v>8</v>
      </c>
      <c r="F5" s="15">
        <f>(C5*D5*E5)/1000000</f>
        <v>3.5839999999999997E-2</v>
      </c>
      <c r="G5" s="286">
        <v>270</v>
      </c>
      <c r="H5" s="287">
        <f>F5*G5</f>
        <v>9.6767999999999983</v>
      </c>
      <c r="I5" s="290">
        <v>19</v>
      </c>
      <c r="J5" s="205">
        <f t="shared" ref="J5:R55" si="0">F5*I5</f>
        <v>0.6809599999999999</v>
      </c>
      <c r="K5" s="290">
        <v>0</v>
      </c>
      <c r="L5" s="205">
        <f>F5*K5</f>
        <v>0</v>
      </c>
      <c r="M5" s="290">
        <v>0</v>
      </c>
      <c r="N5" s="205">
        <f t="shared" ref="N5:N10" si="1">F5*M5</f>
        <v>0</v>
      </c>
      <c r="O5" s="290">
        <v>40</v>
      </c>
      <c r="P5" s="205">
        <f t="shared" ref="P5:P10" si="2">F5*O5</f>
        <v>1.4335999999999998</v>
      </c>
      <c r="Q5" s="290">
        <v>0</v>
      </c>
      <c r="R5" s="205">
        <f t="shared" ref="R5:R11" si="3">F5*Q5</f>
        <v>0</v>
      </c>
      <c r="S5" s="39">
        <f>G5-I5-K5-M5-O5-Q5</f>
        <v>211</v>
      </c>
      <c r="T5" s="38">
        <f t="shared" ref="T5:T68" si="4">F5*S5</f>
        <v>7.5622399999999992</v>
      </c>
      <c r="U5" s="290">
        <v>26</v>
      </c>
      <c r="V5" s="13">
        <f>F5*U5</f>
        <v>0.93183999999999989</v>
      </c>
      <c r="W5" s="294">
        <f>S5+U5</f>
        <v>237</v>
      </c>
      <c r="X5" s="295">
        <f>F5*W5</f>
        <v>8.4940799999999985</v>
      </c>
      <c r="Y5" s="266">
        <v>250</v>
      </c>
      <c r="Z5" s="267">
        <v>750</v>
      </c>
    </row>
    <row r="6" spans="1:26" x14ac:dyDescent="0.25">
      <c r="A6" s="264">
        <v>2</v>
      </c>
      <c r="B6" s="256" t="s">
        <v>135</v>
      </c>
      <c r="C6" s="34">
        <v>70</v>
      </c>
      <c r="D6" s="35">
        <v>80</v>
      </c>
      <c r="E6" s="35">
        <v>8</v>
      </c>
      <c r="F6" s="19">
        <f t="shared" ref="F6:F69" si="5">(C6*D6*E6)/1000000</f>
        <v>4.48E-2</v>
      </c>
      <c r="G6" s="286">
        <v>151</v>
      </c>
      <c r="H6" s="288">
        <f t="shared" ref="H6:H69" si="6">F6*G6</f>
        <v>6.7648000000000001</v>
      </c>
      <c r="I6" s="290">
        <v>8</v>
      </c>
      <c r="J6" s="205">
        <f t="shared" si="0"/>
        <v>0.3584</v>
      </c>
      <c r="K6" s="290">
        <v>0</v>
      </c>
      <c r="L6" s="205">
        <f>F6*K6</f>
        <v>0</v>
      </c>
      <c r="M6" s="290">
        <v>0</v>
      </c>
      <c r="N6" s="205">
        <f t="shared" si="1"/>
        <v>0</v>
      </c>
      <c r="O6" s="290">
        <v>40</v>
      </c>
      <c r="P6" s="205">
        <f t="shared" si="2"/>
        <v>1.792</v>
      </c>
      <c r="Q6" s="290">
        <v>0</v>
      </c>
      <c r="R6" s="205">
        <f t="shared" si="3"/>
        <v>0</v>
      </c>
      <c r="S6" s="39">
        <f t="shared" ref="S6:S68" si="7">G6-I6-K6-M6-O6-Q6</f>
        <v>103</v>
      </c>
      <c r="T6" s="38">
        <f t="shared" si="4"/>
        <v>4.6143999999999998</v>
      </c>
      <c r="U6" s="290">
        <v>205</v>
      </c>
      <c r="V6" s="13">
        <f t="shared" ref="V6:V69" si="8">F6*U6</f>
        <v>9.1839999999999993</v>
      </c>
      <c r="W6" s="294">
        <f t="shared" ref="W6:W69" si="9">S6+U6</f>
        <v>308</v>
      </c>
      <c r="X6" s="295">
        <f t="shared" ref="X6:X69" si="10">F6*W6</f>
        <v>13.798399999999999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136</v>
      </c>
      <c r="C7" s="34">
        <v>70</v>
      </c>
      <c r="D7" s="35">
        <v>74</v>
      </c>
      <c r="E7" s="35">
        <v>8</v>
      </c>
      <c r="F7" s="19">
        <f t="shared" si="5"/>
        <v>4.1439999999999998E-2</v>
      </c>
      <c r="G7" s="286">
        <v>40</v>
      </c>
      <c r="H7" s="288">
        <f t="shared" si="6"/>
        <v>1.6576</v>
      </c>
      <c r="I7" s="290">
        <v>6</v>
      </c>
      <c r="J7" s="205">
        <f t="shared" si="0"/>
        <v>0.24863999999999997</v>
      </c>
      <c r="K7" s="290">
        <v>0</v>
      </c>
      <c r="L7" s="205">
        <f>F7*K7</f>
        <v>0</v>
      </c>
      <c r="M7" s="290">
        <v>0</v>
      </c>
      <c r="N7" s="205">
        <f t="shared" si="1"/>
        <v>0</v>
      </c>
      <c r="O7" s="290">
        <v>40</v>
      </c>
      <c r="P7" s="205">
        <f t="shared" si="2"/>
        <v>1.6576</v>
      </c>
      <c r="Q7" s="290">
        <v>0</v>
      </c>
      <c r="R7" s="205">
        <f t="shared" si="3"/>
        <v>0</v>
      </c>
      <c r="S7" s="39">
        <f t="shared" si="7"/>
        <v>-6</v>
      </c>
      <c r="T7" s="38">
        <f t="shared" si="4"/>
        <v>-0.24863999999999997</v>
      </c>
      <c r="U7" s="290">
        <v>295</v>
      </c>
      <c r="V7" s="13">
        <f t="shared" si="8"/>
        <v>12.2248</v>
      </c>
      <c r="W7" s="294">
        <f t="shared" si="9"/>
        <v>289</v>
      </c>
      <c r="X7" s="295">
        <f t="shared" si="10"/>
        <v>11.97616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208</v>
      </c>
      <c r="C8" s="34">
        <v>70</v>
      </c>
      <c r="D8" s="35">
        <v>88</v>
      </c>
      <c r="E8" s="35">
        <v>8</v>
      </c>
      <c r="F8" s="19">
        <f t="shared" si="5"/>
        <v>4.9279999999999997E-2</v>
      </c>
      <c r="G8" s="286">
        <v>260</v>
      </c>
      <c r="H8" s="288">
        <f t="shared" si="6"/>
        <v>12.812799999999999</v>
      </c>
      <c r="I8" s="290">
        <v>2</v>
      </c>
      <c r="J8" s="205">
        <f t="shared" si="0"/>
        <v>9.8559999999999995E-2</v>
      </c>
      <c r="K8" s="290">
        <v>0</v>
      </c>
      <c r="L8" s="205">
        <f>F8*K8</f>
        <v>0</v>
      </c>
      <c r="M8" s="290">
        <v>0</v>
      </c>
      <c r="N8" s="205">
        <f t="shared" si="1"/>
        <v>0</v>
      </c>
      <c r="O8" s="290">
        <v>0</v>
      </c>
      <c r="P8" s="205">
        <f t="shared" si="2"/>
        <v>0</v>
      </c>
      <c r="Q8" s="290">
        <v>0</v>
      </c>
      <c r="R8" s="205">
        <f t="shared" si="3"/>
        <v>0</v>
      </c>
      <c r="S8" s="39">
        <f t="shared" si="7"/>
        <v>258</v>
      </c>
      <c r="T8" s="38">
        <f t="shared" si="4"/>
        <v>12.71424</v>
      </c>
      <c r="U8" s="290">
        <v>0</v>
      </c>
      <c r="V8" s="13">
        <f t="shared" si="8"/>
        <v>0</v>
      </c>
      <c r="W8" s="294">
        <f t="shared" si="9"/>
        <v>258</v>
      </c>
      <c r="X8" s="295">
        <f t="shared" si="10"/>
        <v>12.71424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138</v>
      </c>
      <c r="C9" s="34">
        <v>140</v>
      </c>
      <c r="D9" s="35">
        <v>240</v>
      </c>
      <c r="E9" s="35">
        <v>5</v>
      </c>
      <c r="F9" s="19">
        <f t="shared" si="5"/>
        <v>0.16800000000000001</v>
      </c>
      <c r="G9" s="286">
        <v>64</v>
      </c>
      <c r="H9" s="288">
        <f t="shared" si="6"/>
        <v>10.752000000000001</v>
      </c>
      <c r="I9" s="290">
        <v>0</v>
      </c>
      <c r="J9" s="205">
        <f t="shared" si="0"/>
        <v>0</v>
      </c>
      <c r="K9" s="290">
        <v>15</v>
      </c>
      <c r="L9" s="205">
        <f>F9*K9</f>
        <v>2.52</v>
      </c>
      <c r="M9" s="290">
        <v>10</v>
      </c>
      <c r="N9" s="205">
        <f t="shared" si="1"/>
        <v>1.6800000000000002</v>
      </c>
      <c r="O9" s="290">
        <v>9</v>
      </c>
      <c r="P9" s="205">
        <f t="shared" si="2"/>
        <v>1.512</v>
      </c>
      <c r="Q9" s="290">
        <v>0</v>
      </c>
      <c r="R9" s="205">
        <f t="shared" si="3"/>
        <v>0</v>
      </c>
      <c r="S9" s="39">
        <f t="shared" si="7"/>
        <v>30</v>
      </c>
      <c r="T9" s="38">
        <f t="shared" si="4"/>
        <v>5.04</v>
      </c>
      <c r="U9" s="290">
        <v>90</v>
      </c>
      <c r="V9" s="13">
        <f t="shared" si="8"/>
        <v>15.120000000000001</v>
      </c>
      <c r="W9" s="294">
        <f t="shared" si="9"/>
        <v>120</v>
      </c>
      <c r="X9" s="295">
        <f t="shared" si="10"/>
        <v>20.16</v>
      </c>
      <c r="Y9" s="238">
        <v>100</v>
      </c>
      <c r="Z9" s="101">
        <v>250</v>
      </c>
    </row>
    <row r="10" spans="1:26" x14ac:dyDescent="0.25">
      <c r="A10" s="264">
        <v>6</v>
      </c>
      <c r="B10" s="256" t="s">
        <v>211</v>
      </c>
      <c r="C10" s="34">
        <v>143</v>
      </c>
      <c r="D10" s="35">
        <v>68</v>
      </c>
      <c r="E10" s="35">
        <v>5</v>
      </c>
      <c r="F10" s="19">
        <f t="shared" si="5"/>
        <v>4.8619999999999997E-2</v>
      </c>
      <c r="G10" s="286">
        <v>490</v>
      </c>
      <c r="H10" s="288">
        <f t="shared" si="6"/>
        <v>23.823799999999999</v>
      </c>
      <c r="I10" s="290">
        <v>20</v>
      </c>
      <c r="J10" s="205">
        <f t="shared" si="0"/>
        <v>0.97239999999999993</v>
      </c>
      <c r="K10" s="290">
        <v>0</v>
      </c>
      <c r="L10" s="205">
        <f t="shared" ref="L10" si="11">F10*K10</f>
        <v>0</v>
      </c>
      <c r="M10" s="290">
        <v>0</v>
      </c>
      <c r="N10" s="205">
        <f t="shared" si="1"/>
        <v>0</v>
      </c>
      <c r="O10" s="290">
        <v>30</v>
      </c>
      <c r="P10" s="205">
        <f t="shared" si="2"/>
        <v>1.4585999999999999</v>
      </c>
      <c r="Q10" s="290">
        <v>0</v>
      </c>
      <c r="R10" s="205">
        <f t="shared" si="3"/>
        <v>0</v>
      </c>
      <c r="S10" s="39">
        <f t="shared" si="7"/>
        <v>440</v>
      </c>
      <c r="T10" s="38">
        <f t="shared" si="4"/>
        <v>21.392799999999998</v>
      </c>
      <c r="U10" s="290">
        <v>0</v>
      </c>
      <c r="V10" s="13">
        <f t="shared" si="8"/>
        <v>0</v>
      </c>
      <c r="W10" s="294">
        <f t="shared" si="9"/>
        <v>440</v>
      </c>
      <c r="X10" s="295">
        <f t="shared" si="10"/>
        <v>21.392799999999998</v>
      </c>
      <c r="Y10" s="238">
        <v>75</v>
      </c>
      <c r="Z10" s="101">
        <v>250</v>
      </c>
    </row>
    <row r="11" spans="1:26" x14ac:dyDescent="0.25">
      <c r="A11" s="264">
        <v>7</v>
      </c>
      <c r="B11" s="256" t="s">
        <v>207</v>
      </c>
      <c r="C11" s="34">
        <v>140</v>
      </c>
      <c r="D11" s="35">
        <v>240</v>
      </c>
      <c r="E11" s="35">
        <v>8</v>
      </c>
      <c r="F11" s="19">
        <f t="shared" si="5"/>
        <v>0.26879999999999998</v>
      </c>
      <c r="G11" s="286">
        <v>39</v>
      </c>
      <c r="H11" s="288">
        <f t="shared" si="6"/>
        <v>10.4832</v>
      </c>
      <c r="I11" s="290">
        <v>0</v>
      </c>
      <c r="J11" s="205">
        <f t="shared" si="0"/>
        <v>0</v>
      </c>
      <c r="K11" s="290">
        <v>0</v>
      </c>
      <c r="L11" s="205">
        <f>F11*K11</f>
        <v>0</v>
      </c>
      <c r="M11" s="290">
        <v>0</v>
      </c>
      <c r="N11" s="21">
        <v>0</v>
      </c>
      <c r="O11" s="290">
        <v>0</v>
      </c>
      <c r="P11" s="21">
        <v>0</v>
      </c>
      <c r="Q11" s="290">
        <v>0</v>
      </c>
      <c r="R11" s="205">
        <f t="shared" si="3"/>
        <v>0</v>
      </c>
      <c r="S11" s="39">
        <f t="shared" si="7"/>
        <v>39</v>
      </c>
      <c r="T11" s="38">
        <f t="shared" si="4"/>
        <v>10.4832</v>
      </c>
      <c r="U11" s="290">
        <v>0</v>
      </c>
      <c r="V11" s="13">
        <f t="shared" si="8"/>
        <v>0</v>
      </c>
      <c r="W11" s="294">
        <f t="shared" si="9"/>
        <v>39</v>
      </c>
      <c r="X11" s="295">
        <f t="shared" si="10"/>
        <v>10.4832</v>
      </c>
      <c r="Y11" s="238">
        <v>50</v>
      </c>
      <c r="Z11" s="101">
        <v>100</v>
      </c>
    </row>
    <row r="12" spans="1:26" x14ac:dyDescent="0.25">
      <c r="A12" s="264">
        <v>8</v>
      </c>
      <c r="B12" s="256" t="s">
        <v>217</v>
      </c>
      <c r="C12" s="34">
        <v>75</v>
      </c>
      <c r="D12" s="35">
        <v>54</v>
      </c>
      <c r="E12" s="35">
        <v>5</v>
      </c>
      <c r="F12" s="19">
        <f t="shared" si="5"/>
        <v>2.0250000000000001E-2</v>
      </c>
      <c r="G12" s="286">
        <v>100</v>
      </c>
      <c r="H12" s="288">
        <f t="shared" si="6"/>
        <v>2.0249999999999999</v>
      </c>
      <c r="I12" s="290">
        <v>0</v>
      </c>
      <c r="J12" s="205">
        <f t="shared" si="0"/>
        <v>0</v>
      </c>
      <c r="K12" s="290">
        <v>0</v>
      </c>
      <c r="L12" s="205">
        <f>F12*K12</f>
        <v>0</v>
      </c>
      <c r="M12" s="290">
        <v>0</v>
      </c>
      <c r="N12" s="205">
        <f>F12*M12</f>
        <v>0</v>
      </c>
      <c r="O12" s="290">
        <v>0</v>
      </c>
      <c r="P12" s="205">
        <f>F12*O12</f>
        <v>0</v>
      </c>
      <c r="Q12" s="290">
        <v>0</v>
      </c>
      <c r="R12" s="21">
        <v>0</v>
      </c>
      <c r="S12" s="39">
        <f t="shared" si="7"/>
        <v>100</v>
      </c>
      <c r="T12" s="38">
        <f t="shared" si="4"/>
        <v>2.0249999999999999</v>
      </c>
      <c r="U12" s="290">
        <v>72</v>
      </c>
      <c r="V12" s="13">
        <f t="shared" si="8"/>
        <v>1.458</v>
      </c>
      <c r="W12" s="294">
        <f t="shared" si="9"/>
        <v>172</v>
      </c>
      <c r="X12" s="295">
        <f t="shared" si="10"/>
        <v>3.4830000000000001</v>
      </c>
      <c r="Y12" s="238">
        <v>50</v>
      </c>
      <c r="Z12" s="101">
        <v>100</v>
      </c>
    </row>
    <row r="13" spans="1:26" x14ac:dyDescent="0.25">
      <c r="A13" s="264">
        <v>9</v>
      </c>
      <c r="B13" s="256" t="s">
        <v>142</v>
      </c>
      <c r="C13" s="34">
        <v>140</v>
      </c>
      <c r="D13" s="35">
        <v>240</v>
      </c>
      <c r="E13" s="35">
        <v>5</v>
      </c>
      <c r="F13" s="19">
        <f t="shared" si="5"/>
        <v>0.16800000000000001</v>
      </c>
      <c r="G13" s="286">
        <v>97</v>
      </c>
      <c r="H13" s="288">
        <f t="shared" si="6"/>
        <v>16.295999999999999</v>
      </c>
      <c r="I13" s="290">
        <v>1</v>
      </c>
      <c r="J13" s="205">
        <f t="shared" si="0"/>
        <v>0.16800000000000001</v>
      </c>
      <c r="K13" s="290">
        <v>6</v>
      </c>
      <c r="L13" s="205">
        <f>F13*K13</f>
        <v>1.008</v>
      </c>
      <c r="M13" s="290">
        <v>0</v>
      </c>
      <c r="N13" s="205">
        <f>F13*M13</f>
        <v>0</v>
      </c>
      <c r="O13" s="290">
        <v>0</v>
      </c>
      <c r="P13" s="205">
        <f>F13*O13</f>
        <v>0</v>
      </c>
      <c r="Q13" s="290">
        <v>0</v>
      </c>
      <c r="R13" s="205">
        <f>F13*Q13</f>
        <v>0</v>
      </c>
      <c r="S13" s="39">
        <f t="shared" si="7"/>
        <v>90</v>
      </c>
      <c r="T13" s="38">
        <f t="shared" si="4"/>
        <v>15.120000000000001</v>
      </c>
      <c r="U13" s="290">
        <v>0</v>
      </c>
      <c r="V13" s="13">
        <f t="shared" si="8"/>
        <v>0</v>
      </c>
      <c r="W13" s="294">
        <f t="shared" si="9"/>
        <v>90</v>
      </c>
      <c r="X13" s="295">
        <f t="shared" si="10"/>
        <v>15.120000000000001</v>
      </c>
      <c r="Y13" s="238">
        <v>100</v>
      </c>
      <c r="Z13" s="101">
        <v>300</v>
      </c>
    </row>
    <row r="14" spans="1:26" x14ac:dyDescent="0.25">
      <c r="A14" s="264">
        <v>10</v>
      </c>
      <c r="B14" s="256" t="s">
        <v>143</v>
      </c>
      <c r="C14" s="34">
        <v>90</v>
      </c>
      <c r="D14" s="35">
        <v>85</v>
      </c>
      <c r="E14" s="35">
        <v>5</v>
      </c>
      <c r="F14" s="19">
        <f t="shared" si="5"/>
        <v>3.8249999999999999E-2</v>
      </c>
      <c r="G14" s="286">
        <v>0</v>
      </c>
      <c r="H14" s="288">
        <f t="shared" si="6"/>
        <v>0</v>
      </c>
      <c r="I14" s="290">
        <v>0</v>
      </c>
      <c r="J14" s="205">
        <f t="shared" si="0"/>
        <v>0</v>
      </c>
      <c r="K14" s="290">
        <v>0</v>
      </c>
      <c r="L14" s="205">
        <f t="shared" ref="L14:L20" si="12">F14*K14</f>
        <v>0</v>
      </c>
      <c r="M14" s="290">
        <v>0</v>
      </c>
      <c r="N14" s="205">
        <f>F14*M14</f>
        <v>0</v>
      </c>
      <c r="O14" s="290">
        <v>0</v>
      </c>
      <c r="P14" s="205">
        <f t="shared" si="0"/>
        <v>0</v>
      </c>
      <c r="Q14" s="290">
        <v>0</v>
      </c>
      <c r="R14" s="205">
        <f t="shared" si="0"/>
        <v>0</v>
      </c>
      <c r="S14" s="39">
        <f t="shared" si="7"/>
        <v>0</v>
      </c>
      <c r="T14" s="38">
        <f t="shared" si="4"/>
        <v>0</v>
      </c>
      <c r="U14" s="290">
        <v>0</v>
      </c>
      <c r="V14" s="13">
        <f t="shared" si="8"/>
        <v>0</v>
      </c>
      <c r="W14" s="294">
        <f t="shared" si="9"/>
        <v>0</v>
      </c>
      <c r="X14" s="295">
        <f t="shared" si="10"/>
        <v>0</v>
      </c>
      <c r="Y14" s="238">
        <v>50</v>
      </c>
      <c r="Z14" s="101">
        <v>100</v>
      </c>
    </row>
    <row r="15" spans="1:26" x14ac:dyDescent="0.25">
      <c r="A15" s="264">
        <v>11</v>
      </c>
      <c r="B15" s="256" t="s">
        <v>144</v>
      </c>
      <c r="C15" s="34">
        <v>140</v>
      </c>
      <c r="D15" s="35">
        <v>240</v>
      </c>
      <c r="E15" s="35">
        <v>5</v>
      </c>
      <c r="F15" s="19">
        <f t="shared" si="5"/>
        <v>0.16800000000000001</v>
      </c>
      <c r="G15" s="286">
        <v>132</v>
      </c>
      <c r="H15" s="288">
        <f t="shared" si="6"/>
        <v>22.176000000000002</v>
      </c>
      <c r="I15" s="290">
        <v>3</v>
      </c>
      <c r="J15" s="205">
        <f t="shared" si="0"/>
        <v>0.504</v>
      </c>
      <c r="K15" s="290">
        <v>4</v>
      </c>
      <c r="L15" s="205">
        <f t="shared" si="12"/>
        <v>0.67200000000000004</v>
      </c>
      <c r="M15" s="290">
        <v>7</v>
      </c>
      <c r="N15" s="205">
        <f t="shared" ref="N15:N37" si="13">F15*M15</f>
        <v>1.1760000000000002</v>
      </c>
      <c r="O15" s="290">
        <v>1</v>
      </c>
      <c r="P15" s="205">
        <f t="shared" ref="P15:P36" si="14">F15*O15</f>
        <v>0.16800000000000001</v>
      </c>
      <c r="Q15" s="290">
        <v>0</v>
      </c>
      <c r="R15" s="205">
        <f t="shared" ref="R15:R20" si="15">F15*Q15</f>
        <v>0</v>
      </c>
      <c r="S15" s="39">
        <f t="shared" si="7"/>
        <v>117</v>
      </c>
      <c r="T15" s="38">
        <f t="shared" si="4"/>
        <v>19.656000000000002</v>
      </c>
      <c r="U15" s="290">
        <v>0</v>
      </c>
      <c r="V15" s="13">
        <f t="shared" si="8"/>
        <v>0</v>
      </c>
      <c r="W15" s="294">
        <f t="shared" si="9"/>
        <v>117</v>
      </c>
      <c r="X15" s="295">
        <f t="shared" si="10"/>
        <v>19.656000000000002</v>
      </c>
      <c r="Y15" s="238">
        <v>200</v>
      </c>
      <c r="Z15" s="101">
        <v>400</v>
      </c>
    </row>
    <row r="16" spans="1:26" x14ac:dyDescent="0.25">
      <c r="A16" s="264">
        <v>12</v>
      </c>
      <c r="B16" s="256" t="s">
        <v>145</v>
      </c>
      <c r="C16" s="34">
        <v>140</v>
      </c>
      <c r="D16" s="35">
        <v>240</v>
      </c>
      <c r="E16" s="35">
        <v>5</v>
      </c>
      <c r="F16" s="19">
        <f t="shared" si="5"/>
        <v>0.16800000000000001</v>
      </c>
      <c r="G16" s="286">
        <v>125</v>
      </c>
      <c r="H16" s="288">
        <f t="shared" si="6"/>
        <v>21</v>
      </c>
      <c r="I16" s="290">
        <v>5</v>
      </c>
      <c r="J16" s="205">
        <f t="shared" si="0"/>
        <v>0.84000000000000008</v>
      </c>
      <c r="K16" s="290">
        <v>7</v>
      </c>
      <c r="L16" s="205">
        <f t="shared" si="12"/>
        <v>1.1760000000000002</v>
      </c>
      <c r="M16" s="290">
        <v>5</v>
      </c>
      <c r="N16" s="205">
        <f t="shared" si="13"/>
        <v>0.84000000000000008</v>
      </c>
      <c r="O16" s="290">
        <v>2</v>
      </c>
      <c r="P16" s="205">
        <f t="shared" si="14"/>
        <v>0.33600000000000002</v>
      </c>
      <c r="Q16" s="290">
        <v>0</v>
      </c>
      <c r="R16" s="205">
        <f t="shared" si="15"/>
        <v>0</v>
      </c>
      <c r="S16" s="39">
        <f t="shared" si="7"/>
        <v>106</v>
      </c>
      <c r="T16" s="38">
        <f t="shared" si="4"/>
        <v>17.808</v>
      </c>
      <c r="U16" s="290">
        <v>0</v>
      </c>
      <c r="V16" s="13">
        <f t="shared" si="8"/>
        <v>0</v>
      </c>
      <c r="W16" s="294">
        <f t="shared" si="9"/>
        <v>106</v>
      </c>
      <c r="X16" s="295">
        <f t="shared" si="10"/>
        <v>17.808</v>
      </c>
      <c r="Y16" s="238">
        <v>100</v>
      </c>
      <c r="Z16" s="101">
        <v>300</v>
      </c>
    </row>
    <row r="17" spans="1:26" x14ac:dyDescent="0.25">
      <c r="A17" s="264">
        <v>13</v>
      </c>
      <c r="B17" s="256" t="s">
        <v>146</v>
      </c>
      <c r="C17" s="34">
        <v>140</v>
      </c>
      <c r="D17" s="35">
        <v>240</v>
      </c>
      <c r="E17" s="35">
        <v>8</v>
      </c>
      <c r="F17" s="19">
        <f t="shared" si="5"/>
        <v>0.26879999999999998</v>
      </c>
      <c r="G17" s="286">
        <v>120</v>
      </c>
      <c r="H17" s="288">
        <f t="shared" si="6"/>
        <v>32.256</v>
      </c>
      <c r="I17" s="290">
        <v>0</v>
      </c>
      <c r="J17" s="205">
        <f t="shared" si="0"/>
        <v>0</v>
      </c>
      <c r="K17" s="290">
        <v>0</v>
      </c>
      <c r="L17" s="205">
        <f t="shared" si="12"/>
        <v>0</v>
      </c>
      <c r="M17" s="290">
        <v>0</v>
      </c>
      <c r="N17" s="205">
        <f t="shared" si="13"/>
        <v>0</v>
      </c>
      <c r="O17" s="290">
        <v>0</v>
      </c>
      <c r="P17" s="205">
        <f t="shared" si="14"/>
        <v>0</v>
      </c>
      <c r="Q17" s="290">
        <v>0</v>
      </c>
      <c r="R17" s="205">
        <f t="shared" si="15"/>
        <v>0</v>
      </c>
      <c r="S17" s="39">
        <f t="shared" si="7"/>
        <v>120</v>
      </c>
      <c r="T17" s="38">
        <f t="shared" si="4"/>
        <v>32.256</v>
      </c>
      <c r="U17" s="290">
        <v>0</v>
      </c>
      <c r="V17" s="13">
        <f t="shared" si="8"/>
        <v>0</v>
      </c>
      <c r="W17" s="294">
        <f t="shared" si="9"/>
        <v>120</v>
      </c>
      <c r="X17" s="295">
        <f t="shared" si="10"/>
        <v>32.256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147</v>
      </c>
      <c r="C18" s="34">
        <v>77</v>
      </c>
      <c r="D18" s="35">
        <v>86</v>
      </c>
      <c r="E18" s="35">
        <v>8</v>
      </c>
      <c r="F18" s="19">
        <f t="shared" si="5"/>
        <v>5.2976000000000002E-2</v>
      </c>
      <c r="G18" s="286">
        <v>442</v>
      </c>
      <c r="H18" s="288">
        <f t="shared" si="6"/>
        <v>23.415392000000001</v>
      </c>
      <c r="I18" s="290">
        <v>10</v>
      </c>
      <c r="J18" s="205">
        <f t="shared" si="0"/>
        <v>0.52976000000000001</v>
      </c>
      <c r="K18" s="290">
        <v>0</v>
      </c>
      <c r="L18" s="205">
        <f t="shared" si="12"/>
        <v>0</v>
      </c>
      <c r="M18" s="290">
        <v>0</v>
      </c>
      <c r="N18" s="205">
        <f t="shared" si="13"/>
        <v>0</v>
      </c>
      <c r="O18" s="290">
        <v>40</v>
      </c>
      <c r="P18" s="205">
        <f t="shared" si="14"/>
        <v>2.11904</v>
      </c>
      <c r="Q18" s="290">
        <v>0</v>
      </c>
      <c r="R18" s="205">
        <f t="shared" si="15"/>
        <v>0</v>
      </c>
      <c r="S18" s="39">
        <f t="shared" si="7"/>
        <v>392</v>
      </c>
      <c r="T18" s="38">
        <f t="shared" si="4"/>
        <v>20.766591999999999</v>
      </c>
      <c r="U18" s="290">
        <v>0</v>
      </c>
      <c r="V18" s="13">
        <f t="shared" si="8"/>
        <v>0</v>
      </c>
      <c r="W18" s="294">
        <f t="shared" si="9"/>
        <v>392</v>
      </c>
      <c r="X18" s="295">
        <f t="shared" si="10"/>
        <v>20.766591999999999</v>
      </c>
      <c r="Y18" s="238">
        <v>100</v>
      </c>
      <c r="Z18" s="101">
        <v>300</v>
      </c>
    </row>
    <row r="19" spans="1:26" x14ac:dyDescent="0.25">
      <c r="A19" s="264">
        <v>15</v>
      </c>
      <c r="B19" s="256" t="s">
        <v>148</v>
      </c>
      <c r="C19" s="34">
        <v>77</v>
      </c>
      <c r="D19" s="35">
        <v>68</v>
      </c>
      <c r="E19" s="35">
        <v>8</v>
      </c>
      <c r="F19" s="19">
        <f t="shared" si="5"/>
        <v>4.1888000000000002E-2</v>
      </c>
      <c r="G19" s="286">
        <v>430</v>
      </c>
      <c r="H19" s="288">
        <f t="shared" si="6"/>
        <v>18.011839999999999</v>
      </c>
      <c r="I19" s="290">
        <v>3</v>
      </c>
      <c r="J19" s="205">
        <f t="shared" si="0"/>
        <v>0.125664</v>
      </c>
      <c r="K19" s="290">
        <v>0</v>
      </c>
      <c r="L19" s="205">
        <f t="shared" si="12"/>
        <v>0</v>
      </c>
      <c r="M19" s="290">
        <v>0</v>
      </c>
      <c r="N19" s="205">
        <f t="shared" si="13"/>
        <v>0</v>
      </c>
      <c r="O19" s="290">
        <v>40</v>
      </c>
      <c r="P19" s="205">
        <f t="shared" si="14"/>
        <v>1.6755200000000001</v>
      </c>
      <c r="Q19" s="290">
        <v>0</v>
      </c>
      <c r="R19" s="205">
        <f t="shared" si="15"/>
        <v>0</v>
      </c>
      <c r="S19" s="39">
        <f t="shared" si="7"/>
        <v>387</v>
      </c>
      <c r="T19" s="38">
        <f t="shared" si="4"/>
        <v>16.210656</v>
      </c>
      <c r="U19" s="290">
        <v>0</v>
      </c>
      <c r="V19" s="13">
        <f t="shared" si="8"/>
        <v>0</v>
      </c>
      <c r="W19" s="294">
        <f t="shared" si="9"/>
        <v>387</v>
      </c>
      <c r="X19" s="295">
        <f t="shared" si="10"/>
        <v>16.210656</v>
      </c>
      <c r="Y19" s="238">
        <v>100</v>
      </c>
      <c r="Z19" s="101">
        <v>300</v>
      </c>
    </row>
    <row r="20" spans="1:26" x14ac:dyDescent="0.25">
      <c r="A20" s="264">
        <v>16</v>
      </c>
      <c r="B20" s="256" t="s">
        <v>149</v>
      </c>
      <c r="C20" s="34">
        <v>76</v>
      </c>
      <c r="D20" s="35">
        <v>75</v>
      </c>
      <c r="E20" s="35">
        <v>8</v>
      </c>
      <c r="F20" s="19">
        <f t="shared" si="5"/>
        <v>4.5600000000000002E-2</v>
      </c>
      <c r="G20" s="286">
        <v>1088</v>
      </c>
      <c r="H20" s="288">
        <f t="shared" si="6"/>
        <v>49.6128</v>
      </c>
      <c r="I20" s="290">
        <v>6</v>
      </c>
      <c r="J20" s="205">
        <f t="shared" si="0"/>
        <v>0.27360000000000001</v>
      </c>
      <c r="K20" s="290">
        <v>0</v>
      </c>
      <c r="L20" s="205">
        <f t="shared" si="12"/>
        <v>0</v>
      </c>
      <c r="M20" s="290">
        <v>0</v>
      </c>
      <c r="N20" s="205">
        <f t="shared" si="13"/>
        <v>0</v>
      </c>
      <c r="O20" s="290">
        <v>40</v>
      </c>
      <c r="P20" s="205">
        <f t="shared" si="14"/>
        <v>1.8240000000000001</v>
      </c>
      <c r="Q20" s="290">
        <v>0</v>
      </c>
      <c r="R20" s="205">
        <f t="shared" si="15"/>
        <v>0</v>
      </c>
      <c r="S20" s="39">
        <f t="shared" si="7"/>
        <v>1042</v>
      </c>
      <c r="T20" s="38">
        <f t="shared" si="4"/>
        <v>47.5152</v>
      </c>
      <c r="U20" s="290">
        <v>0</v>
      </c>
      <c r="V20" s="13">
        <f t="shared" si="8"/>
        <v>0</v>
      </c>
      <c r="W20" s="294">
        <f t="shared" si="9"/>
        <v>1042</v>
      </c>
      <c r="X20" s="295">
        <f t="shared" si="10"/>
        <v>47.5152</v>
      </c>
      <c r="Y20" s="238">
        <v>100</v>
      </c>
      <c r="Z20" s="101">
        <v>300</v>
      </c>
    </row>
    <row r="21" spans="1:26" x14ac:dyDescent="0.25">
      <c r="A21" s="264">
        <v>17</v>
      </c>
      <c r="B21" s="256" t="s">
        <v>150</v>
      </c>
      <c r="C21" s="34">
        <v>60</v>
      </c>
      <c r="D21" s="35">
        <v>63</v>
      </c>
      <c r="E21" s="35">
        <v>10</v>
      </c>
      <c r="F21" s="19">
        <f t="shared" si="5"/>
        <v>3.78E-2</v>
      </c>
      <c r="G21" s="286">
        <v>497</v>
      </c>
      <c r="H21" s="288">
        <f t="shared" si="6"/>
        <v>18.7866</v>
      </c>
      <c r="I21" s="290">
        <v>0</v>
      </c>
      <c r="J21" s="205">
        <f t="shared" si="0"/>
        <v>0</v>
      </c>
      <c r="K21" s="290">
        <v>0</v>
      </c>
      <c r="L21" s="205">
        <f t="shared" si="0"/>
        <v>0</v>
      </c>
      <c r="M21" s="290">
        <v>0</v>
      </c>
      <c r="N21" s="21">
        <v>0</v>
      </c>
      <c r="O21" s="290">
        <v>0</v>
      </c>
      <c r="P21" s="205">
        <f t="shared" si="14"/>
        <v>0</v>
      </c>
      <c r="Q21" s="290">
        <v>0</v>
      </c>
      <c r="R21" s="21">
        <v>0</v>
      </c>
      <c r="S21" s="39">
        <f t="shared" si="7"/>
        <v>497</v>
      </c>
      <c r="T21" s="38">
        <f t="shared" si="4"/>
        <v>18.7866</v>
      </c>
      <c r="U21" s="290">
        <v>0</v>
      </c>
      <c r="V21" s="13">
        <f t="shared" si="8"/>
        <v>0</v>
      </c>
      <c r="W21" s="294">
        <f t="shared" si="9"/>
        <v>497</v>
      </c>
      <c r="X21" s="295">
        <f t="shared" si="10"/>
        <v>18.7866</v>
      </c>
      <c r="Y21" s="238">
        <v>50</v>
      </c>
      <c r="Z21" s="101">
        <v>200</v>
      </c>
    </row>
    <row r="22" spans="1:26" x14ac:dyDescent="0.25">
      <c r="A22" s="264">
        <v>18</v>
      </c>
      <c r="B22" s="256" t="s">
        <v>151</v>
      </c>
      <c r="C22" s="34">
        <v>63</v>
      </c>
      <c r="D22" s="35">
        <v>60</v>
      </c>
      <c r="E22" s="35">
        <v>3</v>
      </c>
      <c r="F22" s="19">
        <f t="shared" si="5"/>
        <v>1.1339999999999999E-2</v>
      </c>
      <c r="G22" s="286">
        <v>114</v>
      </c>
      <c r="H22" s="288">
        <f t="shared" si="6"/>
        <v>1.2927599999999999</v>
      </c>
      <c r="I22" s="290">
        <v>0</v>
      </c>
      <c r="J22" s="205">
        <f t="shared" si="0"/>
        <v>0</v>
      </c>
      <c r="K22" s="290">
        <v>0</v>
      </c>
      <c r="L22" s="205">
        <f>F22*K22</f>
        <v>0</v>
      </c>
      <c r="M22" s="290">
        <v>0</v>
      </c>
      <c r="N22" s="205">
        <f t="shared" si="13"/>
        <v>0</v>
      </c>
      <c r="O22" s="290">
        <v>0</v>
      </c>
      <c r="P22" s="205">
        <f t="shared" si="14"/>
        <v>0</v>
      </c>
      <c r="Q22" s="290">
        <v>0</v>
      </c>
      <c r="R22" s="21">
        <v>0</v>
      </c>
      <c r="S22" s="39">
        <f t="shared" si="7"/>
        <v>114</v>
      </c>
      <c r="T22" s="38">
        <f t="shared" si="4"/>
        <v>1.2927599999999999</v>
      </c>
      <c r="U22" s="290">
        <v>125</v>
      </c>
      <c r="V22" s="13">
        <f t="shared" si="8"/>
        <v>1.4175</v>
      </c>
      <c r="W22" s="294">
        <f t="shared" si="9"/>
        <v>239</v>
      </c>
      <c r="X22" s="295">
        <f t="shared" si="10"/>
        <v>2.7102599999999999</v>
      </c>
      <c r="Y22" s="238">
        <v>50</v>
      </c>
      <c r="Z22" s="101">
        <v>200</v>
      </c>
    </row>
    <row r="23" spans="1:26" x14ac:dyDescent="0.25">
      <c r="A23" s="264">
        <v>19</v>
      </c>
      <c r="B23" s="42" t="s">
        <v>152</v>
      </c>
      <c r="C23" s="34">
        <v>140</v>
      </c>
      <c r="D23" s="35">
        <v>240</v>
      </c>
      <c r="E23" s="35">
        <v>1.4</v>
      </c>
      <c r="F23" s="19">
        <f t="shared" si="5"/>
        <v>4.7039999999999998E-2</v>
      </c>
      <c r="G23" s="286">
        <v>256</v>
      </c>
      <c r="H23" s="288">
        <f t="shared" si="6"/>
        <v>12.04224</v>
      </c>
      <c r="I23" s="290">
        <v>62</v>
      </c>
      <c r="J23" s="205">
        <f t="shared" si="0"/>
        <v>2.91648</v>
      </c>
      <c r="K23" s="290">
        <v>41</v>
      </c>
      <c r="L23" s="205">
        <f t="shared" ref="L23:L36" si="16">F23*K23</f>
        <v>1.9286399999999999</v>
      </c>
      <c r="M23" s="290">
        <v>72</v>
      </c>
      <c r="N23" s="205">
        <f t="shared" si="13"/>
        <v>3.3868799999999997</v>
      </c>
      <c r="O23" s="290">
        <v>66</v>
      </c>
      <c r="P23" s="205">
        <f t="shared" si="14"/>
        <v>3.1046399999999998</v>
      </c>
      <c r="Q23" s="290">
        <v>0</v>
      </c>
      <c r="R23" s="205">
        <f t="shared" ref="R23:R37" si="17">F23*Q23</f>
        <v>0</v>
      </c>
      <c r="S23" s="39">
        <f t="shared" si="7"/>
        <v>15</v>
      </c>
      <c r="T23" s="38">
        <f t="shared" si="4"/>
        <v>0.7056</v>
      </c>
      <c r="U23" s="290">
        <v>330</v>
      </c>
      <c r="V23" s="13">
        <f t="shared" si="8"/>
        <v>15.523199999999999</v>
      </c>
      <c r="W23" s="294">
        <f t="shared" si="9"/>
        <v>345</v>
      </c>
      <c r="X23" s="295">
        <f t="shared" si="10"/>
        <v>16.2288</v>
      </c>
      <c r="Y23" s="238">
        <v>200</v>
      </c>
      <c r="Z23" s="101">
        <v>500</v>
      </c>
    </row>
    <row r="24" spans="1:26" x14ac:dyDescent="0.25">
      <c r="A24" s="264">
        <v>20</v>
      </c>
      <c r="B24" s="256" t="s">
        <v>3</v>
      </c>
      <c r="C24" s="34">
        <v>140</v>
      </c>
      <c r="D24" s="35">
        <v>240</v>
      </c>
      <c r="E24" s="35">
        <v>0.8</v>
      </c>
      <c r="F24" s="19">
        <f t="shared" si="5"/>
        <v>2.6880000000000001E-2</v>
      </c>
      <c r="G24" s="286">
        <v>256</v>
      </c>
      <c r="H24" s="288">
        <f t="shared" si="6"/>
        <v>6.8812800000000003</v>
      </c>
      <c r="I24" s="290">
        <v>29</v>
      </c>
      <c r="J24" s="205">
        <f t="shared" si="0"/>
        <v>0.77951999999999999</v>
      </c>
      <c r="K24" s="290">
        <v>14</v>
      </c>
      <c r="L24" s="205">
        <f t="shared" si="16"/>
        <v>0.37631999999999999</v>
      </c>
      <c r="M24" s="290">
        <v>4</v>
      </c>
      <c r="N24" s="205">
        <f t="shared" si="13"/>
        <v>0.10752</v>
      </c>
      <c r="O24" s="290">
        <v>21</v>
      </c>
      <c r="P24" s="205">
        <f t="shared" si="14"/>
        <v>0.56447999999999998</v>
      </c>
      <c r="Q24" s="290">
        <v>0</v>
      </c>
      <c r="R24" s="205">
        <f t="shared" si="17"/>
        <v>0</v>
      </c>
      <c r="S24" s="39">
        <f t="shared" si="7"/>
        <v>188</v>
      </c>
      <c r="T24" s="38">
        <f t="shared" si="4"/>
        <v>5.0534400000000002</v>
      </c>
      <c r="U24" s="290">
        <v>540</v>
      </c>
      <c r="V24" s="13">
        <f t="shared" si="8"/>
        <v>14.5152</v>
      </c>
      <c r="W24" s="294">
        <f t="shared" si="9"/>
        <v>728</v>
      </c>
      <c r="X24" s="295">
        <f t="shared" si="10"/>
        <v>19.568640000000002</v>
      </c>
      <c r="Y24" s="238">
        <v>100</v>
      </c>
      <c r="Z24" s="101">
        <v>300</v>
      </c>
    </row>
    <row r="25" spans="1:26" x14ac:dyDescent="0.25">
      <c r="A25" s="264">
        <v>21</v>
      </c>
      <c r="B25" s="256" t="s">
        <v>153</v>
      </c>
      <c r="C25" s="34">
        <v>58</v>
      </c>
      <c r="D25" s="35">
        <v>58</v>
      </c>
      <c r="E25" s="35">
        <v>2.2999999999999998</v>
      </c>
      <c r="F25" s="19">
        <f t="shared" si="5"/>
        <v>7.7371999999999996E-3</v>
      </c>
      <c r="G25" s="286">
        <v>1784</v>
      </c>
      <c r="H25" s="288">
        <f t="shared" si="6"/>
        <v>13.803164799999999</v>
      </c>
      <c r="I25" s="290">
        <v>188</v>
      </c>
      <c r="J25" s="205">
        <f t="shared" si="0"/>
        <v>1.4545935999999999</v>
      </c>
      <c r="K25" s="290">
        <v>60</v>
      </c>
      <c r="L25" s="205">
        <f t="shared" si="16"/>
        <v>0.46423199999999998</v>
      </c>
      <c r="M25" s="290">
        <v>460</v>
      </c>
      <c r="N25" s="205">
        <f t="shared" si="13"/>
        <v>3.5591119999999998</v>
      </c>
      <c r="O25" s="290">
        <v>55</v>
      </c>
      <c r="P25" s="205">
        <f t="shared" si="14"/>
        <v>0.42554599999999998</v>
      </c>
      <c r="Q25" s="290">
        <v>0</v>
      </c>
      <c r="R25" s="205">
        <f t="shared" si="17"/>
        <v>0</v>
      </c>
      <c r="S25" s="39">
        <f t="shared" si="7"/>
        <v>1021</v>
      </c>
      <c r="T25" s="38">
        <f t="shared" si="4"/>
        <v>7.8996811999999998</v>
      </c>
      <c r="U25" s="290">
        <v>0</v>
      </c>
      <c r="V25" s="13">
        <f t="shared" si="8"/>
        <v>0</v>
      </c>
      <c r="W25" s="294">
        <f t="shared" si="9"/>
        <v>1021</v>
      </c>
      <c r="X25" s="295">
        <f t="shared" si="10"/>
        <v>7.8996811999999998</v>
      </c>
      <c r="Y25" s="238">
        <v>200</v>
      </c>
      <c r="Z25" s="101">
        <v>750</v>
      </c>
    </row>
    <row r="26" spans="1:26" x14ac:dyDescent="0.25">
      <c r="A26" s="264">
        <v>22</v>
      </c>
      <c r="B26" s="256" t="s">
        <v>154</v>
      </c>
      <c r="C26" s="34">
        <v>140</v>
      </c>
      <c r="D26" s="35">
        <v>240</v>
      </c>
      <c r="E26" s="35">
        <v>7</v>
      </c>
      <c r="F26" s="19">
        <f t="shared" si="5"/>
        <v>0.23519999999999999</v>
      </c>
      <c r="G26" s="286">
        <v>44</v>
      </c>
      <c r="H26" s="288">
        <f t="shared" si="6"/>
        <v>10.348799999999999</v>
      </c>
      <c r="I26" s="290">
        <v>4</v>
      </c>
      <c r="J26" s="205">
        <f t="shared" si="0"/>
        <v>0.94079999999999997</v>
      </c>
      <c r="K26" s="290">
        <v>5</v>
      </c>
      <c r="L26" s="205">
        <f t="shared" si="16"/>
        <v>1.1759999999999999</v>
      </c>
      <c r="M26" s="290">
        <v>7</v>
      </c>
      <c r="N26" s="205">
        <f t="shared" si="13"/>
        <v>1.6463999999999999</v>
      </c>
      <c r="O26" s="290">
        <v>7</v>
      </c>
      <c r="P26" s="205">
        <f t="shared" si="14"/>
        <v>1.6463999999999999</v>
      </c>
      <c r="Q26" s="290">
        <v>0</v>
      </c>
      <c r="R26" s="205">
        <f t="shared" si="17"/>
        <v>0</v>
      </c>
      <c r="S26" s="39">
        <f t="shared" si="7"/>
        <v>21</v>
      </c>
      <c r="T26" s="38">
        <f t="shared" si="4"/>
        <v>4.9391999999999996</v>
      </c>
      <c r="U26" s="290">
        <v>50</v>
      </c>
      <c r="V26" s="13">
        <f t="shared" si="8"/>
        <v>11.76</v>
      </c>
      <c r="W26" s="294">
        <f t="shared" si="9"/>
        <v>71</v>
      </c>
      <c r="X26" s="295">
        <f t="shared" si="10"/>
        <v>16.699200000000001</v>
      </c>
      <c r="Y26" s="238">
        <v>50</v>
      </c>
      <c r="Z26" s="101">
        <v>200</v>
      </c>
    </row>
    <row r="27" spans="1:26" ht="15.75" x14ac:dyDescent="0.25">
      <c r="A27" s="264">
        <v>23</v>
      </c>
      <c r="B27" s="256" t="s">
        <v>55</v>
      </c>
      <c r="C27" s="111">
        <v>50</v>
      </c>
      <c r="D27" s="112">
        <v>45</v>
      </c>
      <c r="E27" s="112">
        <v>4</v>
      </c>
      <c r="F27" s="19">
        <f t="shared" si="5"/>
        <v>8.9999999999999993E-3</v>
      </c>
      <c r="G27" s="286">
        <v>1870</v>
      </c>
      <c r="H27" s="288">
        <f t="shared" si="6"/>
        <v>16.829999999999998</v>
      </c>
      <c r="I27" s="290">
        <v>0</v>
      </c>
      <c r="J27" s="205">
        <f t="shared" si="0"/>
        <v>0</v>
      </c>
      <c r="K27" s="290">
        <v>0</v>
      </c>
      <c r="L27" s="205">
        <f t="shared" si="16"/>
        <v>0</v>
      </c>
      <c r="M27" s="290">
        <v>0</v>
      </c>
      <c r="N27" s="205">
        <f t="shared" si="13"/>
        <v>0</v>
      </c>
      <c r="O27" s="290">
        <v>0</v>
      </c>
      <c r="P27" s="205">
        <f t="shared" si="14"/>
        <v>0</v>
      </c>
      <c r="Q27" s="290">
        <v>0</v>
      </c>
      <c r="R27" s="205">
        <f t="shared" si="17"/>
        <v>0</v>
      </c>
      <c r="S27" s="39">
        <f t="shared" si="7"/>
        <v>1870</v>
      </c>
      <c r="T27" s="38">
        <f t="shared" si="4"/>
        <v>16.829999999999998</v>
      </c>
      <c r="U27" s="290">
        <v>0</v>
      </c>
      <c r="V27" s="13">
        <f t="shared" si="8"/>
        <v>0</v>
      </c>
      <c r="W27" s="294">
        <f t="shared" si="9"/>
        <v>1870</v>
      </c>
      <c r="X27" s="295">
        <f t="shared" si="10"/>
        <v>16.829999999999998</v>
      </c>
      <c r="Y27" s="238">
        <v>300</v>
      </c>
      <c r="Z27" s="101">
        <v>1000</v>
      </c>
    </row>
    <row r="28" spans="1:26" ht="15.75" x14ac:dyDescent="0.25">
      <c r="A28" s="264">
        <v>24</v>
      </c>
      <c r="B28" s="256" t="s">
        <v>56</v>
      </c>
      <c r="C28" s="111">
        <v>50</v>
      </c>
      <c r="D28" s="112">
        <v>35</v>
      </c>
      <c r="E28" s="112">
        <v>4</v>
      </c>
      <c r="F28" s="19">
        <f t="shared" si="5"/>
        <v>7.0000000000000001E-3</v>
      </c>
      <c r="G28" s="286">
        <v>0</v>
      </c>
      <c r="H28" s="288">
        <f t="shared" si="6"/>
        <v>0</v>
      </c>
      <c r="I28" s="290">
        <v>0</v>
      </c>
      <c r="J28" s="205">
        <f t="shared" si="0"/>
        <v>0</v>
      </c>
      <c r="K28" s="290">
        <v>0</v>
      </c>
      <c r="L28" s="205">
        <f t="shared" si="16"/>
        <v>0</v>
      </c>
      <c r="M28" s="290">
        <v>0</v>
      </c>
      <c r="N28" s="205">
        <f t="shared" si="13"/>
        <v>0</v>
      </c>
      <c r="O28" s="290">
        <v>0</v>
      </c>
      <c r="P28" s="205">
        <f t="shared" si="14"/>
        <v>0</v>
      </c>
      <c r="Q28" s="290">
        <v>0</v>
      </c>
      <c r="R28" s="205">
        <f t="shared" si="17"/>
        <v>0</v>
      </c>
      <c r="S28" s="39">
        <f t="shared" si="7"/>
        <v>0</v>
      </c>
      <c r="T28" s="38">
        <f t="shared" si="4"/>
        <v>0</v>
      </c>
      <c r="U28" s="290">
        <v>0</v>
      </c>
      <c r="V28" s="13">
        <f t="shared" si="8"/>
        <v>0</v>
      </c>
      <c r="W28" s="294">
        <f t="shared" si="9"/>
        <v>0</v>
      </c>
      <c r="X28" s="295">
        <f t="shared" si="10"/>
        <v>0</v>
      </c>
      <c r="Y28" s="238">
        <v>300</v>
      </c>
      <c r="Z28" s="101">
        <v>1000</v>
      </c>
    </row>
    <row r="29" spans="1:26" ht="15.75" x14ac:dyDescent="0.25">
      <c r="A29" s="264">
        <v>25</v>
      </c>
      <c r="B29" s="256" t="s">
        <v>57</v>
      </c>
      <c r="C29" s="111">
        <v>45</v>
      </c>
      <c r="D29" s="112">
        <v>44</v>
      </c>
      <c r="E29" s="112">
        <v>3</v>
      </c>
      <c r="F29" s="19">
        <f t="shared" si="5"/>
        <v>5.94E-3</v>
      </c>
      <c r="G29" s="286">
        <v>31</v>
      </c>
      <c r="H29" s="288">
        <f t="shared" si="6"/>
        <v>0.18414</v>
      </c>
      <c r="I29" s="290">
        <v>30</v>
      </c>
      <c r="J29" s="205">
        <f t="shared" si="0"/>
        <v>0.1782</v>
      </c>
      <c r="K29" s="290">
        <v>0</v>
      </c>
      <c r="L29" s="205">
        <f t="shared" si="16"/>
        <v>0</v>
      </c>
      <c r="M29" s="290">
        <v>0</v>
      </c>
      <c r="N29" s="205">
        <f t="shared" si="13"/>
        <v>0</v>
      </c>
      <c r="O29" s="290">
        <v>0</v>
      </c>
      <c r="P29" s="205">
        <f t="shared" si="14"/>
        <v>0</v>
      </c>
      <c r="Q29" s="290">
        <v>0</v>
      </c>
      <c r="R29" s="205">
        <f t="shared" si="17"/>
        <v>0</v>
      </c>
      <c r="S29" s="39">
        <f t="shared" si="7"/>
        <v>1</v>
      </c>
      <c r="T29" s="38">
        <f t="shared" si="4"/>
        <v>5.94E-3</v>
      </c>
      <c r="U29" s="290">
        <v>0</v>
      </c>
      <c r="V29" s="13">
        <f t="shared" si="8"/>
        <v>0</v>
      </c>
      <c r="W29" s="294">
        <f t="shared" si="9"/>
        <v>1</v>
      </c>
      <c r="X29" s="295">
        <f t="shared" si="10"/>
        <v>5.94E-3</v>
      </c>
      <c r="Y29" s="238">
        <v>500</v>
      </c>
      <c r="Z29" s="101">
        <v>1500</v>
      </c>
    </row>
    <row r="30" spans="1:26" ht="15.75" x14ac:dyDescent="0.25">
      <c r="A30" s="264">
        <v>26</v>
      </c>
      <c r="B30" s="256" t="s">
        <v>58</v>
      </c>
      <c r="C30" s="111">
        <v>45</v>
      </c>
      <c r="D30" s="112">
        <v>35.5</v>
      </c>
      <c r="E30" s="112">
        <v>3</v>
      </c>
      <c r="F30" s="19">
        <f t="shared" si="5"/>
        <v>4.7924999999999999E-3</v>
      </c>
      <c r="G30" s="286">
        <v>732</v>
      </c>
      <c r="H30" s="288">
        <f t="shared" si="6"/>
        <v>3.5081099999999998</v>
      </c>
      <c r="I30" s="290">
        <v>80</v>
      </c>
      <c r="J30" s="205">
        <f t="shared" si="0"/>
        <v>0.38339999999999996</v>
      </c>
      <c r="K30" s="290">
        <v>0</v>
      </c>
      <c r="L30" s="205">
        <f t="shared" si="16"/>
        <v>0</v>
      </c>
      <c r="M30" s="290">
        <v>0</v>
      </c>
      <c r="N30" s="205">
        <f t="shared" si="13"/>
        <v>0</v>
      </c>
      <c r="O30" s="290">
        <v>0</v>
      </c>
      <c r="P30" s="205">
        <f t="shared" si="14"/>
        <v>0</v>
      </c>
      <c r="Q30" s="290">
        <v>0</v>
      </c>
      <c r="R30" s="205">
        <f t="shared" si="17"/>
        <v>0</v>
      </c>
      <c r="S30" s="39">
        <f t="shared" si="7"/>
        <v>652</v>
      </c>
      <c r="T30" s="38">
        <f t="shared" si="4"/>
        <v>3.1247099999999999</v>
      </c>
      <c r="U30" s="290">
        <v>0</v>
      </c>
      <c r="V30" s="13">
        <f t="shared" si="8"/>
        <v>0</v>
      </c>
      <c r="W30" s="294">
        <f t="shared" si="9"/>
        <v>652</v>
      </c>
      <c r="X30" s="295">
        <f t="shared" si="10"/>
        <v>3.1247099999999999</v>
      </c>
      <c r="Y30" s="238">
        <v>500</v>
      </c>
      <c r="Z30" s="101">
        <v>1500</v>
      </c>
    </row>
    <row r="31" spans="1:26" x14ac:dyDescent="0.25">
      <c r="A31" s="264">
        <v>27</v>
      </c>
      <c r="B31" s="256" t="s">
        <v>155</v>
      </c>
      <c r="C31" s="34">
        <v>140</v>
      </c>
      <c r="D31" s="35">
        <v>9.5</v>
      </c>
      <c r="E31" s="35">
        <v>6.5</v>
      </c>
      <c r="F31" s="19">
        <f t="shared" si="5"/>
        <v>8.6449999999999999E-3</v>
      </c>
      <c r="G31" s="286">
        <v>263</v>
      </c>
      <c r="H31" s="288">
        <f t="shared" si="6"/>
        <v>2.2736350000000001</v>
      </c>
      <c r="I31" s="290">
        <v>200</v>
      </c>
      <c r="J31" s="205">
        <f t="shared" si="0"/>
        <v>1.7290000000000001</v>
      </c>
      <c r="K31" s="290">
        <v>0</v>
      </c>
      <c r="L31" s="205">
        <f t="shared" si="16"/>
        <v>0</v>
      </c>
      <c r="M31" s="290">
        <v>60</v>
      </c>
      <c r="N31" s="205">
        <f t="shared" si="13"/>
        <v>0.51869999999999994</v>
      </c>
      <c r="O31" s="290">
        <v>0</v>
      </c>
      <c r="P31" s="205">
        <f t="shared" si="14"/>
        <v>0</v>
      </c>
      <c r="Q31" s="290">
        <v>0</v>
      </c>
      <c r="R31" s="205">
        <f t="shared" si="17"/>
        <v>0</v>
      </c>
      <c r="S31" s="39">
        <f t="shared" si="7"/>
        <v>3</v>
      </c>
      <c r="T31" s="38">
        <f t="shared" si="4"/>
        <v>2.5935E-2</v>
      </c>
      <c r="U31" s="290">
        <v>0</v>
      </c>
      <c r="V31" s="13">
        <f t="shared" si="8"/>
        <v>0</v>
      </c>
      <c r="W31" s="294">
        <f t="shared" si="9"/>
        <v>3</v>
      </c>
      <c r="X31" s="295">
        <f t="shared" si="10"/>
        <v>2.5935E-2</v>
      </c>
      <c r="Y31" s="238">
        <v>500</v>
      </c>
      <c r="Z31" s="101">
        <v>1500</v>
      </c>
    </row>
    <row r="32" spans="1:26" x14ac:dyDescent="0.25">
      <c r="A32" s="264">
        <v>28</v>
      </c>
      <c r="B32" s="256" t="s">
        <v>156</v>
      </c>
      <c r="C32" s="34">
        <v>140</v>
      </c>
      <c r="D32" s="35">
        <v>240</v>
      </c>
      <c r="E32" s="35">
        <v>1</v>
      </c>
      <c r="F32" s="19">
        <f t="shared" si="5"/>
        <v>3.3599999999999998E-2</v>
      </c>
      <c r="G32" s="286">
        <v>405</v>
      </c>
      <c r="H32" s="288">
        <f t="shared" si="6"/>
        <v>13.607999999999999</v>
      </c>
      <c r="I32" s="290">
        <v>91</v>
      </c>
      <c r="J32" s="205">
        <f t="shared" si="0"/>
        <v>3.0575999999999999</v>
      </c>
      <c r="K32" s="290">
        <v>127</v>
      </c>
      <c r="L32" s="205">
        <f t="shared" si="16"/>
        <v>4.2671999999999999</v>
      </c>
      <c r="M32" s="290">
        <v>85</v>
      </c>
      <c r="N32" s="205">
        <f t="shared" si="13"/>
        <v>2.8559999999999999</v>
      </c>
      <c r="O32" s="290">
        <v>151</v>
      </c>
      <c r="P32" s="205">
        <f t="shared" si="14"/>
        <v>5.0735999999999999</v>
      </c>
      <c r="Q32" s="290">
        <v>0</v>
      </c>
      <c r="R32" s="205">
        <f>F32*Q32</f>
        <v>0</v>
      </c>
      <c r="S32" s="39">
        <f t="shared" si="7"/>
        <v>-49</v>
      </c>
      <c r="T32" s="38">
        <f t="shared" si="4"/>
        <v>-1.6463999999999999</v>
      </c>
      <c r="U32" s="290">
        <v>1189</v>
      </c>
      <c r="V32" s="13">
        <f t="shared" si="8"/>
        <v>39.950399999999995</v>
      </c>
      <c r="W32" s="294">
        <f t="shared" si="9"/>
        <v>1140</v>
      </c>
      <c r="X32" s="295">
        <f t="shared" si="10"/>
        <v>38.303999999999995</v>
      </c>
      <c r="Y32" s="238">
        <v>500</v>
      </c>
      <c r="Z32" s="101">
        <v>1500</v>
      </c>
    </row>
    <row r="33" spans="1:26" x14ac:dyDescent="0.25">
      <c r="A33" s="264">
        <v>29</v>
      </c>
      <c r="B33" s="256" t="s">
        <v>157</v>
      </c>
      <c r="C33" s="34">
        <v>140</v>
      </c>
      <c r="D33" s="35">
        <v>240</v>
      </c>
      <c r="E33" s="35">
        <v>2</v>
      </c>
      <c r="F33" s="19">
        <f t="shared" si="5"/>
        <v>6.7199999999999996E-2</v>
      </c>
      <c r="G33" s="286">
        <v>0</v>
      </c>
      <c r="H33" s="288">
        <f t="shared" si="6"/>
        <v>0</v>
      </c>
      <c r="I33" s="290">
        <v>17</v>
      </c>
      <c r="J33" s="205">
        <f t="shared" si="0"/>
        <v>1.1423999999999999</v>
      </c>
      <c r="K33" s="290">
        <v>34</v>
      </c>
      <c r="L33" s="205">
        <f t="shared" si="16"/>
        <v>2.2847999999999997</v>
      </c>
      <c r="M33" s="290">
        <v>22</v>
      </c>
      <c r="N33" s="205">
        <f t="shared" si="13"/>
        <v>1.4783999999999999</v>
      </c>
      <c r="O33" s="290">
        <v>19</v>
      </c>
      <c r="P33" s="205">
        <f t="shared" si="14"/>
        <v>1.2767999999999999</v>
      </c>
      <c r="Q33" s="290">
        <v>0</v>
      </c>
      <c r="R33" s="205">
        <f>F33*Q33</f>
        <v>0</v>
      </c>
      <c r="S33" s="39">
        <f t="shared" si="7"/>
        <v>-92</v>
      </c>
      <c r="T33" s="38">
        <f t="shared" si="4"/>
        <v>-6.1823999999999995</v>
      </c>
      <c r="U33" s="290">
        <v>129</v>
      </c>
      <c r="V33" s="13">
        <f t="shared" si="8"/>
        <v>8.6687999999999992</v>
      </c>
      <c r="W33" s="294">
        <f t="shared" si="9"/>
        <v>37</v>
      </c>
      <c r="X33" s="295">
        <f t="shared" si="10"/>
        <v>2.4863999999999997</v>
      </c>
      <c r="Y33" s="238">
        <v>75</v>
      </c>
      <c r="Z33" s="101">
        <v>150</v>
      </c>
    </row>
    <row r="34" spans="1:26" x14ac:dyDescent="0.25">
      <c r="A34" s="264">
        <v>30</v>
      </c>
      <c r="B34" s="256" t="s">
        <v>158</v>
      </c>
      <c r="C34" s="34">
        <v>140</v>
      </c>
      <c r="D34" s="35">
        <v>240</v>
      </c>
      <c r="E34" s="35">
        <v>3</v>
      </c>
      <c r="F34" s="19">
        <f t="shared" si="5"/>
        <v>0.1008</v>
      </c>
      <c r="G34" s="286">
        <v>78</v>
      </c>
      <c r="H34" s="288">
        <f t="shared" si="6"/>
        <v>7.8624000000000001</v>
      </c>
      <c r="I34" s="290">
        <v>25</v>
      </c>
      <c r="J34" s="205">
        <f>F34*I34</f>
        <v>2.52</v>
      </c>
      <c r="K34" s="290">
        <v>21</v>
      </c>
      <c r="L34" s="205">
        <f t="shared" si="16"/>
        <v>2.1168</v>
      </c>
      <c r="M34" s="290">
        <v>18</v>
      </c>
      <c r="N34" s="205">
        <f t="shared" si="13"/>
        <v>1.8144</v>
      </c>
      <c r="O34" s="290">
        <v>7</v>
      </c>
      <c r="P34" s="205">
        <f t="shared" si="14"/>
        <v>0.7056</v>
      </c>
      <c r="Q34" s="290">
        <v>0</v>
      </c>
      <c r="R34" s="205">
        <f t="shared" si="17"/>
        <v>0</v>
      </c>
      <c r="S34" s="39">
        <f t="shared" si="7"/>
        <v>7</v>
      </c>
      <c r="T34" s="38">
        <f t="shared" si="4"/>
        <v>0.7056</v>
      </c>
      <c r="U34" s="290">
        <v>95</v>
      </c>
      <c r="V34" s="13">
        <f t="shared" si="8"/>
        <v>9.5760000000000005</v>
      </c>
      <c r="W34" s="294">
        <f t="shared" si="9"/>
        <v>102</v>
      </c>
      <c r="X34" s="295">
        <f t="shared" si="10"/>
        <v>10.281600000000001</v>
      </c>
      <c r="Y34" s="238">
        <v>75</v>
      </c>
      <c r="Z34" s="101">
        <v>150</v>
      </c>
    </row>
    <row r="35" spans="1:26" x14ac:dyDescent="0.25">
      <c r="A35" s="264">
        <v>31</v>
      </c>
      <c r="B35" s="256" t="s">
        <v>159</v>
      </c>
      <c r="C35" s="34">
        <v>140</v>
      </c>
      <c r="D35" s="35">
        <v>240</v>
      </c>
      <c r="E35" s="35">
        <v>4</v>
      </c>
      <c r="F35" s="19">
        <f t="shared" si="5"/>
        <v>0.13439999999999999</v>
      </c>
      <c r="G35" s="286">
        <v>60</v>
      </c>
      <c r="H35" s="288">
        <f t="shared" si="6"/>
        <v>8.0640000000000001</v>
      </c>
      <c r="I35" s="290">
        <v>4</v>
      </c>
      <c r="J35" s="205">
        <f t="shared" si="0"/>
        <v>0.53759999999999997</v>
      </c>
      <c r="K35" s="290">
        <v>23</v>
      </c>
      <c r="L35" s="205">
        <f t="shared" si="16"/>
        <v>3.0911999999999997</v>
      </c>
      <c r="M35" s="290">
        <v>16</v>
      </c>
      <c r="N35" s="205">
        <f t="shared" si="13"/>
        <v>2.1503999999999999</v>
      </c>
      <c r="O35" s="290">
        <v>4</v>
      </c>
      <c r="P35" s="205">
        <f t="shared" si="14"/>
        <v>0.53759999999999997</v>
      </c>
      <c r="Q35" s="290">
        <v>0</v>
      </c>
      <c r="R35" s="205">
        <f t="shared" si="17"/>
        <v>0</v>
      </c>
      <c r="S35" s="39">
        <f t="shared" si="7"/>
        <v>13</v>
      </c>
      <c r="T35" s="38">
        <f t="shared" si="4"/>
        <v>1.7471999999999999</v>
      </c>
      <c r="U35" s="290">
        <v>0</v>
      </c>
      <c r="V35" s="13">
        <f t="shared" si="8"/>
        <v>0</v>
      </c>
      <c r="W35" s="294">
        <f t="shared" si="9"/>
        <v>13</v>
      </c>
      <c r="X35" s="295">
        <f t="shared" si="10"/>
        <v>1.7471999999999999</v>
      </c>
      <c r="Y35" s="238">
        <v>50</v>
      </c>
      <c r="Z35" s="101">
        <v>100</v>
      </c>
    </row>
    <row r="36" spans="1:26" x14ac:dyDescent="0.25">
      <c r="A36" s="264">
        <v>32</v>
      </c>
      <c r="B36" s="256" t="s">
        <v>160</v>
      </c>
      <c r="C36" s="34">
        <v>140</v>
      </c>
      <c r="D36" s="35">
        <v>240</v>
      </c>
      <c r="E36" s="35">
        <v>2</v>
      </c>
      <c r="F36" s="19">
        <f t="shared" si="5"/>
        <v>6.7199999999999996E-2</v>
      </c>
      <c r="G36" s="286">
        <v>331</v>
      </c>
      <c r="H36" s="288">
        <f t="shared" si="6"/>
        <v>22.243199999999998</v>
      </c>
      <c r="I36" s="290">
        <v>59</v>
      </c>
      <c r="J36" s="205">
        <f>F36*I36</f>
        <v>3.9647999999999999</v>
      </c>
      <c r="K36" s="290">
        <v>30</v>
      </c>
      <c r="L36" s="205">
        <f t="shared" si="16"/>
        <v>2.016</v>
      </c>
      <c r="M36" s="290">
        <v>34</v>
      </c>
      <c r="N36" s="205">
        <f t="shared" si="13"/>
        <v>2.2847999999999997</v>
      </c>
      <c r="O36" s="290">
        <v>17</v>
      </c>
      <c r="P36" s="205">
        <f t="shared" si="14"/>
        <v>1.1423999999999999</v>
      </c>
      <c r="Q36" s="290">
        <v>0</v>
      </c>
      <c r="R36" s="205">
        <f t="shared" si="17"/>
        <v>0</v>
      </c>
      <c r="S36" s="39">
        <f t="shared" si="7"/>
        <v>191</v>
      </c>
      <c r="T36" s="38">
        <f t="shared" si="4"/>
        <v>12.835199999999999</v>
      </c>
      <c r="U36" s="290">
        <v>0</v>
      </c>
      <c r="V36" s="13">
        <f t="shared" si="8"/>
        <v>0</v>
      </c>
      <c r="W36" s="294">
        <f t="shared" si="9"/>
        <v>191</v>
      </c>
      <c r="X36" s="295">
        <f t="shared" si="10"/>
        <v>12.835199999999999</v>
      </c>
      <c r="Y36" s="238">
        <v>200</v>
      </c>
      <c r="Z36" s="101">
        <v>300</v>
      </c>
    </row>
    <row r="37" spans="1:26" x14ac:dyDescent="0.25">
      <c r="A37" s="264">
        <v>33</v>
      </c>
      <c r="B37" s="256" t="s">
        <v>161</v>
      </c>
      <c r="C37" s="34">
        <v>140</v>
      </c>
      <c r="D37" s="35">
        <v>240</v>
      </c>
      <c r="E37" s="35">
        <v>6</v>
      </c>
      <c r="F37" s="19">
        <f t="shared" si="5"/>
        <v>0.2016</v>
      </c>
      <c r="G37" s="286">
        <v>44</v>
      </c>
      <c r="H37" s="288">
        <f t="shared" si="6"/>
        <v>8.8704000000000001</v>
      </c>
      <c r="I37" s="290">
        <v>0</v>
      </c>
      <c r="J37" s="205">
        <f t="shared" si="0"/>
        <v>0</v>
      </c>
      <c r="K37" s="290">
        <v>0</v>
      </c>
      <c r="L37" s="205">
        <f>F37*K37</f>
        <v>0</v>
      </c>
      <c r="M37" s="290">
        <v>0</v>
      </c>
      <c r="N37" s="205">
        <f t="shared" si="13"/>
        <v>0</v>
      </c>
      <c r="O37" s="290">
        <v>0</v>
      </c>
      <c r="P37" s="21">
        <v>0</v>
      </c>
      <c r="Q37" s="290">
        <v>0</v>
      </c>
      <c r="R37" s="205">
        <f t="shared" si="17"/>
        <v>0</v>
      </c>
      <c r="S37" s="39">
        <f t="shared" si="7"/>
        <v>44</v>
      </c>
      <c r="T37" s="38">
        <f t="shared" si="4"/>
        <v>8.8704000000000001</v>
      </c>
      <c r="U37" s="290">
        <v>0</v>
      </c>
      <c r="V37" s="13">
        <f t="shared" si="8"/>
        <v>0</v>
      </c>
      <c r="W37" s="294">
        <f t="shared" si="9"/>
        <v>44</v>
      </c>
      <c r="X37" s="295">
        <f t="shared" si="10"/>
        <v>8.8704000000000001</v>
      </c>
      <c r="Y37" s="238">
        <v>10</v>
      </c>
      <c r="Z37" s="101">
        <v>30</v>
      </c>
    </row>
    <row r="38" spans="1:26" x14ac:dyDescent="0.25">
      <c r="A38" s="264">
        <v>34</v>
      </c>
      <c r="B38" s="256" t="s">
        <v>181</v>
      </c>
      <c r="C38" s="34">
        <v>80</v>
      </c>
      <c r="D38" s="35">
        <v>75</v>
      </c>
      <c r="E38" s="35">
        <v>5</v>
      </c>
      <c r="F38" s="19">
        <f t="shared" si="5"/>
        <v>0.03</v>
      </c>
      <c r="G38" s="286">
        <v>68</v>
      </c>
      <c r="H38" s="288">
        <f t="shared" si="6"/>
        <v>2.04</v>
      </c>
      <c r="I38" s="290">
        <v>0</v>
      </c>
      <c r="J38" s="205">
        <f t="shared" si="0"/>
        <v>0</v>
      </c>
      <c r="K38" s="290">
        <v>0</v>
      </c>
      <c r="L38" s="205">
        <f t="shared" si="0"/>
        <v>0</v>
      </c>
      <c r="M38" s="290">
        <v>0</v>
      </c>
      <c r="N38" s="21">
        <v>0</v>
      </c>
      <c r="O38" s="290">
        <v>0</v>
      </c>
      <c r="P38" s="21">
        <v>0</v>
      </c>
      <c r="Q38" s="290">
        <v>0</v>
      </c>
      <c r="R38" s="21">
        <v>0</v>
      </c>
      <c r="S38" s="39">
        <f t="shared" si="7"/>
        <v>68</v>
      </c>
      <c r="T38" s="38">
        <f t="shared" si="4"/>
        <v>2.04</v>
      </c>
      <c r="U38" s="290">
        <v>0</v>
      </c>
      <c r="V38" s="13">
        <f t="shared" si="8"/>
        <v>0</v>
      </c>
      <c r="W38" s="294">
        <f t="shared" si="9"/>
        <v>68</v>
      </c>
      <c r="X38" s="295">
        <f t="shared" si="10"/>
        <v>2.04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182</v>
      </c>
      <c r="C39" s="34">
        <v>100</v>
      </c>
      <c r="D39" s="35">
        <v>95</v>
      </c>
      <c r="E39" s="35">
        <v>5</v>
      </c>
      <c r="F39" s="19">
        <f t="shared" si="5"/>
        <v>4.7500000000000001E-2</v>
      </c>
      <c r="G39" s="286">
        <v>137</v>
      </c>
      <c r="H39" s="288">
        <f t="shared" si="6"/>
        <v>6.5075000000000003</v>
      </c>
      <c r="I39" s="290">
        <v>0</v>
      </c>
      <c r="J39" s="205">
        <f t="shared" si="0"/>
        <v>0</v>
      </c>
      <c r="K39" s="290">
        <v>0</v>
      </c>
      <c r="L39" s="205">
        <f>F39*K39</f>
        <v>0</v>
      </c>
      <c r="M39" s="290">
        <v>0</v>
      </c>
      <c r="N39" s="205">
        <f>F39*M39</f>
        <v>0</v>
      </c>
      <c r="O39" s="290">
        <v>0</v>
      </c>
      <c r="P39" s="205">
        <f>J39*O39</f>
        <v>0</v>
      </c>
      <c r="Q39" s="290">
        <v>0</v>
      </c>
      <c r="R39" s="205">
        <f>L39*Q39</f>
        <v>0</v>
      </c>
      <c r="S39" s="39">
        <f t="shared" si="7"/>
        <v>137</v>
      </c>
      <c r="T39" s="38">
        <f t="shared" si="4"/>
        <v>6.5075000000000003</v>
      </c>
      <c r="U39" s="290">
        <v>0</v>
      </c>
      <c r="V39" s="13">
        <f t="shared" si="8"/>
        <v>0</v>
      </c>
      <c r="W39" s="294">
        <f t="shared" si="9"/>
        <v>137</v>
      </c>
      <c r="X39" s="295">
        <f t="shared" si="10"/>
        <v>6.5075000000000003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196</v>
      </c>
      <c r="C40" s="34">
        <v>65</v>
      </c>
      <c r="D40" s="35">
        <v>60</v>
      </c>
      <c r="E40" s="35">
        <v>5</v>
      </c>
      <c r="F40" s="19">
        <f t="shared" si="5"/>
        <v>1.95E-2</v>
      </c>
      <c r="G40" s="286">
        <v>172</v>
      </c>
      <c r="H40" s="288">
        <f t="shared" si="6"/>
        <v>3.3540000000000001</v>
      </c>
      <c r="I40" s="290">
        <v>0</v>
      </c>
      <c r="J40" s="205">
        <f t="shared" si="0"/>
        <v>0</v>
      </c>
      <c r="K40" s="290">
        <v>0</v>
      </c>
      <c r="L40" s="205">
        <f>F40*K40</f>
        <v>0</v>
      </c>
      <c r="M40" s="290">
        <v>0</v>
      </c>
      <c r="N40" s="205">
        <f>F40*M40</f>
        <v>0</v>
      </c>
      <c r="O40" s="290">
        <v>0</v>
      </c>
      <c r="P40" s="205">
        <f>F40*O40</f>
        <v>0</v>
      </c>
      <c r="Q40" s="290">
        <v>0</v>
      </c>
      <c r="R40" s="205">
        <f>F40*Q40</f>
        <v>0</v>
      </c>
      <c r="S40" s="39">
        <f t="shared" si="7"/>
        <v>172</v>
      </c>
      <c r="T40" s="38">
        <f t="shared" si="4"/>
        <v>3.3540000000000001</v>
      </c>
      <c r="U40" s="290">
        <v>0</v>
      </c>
      <c r="V40" s="13">
        <f t="shared" si="8"/>
        <v>0</v>
      </c>
      <c r="W40" s="294">
        <f t="shared" si="9"/>
        <v>172</v>
      </c>
      <c r="X40" s="295">
        <f t="shared" si="10"/>
        <v>3.3540000000000001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165</v>
      </c>
      <c r="C41" s="34">
        <v>140</v>
      </c>
      <c r="D41" s="35">
        <v>240</v>
      </c>
      <c r="E41" s="35">
        <v>10</v>
      </c>
      <c r="F41" s="19">
        <f t="shared" si="5"/>
        <v>0.33600000000000002</v>
      </c>
      <c r="G41" s="286">
        <v>47</v>
      </c>
      <c r="H41" s="288">
        <f t="shared" si="6"/>
        <v>15.792000000000002</v>
      </c>
      <c r="I41" s="290">
        <v>13</v>
      </c>
      <c r="J41" s="205">
        <f>F41*I41</f>
        <v>4.3680000000000003</v>
      </c>
      <c r="K41" s="290">
        <v>5</v>
      </c>
      <c r="L41" s="205">
        <f>F41*K41</f>
        <v>1.6800000000000002</v>
      </c>
      <c r="M41" s="290">
        <v>1</v>
      </c>
      <c r="N41" s="205">
        <f>F41*M41</f>
        <v>0.33600000000000002</v>
      </c>
      <c r="O41" s="290">
        <v>5</v>
      </c>
      <c r="P41" s="205">
        <f>F41*O41</f>
        <v>1.6800000000000002</v>
      </c>
      <c r="Q41" s="290">
        <v>0</v>
      </c>
      <c r="R41" s="205">
        <f>F41*Q41</f>
        <v>0</v>
      </c>
      <c r="S41" s="39">
        <f t="shared" si="7"/>
        <v>23</v>
      </c>
      <c r="T41" s="38">
        <f t="shared" si="4"/>
        <v>7.7280000000000006</v>
      </c>
      <c r="U41" s="290">
        <v>12</v>
      </c>
      <c r="V41" s="13">
        <f t="shared" si="8"/>
        <v>4.032</v>
      </c>
      <c r="W41" s="294">
        <f t="shared" si="9"/>
        <v>35</v>
      </c>
      <c r="X41" s="295">
        <f t="shared" si="10"/>
        <v>11.760000000000002</v>
      </c>
      <c r="Y41" s="238">
        <v>50</v>
      </c>
      <c r="Z41" s="101">
        <v>100</v>
      </c>
    </row>
    <row r="42" spans="1:26" x14ac:dyDescent="0.25">
      <c r="A42" s="264">
        <v>38</v>
      </c>
      <c r="B42" s="256" t="s">
        <v>166</v>
      </c>
      <c r="C42" s="34">
        <v>92</v>
      </c>
      <c r="D42" s="35">
        <v>82</v>
      </c>
      <c r="E42" s="35">
        <v>2</v>
      </c>
      <c r="F42" s="19">
        <f t="shared" si="5"/>
        <v>1.5088000000000001E-2</v>
      </c>
      <c r="G42" s="286">
        <v>502</v>
      </c>
      <c r="H42" s="288">
        <f t="shared" si="6"/>
        <v>7.5741760000000005</v>
      </c>
      <c r="I42" s="290">
        <v>0</v>
      </c>
      <c r="J42" s="205">
        <f t="shared" si="0"/>
        <v>0</v>
      </c>
      <c r="K42" s="290">
        <v>40</v>
      </c>
      <c r="L42" s="205">
        <f>F42*K42</f>
        <v>0.60352000000000006</v>
      </c>
      <c r="M42" s="290">
        <v>0</v>
      </c>
      <c r="N42" s="205">
        <f>F42*M42</f>
        <v>0</v>
      </c>
      <c r="O42" s="290">
        <v>40</v>
      </c>
      <c r="P42" s="205">
        <f>F42*O42</f>
        <v>0.60352000000000006</v>
      </c>
      <c r="Q42" s="290">
        <v>0</v>
      </c>
      <c r="R42" s="205">
        <f>F42*Q42</f>
        <v>0</v>
      </c>
      <c r="S42" s="39">
        <f t="shared" si="7"/>
        <v>422</v>
      </c>
      <c r="T42" s="38">
        <f t="shared" si="4"/>
        <v>6.3671360000000004</v>
      </c>
      <c r="U42" s="290">
        <v>0</v>
      </c>
      <c r="V42" s="13">
        <f t="shared" si="8"/>
        <v>0</v>
      </c>
      <c r="W42" s="294">
        <f t="shared" si="9"/>
        <v>422</v>
      </c>
      <c r="X42" s="295">
        <f t="shared" si="10"/>
        <v>6.3671360000000004</v>
      </c>
      <c r="Y42" s="238">
        <v>100</v>
      </c>
      <c r="Z42" s="101">
        <v>300</v>
      </c>
    </row>
    <row r="43" spans="1:26" x14ac:dyDescent="0.25">
      <c r="A43" s="264">
        <v>39</v>
      </c>
      <c r="B43" s="256" t="s">
        <v>183</v>
      </c>
      <c r="C43" s="34">
        <v>90</v>
      </c>
      <c r="D43" s="35">
        <v>90</v>
      </c>
      <c r="E43" s="35">
        <v>3</v>
      </c>
      <c r="F43" s="19">
        <f t="shared" si="5"/>
        <v>2.4299999999999999E-2</v>
      </c>
      <c r="G43" s="286">
        <v>148</v>
      </c>
      <c r="H43" s="288">
        <f t="shared" si="6"/>
        <v>3.5963999999999996</v>
      </c>
      <c r="I43" s="290">
        <v>0</v>
      </c>
      <c r="J43" s="205">
        <f t="shared" si="0"/>
        <v>0</v>
      </c>
      <c r="K43" s="290">
        <v>0</v>
      </c>
      <c r="L43" s="205">
        <f t="shared" si="0"/>
        <v>0</v>
      </c>
      <c r="M43" s="290">
        <v>0</v>
      </c>
      <c r="N43" s="21">
        <v>0</v>
      </c>
      <c r="O43" s="290">
        <v>0</v>
      </c>
      <c r="P43" s="21">
        <v>0</v>
      </c>
      <c r="Q43" s="290">
        <v>0</v>
      </c>
      <c r="R43" s="21">
        <v>0</v>
      </c>
      <c r="S43" s="39">
        <f t="shared" si="7"/>
        <v>148</v>
      </c>
      <c r="T43" s="38">
        <f t="shared" si="4"/>
        <v>3.5963999999999996</v>
      </c>
      <c r="U43" s="290">
        <v>0</v>
      </c>
      <c r="V43" s="13">
        <f t="shared" si="8"/>
        <v>0</v>
      </c>
      <c r="W43" s="294">
        <f t="shared" si="9"/>
        <v>148</v>
      </c>
      <c r="X43" s="295">
        <f t="shared" si="10"/>
        <v>3.5963999999999996</v>
      </c>
      <c r="Y43" s="238">
        <v>0</v>
      </c>
      <c r="Z43" s="101">
        <v>0</v>
      </c>
    </row>
    <row r="44" spans="1:26" x14ac:dyDescent="0.25">
      <c r="A44" s="264">
        <v>40</v>
      </c>
      <c r="B44" s="256" t="s">
        <v>219</v>
      </c>
      <c r="C44" s="34">
        <v>140</v>
      </c>
      <c r="D44" s="35">
        <v>240</v>
      </c>
      <c r="E44" s="35">
        <v>3</v>
      </c>
      <c r="F44" s="19">
        <f t="shared" si="5"/>
        <v>0.1008</v>
      </c>
      <c r="G44" s="286">
        <v>0</v>
      </c>
      <c r="H44" s="288">
        <f t="shared" si="6"/>
        <v>0</v>
      </c>
      <c r="I44" s="290">
        <v>0</v>
      </c>
      <c r="J44" s="205">
        <f t="shared" si="0"/>
        <v>0</v>
      </c>
      <c r="K44" s="290">
        <v>0</v>
      </c>
      <c r="L44" s="205">
        <f t="shared" ref="L44:L52" si="18">F44*K44</f>
        <v>0</v>
      </c>
      <c r="M44" s="290">
        <v>0</v>
      </c>
      <c r="N44" s="205">
        <f t="shared" ref="N44:N70" si="19">F44*M44</f>
        <v>0</v>
      </c>
      <c r="O44" s="290">
        <v>0</v>
      </c>
      <c r="P44" s="205">
        <f t="shared" ref="P44:P66" si="20">F44*O44</f>
        <v>0</v>
      </c>
      <c r="Q44" s="290">
        <v>0</v>
      </c>
      <c r="R44" s="205">
        <f t="shared" ref="R44:R58" si="21">F44*Q44</f>
        <v>0</v>
      </c>
      <c r="S44" s="39">
        <f t="shared" si="7"/>
        <v>0</v>
      </c>
      <c r="T44" s="38">
        <f t="shared" si="4"/>
        <v>0</v>
      </c>
      <c r="U44" s="290">
        <v>480</v>
      </c>
      <c r="V44" s="13">
        <f t="shared" si="8"/>
        <v>48.384</v>
      </c>
      <c r="W44" s="294">
        <f t="shared" si="9"/>
        <v>480</v>
      </c>
      <c r="X44" s="295">
        <f t="shared" si="10"/>
        <v>48.384</v>
      </c>
      <c r="Y44" s="238">
        <v>0</v>
      </c>
      <c r="Z44" s="101">
        <v>0</v>
      </c>
    </row>
    <row r="45" spans="1:26" x14ac:dyDescent="0.25">
      <c r="A45" s="264">
        <v>41</v>
      </c>
      <c r="B45" s="256" t="s">
        <v>169</v>
      </c>
      <c r="C45" s="34">
        <v>82</v>
      </c>
      <c r="D45" s="34">
        <v>80</v>
      </c>
      <c r="E45" s="34">
        <v>2</v>
      </c>
      <c r="F45" s="19">
        <f t="shared" si="5"/>
        <v>1.312E-2</v>
      </c>
      <c r="G45" s="284">
        <v>711</v>
      </c>
      <c r="H45" s="288">
        <f t="shared" si="6"/>
        <v>9.3283199999999997</v>
      </c>
      <c r="I45" s="290">
        <v>0</v>
      </c>
      <c r="J45" s="205">
        <f t="shared" si="0"/>
        <v>0</v>
      </c>
      <c r="K45" s="290">
        <v>0</v>
      </c>
      <c r="L45" s="205">
        <f t="shared" si="18"/>
        <v>0</v>
      </c>
      <c r="M45" s="290">
        <v>0</v>
      </c>
      <c r="N45" s="205">
        <f t="shared" si="19"/>
        <v>0</v>
      </c>
      <c r="O45" s="290">
        <v>30</v>
      </c>
      <c r="P45" s="205">
        <f t="shared" si="20"/>
        <v>0.39360000000000001</v>
      </c>
      <c r="Q45" s="290">
        <v>0</v>
      </c>
      <c r="R45" s="205">
        <f t="shared" si="21"/>
        <v>0</v>
      </c>
      <c r="S45" s="39">
        <f t="shared" si="7"/>
        <v>681</v>
      </c>
      <c r="T45" s="38">
        <f t="shared" si="4"/>
        <v>8.9347200000000004</v>
      </c>
      <c r="U45" s="290">
        <v>0</v>
      </c>
      <c r="V45" s="13">
        <f t="shared" si="8"/>
        <v>0</v>
      </c>
      <c r="W45" s="294">
        <f t="shared" si="9"/>
        <v>681</v>
      </c>
      <c r="X45" s="295">
        <f t="shared" si="10"/>
        <v>8.9347200000000004</v>
      </c>
      <c r="Y45" s="238">
        <v>100</v>
      </c>
      <c r="Z45" s="101">
        <v>300</v>
      </c>
    </row>
    <row r="46" spans="1:26" x14ac:dyDescent="0.25">
      <c r="A46" s="264">
        <v>42</v>
      </c>
      <c r="B46" s="256" t="s">
        <v>170</v>
      </c>
      <c r="C46" s="34">
        <v>90</v>
      </c>
      <c r="D46" s="34">
        <v>83</v>
      </c>
      <c r="E46" s="34">
        <v>2</v>
      </c>
      <c r="F46" s="19">
        <f t="shared" si="5"/>
        <v>1.494E-2</v>
      </c>
      <c r="G46" s="284">
        <v>0</v>
      </c>
      <c r="H46" s="288">
        <f t="shared" si="6"/>
        <v>0</v>
      </c>
      <c r="I46" s="290">
        <v>0</v>
      </c>
      <c r="J46" s="205">
        <f t="shared" si="0"/>
        <v>0</v>
      </c>
      <c r="K46" s="290">
        <v>0</v>
      </c>
      <c r="L46" s="205">
        <f t="shared" si="18"/>
        <v>0</v>
      </c>
      <c r="M46" s="290">
        <v>0</v>
      </c>
      <c r="N46" s="205">
        <f t="shared" si="19"/>
        <v>0</v>
      </c>
      <c r="O46" s="290">
        <v>0</v>
      </c>
      <c r="P46" s="205">
        <f t="shared" si="20"/>
        <v>0</v>
      </c>
      <c r="Q46" s="290">
        <v>0</v>
      </c>
      <c r="R46" s="205">
        <f t="shared" si="21"/>
        <v>0</v>
      </c>
      <c r="S46" s="39">
        <f t="shared" si="7"/>
        <v>0</v>
      </c>
      <c r="T46" s="38">
        <f t="shared" si="4"/>
        <v>0</v>
      </c>
      <c r="U46" s="290">
        <v>0</v>
      </c>
      <c r="V46" s="13">
        <f t="shared" si="8"/>
        <v>0</v>
      </c>
      <c r="W46" s="294">
        <f t="shared" si="9"/>
        <v>0</v>
      </c>
      <c r="X46" s="295">
        <f t="shared" si="10"/>
        <v>0</v>
      </c>
      <c r="Y46" s="238">
        <v>100</v>
      </c>
      <c r="Z46" s="101">
        <v>300</v>
      </c>
    </row>
    <row r="47" spans="1:26" x14ac:dyDescent="0.25">
      <c r="A47" s="264">
        <v>43</v>
      </c>
      <c r="B47" s="256" t="s">
        <v>184</v>
      </c>
      <c r="C47" s="34">
        <v>112</v>
      </c>
      <c r="D47" s="34">
        <v>67</v>
      </c>
      <c r="E47" s="34">
        <v>3</v>
      </c>
      <c r="F47" s="19">
        <f t="shared" si="5"/>
        <v>2.2512000000000001E-2</v>
      </c>
      <c r="G47" s="284">
        <v>63</v>
      </c>
      <c r="H47" s="288">
        <f t="shared" si="6"/>
        <v>1.418256</v>
      </c>
      <c r="I47" s="290">
        <v>0</v>
      </c>
      <c r="J47" s="205">
        <f t="shared" si="0"/>
        <v>0</v>
      </c>
      <c r="K47" s="290">
        <v>0</v>
      </c>
      <c r="L47" s="205">
        <f t="shared" si="18"/>
        <v>0</v>
      </c>
      <c r="M47" s="290">
        <v>0</v>
      </c>
      <c r="N47" s="205">
        <f t="shared" si="19"/>
        <v>0</v>
      </c>
      <c r="O47" s="290">
        <v>0</v>
      </c>
      <c r="P47" s="205">
        <f t="shared" si="20"/>
        <v>0</v>
      </c>
      <c r="Q47" s="290">
        <v>0</v>
      </c>
      <c r="R47" s="205">
        <f t="shared" si="21"/>
        <v>0</v>
      </c>
      <c r="S47" s="39">
        <f t="shared" si="7"/>
        <v>63</v>
      </c>
      <c r="T47" s="38">
        <f t="shared" si="4"/>
        <v>1.418256</v>
      </c>
      <c r="U47" s="290">
        <v>0</v>
      </c>
      <c r="V47" s="13">
        <f t="shared" si="8"/>
        <v>0</v>
      </c>
      <c r="W47" s="294">
        <f t="shared" si="9"/>
        <v>63</v>
      </c>
      <c r="X47" s="295">
        <f t="shared" si="10"/>
        <v>1.418256</v>
      </c>
      <c r="Y47" s="238">
        <v>0</v>
      </c>
      <c r="Z47" s="101">
        <v>0</v>
      </c>
    </row>
    <row r="48" spans="1:26" x14ac:dyDescent="0.25">
      <c r="A48" s="264">
        <v>44</v>
      </c>
      <c r="B48" s="256" t="s">
        <v>220</v>
      </c>
      <c r="C48" s="34">
        <v>70</v>
      </c>
      <c r="D48" s="34">
        <v>54</v>
      </c>
      <c r="E48" s="34">
        <v>7</v>
      </c>
      <c r="F48" s="19">
        <f t="shared" si="5"/>
        <v>2.6460000000000001E-2</v>
      </c>
      <c r="G48" s="284">
        <v>0</v>
      </c>
      <c r="H48" s="288">
        <f t="shared" si="6"/>
        <v>0</v>
      </c>
      <c r="I48" s="290">
        <v>0</v>
      </c>
      <c r="J48" s="205">
        <f t="shared" si="0"/>
        <v>0</v>
      </c>
      <c r="K48" s="290">
        <v>0</v>
      </c>
      <c r="L48" s="205">
        <f t="shared" si="18"/>
        <v>0</v>
      </c>
      <c r="M48" s="290">
        <v>0</v>
      </c>
      <c r="N48" s="205">
        <f t="shared" si="19"/>
        <v>0</v>
      </c>
      <c r="O48" s="290">
        <v>0</v>
      </c>
      <c r="P48" s="205">
        <f t="shared" si="20"/>
        <v>0</v>
      </c>
      <c r="Q48" s="290">
        <v>0</v>
      </c>
      <c r="R48" s="205">
        <f t="shared" si="21"/>
        <v>0</v>
      </c>
      <c r="S48" s="39">
        <f t="shared" si="7"/>
        <v>0</v>
      </c>
      <c r="T48" s="38">
        <f t="shared" si="4"/>
        <v>0</v>
      </c>
      <c r="U48" s="290">
        <v>476</v>
      </c>
      <c r="V48" s="13">
        <f t="shared" si="8"/>
        <v>12.59496</v>
      </c>
      <c r="W48" s="294">
        <f t="shared" si="9"/>
        <v>476</v>
      </c>
      <c r="X48" s="295">
        <f t="shared" si="10"/>
        <v>12.59496</v>
      </c>
      <c r="Y48" s="238">
        <v>0</v>
      </c>
      <c r="Z48" s="101">
        <v>0</v>
      </c>
    </row>
    <row r="49" spans="1:26" x14ac:dyDescent="0.25">
      <c r="A49" s="264">
        <v>45</v>
      </c>
      <c r="B49" s="256" t="s">
        <v>174</v>
      </c>
      <c r="C49" s="34">
        <v>140</v>
      </c>
      <c r="D49" s="34">
        <v>240</v>
      </c>
      <c r="E49" s="34">
        <v>14</v>
      </c>
      <c r="F49" s="19">
        <f t="shared" si="5"/>
        <v>0.47039999999999998</v>
      </c>
      <c r="G49" s="284">
        <v>8</v>
      </c>
      <c r="H49" s="288">
        <f t="shared" si="6"/>
        <v>3.7631999999999999</v>
      </c>
      <c r="I49" s="290">
        <v>0</v>
      </c>
      <c r="J49" s="205">
        <f t="shared" si="0"/>
        <v>0</v>
      </c>
      <c r="K49" s="290">
        <v>0</v>
      </c>
      <c r="L49" s="205">
        <f t="shared" si="18"/>
        <v>0</v>
      </c>
      <c r="M49" s="290">
        <v>0</v>
      </c>
      <c r="N49" s="205">
        <f t="shared" si="19"/>
        <v>0</v>
      </c>
      <c r="O49" s="290">
        <v>0</v>
      </c>
      <c r="P49" s="205">
        <f t="shared" si="20"/>
        <v>0</v>
      </c>
      <c r="Q49" s="290">
        <v>0</v>
      </c>
      <c r="R49" s="205">
        <f t="shared" si="21"/>
        <v>0</v>
      </c>
      <c r="S49" s="39">
        <f t="shared" si="7"/>
        <v>8</v>
      </c>
      <c r="T49" s="38">
        <f t="shared" si="4"/>
        <v>3.7631999999999999</v>
      </c>
      <c r="U49" s="290">
        <v>0</v>
      </c>
      <c r="V49" s="13">
        <f t="shared" si="8"/>
        <v>0</v>
      </c>
      <c r="W49" s="294">
        <f t="shared" si="9"/>
        <v>8</v>
      </c>
      <c r="X49" s="295">
        <f t="shared" si="10"/>
        <v>3.7631999999999999</v>
      </c>
      <c r="Y49" s="238">
        <v>10</v>
      </c>
      <c r="Z49" s="101">
        <v>20</v>
      </c>
    </row>
    <row r="50" spans="1:26" x14ac:dyDescent="0.25">
      <c r="A50" s="264">
        <v>46</v>
      </c>
      <c r="B50" s="256" t="s">
        <v>175</v>
      </c>
      <c r="C50" s="34">
        <v>140</v>
      </c>
      <c r="D50" s="34">
        <v>240</v>
      </c>
      <c r="E50" s="34">
        <v>12</v>
      </c>
      <c r="F50" s="19">
        <f t="shared" si="5"/>
        <v>0.4032</v>
      </c>
      <c r="G50" s="284">
        <v>13</v>
      </c>
      <c r="H50" s="288">
        <f t="shared" si="6"/>
        <v>5.2416</v>
      </c>
      <c r="I50" s="290">
        <v>1</v>
      </c>
      <c r="J50" s="205">
        <f t="shared" si="0"/>
        <v>0.4032</v>
      </c>
      <c r="K50" s="290">
        <v>0</v>
      </c>
      <c r="L50" s="205">
        <f t="shared" si="18"/>
        <v>0</v>
      </c>
      <c r="M50" s="290">
        <v>0</v>
      </c>
      <c r="N50" s="205">
        <f t="shared" si="19"/>
        <v>0</v>
      </c>
      <c r="O50" s="290">
        <v>0</v>
      </c>
      <c r="P50" s="205">
        <f t="shared" si="20"/>
        <v>0</v>
      </c>
      <c r="Q50" s="290">
        <v>0</v>
      </c>
      <c r="R50" s="205">
        <f t="shared" si="21"/>
        <v>0</v>
      </c>
      <c r="S50" s="39">
        <f t="shared" si="7"/>
        <v>12</v>
      </c>
      <c r="T50" s="38">
        <f t="shared" si="4"/>
        <v>4.8384</v>
      </c>
      <c r="U50" s="290">
        <v>0</v>
      </c>
      <c r="V50" s="13">
        <f t="shared" si="8"/>
        <v>0</v>
      </c>
      <c r="W50" s="294">
        <f t="shared" si="9"/>
        <v>12</v>
      </c>
      <c r="X50" s="295">
        <f t="shared" si="10"/>
        <v>4.8384</v>
      </c>
      <c r="Y50" s="238">
        <v>10</v>
      </c>
      <c r="Z50" s="101">
        <v>20</v>
      </c>
    </row>
    <row r="51" spans="1:26" x14ac:dyDescent="0.25">
      <c r="A51" s="264">
        <v>47</v>
      </c>
      <c r="B51" s="256" t="s">
        <v>176</v>
      </c>
      <c r="C51" s="34">
        <v>130</v>
      </c>
      <c r="D51" s="34">
        <v>60</v>
      </c>
      <c r="E51" s="34">
        <v>5</v>
      </c>
      <c r="F51" s="19">
        <f t="shared" si="5"/>
        <v>3.9E-2</v>
      </c>
      <c r="G51" s="284">
        <v>0</v>
      </c>
      <c r="H51" s="288">
        <f t="shared" si="6"/>
        <v>0</v>
      </c>
      <c r="I51" s="290">
        <v>0</v>
      </c>
      <c r="J51" s="205">
        <f t="shared" si="0"/>
        <v>0</v>
      </c>
      <c r="K51" s="290">
        <v>0</v>
      </c>
      <c r="L51" s="205">
        <f t="shared" si="18"/>
        <v>0</v>
      </c>
      <c r="M51" s="290">
        <v>0</v>
      </c>
      <c r="N51" s="205">
        <f t="shared" si="19"/>
        <v>0</v>
      </c>
      <c r="O51" s="290">
        <v>0</v>
      </c>
      <c r="P51" s="205">
        <f t="shared" si="20"/>
        <v>0</v>
      </c>
      <c r="Q51" s="290">
        <v>0</v>
      </c>
      <c r="R51" s="205">
        <f t="shared" si="21"/>
        <v>0</v>
      </c>
      <c r="S51" s="39">
        <f t="shared" si="7"/>
        <v>0</v>
      </c>
      <c r="T51" s="38">
        <f t="shared" si="4"/>
        <v>0</v>
      </c>
      <c r="U51" s="290">
        <v>0</v>
      </c>
      <c r="V51" s="13">
        <f t="shared" si="8"/>
        <v>0</v>
      </c>
      <c r="W51" s="294">
        <f t="shared" si="9"/>
        <v>0</v>
      </c>
      <c r="X51" s="295">
        <f t="shared" si="10"/>
        <v>0</v>
      </c>
      <c r="Y51" s="238">
        <v>30</v>
      </c>
      <c r="Z51" s="101">
        <v>100</v>
      </c>
    </row>
    <row r="52" spans="1:26" x14ac:dyDescent="0.25">
      <c r="A52" s="264">
        <v>48</v>
      </c>
      <c r="B52" s="255" t="s">
        <v>178</v>
      </c>
      <c r="C52" s="34">
        <v>140</v>
      </c>
      <c r="D52" s="34">
        <v>240</v>
      </c>
      <c r="E52" s="34">
        <v>3</v>
      </c>
      <c r="F52" s="19">
        <f t="shared" si="5"/>
        <v>0.1008</v>
      </c>
      <c r="G52" s="284">
        <v>502</v>
      </c>
      <c r="H52" s="288">
        <f t="shared" si="6"/>
        <v>50.601599999999998</v>
      </c>
      <c r="I52" s="290">
        <v>12</v>
      </c>
      <c r="J52" s="205">
        <f t="shared" si="0"/>
        <v>1.2096</v>
      </c>
      <c r="K52" s="290">
        <v>2</v>
      </c>
      <c r="L52" s="205">
        <f t="shared" si="18"/>
        <v>0.2016</v>
      </c>
      <c r="M52" s="290">
        <v>3</v>
      </c>
      <c r="N52" s="205">
        <f t="shared" si="19"/>
        <v>0.3024</v>
      </c>
      <c r="O52" s="290">
        <v>18</v>
      </c>
      <c r="P52" s="205">
        <f t="shared" si="20"/>
        <v>1.8144</v>
      </c>
      <c r="Q52" s="290">
        <v>0</v>
      </c>
      <c r="R52" s="205">
        <f t="shared" si="21"/>
        <v>0</v>
      </c>
      <c r="S52" s="39">
        <f t="shared" si="7"/>
        <v>467</v>
      </c>
      <c r="T52" s="38">
        <f t="shared" si="4"/>
        <v>47.073599999999999</v>
      </c>
      <c r="U52" s="290">
        <v>0</v>
      </c>
      <c r="V52" s="13">
        <f t="shared" si="8"/>
        <v>0</v>
      </c>
      <c r="W52" s="294">
        <f t="shared" si="9"/>
        <v>467</v>
      </c>
      <c r="X52" s="295">
        <f t="shared" si="10"/>
        <v>47.073599999999999</v>
      </c>
      <c r="Y52" s="238">
        <v>100</v>
      </c>
      <c r="Z52" s="101">
        <v>300</v>
      </c>
    </row>
    <row r="53" spans="1:26" x14ac:dyDescent="0.25">
      <c r="A53" s="264">
        <v>49</v>
      </c>
      <c r="B53" s="256" t="s">
        <v>185</v>
      </c>
      <c r="C53" s="34">
        <v>140</v>
      </c>
      <c r="D53" s="34">
        <v>240</v>
      </c>
      <c r="E53" s="34">
        <v>1</v>
      </c>
      <c r="F53" s="19">
        <f t="shared" si="5"/>
        <v>3.3599999999999998E-2</v>
      </c>
      <c r="G53" s="284">
        <v>238</v>
      </c>
      <c r="H53" s="288">
        <f t="shared" si="6"/>
        <v>7.9967999999999995</v>
      </c>
      <c r="I53" s="290">
        <v>0</v>
      </c>
      <c r="J53" s="205">
        <f t="shared" si="0"/>
        <v>0</v>
      </c>
      <c r="K53" s="290">
        <v>0</v>
      </c>
      <c r="L53" s="205">
        <f>F53*K53</f>
        <v>0</v>
      </c>
      <c r="M53" s="290">
        <v>0</v>
      </c>
      <c r="N53" s="205">
        <f t="shared" si="19"/>
        <v>0</v>
      </c>
      <c r="O53" s="290">
        <v>0</v>
      </c>
      <c r="P53" s="205">
        <f t="shared" si="20"/>
        <v>0</v>
      </c>
      <c r="Q53" s="290">
        <v>0</v>
      </c>
      <c r="R53" s="205">
        <f t="shared" si="21"/>
        <v>0</v>
      </c>
      <c r="S53" s="39">
        <f t="shared" si="7"/>
        <v>238</v>
      </c>
      <c r="T53" s="38">
        <f t="shared" si="4"/>
        <v>7.9967999999999995</v>
      </c>
      <c r="U53" s="290">
        <v>0</v>
      </c>
      <c r="V53" s="13">
        <f t="shared" si="8"/>
        <v>0</v>
      </c>
      <c r="W53" s="294">
        <f t="shared" si="9"/>
        <v>238</v>
      </c>
      <c r="X53" s="295">
        <f t="shared" si="10"/>
        <v>7.9967999999999995</v>
      </c>
      <c r="Y53" s="238">
        <v>50</v>
      </c>
      <c r="Z53" s="101">
        <v>0</v>
      </c>
    </row>
    <row r="54" spans="1:26" x14ac:dyDescent="0.25">
      <c r="A54" s="264">
        <v>50</v>
      </c>
      <c r="B54" s="256" t="s">
        <v>186</v>
      </c>
      <c r="C54" s="34">
        <v>140</v>
      </c>
      <c r="D54" s="34">
        <v>240</v>
      </c>
      <c r="E54" s="34">
        <v>3</v>
      </c>
      <c r="F54" s="19">
        <f t="shared" si="5"/>
        <v>0.1008</v>
      </c>
      <c r="G54" s="284">
        <v>52</v>
      </c>
      <c r="H54" s="288">
        <f t="shared" si="6"/>
        <v>5.2416</v>
      </c>
      <c r="I54" s="290">
        <v>8</v>
      </c>
      <c r="J54" s="205">
        <f t="shared" si="0"/>
        <v>0.80640000000000001</v>
      </c>
      <c r="K54" s="290">
        <v>13</v>
      </c>
      <c r="L54" s="205">
        <f>F54*K54</f>
        <v>1.3104</v>
      </c>
      <c r="M54" s="290">
        <v>0</v>
      </c>
      <c r="N54" s="205">
        <f t="shared" si="19"/>
        <v>0</v>
      </c>
      <c r="O54" s="290">
        <v>0</v>
      </c>
      <c r="P54" s="205">
        <f t="shared" si="20"/>
        <v>0</v>
      </c>
      <c r="Q54" s="290">
        <v>0</v>
      </c>
      <c r="R54" s="205">
        <f t="shared" si="21"/>
        <v>0</v>
      </c>
      <c r="S54" s="39">
        <f t="shared" si="7"/>
        <v>31</v>
      </c>
      <c r="T54" s="38">
        <f t="shared" si="4"/>
        <v>3.1248</v>
      </c>
      <c r="U54" s="290">
        <v>100</v>
      </c>
      <c r="V54" s="13">
        <f t="shared" si="8"/>
        <v>10.08</v>
      </c>
      <c r="W54" s="294">
        <f t="shared" si="9"/>
        <v>131</v>
      </c>
      <c r="X54" s="295">
        <f t="shared" si="10"/>
        <v>13.204800000000001</v>
      </c>
      <c r="Y54" s="238">
        <v>50</v>
      </c>
      <c r="Z54" s="101">
        <v>0</v>
      </c>
    </row>
    <row r="55" spans="1:26" x14ac:dyDescent="0.25">
      <c r="A55" s="277">
        <v>51</v>
      </c>
      <c r="B55" s="283" t="s">
        <v>187</v>
      </c>
      <c r="C55" s="264">
        <v>140</v>
      </c>
      <c r="D55" s="264">
        <v>240</v>
      </c>
      <c r="E55" s="264">
        <v>5</v>
      </c>
      <c r="F55" s="19">
        <f t="shared" si="5"/>
        <v>0.16800000000000001</v>
      </c>
      <c r="G55" s="296">
        <v>40</v>
      </c>
      <c r="H55" s="299">
        <f t="shared" si="6"/>
        <v>6.7200000000000006</v>
      </c>
      <c r="I55" s="290">
        <v>37</v>
      </c>
      <c r="J55" s="205">
        <f t="shared" si="0"/>
        <v>6.2160000000000002</v>
      </c>
      <c r="K55" s="290">
        <v>0</v>
      </c>
      <c r="L55" s="205">
        <f>F55*K55</f>
        <v>0</v>
      </c>
      <c r="M55" s="290">
        <v>11</v>
      </c>
      <c r="N55" s="205">
        <f t="shared" si="19"/>
        <v>1.8480000000000001</v>
      </c>
      <c r="O55" s="290">
        <v>52</v>
      </c>
      <c r="P55" s="205">
        <f t="shared" si="20"/>
        <v>8.7360000000000007</v>
      </c>
      <c r="Q55" s="290">
        <v>0</v>
      </c>
      <c r="R55" s="205">
        <f t="shared" si="21"/>
        <v>0</v>
      </c>
      <c r="S55" s="39">
        <f t="shared" si="7"/>
        <v>-60</v>
      </c>
      <c r="T55" s="38">
        <f t="shared" si="4"/>
        <v>-10.08</v>
      </c>
      <c r="U55" s="290">
        <v>95</v>
      </c>
      <c r="V55" s="13">
        <f t="shared" si="8"/>
        <v>15.96</v>
      </c>
      <c r="W55" s="294">
        <f t="shared" si="9"/>
        <v>35</v>
      </c>
      <c r="X55" s="295">
        <f t="shared" si="10"/>
        <v>5.8800000000000008</v>
      </c>
      <c r="Y55" s="101">
        <v>30</v>
      </c>
      <c r="Z55" s="101"/>
    </row>
    <row r="56" spans="1:26" x14ac:dyDescent="0.25">
      <c r="A56" s="277">
        <v>52</v>
      </c>
      <c r="B56" s="283" t="s">
        <v>188</v>
      </c>
      <c r="C56" s="264">
        <v>140</v>
      </c>
      <c r="D56" s="264">
        <v>240</v>
      </c>
      <c r="E56" s="264">
        <v>10</v>
      </c>
      <c r="F56" s="19">
        <f t="shared" si="5"/>
        <v>0.33600000000000002</v>
      </c>
      <c r="G56" s="296">
        <v>58</v>
      </c>
      <c r="H56" s="299">
        <f t="shared" si="6"/>
        <v>19.488</v>
      </c>
      <c r="I56" s="290">
        <v>0</v>
      </c>
      <c r="J56" s="205">
        <f t="shared" ref="J56:J69" si="22">F56*I56</f>
        <v>0</v>
      </c>
      <c r="K56" s="290">
        <v>0</v>
      </c>
      <c r="L56" s="205">
        <f>F56*K56</f>
        <v>0</v>
      </c>
      <c r="M56" s="290">
        <v>0</v>
      </c>
      <c r="N56" s="205">
        <f t="shared" si="19"/>
        <v>0</v>
      </c>
      <c r="O56" s="290">
        <v>0</v>
      </c>
      <c r="P56" s="205">
        <f t="shared" si="20"/>
        <v>0</v>
      </c>
      <c r="Q56" s="290">
        <v>0</v>
      </c>
      <c r="R56" s="205">
        <f t="shared" si="21"/>
        <v>0</v>
      </c>
      <c r="S56" s="39">
        <f t="shared" si="7"/>
        <v>58</v>
      </c>
      <c r="T56" s="38">
        <f t="shared" si="4"/>
        <v>19.488</v>
      </c>
      <c r="U56" s="290">
        <v>0</v>
      </c>
      <c r="V56" s="13">
        <f t="shared" si="8"/>
        <v>0</v>
      </c>
      <c r="W56" s="294">
        <f t="shared" si="9"/>
        <v>58</v>
      </c>
      <c r="X56" s="295">
        <f t="shared" si="10"/>
        <v>19.488</v>
      </c>
      <c r="Y56" s="101">
        <v>20</v>
      </c>
      <c r="Z56" s="101"/>
    </row>
    <row r="57" spans="1:26" x14ac:dyDescent="0.25">
      <c r="A57" s="264">
        <v>53</v>
      </c>
      <c r="B57" s="101" t="s">
        <v>201</v>
      </c>
      <c r="C57" s="264">
        <v>52</v>
      </c>
      <c r="D57" s="264">
        <v>52</v>
      </c>
      <c r="E57" s="264">
        <v>5</v>
      </c>
      <c r="F57" s="19">
        <f t="shared" si="5"/>
        <v>1.3520000000000001E-2</v>
      </c>
      <c r="G57" s="296">
        <v>53</v>
      </c>
      <c r="H57" s="299">
        <f t="shared" si="6"/>
        <v>0.71656000000000009</v>
      </c>
      <c r="I57" s="290">
        <v>0</v>
      </c>
      <c r="J57" s="205">
        <f t="shared" si="22"/>
        <v>0</v>
      </c>
      <c r="K57" s="290">
        <v>0</v>
      </c>
      <c r="L57" s="205">
        <f t="shared" ref="L57:L65" si="23">F57*K57</f>
        <v>0</v>
      </c>
      <c r="M57" s="290">
        <v>0</v>
      </c>
      <c r="N57" s="205">
        <f t="shared" si="19"/>
        <v>0</v>
      </c>
      <c r="O57" s="290">
        <v>0</v>
      </c>
      <c r="P57" s="205">
        <f t="shared" si="20"/>
        <v>0</v>
      </c>
      <c r="Q57" s="290">
        <v>0</v>
      </c>
      <c r="R57" s="205">
        <f t="shared" si="21"/>
        <v>0</v>
      </c>
      <c r="S57" s="39">
        <f t="shared" si="7"/>
        <v>53</v>
      </c>
      <c r="T57" s="38">
        <f t="shared" si="4"/>
        <v>0.71656000000000009</v>
      </c>
      <c r="U57" s="290">
        <v>792</v>
      </c>
      <c r="V57" s="13">
        <f t="shared" si="8"/>
        <v>10.707840000000001</v>
      </c>
      <c r="W57" s="294">
        <f t="shared" si="9"/>
        <v>845</v>
      </c>
      <c r="X57" s="295">
        <f t="shared" si="10"/>
        <v>11.4244</v>
      </c>
      <c r="Y57" s="101"/>
      <c r="Z57" s="101"/>
    </row>
    <row r="58" spans="1:26" x14ac:dyDescent="0.25">
      <c r="A58" s="264">
        <v>54</v>
      </c>
      <c r="B58" s="101" t="s">
        <v>193</v>
      </c>
      <c r="C58" s="264">
        <v>80</v>
      </c>
      <c r="D58" s="264">
        <v>75</v>
      </c>
      <c r="E58" s="264">
        <v>5</v>
      </c>
      <c r="F58" s="19">
        <f t="shared" si="5"/>
        <v>0.03</v>
      </c>
      <c r="G58" s="264">
        <v>170</v>
      </c>
      <c r="H58" s="299">
        <f t="shared" si="6"/>
        <v>5.0999999999999996</v>
      </c>
      <c r="I58" s="290">
        <v>0</v>
      </c>
      <c r="J58" s="205">
        <f t="shared" si="22"/>
        <v>0</v>
      </c>
      <c r="K58" s="290">
        <v>0</v>
      </c>
      <c r="L58" s="205">
        <f t="shared" si="23"/>
        <v>0</v>
      </c>
      <c r="M58" s="290">
        <v>0</v>
      </c>
      <c r="N58" s="205">
        <f t="shared" si="19"/>
        <v>0</v>
      </c>
      <c r="O58" s="290">
        <v>0</v>
      </c>
      <c r="P58" s="205">
        <f t="shared" si="20"/>
        <v>0</v>
      </c>
      <c r="Q58" s="290">
        <v>0</v>
      </c>
      <c r="R58" s="205">
        <f t="shared" si="21"/>
        <v>0</v>
      </c>
      <c r="S58" s="39">
        <f t="shared" si="7"/>
        <v>170</v>
      </c>
      <c r="T58" s="38">
        <f t="shared" si="4"/>
        <v>5.0999999999999996</v>
      </c>
      <c r="U58" s="290">
        <v>0</v>
      </c>
      <c r="V58" s="308">
        <f t="shared" si="8"/>
        <v>0</v>
      </c>
      <c r="W58" s="294">
        <f t="shared" si="9"/>
        <v>170</v>
      </c>
      <c r="X58" s="300">
        <f t="shared" si="10"/>
        <v>5.0999999999999996</v>
      </c>
      <c r="Y58" s="101"/>
      <c r="Z58" s="101"/>
    </row>
    <row r="59" spans="1:26" x14ac:dyDescent="0.25">
      <c r="A59" s="264">
        <v>55</v>
      </c>
      <c r="B59" s="101" t="s">
        <v>194</v>
      </c>
      <c r="C59" s="264">
        <v>58</v>
      </c>
      <c r="D59" s="264">
        <v>25</v>
      </c>
      <c r="E59" s="264">
        <v>3</v>
      </c>
      <c r="F59" s="298">
        <f t="shared" si="5"/>
        <v>4.3499999999999997E-3</v>
      </c>
      <c r="G59" s="264">
        <v>0</v>
      </c>
      <c r="H59" s="299">
        <f t="shared" si="6"/>
        <v>0</v>
      </c>
      <c r="I59" s="290">
        <v>0</v>
      </c>
      <c r="J59" s="205">
        <f t="shared" si="22"/>
        <v>0</v>
      </c>
      <c r="K59" s="290">
        <v>0</v>
      </c>
      <c r="L59" s="205">
        <f t="shared" si="23"/>
        <v>0</v>
      </c>
      <c r="M59" s="290">
        <v>0</v>
      </c>
      <c r="N59" s="205">
        <f t="shared" si="19"/>
        <v>0</v>
      </c>
      <c r="O59" s="290">
        <v>0</v>
      </c>
      <c r="P59" s="205">
        <f t="shared" si="20"/>
        <v>0</v>
      </c>
      <c r="Q59" s="290">
        <v>0</v>
      </c>
      <c r="R59" s="205">
        <f>F59*Q59</f>
        <v>0</v>
      </c>
      <c r="S59" s="39">
        <f t="shared" si="7"/>
        <v>0</v>
      </c>
      <c r="T59" s="38">
        <f t="shared" si="4"/>
        <v>0</v>
      </c>
      <c r="U59" s="290">
        <v>0</v>
      </c>
      <c r="V59" s="309">
        <f t="shared" si="8"/>
        <v>0</v>
      </c>
      <c r="W59" s="294">
        <f t="shared" si="9"/>
        <v>0</v>
      </c>
      <c r="X59" s="300">
        <f t="shared" si="10"/>
        <v>0</v>
      </c>
      <c r="Y59" s="101"/>
      <c r="Z59" s="101"/>
    </row>
    <row r="60" spans="1:26" x14ac:dyDescent="0.25">
      <c r="A60" s="264">
        <v>56</v>
      </c>
      <c r="B60" s="101" t="s">
        <v>195</v>
      </c>
      <c r="C60" s="264">
        <v>64</v>
      </c>
      <c r="D60" s="264">
        <v>58</v>
      </c>
      <c r="E60" s="264">
        <v>5</v>
      </c>
      <c r="F60" s="298">
        <f t="shared" si="5"/>
        <v>1.856E-2</v>
      </c>
      <c r="G60" s="264">
        <v>74</v>
      </c>
      <c r="H60" s="299">
        <f t="shared" si="6"/>
        <v>1.37344</v>
      </c>
      <c r="I60" s="290">
        <v>0</v>
      </c>
      <c r="J60" s="205">
        <f t="shared" si="22"/>
        <v>0</v>
      </c>
      <c r="K60" s="290">
        <v>0</v>
      </c>
      <c r="L60" s="205">
        <f t="shared" si="23"/>
        <v>0</v>
      </c>
      <c r="M60" s="290">
        <v>0</v>
      </c>
      <c r="N60" s="205">
        <f t="shared" si="19"/>
        <v>0</v>
      </c>
      <c r="O60" s="290">
        <v>0</v>
      </c>
      <c r="P60" s="205">
        <f t="shared" si="20"/>
        <v>0</v>
      </c>
      <c r="Q60" s="290">
        <v>0</v>
      </c>
      <c r="R60" s="205">
        <f t="shared" ref="R60:R65" si="24">F60*Q60</f>
        <v>0</v>
      </c>
      <c r="S60" s="39">
        <f t="shared" si="7"/>
        <v>74</v>
      </c>
      <c r="T60" s="38">
        <f t="shared" si="4"/>
        <v>1.37344</v>
      </c>
      <c r="U60" s="290">
        <v>0</v>
      </c>
      <c r="V60" s="309">
        <f t="shared" si="8"/>
        <v>0</v>
      </c>
      <c r="W60" s="294">
        <f t="shared" si="9"/>
        <v>74</v>
      </c>
      <c r="X60" s="301">
        <f t="shared" si="10"/>
        <v>1.37344</v>
      </c>
      <c r="Y60" s="101"/>
      <c r="Z60" s="101"/>
    </row>
    <row r="61" spans="1:26" x14ac:dyDescent="0.25">
      <c r="A61" s="264">
        <v>57</v>
      </c>
      <c r="B61" s="101" t="s">
        <v>197</v>
      </c>
      <c r="C61" s="264">
        <v>65</v>
      </c>
      <c r="D61" s="264">
        <v>65</v>
      </c>
      <c r="E61" s="264">
        <v>5</v>
      </c>
      <c r="F61" s="101">
        <f t="shared" si="5"/>
        <v>2.1125000000000001E-2</v>
      </c>
      <c r="G61" s="264">
        <v>252</v>
      </c>
      <c r="H61" s="299">
        <f t="shared" si="6"/>
        <v>5.3235000000000001</v>
      </c>
      <c r="I61" s="290">
        <v>0</v>
      </c>
      <c r="J61" s="205">
        <f t="shared" si="22"/>
        <v>0</v>
      </c>
      <c r="K61" s="290">
        <v>0</v>
      </c>
      <c r="L61" s="205">
        <f t="shared" si="23"/>
        <v>0</v>
      </c>
      <c r="M61" s="290">
        <v>0</v>
      </c>
      <c r="N61" s="174">
        <f t="shared" si="19"/>
        <v>0</v>
      </c>
      <c r="O61" s="290">
        <v>0</v>
      </c>
      <c r="P61" s="205">
        <f t="shared" si="20"/>
        <v>0</v>
      </c>
      <c r="Q61" s="290">
        <v>0</v>
      </c>
      <c r="R61" s="205">
        <f t="shared" si="24"/>
        <v>0</v>
      </c>
      <c r="S61" s="39">
        <f t="shared" si="7"/>
        <v>252</v>
      </c>
      <c r="T61" s="38">
        <f t="shared" si="4"/>
        <v>5.3235000000000001</v>
      </c>
      <c r="U61" s="290">
        <v>0</v>
      </c>
      <c r="V61" s="309">
        <f t="shared" si="8"/>
        <v>0</v>
      </c>
      <c r="W61" s="294">
        <f t="shared" si="9"/>
        <v>252</v>
      </c>
      <c r="X61" s="300">
        <f t="shared" si="10"/>
        <v>5.3235000000000001</v>
      </c>
      <c r="Y61" s="101"/>
      <c r="Z61" s="101"/>
    </row>
    <row r="62" spans="1:26" x14ac:dyDescent="0.25">
      <c r="A62" s="264">
        <v>58</v>
      </c>
      <c r="B62" s="101" t="s">
        <v>198</v>
      </c>
      <c r="C62" s="264">
        <v>83</v>
      </c>
      <c r="D62" s="264">
        <v>55</v>
      </c>
      <c r="E62" s="264">
        <v>3</v>
      </c>
      <c r="F62" s="101">
        <f t="shared" si="5"/>
        <v>1.3695000000000001E-2</v>
      </c>
      <c r="G62" s="264">
        <v>175</v>
      </c>
      <c r="H62" s="299">
        <f t="shared" si="6"/>
        <v>2.3966250000000002</v>
      </c>
      <c r="I62" s="290">
        <v>0</v>
      </c>
      <c r="J62" s="205">
        <f t="shared" si="22"/>
        <v>0</v>
      </c>
      <c r="K62" s="290">
        <v>0</v>
      </c>
      <c r="L62" s="205">
        <f t="shared" si="23"/>
        <v>0</v>
      </c>
      <c r="M62" s="290">
        <v>0</v>
      </c>
      <c r="N62" s="174">
        <f t="shared" si="19"/>
        <v>0</v>
      </c>
      <c r="O62" s="290">
        <v>0</v>
      </c>
      <c r="P62" s="205">
        <f t="shared" si="20"/>
        <v>0</v>
      </c>
      <c r="Q62" s="290">
        <v>0</v>
      </c>
      <c r="R62" s="205">
        <f t="shared" si="24"/>
        <v>0</v>
      </c>
      <c r="S62" s="39">
        <f t="shared" si="7"/>
        <v>175</v>
      </c>
      <c r="T62" s="38">
        <f t="shared" si="4"/>
        <v>2.3966250000000002</v>
      </c>
      <c r="U62" s="290">
        <v>0</v>
      </c>
      <c r="V62" s="309">
        <f t="shared" si="8"/>
        <v>0</v>
      </c>
      <c r="W62" s="294">
        <f t="shared" si="9"/>
        <v>175</v>
      </c>
      <c r="X62" s="300">
        <f t="shared" si="10"/>
        <v>2.3966250000000002</v>
      </c>
      <c r="Y62" s="101"/>
      <c r="Z62" s="101"/>
    </row>
    <row r="63" spans="1:26" x14ac:dyDescent="0.25">
      <c r="A63" s="264">
        <v>59</v>
      </c>
      <c r="B63" s="101" t="s">
        <v>199</v>
      </c>
      <c r="C63" s="264">
        <v>75</v>
      </c>
      <c r="D63" s="264">
        <v>55</v>
      </c>
      <c r="E63" s="264">
        <v>3</v>
      </c>
      <c r="F63" s="101">
        <f t="shared" si="5"/>
        <v>1.2375000000000001E-2</v>
      </c>
      <c r="G63" s="264">
        <v>184</v>
      </c>
      <c r="H63" s="299">
        <f t="shared" si="6"/>
        <v>2.2770000000000001</v>
      </c>
      <c r="I63" s="290">
        <v>0</v>
      </c>
      <c r="J63" s="205">
        <f t="shared" si="22"/>
        <v>0</v>
      </c>
      <c r="K63" s="290">
        <v>0</v>
      </c>
      <c r="L63" s="205">
        <f t="shared" si="23"/>
        <v>0</v>
      </c>
      <c r="M63" s="290">
        <v>0</v>
      </c>
      <c r="N63" s="174">
        <f t="shared" si="19"/>
        <v>0</v>
      </c>
      <c r="O63" s="290">
        <v>0</v>
      </c>
      <c r="P63" s="205">
        <f t="shared" si="20"/>
        <v>0</v>
      </c>
      <c r="Q63" s="290">
        <v>0</v>
      </c>
      <c r="R63" s="205">
        <f t="shared" si="24"/>
        <v>0</v>
      </c>
      <c r="S63" s="39">
        <f t="shared" si="7"/>
        <v>184</v>
      </c>
      <c r="T63" s="38">
        <f t="shared" si="4"/>
        <v>2.2770000000000001</v>
      </c>
      <c r="U63" s="290">
        <v>0</v>
      </c>
      <c r="V63" s="309">
        <f t="shared" si="8"/>
        <v>0</v>
      </c>
      <c r="W63" s="294">
        <f t="shared" si="9"/>
        <v>184</v>
      </c>
      <c r="X63" s="300">
        <f t="shared" si="10"/>
        <v>2.2770000000000001</v>
      </c>
      <c r="Y63" s="101"/>
      <c r="Z63" s="101"/>
    </row>
    <row r="64" spans="1:26" x14ac:dyDescent="0.25">
      <c r="A64" s="264">
        <v>60</v>
      </c>
      <c r="B64" s="101" t="s">
        <v>200</v>
      </c>
      <c r="C64" s="264">
        <v>58</v>
      </c>
      <c r="D64" s="264">
        <v>19</v>
      </c>
      <c r="E64" s="264">
        <v>3</v>
      </c>
      <c r="F64" s="101">
        <f t="shared" si="5"/>
        <v>3.3059999999999999E-3</v>
      </c>
      <c r="G64" s="264">
        <v>180</v>
      </c>
      <c r="H64" s="299">
        <f t="shared" si="6"/>
        <v>0.59507999999999994</v>
      </c>
      <c r="I64" s="290">
        <v>0</v>
      </c>
      <c r="J64" s="205">
        <f t="shared" si="22"/>
        <v>0</v>
      </c>
      <c r="K64" s="290">
        <v>0</v>
      </c>
      <c r="L64" s="205">
        <f t="shared" si="23"/>
        <v>0</v>
      </c>
      <c r="M64" s="290">
        <v>0</v>
      </c>
      <c r="N64" s="174">
        <f t="shared" si="19"/>
        <v>0</v>
      </c>
      <c r="O64" s="290">
        <v>0</v>
      </c>
      <c r="P64" s="205">
        <f t="shared" si="20"/>
        <v>0</v>
      </c>
      <c r="Q64" s="290">
        <v>0</v>
      </c>
      <c r="R64" s="205">
        <f t="shared" si="24"/>
        <v>0</v>
      </c>
      <c r="S64" s="39">
        <f t="shared" si="7"/>
        <v>180</v>
      </c>
      <c r="T64" s="38">
        <f t="shared" si="4"/>
        <v>0.59507999999999994</v>
      </c>
      <c r="U64" s="290">
        <v>0</v>
      </c>
      <c r="V64" s="309">
        <f t="shared" si="8"/>
        <v>0</v>
      </c>
      <c r="W64" s="294">
        <f t="shared" si="9"/>
        <v>180</v>
      </c>
      <c r="X64" s="300">
        <f t="shared" si="10"/>
        <v>0.59507999999999994</v>
      </c>
      <c r="Y64" s="101"/>
      <c r="Z64" s="101"/>
    </row>
    <row r="65" spans="1:26" x14ac:dyDescent="0.25">
      <c r="A65" s="264">
        <v>61</v>
      </c>
      <c r="B65" s="101" t="s">
        <v>202</v>
      </c>
      <c r="C65" s="264">
        <v>140</v>
      </c>
      <c r="D65" s="264">
        <v>240</v>
      </c>
      <c r="E65" s="264">
        <v>4</v>
      </c>
      <c r="F65" s="101">
        <f t="shared" si="5"/>
        <v>0.13439999999999999</v>
      </c>
      <c r="G65" s="264">
        <v>8</v>
      </c>
      <c r="H65" s="299">
        <f t="shared" si="6"/>
        <v>1.0751999999999999</v>
      </c>
      <c r="I65" s="290">
        <v>0</v>
      </c>
      <c r="J65" s="205">
        <f t="shared" si="22"/>
        <v>0</v>
      </c>
      <c r="K65" s="290">
        <v>0</v>
      </c>
      <c r="L65" s="205">
        <f t="shared" si="23"/>
        <v>0</v>
      </c>
      <c r="M65" s="290">
        <v>10</v>
      </c>
      <c r="N65" s="174">
        <f t="shared" si="19"/>
        <v>1.3439999999999999</v>
      </c>
      <c r="O65" s="290">
        <v>0</v>
      </c>
      <c r="P65" s="205">
        <f t="shared" si="20"/>
        <v>0</v>
      </c>
      <c r="Q65" s="290">
        <v>0</v>
      </c>
      <c r="R65" s="205">
        <f t="shared" si="24"/>
        <v>0</v>
      </c>
      <c r="S65" s="39">
        <f t="shared" si="7"/>
        <v>-2</v>
      </c>
      <c r="T65" s="38">
        <f t="shared" si="4"/>
        <v>-0.26879999999999998</v>
      </c>
      <c r="U65" s="290">
        <v>50</v>
      </c>
      <c r="V65" s="309">
        <f t="shared" si="8"/>
        <v>6.72</v>
      </c>
      <c r="W65" s="294">
        <f t="shared" si="9"/>
        <v>48</v>
      </c>
      <c r="X65" s="300">
        <f t="shared" si="10"/>
        <v>6.4512</v>
      </c>
      <c r="Y65" s="101"/>
      <c r="Z65" s="101"/>
    </row>
    <row r="66" spans="1:26" x14ac:dyDescent="0.25">
      <c r="A66" s="264">
        <v>62</v>
      </c>
      <c r="B66" s="101" t="s">
        <v>203</v>
      </c>
      <c r="C66" s="264">
        <v>50</v>
      </c>
      <c r="D66" s="264">
        <v>46.5</v>
      </c>
      <c r="E66" s="264">
        <v>3</v>
      </c>
      <c r="F66" s="101">
        <f t="shared" si="5"/>
        <v>6.9750000000000003E-3</v>
      </c>
      <c r="G66" s="264">
        <v>722</v>
      </c>
      <c r="H66" s="289">
        <f t="shared" si="6"/>
        <v>5.0359500000000006</v>
      </c>
      <c r="I66" s="290">
        <v>25</v>
      </c>
      <c r="J66" s="205">
        <f t="shared" si="22"/>
        <v>0.174375</v>
      </c>
      <c r="K66" s="290">
        <v>30</v>
      </c>
      <c r="L66" s="101"/>
      <c r="M66" s="290">
        <v>0</v>
      </c>
      <c r="N66" s="264">
        <f t="shared" si="19"/>
        <v>0</v>
      </c>
      <c r="O66" s="290">
        <v>0</v>
      </c>
      <c r="P66" s="264">
        <f t="shared" si="20"/>
        <v>0</v>
      </c>
      <c r="Q66" s="290">
        <v>0</v>
      </c>
      <c r="R66" s="101"/>
      <c r="S66" s="39">
        <f t="shared" si="7"/>
        <v>667</v>
      </c>
      <c r="T66" s="38">
        <f t="shared" si="4"/>
        <v>4.6523250000000003</v>
      </c>
      <c r="U66" s="290">
        <v>0</v>
      </c>
      <c r="V66" s="309">
        <f t="shared" si="8"/>
        <v>0</v>
      </c>
      <c r="W66" s="294">
        <f t="shared" si="9"/>
        <v>667</v>
      </c>
      <c r="X66" s="300">
        <f t="shared" si="10"/>
        <v>4.6523250000000003</v>
      </c>
      <c r="Y66" s="101"/>
      <c r="Z66" s="101"/>
    </row>
    <row r="67" spans="1:26" x14ac:dyDescent="0.25">
      <c r="A67" s="264">
        <v>63</v>
      </c>
      <c r="B67" s="101" t="s">
        <v>204</v>
      </c>
      <c r="C67" s="264">
        <v>50</v>
      </c>
      <c r="D67" s="264">
        <v>35</v>
      </c>
      <c r="E67" s="264">
        <v>3</v>
      </c>
      <c r="F67" s="101">
        <f t="shared" si="5"/>
        <v>5.2500000000000003E-3</v>
      </c>
      <c r="G67" s="264">
        <v>1050</v>
      </c>
      <c r="H67" s="289">
        <f t="shared" si="6"/>
        <v>5.5125000000000002</v>
      </c>
      <c r="I67" s="290">
        <v>25</v>
      </c>
      <c r="J67" s="205">
        <f t="shared" si="22"/>
        <v>0.13125000000000001</v>
      </c>
      <c r="K67" s="290">
        <v>30</v>
      </c>
      <c r="L67" s="205">
        <f t="shared" ref="L67" si="25">F67*K67</f>
        <v>0.1575</v>
      </c>
      <c r="M67" s="290">
        <v>0</v>
      </c>
      <c r="N67" s="264">
        <f t="shared" si="19"/>
        <v>0</v>
      </c>
      <c r="O67" s="290">
        <v>0</v>
      </c>
      <c r="P67" s="264"/>
      <c r="Q67" s="290">
        <v>0</v>
      </c>
      <c r="R67" s="264"/>
      <c r="S67" s="39">
        <f t="shared" si="7"/>
        <v>995</v>
      </c>
      <c r="T67" s="38">
        <f t="shared" si="4"/>
        <v>5.2237499999999999</v>
      </c>
      <c r="U67" s="290">
        <v>0</v>
      </c>
      <c r="V67" s="309">
        <f t="shared" si="8"/>
        <v>0</v>
      </c>
      <c r="W67" s="294">
        <f t="shared" si="9"/>
        <v>995</v>
      </c>
      <c r="X67" s="300">
        <f t="shared" si="10"/>
        <v>5.2237499999999999</v>
      </c>
      <c r="Y67" s="101"/>
      <c r="Z67" s="101"/>
    </row>
    <row r="68" spans="1:26" x14ac:dyDescent="0.25">
      <c r="A68" s="264">
        <v>64</v>
      </c>
      <c r="B68" s="101" t="s">
        <v>205</v>
      </c>
      <c r="C68" s="264">
        <v>140</v>
      </c>
      <c r="D68" s="264">
        <v>240</v>
      </c>
      <c r="E68" s="264">
        <v>8</v>
      </c>
      <c r="F68" s="101">
        <f t="shared" si="5"/>
        <v>0.26879999999999998</v>
      </c>
      <c r="G68" s="264">
        <v>1</v>
      </c>
      <c r="H68" s="289">
        <f t="shared" si="6"/>
        <v>0.26879999999999998</v>
      </c>
      <c r="I68" s="290">
        <v>0</v>
      </c>
      <c r="J68" s="264">
        <f t="shared" si="22"/>
        <v>0</v>
      </c>
      <c r="K68" s="290">
        <v>0</v>
      </c>
      <c r="L68" s="264"/>
      <c r="M68" s="290">
        <v>0</v>
      </c>
      <c r="N68" s="264">
        <v>0</v>
      </c>
      <c r="O68" s="290">
        <v>0</v>
      </c>
      <c r="P68" s="264"/>
      <c r="Q68" s="290">
        <v>0</v>
      </c>
      <c r="R68" s="264">
        <v>0</v>
      </c>
      <c r="S68" s="39">
        <f t="shared" si="7"/>
        <v>1</v>
      </c>
      <c r="T68" s="38">
        <f t="shared" si="4"/>
        <v>0.26879999999999998</v>
      </c>
      <c r="U68" s="290">
        <v>0</v>
      </c>
      <c r="V68" s="309">
        <v>0</v>
      </c>
      <c r="W68" s="294">
        <f t="shared" si="9"/>
        <v>1</v>
      </c>
      <c r="X68" s="300">
        <f t="shared" si="10"/>
        <v>0.26879999999999998</v>
      </c>
      <c r="Y68" s="101"/>
      <c r="Z68" s="101"/>
    </row>
    <row r="69" spans="1:26" x14ac:dyDescent="0.25">
      <c r="A69" s="264">
        <v>65</v>
      </c>
      <c r="B69" s="101" t="s">
        <v>206</v>
      </c>
      <c r="C69" s="264">
        <v>140</v>
      </c>
      <c r="D69" s="264">
        <v>240</v>
      </c>
      <c r="E69" s="264">
        <v>2</v>
      </c>
      <c r="F69" s="101">
        <f t="shared" si="5"/>
        <v>6.7199999999999996E-2</v>
      </c>
      <c r="G69" s="264">
        <v>0</v>
      </c>
      <c r="H69" s="289">
        <f t="shared" si="6"/>
        <v>0</v>
      </c>
      <c r="I69" s="290">
        <v>0</v>
      </c>
      <c r="J69" s="264">
        <f t="shared" si="22"/>
        <v>0</v>
      </c>
      <c r="K69" s="290">
        <v>0</v>
      </c>
      <c r="L69" s="264"/>
      <c r="M69" s="290">
        <v>0</v>
      </c>
      <c r="N69" s="174">
        <v>0</v>
      </c>
      <c r="O69" s="290">
        <v>0</v>
      </c>
      <c r="P69" s="264">
        <f t="shared" ref="P69" si="26">F69*O69</f>
        <v>0</v>
      </c>
      <c r="Q69" s="290">
        <v>0</v>
      </c>
      <c r="R69" s="205">
        <f t="shared" ref="R69" si="27">F69*Q69</f>
        <v>0</v>
      </c>
      <c r="S69" s="39">
        <v>0</v>
      </c>
      <c r="T69" s="38">
        <f t="shared" ref="T69:T70" si="28">F69*S69</f>
        <v>0</v>
      </c>
      <c r="U69" s="290">
        <v>103</v>
      </c>
      <c r="V69" s="309">
        <f t="shared" si="8"/>
        <v>6.9215999999999998</v>
      </c>
      <c r="W69" s="294">
        <f t="shared" si="9"/>
        <v>103</v>
      </c>
      <c r="X69" s="300">
        <f t="shared" si="10"/>
        <v>6.9215999999999998</v>
      </c>
      <c r="Y69" s="101"/>
      <c r="Z69" s="101"/>
    </row>
    <row r="70" spans="1:26" x14ac:dyDescent="0.25">
      <c r="A70" s="264">
        <v>66</v>
      </c>
      <c r="B70" s="101" t="s">
        <v>213</v>
      </c>
      <c r="C70" s="264"/>
      <c r="D70" s="264"/>
      <c r="E70" s="264"/>
      <c r="F70" s="101"/>
      <c r="G70" s="264">
        <v>480</v>
      </c>
      <c r="H70" s="289"/>
      <c r="I70" s="290">
        <v>0</v>
      </c>
      <c r="J70" s="264"/>
      <c r="K70" s="290">
        <v>0</v>
      </c>
      <c r="L70" s="264"/>
      <c r="M70" s="290">
        <v>0</v>
      </c>
      <c r="N70" s="264">
        <f t="shared" si="19"/>
        <v>0</v>
      </c>
      <c r="O70" s="290">
        <v>0</v>
      </c>
      <c r="P70" s="264"/>
      <c r="Q70" s="290">
        <v>0</v>
      </c>
      <c r="R70" s="264"/>
      <c r="S70" s="39">
        <f t="shared" ref="S70" si="29">G70-I70-K70-M70-O70-Q70</f>
        <v>480</v>
      </c>
      <c r="T70" s="38">
        <f t="shared" si="28"/>
        <v>0</v>
      </c>
      <c r="U70" s="290">
        <v>41</v>
      </c>
      <c r="V70" s="309">
        <f t="shared" ref="V70" si="30">F70*U70</f>
        <v>0</v>
      </c>
      <c r="W70" s="294">
        <f t="shared" ref="W70" si="31">S70+U70</f>
        <v>521</v>
      </c>
      <c r="X70" s="300">
        <f t="shared" ref="X70" si="32">F70*W70</f>
        <v>0</v>
      </c>
      <c r="Y70" s="101"/>
      <c r="Z70" s="101"/>
    </row>
    <row r="71" spans="1:26" x14ac:dyDescent="0.25">
      <c r="B71" s="315" t="s">
        <v>215</v>
      </c>
      <c r="C71"/>
      <c r="D71"/>
      <c r="E71"/>
      <c r="F71"/>
      <c r="G71" s="316">
        <v>315</v>
      </c>
      <c r="H71"/>
      <c r="I71"/>
      <c r="J71"/>
      <c r="K71"/>
      <c r="L71"/>
      <c r="M71"/>
      <c r="N71"/>
      <c r="O71"/>
      <c r="P71"/>
      <c r="Q71"/>
      <c r="R71"/>
      <c r="S71"/>
      <c r="T71"/>
    </row>
    <row r="72" spans="1:26" x14ac:dyDescent="0.25">
      <c r="B72" s="315" t="s">
        <v>218</v>
      </c>
      <c r="C72"/>
      <c r="D72"/>
      <c r="E72"/>
      <c r="F72"/>
      <c r="G72" s="316">
        <v>52</v>
      </c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1:26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1:26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1:26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1:26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1:26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1:26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</sheetData>
  <mergeCells count="24">
    <mergeCell ref="C1:H1"/>
    <mergeCell ref="G2:H3"/>
    <mergeCell ref="I2:J2"/>
    <mergeCell ref="K2:L2"/>
    <mergeCell ref="M2:N2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S4:T4"/>
    <mergeCell ref="U4:V4"/>
    <mergeCell ref="W4:X4"/>
    <mergeCell ref="G4:H4"/>
    <mergeCell ref="I4:J4"/>
    <mergeCell ref="K4:L4"/>
    <mergeCell ref="M4:N4"/>
    <mergeCell ref="O4:P4"/>
    <mergeCell ref="Q4:R4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5DC30-9329-4E81-80A9-459EEE200C6F}">
  <dimension ref="A1:Z78"/>
  <sheetViews>
    <sheetView topLeftCell="A29" workbookViewId="0">
      <selection activeCell="Q31" sqref="Q31"/>
    </sheetView>
  </sheetViews>
  <sheetFormatPr defaultRowHeight="15" x14ac:dyDescent="0.25"/>
  <cols>
    <col min="1" max="1" width="5" customWidth="1"/>
    <col min="2" max="2" width="31.85546875" style="3" customWidth="1"/>
    <col min="3" max="3" width="4.7109375" style="2" hidden="1" customWidth="1"/>
    <col min="4" max="4" width="7.28515625" style="2" hidden="1" customWidth="1"/>
    <col min="5" max="5" width="5.85546875" style="2" hidden="1" customWidth="1"/>
    <col min="6" max="6" width="8" style="4" hidden="1" customWidth="1"/>
    <col min="7" max="7" width="7.5703125" style="5" customWidth="1"/>
    <col min="8" max="8" width="9" style="5" customWidth="1"/>
    <col min="9" max="9" width="6" style="2" customWidth="1"/>
    <col min="10" max="10" width="7.140625" style="2" customWidth="1"/>
    <col min="11" max="11" width="6.28515625" style="2" customWidth="1"/>
    <col min="12" max="12" width="8" style="2" customWidth="1"/>
    <col min="13" max="20" width="6.42578125" style="2" customWidth="1"/>
    <col min="21" max="24" width="6.42578125" customWidth="1"/>
    <col min="25" max="25" width="10.28515625" customWidth="1"/>
  </cols>
  <sheetData>
    <row r="1" spans="1:26" ht="15.75" thickBot="1" x14ac:dyDescent="0.3">
      <c r="B1" s="4" t="s">
        <v>18</v>
      </c>
      <c r="C1" s="384" t="s">
        <v>221</v>
      </c>
      <c r="D1" s="320"/>
      <c r="E1" s="320"/>
      <c r="F1" s="320"/>
      <c r="G1" s="320"/>
      <c r="H1" s="320"/>
      <c r="Y1" s="314">
        <v>45656</v>
      </c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45905</v>
      </c>
      <c r="J2" s="326"/>
      <c r="K2" s="327">
        <v>45912</v>
      </c>
      <c r="L2" s="328"/>
      <c r="M2" s="325">
        <v>45919</v>
      </c>
      <c r="N2" s="329"/>
      <c r="O2" s="327">
        <v>45926</v>
      </c>
      <c r="P2" s="346"/>
      <c r="Q2" s="325">
        <v>45930</v>
      </c>
      <c r="R2" s="329"/>
      <c r="S2" s="330" t="s">
        <v>69</v>
      </c>
      <c r="T2" s="331"/>
      <c r="U2" s="334" t="s">
        <v>70</v>
      </c>
      <c r="V2" s="335"/>
      <c r="W2" s="385" t="s">
        <v>71</v>
      </c>
      <c r="X2" s="386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87"/>
      <c r="X3" s="388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89" t="s">
        <v>63</v>
      </c>
      <c r="X4" s="390"/>
      <c r="Y4" s="268" t="s">
        <v>179</v>
      </c>
      <c r="Z4" s="269" t="s">
        <v>99</v>
      </c>
    </row>
    <row r="5" spans="1:26" x14ac:dyDescent="0.25">
      <c r="A5" s="263">
        <v>1</v>
      </c>
      <c r="B5" s="256" t="s">
        <v>134</v>
      </c>
      <c r="C5" s="32">
        <v>70</v>
      </c>
      <c r="D5" s="33">
        <v>64</v>
      </c>
      <c r="E5" s="33">
        <v>8</v>
      </c>
      <c r="F5" s="15">
        <f>(C5*D5*E5)/1000000</f>
        <v>3.5839999999999997E-2</v>
      </c>
      <c r="G5" s="286">
        <v>237</v>
      </c>
      <c r="H5" s="287">
        <f>F5*G5</f>
        <v>8.4940799999999985</v>
      </c>
      <c r="I5" s="290">
        <v>0</v>
      </c>
      <c r="J5" s="205">
        <f t="shared" ref="J5:R55" si="0">F5*I5</f>
        <v>0</v>
      </c>
      <c r="K5" s="290">
        <v>0</v>
      </c>
      <c r="L5" s="205">
        <f>F5*K5</f>
        <v>0</v>
      </c>
      <c r="M5" s="290">
        <v>7</v>
      </c>
      <c r="N5" s="205">
        <f t="shared" ref="N5:N10" si="1">F5*M5</f>
        <v>0.25087999999999999</v>
      </c>
      <c r="O5" s="290">
        <v>0</v>
      </c>
      <c r="P5" s="205">
        <f t="shared" ref="P5:P10" si="2">F5*O5</f>
        <v>0</v>
      </c>
      <c r="Q5" s="290">
        <v>0</v>
      </c>
      <c r="R5" s="205">
        <f t="shared" ref="R5:R11" si="3">F5*Q5</f>
        <v>0</v>
      </c>
      <c r="S5" s="39">
        <f>G5-I5-K5-M5-O5-Q5</f>
        <v>230</v>
      </c>
      <c r="T5" s="38">
        <f t="shared" ref="T5:T68" si="4">F5*S5</f>
        <v>8.2431999999999999</v>
      </c>
      <c r="U5" s="290">
        <v>0</v>
      </c>
      <c r="V5" s="13">
        <f>F5*U5</f>
        <v>0</v>
      </c>
      <c r="W5" s="294">
        <f>S5+U5</f>
        <v>230</v>
      </c>
      <c r="X5" s="295">
        <f>F5*W5</f>
        <v>8.2431999999999999</v>
      </c>
      <c r="Y5" s="266">
        <v>200</v>
      </c>
      <c r="Z5" s="267">
        <v>750</v>
      </c>
    </row>
    <row r="6" spans="1:26" x14ac:dyDescent="0.25">
      <c r="A6" s="264">
        <v>2</v>
      </c>
      <c r="B6" s="256" t="s">
        <v>135</v>
      </c>
      <c r="C6" s="34">
        <v>70</v>
      </c>
      <c r="D6" s="35">
        <v>80</v>
      </c>
      <c r="E6" s="35">
        <v>8</v>
      </c>
      <c r="F6" s="19">
        <f t="shared" ref="F6:F69" si="5">(C6*D6*E6)/1000000</f>
        <v>4.48E-2</v>
      </c>
      <c r="G6" s="286">
        <v>308</v>
      </c>
      <c r="H6" s="288">
        <f t="shared" ref="H6:H69" si="6">F6*G6</f>
        <v>13.798399999999999</v>
      </c>
      <c r="I6" s="290">
        <v>0</v>
      </c>
      <c r="J6" s="205">
        <f t="shared" si="0"/>
        <v>0</v>
      </c>
      <c r="K6" s="290">
        <v>0</v>
      </c>
      <c r="L6" s="205">
        <f>F6*K6</f>
        <v>0</v>
      </c>
      <c r="M6" s="290">
        <v>2</v>
      </c>
      <c r="N6" s="205">
        <f t="shared" si="1"/>
        <v>8.9599999999999999E-2</v>
      </c>
      <c r="O6" s="290">
        <v>0</v>
      </c>
      <c r="P6" s="205">
        <f t="shared" si="2"/>
        <v>0</v>
      </c>
      <c r="Q6" s="290">
        <v>0</v>
      </c>
      <c r="R6" s="205">
        <f t="shared" si="3"/>
        <v>0</v>
      </c>
      <c r="S6" s="39">
        <f t="shared" ref="S6:S69" si="7">G6-I6-K6-M6-O6-Q6</f>
        <v>306</v>
      </c>
      <c r="T6" s="38">
        <f t="shared" si="4"/>
        <v>13.7088</v>
      </c>
      <c r="U6" s="290">
        <v>0</v>
      </c>
      <c r="V6" s="13">
        <f t="shared" ref="V6:V69" si="8">F6*U6</f>
        <v>0</v>
      </c>
      <c r="W6" s="294">
        <f t="shared" ref="W6:W69" si="9">S6+U6</f>
        <v>306</v>
      </c>
      <c r="X6" s="295">
        <f t="shared" ref="X6:X69" si="10">F6*W6</f>
        <v>13.7088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136</v>
      </c>
      <c r="C7" s="34">
        <v>70</v>
      </c>
      <c r="D7" s="35">
        <v>74</v>
      </c>
      <c r="E7" s="35">
        <v>8</v>
      </c>
      <c r="F7" s="19">
        <f t="shared" si="5"/>
        <v>4.1439999999999998E-2</v>
      </c>
      <c r="G7" s="286">
        <v>289</v>
      </c>
      <c r="H7" s="288">
        <f t="shared" si="6"/>
        <v>11.97616</v>
      </c>
      <c r="I7" s="290">
        <v>0</v>
      </c>
      <c r="J7" s="205">
        <f t="shared" si="0"/>
        <v>0</v>
      </c>
      <c r="K7" s="290">
        <v>0</v>
      </c>
      <c r="L7" s="205">
        <f>F7*K7</f>
        <v>0</v>
      </c>
      <c r="M7" s="290">
        <v>0</v>
      </c>
      <c r="N7" s="205">
        <f t="shared" si="1"/>
        <v>0</v>
      </c>
      <c r="O7" s="290">
        <v>0</v>
      </c>
      <c r="P7" s="205">
        <f t="shared" si="2"/>
        <v>0</v>
      </c>
      <c r="Q7" s="290">
        <v>0</v>
      </c>
      <c r="R7" s="205">
        <f t="shared" si="3"/>
        <v>0</v>
      </c>
      <c r="S7" s="39">
        <f t="shared" si="7"/>
        <v>289</v>
      </c>
      <c r="T7" s="38">
        <f t="shared" si="4"/>
        <v>11.97616</v>
      </c>
      <c r="U7" s="290">
        <v>0</v>
      </c>
      <c r="V7" s="13">
        <f t="shared" si="8"/>
        <v>0</v>
      </c>
      <c r="W7" s="294">
        <f t="shared" si="9"/>
        <v>289</v>
      </c>
      <c r="X7" s="295">
        <f t="shared" si="10"/>
        <v>11.97616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208</v>
      </c>
      <c r="C8" s="34">
        <v>70</v>
      </c>
      <c r="D8" s="35">
        <v>88</v>
      </c>
      <c r="E8" s="35">
        <v>8</v>
      </c>
      <c r="F8" s="19">
        <f t="shared" si="5"/>
        <v>4.9279999999999997E-2</v>
      </c>
      <c r="G8" s="286">
        <v>258</v>
      </c>
      <c r="H8" s="288">
        <f t="shared" si="6"/>
        <v>12.71424</v>
      </c>
      <c r="I8" s="290">
        <v>0</v>
      </c>
      <c r="J8" s="205">
        <f t="shared" si="0"/>
        <v>0</v>
      </c>
      <c r="K8" s="290">
        <v>0</v>
      </c>
      <c r="L8" s="205">
        <f>F8*K8</f>
        <v>0</v>
      </c>
      <c r="M8" s="290">
        <v>2</v>
      </c>
      <c r="N8" s="205">
        <f t="shared" si="1"/>
        <v>9.8559999999999995E-2</v>
      </c>
      <c r="O8" s="290">
        <v>0</v>
      </c>
      <c r="P8" s="205">
        <f t="shared" si="2"/>
        <v>0</v>
      </c>
      <c r="Q8" s="290">
        <v>0</v>
      </c>
      <c r="R8" s="205">
        <f t="shared" si="3"/>
        <v>0</v>
      </c>
      <c r="S8" s="39">
        <f t="shared" si="7"/>
        <v>256</v>
      </c>
      <c r="T8" s="38">
        <f t="shared" si="4"/>
        <v>12.615679999999999</v>
      </c>
      <c r="U8" s="290">
        <v>0</v>
      </c>
      <c r="V8" s="13">
        <f t="shared" si="8"/>
        <v>0</v>
      </c>
      <c r="W8" s="294">
        <f t="shared" si="9"/>
        <v>256</v>
      </c>
      <c r="X8" s="295">
        <f t="shared" si="10"/>
        <v>12.615679999999999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138</v>
      </c>
      <c r="C9" s="34">
        <v>140</v>
      </c>
      <c r="D9" s="35">
        <v>240</v>
      </c>
      <c r="E9" s="35">
        <v>5</v>
      </c>
      <c r="F9" s="19">
        <f t="shared" si="5"/>
        <v>0.16800000000000001</v>
      </c>
      <c r="G9" s="286">
        <v>116</v>
      </c>
      <c r="H9" s="288">
        <f t="shared" si="6"/>
        <v>19.488</v>
      </c>
      <c r="I9" s="290">
        <v>6</v>
      </c>
      <c r="J9" s="205">
        <f t="shared" si="0"/>
        <v>1.008</v>
      </c>
      <c r="K9" s="290">
        <v>10</v>
      </c>
      <c r="L9" s="205">
        <f>F9*K9</f>
        <v>1.6800000000000002</v>
      </c>
      <c r="M9" s="290">
        <v>18</v>
      </c>
      <c r="N9" s="205">
        <f t="shared" si="1"/>
        <v>3.024</v>
      </c>
      <c r="O9" s="290">
        <v>3</v>
      </c>
      <c r="P9" s="205">
        <f t="shared" si="2"/>
        <v>0.504</v>
      </c>
      <c r="Q9" s="290">
        <v>12</v>
      </c>
      <c r="R9" s="205">
        <f t="shared" si="3"/>
        <v>2.016</v>
      </c>
      <c r="S9" s="39">
        <f t="shared" si="7"/>
        <v>67</v>
      </c>
      <c r="T9" s="38">
        <f t="shared" si="4"/>
        <v>11.256</v>
      </c>
      <c r="U9" s="290">
        <v>0</v>
      </c>
      <c r="V9" s="13">
        <f t="shared" si="8"/>
        <v>0</v>
      </c>
      <c r="W9" s="294">
        <f t="shared" si="9"/>
        <v>67</v>
      </c>
      <c r="X9" s="295">
        <f t="shared" si="10"/>
        <v>11.256</v>
      </c>
      <c r="Y9" s="238">
        <v>100</v>
      </c>
      <c r="Z9" s="101">
        <v>250</v>
      </c>
    </row>
    <row r="10" spans="1:26" x14ac:dyDescent="0.25">
      <c r="A10" s="264">
        <v>6</v>
      </c>
      <c r="B10" s="256" t="s">
        <v>211</v>
      </c>
      <c r="C10" s="34">
        <v>143</v>
      </c>
      <c r="D10" s="35">
        <v>68</v>
      </c>
      <c r="E10" s="35">
        <v>5</v>
      </c>
      <c r="F10" s="19">
        <f t="shared" si="5"/>
        <v>4.8619999999999997E-2</v>
      </c>
      <c r="G10" s="286">
        <v>120</v>
      </c>
      <c r="H10" s="288">
        <f t="shared" si="6"/>
        <v>5.8343999999999996</v>
      </c>
      <c r="I10" s="290">
        <v>0</v>
      </c>
      <c r="J10" s="205">
        <f t="shared" si="0"/>
        <v>0</v>
      </c>
      <c r="K10" s="290">
        <v>0</v>
      </c>
      <c r="L10" s="205">
        <f t="shared" ref="L10" si="11">F10*K10</f>
        <v>0</v>
      </c>
      <c r="M10" s="290">
        <v>14</v>
      </c>
      <c r="N10" s="205">
        <f t="shared" si="1"/>
        <v>0.68067999999999995</v>
      </c>
      <c r="O10" s="290">
        <v>0</v>
      </c>
      <c r="P10" s="205">
        <f t="shared" si="2"/>
        <v>0</v>
      </c>
      <c r="Q10" s="290">
        <v>14</v>
      </c>
      <c r="R10" s="205">
        <f t="shared" si="3"/>
        <v>0.68067999999999995</v>
      </c>
      <c r="S10" s="39">
        <f t="shared" si="7"/>
        <v>92</v>
      </c>
      <c r="T10" s="38">
        <f t="shared" si="4"/>
        <v>4.4730399999999992</v>
      </c>
      <c r="U10" s="290">
        <v>0</v>
      </c>
      <c r="V10" s="13">
        <f t="shared" si="8"/>
        <v>0</v>
      </c>
      <c r="W10" s="294">
        <f t="shared" si="9"/>
        <v>92</v>
      </c>
      <c r="X10" s="295">
        <f t="shared" si="10"/>
        <v>4.4730399999999992</v>
      </c>
      <c r="Y10" s="238">
        <v>75</v>
      </c>
      <c r="Z10" s="101">
        <v>250</v>
      </c>
    </row>
    <row r="11" spans="1:26" x14ac:dyDescent="0.25">
      <c r="A11" s="264">
        <v>7</v>
      </c>
      <c r="B11" s="256" t="s">
        <v>207</v>
      </c>
      <c r="C11" s="34">
        <v>140</v>
      </c>
      <c r="D11" s="35">
        <v>240</v>
      </c>
      <c r="E11" s="35">
        <v>8</v>
      </c>
      <c r="F11" s="19">
        <f t="shared" si="5"/>
        <v>0.26879999999999998</v>
      </c>
      <c r="G11" s="286">
        <v>38</v>
      </c>
      <c r="H11" s="288">
        <f t="shared" si="6"/>
        <v>10.214399999999999</v>
      </c>
      <c r="I11" s="290">
        <v>0</v>
      </c>
      <c r="J11" s="205">
        <f t="shared" si="0"/>
        <v>0</v>
      </c>
      <c r="K11" s="290">
        <v>0</v>
      </c>
      <c r="L11" s="205">
        <f>F11*K11</f>
        <v>0</v>
      </c>
      <c r="M11" s="290">
        <v>0</v>
      </c>
      <c r="N11" s="21">
        <v>0</v>
      </c>
      <c r="O11" s="290">
        <v>0</v>
      </c>
      <c r="P11" s="21">
        <v>0</v>
      </c>
      <c r="Q11" s="290">
        <v>0</v>
      </c>
      <c r="R11" s="205">
        <f t="shared" si="3"/>
        <v>0</v>
      </c>
      <c r="S11" s="39">
        <f t="shared" si="7"/>
        <v>38</v>
      </c>
      <c r="T11" s="38">
        <f t="shared" si="4"/>
        <v>10.214399999999999</v>
      </c>
      <c r="U11" s="290">
        <v>0</v>
      </c>
      <c r="V11" s="13">
        <f t="shared" si="8"/>
        <v>0</v>
      </c>
      <c r="W11" s="294">
        <f t="shared" si="9"/>
        <v>38</v>
      </c>
      <c r="X11" s="295">
        <f t="shared" si="10"/>
        <v>10.214399999999999</v>
      </c>
      <c r="Y11" s="238">
        <v>30</v>
      </c>
      <c r="Z11" s="101">
        <v>75</v>
      </c>
    </row>
    <row r="12" spans="1:26" x14ac:dyDescent="0.25">
      <c r="A12" s="264">
        <v>8</v>
      </c>
      <c r="B12" s="256" t="s">
        <v>217</v>
      </c>
      <c r="C12" s="34">
        <v>75</v>
      </c>
      <c r="D12" s="35">
        <v>54</v>
      </c>
      <c r="E12" s="35">
        <v>5</v>
      </c>
      <c r="F12" s="19">
        <f t="shared" si="5"/>
        <v>2.0250000000000001E-2</v>
      </c>
      <c r="G12" s="286">
        <v>298</v>
      </c>
      <c r="H12" s="288">
        <f t="shared" si="6"/>
        <v>6.0345000000000004</v>
      </c>
      <c r="I12" s="290">
        <v>0</v>
      </c>
      <c r="J12" s="205">
        <f t="shared" si="0"/>
        <v>0</v>
      </c>
      <c r="K12" s="290">
        <v>0</v>
      </c>
      <c r="L12" s="205">
        <f>F12*K12</f>
        <v>0</v>
      </c>
      <c r="M12" s="290">
        <v>4</v>
      </c>
      <c r="N12" s="205">
        <f>F12*M12</f>
        <v>8.1000000000000003E-2</v>
      </c>
      <c r="O12" s="290">
        <v>0</v>
      </c>
      <c r="P12" s="205">
        <f>F12*O12</f>
        <v>0</v>
      </c>
      <c r="Q12" s="290">
        <v>0</v>
      </c>
      <c r="R12" s="21">
        <v>0</v>
      </c>
      <c r="S12" s="39">
        <f t="shared" si="7"/>
        <v>294</v>
      </c>
      <c r="T12" s="38">
        <f t="shared" si="4"/>
        <v>5.9535</v>
      </c>
      <c r="U12" s="290">
        <v>30</v>
      </c>
      <c r="V12" s="13">
        <f t="shared" si="8"/>
        <v>0.60750000000000004</v>
      </c>
      <c r="W12" s="294">
        <f t="shared" si="9"/>
        <v>324</v>
      </c>
      <c r="X12" s="295">
        <f t="shared" si="10"/>
        <v>6.5609999999999999</v>
      </c>
      <c r="Y12" s="238">
        <v>100</v>
      </c>
      <c r="Z12" s="101">
        <v>300</v>
      </c>
    </row>
    <row r="13" spans="1:26" x14ac:dyDescent="0.25">
      <c r="A13" s="264">
        <v>9</v>
      </c>
      <c r="B13" s="256" t="s">
        <v>142</v>
      </c>
      <c r="C13" s="34">
        <v>140</v>
      </c>
      <c r="D13" s="35">
        <v>240</v>
      </c>
      <c r="E13" s="35">
        <v>5</v>
      </c>
      <c r="F13" s="19">
        <f t="shared" si="5"/>
        <v>0.16800000000000001</v>
      </c>
      <c r="G13" s="286">
        <v>90</v>
      </c>
      <c r="H13" s="288">
        <f t="shared" si="6"/>
        <v>15.120000000000001</v>
      </c>
      <c r="I13" s="290">
        <v>0</v>
      </c>
      <c r="J13" s="205">
        <f t="shared" si="0"/>
        <v>0</v>
      </c>
      <c r="K13" s="290">
        <v>4</v>
      </c>
      <c r="L13" s="205">
        <f>F13*K13</f>
        <v>0.67200000000000004</v>
      </c>
      <c r="M13" s="290">
        <v>2</v>
      </c>
      <c r="N13" s="205">
        <f>F13*M13</f>
        <v>0.33600000000000002</v>
      </c>
      <c r="O13" s="290">
        <v>0</v>
      </c>
      <c r="P13" s="205">
        <f>F13*O13</f>
        <v>0</v>
      </c>
      <c r="Q13" s="290">
        <v>1</v>
      </c>
      <c r="R13" s="205">
        <f>F13*Q13</f>
        <v>0.16800000000000001</v>
      </c>
      <c r="S13" s="39">
        <f t="shared" si="7"/>
        <v>83</v>
      </c>
      <c r="T13" s="38">
        <f t="shared" si="4"/>
        <v>13.944000000000001</v>
      </c>
      <c r="U13" s="290">
        <v>105</v>
      </c>
      <c r="V13" s="13">
        <f t="shared" si="8"/>
        <v>17.64</v>
      </c>
      <c r="W13" s="294">
        <f t="shared" si="9"/>
        <v>188</v>
      </c>
      <c r="X13" s="295">
        <f t="shared" si="10"/>
        <v>31.584000000000003</v>
      </c>
      <c r="Y13" s="238">
        <v>100</v>
      </c>
      <c r="Z13" s="101">
        <v>300</v>
      </c>
    </row>
    <row r="14" spans="1:26" x14ac:dyDescent="0.25">
      <c r="A14" s="264">
        <v>10</v>
      </c>
      <c r="B14" s="256" t="s">
        <v>87</v>
      </c>
      <c r="C14" s="34">
        <v>90</v>
      </c>
      <c r="D14" s="35">
        <v>85</v>
      </c>
      <c r="E14" s="35">
        <v>5</v>
      </c>
      <c r="F14" s="19">
        <f t="shared" si="5"/>
        <v>3.8249999999999999E-2</v>
      </c>
      <c r="G14" s="286">
        <v>0</v>
      </c>
      <c r="H14" s="288">
        <f t="shared" si="6"/>
        <v>0</v>
      </c>
      <c r="I14" s="290">
        <v>0</v>
      </c>
      <c r="J14" s="205">
        <f t="shared" si="0"/>
        <v>0</v>
      </c>
      <c r="K14" s="290">
        <v>0</v>
      </c>
      <c r="L14" s="205">
        <f t="shared" ref="L14:L20" si="12">F14*K14</f>
        <v>0</v>
      </c>
      <c r="M14" s="290">
        <v>0</v>
      </c>
      <c r="N14" s="205">
        <f>F14*M14</f>
        <v>0</v>
      </c>
      <c r="O14" s="290">
        <v>0</v>
      </c>
      <c r="P14" s="205">
        <f t="shared" si="0"/>
        <v>0</v>
      </c>
      <c r="Q14" s="290">
        <v>0</v>
      </c>
      <c r="R14" s="205">
        <f t="shared" si="0"/>
        <v>0</v>
      </c>
      <c r="S14" s="39">
        <f t="shared" si="7"/>
        <v>0</v>
      </c>
      <c r="T14" s="38">
        <f t="shared" si="4"/>
        <v>0</v>
      </c>
      <c r="U14" s="290">
        <v>0</v>
      </c>
      <c r="V14" s="13">
        <f t="shared" si="8"/>
        <v>0</v>
      </c>
      <c r="W14" s="294">
        <f t="shared" si="9"/>
        <v>0</v>
      </c>
      <c r="X14" s="295">
        <f t="shared" si="10"/>
        <v>0</v>
      </c>
      <c r="Y14" s="238">
        <v>100</v>
      </c>
      <c r="Z14" s="101">
        <v>300</v>
      </c>
    </row>
    <row r="15" spans="1:26" x14ac:dyDescent="0.25">
      <c r="A15" s="264">
        <v>11</v>
      </c>
      <c r="B15" s="256" t="s">
        <v>144</v>
      </c>
      <c r="C15" s="34">
        <v>140</v>
      </c>
      <c r="D15" s="35">
        <v>240</v>
      </c>
      <c r="E15" s="35">
        <v>5</v>
      </c>
      <c r="F15" s="19">
        <f t="shared" si="5"/>
        <v>0.16800000000000001</v>
      </c>
      <c r="G15" s="286">
        <v>110</v>
      </c>
      <c r="H15" s="288">
        <f t="shared" si="6"/>
        <v>18.48</v>
      </c>
      <c r="I15" s="290">
        <v>9</v>
      </c>
      <c r="J15" s="205">
        <f t="shared" si="0"/>
        <v>1.512</v>
      </c>
      <c r="K15" s="290">
        <v>7</v>
      </c>
      <c r="L15" s="205">
        <f t="shared" si="12"/>
        <v>1.1760000000000002</v>
      </c>
      <c r="M15" s="290">
        <v>13</v>
      </c>
      <c r="N15" s="205">
        <f t="shared" ref="N15:N37" si="13">F15*M15</f>
        <v>2.1840000000000002</v>
      </c>
      <c r="O15" s="290">
        <v>2</v>
      </c>
      <c r="P15" s="205">
        <f t="shared" ref="P15:P36" si="14">F15*O15</f>
        <v>0.33600000000000002</v>
      </c>
      <c r="Q15" s="290">
        <v>5</v>
      </c>
      <c r="R15" s="205">
        <f t="shared" ref="R15:R20" si="15">F15*Q15</f>
        <v>0.84000000000000008</v>
      </c>
      <c r="S15" s="39">
        <f t="shared" si="7"/>
        <v>74</v>
      </c>
      <c r="T15" s="38">
        <f t="shared" si="4"/>
        <v>12.432</v>
      </c>
      <c r="U15" s="290">
        <v>235</v>
      </c>
      <c r="V15" s="13">
        <f t="shared" si="8"/>
        <v>39.480000000000004</v>
      </c>
      <c r="W15" s="294">
        <f t="shared" si="9"/>
        <v>309</v>
      </c>
      <c r="X15" s="295">
        <f t="shared" si="10"/>
        <v>51.912000000000006</v>
      </c>
      <c r="Y15" s="238">
        <v>200</v>
      </c>
      <c r="Z15" s="101">
        <v>400</v>
      </c>
    </row>
    <row r="16" spans="1:26" x14ac:dyDescent="0.25">
      <c r="A16" s="264">
        <v>12</v>
      </c>
      <c r="B16" s="256" t="s">
        <v>145</v>
      </c>
      <c r="C16" s="34">
        <v>140</v>
      </c>
      <c r="D16" s="35">
        <v>240</v>
      </c>
      <c r="E16" s="35">
        <v>5</v>
      </c>
      <c r="F16" s="19">
        <f t="shared" si="5"/>
        <v>0.16800000000000001</v>
      </c>
      <c r="G16" s="286">
        <v>97</v>
      </c>
      <c r="H16" s="288">
        <f t="shared" si="6"/>
        <v>16.295999999999999</v>
      </c>
      <c r="I16" s="290">
        <v>1</v>
      </c>
      <c r="J16" s="205">
        <f t="shared" si="0"/>
        <v>0.16800000000000001</v>
      </c>
      <c r="K16" s="290">
        <v>19</v>
      </c>
      <c r="L16" s="205">
        <f t="shared" si="12"/>
        <v>3.1920000000000002</v>
      </c>
      <c r="M16" s="290">
        <v>17</v>
      </c>
      <c r="N16" s="205">
        <f t="shared" si="13"/>
        <v>2.8560000000000003</v>
      </c>
      <c r="O16" s="290">
        <v>10</v>
      </c>
      <c r="P16" s="205">
        <f t="shared" si="14"/>
        <v>1.6800000000000002</v>
      </c>
      <c r="Q16" s="290">
        <v>8</v>
      </c>
      <c r="R16" s="205">
        <f t="shared" si="15"/>
        <v>1.3440000000000001</v>
      </c>
      <c r="S16" s="39">
        <f t="shared" si="7"/>
        <v>42</v>
      </c>
      <c r="T16" s="38">
        <f t="shared" si="4"/>
        <v>7.056</v>
      </c>
      <c r="U16" s="290">
        <v>100</v>
      </c>
      <c r="V16" s="13">
        <f t="shared" si="8"/>
        <v>16.8</v>
      </c>
      <c r="W16" s="294">
        <f t="shared" si="9"/>
        <v>142</v>
      </c>
      <c r="X16" s="295">
        <f t="shared" si="10"/>
        <v>23.856000000000002</v>
      </c>
      <c r="Y16" s="238">
        <v>100</v>
      </c>
      <c r="Z16" s="101">
        <v>300</v>
      </c>
    </row>
    <row r="17" spans="1:26" x14ac:dyDescent="0.25">
      <c r="A17" s="264">
        <v>13</v>
      </c>
      <c r="B17" s="256" t="s">
        <v>146</v>
      </c>
      <c r="C17" s="34">
        <v>140</v>
      </c>
      <c r="D17" s="35">
        <v>240</v>
      </c>
      <c r="E17" s="35">
        <v>8</v>
      </c>
      <c r="F17" s="19">
        <f t="shared" si="5"/>
        <v>0.26879999999999998</v>
      </c>
      <c r="G17" s="286">
        <v>103</v>
      </c>
      <c r="H17" s="288">
        <f t="shared" si="6"/>
        <v>27.686399999999999</v>
      </c>
      <c r="I17" s="290">
        <v>0</v>
      </c>
      <c r="J17" s="205">
        <f t="shared" si="0"/>
        <v>0</v>
      </c>
      <c r="K17" s="290">
        <v>0</v>
      </c>
      <c r="L17" s="205">
        <f t="shared" si="12"/>
        <v>0</v>
      </c>
      <c r="M17" s="290">
        <v>0</v>
      </c>
      <c r="N17" s="205">
        <f t="shared" si="13"/>
        <v>0</v>
      </c>
      <c r="O17" s="290">
        <v>0</v>
      </c>
      <c r="P17" s="205">
        <f t="shared" si="14"/>
        <v>0</v>
      </c>
      <c r="Q17" s="290">
        <v>0</v>
      </c>
      <c r="R17" s="205">
        <f t="shared" si="15"/>
        <v>0</v>
      </c>
      <c r="S17" s="39">
        <f t="shared" si="7"/>
        <v>103</v>
      </c>
      <c r="T17" s="38">
        <f t="shared" si="4"/>
        <v>27.686399999999999</v>
      </c>
      <c r="U17" s="290">
        <v>0</v>
      </c>
      <c r="V17" s="13">
        <f t="shared" si="8"/>
        <v>0</v>
      </c>
      <c r="W17" s="294">
        <f t="shared" si="9"/>
        <v>103</v>
      </c>
      <c r="X17" s="295">
        <f t="shared" si="10"/>
        <v>27.686399999999999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147</v>
      </c>
      <c r="C18" s="34">
        <v>77</v>
      </c>
      <c r="D18" s="35">
        <v>86</v>
      </c>
      <c r="E18" s="35">
        <v>8</v>
      </c>
      <c r="F18" s="19">
        <f t="shared" si="5"/>
        <v>5.2976000000000002E-2</v>
      </c>
      <c r="G18" s="286">
        <v>855</v>
      </c>
      <c r="H18" s="288">
        <f t="shared" si="6"/>
        <v>45.29448</v>
      </c>
      <c r="I18" s="290">
        <v>0</v>
      </c>
      <c r="J18" s="205">
        <f t="shared" si="0"/>
        <v>0</v>
      </c>
      <c r="K18" s="290">
        <v>0</v>
      </c>
      <c r="L18" s="205">
        <f t="shared" si="12"/>
        <v>0</v>
      </c>
      <c r="M18" s="290">
        <v>4</v>
      </c>
      <c r="N18" s="205">
        <f t="shared" si="13"/>
        <v>0.21190400000000001</v>
      </c>
      <c r="O18" s="290">
        <v>0</v>
      </c>
      <c r="P18" s="205">
        <f t="shared" si="14"/>
        <v>0</v>
      </c>
      <c r="Q18" s="290">
        <v>0</v>
      </c>
      <c r="R18" s="205">
        <f t="shared" si="15"/>
        <v>0</v>
      </c>
      <c r="S18" s="39">
        <f t="shared" si="7"/>
        <v>851</v>
      </c>
      <c r="T18" s="38">
        <f t="shared" si="4"/>
        <v>45.082576000000003</v>
      </c>
      <c r="U18" s="290">
        <v>0</v>
      </c>
      <c r="V18" s="13">
        <f t="shared" si="8"/>
        <v>0</v>
      </c>
      <c r="W18" s="294">
        <f t="shared" si="9"/>
        <v>851</v>
      </c>
      <c r="X18" s="295">
        <f t="shared" si="10"/>
        <v>45.082576000000003</v>
      </c>
      <c r="Y18" s="238">
        <v>100</v>
      </c>
      <c r="Z18" s="101">
        <v>300</v>
      </c>
    </row>
    <row r="19" spans="1:26" x14ac:dyDescent="0.25">
      <c r="A19" s="264">
        <v>15</v>
      </c>
      <c r="B19" s="256" t="s">
        <v>148</v>
      </c>
      <c r="C19" s="34">
        <v>77</v>
      </c>
      <c r="D19" s="35">
        <v>68</v>
      </c>
      <c r="E19" s="35">
        <v>8</v>
      </c>
      <c r="F19" s="19">
        <f t="shared" si="5"/>
        <v>4.1888000000000002E-2</v>
      </c>
      <c r="G19" s="286">
        <v>123</v>
      </c>
      <c r="H19" s="288">
        <f t="shared" si="6"/>
        <v>5.1522240000000004</v>
      </c>
      <c r="I19" s="290">
        <v>0</v>
      </c>
      <c r="J19" s="205">
        <f t="shared" si="0"/>
        <v>0</v>
      </c>
      <c r="K19" s="290">
        <v>0</v>
      </c>
      <c r="L19" s="205">
        <f t="shared" si="12"/>
        <v>0</v>
      </c>
      <c r="M19" s="290">
        <v>1</v>
      </c>
      <c r="N19" s="205">
        <f t="shared" si="13"/>
        <v>4.1888000000000002E-2</v>
      </c>
      <c r="O19" s="290">
        <v>0</v>
      </c>
      <c r="P19" s="205">
        <f t="shared" si="14"/>
        <v>0</v>
      </c>
      <c r="Q19" s="290">
        <v>0</v>
      </c>
      <c r="R19" s="205">
        <f t="shared" si="15"/>
        <v>0</v>
      </c>
      <c r="S19" s="39">
        <f t="shared" si="7"/>
        <v>122</v>
      </c>
      <c r="T19" s="38">
        <f t="shared" si="4"/>
        <v>5.1103360000000002</v>
      </c>
      <c r="U19" s="290">
        <v>0</v>
      </c>
      <c r="V19" s="13">
        <f t="shared" si="8"/>
        <v>0</v>
      </c>
      <c r="W19" s="294">
        <f t="shared" si="9"/>
        <v>122</v>
      </c>
      <c r="X19" s="295">
        <f t="shared" si="10"/>
        <v>5.1103360000000002</v>
      </c>
      <c r="Y19" s="238">
        <v>100</v>
      </c>
      <c r="Z19" s="101">
        <v>300</v>
      </c>
    </row>
    <row r="20" spans="1:26" x14ac:dyDescent="0.25">
      <c r="A20" s="264">
        <v>16</v>
      </c>
      <c r="B20" s="256" t="s">
        <v>149</v>
      </c>
      <c r="C20" s="34">
        <v>76</v>
      </c>
      <c r="D20" s="35">
        <v>75</v>
      </c>
      <c r="E20" s="35">
        <v>8</v>
      </c>
      <c r="F20" s="19">
        <f t="shared" si="5"/>
        <v>4.5600000000000002E-2</v>
      </c>
      <c r="G20" s="286">
        <v>1290</v>
      </c>
      <c r="H20" s="288">
        <f t="shared" si="6"/>
        <v>58.824000000000005</v>
      </c>
      <c r="I20" s="290">
        <v>0</v>
      </c>
      <c r="J20" s="205">
        <f t="shared" si="0"/>
        <v>0</v>
      </c>
      <c r="K20" s="290">
        <v>0</v>
      </c>
      <c r="L20" s="205">
        <f t="shared" si="12"/>
        <v>0</v>
      </c>
      <c r="M20" s="290">
        <v>2</v>
      </c>
      <c r="N20" s="205">
        <f t="shared" si="13"/>
        <v>9.1200000000000003E-2</v>
      </c>
      <c r="O20" s="290">
        <v>0</v>
      </c>
      <c r="P20" s="205">
        <f t="shared" si="14"/>
        <v>0</v>
      </c>
      <c r="Q20" s="290">
        <v>0</v>
      </c>
      <c r="R20" s="205">
        <f t="shared" si="15"/>
        <v>0</v>
      </c>
      <c r="S20" s="39">
        <f t="shared" si="7"/>
        <v>1288</v>
      </c>
      <c r="T20" s="38">
        <f t="shared" si="4"/>
        <v>58.732800000000005</v>
      </c>
      <c r="U20" s="290">
        <v>0</v>
      </c>
      <c r="V20" s="13">
        <f t="shared" si="8"/>
        <v>0</v>
      </c>
      <c r="W20" s="294">
        <f t="shared" si="9"/>
        <v>1288</v>
      </c>
      <c r="X20" s="295">
        <f t="shared" si="10"/>
        <v>58.732800000000005</v>
      </c>
      <c r="Y20" s="238">
        <v>100</v>
      </c>
      <c r="Z20" s="101">
        <v>300</v>
      </c>
    </row>
    <row r="21" spans="1:26" x14ac:dyDescent="0.25">
      <c r="A21" s="264">
        <v>17</v>
      </c>
      <c r="B21" s="256" t="s">
        <v>150</v>
      </c>
      <c r="C21" s="34">
        <v>60</v>
      </c>
      <c r="D21" s="35">
        <v>63</v>
      </c>
      <c r="E21" s="35">
        <v>10</v>
      </c>
      <c r="F21" s="19">
        <f t="shared" si="5"/>
        <v>3.78E-2</v>
      </c>
      <c r="G21" s="286">
        <v>497</v>
      </c>
      <c r="H21" s="288">
        <f t="shared" si="6"/>
        <v>18.7866</v>
      </c>
      <c r="I21" s="290">
        <v>0</v>
      </c>
      <c r="J21" s="205">
        <f t="shared" si="0"/>
        <v>0</v>
      </c>
      <c r="K21" s="290">
        <v>0</v>
      </c>
      <c r="L21" s="205">
        <f t="shared" si="0"/>
        <v>0</v>
      </c>
      <c r="M21" s="290">
        <v>0</v>
      </c>
      <c r="N21" s="21">
        <v>0</v>
      </c>
      <c r="O21" s="290">
        <v>0</v>
      </c>
      <c r="P21" s="205">
        <f t="shared" si="14"/>
        <v>0</v>
      </c>
      <c r="Q21" s="290">
        <v>0</v>
      </c>
      <c r="R21" s="21">
        <v>0</v>
      </c>
      <c r="S21" s="39">
        <f t="shared" si="7"/>
        <v>497</v>
      </c>
      <c r="T21" s="38">
        <f t="shared" si="4"/>
        <v>18.7866</v>
      </c>
      <c r="U21" s="290">
        <v>0</v>
      </c>
      <c r="V21" s="13">
        <f t="shared" si="8"/>
        <v>0</v>
      </c>
      <c r="W21" s="294">
        <f t="shared" si="9"/>
        <v>497</v>
      </c>
      <c r="X21" s="295">
        <f t="shared" si="10"/>
        <v>18.7866</v>
      </c>
      <c r="Y21" s="238">
        <v>50</v>
      </c>
      <c r="Z21" s="101">
        <v>200</v>
      </c>
    </row>
    <row r="22" spans="1:26" x14ac:dyDescent="0.25">
      <c r="A22" s="264">
        <v>18</v>
      </c>
      <c r="B22" s="256" t="s">
        <v>151</v>
      </c>
      <c r="C22" s="34">
        <v>63</v>
      </c>
      <c r="D22" s="35">
        <v>60</v>
      </c>
      <c r="E22" s="35">
        <v>3</v>
      </c>
      <c r="F22" s="19">
        <f t="shared" si="5"/>
        <v>1.1339999999999999E-2</v>
      </c>
      <c r="G22" s="286">
        <v>239</v>
      </c>
      <c r="H22" s="288">
        <f t="shared" si="6"/>
        <v>2.7102599999999999</v>
      </c>
      <c r="I22" s="290">
        <v>0</v>
      </c>
      <c r="J22" s="205">
        <f t="shared" si="0"/>
        <v>0</v>
      </c>
      <c r="K22" s="290">
        <v>0</v>
      </c>
      <c r="L22" s="205">
        <f>F22*K22</f>
        <v>0</v>
      </c>
      <c r="M22" s="290">
        <v>0</v>
      </c>
      <c r="N22" s="205">
        <f t="shared" si="13"/>
        <v>0</v>
      </c>
      <c r="O22" s="290">
        <v>0</v>
      </c>
      <c r="P22" s="205">
        <f t="shared" si="14"/>
        <v>0</v>
      </c>
      <c r="Q22" s="290">
        <v>0</v>
      </c>
      <c r="R22" s="21">
        <v>0</v>
      </c>
      <c r="S22" s="39">
        <f t="shared" si="7"/>
        <v>239</v>
      </c>
      <c r="T22" s="38">
        <f t="shared" si="4"/>
        <v>2.7102599999999999</v>
      </c>
      <c r="U22" s="290">
        <v>0</v>
      </c>
      <c r="V22" s="13">
        <f t="shared" si="8"/>
        <v>0</v>
      </c>
      <c r="W22" s="294">
        <f t="shared" si="9"/>
        <v>239</v>
      </c>
      <c r="X22" s="295">
        <f t="shared" si="10"/>
        <v>2.7102599999999999</v>
      </c>
      <c r="Y22" s="238">
        <v>50</v>
      </c>
      <c r="Z22" s="101">
        <v>200</v>
      </c>
    </row>
    <row r="23" spans="1:26" x14ac:dyDescent="0.25">
      <c r="A23" s="264">
        <v>19</v>
      </c>
      <c r="B23" s="42" t="s">
        <v>152</v>
      </c>
      <c r="C23" s="34">
        <v>140</v>
      </c>
      <c r="D23" s="35">
        <v>240</v>
      </c>
      <c r="E23" s="35">
        <v>1.4</v>
      </c>
      <c r="F23" s="19">
        <f t="shared" si="5"/>
        <v>4.7039999999999998E-2</v>
      </c>
      <c r="G23" s="286">
        <v>120</v>
      </c>
      <c r="H23" s="288">
        <f t="shared" si="6"/>
        <v>5.6448</v>
      </c>
      <c r="I23" s="290">
        <v>120</v>
      </c>
      <c r="J23" s="205">
        <f t="shared" si="0"/>
        <v>5.6448</v>
      </c>
      <c r="K23" s="290">
        <v>90</v>
      </c>
      <c r="L23" s="205">
        <f t="shared" ref="L23:L36" si="16">F23*K23</f>
        <v>4.2336</v>
      </c>
      <c r="M23" s="290">
        <v>38</v>
      </c>
      <c r="N23" s="205">
        <f t="shared" si="13"/>
        <v>1.78752</v>
      </c>
      <c r="O23" s="290">
        <v>58</v>
      </c>
      <c r="P23" s="205">
        <f t="shared" si="14"/>
        <v>2.7283200000000001</v>
      </c>
      <c r="Q23" s="290">
        <v>58</v>
      </c>
      <c r="R23" s="205">
        <f t="shared" ref="R23:R37" si="17">F23*Q23</f>
        <v>2.7283200000000001</v>
      </c>
      <c r="S23" s="39">
        <f t="shared" si="7"/>
        <v>-244</v>
      </c>
      <c r="T23" s="38">
        <f t="shared" si="4"/>
        <v>-11.47776</v>
      </c>
      <c r="U23" s="290">
        <v>639</v>
      </c>
      <c r="V23" s="13">
        <f t="shared" si="8"/>
        <v>30.05856</v>
      </c>
      <c r="W23" s="294">
        <f t="shared" si="9"/>
        <v>395</v>
      </c>
      <c r="X23" s="295">
        <f t="shared" si="10"/>
        <v>18.5808</v>
      </c>
      <c r="Y23" s="238">
        <v>200</v>
      </c>
      <c r="Z23" s="101">
        <v>500</v>
      </c>
    </row>
    <row r="24" spans="1:26" x14ac:dyDescent="0.25">
      <c r="A24" s="264">
        <v>20</v>
      </c>
      <c r="B24" s="256" t="s">
        <v>3</v>
      </c>
      <c r="C24" s="34">
        <v>140</v>
      </c>
      <c r="D24" s="35">
        <v>240</v>
      </c>
      <c r="E24" s="35">
        <v>0.8</v>
      </c>
      <c r="F24" s="19">
        <f t="shared" si="5"/>
        <v>2.6880000000000001E-2</v>
      </c>
      <c r="G24" s="286">
        <v>154</v>
      </c>
      <c r="H24" s="288">
        <f t="shared" si="6"/>
        <v>4.1395200000000001</v>
      </c>
      <c r="I24" s="290">
        <v>4</v>
      </c>
      <c r="J24" s="205">
        <f t="shared" si="0"/>
        <v>0.10752</v>
      </c>
      <c r="K24" s="290">
        <v>46</v>
      </c>
      <c r="L24" s="205">
        <f t="shared" si="16"/>
        <v>1.23648</v>
      </c>
      <c r="M24" s="290">
        <v>22</v>
      </c>
      <c r="N24" s="205">
        <f t="shared" si="13"/>
        <v>0.59136</v>
      </c>
      <c r="O24" s="290">
        <v>37</v>
      </c>
      <c r="P24" s="205">
        <f t="shared" si="14"/>
        <v>0.99456</v>
      </c>
      <c r="Q24" s="290">
        <v>30</v>
      </c>
      <c r="R24" s="205">
        <f t="shared" si="17"/>
        <v>0.80640000000000001</v>
      </c>
      <c r="S24" s="39">
        <f t="shared" si="7"/>
        <v>15</v>
      </c>
      <c r="T24" s="38">
        <f t="shared" si="4"/>
        <v>0.4032</v>
      </c>
      <c r="U24" s="290">
        <v>0</v>
      </c>
      <c r="V24" s="13">
        <f t="shared" si="8"/>
        <v>0</v>
      </c>
      <c r="W24" s="294">
        <f t="shared" si="9"/>
        <v>15</v>
      </c>
      <c r="X24" s="295">
        <f t="shared" si="10"/>
        <v>0.4032</v>
      </c>
      <c r="Y24" s="238">
        <v>100</v>
      </c>
      <c r="Z24" s="101">
        <v>300</v>
      </c>
    </row>
    <row r="25" spans="1:26" x14ac:dyDescent="0.25">
      <c r="A25" s="264">
        <v>21</v>
      </c>
      <c r="B25" s="256" t="s">
        <v>153</v>
      </c>
      <c r="C25" s="34">
        <v>58</v>
      </c>
      <c r="D25" s="35">
        <v>58</v>
      </c>
      <c r="E25" s="35">
        <v>2.2999999999999998</v>
      </c>
      <c r="F25" s="19">
        <f t="shared" si="5"/>
        <v>7.7371999999999996E-3</v>
      </c>
      <c r="G25" s="286">
        <v>150</v>
      </c>
      <c r="H25" s="288">
        <f t="shared" si="6"/>
        <v>1.1605799999999999</v>
      </c>
      <c r="I25" s="290">
        <v>185</v>
      </c>
      <c r="J25" s="205">
        <f t="shared" si="0"/>
        <v>1.4313819999999999</v>
      </c>
      <c r="K25" s="290">
        <v>28</v>
      </c>
      <c r="L25" s="205">
        <f t="shared" si="16"/>
        <v>0.21664159999999999</v>
      </c>
      <c r="M25" s="290">
        <v>261</v>
      </c>
      <c r="N25" s="205">
        <f t="shared" si="13"/>
        <v>2.0194092000000001</v>
      </c>
      <c r="O25" s="290">
        <v>220</v>
      </c>
      <c r="P25" s="205">
        <f t="shared" si="14"/>
        <v>1.7021839999999999</v>
      </c>
      <c r="Q25" s="290">
        <v>247</v>
      </c>
      <c r="R25" s="205">
        <f t="shared" si="17"/>
        <v>1.9110883999999999</v>
      </c>
      <c r="S25" s="39">
        <f t="shared" si="7"/>
        <v>-791</v>
      </c>
      <c r="T25" s="38">
        <f t="shared" si="4"/>
        <v>-6.1201251999999995</v>
      </c>
      <c r="U25" s="290">
        <v>802</v>
      </c>
      <c r="V25" s="13">
        <f t="shared" si="8"/>
        <v>6.2052344000000002</v>
      </c>
      <c r="W25" s="294">
        <f t="shared" si="9"/>
        <v>11</v>
      </c>
      <c r="X25" s="295">
        <f t="shared" si="10"/>
        <v>8.5109199999999996E-2</v>
      </c>
      <c r="Y25" s="238">
        <v>200</v>
      </c>
      <c r="Z25" s="101">
        <v>750</v>
      </c>
    </row>
    <row r="26" spans="1:26" x14ac:dyDescent="0.25">
      <c r="A26" s="264">
        <v>22</v>
      </c>
      <c r="B26" s="256" t="s">
        <v>154</v>
      </c>
      <c r="C26" s="34">
        <v>140</v>
      </c>
      <c r="D26" s="35">
        <v>240</v>
      </c>
      <c r="E26" s="35">
        <v>7</v>
      </c>
      <c r="F26" s="19">
        <f t="shared" si="5"/>
        <v>0.23519999999999999</v>
      </c>
      <c r="G26" s="286">
        <v>65</v>
      </c>
      <c r="H26" s="288">
        <f t="shared" si="6"/>
        <v>15.288</v>
      </c>
      <c r="I26" s="290">
        <v>12</v>
      </c>
      <c r="J26" s="205">
        <f t="shared" si="0"/>
        <v>2.8224</v>
      </c>
      <c r="K26" s="290">
        <v>10</v>
      </c>
      <c r="L26" s="205">
        <f t="shared" si="16"/>
        <v>2.3519999999999999</v>
      </c>
      <c r="M26" s="290">
        <v>5</v>
      </c>
      <c r="N26" s="205">
        <f t="shared" si="13"/>
        <v>1.1759999999999999</v>
      </c>
      <c r="O26" s="290">
        <v>6</v>
      </c>
      <c r="P26" s="205">
        <f t="shared" si="14"/>
        <v>1.4112</v>
      </c>
      <c r="Q26" s="290">
        <v>8</v>
      </c>
      <c r="R26" s="205">
        <f t="shared" si="17"/>
        <v>1.8815999999999999</v>
      </c>
      <c r="S26" s="39">
        <f t="shared" si="7"/>
        <v>24</v>
      </c>
      <c r="T26" s="38">
        <f t="shared" si="4"/>
        <v>5.6448</v>
      </c>
      <c r="U26" s="290">
        <v>12</v>
      </c>
      <c r="V26" s="13">
        <f t="shared" si="8"/>
        <v>2.8224</v>
      </c>
      <c r="W26" s="294">
        <f t="shared" si="9"/>
        <v>36</v>
      </c>
      <c r="X26" s="295">
        <f t="shared" si="10"/>
        <v>8.4672000000000001</v>
      </c>
      <c r="Y26" s="238">
        <v>50</v>
      </c>
      <c r="Z26" s="101">
        <v>200</v>
      </c>
    </row>
    <row r="27" spans="1:26" ht="15.75" x14ac:dyDescent="0.25">
      <c r="A27" s="264">
        <v>23</v>
      </c>
      <c r="B27" s="256" t="s">
        <v>55</v>
      </c>
      <c r="C27" s="111">
        <v>50</v>
      </c>
      <c r="D27" s="112">
        <v>45</v>
      </c>
      <c r="E27" s="112">
        <v>4</v>
      </c>
      <c r="F27" s="19">
        <f t="shared" si="5"/>
        <v>8.9999999999999993E-3</v>
      </c>
      <c r="G27" s="286">
        <v>1550</v>
      </c>
      <c r="H27" s="288">
        <f t="shared" si="6"/>
        <v>13.95</v>
      </c>
      <c r="I27" s="290">
        <v>0</v>
      </c>
      <c r="J27" s="205">
        <f t="shared" si="0"/>
        <v>0</v>
      </c>
      <c r="K27" s="290">
        <v>0</v>
      </c>
      <c r="L27" s="205">
        <f t="shared" si="16"/>
        <v>0</v>
      </c>
      <c r="M27" s="290">
        <v>0</v>
      </c>
      <c r="N27" s="205">
        <f t="shared" si="13"/>
        <v>0</v>
      </c>
      <c r="O27" s="290">
        <v>0</v>
      </c>
      <c r="P27" s="205">
        <f t="shared" si="14"/>
        <v>0</v>
      </c>
      <c r="Q27" s="290">
        <v>0</v>
      </c>
      <c r="R27" s="205">
        <f t="shared" si="17"/>
        <v>0</v>
      </c>
      <c r="S27" s="39">
        <f t="shared" si="7"/>
        <v>1550</v>
      </c>
      <c r="T27" s="38">
        <f t="shared" si="4"/>
        <v>13.95</v>
      </c>
      <c r="U27" s="290">
        <v>0</v>
      </c>
      <c r="V27" s="13">
        <f t="shared" si="8"/>
        <v>0</v>
      </c>
      <c r="W27" s="294">
        <f t="shared" si="9"/>
        <v>1550</v>
      </c>
      <c r="X27" s="295">
        <f t="shared" si="10"/>
        <v>13.95</v>
      </c>
      <c r="Y27" s="238">
        <v>300</v>
      </c>
      <c r="Z27" s="101">
        <v>1000</v>
      </c>
    </row>
    <row r="28" spans="1:26" ht="15.75" x14ac:dyDescent="0.25">
      <c r="A28" s="264">
        <v>24</v>
      </c>
      <c r="B28" s="256" t="s">
        <v>56</v>
      </c>
      <c r="C28" s="111">
        <v>50</v>
      </c>
      <c r="D28" s="112">
        <v>35</v>
      </c>
      <c r="E28" s="112">
        <v>4</v>
      </c>
      <c r="F28" s="19">
        <f t="shared" si="5"/>
        <v>7.0000000000000001E-3</v>
      </c>
      <c r="G28" s="286">
        <v>0</v>
      </c>
      <c r="H28" s="288">
        <f t="shared" si="6"/>
        <v>0</v>
      </c>
      <c r="I28" s="290">
        <v>0</v>
      </c>
      <c r="J28" s="205">
        <f t="shared" si="0"/>
        <v>0</v>
      </c>
      <c r="K28" s="290">
        <v>0</v>
      </c>
      <c r="L28" s="205">
        <f t="shared" si="16"/>
        <v>0</v>
      </c>
      <c r="M28" s="290">
        <v>0</v>
      </c>
      <c r="N28" s="205">
        <f t="shared" si="13"/>
        <v>0</v>
      </c>
      <c r="O28" s="290">
        <v>0</v>
      </c>
      <c r="P28" s="205">
        <f t="shared" si="14"/>
        <v>0</v>
      </c>
      <c r="Q28" s="290">
        <v>0</v>
      </c>
      <c r="R28" s="205">
        <f t="shared" si="17"/>
        <v>0</v>
      </c>
      <c r="S28" s="39">
        <f t="shared" si="7"/>
        <v>0</v>
      </c>
      <c r="T28" s="38">
        <f t="shared" si="4"/>
        <v>0</v>
      </c>
      <c r="U28" s="290">
        <v>0</v>
      </c>
      <c r="V28" s="13">
        <f t="shared" si="8"/>
        <v>0</v>
      </c>
      <c r="W28" s="294">
        <f t="shared" si="9"/>
        <v>0</v>
      </c>
      <c r="X28" s="295">
        <f t="shared" si="10"/>
        <v>0</v>
      </c>
      <c r="Y28" s="238">
        <v>300</v>
      </c>
      <c r="Z28" s="101">
        <v>1000</v>
      </c>
    </row>
    <row r="29" spans="1:26" ht="15.75" x14ac:dyDescent="0.25">
      <c r="A29" s="264">
        <v>25</v>
      </c>
      <c r="B29" s="256" t="s">
        <v>57</v>
      </c>
      <c r="C29" s="111">
        <v>45</v>
      </c>
      <c r="D29" s="112">
        <v>44</v>
      </c>
      <c r="E29" s="112">
        <v>3</v>
      </c>
      <c r="F29" s="19">
        <f t="shared" si="5"/>
        <v>5.94E-3</v>
      </c>
      <c r="G29" s="286">
        <v>290</v>
      </c>
      <c r="H29" s="288">
        <f t="shared" si="6"/>
        <v>1.7225999999999999</v>
      </c>
      <c r="I29" s="290">
        <v>0</v>
      </c>
      <c r="J29" s="205">
        <f t="shared" si="0"/>
        <v>0</v>
      </c>
      <c r="K29" s="290">
        <v>0</v>
      </c>
      <c r="L29" s="205">
        <f t="shared" si="16"/>
        <v>0</v>
      </c>
      <c r="M29" s="290">
        <v>0</v>
      </c>
      <c r="N29" s="205">
        <f t="shared" si="13"/>
        <v>0</v>
      </c>
      <c r="O29" s="290">
        <v>135</v>
      </c>
      <c r="P29" s="205">
        <f t="shared" si="14"/>
        <v>0.80189999999999995</v>
      </c>
      <c r="Q29" s="290">
        <v>0</v>
      </c>
      <c r="R29" s="205">
        <f t="shared" si="17"/>
        <v>0</v>
      </c>
      <c r="S29" s="39">
        <f t="shared" si="7"/>
        <v>155</v>
      </c>
      <c r="T29" s="38">
        <f t="shared" si="4"/>
        <v>0.92069999999999996</v>
      </c>
      <c r="U29" s="290">
        <v>0</v>
      </c>
      <c r="V29" s="13">
        <f t="shared" si="8"/>
        <v>0</v>
      </c>
      <c r="W29" s="294">
        <f t="shared" si="9"/>
        <v>155</v>
      </c>
      <c r="X29" s="295">
        <f t="shared" si="10"/>
        <v>0.92069999999999996</v>
      </c>
      <c r="Y29" s="238">
        <v>500</v>
      </c>
      <c r="Z29" s="101">
        <v>1500</v>
      </c>
    </row>
    <row r="30" spans="1:26" ht="15.75" x14ac:dyDescent="0.25">
      <c r="A30" s="264">
        <v>26</v>
      </c>
      <c r="B30" s="256" t="s">
        <v>58</v>
      </c>
      <c r="C30" s="111">
        <v>45</v>
      </c>
      <c r="D30" s="112">
        <v>35.5</v>
      </c>
      <c r="E30" s="112">
        <v>3</v>
      </c>
      <c r="F30" s="19">
        <f t="shared" si="5"/>
        <v>4.7924999999999999E-3</v>
      </c>
      <c r="G30" s="286">
        <v>150</v>
      </c>
      <c r="H30" s="288">
        <f t="shared" si="6"/>
        <v>0.71887499999999993</v>
      </c>
      <c r="I30" s="290">
        <v>0</v>
      </c>
      <c r="J30" s="205">
        <f t="shared" si="0"/>
        <v>0</v>
      </c>
      <c r="K30" s="290">
        <v>0</v>
      </c>
      <c r="L30" s="205">
        <f t="shared" si="16"/>
        <v>0</v>
      </c>
      <c r="M30" s="290">
        <v>0</v>
      </c>
      <c r="N30" s="205">
        <f t="shared" si="13"/>
        <v>0</v>
      </c>
      <c r="O30" s="290">
        <v>132</v>
      </c>
      <c r="P30" s="205">
        <f t="shared" si="14"/>
        <v>0.63261000000000001</v>
      </c>
      <c r="Q30" s="290">
        <v>0</v>
      </c>
      <c r="R30" s="205">
        <f t="shared" si="17"/>
        <v>0</v>
      </c>
      <c r="S30" s="39">
        <f t="shared" si="7"/>
        <v>18</v>
      </c>
      <c r="T30" s="38">
        <f t="shared" si="4"/>
        <v>8.6264999999999994E-2</v>
      </c>
      <c r="U30" s="290">
        <v>0</v>
      </c>
      <c r="V30" s="13">
        <f t="shared" si="8"/>
        <v>0</v>
      </c>
      <c r="W30" s="294">
        <f t="shared" si="9"/>
        <v>18</v>
      </c>
      <c r="X30" s="295">
        <f t="shared" si="10"/>
        <v>8.6264999999999994E-2</v>
      </c>
      <c r="Y30" s="238">
        <v>500</v>
      </c>
      <c r="Z30" s="101">
        <v>1500</v>
      </c>
    </row>
    <row r="31" spans="1:26" x14ac:dyDescent="0.25">
      <c r="A31" s="264">
        <v>27</v>
      </c>
      <c r="B31" s="256" t="s">
        <v>155</v>
      </c>
      <c r="C31" s="34">
        <v>140</v>
      </c>
      <c r="D31" s="35">
        <v>9.5</v>
      </c>
      <c r="E31" s="35">
        <v>6.5</v>
      </c>
      <c r="F31" s="19">
        <f t="shared" si="5"/>
        <v>8.6449999999999999E-3</v>
      </c>
      <c r="G31" s="286">
        <v>0</v>
      </c>
      <c r="H31" s="288">
        <f t="shared" si="6"/>
        <v>0</v>
      </c>
      <c r="I31" s="290">
        <v>0</v>
      </c>
      <c r="J31" s="205">
        <f t="shared" si="0"/>
        <v>0</v>
      </c>
      <c r="K31" s="290">
        <v>100</v>
      </c>
      <c r="L31" s="205">
        <f t="shared" si="16"/>
        <v>0.86450000000000005</v>
      </c>
      <c r="M31" s="290"/>
      <c r="N31" s="205">
        <f t="shared" si="13"/>
        <v>0</v>
      </c>
      <c r="O31" s="290">
        <v>47</v>
      </c>
      <c r="P31" s="205">
        <f t="shared" si="14"/>
        <v>0.40631499999999998</v>
      </c>
      <c r="Q31" s="290">
        <v>70</v>
      </c>
      <c r="R31" s="205">
        <f t="shared" si="17"/>
        <v>0.60514999999999997</v>
      </c>
      <c r="S31" s="39">
        <f t="shared" si="7"/>
        <v>-217</v>
      </c>
      <c r="T31" s="38">
        <f t="shared" si="4"/>
        <v>-1.8759649999999999</v>
      </c>
      <c r="U31" s="290">
        <v>987</v>
      </c>
      <c r="V31" s="13">
        <f t="shared" si="8"/>
        <v>8.5326149999999998</v>
      </c>
      <c r="W31" s="294">
        <f t="shared" si="9"/>
        <v>770</v>
      </c>
      <c r="X31" s="295">
        <f t="shared" si="10"/>
        <v>6.65665</v>
      </c>
      <c r="Y31" s="238">
        <v>500</v>
      </c>
      <c r="Z31" s="101">
        <v>1500</v>
      </c>
    </row>
    <row r="32" spans="1:26" x14ac:dyDescent="0.25">
      <c r="A32" s="264">
        <v>28</v>
      </c>
      <c r="B32" s="256" t="s">
        <v>156</v>
      </c>
      <c r="C32" s="34">
        <v>140</v>
      </c>
      <c r="D32" s="35">
        <v>240</v>
      </c>
      <c r="E32" s="35">
        <v>1</v>
      </c>
      <c r="F32" s="19">
        <f t="shared" si="5"/>
        <v>3.3599999999999998E-2</v>
      </c>
      <c r="G32" s="286">
        <v>1110</v>
      </c>
      <c r="H32" s="288">
        <f t="shared" si="6"/>
        <v>37.295999999999999</v>
      </c>
      <c r="I32" s="290">
        <v>108</v>
      </c>
      <c r="J32" s="205">
        <f t="shared" si="0"/>
        <v>3.6287999999999996</v>
      </c>
      <c r="K32" s="290">
        <v>124</v>
      </c>
      <c r="L32" s="205">
        <f t="shared" si="16"/>
        <v>4.1663999999999994</v>
      </c>
      <c r="M32" s="290">
        <v>110</v>
      </c>
      <c r="N32" s="205">
        <f t="shared" si="13"/>
        <v>3.6959999999999997</v>
      </c>
      <c r="O32" s="290">
        <v>77</v>
      </c>
      <c r="P32" s="205">
        <f t="shared" si="14"/>
        <v>2.5871999999999997</v>
      </c>
      <c r="Q32" s="290">
        <v>130</v>
      </c>
      <c r="R32" s="205">
        <f>F32*Q32</f>
        <v>4.3679999999999994</v>
      </c>
      <c r="S32" s="39">
        <f t="shared" si="7"/>
        <v>561</v>
      </c>
      <c r="T32" s="38">
        <f t="shared" si="4"/>
        <v>18.849599999999999</v>
      </c>
      <c r="U32" s="290">
        <v>0</v>
      </c>
      <c r="V32" s="13">
        <f t="shared" si="8"/>
        <v>0</v>
      </c>
      <c r="W32" s="294">
        <f t="shared" si="9"/>
        <v>561</v>
      </c>
      <c r="X32" s="295">
        <f t="shared" si="10"/>
        <v>18.849599999999999</v>
      </c>
      <c r="Y32" s="238">
        <v>500</v>
      </c>
      <c r="Z32" s="101">
        <v>1500</v>
      </c>
    </row>
    <row r="33" spans="1:26" x14ac:dyDescent="0.25">
      <c r="A33" s="264">
        <v>29</v>
      </c>
      <c r="B33" s="256" t="s">
        <v>157</v>
      </c>
      <c r="C33" s="34">
        <v>140</v>
      </c>
      <c r="D33" s="35">
        <v>240</v>
      </c>
      <c r="E33" s="35">
        <v>2</v>
      </c>
      <c r="F33" s="19">
        <f t="shared" si="5"/>
        <v>6.7199999999999996E-2</v>
      </c>
      <c r="G33" s="286">
        <v>113</v>
      </c>
      <c r="H33" s="288">
        <f t="shared" si="6"/>
        <v>7.5935999999999995</v>
      </c>
      <c r="I33" s="290">
        <v>13</v>
      </c>
      <c r="J33" s="205">
        <f t="shared" si="0"/>
        <v>0.87359999999999993</v>
      </c>
      <c r="K33" s="290">
        <v>19</v>
      </c>
      <c r="L33" s="205">
        <f t="shared" si="16"/>
        <v>1.2767999999999999</v>
      </c>
      <c r="M33" s="290">
        <v>29</v>
      </c>
      <c r="N33" s="205">
        <f t="shared" si="13"/>
        <v>1.9487999999999999</v>
      </c>
      <c r="O33" s="290">
        <v>18</v>
      </c>
      <c r="P33" s="205">
        <f t="shared" si="14"/>
        <v>1.2096</v>
      </c>
      <c r="Q33" s="290">
        <v>10</v>
      </c>
      <c r="R33" s="205">
        <f>F33*Q33</f>
        <v>0.67199999999999993</v>
      </c>
      <c r="S33" s="39">
        <f t="shared" si="7"/>
        <v>24</v>
      </c>
      <c r="T33" s="38">
        <f t="shared" si="4"/>
        <v>1.6128</v>
      </c>
      <c r="U33" s="290">
        <v>0</v>
      </c>
      <c r="V33" s="13">
        <f t="shared" si="8"/>
        <v>0</v>
      </c>
      <c r="W33" s="294">
        <f t="shared" si="9"/>
        <v>24</v>
      </c>
      <c r="X33" s="295">
        <f t="shared" si="10"/>
        <v>1.6128</v>
      </c>
      <c r="Y33" s="238">
        <v>75</v>
      </c>
      <c r="Z33" s="101">
        <v>150</v>
      </c>
    </row>
    <row r="34" spans="1:26" x14ac:dyDescent="0.25">
      <c r="A34" s="264">
        <v>30</v>
      </c>
      <c r="B34" s="256" t="s">
        <v>158</v>
      </c>
      <c r="C34" s="34">
        <v>140</v>
      </c>
      <c r="D34" s="35">
        <v>240</v>
      </c>
      <c r="E34" s="35">
        <v>3</v>
      </c>
      <c r="F34" s="19">
        <f t="shared" si="5"/>
        <v>0.1008</v>
      </c>
      <c r="G34" s="286">
        <v>120</v>
      </c>
      <c r="H34" s="288">
        <f t="shared" si="6"/>
        <v>12.096</v>
      </c>
      <c r="I34" s="290">
        <v>7</v>
      </c>
      <c r="J34" s="205">
        <f>F34*I34</f>
        <v>0.7056</v>
      </c>
      <c r="K34" s="290">
        <v>45</v>
      </c>
      <c r="L34" s="205">
        <f t="shared" si="16"/>
        <v>4.5359999999999996</v>
      </c>
      <c r="M34" s="290">
        <v>15</v>
      </c>
      <c r="N34" s="205">
        <f t="shared" si="13"/>
        <v>1.512</v>
      </c>
      <c r="O34" s="290">
        <v>4</v>
      </c>
      <c r="P34" s="205">
        <f t="shared" si="14"/>
        <v>0.4032</v>
      </c>
      <c r="Q34" s="290">
        <v>15</v>
      </c>
      <c r="R34" s="205">
        <f t="shared" si="17"/>
        <v>1.512</v>
      </c>
      <c r="S34" s="39">
        <f t="shared" si="7"/>
        <v>34</v>
      </c>
      <c r="T34" s="38">
        <f t="shared" si="4"/>
        <v>3.4272</v>
      </c>
      <c r="U34" s="290">
        <v>0</v>
      </c>
      <c r="V34" s="13">
        <f t="shared" si="8"/>
        <v>0</v>
      </c>
      <c r="W34" s="294">
        <f t="shared" si="9"/>
        <v>34</v>
      </c>
      <c r="X34" s="295">
        <f t="shared" si="10"/>
        <v>3.4272</v>
      </c>
      <c r="Y34" s="238">
        <v>75</v>
      </c>
      <c r="Z34" s="101">
        <v>150</v>
      </c>
    </row>
    <row r="35" spans="1:26" x14ac:dyDescent="0.25">
      <c r="A35" s="264">
        <v>31</v>
      </c>
      <c r="B35" s="256" t="s">
        <v>159</v>
      </c>
      <c r="C35" s="34">
        <v>140</v>
      </c>
      <c r="D35" s="35">
        <v>240</v>
      </c>
      <c r="E35" s="35">
        <v>4</v>
      </c>
      <c r="F35" s="19">
        <f t="shared" si="5"/>
        <v>0.13439999999999999</v>
      </c>
      <c r="G35" s="286">
        <v>3</v>
      </c>
      <c r="H35" s="288">
        <f t="shared" si="6"/>
        <v>0.4032</v>
      </c>
      <c r="I35" s="290">
        <v>0</v>
      </c>
      <c r="J35" s="205">
        <f t="shared" si="0"/>
        <v>0</v>
      </c>
      <c r="K35" s="290">
        <v>0</v>
      </c>
      <c r="L35" s="205">
        <f t="shared" si="16"/>
        <v>0</v>
      </c>
      <c r="M35" s="290">
        <v>3</v>
      </c>
      <c r="N35" s="205">
        <f t="shared" si="13"/>
        <v>0.4032</v>
      </c>
      <c r="O35" s="290">
        <v>0</v>
      </c>
      <c r="P35" s="205">
        <f t="shared" si="14"/>
        <v>0</v>
      </c>
      <c r="Q35" s="290">
        <v>0</v>
      </c>
      <c r="R35" s="205">
        <f t="shared" si="17"/>
        <v>0</v>
      </c>
      <c r="S35" s="39">
        <f t="shared" si="7"/>
        <v>0</v>
      </c>
      <c r="T35" s="38">
        <f t="shared" si="4"/>
        <v>0</v>
      </c>
      <c r="U35" s="290">
        <v>0</v>
      </c>
      <c r="V35" s="13">
        <f t="shared" si="8"/>
        <v>0</v>
      </c>
      <c r="W35" s="294">
        <f t="shared" si="9"/>
        <v>0</v>
      </c>
      <c r="X35" s="295">
        <f t="shared" si="10"/>
        <v>0</v>
      </c>
      <c r="Y35" s="238">
        <v>50</v>
      </c>
      <c r="Z35" s="101">
        <v>100</v>
      </c>
    </row>
    <row r="36" spans="1:26" x14ac:dyDescent="0.25">
      <c r="A36" s="264">
        <v>32</v>
      </c>
      <c r="B36" s="256" t="s">
        <v>160</v>
      </c>
      <c r="C36" s="34">
        <v>140</v>
      </c>
      <c r="D36" s="35">
        <v>240</v>
      </c>
      <c r="E36" s="35">
        <v>2</v>
      </c>
      <c r="F36" s="19">
        <f t="shared" si="5"/>
        <v>6.7199999999999996E-2</v>
      </c>
      <c r="G36" s="286">
        <v>126</v>
      </c>
      <c r="H36" s="288">
        <f t="shared" si="6"/>
        <v>8.4672000000000001</v>
      </c>
      <c r="I36" s="290">
        <v>22</v>
      </c>
      <c r="J36" s="205">
        <f>F36*I36</f>
        <v>1.4783999999999999</v>
      </c>
      <c r="K36" s="290">
        <v>58</v>
      </c>
      <c r="L36" s="205">
        <f t="shared" si="16"/>
        <v>3.8975999999999997</v>
      </c>
      <c r="M36" s="290">
        <v>26</v>
      </c>
      <c r="N36" s="205">
        <f t="shared" si="13"/>
        <v>1.7471999999999999</v>
      </c>
      <c r="O36" s="290">
        <v>20</v>
      </c>
      <c r="P36" s="205">
        <f t="shared" si="14"/>
        <v>1.3439999999999999</v>
      </c>
      <c r="Q36" s="290">
        <v>0</v>
      </c>
      <c r="R36" s="205">
        <f t="shared" si="17"/>
        <v>0</v>
      </c>
      <c r="S36" s="39">
        <f t="shared" si="7"/>
        <v>0</v>
      </c>
      <c r="T36" s="38">
        <f t="shared" si="4"/>
        <v>0</v>
      </c>
      <c r="U36" s="290">
        <v>0</v>
      </c>
      <c r="V36" s="13">
        <f t="shared" si="8"/>
        <v>0</v>
      </c>
      <c r="W36" s="294">
        <f t="shared" si="9"/>
        <v>0</v>
      </c>
      <c r="X36" s="295">
        <f t="shared" si="10"/>
        <v>0</v>
      </c>
      <c r="Y36" s="238">
        <v>200</v>
      </c>
      <c r="Z36" s="101">
        <v>300</v>
      </c>
    </row>
    <row r="37" spans="1:26" x14ac:dyDescent="0.25">
      <c r="A37" s="264">
        <v>33</v>
      </c>
      <c r="B37" s="256" t="s">
        <v>222</v>
      </c>
      <c r="C37" s="34">
        <v>140</v>
      </c>
      <c r="D37" s="35">
        <v>240</v>
      </c>
      <c r="E37" s="35">
        <v>6</v>
      </c>
      <c r="F37" s="19">
        <f t="shared" si="5"/>
        <v>0.2016</v>
      </c>
      <c r="G37" s="286">
        <v>30</v>
      </c>
      <c r="H37" s="288">
        <f t="shared" si="6"/>
        <v>6.048</v>
      </c>
      <c r="I37" s="290">
        <v>0</v>
      </c>
      <c r="J37" s="205">
        <f t="shared" si="0"/>
        <v>0</v>
      </c>
      <c r="K37" s="290">
        <v>0</v>
      </c>
      <c r="L37" s="205">
        <f>F37*K37</f>
        <v>0</v>
      </c>
      <c r="M37" s="290">
        <v>0</v>
      </c>
      <c r="N37" s="205">
        <f t="shared" si="13"/>
        <v>0</v>
      </c>
      <c r="O37" s="290">
        <v>0</v>
      </c>
      <c r="P37" s="21">
        <v>0</v>
      </c>
      <c r="Q37" s="290">
        <v>0</v>
      </c>
      <c r="R37" s="205">
        <f t="shared" si="17"/>
        <v>0</v>
      </c>
      <c r="S37" s="39">
        <f t="shared" si="7"/>
        <v>30</v>
      </c>
      <c r="T37" s="38">
        <f t="shared" si="4"/>
        <v>6.048</v>
      </c>
      <c r="U37" s="290">
        <v>0</v>
      </c>
      <c r="V37" s="13">
        <f t="shared" si="8"/>
        <v>0</v>
      </c>
      <c r="W37" s="294">
        <f t="shared" si="9"/>
        <v>30</v>
      </c>
      <c r="X37" s="295">
        <f t="shared" si="10"/>
        <v>6.048</v>
      </c>
      <c r="Y37" s="238">
        <v>10</v>
      </c>
      <c r="Z37" s="101">
        <v>30</v>
      </c>
    </row>
    <row r="38" spans="1:26" x14ac:dyDescent="0.25">
      <c r="A38" s="264">
        <v>34</v>
      </c>
      <c r="B38" s="256" t="s">
        <v>181</v>
      </c>
      <c r="C38" s="34">
        <v>80</v>
      </c>
      <c r="D38" s="35">
        <v>75</v>
      </c>
      <c r="E38" s="35">
        <v>5</v>
      </c>
      <c r="F38" s="19">
        <f t="shared" si="5"/>
        <v>0.03</v>
      </c>
      <c r="G38" s="286">
        <v>175</v>
      </c>
      <c r="H38" s="288">
        <f t="shared" si="6"/>
        <v>5.25</v>
      </c>
      <c r="I38" s="290">
        <v>0</v>
      </c>
      <c r="J38" s="205">
        <f t="shared" si="0"/>
        <v>0</v>
      </c>
      <c r="K38" s="290">
        <v>0</v>
      </c>
      <c r="L38" s="205">
        <f t="shared" si="0"/>
        <v>0</v>
      </c>
      <c r="M38" s="290">
        <v>0</v>
      </c>
      <c r="N38" s="21">
        <v>0</v>
      </c>
      <c r="O38" s="290">
        <v>0</v>
      </c>
      <c r="P38" s="21">
        <v>0</v>
      </c>
      <c r="Q38" s="290">
        <v>0</v>
      </c>
      <c r="R38" s="21">
        <v>0</v>
      </c>
      <c r="S38" s="39">
        <f t="shared" si="7"/>
        <v>175</v>
      </c>
      <c r="T38" s="38">
        <f t="shared" si="4"/>
        <v>5.25</v>
      </c>
      <c r="U38" s="290">
        <v>0</v>
      </c>
      <c r="V38" s="13">
        <f t="shared" si="8"/>
        <v>0</v>
      </c>
      <c r="W38" s="294">
        <f t="shared" si="9"/>
        <v>175</v>
      </c>
      <c r="X38" s="295">
        <f t="shared" si="10"/>
        <v>5.25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182</v>
      </c>
      <c r="C39" s="34">
        <v>100</v>
      </c>
      <c r="D39" s="35">
        <v>95</v>
      </c>
      <c r="E39" s="35">
        <v>5</v>
      </c>
      <c r="F39" s="19">
        <f t="shared" si="5"/>
        <v>4.7500000000000001E-2</v>
      </c>
      <c r="G39" s="286">
        <v>85</v>
      </c>
      <c r="H39" s="288">
        <f t="shared" si="6"/>
        <v>4.0374999999999996</v>
      </c>
      <c r="I39" s="290">
        <v>0</v>
      </c>
      <c r="J39" s="205">
        <f t="shared" si="0"/>
        <v>0</v>
      </c>
      <c r="K39" s="290">
        <v>0</v>
      </c>
      <c r="L39" s="205">
        <f>F39*K39</f>
        <v>0</v>
      </c>
      <c r="M39" s="290">
        <v>0</v>
      </c>
      <c r="N39" s="205">
        <f>F39*M39</f>
        <v>0</v>
      </c>
      <c r="O39" s="290">
        <v>0</v>
      </c>
      <c r="P39" s="205">
        <f>J39*O39</f>
        <v>0</v>
      </c>
      <c r="Q39" s="290">
        <v>0</v>
      </c>
      <c r="R39" s="205">
        <f>L39*Q39</f>
        <v>0</v>
      </c>
      <c r="S39" s="39">
        <f t="shared" si="7"/>
        <v>85</v>
      </c>
      <c r="T39" s="38">
        <f t="shared" si="4"/>
        <v>4.0374999999999996</v>
      </c>
      <c r="U39" s="290">
        <v>0</v>
      </c>
      <c r="V39" s="13">
        <f t="shared" si="8"/>
        <v>0</v>
      </c>
      <c r="W39" s="294">
        <f t="shared" si="9"/>
        <v>85</v>
      </c>
      <c r="X39" s="295">
        <f t="shared" si="10"/>
        <v>4.0374999999999996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196</v>
      </c>
      <c r="C40" s="34">
        <v>65</v>
      </c>
      <c r="D40" s="35">
        <v>60</v>
      </c>
      <c r="E40" s="35">
        <v>5</v>
      </c>
      <c r="F40" s="19">
        <f t="shared" si="5"/>
        <v>1.95E-2</v>
      </c>
      <c r="G40" s="286">
        <v>360</v>
      </c>
      <c r="H40" s="288">
        <f t="shared" si="6"/>
        <v>7.02</v>
      </c>
      <c r="I40" s="290">
        <v>0</v>
      </c>
      <c r="J40" s="205">
        <f t="shared" si="0"/>
        <v>0</v>
      </c>
      <c r="K40" s="290">
        <v>0</v>
      </c>
      <c r="L40" s="205">
        <f>F40*K40</f>
        <v>0</v>
      </c>
      <c r="M40" s="290">
        <v>0</v>
      </c>
      <c r="N40" s="205">
        <f>F40*M40</f>
        <v>0</v>
      </c>
      <c r="O40" s="290">
        <v>90</v>
      </c>
      <c r="P40" s="205">
        <f>F40*O40</f>
        <v>1.7549999999999999</v>
      </c>
      <c r="Q40" s="290">
        <v>0</v>
      </c>
      <c r="R40" s="205">
        <f>F40*Q40</f>
        <v>0</v>
      </c>
      <c r="S40" s="39">
        <f t="shared" si="7"/>
        <v>270</v>
      </c>
      <c r="T40" s="38">
        <f t="shared" si="4"/>
        <v>5.2649999999999997</v>
      </c>
      <c r="U40" s="290">
        <v>90</v>
      </c>
      <c r="V40" s="13">
        <f t="shared" si="8"/>
        <v>1.7549999999999999</v>
      </c>
      <c r="W40" s="294">
        <f t="shared" si="9"/>
        <v>360</v>
      </c>
      <c r="X40" s="295">
        <f t="shared" si="10"/>
        <v>7.02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165</v>
      </c>
      <c r="C41" s="34">
        <v>140</v>
      </c>
      <c r="D41" s="35">
        <v>240</v>
      </c>
      <c r="E41" s="35">
        <v>10</v>
      </c>
      <c r="F41" s="19">
        <f t="shared" si="5"/>
        <v>0.33600000000000002</v>
      </c>
      <c r="G41" s="286">
        <v>37</v>
      </c>
      <c r="H41" s="288">
        <f t="shared" si="6"/>
        <v>12.432</v>
      </c>
      <c r="I41" s="290">
        <v>7</v>
      </c>
      <c r="J41" s="205">
        <f>F41*I41</f>
        <v>2.3520000000000003</v>
      </c>
      <c r="K41" s="290">
        <v>4</v>
      </c>
      <c r="L41" s="205">
        <f>F41*K41</f>
        <v>1.3440000000000001</v>
      </c>
      <c r="M41" s="290">
        <v>11</v>
      </c>
      <c r="N41" s="205">
        <f>F41*M41</f>
        <v>3.6960000000000002</v>
      </c>
      <c r="O41" s="290">
        <v>2</v>
      </c>
      <c r="P41" s="205">
        <f>F41*O41</f>
        <v>0.67200000000000004</v>
      </c>
      <c r="Q41" s="290">
        <v>9</v>
      </c>
      <c r="R41" s="205">
        <f>F41*Q41</f>
        <v>3.024</v>
      </c>
      <c r="S41" s="39">
        <f t="shared" si="7"/>
        <v>4</v>
      </c>
      <c r="T41" s="38">
        <f t="shared" si="4"/>
        <v>1.3440000000000001</v>
      </c>
      <c r="U41" s="290">
        <v>21</v>
      </c>
      <c r="V41" s="13">
        <f t="shared" si="8"/>
        <v>7.056</v>
      </c>
      <c r="W41" s="294">
        <f t="shared" si="9"/>
        <v>25</v>
      </c>
      <c r="X41" s="295">
        <f t="shared" si="10"/>
        <v>8.4</v>
      </c>
      <c r="Y41" s="238">
        <v>50</v>
      </c>
      <c r="Z41" s="101">
        <v>100</v>
      </c>
    </row>
    <row r="42" spans="1:26" x14ac:dyDescent="0.25">
      <c r="A42" s="264">
        <v>38</v>
      </c>
      <c r="B42" s="256" t="s">
        <v>166</v>
      </c>
      <c r="C42" s="34">
        <v>92</v>
      </c>
      <c r="D42" s="35">
        <v>82</v>
      </c>
      <c r="E42" s="35">
        <v>2</v>
      </c>
      <c r="F42" s="19">
        <f t="shared" si="5"/>
        <v>1.5088000000000001E-2</v>
      </c>
      <c r="G42" s="286">
        <v>260</v>
      </c>
      <c r="H42" s="288">
        <f t="shared" si="6"/>
        <v>3.9228800000000001</v>
      </c>
      <c r="I42" s="290">
        <v>0</v>
      </c>
      <c r="J42" s="205">
        <f t="shared" si="0"/>
        <v>0</v>
      </c>
      <c r="K42" s="290">
        <v>100</v>
      </c>
      <c r="L42" s="205">
        <f>F42*K42</f>
        <v>1.5088000000000001</v>
      </c>
      <c r="M42" s="290">
        <v>50</v>
      </c>
      <c r="N42" s="205">
        <f>F42*M42</f>
        <v>0.75440000000000007</v>
      </c>
      <c r="O42" s="290">
        <v>40</v>
      </c>
      <c r="P42" s="205">
        <f>F42*O42</f>
        <v>0.60352000000000006</v>
      </c>
      <c r="Q42" s="290">
        <v>40</v>
      </c>
      <c r="R42" s="205">
        <f>F42*Q42</f>
        <v>0.60352000000000006</v>
      </c>
      <c r="S42" s="39">
        <f t="shared" si="7"/>
        <v>30</v>
      </c>
      <c r="T42" s="38">
        <f t="shared" si="4"/>
        <v>0.45264000000000004</v>
      </c>
      <c r="U42" s="290">
        <v>0</v>
      </c>
      <c r="V42" s="13">
        <f t="shared" si="8"/>
        <v>0</v>
      </c>
      <c r="W42" s="294">
        <f t="shared" si="9"/>
        <v>30</v>
      </c>
      <c r="X42" s="295">
        <f t="shared" si="10"/>
        <v>0.45264000000000004</v>
      </c>
      <c r="Y42" s="238">
        <v>100</v>
      </c>
      <c r="Z42" s="101">
        <v>300</v>
      </c>
    </row>
    <row r="43" spans="1:26" x14ac:dyDescent="0.25">
      <c r="A43" s="264">
        <v>39</v>
      </c>
      <c r="B43" s="256" t="s">
        <v>183</v>
      </c>
      <c r="C43" s="34">
        <v>90</v>
      </c>
      <c r="D43" s="35">
        <v>90</v>
      </c>
      <c r="E43" s="35">
        <v>3</v>
      </c>
      <c r="F43" s="19">
        <f t="shared" si="5"/>
        <v>2.4299999999999999E-2</v>
      </c>
      <c r="G43" s="286">
        <v>148</v>
      </c>
      <c r="H43" s="288">
        <f t="shared" si="6"/>
        <v>3.5963999999999996</v>
      </c>
      <c r="I43" s="290">
        <v>0</v>
      </c>
      <c r="J43" s="205">
        <f t="shared" si="0"/>
        <v>0</v>
      </c>
      <c r="K43" s="290">
        <v>0</v>
      </c>
      <c r="L43" s="205">
        <f t="shared" si="0"/>
        <v>0</v>
      </c>
      <c r="M43" s="290">
        <v>12</v>
      </c>
      <c r="N43" s="21">
        <v>0</v>
      </c>
      <c r="O43" s="290">
        <v>12</v>
      </c>
      <c r="P43" s="21">
        <v>0</v>
      </c>
      <c r="Q43" s="290">
        <v>0</v>
      </c>
      <c r="R43" s="21">
        <v>0</v>
      </c>
      <c r="S43" s="39">
        <f t="shared" si="7"/>
        <v>124</v>
      </c>
      <c r="T43" s="38">
        <f t="shared" si="4"/>
        <v>3.0131999999999999</v>
      </c>
      <c r="U43" s="290">
        <v>0</v>
      </c>
      <c r="V43" s="13">
        <f t="shared" si="8"/>
        <v>0</v>
      </c>
      <c r="W43" s="294">
        <f t="shared" si="9"/>
        <v>124</v>
      </c>
      <c r="X43" s="295">
        <f t="shared" si="10"/>
        <v>3.0131999999999999</v>
      </c>
      <c r="Y43" s="238">
        <v>0</v>
      </c>
      <c r="Z43" s="101">
        <v>0</v>
      </c>
    </row>
    <row r="44" spans="1:26" x14ac:dyDescent="0.25">
      <c r="A44" s="264">
        <v>40</v>
      </c>
      <c r="B44" s="256" t="s">
        <v>219</v>
      </c>
      <c r="C44" s="34">
        <v>140</v>
      </c>
      <c r="D44" s="35">
        <v>240</v>
      </c>
      <c r="E44" s="35">
        <v>3</v>
      </c>
      <c r="F44" s="19">
        <f t="shared" si="5"/>
        <v>0.1008</v>
      </c>
      <c r="G44" s="286">
        <v>480</v>
      </c>
      <c r="H44" s="288">
        <f t="shared" si="6"/>
        <v>48.384</v>
      </c>
      <c r="I44" s="290">
        <v>136</v>
      </c>
      <c r="J44" s="205">
        <f t="shared" si="0"/>
        <v>13.7088</v>
      </c>
      <c r="K44" s="290">
        <v>0</v>
      </c>
      <c r="L44" s="205">
        <f t="shared" ref="L44:L52" si="18">F44*K44</f>
        <v>0</v>
      </c>
      <c r="M44" s="290">
        <v>50</v>
      </c>
      <c r="N44" s="205">
        <f t="shared" ref="N44:N70" si="19">F44*M44</f>
        <v>5.04</v>
      </c>
      <c r="O44" s="290">
        <v>10</v>
      </c>
      <c r="P44" s="205">
        <f t="shared" ref="P44:P66" si="20">F44*O44</f>
        <v>1.008</v>
      </c>
      <c r="Q44" s="290">
        <v>0</v>
      </c>
      <c r="R44" s="205">
        <f t="shared" ref="R44:R58" si="21">F44*Q44</f>
        <v>0</v>
      </c>
      <c r="S44" s="39">
        <f t="shared" si="7"/>
        <v>284</v>
      </c>
      <c r="T44" s="38">
        <f t="shared" si="4"/>
        <v>28.627200000000002</v>
      </c>
      <c r="U44" s="290">
        <v>0</v>
      </c>
      <c r="V44" s="13">
        <f t="shared" si="8"/>
        <v>0</v>
      </c>
      <c r="W44" s="294">
        <f t="shared" si="9"/>
        <v>284</v>
      </c>
      <c r="X44" s="295">
        <f t="shared" si="10"/>
        <v>28.627200000000002</v>
      </c>
      <c r="Y44" s="238">
        <v>0</v>
      </c>
      <c r="Z44" s="101">
        <v>0</v>
      </c>
    </row>
    <row r="45" spans="1:26" x14ac:dyDescent="0.25">
      <c r="A45" s="264">
        <v>41</v>
      </c>
      <c r="B45" s="256" t="s">
        <v>169</v>
      </c>
      <c r="C45" s="34">
        <v>82</v>
      </c>
      <c r="D45" s="34">
        <v>80</v>
      </c>
      <c r="E45" s="34">
        <v>2</v>
      </c>
      <c r="F45" s="19">
        <f t="shared" si="5"/>
        <v>1.312E-2</v>
      </c>
      <c r="G45" s="284">
        <v>780</v>
      </c>
      <c r="H45" s="288">
        <f t="shared" si="6"/>
        <v>10.233599999999999</v>
      </c>
      <c r="I45" s="290">
        <v>0</v>
      </c>
      <c r="J45" s="205">
        <f t="shared" si="0"/>
        <v>0</v>
      </c>
      <c r="K45" s="290">
        <v>104</v>
      </c>
      <c r="L45" s="205">
        <f t="shared" si="18"/>
        <v>1.3644799999999999</v>
      </c>
      <c r="M45" s="290">
        <v>65</v>
      </c>
      <c r="N45" s="205">
        <f t="shared" si="19"/>
        <v>0.8528</v>
      </c>
      <c r="O45" s="290">
        <v>0</v>
      </c>
      <c r="P45" s="205">
        <f t="shared" si="20"/>
        <v>0</v>
      </c>
      <c r="Q45" s="290">
        <v>265</v>
      </c>
      <c r="R45" s="205">
        <f t="shared" si="21"/>
        <v>3.4767999999999999</v>
      </c>
      <c r="S45" s="39">
        <f t="shared" si="7"/>
        <v>346</v>
      </c>
      <c r="T45" s="38">
        <f t="shared" si="4"/>
        <v>4.5395199999999996</v>
      </c>
      <c r="U45" s="290">
        <v>0</v>
      </c>
      <c r="V45" s="13">
        <f t="shared" si="8"/>
        <v>0</v>
      </c>
      <c r="W45" s="294">
        <f t="shared" si="9"/>
        <v>346</v>
      </c>
      <c r="X45" s="295">
        <f t="shared" si="10"/>
        <v>4.5395199999999996</v>
      </c>
      <c r="Y45" s="238">
        <v>100</v>
      </c>
      <c r="Z45" s="101">
        <v>300</v>
      </c>
    </row>
    <row r="46" spans="1:26" x14ac:dyDescent="0.25">
      <c r="A46" s="264">
        <v>42</v>
      </c>
      <c r="B46" s="256" t="s">
        <v>170</v>
      </c>
      <c r="C46" s="34">
        <v>90</v>
      </c>
      <c r="D46" s="34">
        <v>83</v>
      </c>
      <c r="E46" s="34">
        <v>2</v>
      </c>
      <c r="F46" s="19">
        <f t="shared" si="5"/>
        <v>1.494E-2</v>
      </c>
      <c r="G46" s="284">
        <v>0</v>
      </c>
      <c r="H46" s="288">
        <f t="shared" si="6"/>
        <v>0</v>
      </c>
      <c r="I46" s="290">
        <v>0</v>
      </c>
      <c r="J46" s="205">
        <f t="shared" si="0"/>
        <v>0</v>
      </c>
      <c r="K46" s="290">
        <v>0</v>
      </c>
      <c r="L46" s="205">
        <f t="shared" si="18"/>
        <v>0</v>
      </c>
      <c r="M46" s="290">
        <v>0</v>
      </c>
      <c r="N46" s="205">
        <f t="shared" si="19"/>
        <v>0</v>
      </c>
      <c r="O46" s="290">
        <v>0</v>
      </c>
      <c r="P46" s="205">
        <f t="shared" si="20"/>
        <v>0</v>
      </c>
      <c r="Q46" s="290">
        <v>0</v>
      </c>
      <c r="R46" s="205">
        <f t="shared" si="21"/>
        <v>0</v>
      </c>
      <c r="S46" s="39">
        <f t="shared" si="7"/>
        <v>0</v>
      </c>
      <c r="T46" s="38">
        <f t="shared" si="4"/>
        <v>0</v>
      </c>
      <c r="U46" s="290">
        <v>0</v>
      </c>
      <c r="V46" s="13">
        <f t="shared" si="8"/>
        <v>0</v>
      </c>
      <c r="W46" s="294">
        <f t="shared" si="9"/>
        <v>0</v>
      </c>
      <c r="X46" s="295">
        <f t="shared" si="10"/>
        <v>0</v>
      </c>
      <c r="Y46" s="238">
        <v>100</v>
      </c>
      <c r="Z46" s="101">
        <v>300</v>
      </c>
    </row>
    <row r="47" spans="1:26" x14ac:dyDescent="0.25">
      <c r="A47" s="264">
        <v>43</v>
      </c>
      <c r="B47" s="256" t="s">
        <v>184</v>
      </c>
      <c r="C47" s="34">
        <v>112</v>
      </c>
      <c r="D47" s="34">
        <v>67</v>
      </c>
      <c r="E47" s="34">
        <v>3</v>
      </c>
      <c r="F47" s="19">
        <f t="shared" si="5"/>
        <v>2.2512000000000001E-2</v>
      </c>
      <c r="G47" s="284">
        <v>25</v>
      </c>
      <c r="H47" s="288">
        <f t="shared" si="6"/>
        <v>0.56279999999999997</v>
      </c>
      <c r="I47" s="290">
        <v>0</v>
      </c>
      <c r="J47" s="205">
        <f t="shared" si="0"/>
        <v>0</v>
      </c>
      <c r="K47" s="290">
        <v>0</v>
      </c>
      <c r="L47" s="205">
        <f t="shared" si="18"/>
        <v>0</v>
      </c>
      <c r="M47" s="290">
        <v>0</v>
      </c>
      <c r="N47" s="205">
        <f t="shared" si="19"/>
        <v>0</v>
      </c>
      <c r="O47" s="290">
        <v>10</v>
      </c>
      <c r="P47" s="205">
        <f t="shared" si="20"/>
        <v>0.22512000000000001</v>
      </c>
      <c r="Q47" s="290">
        <v>0</v>
      </c>
      <c r="R47" s="205">
        <f t="shared" si="21"/>
        <v>0</v>
      </c>
      <c r="S47" s="39">
        <f t="shared" si="7"/>
        <v>15</v>
      </c>
      <c r="T47" s="38">
        <f t="shared" si="4"/>
        <v>0.33768000000000004</v>
      </c>
      <c r="U47" s="290">
        <v>0</v>
      </c>
      <c r="V47" s="13">
        <f t="shared" si="8"/>
        <v>0</v>
      </c>
      <c r="W47" s="294">
        <f t="shared" si="9"/>
        <v>15</v>
      </c>
      <c r="X47" s="295">
        <f t="shared" si="10"/>
        <v>0.33768000000000004</v>
      </c>
      <c r="Y47" s="238">
        <v>50</v>
      </c>
      <c r="Z47" s="101">
        <v>100</v>
      </c>
    </row>
    <row r="48" spans="1:26" x14ac:dyDescent="0.25">
      <c r="A48" s="264">
        <v>44</v>
      </c>
      <c r="B48" s="256" t="s">
        <v>220</v>
      </c>
      <c r="C48" s="34">
        <v>70</v>
      </c>
      <c r="D48" s="34">
        <v>54</v>
      </c>
      <c r="E48" s="34">
        <v>7</v>
      </c>
      <c r="F48" s="19">
        <f t="shared" si="5"/>
        <v>2.6460000000000001E-2</v>
      </c>
      <c r="G48" s="284">
        <v>330</v>
      </c>
      <c r="H48" s="288">
        <f t="shared" si="6"/>
        <v>8.7317999999999998</v>
      </c>
      <c r="I48" s="290">
        <v>3</v>
      </c>
      <c r="J48" s="205">
        <f t="shared" si="0"/>
        <v>7.9380000000000006E-2</v>
      </c>
      <c r="K48" s="290">
        <v>0</v>
      </c>
      <c r="L48" s="205">
        <f t="shared" si="18"/>
        <v>0</v>
      </c>
      <c r="M48" s="290">
        <v>0</v>
      </c>
      <c r="N48" s="205">
        <f t="shared" si="19"/>
        <v>0</v>
      </c>
      <c r="O48" s="290">
        <v>0</v>
      </c>
      <c r="P48" s="205">
        <f t="shared" si="20"/>
        <v>0</v>
      </c>
      <c r="Q48" s="290">
        <v>0</v>
      </c>
      <c r="R48" s="205">
        <f t="shared" si="21"/>
        <v>0</v>
      </c>
      <c r="S48" s="39">
        <f t="shared" si="7"/>
        <v>327</v>
      </c>
      <c r="T48" s="38">
        <f t="shared" si="4"/>
        <v>8.6524200000000011</v>
      </c>
      <c r="U48" s="290">
        <v>0</v>
      </c>
      <c r="V48" s="13">
        <f t="shared" si="8"/>
        <v>0</v>
      </c>
      <c r="W48" s="294">
        <f t="shared" si="9"/>
        <v>327</v>
      </c>
      <c r="X48" s="295">
        <f t="shared" si="10"/>
        <v>8.6524200000000011</v>
      </c>
      <c r="Y48" s="238">
        <v>0</v>
      </c>
      <c r="Z48" s="101">
        <v>0</v>
      </c>
    </row>
    <row r="49" spans="1:26" x14ac:dyDescent="0.25">
      <c r="A49" s="264">
        <v>45</v>
      </c>
      <c r="B49" s="256" t="s">
        <v>174</v>
      </c>
      <c r="C49" s="34">
        <v>140</v>
      </c>
      <c r="D49" s="34">
        <v>240</v>
      </c>
      <c r="E49" s="34">
        <v>14</v>
      </c>
      <c r="F49" s="19">
        <f t="shared" si="5"/>
        <v>0.47039999999999998</v>
      </c>
      <c r="G49" s="284">
        <v>8</v>
      </c>
      <c r="H49" s="288">
        <f t="shared" si="6"/>
        <v>3.7631999999999999</v>
      </c>
      <c r="I49" s="290">
        <v>0</v>
      </c>
      <c r="J49" s="205">
        <f t="shared" si="0"/>
        <v>0</v>
      </c>
      <c r="K49" s="290">
        <v>3</v>
      </c>
      <c r="L49" s="205">
        <f t="shared" si="18"/>
        <v>1.4112</v>
      </c>
      <c r="M49" s="290">
        <v>0</v>
      </c>
      <c r="N49" s="205">
        <f t="shared" si="19"/>
        <v>0</v>
      </c>
      <c r="O49" s="290">
        <v>0</v>
      </c>
      <c r="P49" s="205">
        <f t="shared" si="20"/>
        <v>0</v>
      </c>
      <c r="Q49" s="290">
        <v>0</v>
      </c>
      <c r="R49" s="205">
        <f t="shared" si="21"/>
        <v>0</v>
      </c>
      <c r="S49" s="39">
        <f t="shared" si="7"/>
        <v>5</v>
      </c>
      <c r="T49" s="38">
        <f t="shared" si="4"/>
        <v>2.3519999999999999</v>
      </c>
      <c r="U49" s="290">
        <v>0</v>
      </c>
      <c r="V49" s="13">
        <f t="shared" si="8"/>
        <v>0</v>
      </c>
      <c r="W49" s="294">
        <f t="shared" si="9"/>
        <v>5</v>
      </c>
      <c r="X49" s="295">
        <f t="shared" si="10"/>
        <v>2.3519999999999999</v>
      </c>
      <c r="Y49" s="238">
        <v>10</v>
      </c>
      <c r="Z49" s="101">
        <v>20</v>
      </c>
    </row>
    <row r="50" spans="1:26" x14ac:dyDescent="0.25">
      <c r="A50" s="264">
        <v>46</v>
      </c>
      <c r="B50" s="256" t="s">
        <v>175</v>
      </c>
      <c r="C50" s="34">
        <v>140</v>
      </c>
      <c r="D50" s="34">
        <v>240</v>
      </c>
      <c r="E50" s="34">
        <v>12</v>
      </c>
      <c r="F50" s="19">
        <f t="shared" si="5"/>
        <v>0.4032</v>
      </c>
      <c r="G50" s="284">
        <v>12</v>
      </c>
      <c r="H50" s="288">
        <f t="shared" si="6"/>
        <v>4.8384</v>
      </c>
      <c r="I50" s="290">
        <v>1</v>
      </c>
      <c r="J50" s="205">
        <f t="shared" si="0"/>
        <v>0.4032</v>
      </c>
      <c r="K50" s="290">
        <v>0</v>
      </c>
      <c r="L50" s="205">
        <f t="shared" si="18"/>
        <v>0</v>
      </c>
      <c r="M50" s="290">
        <v>0</v>
      </c>
      <c r="N50" s="205">
        <f t="shared" si="19"/>
        <v>0</v>
      </c>
      <c r="O50" s="290">
        <v>0</v>
      </c>
      <c r="P50" s="205">
        <f t="shared" si="20"/>
        <v>0</v>
      </c>
      <c r="Q50" s="290">
        <v>1</v>
      </c>
      <c r="R50" s="205">
        <f t="shared" si="21"/>
        <v>0.4032</v>
      </c>
      <c r="S50" s="39">
        <f t="shared" si="7"/>
        <v>10</v>
      </c>
      <c r="T50" s="38">
        <f t="shared" si="4"/>
        <v>4.032</v>
      </c>
      <c r="U50" s="290">
        <v>0</v>
      </c>
      <c r="V50" s="13">
        <f t="shared" si="8"/>
        <v>0</v>
      </c>
      <c r="W50" s="294">
        <f t="shared" si="9"/>
        <v>10</v>
      </c>
      <c r="X50" s="295">
        <f t="shared" si="10"/>
        <v>4.032</v>
      </c>
      <c r="Y50" s="238">
        <v>10</v>
      </c>
      <c r="Z50" s="101">
        <v>20</v>
      </c>
    </row>
    <row r="51" spans="1:26" x14ac:dyDescent="0.25">
      <c r="A51" s="264">
        <v>47</v>
      </c>
      <c r="B51" s="256" t="s">
        <v>176</v>
      </c>
      <c r="C51" s="34">
        <v>130</v>
      </c>
      <c r="D51" s="34">
        <v>60</v>
      </c>
      <c r="E51" s="34">
        <v>5</v>
      </c>
      <c r="F51" s="19">
        <f t="shared" si="5"/>
        <v>3.9E-2</v>
      </c>
      <c r="G51" s="284">
        <v>0</v>
      </c>
      <c r="H51" s="288">
        <f t="shared" si="6"/>
        <v>0</v>
      </c>
      <c r="I51" s="290">
        <v>0</v>
      </c>
      <c r="J51" s="205">
        <f t="shared" si="0"/>
        <v>0</v>
      </c>
      <c r="K51" s="290">
        <v>0</v>
      </c>
      <c r="L51" s="205">
        <f t="shared" si="18"/>
        <v>0</v>
      </c>
      <c r="M51" s="290">
        <v>0</v>
      </c>
      <c r="N51" s="205">
        <f t="shared" si="19"/>
        <v>0</v>
      </c>
      <c r="O51" s="290">
        <v>0</v>
      </c>
      <c r="P51" s="205">
        <f t="shared" si="20"/>
        <v>0</v>
      </c>
      <c r="Q51" s="290">
        <v>0</v>
      </c>
      <c r="R51" s="205">
        <f t="shared" si="21"/>
        <v>0</v>
      </c>
      <c r="S51" s="39">
        <f t="shared" si="7"/>
        <v>0</v>
      </c>
      <c r="T51" s="38">
        <f t="shared" si="4"/>
        <v>0</v>
      </c>
      <c r="U51" s="290">
        <v>0</v>
      </c>
      <c r="V51" s="13">
        <f t="shared" si="8"/>
        <v>0</v>
      </c>
      <c r="W51" s="294">
        <f t="shared" si="9"/>
        <v>0</v>
      </c>
      <c r="X51" s="295">
        <f t="shared" si="10"/>
        <v>0</v>
      </c>
      <c r="Y51" s="238">
        <v>30</v>
      </c>
      <c r="Z51" s="101">
        <v>100</v>
      </c>
    </row>
    <row r="52" spans="1:26" x14ac:dyDescent="0.25">
      <c r="A52" s="264">
        <v>48</v>
      </c>
      <c r="B52" s="255" t="s">
        <v>178</v>
      </c>
      <c r="C52" s="34">
        <v>140</v>
      </c>
      <c r="D52" s="34">
        <v>240</v>
      </c>
      <c r="E52" s="34">
        <v>3</v>
      </c>
      <c r="F52" s="19">
        <f t="shared" si="5"/>
        <v>0.1008</v>
      </c>
      <c r="G52" s="284">
        <v>550</v>
      </c>
      <c r="H52" s="288">
        <f t="shared" si="6"/>
        <v>55.44</v>
      </c>
      <c r="I52" s="290">
        <v>106</v>
      </c>
      <c r="J52" s="205">
        <f t="shared" si="0"/>
        <v>10.684799999999999</v>
      </c>
      <c r="K52" s="290">
        <v>3</v>
      </c>
      <c r="L52" s="205">
        <f t="shared" si="18"/>
        <v>0.3024</v>
      </c>
      <c r="M52" s="290">
        <v>7</v>
      </c>
      <c r="N52" s="205">
        <f t="shared" si="19"/>
        <v>0.7056</v>
      </c>
      <c r="O52" s="290">
        <v>13</v>
      </c>
      <c r="P52" s="205">
        <f t="shared" si="20"/>
        <v>1.3104</v>
      </c>
      <c r="Q52" s="290">
        <v>0</v>
      </c>
      <c r="R52" s="205">
        <f t="shared" si="21"/>
        <v>0</v>
      </c>
      <c r="S52" s="39">
        <f t="shared" si="7"/>
        <v>421</v>
      </c>
      <c r="T52" s="38">
        <f t="shared" si="4"/>
        <v>42.436799999999998</v>
      </c>
      <c r="U52" s="290">
        <v>0</v>
      </c>
      <c r="V52" s="13">
        <f t="shared" si="8"/>
        <v>0</v>
      </c>
      <c r="W52" s="294">
        <f t="shared" si="9"/>
        <v>421</v>
      </c>
      <c r="X52" s="295">
        <f t="shared" si="10"/>
        <v>42.436799999999998</v>
      </c>
      <c r="Y52" s="238">
        <v>100</v>
      </c>
      <c r="Z52" s="101">
        <v>300</v>
      </c>
    </row>
    <row r="53" spans="1:26" x14ac:dyDescent="0.25">
      <c r="A53" s="264">
        <v>49</v>
      </c>
      <c r="B53" s="256" t="s">
        <v>185</v>
      </c>
      <c r="C53" s="34">
        <v>140</v>
      </c>
      <c r="D53" s="34">
        <v>240</v>
      </c>
      <c r="E53" s="34">
        <v>1</v>
      </c>
      <c r="F53" s="19">
        <f t="shared" si="5"/>
        <v>3.3599999999999998E-2</v>
      </c>
      <c r="G53" s="284">
        <v>238</v>
      </c>
      <c r="H53" s="288">
        <f t="shared" si="6"/>
        <v>7.9967999999999995</v>
      </c>
      <c r="I53" s="290">
        <v>0</v>
      </c>
      <c r="J53" s="205">
        <f t="shared" si="0"/>
        <v>0</v>
      </c>
      <c r="K53" s="290">
        <v>0</v>
      </c>
      <c r="L53" s="205">
        <f>F53*K53</f>
        <v>0</v>
      </c>
      <c r="M53" s="290">
        <v>0</v>
      </c>
      <c r="N53" s="205">
        <f t="shared" si="19"/>
        <v>0</v>
      </c>
      <c r="O53" s="290">
        <v>0</v>
      </c>
      <c r="P53" s="205">
        <f t="shared" si="20"/>
        <v>0</v>
      </c>
      <c r="Q53" s="290">
        <v>3</v>
      </c>
      <c r="R53" s="205">
        <f t="shared" si="21"/>
        <v>0.1008</v>
      </c>
      <c r="S53" s="39">
        <f t="shared" si="7"/>
        <v>235</v>
      </c>
      <c r="T53" s="38">
        <f t="shared" si="4"/>
        <v>7.8959999999999999</v>
      </c>
      <c r="U53" s="290">
        <v>0</v>
      </c>
      <c r="V53" s="13">
        <f t="shared" si="8"/>
        <v>0</v>
      </c>
      <c r="W53" s="294">
        <f t="shared" si="9"/>
        <v>235</v>
      </c>
      <c r="X53" s="295">
        <f t="shared" si="10"/>
        <v>7.8959999999999999</v>
      </c>
      <c r="Y53" s="238">
        <v>50</v>
      </c>
      <c r="Z53" s="101">
        <v>100</v>
      </c>
    </row>
    <row r="54" spans="1:26" x14ac:dyDescent="0.25">
      <c r="A54" s="264">
        <v>50</v>
      </c>
      <c r="B54" s="256" t="s">
        <v>186</v>
      </c>
      <c r="C54" s="34">
        <v>140</v>
      </c>
      <c r="D54" s="34">
        <v>240</v>
      </c>
      <c r="E54" s="34">
        <v>3</v>
      </c>
      <c r="F54" s="19">
        <f t="shared" si="5"/>
        <v>0.1008</v>
      </c>
      <c r="G54" s="284">
        <v>119</v>
      </c>
      <c r="H54" s="288">
        <f t="shared" si="6"/>
        <v>11.995200000000001</v>
      </c>
      <c r="I54" s="290">
        <v>9</v>
      </c>
      <c r="J54" s="205">
        <f t="shared" si="0"/>
        <v>0.90720000000000001</v>
      </c>
      <c r="K54" s="290">
        <v>37</v>
      </c>
      <c r="L54" s="205">
        <f>F54*K54</f>
        <v>3.7296</v>
      </c>
      <c r="M54" s="290">
        <v>0</v>
      </c>
      <c r="N54" s="205">
        <f t="shared" si="19"/>
        <v>0</v>
      </c>
      <c r="O54" s="290">
        <v>21</v>
      </c>
      <c r="P54" s="205">
        <f t="shared" si="20"/>
        <v>2.1168</v>
      </c>
      <c r="Q54" s="290">
        <v>3</v>
      </c>
      <c r="R54" s="205">
        <f t="shared" si="21"/>
        <v>0.3024</v>
      </c>
      <c r="S54" s="39">
        <f t="shared" si="7"/>
        <v>49</v>
      </c>
      <c r="T54" s="38">
        <f t="shared" si="4"/>
        <v>4.9391999999999996</v>
      </c>
      <c r="U54" s="290">
        <v>0</v>
      </c>
      <c r="V54" s="13">
        <f t="shared" si="8"/>
        <v>0</v>
      </c>
      <c r="W54" s="294">
        <f t="shared" si="9"/>
        <v>49</v>
      </c>
      <c r="X54" s="295">
        <f t="shared" si="10"/>
        <v>4.9391999999999996</v>
      </c>
      <c r="Y54" s="238">
        <v>50</v>
      </c>
      <c r="Z54" s="101">
        <v>100</v>
      </c>
    </row>
    <row r="55" spans="1:26" x14ac:dyDescent="0.25">
      <c r="A55" s="277">
        <v>51</v>
      </c>
      <c r="B55" s="283" t="s">
        <v>187</v>
      </c>
      <c r="C55" s="264">
        <v>140</v>
      </c>
      <c r="D55" s="264">
        <v>240</v>
      </c>
      <c r="E55" s="264">
        <v>5</v>
      </c>
      <c r="F55" s="19">
        <f t="shared" si="5"/>
        <v>0.16800000000000001</v>
      </c>
      <c r="G55" s="296">
        <v>54</v>
      </c>
      <c r="H55" s="299">
        <f t="shared" si="6"/>
        <v>9.072000000000001</v>
      </c>
      <c r="I55" s="290">
        <v>10</v>
      </c>
      <c r="J55" s="205">
        <f t="shared" si="0"/>
        <v>1.6800000000000002</v>
      </c>
      <c r="K55" s="290">
        <v>0</v>
      </c>
      <c r="L55" s="205">
        <f>F55*K55</f>
        <v>0</v>
      </c>
      <c r="M55" s="290">
        <v>0</v>
      </c>
      <c r="N55" s="205">
        <f t="shared" si="19"/>
        <v>0</v>
      </c>
      <c r="O55" s="290">
        <v>36</v>
      </c>
      <c r="P55" s="205">
        <f t="shared" si="20"/>
        <v>6.048</v>
      </c>
      <c r="Q55" s="290">
        <v>5</v>
      </c>
      <c r="R55" s="205">
        <f t="shared" si="21"/>
        <v>0.84000000000000008</v>
      </c>
      <c r="S55" s="39">
        <f t="shared" si="7"/>
        <v>3</v>
      </c>
      <c r="T55" s="38">
        <f t="shared" si="4"/>
        <v>0.504</v>
      </c>
      <c r="U55" s="290">
        <v>0</v>
      </c>
      <c r="V55" s="13">
        <f t="shared" si="8"/>
        <v>0</v>
      </c>
      <c r="W55" s="294">
        <f t="shared" si="9"/>
        <v>3</v>
      </c>
      <c r="X55" s="295">
        <f t="shared" si="10"/>
        <v>0.504</v>
      </c>
      <c r="Y55" s="101">
        <v>30</v>
      </c>
      <c r="Z55" s="101">
        <v>70</v>
      </c>
    </row>
    <row r="56" spans="1:26" x14ac:dyDescent="0.25">
      <c r="A56" s="277">
        <v>52</v>
      </c>
      <c r="B56" s="283" t="s">
        <v>188</v>
      </c>
      <c r="C56" s="264">
        <v>140</v>
      </c>
      <c r="D56" s="264">
        <v>240</v>
      </c>
      <c r="E56" s="264">
        <v>10</v>
      </c>
      <c r="F56" s="19">
        <f t="shared" si="5"/>
        <v>0.33600000000000002</v>
      </c>
      <c r="G56" s="296">
        <v>50</v>
      </c>
      <c r="H56" s="299">
        <f t="shared" si="6"/>
        <v>16.8</v>
      </c>
      <c r="I56" s="290">
        <v>0</v>
      </c>
      <c r="J56" s="205">
        <f t="shared" ref="J56:J69" si="22">F56*I56</f>
        <v>0</v>
      </c>
      <c r="K56" s="290">
        <v>0</v>
      </c>
      <c r="L56" s="205">
        <f>F56*K56</f>
        <v>0</v>
      </c>
      <c r="M56" s="290">
        <v>0</v>
      </c>
      <c r="N56" s="205">
        <f t="shared" si="19"/>
        <v>0</v>
      </c>
      <c r="O56" s="290">
        <v>0</v>
      </c>
      <c r="P56" s="205">
        <f t="shared" si="20"/>
        <v>0</v>
      </c>
      <c r="Q56" s="290">
        <v>0</v>
      </c>
      <c r="R56" s="205">
        <f t="shared" si="21"/>
        <v>0</v>
      </c>
      <c r="S56" s="39">
        <f t="shared" si="7"/>
        <v>50</v>
      </c>
      <c r="T56" s="38">
        <f t="shared" si="4"/>
        <v>16.8</v>
      </c>
      <c r="U56" s="290">
        <v>0</v>
      </c>
      <c r="V56" s="13">
        <f t="shared" si="8"/>
        <v>0</v>
      </c>
      <c r="W56" s="294">
        <f t="shared" si="9"/>
        <v>50</v>
      </c>
      <c r="X56" s="295">
        <f t="shared" si="10"/>
        <v>16.8</v>
      </c>
      <c r="Y56" s="101">
        <v>20</v>
      </c>
      <c r="Z56" s="101">
        <v>50</v>
      </c>
    </row>
    <row r="57" spans="1:26" x14ac:dyDescent="0.25">
      <c r="A57" s="264">
        <v>53</v>
      </c>
      <c r="B57" s="101" t="s">
        <v>201</v>
      </c>
      <c r="C57" s="264">
        <v>52</v>
      </c>
      <c r="D57" s="264">
        <v>52</v>
      </c>
      <c r="E57" s="264">
        <v>5</v>
      </c>
      <c r="F57" s="19">
        <f t="shared" si="5"/>
        <v>1.3520000000000001E-2</v>
      </c>
      <c r="G57" s="296">
        <v>750</v>
      </c>
      <c r="H57" s="299">
        <f t="shared" si="6"/>
        <v>10.14</v>
      </c>
      <c r="I57" s="290">
        <v>0</v>
      </c>
      <c r="J57" s="205">
        <f t="shared" si="22"/>
        <v>0</v>
      </c>
      <c r="K57" s="290">
        <v>0</v>
      </c>
      <c r="L57" s="205">
        <f t="shared" ref="L57:L65" si="23">F57*K57</f>
        <v>0</v>
      </c>
      <c r="M57" s="290">
        <v>0</v>
      </c>
      <c r="N57" s="205">
        <f t="shared" si="19"/>
        <v>0</v>
      </c>
      <c r="O57" s="290">
        <v>0</v>
      </c>
      <c r="P57" s="205">
        <f t="shared" si="20"/>
        <v>0</v>
      </c>
      <c r="Q57" s="290">
        <v>0</v>
      </c>
      <c r="R57" s="205">
        <f t="shared" si="21"/>
        <v>0</v>
      </c>
      <c r="S57" s="39">
        <f t="shared" si="7"/>
        <v>750</v>
      </c>
      <c r="T57" s="38">
        <f t="shared" si="4"/>
        <v>10.14</v>
      </c>
      <c r="U57" s="290">
        <v>0</v>
      </c>
      <c r="V57" s="13">
        <f t="shared" si="8"/>
        <v>0</v>
      </c>
      <c r="W57" s="294">
        <f t="shared" si="9"/>
        <v>750</v>
      </c>
      <c r="X57" s="295">
        <f t="shared" si="10"/>
        <v>10.14</v>
      </c>
      <c r="Y57" s="101"/>
      <c r="Z57" s="101"/>
    </row>
    <row r="58" spans="1:26" x14ac:dyDescent="0.25">
      <c r="A58" s="264">
        <v>54</v>
      </c>
      <c r="B58" s="101" t="s">
        <v>193</v>
      </c>
      <c r="C58" s="264">
        <v>80</v>
      </c>
      <c r="D58" s="264">
        <v>75</v>
      </c>
      <c r="E58" s="264">
        <v>5</v>
      </c>
      <c r="F58" s="19">
        <f t="shared" si="5"/>
        <v>0.03</v>
      </c>
      <c r="G58" s="264">
        <v>175</v>
      </c>
      <c r="H58" s="299">
        <f t="shared" si="6"/>
        <v>5.25</v>
      </c>
      <c r="I58" s="290">
        <v>0</v>
      </c>
      <c r="J58" s="205">
        <f t="shared" si="22"/>
        <v>0</v>
      </c>
      <c r="K58" s="290">
        <v>0</v>
      </c>
      <c r="L58" s="205">
        <f t="shared" si="23"/>
        <v>0</v>
      </c>
      <c r="M58" s="290">
        <v>0</v>
      </c>
      <c r="N58" s="205">
        <f t="shared" si="19"/>
        <v>0</v>
      </c>
      <c r="O58" s="290">
        <v>0</v>
      </c>
      <c r="P58" s="205">
        <f t="shared" si="20"/>
        <v>0</v>
      </c>
      <c r="Q58" s="290">
        <v>0</v>
      </c>
      <c r="R58" s="205">
        <f t="shared" si="21"/>
        <v>0</v>
      </c>
      <c r="S58" s="39">
        <f t="shared" si="7"/>
        <v>175</v>
      </c>
      <c r="T58" s="38">
        <f t="shared" si="4"/>
        <v>5.25</v>
      </c>
      <c r="U58" s="290">
        <v>0</v>
      </c>
      <c r="V58" s="308">
        <f t="shared" si="8"/>
        <v>0</v>
      </c>
      <c r="W58" s="294">
        <f t="shared" si="9"/>
        <v>175</v>
      </c>
      <c r="X58" s="300">
        <f t="shared" si="10"/>
        <v>5.25</v>
      </c>
      <c r="Y58" s="101"/>
      <c r="Z58" s="101"/>
    </row>
    <row r="59" spans="1:26" x14ac:dyDescent="0.25">
      <c r="A59" s="264">
        <v>55</v>
      </c>
      <c r="B59" s="101" t="s">
        <v>194</v>
      </c>
      <c r="C59" s="264">
        <v>58</v>
      </c>
      <c r="D59" s="264">
        <v>25</v>
      </c>
      <c r="E59" s="264">
        <v>3</v>
      </c>
      <c r="F59" s="298">
        <f t="shared" si="5"/>
        <v>4.3499999999999997E-3</v>
      </c>
      <c r="G59" s="264">
        <v>0</v>
      </c>
      <c r="H59" s="299">
        <f t="shared" si="6"/>
        <v>0</v>
      </c>
      <c r="I59" s="290">
        <v>0</v>
      </c>
      <c r="J59" s="205">
        <f t="shared" si="22"/>
        <v>0</v>
      </c>
      <c r="K59" s="290">
        <v>0</v>
      </c>
      <c r="L59" s="205">
        <f t="shared" si="23"/>
        <v>0</v>
      </c>
      <c r="M59" s="290">
        <v>0</v>
      </c>
      <c r="N59" s="205">
        <f t="shared" si="19"/>
        <v>0</v>
      </c>
      <c r="O59" s="290">
        <v>0</v>
      </c>
      <c r="P59" s="205">
        <f t="shared" si="20"/>
        <v>0</v>
      </c>
      <c r="Q59" s="290">
        <v>0</v>
      </c>
      <c r="R59" s="205">
        <f>F59*Q59</f>
        <v>0</v>
      </c>
      <c r="S59" s="39">
        <f t="shared" si="7"/>
        <v>0</v>
      </c>
      <c r="T59" s="38">
        <f t="shared" si="4"/>
        <v>0</v>
      </c>
      <c r="U59" s="290">
        <v>0</v>
      </c>
      <c r="V59" s="309">
        <f t="shared" si="8"/>
        <v>0</v>
      </c>
      <c r="W59" s="294">
        <f t="shared" si="9"/>
        <v>0</v>
      </c>
      <c r="X59" s="300">
        <f t="shared" si="10"/>
        <v>0</v>
      </c>
      <c r="Y59" s="101"/>
      <c r="Z59" s="101"/>
    </row>
    <row r="60" spans="1:26" x14ac:dyDescent="0.25">
      <c r="A60" s="264">
        <v>56</v>
      </c>
      <c r="B60" s="101" t="s">
        <v>195</v>
      </c>
      <c r="C60" s="264">
        <v>64</v>
      </c>
      <c r="D60" s="264">
        <v>58</v>
      </c>
      <c r="E60" s="264">
        <v>5</v>
      </c>
      <c r="F60" s="298">
        <f t="shared" si="5"/>
        <v>1.856E-2</v>
      </c>
      <c r="G60" s="264">
        <v>350</v>
      </c>
      <c r="H60" s="299">
        <f t="shared" si="6"/>
        <v>6.4960000000000004</v>
      </c>
      <c r="I60" s="290">
        <v>0</v>
      </c>
      <c r="J60" s="205">
        <f t="shared" si="22"/>
        <v>0</v>
      </c>
      <c r="K60" s="290">
        <v>0</v>
      </c>
      <c r="L60" s="205">
        <f t="shared" si="23"/>
        <v>0</v>
      </c>
      <c r="M60" s="290">
        <v>0</v>
      </c>
      <c r="N60" s="205">
        <f t="shared" si="19"/>
        <v>0</v>
      </c>
      <c r="O60" s="290">
        <v>0</v>
      </c>
      <c r="P60" s="205">
        <f t="shared" si="20"/>
        <v>0</v>
      </c>
      <c r="Q60" s="290">
        <v>0</v>
      </c>
      <c r="R60" s="205">
        <f t="shared" ref="R60:R65" si="24">F60*Q60</f>
        <v>0</v>
      </c>
      <c r="S60" s="39">
        <f t="shared" si="7"/>
        <v>350</v>
      </c>
      <c r="T60" s="38">
        <f t="shared" si="4"/>
        <v>6.4960000000000004</v>
      </c>
      <c r="U60" s="290">
        <v>0</v>
      </c>
      <c r="V60" s="309">
        <f t="shared" si="8"/>
        <v>0</v>
      </c>
      <c r="W60" s="294">
        <f t="shared" si="9"/>
        <v>350</v>
      </c>
      <c r="X60" s="301">
        <f t="shared" si="10"/>
        <v>6.4960000000000004</v>
      </c>
      <c r="Y60" s="101"/>
      <c r="Z60" s="101"/>
    </row>
    <row r="61" spans="1:26" x14ac:dyDescent="0.25">
      <c r="A61" s="264">
        <v>57</v>
      </c>
      <c r="B61" s="101" t="s">
        <v>197</v>
      </c>
      <c r="C61" s="264">
        <v>65</v>
      </c>
      <c r="D61" s="264">
        <v>65</v>
      </c>
      <c r="E61" s="264">
        <v>5</v>
      </c>
      <c r="F61" s="101">
        <f t="shared" si="5"/>
        <v>2.1125000000000001E-2</v>
      </c>
      <c r="G61" s="264">
        <v>360</v>
      </c>
      <c r="H61" s="299">
        <f t="shared" si="6"/>
        <v>7.6050000000000004</v>
      </c>
      <c r="I61" s="290">
        <v>0</v>
      </c>
      <c r="J61" s="205">
        <f t="shared" si="22"/>
        <v>0</v>
      </c>
      <c r="K61" s="290">
        <v>0</v>
      </c>
      <c r="L61" s="205">
        <f t="shared" si="23"/>
        <v>0</v>
      </c>
      <c r="M61" s="290">
        <v>0</v>
      </c>
      <c r="N61" s="174">
        <f t="shared" si="19"/>
        <v>0</v>
      </c>
      <c r="O61" s="290">
        <v>0</v>
      </c>
      <c r="P61" s="205">
        <f t="shared" si="20"/>
        <v>0</v>
      </c>
      <c r="Q61" s="290">
        <v>0</v>
      </c>
      <c r="R61" s="205">
        <f t="shared" si="24"/>
        <v>0</v>
      </c>
      <c r="S61" s="39">
        <f t="shared" si="7"/>
        <v>360</v>
      </c>
      <c r="T61" s="38">
        <f t="shared" si="4"/>
        <v>7.6050000000000004</v>
      </c>
      <c r="U61" s="290">
        <v>0</v>
      </c>
      <c r="V61" s="309">
        <f t="shared" si="8"/>
        <v>0</v>
      </c>
      <c r="W61" s="294">
        <f t="shared" si="9"/>
        <v>360</v>
      </c>
      <c r="X61" s="300">
        <f t="shared" si="10"/>
        <v>7.6050000000000004</v>
      </c>
      <c r="Y61" s="101"/>
      <c r="Z61" s="101"/>
    </row>
    <row r="62" spans="1:26" x14ac:dyDescent="0.25">
      <c r="A62" s="264">
        <v>58</v>
      </c>
      <c r="B62" s="101" t="s">
        <v>198</v>
      </c>
      <c r="C62" s="264">
        <v>83</v>
      </c>
      <c r="D62" s="264">
        <v>55</v>
      </c>
      <c r="E62" s="264">
        <v>3</v>
      </c>
      <c r="F62" s="101">
        <f t="shared" si="5"/>
        <v>1.3695000000000001E-2</v>
      </c>
      <c r="G62" s="264">
        <v>72</v>
      </c>
      <c r="H62" s="299">
        <f t="shared" si="6"/>
        <v>0.98604000000000003</v>
      </c>
      <c r="I62" s="290">
        <v>0</v>
      </c>
      <c r="J62" s="205">
        <f t="shared" si="22"/>
        <v>0</v>
      </c>
      <c r="K62" s="290">
        <v>0</v>
      </c>
      <c r="L62" s="205">
        <f t="shared" si="23"/>
        <v>0</v>
      </c>
      <c r="M62" s="290">
        <v>0</v>
      </c>
      <c r="N62" s="174">
        <f t="shared" si="19"/>
        <v>0</v>
      </c>
      <c r="O62" s="290">
        <v>0</v>
      </c>
      <c r="P62" s="205">
        <f t="shared" si="20"/>
        <v>0</v>
      </c>
      <c r="Q62" s="290">
        <v>0</v>
      </c>
      <c r="R62" s="205">
        <f t="shared" si="24"/>
        <v>0</v>
      </c>
      <c r="S62" s="39">
        <f t="shared" si="7"/>
        <v>72</v>
      </c>
      <c r="T62" s="38">
        <f t="shared" si="4"/>
        <v>0.98604000000000003</v>
      </c>
      <c r="U62" s="290">
        <v>0</v>
      </c>
      <c r="V62" s="309">
        <f t="shared" si="8"/>
        <v>0</v>
      </c>
      <c r="W62" s="294">
        <f t="shared" si="9"/>
        <v>72</v>
      </c>
      <c r="X62" s="300">
        <f t="shared" si="10"/>
        <v>0.98604000000000003</v>
      </c>
      <c r="Y62" s="101"/>
      <c r="Z62" s="101"/>
    </row>
    <row r="63" spans="1:26" x14ac:dyDescent="0.25">
      <c r="A63" s="264">
        <v>59</v>
      </c>
      <c r="B63" s="101" t="s">
        <v>199</v>
      </c>
      <c r="C63" s="264">
        <v>75</v>
      </c>
      <c r="D63" s="264">
        <v>55</v>
      </c>
      <c r="E63" s="264">
        <v>3</v>
      </c>
      <c r="F63" s="101">
        <f t="shared" si="5"/>
        <v>1.2375000000000001E-2</v>
      </c>
      <c r="G63" s="264">
        <v>130</v>
      </c>
      <c r="H63" s="299">
        <f t="shared" si="6"/>
        <v>1.6087500000000001</v>
      </c>
      <c r="I63" s="290">
        <v>0</v>
      </c>
      <c r="J63" s="205">
        <f t="shared" si="22"/>
        <v>0</v>
      </c>
      <c r="K63" s="290">
        <v>0</v>
      </c>
      <c r="L63" s="205">
        <f t="shared" si="23"/>
        <v>0</v>
      </c>
      <c r="M63" s="290">
        <v>0</v>
      </c>
      <c r="N63" s="174">
        <f t="shared" si="19"/>
        <v>0</v>
      </c>
      <c r="O63" s="290">
        <v>0</v>
      </c>
      <c r="P63" s="205">
        <f t="shared" si="20"/>
        <v>0</v>
      </c>
      <c r="Q63" s="290">
        <v>0</v>
      </c>
      <c r="R63" s="205">
        <f t="shared" si="24"/>
        <v>0</v>
      </c>
      <c r="S63" s="39">
        <f t="shared" si="7"/>
        <v>130</v>
      </c>
      <c r="T63" s="38">
        <f t="shared" si="4"/>
        <v>1.6087500000000001</v>
      </c>
      <c r="U63" s="290">
        <v>0</v>
      </c>
      <c r="V63" s="309">
        <f t="shared" si="8"/>
        <v>0</v>
      </c>
      <c r="W63" s="294">
        <f t="shared" si="9"/>
        <v>130</v>
      </c>
      <c r="X63" s="300">
        <f t="shared" si="10"/>
        <v>1.6087500000000001</v>
      </c>
      <c r="Y63" s="101"/>
      <c r="Z63" s="101"/>
    </row>
    <row r="64" spans="1:26" x14ac:dyDescent="0.25">
      <c r="A64" s="264">
        <v>60</v>
      </c>
      <c r="B64" s="101" t="s">
        <v>200</v>
      </c>
      <c r="C64" s="264">
        <v>58</v>
      </c>
      <c r="D64" s="264">
        <v>19</v>
      </c>
      <c r="E64" s="264">
        <v>3</v>
      </c>
      <c r="F64" s="101">
        <f t="shared" si="5"/>
        <v>3.3059999999999999E-3</v>
      </c>
      <c r="G64" s="264">
        <v>170</v>
      </c>
      <c r="H64" s="299">
        <f t="shared" si="6"/>
        <v>0.56201999999999996</v>
      </c>
      <c r="I64" s="290">
        <v>0</v>
      </c>
      <c r="J64" s="205">
        <f t="shared" si="22"/>
        <v>0</v>
      </c>
      <c r="K64" s="290">
        <v>0</v>
      </c>
      <c r="L64" s="205">
        <f t="shared" si="23"/>
        <v>0</v>
      </c>
      <c r="M64" s="290">
        <v>0</v>
      </c>
      <c r="N64" s="174">
        <f t="shared" si="19"/>
        <v>0</v>
      </c>
      <c r="O64" s="290">
        <v>0</v>
      </c>
      <c r="P64" s="205">
        <f t="shared" si="20"/>
        <v>0</v>
      </c>
      <c r="Q64" s="290">
        <v>0</v>
      </c>
      <c r="R64" s="205">
        <f t="shared" si="24"/>
        <v>0</v>
      </c>
      <c r="S64" s="39">
        <f t="shared" si="7"/>
        <v>170</v>
      </c>
      <c r="T64" s="38">
        <f t="shared" si="4"/>
        <v>0.56201999999999996</v>
      </c>
      <c r="U64" s="290">
        <v>0</v>
      </c>
      <c r="V64" s="309">
        <f t="shared" si="8"/>
        <v>0</v>
      </c>
      <c r="W64" s="294">
        <f t="shared" si="9"/>
        <v>170</v>
      </c>
      <c r="X64" s="300">
        <f t="shared" si="10"/>
        <v>0.56201999999999996</v>
      </c>
      <c r="Y64" s="101"/>
      <c r="Z64" s="101"/>
    </row>
    <row r="65" spans="1:26" x14ac:dyDescent="0.25">
      <c r="A65" s="264">
        <v>61</v>
      </c>
      <c r="B65" s="101" t="s">
        <v>202</v>
      </c>
      <c r="C65" s="264">
        <v>140</v>
      </c>
      <c r="D65" s="264">
        <v>240</v>
      </c>
      <c r="E65" s="264">
        <v>4</v>
      </c>
      <c r="F65" s="101">
        <f t="shared" si="5"/>
        <v>0.13439999999999999</v>
      </c>
      <c r="G65" s="264">
        <v>45</v>
      </c>
      <c r="H65" s="299">
        <f t="shared" si="6"/>
        <v>6.048</v>
      </c>
      <c r="I65" s="290">
        <v>0</v>
      </c>
      <c r="J65" s="205">
        <f t="shared" si="22"/>
        <v>0</v>
      </c>
      <c r="K65" s="290">
        <v>0</v>
      </c>
      <c r="L65" s="205">
        <f t="shared" si="23"/>
        <v>0</v>
      </c>
      <c r="M65" s="290">
        <v>0</v>
      </c>
      <c r="N65" s="174">
        <f t="shared" si="19"/>
        <v>0</v>
      </c>
      <c r="O65" s="290">
        <v>2</v>
      </c>
      <c r="P65" s="205">
        <f t="shared" si="20"/>
        <v>0.26879999999999998</v>
      </c>
      <c r="Q65" s="290">
        <v>0</v>
      </c>
      <c r="R65" s="205">
        <f t="shared" si="24"/>
        <v>0</v>
      </c>
      <c r="S65" s="39">
        <f t="shared" si="7"/>
        <v>43</v>
      </c>
      <c r="T65" s="38">
        <f t="shared" si="4"/>
        <v>5.7791999999999994</v>
      </c>
      <c r="U65" s="290">
        <v>0</v>
      </c>
      <c r="V65" s="309">
        <f t="shared" si="8"/>
        <v>0</v>
      </c>
      <c r="W65" s="294">
        <f t="shared" si="9"/>
        <v>43</v>
      </c>
      <c r="X65" s="300">
        <f t="shared" si="10"/>
        <v>5.7791999999999994</v>
      </c>
      <c r="Y65" s="101">
        <v>30</v>
      </c>
      <c r="Z65" s="101">
        <v>70</v>
      </c>
    </row>
    <row r="66" spans="1:26" x14ac:dyDescent="0.25">
      <c r="A66" s="264">
        <v>62</v>
      </c>
      <c r="B66" s="101" t="s">
        <v>203</v>
      </c>
      <c r="C66" s="264">
        <v>50</v>
      </c>
      <c r="D66" s="264">
        <v>46.5</v>
      </c>
      <c r="E66" s="264">
        <v>3</v>
      </c>
      <c r="F66" s="101">
        <f t="shared" si="5"/>
        <v>6.9750000000000003E-3</v>
      </c>
      <c r="G66" s="264">
        <v>550</v>
      </c>
      <c r="H66" s="289">
        <f t="shared" si="6"/>
        <v>3.8362500000000002</v>
      </c>
      <c r="I66" s="290">
        <v>0</v>
      </c>
      <c r="J66" s="205">
        <f t="shared" si="22"/>
        <v>0</v>
      </c>
      <c r="K66" s="290">
        <v>0</v>
      </c>
      <c r="L66" s="101"/>
      <c r="M66" s="290">
        <v>30</v>
      </c>
      <c r="N66" s="264">
        <f t="shared" si="19"/>
        <v>0.20925000000000002</v>
      </c>
      <c r="O66" s="290">
        <v>15</v>
      </c>
      <c r="P66" s="264">
        <f t="shared" si="20"/>
        <v>0.10462500000000001</v>
      </c>
      <c r="Q66" s="290">
        <v>70</v>
      </c>
      <c r="R66" s="101"/>
      <c r="S66" s="39">
        <f t="shared" si="7"/>
        <v>435</v>
      </c>
      <c r="T66" s="38">
        <f t="shared" si="4"/>
        <v>3.034125</v>
      </c>
      <c r="U66" s="290">
        <v>0</v>
      </c>
      <c r="V66" s="309">
        <f t="shared" si="8"/>
        <v>0</v>
      </c>
      <c r="W66" s="294">
        <f t="shared" si="9"/>
        <v>435</v>
      </c>
      <c r="X66" s="300">
        <f t="shared" si="10"/>
        <v>3.034125</v>
      </c>
      <c r="Y66" s="101">
        <v>500</v>
      </c>
      <c r="Z66" s="101">
        <v>1000</v>
      </c>
    </row>
    <row r="67" spans="1:26" x14ac:dyDescent="0.25">
      <c r="A67" s="264">
        <v>63</v>
      </c>
      <c r="B67" s="101" t="s">
        <v>204</v>
      </c>
      <c r="C67" s="264">
        <v>50</v>
      </c>
      <c r="D67" s="264">
        <v>35</v>
      </c>
      <c r="E67" s="264">
        <v>3</v>
      </c>
      <c r="F67" s="101">
        <f t="shared" si="5"/>
        <v>5.2500000000000003E-3</v>
      </c>
      <c r="G67" s="264">
        <v>650</v>
      </c>
      <c r="H67" s="289">
        <f t="shared" si="6"/>
        <v>3.4125000000000001</v>
      </c>
      <c r="I67" s="290">
        <v>0</v>
      </c>
      <c r="J67" s="205">
        <f t="shared" si="22"/>
        <v>0</v>
      </c>
      <c r="K67" s="290">
        <v>0</v>
      </c>
      <c r="L67" s="205">
        <f t="shared" ref="L67" si="25">F67*K67</f>
        <v>0</v>
      </c>
      <c r="M67" s="290">
        <v>30</v>
      </c>
      <c r="N67" s="264">
        <f t="shared" si="19"/>
        <v>0.1575</v>
      </c>
      <c r="O67" s="290">
        <v>17</v>
      </c>
      <c r="P67" s="264"/>
      <c r="Q67" s="290">
        <v>70</v>
      </c>
      <c r="R67" s="264"/>
      <c r="S67" s="39">
        <f t="shared" si="7"/>
        <v>533</v>
      </c>
      <c r="T67" s="38">
        <f t="shared" si="4"/>
        <v>2.7982500000000003</v>
      </c>
      <c r="U67" s="290">
        <v>0</v>
      </c>
      <c r="V67" s="309">
        <f t="shared" si="8"/>
        <v>0</v>
      </c>
      <c r="W67" s="294">
        <f t="shared" si="9"/>
        <v>533</v>
      </c>
      <c r="X67" s="300">
        <f t="shared" si="10"/>
        <v>2.7982500000000003</v>
      </c>
      <c r="Y67" s="101">
        <v>500</v>
      </c>
      <c r="Z67" s="101">
        <v>1000</v>
      </c>
    </row>
    <row r="68" spans="1:26" x14ac:dyDescent="0.25">
      <c r="A68" s="264">
        <v>64</v>
      </c>
      <c r="B68" s="101" t="s">
        <v>205</v>
      </c>
      <c r="C68" s="264">
        <v>140</v>
      </c>
      <c r="D68" s="264">
        <v>240</v>
      </c>
      <c r="E68" s="264">
        <v>8</v>
      </c>
      <c r="F68" s="101">
        <f t="shared" si="5"/>
        <v>0.26879999999999998</v>
      </c>
      <c r="G68" s="264">
        <v>2</v>
      </c>
      <c r="H68" s="289">
        <f t="shared" si="6"/>
        <v>0.53759999999999997</v>
      </c>
      <c r="I68" s="290">
        <v>0</v>
      </c>
      <c r="J68" s="264">
        <f t="shared" si="22"/>
        <v>0</v>
      </c>
      <c r="K68" s="290">
        <v>0</v>
      </c>
      <c r="L68" s="264"/>
      <c r="M68" s="290">
        <v>0</v>
      </c>
      <c r="N68" s="264">
        <v>0</v>
      </c>
      <c r="O68" s="290">
        <v>0</v>
      </c>
      <c r="P68" s="264"/>
      <c r="Q68" s="290">
        <v>0</v>
      </c>
      <c r="R68" s="264">
        <v>0</v>
      </c>
      <c r="S68" s="39">
        <f t="shared" si="7"/>
        <v>2</v>
      </c>
      <c r="T68" s="38">
        <f t="shared" si="4"/>
        <v>0.53759999999999997</v>
      </c>
      <c r="U68" s="290">
        <v>0</v>
      </c>
      <c r="V68" s="309">
        <v>0</v>
      </c>
      <c r="W68" s="294">
        <f t="shared" si="9"/>
        <v>2</v>
      </c>
      <c r="X68" s="300">
        <f t="shared" si="10"/>
        <v>0.53759999999999997</v>
      </c>
      <c r="Y68" s="101"/>
      <c r="Z68" s="101"/>
    </row>
    <row r="69" spans="1:26" x14ac:dyDescent="0.25">
      <c r="A69" s="264">
        <v>65</v>
      </c>
      <c r="B69" s="101" t="s">
        <v>206</v>
      </c>
      <c r="C69" s="264">
        <v>140</v>
      </c>
      <c r="D69" s="264">
        <v>240</v>
      </c>
      <c r="E69" s="264">
        <v>2</v>
      </c>
      <c r="F69" s="101">
        <f t="shared" si="5"/>
        <v>6.7199999999999996E-2</v>
      </c>
      <c r="G69" s="264">
        <v>80</v>
      </c>
      <c r="H69" s="289">
        <f t="shared" si="6"/>
        <v>5.3759999999999994</v>
      </c>
      <c r="I69" s="290">
        <v>0</v>
      </c>
      <c r="J69" s="264">
        <f t="shared" si="22"/>
        <v>0</v>
      </c>
      <c r="K69" s="290">
        <v>0</v>
      </c>
      <c r="L69" s="264"/>
      <c r="M69" s="290">
        <v>0</v>
      </c>
      <c r="N69" s="174">
        <v>0</v>
      </c>
      <c r="O69" s="290">
        <v>0</v>
      </c>
      <c r="P69" s="264">
        <f t="shared" ref="P69" si="26">F69*O69</f>
        <v>0</v>
      </c>
      <c r="Q69" s="290">
        <v>0</v>
      </c>
      <c r="R69" s="205">
        <f t="shared" ref="R69" si="27">F69*Q69</f>
        <v>0</v>
      </c>
      <c r="S69" s="39">
        <f t="shared" si="7"/>
        <v>80</v>
      </c>
      <c r="T69" s="38">
        <f t="shared" ref="T69:T70" si="28">F69*S69</f>
        <v>5.3759999999999994</v>
      </c>
      <c r="U69" s="290">
        <v>0</v>
      </c>
      <c r="V69" s="309">
        <f t="shared" si="8"/>
        <v>0</v>
      </c>
      <c r="W69" s="294">
        <f t="shared" si="9"/>
        <v>80</v>
      </c>
      <c r="X69" s="300">
        <f t="shared" si="10"/>
        <v>5.3759999999999994</v>
      </c>
      <c r="Y69" s="101">
        <v>70</v>
      </c>
      <c r="Z69" s="101">
        <v>200</v>
      </c>
    </row>
    <row r="70" spans="1:26" x14ac:dyDescent="0.25">
      <c r="A70" s="264">
        <v>66</v>
      </c>
      <c r="B70" s="101" t="s">
        <v>213</v>
      </c>
      <c r="C70" s="264"/>
      <c r="D70" s="264"/>
      <c r="E70" s="264"/>
      <c r="F70" s="101"/>
      <c r="G70" s="264">
        <v>320</v>
      </c>
      <c r="H70" s="289"/>
      <c r="I70" s="290">
        <v>0</v>
      </c>
      <c r="J70" s="264"/>
      <c r="K70" s="290">
        <v>0</v>
      </c>
      <c r="L70" s="264"/>
      <c r="M70" s="290">
        <v>0</v>
      </c>
      <c r="N70" s="264">
        <f t="shared" si="19"/>
        <v>0</v>
      </c>
      <c r="O70" s="290">
        <v>0</v>
      </c>
      <c r="P70" s="264"/>
      <c r="Q70" s="290">
        <v>0</v>
      </c>
      <c r="R70" s="264"/>
      <c r="S70" s="39">
        <f t="shared" ref="S70" si="29">G70-I70-K70-M70-O70-Q70</f>
        <v>320</v>
      </c>
      <c r="T70" s="38">
        <f t="shared" si="28"/>
        <v>0</v>
      </c>
      <c r="U70" s="290">
        <v>0</v>
      </c>
      <c r="V70" s="309">
        <f t="shared" ref="V70" si="30">F70*U70</f>
        <v>0</v>
      </c>
      <c r="W70" s="294">
        <f t="shared" ref="W70" si="31">S70+U70</f>
        <v>320</v>
      </c>
      <c r="X70" s="300">
        <f t="shared" ref="X70" si="32">F70*W70</f>
        <v>0</v>
      </c>
      <c r="Y70" s="101"/>
      <c r="Z70" s="101"/>
    </row>
    <row r="71" spans="1:26" x14ac:dyDescent="0.2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spans="1:26" x14ac:dyDescent="0.2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1:26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1:26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1:26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1:26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1:26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1:26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</sheetData>
  <mergeCells count="24">
    <mergeCell ref="C1:H1"/>
    <mergeCell ref="G2:H3"/>
    <mergeCell ref="I2:J2"/>
    <mergeCell ref="K2:L2"/>
    <mergeCell ref="M2:N2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S4:T4"/>
    <mergeCell ref="U4:V4"/>
    <mergeCell ref="W4:X4"/>
    <mergeCell ref="G4:H4"/>
    <mergeCell ref="I4:J4"/>
    <mergeCell ref="K4:L4"/>
    <mergeCell ref="M4:N4"/>
    <mergeCell ref="O4:P4"/>
    <mergeCell ref="Q4:R4"/>
  </mergeCell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2948A-2333-4E1B-BE3D-BB439AB38773}">
  <dimension ref="A1:Z78"/>
  <sheetViews>
    <sheetView workbookViewId="0">
      <selection activeCell="B15" sqref="B15"/>
    </sheetView>
  </sheetViews>
  <sheetFormatPr defaultRowHeight="15" x14ac:dyDescent="0.25"/>
  <cols>
    <col min="1" max="1" width="5" customWidth="1"/>
    <col min="2" max="2" width="31.85546875" style="3" customWidth="1"/>
    <col min="3" max="3" width="4.7109375" style="2" hidden="1" customWidth="1"/>
    <col min="4" max="4" width="7.28515625" style="2" hidden="1" customWidth="1"/>
    <col min="5" max="5" width="5.85546875" style="2" hidden="1" customWidth="1"/>
    <col min="6" max="6" width="8" style="4" hidden="1" customWidth="1"/>
    <col min="7" max="7" width="7.5703125" style="5" customWidth="1"/>
    <col min="8" max="8" width="9" style="5" customWidth="1"/>
    <col min="9" max="9" width="6" style="2" customWidth="1"/>
    <col min="10" max="10" width="7.140625" style="2" customWidth="1"/>
    <col min="11" max="11" width="6.28515625" style="2" customWidth="1"/>
    <col min="12" max="12" width="8" style="2" customWidth="1"/>
    <col min="13" max="20" width="6.42578125" style="2" customWidth="1"/>
    <col min="21" max="24" width="6.42578125" customWidth="1"/>
    <col min="25" max="25" width="10.28515625" customWidth="1"/>
  </cols>
  <sheetData>
    <row r="1" spans="1:26" ht="15.75" thickBot="1" x14ac:dyDescent="0.3">
      <c r="B1" s="4" t="s">
        <v>18</v>
      </c>
      <c r="C1" s="384" t="s">
        <v>223</v>
      </c>
      <c r="D1" s="320"/>
      <c r="E1" s="320"/>
      <c r="F1" s="320"/>
      <c r="G1" s="320"/>
      <c r="H1" s="320"/>
      <c r="Y1" s="314">
        <v>45656</v>
      </c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45940</v>
      </c>
      <c r="J2" s="326"/>
      <c r="K2" s="327">
        <v>45947</v>
      </c>
      <c r="L2" s="328"/>
      <c r="M2" s="325">
        <v>45954</v>
      </c>
      <c r="N2" s="329"/>
      <c r="O2" s="327">
        <v>45961</v>
      </c>
      <c r="P2" s="346"/>
      <c r="Q2" s="325">
        <v>0</v>
      </c>
      <c r="R2" s="329"/>
      <c r="S2" s="330" t="s">
        <v>69</v>
      </c>
      <c r="T2" s="331"/>
      <c r="U2" s="334" t="s">
        <v>70</v>
      </c>
      <c r="V2" s="335"/>
      <c r="W2" s="385" t="s">
        <v>71</v>
      </c>
      <c r="X2" s="386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87"/>
      <c r="X3" s="388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89" t="s">
        <v>63</v>
      </c>
      <c r="X4" s="390"/>
      <c r="Y4" s="268" t="s">
        <v>179</v>
      </c>
      <c r="Z4" s="269" t="s">
        <v>99</v>
      </c>
    </row>
    <row r="5" spans="1:26" x14ac:dyDescent="0.25">
      <c r="A5" s="263">
        <v>1</v>
      </c>
      <c r="B5" s="256" t="s">
        <v>134</v>
      </c>
      <c r="C5" s="32">
        <v>70</v>
      </c>
      <c r="D5" s="33">
        <v>64</v>
      </c>
      <c r="E5" s="33">
        <v>8</v>
      </c>
      <c r="F5" s="15">
        <f>(C5*D5*E5)/1000000</f>
        <v>3.5839999999999997E-2</v>
      </c>
      <c r="G5" s="286">
        <v>230</v>
      </c>
      <c r="H5" s="287">
        <f>F5*G5</f>
        <v>8.2431999999999999</v>
      </c>
      <c r="I5" s="290">
        <v>0</v>
      </c>
      <c r="J5" s="205">
        <f t="shared" ref="J5:R55" si="0">F5*I5</f>
        <v>0</v>
      </c>
      <c r="K5" s="290">
        <v>22</v>
      </c>
      <c r="L5" s="205">
        <f>F5*K5</f>
        <v>0.78847999999999996</v>
      </c>
      <c r="M5" s="290">
        <v>0</v>
      </c>
      <c r="N5" s="205">
        <f t="shared" ref="N5:N10" si="1">F5*M5</f>
        <v>0</v>
      </c>
      <c r="O5" s="290">
        <v>0</v>
      </c>
      <c r="P5" s="205">
        <f t="shared" ref="P5:P10" si="2">F5*O5</f>
        <v>0</v>
      </c>
      <c r="Q5" s="290">
        <v>0</v>
      </c>
      <c r="R5" s="205">
        <f t="shared" ref="R5:R11" si="3">F5*Q5</f>
        <v>0</v>
      </c>
      <c r="S5" s="39">
        <f>G5-I5-K5-M5-O5-Q5</f>
        <v>208</v>
      </c>
      <c r="T5" s="38">
        <f t="shared" ref="T5:T68" si="4">F5*S5</f>
        <v>7.4547199999999991</v>
      </c>
      <c r="U5" s="290">
        <v>0</v>
      </c>
      <c r="V5" s="13">
        <f>F5*U5</f>
        <v>0</v>
      </c>
      <c r="W5" s="294">
        <f>S5+U5</f>
        <v>208</v>
      </c>
      <c r="X5" s="295">
        <f>F5*W5</f>
        <v>7.4547199999999991</v>
      </c>
      <c r="Y5" s="266">
        <v>200</v>
      </c>
      <c r="Z5" s="267">
        <v>750</v>
      </c>
    </row>
    <row r="6" spans="1:26" x14ac:dyDescent="0.25">
      <c r="A6" s="264">
        <v>2</v>
      </c>
      <c r="B6" s="256" t="s">
        <v>135</v>
      </c>
      <c r="C6" s="34">
        <v>70</v>
      </c>
      <c r="D6" s="35">
        <v>80</v>
      </c>
      <c r="E6" s="35">
        <v>8</v>
      </c>
      <c r="F6" s="19">
        <f t="shared" ref="F6:F69" si="5">(C6*D6*E6)/1000000</f>
        <v>4.48E-2</v>
      </c>
      <c r="G6" s="286">
        <v>306</v>
      </c>
      <c r="H6" s="288">
        <f t="shared" ref="H6:H69" si="6">F6*G6</f>
        <v>13.7088</v>
      </c>
      <c r="I6" s="290">
        <v>0</v>
      </c>
      <c r="J6" s="205">
        <f t="shared" si="0"/>
        <v>0</v>
      </c>
      <c r="K6" s="290">
        <v>22</v>
      </c>
      <c r="L6" s="205">
        <f>F6*K6</f>
        <v>0.98560000000000003</v>
      </c>
      <c r="M6" s="290">
        <v>0</v>
      </c>
      <c r="N6" s="205">
        <f t="shared" si="1"/>
        <v>0</v>
      </c>
      <c r="O6" s="290">
        <v>0</v>
      </c>
      <c r="P6" s="205">
        <f t="shared" si="2"/>
        <v>0</v>
      </c>
      <c r="Q6" s="290">
        <v>0</v>
      </c>
      <c r="R6" s="205">
        <f t="shared" si="3"/>
        <v>0</v>
      </c>
      <c r="S6" s="39">
        <f t="shared" ref="S6:S69" si="7">G6-I6-K6-M6-O6-Q6</f>
        <v>284</v>
      </c>
      <c r="T6" s="38">
        <f t="shared" si="4"/>
        <v>12.7232</v>
      </c>
      <c r="U6" s="290">
        <v>0</v>
      </c>
      <c r="V6" s="13">
        <f t="shared" ref="V6:V69" si="8">F6*U6</f>
        <v>0</v>
      </c>
      <c r="W6" s="294">
        <f t="shared" ref="W6:W69" si="9">S6+U6</f>
        <v>284</v>
      </c>
      <c r="X6" s="295">
        <f t="shared" ref="X6:X69" si="10">F6*W6</f>
        <v>12.7232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136</v>
      </c>
      <c r="C7" s="34">
        <v>70</v>
      </c>
      <c r="D7" s="35">
        <v>74</v>
      </c>
      <c r="E7" s="35">
        <v>8</v>
      </c>
      <c r="F7" s="19">
        <f t="shared" si="5"/>
        <v>4.1439999999999998E-2</v>
      </c>
      <c r="G7" s="286">
        <v>289</v>
      </c>
      <c r="H7" s="288">
        <f t="shared" si="6"/>
        <v>11.97616</v>
      </c>
      <c r="I7" s="290">
        <v>0</v>
      </c>
      <c r="J7" s="205">
        <f t="shared" si="0"/>
        <v>0</v>
      </c>
      <c r="K7" s="290">
        <v>44</v>
      </c>
      <c r="L7" s="205">
        <f>F7*K7</f>
        <v>1.8233599999999999</v>
      </c>
      <c r="M7" s="290">
        <v>0</v>
      </c>
      <c r="N7" s="205">
        <f t="shared" si="1"/>
        <v>0</v>
      </c>
      <c r="O7" s="290">
        <v>0</v>
      </c>
      <c r="P7" s="205">
        <f t="shared" si="2"/>
        <v>0</v>
      </c>
      <c r="Q7" s="290">
        <v>0</v>
      </c>
      <c r="R7" s="205">
        <f t="shared" si="3"/>
        <v>0</v>
      </c>
      <c r="S7" s="39">
        <f t="shared" si="7"/>
        <v>245</v>
      </c>
      <c r="T7" s="38">
        <f t="shared" si="4"/>
        <v>10.152799999999999</v>
      </c>
      <c r="U7" s="290">
        <v>0</v>
      </c>
      <c r="V7" s="13">
        <f t="shared" si="8"/>
        <v>0</v>
      </c>
      <c r="W7" s="294">
        <f t="shared" si="9"/>
        <v>245</v>
      </c>
      <c r="X7" s="295">
        <f t="shared" si="10"/>
        <v>10.152799999999999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208</v>
      </c>
      <c r="C8" s="34">
        <v>70</v>
      </c>
      <c r="D8" s="35">
        <v>88</v>
      </c>
      <c r="E8" s="35">
        <v>8</v>
      </c>
      <c r="F8" s="19">
        <f t="shared" si="5"/>
        <v>4.9279999999999997E-2</v>
      </c>
      <c r="G8" s="286">
        <v>256</v>
      </c>
      <c r="H8" s="288">
        <f t="shared" si="6"/>
        <v>12.615679999999999</v>
      </c>
      <c r="I8" s="290">
        <v>0</v>
      </c>
      <c r="J8" s="205">
        <f t="shared" si="0"/>
        <v>0</v>
      </c>
      <c r="K8" s="290">
        <v>0</v>
      </c>
      <c r="L8" s="205">
        <f>F8*K8</f>
        <v>0</v>
      </c>
      <c r="M8" s="290">
        <v>0</v>
      </c>
      <c r="N8" s="205">
        <f t="shared" si="1"/>
        <v>0</v>
      </c>
      <c r="O8" s="290">
        <v>0</v>
      </c>
      <c r="P8" s="205">
        <f t="shared" si="2"/>
        <v>0</v>
      </c>
      <c r="Q8" s="290">
        <v>0</v>
      </c>
      <c r="R8" s="205">
        <f t="shared" si="3"/>
        <v>0</v>
      </c>
      <c r="S8" s="39">
        <f t="shared" si="7"/>
        <v>256</v>
      </c>
      <c r="T8" s="38">
        <f t="shared" si="4"/>
        <v>12.615679999999999</v>
      </c>
      <c r="U8" s="290">
        <v>0</v>
      </c>
      <c r="V8" s="13">
        <f t="shared" si="8"/>
        <v>0</v>
      </c>
      <c r="W8" s="294">
        <f t="shared" si="9"/>
        <v>256</v>
      </c>
      <c r="X8" s="295">
        <f t="shared" si="10"/>
        <v>12.615679999999999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138</v>
      </c>
      <c r="C9" s="34">
        <v>140</v>
      </c>
      <c r="D9" s="35">
        <v>240</v>
      </c>
      <c r="E9" s="35">
        <v>5</v>
      </c>
      <c r="F9" s="19">
        <f t="shared" si="5"/>
        <v>0.16800000000000001</v>
      </c>
      <c r="G9" s="286">
        <v>67</v>
      </c>
      <c r="H9" s="288">
        <f t="shared" si="6"/>
        <v>11.256</v>
      </c>
      <c r="I9" s="290">
        <v>19</v>
      </c>
      <c r="J9" s="205">
        <f t="shared" si="0"/>
        <v>3.1920000000000002</v>
      </c>
      <c r="K9" s="290">
        <v>13</v>
      </c>
      <c r="L9" s="205">
        <f>F9*K9</f>
        <v>2.1840000000000002</v>
      </c>
      <c r="M9" s="290">
        <v>21</v>
      </c>
      <c r="N9" s="205">
        <f t="shared" si="1"/>
        <v>3.528</v>
      </c>
      <c r="O9" s="290">
        <v>31</v>
      </c>
      <c r="P9" s="205">
        <f t="shared" si="2"/>
        <v>5.2080000000000002</v>
      </c>
      <c r="Q9" s="290">
        <v>0</v>
      </c>
      <c r="R9" s="205">
        <f t="shared" si="3"/>
        <v>0</v>
      </c>
      <c r="S9" s="39">
        <f t="shared" si="7"/>
        <v>-17</v>
      </c>
      <c r="T9" s="38">
        <f t="shared" si="4"/>
        <v>-2.8560000000000003</v>
      </c>
      <c r="U9" s="290">
        <v>145</v>
      </c>
      <c r="V9" s="13">
        <f t="shared" si="8"/>
        <v>24.360000000000003</v>
      </c>
      <c r="W9" s="294">
        <f t="shared" si="9"/>
        <v>128</v>
      </c>
      <c r="X9" s="295">
        <f t="shared" si="10"/>
        <v>21.504000000000001</v>
      </c>
      <c r="Y9" s="238">
        <v>100</v>
      </c>
      <c r="Z9" s="101">
        <v>250</v>
      </c>
    </row>
    <row r="10" spans="1:26" x14ac:dyDescent="0.25">
      <c r="A10" s="264">
        <v>6</v>
      </c>
      <c r="B10" s="256" t="s">
        <v>211</v>
      </c>
      <c r="C10" s="34">
        <v>143</v>
      </c>
      <c r="D10" s="35">
        <v>68</v>
      </c>
      <c r="E10" s="35">
        <v>5</v>
      </c>
      <c r="F10" s="19">
        <f t="shared" si="5"/>
        <v>4.8619999999999997E-2</v>
      </c>
      <c r="G10" s="286">
        <v>92</v>
      </c>
      <c r="H10" s="288">
        <f t="shared" si="6"/>
        <v>4.4730399999999992</v>
      </c>
      <c r="I10" s="290">
        <v>0</v>
      </c>
      <c r="J10" s="205">
        <f t="shared" si="0"/>
        <v>0</v>
      </c>
      <c r="K10" s="290">
        <v>0</v>
      </c>
      <c r="L10" s="205">
        <f t="shared" ref="L10" si="11">F10*K10</f>
        <v>0</v>
      </c>
      <c r="M10" s="290">
        <v>0</v>
      </c>
      <c r="N10" s="205">
        <f t="shared" si="1"/>
        <v>0</v>
      </c>
      <c r="O10" s="290">
        <v>0</v>
      </c>
      <c r="P10" s="205">
        <f t="shared" si="2"/>
        <v>0</v>
      </c>
      <c r="Q10" s="290">
        <v>92</v>
      </c>
      <c r="R10" s="205">
        <f t="shared" si="3"/>
        <v>4.4730399999999992</v>
      </c>
      <c r="S10" s="39">
        <f t="shared" si="7"/>
        <v>0</v>
      </c>
      <c r="T10" s="38">
        <f t="shared" si="4"/>
        <v>0</v>
      </c>
      <c r="U10" s="290">
        <v>500</v>
      </c>
      <c r="V10" s="13">
        <f t="shared" si="8"/>
        <v>24.31</v>
      </c>
      <c r="W10" s="294">
        <f t="shared" si="9"/>
        <v>500</v>
      </c>
      <c r="X10" s="295">
        <f t="shared" si="10"/>
        <v>24.31</v>
      </c>
      <c r="Y10" s="238">
        <v>75</v>
      </c>
      <c r="Z10" s="101">
        <v>250</v>
      </c>
    </row>
    <row r="11" spans="1:26" x14ac:dyDescent="0.25">
      <c r="A11" s="264">
        <v>7</v>
      </c>
      <c r="B11" s="256" t="s">
        <v>207</v>
      </c>
      <c r="C11" s="34">
        <v>140</v>
      </c>
      <c r="D11" s="35">
        <v>240</v>
      </c>
      <c r="E11" s="35">
        <v>8</v>
      </c>
      <c r="F11" s="19">
        <f t="shared" si="5"/>
        <v>0.26879999999999998</v>
      </c>
      <c r="G11" s="286">
        <v>38</v>
      </c>
      <c r="H11" s="288">
        <f t="shared" si="6"/>
        <v>10.214399999999999</v>
      </c>
      <c r="I11" s="290">
        <v>0</v>
      </c>
      <c r="J11" s="205">
        <f t="shared" si="0"/>
        <v>0</v>
      </c>
      <c r="K11" s="290">
        <v>0</v>
      </c>
      <c r="L11" s="205">
        <f>F11*K11</f>
        <v>0</v>
      </c>
      <c r="M11" s="290">
        <v>0</v>
      </c>
      <c r="N11" s="21">
        <v>0</v>
      </c>
      <c r="O11" s="290">
        <v>0</v>
      </c>
      <c r="P11" s="21">
        <v>0</v>
      </c>
      <c r="Q11" s="290">
        <v>0</v>
      </c>
      <c r="R11" s="205">
        <f t="shared" si="3"/>
        <v>0</v>
      </c>
      <c r="S11" s="39">
        <f t="shared" si="7"/>
        <v>38</v>
      </c>
      <c r="T11" s="38">
        <f t="shared" si="4"/>
        <v>10.214399999999999</v>
      </c>
      <c r="U11" s="290">
        <v>0</v>
      </c>
      <c r="V11" s="13">
        <f t="shared" si="8"/>
        <v>0</v>
      </c>
      <c r="W11" s="294">
        <f t="shared" si="9"/>
        <v>38</v>
      </c>
      <c r="X11" s="295">
        <f t="shared" si="10"/>
        <v>10.214399999999999</v>
      </c>
      <c r="Y11" s="238">
        <v>30</v>
      </c>
      <c r="Z11" s="101">
        <v>75</v>
      </c>
    </row>
    <row r="12" spans="1:26" x14ac:dyDescent="0.25">
      <c r="A12" s="264">
        <v>8</v>
      </c>
      <c r="B12" s="256" t="s">
        <v>217</v>
      </c>
      <c r="C12" s="34">
        <v>75</v>
      </c>
      <c r="D12" s="35">
        <v>54</v>
      </c>
      <c r="E12" s="35">
        <v>5</v>
      </c>
      <c r="F12" s="19">
        <f t="shared" si="5"/>
        <v>2.0250000000000001E-2</v>
      </c>
      <c r="G12" s="286">
        <v>324</v>
      </c>
      <c r="H12" s="288">
        <f t="shared" si="6"/>
        <v>6.5609999999999999</v>
      </c>
      <c r="I12" s="290">
        <v>0</v>
      </c>
      <c r="J12" s="205">
        <f t="shared" si="0"/>
        <v>0</v>
      </c>
      <c r="K12" s="290">
        <v>2</v>
      </c>
      <c r="L12" s="205">
        <f>F12*K12</f>
        <v>4.0500000000000001E-2</v>
      </c>
      <c r="M12" s="290">
        <v>0</v>
      </c>
      <c r="N12" s="205">
        <f>F12*M12</f>
        <v>0</v>
      </c>
      <c r="O12" s="290">
        <v>0</v>
      </c>
      <c r="P12" s="205">
        <f>F12*O12</f>
        <v>0</v>
      </c>
      <c r="Q12" s="290">
        <v>0</v>
      </c>
      <c r="R12" s="21">
        <v>0</v>
      </c>
      <c r="S12" s="39">
        <f t="shared" si="7"/>
        <v>322</v>
      </c>
      <c r="T12" s="38">
        <f t="shared" si="4"/>
        <v>6.5205000000000002</v>
      </c>
      <c r="U12" s="290">
        <v>110</v>
      </c>
      <c r="V12" s="13">
        <f t="shared" si="8"/>
        <v>2.2275</v>
      </c>
      <c r="W12" s="294">
        <f t="shared" si="9"/>
        <v>432</v>
      </c>
      <c r="X12" s="295">
        <f t="shared" si="10"/>
        <v>8.7480000000000011</v>
      </c>
      <c r="Y12" s="238">
        <v>100</v>
      </c>
      <c r="Z12" s="101">
        <v>300</v>
      </c>
    </row>
    <row r="13" spans="1:26" x14ac:dyDescent="0.25">
      <c r="A13" s="264">
        <v>9</v>
      </c>
      <c r="B13" s="256" t="s">
        <v>142</v>
      </c>
      <c r="C13" s="34">
        <v>140</v>
      </c>
      <c r="D13" s="35">
        <v>240</v>
      </c>
      <c r="E13" s="35">
        <v>5</v>
      </c>
      <c r="F13" s="19">
        <f t="shared" si="5"/>
        <v>0.16800000000000001</v>
      </c>
      <c r="G13" s="286">
        <v>188</v>
      </c>
      <c r="H13" s="288">
        <f t="shared" si="6"/>
        <v>31.584000000000003</v>
      </c>
      <c r="I13" s="290">
        <v>2</v>
      </c>
      <c r="J13" s="205">
        <f t="shared" si="0"/>
        <v>0.33600000000000002</v>
      </c>
      <c r="K13" s="290">
        <v>0</v>
      </c>
      <c r="L13" s="205">
        <f>F13*K13</f>
        <v>0</v>
      </c>
      <c r="M13" s="290">
        <v>8</v>
      </c>
      <c r="N13" s="205">
        <f>F13*M13</f>
        <v>1.3440000000000001</v>
      </c>
      <c r="O13" s="290">
        <v>0</v>
      </c>
      <c r="P13" s="205">
        <f>F13*O13</f>
        <v>0</v>
      </c>
      <c r="Q13" s="290">
        <v>0</v>
      </c>
      <c r="R13" s="205">
        <f>F13*Q13</f>
        <v>0</v>
      </c>
      <c r="S13" s="39">
        <f t="shared" si="7"/>
        <v>178</v>
      </c>
      <c r="T13" s="38">
        <f t="shared" si="4"/>
        <v>29.904000000000003</v>
      </c>
      <c r="U13" s="290">
        <v>0</v>
      </c>
      <c r="V13" s="13">
        <f t="shared" si="8"/>
        <v>0</v>
      </c>
      <c r="W13" s="294">
        <f t="shared" si="9"/>
        <v>178</v>
      </c>
      <c r="X13" s="295">
        <f t="shared" si="10"/>
        <v>29.904000000000003</v>
      </c>
      <c r="Y13" s="238">
        <v>100</v>
      </c>
      <c r="Z13" s="101">
        <v>300</v>
      </c>
    </row>
    <row r="14" spans="1:26" x14ac:dyDescent="0.25">
      <c r="A14" s="264">
        <v>10</v>
      </c>
      <c r="B14" s="256" t="s">
        <v>215</v>
      </c>
      <c r="C14" s="34">
        <v>90</v>
      </c>
      <c r="D14" s="35">
        <v>85</v>
      </c>
      <c r="E14" s="35">
        <v>5</v>
      </c>
      <c r="F14" s="19">
        <f t="shared" si="5"/>
        <v>3.8249999999999999E-2</v>
      </c>
      <c r="G14" s="286">
        <v>0</v>
      </c>
      <c r="H14" s="288">
        <f t="shared" si="6"/>
        <v>0</v>
      </c>
      <c r="I14" s="290">
        <v>0</v>
      </c>
      <c r="J14" s="205">
        <f t="shared" si="0"/>
        <v>0</v>
      </c>
      <c r="K14" s="290">
        <v>0</v>
      </c>
      <c r="L14" s="205">
        <f t="shared" ref="L14:L20" si="12">F14*K14</f>
        <v>0</v>
      </c>
      <c r="M14" s="290">
        <v>0</v>
      </c>
      <c r="N14" s="205">
        <f>F14*M14</f>
        <v>0</v>
      </c>
      <c r="O14" s="290">
        <v>0</v>
      </c>
      <c r="P14" s="205">
        <f t="shared" si="0"/>
        <v>0</v>
      </c>
      <c r="Q14" s="290">
        <v>0</v>
      </c>
      <c r="R14" s="205">
        <f t="shared" si="0"/>
        <v>0</v>
      </c>
      <c r="S14" s="39">
        <f t="shared" si="7"/>
        <v>0</v>
      </c>
      <c r="T14" s="38">
        <f t="shared" si="4"/>
        <v>0</v>
      </c>
      <c r="U14" s="290">
        <v>1000</v>
      </c>
      <c r="V14" s="13">
        <f t="shared" si="8"/>
        <v>38.25</v>
      </c>
      <c r="W14" s="294">
        <f t="shared" si="9"/>
        <v>1000</v>
      </c>
      <c r="X14" s="295">
        <f t="shared" si="10"/>
        <v>38.25</v>
      </c>
      <c r="Y14" s="238">
        <v>100</v>
      </c>
      <c r="Z14" s="101">
        <v>300</v>
      </c>
    </row>
    <row r="15" spans="1:26" x14ac:dyDescent="0.25">
      <c r="A15" s="264">
        <v>11</v>
      </c>
      <c r="B15" s="256" t="s">
        <v>144</v>
      </c>
      <c r="C15" s="34">
        <v>140</v>
      </c>
      <c r="D15" s="35">
        <v>240</v>
      </c>
      <c r="E15" s="35">
        <v>5</v>
      </c>
      <c r="F15" s="19">
        <f t="shared" si="5"/>
        <v>0.16800000000000001</v>
      </c>
      <c r="G15" s="286">
        <v>309</v>
      </c>
      <c r="H15" s="288">
        <f t="shared" si="6"/>
        <v>51.912000000000006</v>
      </c>
      <c r="I15" s="290">
        <v>3</v>
      </c>
      <c r="J15" s="205">
        <f t="shared" si="0"/>
        <v>0.504</v>
      </c>
      <c r="K15" s="290">
        <v>3</v>
      </c>
      <c r="L15" s="205">
        <f t="shared" si="12"/>
        <v>0.504</v>
      </c>
      <c r="M15" s="290">
        <v>4</v>
      </c>
      <c r="N15" s="205">
        <f t="shared" ref="N15:N37" si="13">F15*M15</f>
        <v>0.67200000000000004</v>
      </c>
      <c r="O15" s="290">
        <v>3</v>
      </c>
      <c r="P15" s="205">
        <f t="shared" ref="P15:P36" si="14">F15*O15</f>
        <v>0.504</v>
      </c>
      <c r="Q15" s="290">
        <v>0</v>
      </c>
      <c r="R15" s="205">
        <f t="shared" ref="R15:R20" si="15">F15*Q15</f>
        <v>0</v>
      </c>
      <c r="S15" s="39">
        <f t="shared" si="7"/>
        <v>296</v>
      </c>
      <c r="T15" s="38">
        <f t="shared" si="4"/>
        <v>49.728000000000002</v>
      </c>
      <c r="U15" s="290">
        <v>22</v>
      </c>
      <c r="V15" s="13">
        <f t="shared" si="8"/>
        <v>3.6960000000000002</v>
      </c>
      <c r="W15" s="294">
        <f t="shared" si="9"/>
        <v>318</v>
      </c>
      <c r="X15" s="295">
        <f t="shared" si="10"/>
        <v>53.424000000000007</v>
      </c>
      <c r="Y15" s="238">
        <v>200</v>
      </c>
      <c r="Z15" s="101">
        <v>400</v>
      </c>
    </row>
    <row r="16" spans="1:26" x14ac:dyDescent="0.25">
      <c r="A16" s="264">
        <v>12</v>
      </c>
      <c r="B16" s="256" t="s">
        <v>145</v>
      </c>
      <c r="C16" s="34">
        <v>140</v>
      </c>
      <c r="D16" s="35">
        <v>240</v>
      </c>
      <c r="E16" s="35">
        <v>5</v>
      </c>
      <c r="F16" s="19">
        <f t="shared" si="5"/>
        <v>0.16800000000000001</v>
      </c>
      <c r="G16" s="286">
        <v>142</v>
      </c>
      <c r="H16" s="288">
        <f t="shared" si="6"/>
        <v>23.856000000000002</v>
      </c>
      <c r="I16" s="290">
        <v>3</v>
      </c>
      <c r="J16" s="205">
        <f t="shared" si="0"/>
        <v>0.504</v>
      </c>
      <c r="K16" s="290">
        <v>6</v>
      </c>
      <c r="L16" s="205">
        <f t="shared" si="12"/>
        <v>1.008</v>
      </c>
      <c r="M16" s="290">
        <v>22</v>
      </c>
      <c r="N16" s="205">
        <f t="shared" si="13"/>
        <v>3.6960000000000002</v>
      </c>
      <c r="O16" s="290">
        <v>10</v>
      </c>
      <c r="P16" s="205">
        <f t="shared" si="14"/>
        <v>1.6800000000000002</v>
      </c>
      <c r="Q16" s="290">
        <v>0</v>
      </c>
      <c r="R16" s="205">
        <f t="shared" si="15"/>
        <v>0</v>
      </c>
      <c r="S16" s="39">
        <f t="shared" si="7"/>
        <v>101</v>
      </c>
      <c r="T16" s="38">
        <f t="shared" si="4"/>
        <v>16.968</v>
      </c>
      <c r="U16" s="290">
        <v>0</v>
      </c>
      <c r="V16" s="13">
        <f t="shared" si="8"/>
        <v>0</v>
      </c>
      <c r="W16" s="294">
        <f t="shared" si="9"/>
        <v>101</v>
      </c>
      <c r="X16" s="295">
        <f t="shared" si="10"/>
        <v>16.968</v>
      </c>
      <c r="Y16" s="238">
        <v>100</v>
      </c>
      <c r="Z16" s="101">
        <v>300</v>
      </c>
    </row>
    <row r="17" spans="1:26" x14ac:dyDescent="0.25">
      <c r="A17" s="264">
        <v>13</v>
      </c>
      <c r="B17" s="256" t="s">
        <v>146</v>
      </c>
      <c r="C17" s="34">
        <v>140</v>
      </c>
      <c r="D17" s="35">
        <v>240</v>
      </c>
      <c r="E17" s="35">
        <v>8</v>
      </c>
      <c r="F17" s="19">
        <f t="shared" si="5"/>
        <v>0.26879999999999998</v>
      </c>
      <c r="G17" s="286">
        <v>103</v>
      </c>
      <c r="H17" s="288">
        <f t="shared" si="6"/>
        <v>27.686399999999999</v>
      </c>
      <c r="I17" s="290">
        <v>0</v>
      </c>
      <c r="J17" s="205">
        <f t="shared" si="0"/>
        <v>0</v>
      </c>
      <c r="K17" s="290">
        <v>5</v>
      </c>
      <c r="L17" s="205">
        <f t="shared" si="12"/>
        <v>1.3439999999999999</v>
      </c>
      <c r="M17" s="290">
        <v>8</v>
      </c>
      <c r="N17" s="205">
        <f t="shared" si="13"/>
        <v>2.1503999999999999</v>
      </c>
      <c r="O17" s="290">
        <v>0</v>
      </c>
      <c r="P17" s="205">
        <f t="shared" si="14"/>
        <v>0</v>
      </c>
      <c r="Q17" s="290">
        <v>0</v>
      </c>
      <c r="R17" s="205">
        <f t="shared" si="15"/>
        <v>0</v>
      </c>
      <c r="S17" s="39">
        <f t="shared" si="7"/>
        <v>90</v>
      </c>
      <c r="T17" s="38">
        <f t="shared" si="4"/>
        <v>24.192</v>
      </c>
      <c r="U17" s="290">
        <v>0</v>
      </c>
      <c r="V17" s="13">
        <f t="shared" si="8"/>
        <v>0</v>
      </c>
      <c r="W17" s="294">
        <f t="shared" si="9"/>
        <v>90</v>
      </c>
      <c r="X17" s="295">
        <f t="shared" si="10"/>
        <v>24.192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147</v>
      </c>
      <c r="C18" s="34">
        <v>77</v>
      </c>
      <c r="D18" s="35">
        <v>86</v>
      </c>
      <c r="E18" s="35">
        <v>8</v>
      </c>
      <c r="F18" s="19">
        <f t="shared" si="5"/>
        <v>5.2976000000000002E-2</v>
      </c>
      <c r="G18" s="286">
        <v>851</v>
      </c>
      <c r="H18" s="288">
        <f t="shared" si="6"/>
        <v>45.082576000000003</v>
      </c>
      <c r="I18" s="290">
        <v>0</v>
      </c>
      <c r="J18" s="205">
        <f t="shared" si="0"/>
        <v>0</v>
      </c>
      <c r="K18" s="290">
        <v>22</v>
      </c>
      <c r="L18" s="205">
        <f t="shared" si="12"/>
        <v>1.1654720000000001</v>
      </c>
      <c r="M18" s="290">
        <v>0</v>
      </c>
      <c r="N18" s="205">
        <f t="shared" si="13"/>
        <v>0</v>
      </c>
      <c r="O18" s="290">
        <v>0</v>
      </c>
      <c r="P18" s="205">
        <f t="shared" si="14"/>
        <v>0</v>
      </c>
      <c r="Q18" s="290">
        <v>0</v>
      </c>
      <c r="R18" s="205">
        <f t="shared" si="15"/>
        <v>0</v>
      </c>
      <c r="S18" s="39">
        <f t="shared" si="7"/>
        <v>829</v>
      </c>
      <c r="T18" s="38">
        <f t="shared" si="4"/>
        <v>43.917104000000002</v>
      </c>
      <c r="U18" s="290">
        <v>0</v>
      </c>
      <c r="V18" s="13">
        <f t="shared" si="8"/>
        <v>0</v>
      </c>
      <c r="W18" s="294">
        <f t="shared" si="9"/>
        <v>829</v>
      </c>
      <c r="X18" s="295">
        <f t="shared" si="10"/>
        <v>43.917104000000002</v>
      </c>
      <c r="Y18" s="238">
        <v>100</v>
      </c>
      <c r="Z18" s="101">
        <v>300</v>
      </c>
    </row>
    <row r="19" spans="1:26" x14ac:dyDescent="0.25">
      <c r="A19" s="264">
        <v>15</v>
      </c>
      <c r="B19" s="256" t="s">
        <v>148</v>
      </c>
      <c r="C19" s="34">
        <v>77</v>
      </c>
      <c r="D19" s="35">
        <v>68</v>
      </c>
      <c r="E19" s="35">
        <v>8</v>
      </c>
      <c r="F19" s="19">
        <f t="shared" si="5"/>
        <v>4.1888000000000002E-2</v>
      </c>
      <c r="G19" s="286">
        <v>122</v>
      </c>
      <c r="H19" s="288">
        <f t="shared" si="6"/>
        <v>5.1103360000000002</v>
      </c>
      <c r="I19" s="290">
        <v>0</v>
      </c>
      <c r="J19" s="205">
        <f t="shared" si="0"/>
        <v>0</v>
      </c>
      <c r="K19" s="290">
        <v>22</v>
      </c>
      <c r="L19" s="205">
        <f t="shared" si="12"/>
        <v>0.92153600000000002</v>
      </c>
      <c r="M19" s="290">
        <v>3</v>
      </c>
      <c r="N19" s="205">
        <f t="shared" si="13"/>
        <v>0.125664</v>
      </c>
      <c r="O19" s="290">
        <v>0</v>
      </c>
      <c r="P19" s="205">
        <f t="shared" si="14"/>
        <v>0</v>
      </c>
      <c r="Q19" s="290">
        <v>0</v>
      </c>
      <c r="R19" s="205">
        <f t="shared" si="15"/>
        <v>0</v>
      </c>
      <c r="S19" s="39">
        <f t="shared" si="7"/>
        <v>97</v>
      </c>
      <c r="T19" s="38">
        <f t="shared" si="4"/>
        <v>4.0631360000000001</v>
      </c>
      <c r="U19" s="290">
        <v>0</v>
      </c>
      <c r="V19" s="13">
        <f t="shared" si="8"/>
        <v>0</v>
      </c>
      <c r="W19" s="294">
        <f t="shared" si="9"/>
        <v>97</v>
      </c>
      <c r="X19" s="295">
        <f t="shared" si="10"/>
        <v>4.0631360000000001</v>
      </c>
      <c r="Y19" s="238">
        <v>100</v>
      </c>
      <c r="Z19" s="101">
        <v>300</v>
      </c>
    </row>
    <row r="20" spans="1:26" x14ac:dyDescent="0.25">
      <c r="A20" s="264">
        <v>16</v>
      </c>
      <c r="B20" s="256" t="s">
        <v>149</v>
      </c>
      <c r="C20" s="34">
        <v>76</v>
      </c>
      <c r="D20" s="35">
        <v>75</v>
      </c>
      <c r="E20" s="35">
        <v>8</v>
      </c>
      <c r="F20" s="19">
        <f t="shared" si="5"/>
        <v>4.5600000000000002E-2</v>
      </c>
      <c r="G20" s="286">
        <v>1288</v>
      </c>
      <c r="H20" s="288">
        <f t="shared" si="6"/>
        <v>58.732800000000005</v>
      </c>
      <c r="I20" s="290">
        <v>0</v>
      </c>
      <c r="J20" s="205">
        <f t="shared" si="0"/>
        <v>0</v>
      </c>
      <c r="K20" s="290">
        <v>44</v>
      </c>
      <c r="L20" s="205">
        <f t="shared" si="12"/>
        <v>2.0064000000000002</v>
      </c>
      <c r="M20" s="290">
        <v>0</v>
      </c>
      <c r="N20" s="205">
        <f t="shared" si="13"/>
        <v>0</v>
      </c>
      <c r="O20" s="290">
        <v>0</v>
      </c>
      <c r="P20" s="205">
        <f t="shared" si="14"/>
        <v>0</v>
      </c>
      <c r="Q20" s="290">
        <v>0</v>
      </c>
      <c r="R20" s="205">
        <f t="shared" si="15"/>
        <v>0</v>
      </c>
      <c r="S20" s="39">
        <f t="shared" si="7"/>
        <v>1244</v>
      </c>
      <c r="T20" s="38">
        <f t="shared" si="4"/>
        <v>56.726400000000005</v>
      </c>
      <c r="U20" s="290">
        <v>0</v>
      </c>
      <c r="V20" s="13">
        <f t="shared" si="8"/>
        <v>0</v>
      </c>
      <c r="W20" s="294">
        <f t="shared" si="9"/>
        <v>1244</v>
      </c>
      <c r="X20" s="295">
        <f t="shared" si="10"/>
        <v>56.726400000000005</v>
      </c>
      <c r="Y20" s="238">
        <v>100</v>
      </c>
      <c r="Z20" s="101">
        <v>300</v>
      </c>
    </row>
    <row r="21" spans="1:26" x14ac:dyDescent="0.25">
      <c r="A21" s="264">
        <v>17</v>
      </c>
      <c r="B21" s="256" t="s">
        <v>150</v>
      </c>
      <c r="C21" s="34">
        <v>60</v>
      </c>
      <c r="D21" s="35">
        <v>63</v>
      </c>
      <c r="E21" s="35">
        <v>10</v>
      </c>
      <c r="F21" s="19">
        <f t="shared" si="5"/>
        <v>3.78E-2</v>
      </c>
      <c r="G21" s="286">
        <v>497</v>
      </c>
      <c r="H21" s="288">
        <f t="shared" si="6"/>
        <v>18.7866</v>
      </c>
      <c r="I21" s="290">
        <v>70</v>
      </c>
      <c r="J21" s="205">
        <f t="shared" si="0"/>
        <v>2.6459999999999999</v>
      </c>
      <c r="K21" s="290">
        <v>0</v>
      </c>
      <c r="L21" s="205">
        <f t="shared" si="0"/>
        <v>0</v>
      </c>
      <c r="M21" s="290">
        <v>1</v>
      </c>
      <c r="N21" s="21">
        <v>0</v>
      </c>
      <c r="O21" s="290">
        <v>0</v>
      </c>
      <c r="P21" s="205">
        <f t="shared" si="14"/>
        <v>0</v>
      </c>
      <c r="Q21" s="290">
        <v>0</v>
      </c>
      <c r="R21" s="21">
        <v>0</v>
      </c>
      <c r="S21" s="39">
        <f t="shared" si="7"/>
        <v>426</v>
      </c>
      <c r="T21" s="38">
        <f t="shared" si="4"/>
        <v>16.102799999999998</v>
      </c>
      <c r="U21" s="290">
        <v>0</v>
      </c>
      <c r="V21" s="13">
        <f t="shared" si="8"/>
        <v>0</v>
      </c>
      <c r="W21" s="294">
        <f t="shared" si="9"/>
        <v>426</v>
      </c>
      <c r="X21" s="295">
        <f t="shared" si="10"/>
        <v>16.102799999999998</v>
      </c>
      <c r="Y21" s="238">
        <v>50</v>
      </c>
      <c r="Z21" s="101">
        <v>200</v>
      </c>
    </row>
    <row r="22" spans="1:26" x14ac:dyDescent="0.25">
      <c r="A22" s="264">
        <v>18</v>
      </c>
      <c r="B22" s="256" t="s">
        <v>151</v>
      </c>
      <c r="C22" s="34">
        <v>63</v>
      </c>
      <c r="D22" s="35">
        <v>60</v>
      </c>
      <c r="E22" s="35">
        <v>3</v>
      </c>
      <c r="F22" s="19">
        <f t="shared" si="5"/>
        <v>1.1339999999999999E-2</v>
      </c>
      <c r="G22" s="286">
        <v>239</v>
      </c>
      <c r="H22" s="288">
        <f t="shared" si="6"/>
        <v>2.7102599999999999</v>
      </c>
      <c r="I22" s="290">
        <v>70</v>
      </c>
      <c r="J22" s="205">
        <f t="shared" si="0"/>
        <v>0.79379999999999995</v>
      </c>
      <c r="K22" s="290">
        <v>0</v>
      </c>
      <c r="L22" s="205">
        <f>F22*K22</f>
        <v>0</v>
      </c>
      <c r="M22" s="290">
        <v>1</v>
      </c>
      <c r="N22" s="205">
        <f t="shared" si="13"/>
        <v>1.1339999999999999E-2</v>
      </c>
      <c r="O22" s="290">
        <v>0</v>
      </c>
      <c r="P22" s="205">
        <f t="shared" si="14"/>
        <v>0</v>
      </c>
      <c r="Q22" s="290">
        <v>0</v>
      </c>
      <c r="R22" s="21">
        <v>0</v>
      </c>
      <c r="S22" s="39">
        <f t="shared" si="7"/>
        <v>168</v>
      </c>
      <c r="T22" s="38">
        <f t="shared" si="4"/>
        <v>1.9051199999999999</v>
      </c>
      <c r="U22" s="290">
        <v>12</v>
      </c>
      <c r="V22" s="13">
        <f t="shared" si="8"/>
        <v>0.13607999999999998</v>
      </c>
      <c r="W22" s="294">
        <f t="shared" si="9"/>
        <v>180</v>
      </c>
      <c r="X22" s="295">
        <f t="shared" si="10"/>
        <v>2.0411999999999999</v>
      </c>
      <c r="Y22" s="238">
        <v>50</v>
      </c>
      <c r="Z22" s="101">
        <v>200</v>
      </c>
    </row>
    <row r="23" spans="1:26" x14ac:dyDescent="0.25">
      <c r="A23" s="264">
        <v>19</v>
      </c>
      <c r="B23" s="42" t="s">
        <v>152</v>
      </c>
      <c r="C23" s="34">
        <v>140</v>
      </c>
      <c r="D23" s="35">
        <v>240</v>
      </c>
      <c r="E23" s="35">
        <v>1.4</v>
      </c>
      <c r="F23" s="19">
        <f t="shared" si="5"/>
        <v>4.7039999999999998E-2</v>
      </c>
      <c r="G23" s="286">
        <v>395</v>
      </c>
      <c r="H23" s="288">
        <f t="shared" si="6"/>
        <v>18.5808</v>
      </c>
      <c r="I23" s="290">
        <v>45</v>
      </c>
      <c r="J23" s="205">
        <f t="shared" si="0"/>
        <v>2.1168</v>
      </c>
      <c r="K23" s="290">
        <v>90</v>
      </c>
      <c r="L23" s="205">
        <f t="shared" ref="L23:L36" si="16">F23*K23</f>
        <v>4.2336</v>
      </c>
      <c r="M23" s="290">
        <v>81</v>
      </c>
      <c r="N23" s="205">
        <f t="shared" si="13"/>
        <v>3.8102399999999998</v>
      </c>
      <c r="O23" s="290">
        <v>45</v>
      </c>
      <c r="P23" s="205">
        <f t="shared" si="14"/>
        <v>2.1168</v>
      </c>
      <c r="Q23" s="290">
        <v>0</v>
      </c>
      <c r="R23" s="205">
        <f t="shared" ref="R23:R37" si="17">F23*Q23</f>
        <v>0</v>
      </c>
      <c r="S23" s="39">
        <f t="shared" si="7"/>
        <v>134</v>
      </c>
      <c r="T23" s="38">
        <f t="shared" si="4"/>
        <v>6.3033599999999996</v>
      </c>
      <c r="U23" s="290">
        <v>383</v>
      </c>
      <c r="V23" s="13">
        <f t="shared" si="8"/>
        <v>18.01632</v>
      </c>
      <c r="W23" s="294">
        <f t="shared" si="9"/>
        <v>517</v>
      </c>
      <c r="X23" s="295">
        <f t="shared" si="10"/>
        <v>24.319679999999998</v>
      </c>
      <c r="Y23" s="238">
        <v>200</v>
      </c>
      <c r="Z23" s="101">
        <v>500</v>
      </c>
    </row>
    <row r="24" spans="1:26" x14ac:dyDescent="0.25">
      <c r="A24" s="264">
        <v>20</v>
      </c>
      <c r="B24" s="256" t="s">
        <v>3</v>
      </c>
      <c r="C24" s="34">
        <v>140</v>
      </c>
      <c r="D24" s="35">
        <v>240</v>
      </c>
      <c r="E24" s="35">
        <v>0.8</v>
      </c>
      <c r="F24" s="19">
        <f t="shared" si="5"/>
        <v>2.6880000000000001E-2</v>
      </c>
      <c r="G24" s="286">
        <v>15</v>
      </c>
      <c r="H24" s="288">
        <f t="shared" si="6"/>
        <v>0.4032</v>
      </c>
      <c r="I24" s="290">
        <v>35</v>
      </c>
      <c r="J24" s="205">
        <f t="shared" si="0"/>
        <v>0.94080000000000008</v>
      </c>
      <c r="K24" s="290">
        <v>32</v>
      </c>
      <c r="L24" s="205">
        <f t="shared" si="16"/>
        <v>0.86016000000000004</v>
      </c>
      <c r="M24" s="290">
        <v>24</v>
      </c>
      <c r="N24" s="205">
        <f t="shared" si="13"/>
        <v>0.64512000000000003</v>
      </c>
      <c r="O24" s="290">
        <v>12</v>
      </c>
      <c r="P24" s="205">
        <f t="shared" si="14"/>
        <v>0.32256000000000001</v>
      </c>
      <c r="Q24" s="290">
        <v>0</v>
      </c>
      <c r="R24" s="205">
        <f t="shared" si="17"/>
        <v>0</v>
      </c>
      <c r="S24" s="39">
        <f t="shared" si="7"/>
        <v>-88</v>
      </c>
      <c r="T24" s="38">
        <f t="shared" si="4"/>
        <v>-2.36544</v>
      </c>
      <c r="U24" s="290">
        <v>274</v>
      </c>
      <c r="V24" s="13">
        <f t="shared" si="8"/>
        <v>7.3651200000000001</v>
      </c>
      <c r="W24" s="294">
        <f t="shared" si="9"/>
        <v>186</v>
      </c>
      <c r="X24" s="295">
        <f t="shared" si="10"/>
        <v>4.9996800000000006</v>
      </c>
      <c r="Y24" s="238">
        <v>100</v>
      </c>
      <c r="Z24" s="101">
        <v>300</v>
      </c>
    </row>
    <row r="25" spans="1:26" x14ac:dyDescent="0.25">
      <c r="A25" s="264">
        <v>21</v>
      </c>
      <c r="B25" s="256" t="s">
        <v>153</v>
      </c>
      <c r="C25" s="34">
        <v>58</v>
      </c>
      <c r="D25" s="35">
        <v>58</v>
      </c>
      <c r="E25" s="35">
        <v>2.2999999999999998</v>
      </c>
      <c r="F25" s="19">
        <f t="shared" si="5"/>
        <v>7.7371999999999996E-3</v>
      </c>
      <c r="G25" s="286">
        <v>11</v>
      </c>
      <c r="H25" s="288">
        <f t="shared" si="6"/>
        <v>8.5109199999999996E-2</v>
      </c>
      <c r="I25" s="290">
        <v>0</v>
      </c>
      <c r="J25" s="205">
        <f t="shared" si="0"/>
        <v>0</v>
      </c>
      <c r="K25" s="290">
        <v>11</v>
      </c>
      <c r="L25" s="205">
        <f t="shared" si="16"/>
        <v>8.5109199999999996E-2</v>
      </c>
      <c r="M25" s="290">
        <v>48</v>
      </c>
      <c r="N25" s="205">
        <f t="shared" si="13"/>
        <v>0.37138559999999998</v>
      </c>
      <c r="O25" s="290">
        <v>189</v>
      </c>
      <c r="P25" s="205">
        <f t="shared" si="14"/>
        <v>1.4623307999999999</v>
      </c>
      <c r="Q25" s="290">
        <v>0</v>
      </c>
      <c r="R25" s="205">
        <f t="shared" si="17"/>
        <v>0</v>
      </c>
      <c r="S25" s="39">
        <f t="shared" si="7"/>
        <v>-237</v>
      </c>
      <c r="T25" s="38">
        <f t="shared" si="4"/>
        <v>-1.8337163999999999</v>
      </c>
      <c r="U25" s="290">
        <v>467</v>
      </c>
      <c r="V25" s="13">
        <f t="shared" si="8"/>
        <v>3.6132723999999996</v>
      </c>
      <c r="W25" s="294">
        <f t="shared" si="9"/>
        <v>230</v>
      </c>
      <c r="X25" s="295">
        <f t="shared" si="10"/>
        <v>1.7795559999999999</v>
      </c>
      <c r="Y25" s="238">
        <v>200</v>
      </c>
      <c r="Z25" s="101">
        <v>750</v>
      </c>
    </row>
    <row r="26" spans="1:26" x14ac:dyDescent="0.25">
      <c r="A26" s="264">
        <v>22</v>
      </c>
      <c r="B26" s="256" t="s">
        <v>154</v>
      </c>
      <c r="C26" s="34">
        <v>140</v>
      </c>
      <c r="D26" s="35">
        <v>240</v>
      </c>
      <c r="E26" s="35">
        <v>7</v>
      </c>
      <c r="F26" s="19">
        <f t="shared" si="5"/>
        <v>0.23519999999999999</v>
      </c>
      <c r="G26" s="286">
        <v>12</v>
      </c>
      <c r="H26" s="288">
        <f t="shared" si="6"/>
        <v>2.8224</v>
      </c>
      <c r="I26" s="290">
        <v>4</v>
      </c>
      <c r="J26" s="205">
        <f t="shared" si="0"/>
        <v>0.94079999999999997</v>
      </c>
      <c r="K26" s="290">
        <v>3</v>
      </c>
      <c r="L26" s="205">
        <f t="shared" si="16"/>
        <v>0.7056</v>
      </c>
      <c r="M26" s="290">
        <v>7</v>
      </c>
      <c r="N26" s="205">
        <f t="shared" si="13"/>
        <v>1.6463999999999999</v>
      </c>
      <c r="O26" s="290">
        <v>11</v>
      </c>
      <c r="P26" s="205">
        <f t="shared" si="14"/>
        <v>2.5871999999999997</v>
      </c>
      <c r="Q26" s="290">
        <v>0</v>
      </c>
      <c r="R26" s="205">
        <f t="shared" si="17"/>
        <v>0</v>
      </c>
      <c r="S26" s="39">
        <f t="shared" si="7"/>
        <v>-13</v>
      </c>
      <c r="T26" s="38">
        <f t="shared" si="4"/>
        <v>-3.0575999999999999</v>
      </c>
      <c r="U26" s="290">
        <v>90</v>
      </c>
      <c r="V26" s="13">
        <f t="shared" si="8"/>
        <v>21.167999999999999</v>
      </c>
      <c r="W26" s="294">
        <f t="shared" si="9"/>
        <v>77</v>
      </c>
      <c r="X26" s="295">
        <f t="shared" si="10"/>
        <v>18.110399999999998</v>
      </c>
      <c r="Y26" s="238">
        <v>50</v>
      </c>
      <c r="Z26" s="101">
        <v>200</v>
      </c>
    </row>
    <row r="27" spans="1:26" ht="15.75" x14ac:dyDescent="0.25">
      <c r="A27" s="264">
        <v>23</v>
      </c>
      <c r="B27" s="256" t="s">
        <v>55</v>
      </c>
      <c r="C27" s="111">
        <v>50</v>
      </c>
      <c r="D27" s="112">
        <v>45</v>
      </c>
      <c r="E27" s="112">
        <v>4</v>
      </c>
      <c r="F27" s="19">
        <f t="shared" si="5"/>
        <v>8.9999999999999993E-3</v>
      </c>
      <c r="G27" s="286">
        <v>1550</v>
      </c>
      <c r="H27" s="288">
        <f t="shared" si="6"/>
        <v>13.95</v>
      </c>
      <c r="I27" s="290">
        <v>0</v>
      </c>
      <c r="J27" s="205">
        <f t="shared" si="0"/>
        <v>0</v>
      </c>
      <c r="K27" s="290">
        <v>0</v>
      </c>
      <c r="L27" s="205">
        <f t="shared" si="16"/>
        <v>0</v>
      </c>
      <c r="M27" s="290">
        <v>0</v>
      </c>
      <c r="N27" s="205">
        <f t="shared" si="13"/>
        <v>0</v>
      </c>
      <c r="O27" s="290">
        <v>0</v>
      </c>
      <c r="P27" s="205">
        <f t="shared" si="14"/>
        <v>0</v>
      </c>
      <c r="Q27" s="290">
        <v>0</v>
      </c>
      <c r="R27" s="205">
        <f t="shared" si="17"/>
        <v>0</v>
      </c>
      <c r="S27" s="39">
        <f t="shared" si="7"/>
        <v>1550</v>
      </c>
      <c r="T27" s="38">
        <f t="shared" si="4"/>
        <v>13.95</v>
      </c>
      <c r="U27" s="290">
        <v>0</v>
      </c>
      <c r="V27" s="13">
        <f t="shared" si="8"/>
        <v>0</v>
      </c>
      <c r="W27" s="294">
        <f t="shared" si="9"/>
        <v>1550</v>
      </c>
      <c r="X27" s="295">
        <f t="shared" si="10"/>
        <v>13.95</v>
      </c>
      <c r="Y27" s="238">
        <v>300</v>
      </c>
      <c r="Z27" s="101">
        <v>1000</v>
      </c>
    </row>
    <row r="28" spans="1:26" ht="15.75" x14ac:dyDescent="0.25">
      <c r="A28" s="264">
        <v>24</v>
      </c>
      <c r="B28" s="256" t="s">
        <v>56</v>
      </c>
      <c r="C28" s="111">
        <v>50</v>
      </c>
      <c r="D28" s="112">
        <v>35</v>
      </c>
      <c r="E28" s="112">
        <v>4</v>
      </c>
      <c r="F28" s="19">
        <f t="shared" si="5"/>
        <v>7.0000000000000001E-3</v>
      </c>
      <c r="G28" s="286">
        <v>0</v>
      </c>
      <c r="H28" s="288">
        <f t="shared" si="6"/>
        <v>0</v>
      </c>
      <c r="I28" s="290">
        <v>0</v>
      </c>
      <c r="J28" s="205">
        <f t="shared" si="0"/>
        <v>0</v>
      </c>
      <c r="K28" s="290">
        <v>0</v>
      </c>
      <c r="L28" s="205">
        <f t="shared" si="16"/>
        <v>0</v>
      </c>
      <c r="M28" s="290">
        <v>0</v>
      </c>
      <c r="N28" s="205">
        <f t="shared" si="13"/>
        <v>0</v>
      </c>
      <c r="O28" s="290">
        <v>0</v>
      </c>
      <c r="P28" s="205">
        <f t="shared" si="14"/>
        <v>0</v>
      </c>
      <c r="Q28" s="290">
        <v>0</v>
      </c>
      <c r="R28" s="205">
        <f t="shared" si="17"/>
        <v>0</v>
      </c>
      <c r="S28" s="39">
        <f t="shared" si="7"/>
        <v>0</v>
      </c>
      <c r="T28" s="38">
        <f t="shared" si="4"/>
        <v>0</v>
      </c>
      <c r="U28" s="290">
        <v>0</v>
      </c>
      <c r="V28" s="13">
        <f t="shared" si="8"/>
        <v>0</v>
      </c>
      <c r="W28" s="294">
        <f t="shared" si="9"/>
        <v>0</v>
      </c>
      <c r="X28" s="295">
        <f t="shared" si="10"/>
        <v>0</v>
      </c>
      <c r="Y28" s="238">
        <v>300</v>
      </c>
      <c r="Z28" s="101">
        <v>1000</v>
      </c>
    </row>
    <row r="29" spans="1:26" ht="15.75" x14ac:dyDescent="0.25">
      <c r="A29" s="264">
        <v>25</v>
      </c>
      <c r="B29" s="256" t="s">
        <v>57</v>
      </c>
      <c r="C29" s="111">
        <v>45</v>
      </c>
      <c r="D29" s="112">
        <v>44</v>
      </c>
      <c r="E29" s="112">
        <v>3</v>
      </c>
      <c r="F29" s="19">
        <f t="shared" si="5"/>
        <v>5.94E-3</v>
      </c>
      <c r="G29" s="286">
        <v>155</v>
      </c>
      <c r="H29" s="288">
        <f t="shared" si="6"/>
        <v>0.92069999999999996</v>
      </c>
      <c r="I29" s="290">
        <v>0</v>
      </c>
      <c r="J29" s="205">
        <f t="shared" si="0"/>
        <v>0</v>
      </c>
      <c r="K29" s="290">
        <v>0</v>
      </c>
      <c r="L29" s="205">
        <f t="shared" si="16"/>
        <v>0</v>
      </c>
      <c r="M29" s="290">
        <v>0</v>
      </c>
      <c r="N29" s="205">
        <f t="shared" si="13"/>
        <v>0</v>
      </c>
      <c r="O29" s="290">
        <v>0</v>
      </c>
      <c r="P29" s="205">
        <f t="shared" si="14"/>
        <v>0</v>
      </c>
      <c r="Q29" s="290">
        <v>0</v>
      </c>
      <c r="R29" s="205">
        <f t="shared" si="17"/>
        <v>0</v>
      </c>
      <c r="S29" s="39">
        <f t="shared" si="7"/>
        <v>155</v>
      </c>
      <c r="T29" s="38">
        <f t="shared" si="4"/>
        <v>0.92069999999999996</v>
      </c>
      <c r="U29" s="290">
        <v>0</v>
      </c>
      <c r="V29" s="13">
        <f t="shared" si="8"/>
        <v>0</v>
      </c>
      <c r="W29" s="294">
        <f t="shared" si="9"/>
        <v>155</v>
      </c>
      <c r="X29" s="295">
        <f t="shared" si="10"/>
        <v>0.92069999999999996</v>
      </c>
      <c r="Y29" s="238">
        <v>500</v>
      </c>
      <c r="Z29" s="101">
        <v>1500</v>
      </c>
    </row>
    <row r="30" spans="1:26" ht="15.75" x14ac:dyDescent="0.25">
      <c r="A30" s="264">
        <v>26</v>
      </c>
      <c r="B30" s="256" t="s">
        <v>58</v>
      </c>
      <c r="C30" s="111">
        <v>45</v>
      </c>
      <c r="D30" s="112">
        <v>35.5</v>
      </c>
      <c r="E30" s="112">
        <v>3</v>
      </c>
      <c r="F30" s="19">
        <f t="shared" si="5"/>
        <v>4.7924999999999999E-3</v>
      </c>
      <c r="G30" s="286">
        <v>18</v>
      </c>
      <c r="H30" s="288">
        <f t="shared" si="6"/>
        <v>8.6264999999999994E-2</v>
      </c>
      <c r="I30" s="290">
        <v>0</v>
      </c>
      <c r="J30" s="205">
        <f t="shared" si="0"/>
        <v>0</v>
      </c>
      <c r="K30" s="290">
        <v>0</v>
      </c>
      <c r="L30" s="205">
        <f t="shared" si="16"/>
        <v>0</v>
      </c>
      <c r="M30" s="290">
        <v>0</v>
      </c>
      <c r="N30" s="205">
        <f t="shared" si="13"/>
        <v>0</v>
      </c>
      <c r="O30" s="290">
        <v>0</v>
      </c>
      <c r="P30" s="205">
        <f t="shared" si="14"/>
        <v>0</v>
      </c>
      <c r="Q30" s="290">
        <v>0</v>
      </c>
      <c r="R30" s="205">
        <f t="shared" si="17"/>
        <v>0</v>
      </c>
      <c r="S30" s="39">
        <f t="shared" si="7"/>
        <v>18</v>
      </c>
      <c r="T30" s="38">
        <f t="shared" si="4"/>
        <v>8.6264999999999994E-2</v>
      </c>
      <c r="U30" s="290">
        <v>0</v>
      </c>
      <c r="V30" s="13">
        <f t="shared" si="8"/>
        <v>0</v>
      </c>
      <c r="W30" s="294">
        <f t="shared" si="9"/>
        <v>18</v>
      </c>
      <c r="X30" s="295">
        <f t="shared" si="10"/>
        <v>8.6264999999999994E-2</v>
      </c>
      <c r="Y30" s="238">
        <v>500</v>
      </c>
      <c r="Z30" s="101">
        <v>1500</v>
      </c>
    </row>
    <row r="31" spans="1:26" x14ac:dyDescent="0.25">
      <c r="A31" s="264">
        <v>27</v>
      </c>
      <c r="B31" s="256" t="s">
        <v>155</v>
      </c>
      <c r="C31" s="34">
        <v>140</v>
      </c>
      <c r="D31" s="35">
        <v>9.5</v>
      </c>
      <c r="E31" s="35">
        <v>6.5</v>
      </c>
      <c r="F31" s="19">
        <f t="shared" si="5"/>
        <v>8.6449999999999999E-3</v>
      </c>
      <c r="G31" s="286">
        <v>770</v>
      </c>
      <c r="H31" s="288">
        <f t="shared" si="6"/>
        <v>6.65665</v>
      </c>
      <c r="I31" s="290">
        <v>0</v>
      </c>
      <c r="J31" s="205">
        <f t="shared" si="0"/>
        <v>0</v>
      </c>
      <c r="K31" s="290">
        <v>610</v>
      </c>
      <c r="L31" s="205">
        <f t="shared" si="16"/>
        <v>5.2734499999999995</v>
      </c>
      <c r="M31" s="290">
        <v>140</v>
      </c>
      <c r="N31" s="205">
        <f t="shared" si="13"/>
        <v>1.2102999999999999</v>
      </c>
      <c r="O31" s="290">
        <v>110</v>
      </c>
      <c r="P31" s="205">
        <f t="shared" si="14"/>
        <v>0.95094999999999996</v>
      </c>
      <c r="Q31" s="290">
        <v>0</v>
      </c>
      <c r="R31" s="205">
        <f t="shared" si="17"/>
        <v>0</v>
      </c>
      <c r="S31" s="39">
        <f t="shared" si="7"/>
        <v>-90</v>
      </c>
      <c r="T31" s="38">
        <f t="shared" si="4"/>
        <v>-0.77805000000000002</v>
      </c>
      <c r="U31" s="290">
        <v>1050</v>
      </c>
      <c r="V31" s="13">
        <f t="shared" si="8"/>
        <v>9.0772499999999994</v>
      </c>
      <c r="W31" s="294">
        <f t="shared" si="9"/>
        <v>960</v>
      </c>
      <c r="X31" s="295">
        <f t="shared" si="10"/>
        <v>8.299199999999999</v>
      </c>
      <c r="Y31" s="238">
        <v>500</v>
      </c>
      <c r="Z31" s="101">
        <v>1500</v>
      </c>
    </row>
    <row r="32" spans="1:26" x14ac:dyDescent="0.25">
      <c r="A32" s="264">
        <v>28</v>
      </c>
      <c r="B32" s="256" t="s">
        <v>156</v>
      </c>
      <c r="C32" s="34">
        <v>140</v>
      </c>
      <c r="D32" s="35">
        <v>240</v>
      </c>
      <c r="E32" s="35">
        <v>1</v>
      </c>
      <c r="F32" s="19">
        <f t="shared" si="5"/>
        <v>3.3599999999999998E-2</v>
      </c>
      <c r="G32" s="286">
        <v>521</v>
      </c>
      <c r="H32" s="288">
        <f t="shared" si="6"/>
        <v>17.505599999999998</v>
      </c>
      <c r="I32" s="290">
        <v>151</v>
      </c>
      <c r="J32" s="205">
        <f t="shared" si="0"/>
        <v>5.0735999999999999</v>
      </c>
      <c r="K32" s="290">
        <v>293</v>
      </c>
      <c r="L32" s="205">
        <f t="shared" si="16"/>
        <v>9.8447999999999993</v>
      </c>
      <c r="M32" s="290">
        <v>134</v>
      </c>
      <c r="N32" s="205">
        <f t="shared" si="13"/>
        <v>4.5023999999999997</v>
      </c>
      <c r="O32" s="290">
        <v>97</v>
      </c>
      <c r="P32" s="205">
        <f t="shared" si="14"/>
        <v>3.2591999999999999</v>
      </c>
      <c r="Q32" s="290">
        <v>0</v>
      </c>
      <c r="R32" s="205">
        <f>F32*Q32</f>
        <v>0</v>
      </c>
      <c r="S32" s="39">
        <f t="shared" si="7"/>
        <v>-154</v>
      </c>
      <c r="T32" s="38">
        <f t="shared" si="4"/>
        <v>-5.1743999999999994</v>
      </c>
      <c r="U32" s="290">
        <v>725</v>
      </c>
      <c r="V32" s="13">
        <f t="shared" si="8"/>
        <v>24.36</v>
      </c>
      <c r="W32" s="294">
        <f t="shared" si="9"/>
        <v>571</v>
      </c>
      <c r="X32" s="295">
        <f t="shared" si="10"/>
        <v>19.185599999999997</v>
      </c>
      <c r="Y32" s="238">
        <v>500</v>
      </c>
      <c r="Z32" s="101">
        <v>1500</v>
      </c>
    </row>
    <row r="33" spans="1:26" x14ac:dyDescent="0.25">
      <c r="A33" s="264">
        <v>29</v>
      </c>
      <c r="B33" s="256" t="s">
        <v>157</v>
      </c>
      <c r="C33" s="34">
        <v>140</v>
      </c>
      <c r="D33" s="35">
        <v>240</v>
      </c>
      <c r="E33" s="35">
        <v>2</v>
      </c>
      <c r="F33" s="19">
        <f t="shared" si="5"/>
        <v>6.7199999999999996E-2</v>
      </c>
      <c r="G33" s="286">
        <v>24</v>
      </c>
      <c r="H33" s="288">
        <f t="shared" si="6"/>
        <v>1.6128</v>
      </c>
      <c r="I33" s="290">
        <v>24</v>
      </c>
      <c r="J33" s="205">
        <f t="shared" si="0"/>
        <v>1.6128</v>
      </c>
      <c r="K33" s="290">
        <v>0</v>
      </c>
      <c r="L33" s="205">
        <f t="shared" si="16"/>
        <v>0</v>
      </c>
      <c r="M33" s="290">
        <v>18</v>
      </c>
      <c r="N33" s="205">
        <f t="shared" si="13"/>
        <v>1.2096</v>
      </c>
      <c r="O33" s="290">
        <v>69</v>
      </c>
      <c r="P33" s="205">
        <f t="shared" si="14"/>
        <v>4.6368</v>
      </c>
      <c r="Q33" s="290">
        <v>0</v>
      </c>
      <c r="R33" s="205">
        <f>F33*Q33</f>
        <v>0</v>
      </c>
      <c r="S33" s="39">
        <f t="shared" si="7"/>
        <v>-87</v>
      </c>
      <c r="T33" s="38">
        <f t="shared" si="4"/>
        <v>-5.8464</v>
      </c>
      <c r="U33" s="290">
        <v>322</v>
      </c>
      <c r="V33" s="13">
        <f t="shared" si="8"/>
        <v>21.638399999999997</v>
      </c>
      <c r="W33" s="294">
        <f t="shared" si="9"/>
        <v>235</v>
      </c>
      <c r="X33" s="295">
        <f t="shared" si="10"/>
        <v>15.792</v>
      </c>
      <c r="Y33" s="238">
        <v>75</v>
      </c>
      <c r="Z33" s="101">
        <v>150</v>
      </c>
    </row>
    <row r="34" spans="1:26" x14ac:dyDescent="0.25">
      <c r="A34" s="264">
        <v>30</v>
      </c>
      <c r="B34" s="256" t="s">
        <v>158</v>
      </c>
      <c r="C34" s="34">
        <v>140</v>
      </c>
      <c r="D34" s="35">
        <v>240</v>
      </c>
      <c r="E34" s="35">
        <v>3</v>
      </c>
      <c r="F34" s="19">
        <f t="shared" si="5"/>
        <v>0.1008</v>
      </c>
      <c r="G34" s="286">
        <v>34</v>
      </c>
      <c r="H34" s="288">
        <f t="shared" si="6"/>
        <v>3.4272</v>
      </c>
      <c r="I34" s="290">
        <v>40</v>
      </c>
      <c r="J34" s="205">
        <f>F34*I34</f>
        <v>4.032</v>
      </c>
      <c r="K34" s="290">
        <v>33</v>
      </c>
      <c r="L34" s="205">
        <f t="shared" si="16"/>
        <v>3.3264</v>
      </c>
      <c r="M34" s="290">
        <v>15</v>
      </c>
      <c r="N34" s="205">
        <f t="shared" si="13"/>
        <v>1.512</v>
      </c>
      <c r="O34" s="290">
        <v>30</v>
      </c>
      <c r="P34" s="205">
        <f t="shared" si="14"/>
        <v>3.024</v>
      </c>
      <c r="Q34" s="290">
        <v>0</v>
      </c>
      <c r="R34" s="205">
        <f t="shared" si="17"/>
        <v>0</v>
      </c>
      <c r="S34" s="39">
        <f t="shared" si="7"/>
        <v>-84</v>
      </c>
      <c r="T34" s="38">
        <f t="shared" si="4"/>
        <v>-8.4672000000000001</v>
      </c>
      <c r="U34" s="290">
        <v>149</v>
      </c>
      <c r="V34" s="13">
        <f t="shared" si="8"/>
        <v>15.0192</v>
      </c>
      <c r="W34" s="294">
        <f t="shared" si="9"/>
        <v>65</v>
      </c>
      <c r="X34" s="295">
        <f t="shared" si="10"/>
        <v>6.5519999999999996</v>
      </c>
      <c r="Y34" s="238">
        <v>75</v>
      </c>
      <c r="Z34" s="101">
        <v>150</v>
      </c>
    </row>
    <row r="35" spans="1:26" x14ac:dyDescent="0.25">
      <c r="A35" s="264">
        <v>31</v>
      </c>
      <c r="B35" s="256" t="s">
        <v>159</v>
      </c>
      <c r="C35" s="34">
        <v>140</v>
      </c>
      <c r="D35" s="35">
        <v>240</v>
      </c>
      <c r="E35" s="35">
        <v>4</v>
      </c>
      <c r="F35" s="19">
        <f t="shared" si="5"/>
        <v>0.13439999999999999</v>
      </c>
      <c r="G35" s="286">
        <v>0</v>
      </c>
      <c r="H35" s="288">
        <f t="shared" si="6"/>
        <v>0</v>
      </c>
      <c r="I35" s="290">
        <v>0</v>
      </c>
      <c r="J35" s="205">
        <f t="shared" si="0"/>
        <v>0</v>
      </c>
      <c r="K35" s="290">
        <v>0</v>
      </c>
      <c r="L35" s="205">
        <f t="shared" si="16"/>
        <v>0</v>
      </c>
      <c r="M35" s="290">
        <v>10</v>
      </c>
      <c r="N35" s="205">
        <f t="shared" si="13"/>
        <v>1.3439999999999999</v>
      </c>
      <c r="O35" s="290">
        <v>0</v>
      </c>
      <c r="P35" s="205">
        <f t="shared" si="14"/>
        <v>0</v>
      </c>
      <c r="Q35" s="290">
        <v>0</v>
      </c>
      <c r="R35" s="205">
        <f t="shared" si="17"/>
        <v>0</v>
      </c>
      <c r="S35" s="39">
        <f t="shared" si="7"/>
        <v>-10</v>
      </c>
      <c r="T35" s="38">
        <f t="shared" si="4"/>
        <v>-1.3439999999999999</v>
      </c>
      <c r="U35" s="290">
        <v>103</v>
      </c>
      <c r="V35" s="13">
        <f t="shared" si="8"/>
        <v>13.8432</v>
      </c>
      <c r="W35" s="294">
        <f t="shared" si="9"/>
        <v>93</v>
      </c>
      <c r="X35" s="295">
        <f t="shared" si="10"/>
        <v>12.4992</v>
      </c>
      <c r="Y35" s="238">
        <v>50</v>
      </c>
      <c r="Z35" s="101">
        <v>100</v>
      </c>
    </row>
    <row r="36" spans="1:26" x14ac:dyDescent="0.25">
      <c r="A36" s="264">
        <v>32</v>
      </c>
      <c r="B36" s="256" t="s">
        <v>160</v>
      </c>
      <c r="C36" s="34">
        <v>140</v>
      </c>
      <c r="D36" s="35">
        <v>240</v>
      </c>
      <c r="E36" s="35">
        <v>2</v>
      </c>
      <c r="F36" s="19">
        <f t="shared" si="5"/>
        <v>6.7199999999999996E-2</v>
      </c>
      <c r="G36" s="286">
        <v>0</v>
      </c>
      <c r="H36" s="288">
        <f t="shared" si="6"/>
        <v>0</v>
      </c>
      <c r="I36" s="290">
        <v>0</v>
      </c>
      <c r="J36" s="205">
        <f>F36*I36</f>
        <v>0</v>
      </c>
      <c r="K36" s="290">
        <v>0</v>
      </c>
      <c r="L36" s="205">
        <f t="shared" si="16"/>
        <v>0</v>
      </c>
      <c r="M36" s="290">
        <v>33</v>
      </c>
      <c r="N36" s="205">
        <f t="shared" si="13"/>
        <v>2.2176</v>
      </c>
      <c r="O36" s="290">
        <v>43</v>
      </c>
      <c r="P36" s="205">
        <f t="shared" si="14"/>
        <v>2.8895999999999997</v>
      </c>
      <c r="Q36" s="290">
        <v>0</v>
      </c>
      <c r="R36" s="205">
        <f t="shared" si="17"/>
        <v>0</v>
      </c>
      <c r="S36" s="39">
        <f t="shared" si="7"/>
        <v>-76</v>
      </c>
      <c r="T36" s="38">
        <f t="shared" si="4"/>
        <v>-5.1071999999999997</v>
      </c>
      <c r="U36" s="290">
        <v>476</v>
      </c>
      <c r="V36" s="13">
        <f t="shared" si="8"/>
        <v>31.987199999999998</v>
      </c>
      <c r="W36" s="294">
        <f t="shared" si="9"/>
        <v>400</v>
      </c>
      <c r="X36" s="295">
        <f t="shared" si="10"/>
        <v>26.88</v>
      </c>
      <c r="Y36" s="238">
        <v>200</v>
      </c>
      <c r="Z36" s="101">
        <v>300</v>
      </c>
    </row>
    <row r="37" spans="1:26" x14ac:dyDescent="0.25">
      <c r="A37" s="264">
        <v>33</v>
      </c>
      <c r="B37" s="256" t="s">
        <v>222</v>
      </c>
      <c r="C37" s="34">
        <v>140</v>
      </c>
      <c r="D37" s="35">
        <v>240</v>
      </c>
      <c r="E37" s="35">
        <v>6</v>
      </c>
      <c r="F37" s="19">
        <f t="shared" si="5"/>
        <v>0.2016</v>
      </c>
      <c r="G37" s="286">
        <v>30</v>
      </c>
      <c r="H37" s="288">
        <f t="shared" si="6"/>
        <v>6.048</v>
      </c>
      <c r="I37" s="290">
        <v>0</v>
      </c>
      <c r="J37" s="205">
        <f t="shared" si="0"/>
        <v>0</v>
      </c>
      <c r="K37" s="290">
        <v>4</v>
      </c>
      <c r="L37" s="205">
        <f>F37*K37</f>
        <v>0.80640000000000001</v>
      </c>
      <c r="M37" s="290">
        <v>0</v>
      </c>
      <c r="N37" s="205">
        <f t="shared" si="13"/>
        <v>0</v>
      </c>
      <c r="O37" s="290">
        <v>0</v>
      </c>
      <c r="P37" s="21">
        <v>0</v>
      </c>
      <c r="Q37" s="290">
        <v>0</v>
      </c>
      <c r="R37" s="205">
        <f t="shared" si="17"/>
        <v>0</v>
      </c>
      <c r="S37" s="39">
        <f t="shared" si="7"/>
        <v>26</v>
      </c>
      <c r="T37" s="38">
        <f t="shared" si="4"/>
        <v>5.2416</v>
      </c>
      <c r="U37" s="290">
        <v>0</v>
      </c>
      <c r="V37" s="13">
        <f t="shared" si="8"/>
        <v>0</v>
      </c>
      <c r="W37" s="294">
        <f t="shared" si="9"/>
        <v>26</v>
      </c>
      <c r="X37" s="295">
        <f t="shared" si="10"/>
        <v>5.2416</v>
      </c>
      <c r="Y37" s="238">
        <v>10</v>
      </c>
      <c r="Z37" s="101">
        <v>30</v>
      </c>
    </row>
    <row r="38" spans="1:26" x14ac:dyDescent="0.25">
      <c r="A38" s="264">
        <v>34</v>
      </c>
      <c r="B38" s="256" t="s">
        <v>181</v>
      </c>
      <c r="C38" s="34">
        <v>80</v>
      </c>
      <c r="D38" s="35">
        <v>75</v>
      </c>
      <c r="E38" s="35">
        <v>5</v>
      </c>
      <c r="F38" s="19">
        <f t="shared" si="5"/>
        <v>0.03</v>
      </c>
      <c r="G38" s="286">
        <v>175</v>
      </c>
      <c r="H38" s="288">
        <f t="shared" si="6"/>
        <v>5.25</v>
      </c>
      <c r="I38" s="290">
        <v>0</v>
      </c>
      <c r="J38" s="205">
        <f t="shared" si="0"/>
        <v>0</v>
      </c>
      <c r="K38" s="290">
        <v>0</v>
      </c>
      <c r="L38" s="205">
        <f t="shared" si="0"/>
        <v>0</v>
      </c>
      <c r="M38" s="290">
        <v>0</v>
      </c>
      <c r="N38" s="21">
        <v>0</v>
      </c>
      <c r="O38" s="290">
        <v>0</v>
      </c>
      <c r="P38" s="21">
        <v>0</v>
      </c>
      <c r="Q38" s="290">
        <v>0</v>
      </c>
      <c r="R38" s="21">
        <v>0</v>
      </c>
      <c r="S38" s="39">
        <f t="shared" si="7"/>
        <v>175</v>
      </c>
      <c r="T38" s="38">
        <f t="shared" si="4"/>
        <v>5.25</v>
      </c>
      <c r="U38" s="290">
        <v>0</v>
      </c>
      <c r="V38" s="13">
        <f t="shared" si="8"/>
        <v>0</v>
      </c>
      <c r="W38" s="294">
        <f t="shared" si="9"/>
        <v>175</v>
      </c>
      <c r="X38" s="295">
        <f t="shared" si="10"/>
        <v>5.25</v>
      </c>
      <c r="Y38" s="238">
        <v>0</v>
      </c>
      <c r="Z38" s="101">
        <v>0</v>
      </c>
    </row>
    <row r="39" spans="1:26" x14ac:dyDescent="0.25">
      <c r="A39" s="264">
        <v>35</v>
      </c>
      <c r="B39" s="256" t="s">
        <v>182</v>
      </c>
      <c r="C39" s="34">
        <v>100</v>
      </c>
      <c r="D39" s="35">
        <v>95</v>
      </c>
      <c r="E39" s="35">
        <v>5</v>
      </c>
      <c r="F39" s="19">
        <f t="shared" si="5"/>
        <v>4.7500000000000001E-2</v>
      </c>
      <c r="G39" s="286">
        <v>85</v>
      </c>
      <c r="H39" s="288">
        <f t="shared" si="6"/>
        <v>4.0374999999999996</v>
      </c>
      <c r="I39" s="290">
        <v>0</v>
      </c>
      <c r="J39" s="205">
        <f t="shared" si="0"/>
        <v>0</v>
      </c>
      <c r="K39" s="290">
        <v>0</v>
      </c>
      <c r="L39" s="205">
        <f>F39*K39</f>
        <v>0</v>
      </c>
      <c r="M39" s="290">
        <v>0</v>
      </c>
      <c r="N39" s="205">
        <f>F39*M39</f>
        <v>0</v>
      </c>
      <c r="O39" s="290">
        <v>0</v>
      </c>
      <c r="P39" s="205">
        <f>J39*O39</f>
        <v>0</v>
      </c>
      <c r="Q39" s="290">
        <v>0</v>
      </c>
      <c r="R39" s="205">
        <f>L39*Q39</f>
        <v>0</v>
      </c>
      <c r="S39" s="39">
        <f t="shared" si="7"/>
        <v>85</v>
      </c>
      <c r="T39" s="38">
        <f t="shared" si="4"/>
        <v>4.0374999999999996</v>
      </c>
      <c r="U39" s="290">
        <v>0</v>
      </c>
      <c r="V39" s="13">
        <f t="shared" si="8"/>
        <v>0</v>
      </c>
      <c r="W39" s="294">
        <f t="shared" si="9"/>
        <v>85</v>
      </c>
      <c r="X39" s="295">
        <f t="shared" si="10"/>
        <v>4.0374999999999996</v>
      </c>
      <c r="Y39" s="238">
        <v>0</v>
      </c>
      <c r="Z39" s="101">
        <v>0</v>
      </c>
    </row>
    <row r="40" spans="1:26" x14ac:dyDescent="0.25">
      <c r="A40" s="264">
        <v>36</v>
      </c>
      <c r="B40" s="256" t="s">
        <v>196</v>
      </c>
      <c r="C40" s="34">
        <v>65</v>
      </c>
      <c r="D40" s="35">
        <v>60</v>
      </c>
      <c r="E40" s="35">
        <v>5</v>
      </c>
      <c r="F40" s="19">
        <f t="shared" si="5"/>
        <v>1.95E-2</v>
      </c>
      <c r="G40" s="286">
        <v>360</v>
      </c>
      <c r="H40" s="288">
        <f t="shared" si="6"/>
        <v>7.02</v>
      </c>
      <c r="I40" s="290">
        <v>0</v>
      </c>
      <c r="J40" s="205">
        <f t="shared" si="0"/>
        <v>0</v>
      </c>
      <c r="K40" s="290">
        <v>0</v>
      </c>
      <c r="L40" s="205">
        <f>F40*K40</f>
        <v>0</v>
      </c>
      <c r="M40" s="290">
        <v>0</v>
      </c>
      <c r="N40" s="205">
        <f>F40*M40</f>
        <v>0</v>
      </c>
      <c r="O40" s="290">
        <v>0</v>
      </c>
      <c r="P40" s="205">
        <f>F40*O40</f>
        <v>0</v>
      </c>
      <c r="Q40" s="290">
        <v>0</v>
      </c>
      <c r="R40" s="205">
        <f>F40*Q40</f>
        <v>0</v>
      </c>
      <c r="S40" s="39">
        <f t="shared" si="7"/>
        <v>360</v>
      </c>
      <c r="T40" s="38">
        <f t="shared" si="4"/>
        <v>7.02</v>
      </c>
      <c r="U40" s="290">
        <v>0</v>
      </c>
      <c r="V40" s="13">
        <f t="shared" si="8"/>
        <v>0</v>
      </c>
      <c r="W40" s="294">
        <f t="shared" si="9"/>
        <v>360</v>
      </c>
      <c r="X40" s="295">
        <f t="shared" si="10"/>
        <v>7.02</v>
      </c>
      <c r="Y40" s="238">
        <v>0</v>
      </c>
      <c r="Z40" s="101">
        <v>0</v>
      </c>
    </row>
    <row r="41" spans="1:26" x14ac:dyDescent="0.25">
      <c r="A41" s="264">
        <v>37</v>
      </c>
      <c r="B41" s="256" t="s">
        <v>165</v>
      </c>
      <c r="C41" s="34">
        <v>140</v>
      </c>
      <c r="D41" s="35">
        <v>240</v>
      </c>
      <c r="E41" s="35">
        <v>10</v>
      </c>
      <c r="F41" s="19">
        <f t="shared" si="5"/>
        <v>0.33600000000000002</v>
      </c>
      <c r="G41" s="286">
        <v>25</v>
      </c>
      <c r="H41" s="288">
        <f t="shared" si="6"/>
        <v>8.4</v>
      </c>
      <c r="I41" s="290">
        <v>11</v>
      </c>
      <c r="J41" s="205">
        <f>F41*I41</f>
        <v>3.6960000000000002</v>
      </c>
      <c r="K41" s="290">
        <v>4</v>
      </c>
      <c r="L41" s="205">
        <f>F41*K41</f>
        <v>1.3440000000000001</v>
      </c>
      <c r="M41" s="290">
        <v>16</v>
      </c>
      <c r="N41" s="205">
        <f>F41*M41</f>
        <v>5.3760000000000003</v>
      </c>
      <c r="O41" s="290">
        <v>7</v>
      </c>
      <c r="P41" s="205">
        <f>F41*O41</f>
        <v>2.3520000000000003</v>
      </c>
      <c r="Q41" s="290">
        <v>0</v>
      </c>
      <c r="R41" s="205">
        <f>F41*Q41</f>
        <v>0</v>
      </c>
      <c r="S41" s="39">
        <f t="shared" si="7"/>
        <v>-13</v>
      </c>
      <c r="T41" s="38">
        <f t="shared" si="4"/>
        <v>-4.3680000000000003</v>
      </c>
      <c r="U41" s="290">
        <v>96</v>
      </c>
      <c r="V41" s="13">
        <f t="shared" si="8"/>
        <v>32.256</v>
      </c>
      <c r="W41" s="294">
        <f t="shared" si="9"/>
        <v>83</v>
      </c>
      <c r="X41" s="295">
        <f t="shared" si="10"/>
        <v>27.888000000000002</v>
      </c>
      <c r="Y41" s="238">
        <v>50</v>
      </c>
      <c r="Z41" s="101">
        <v>100</v>
      </c>
    </row>
    <row r="42" spans="1:26" x14ac:dyDescent="0.25">
      <c r="A42" s="264">
        <v>38</v>
      </c>
      <c r="B42" s="256" t="s">
        <v>166</v>
      </c>
      <c r="C42" s="34">
        <v>92</v>
      </c>
      <c r="D42" s="35">
        <v>82</v>
      </c>
      <c r="E42" s="35">
        <v>2</v>
      </c>
      <c r="F42" s="19">
        <f t="shared" si="5"/>
        <v>1.5088000000000001E-2</v>
      </c>
      <c r="G42" s="286">
        <v>30</v>
      </c>
      <c r="H42" s="288">
        <f t="shared" si="6"/>
        <v>0.45264000000000004</v>
      </c>
      <c r="I42" s="290">
        <v>0</v>
      </c>
      <c r="J42" s="205">
        <f t="shared" si="0"/>
        <v>0</v>
      </c>
      <c r="K42" s="290">
        <v>250</v>
      </c>
      <c r="L42" s="205">
        <f>F42*K42</f>
        <v>3.7720000000000002</v>
      </c>
      <c r="M42" s="290">
        <v>150</v>
      </c>
      <c r="N42" s="205">
        <f>F42*M42</f>
        <v>2.2632000000000003</v>
      </c>
      <c r="O42" s="290">
        <v>0</v>
      </c>
      <c r="P42" s="205">
        <f>F42*O42</f>
        <v>0</v>
      </c>
      <c r="Q42" s="290">
        <v>0</v>
      </c>
      <c r="R42" s="205">
        <f>F42*Q42</f>
        <v>0</v>
      </c>
      <c r="S42" s="39">
        <f t="shared" si="7"/>
        <v>-370</v>
      </c>
      <c r="T42" s="38">
        <f t="shared" si="4"/>
        <v>-5.58256</v>
      </c>
      <c r="U42" s="290">
        <v>1026</v>
      </c>
      <c r="V42" s="13">
        <f t="shared" si="8"/>
        <v>15.480288000000002</v>
      </c>
      <c r="W42" s="294">
        <f t="shared" si="9"/>
        <v>656</v>
      </c>
      <c r="X42" s="295">
        <f t="shared" si="10"/>
        <v>9.8977280000000007</v>
      </c>
      <c r="Y42" s="238">
        <v>100</v>
      </c>
      <c r="Z42" s="101">
        <v>300</v>
      </c>
    </row>
    <row r="43" spans="1:26" x14ac:dyDescent="0.25">
      <c r="A43" s="264">
        <v>39</v>
      </c>
      <c r="B43" s="256" t="s">
        <v>183</v>
      </c>
      <c r="C43" s="34">
        <v>90</v>
      </c>
      <c r="D43" s="35">
        <v>90</v>
      </c>
      <c r="E43" s="35">
        <v>3</v>
      </c>
      <c r="F43" s="19">
        <f t="shared" si="5"/>
        <v>2.4299999999999999E-2</v>
      </c>
      <c r="G43" s="286">
        <v>124</v>
      </c>
      <c r="H43" s="288">
        <f t="shared" si="6"/>
        <v>3.0131999999999999</v>
      </c>
      <c r="I43" s="290">
        <v>0</v>
      </c>
      <c r="J43" s="205">
        <f t="shared" si="0"/>
        <v>0</v>
      </c>
      <c r="K43" s="290">
        <v>0</v>
      </c>
      <c r="L43" s="205">
        <f t="shared" si="0"/>
        <v>0</v>
      </c>
      <c r="M43" s="290">
        <v>0</v>
      </c>
      <c r="N43" s="21">
        <v>0</v>
      </c>
      <c r="O43" s="290">
        <v>0</v>
      </c>
      <c r="P43" s="21">
        <v>0</v>
      </c>
      <c r="Q43" s="290">
        <v>0</v>
      </c>
      <c r="R43" s="21">
        <v>0</v>
      </c>
      <c r="S43" s="39">
        <f t="shared" si="7"/>
        <v>124</v>
      </c>
      <c r="T43" s="38">
        <f t="shared" si="4"/>
        <v>3.0131999999999999</v>
      </c>
      <c r="U43" s="290">
        <v>0</v>
      </c>
      <c r="V43" s="13">
        <f t="shared" si="8"/>
        <v>0</v>
      </c>
      <c r="W43" s="294">
        <f t="shared" si="9"/>
        <v>124</v>
      </c>
      <c r="X43" s="295">
        <f t="shared" si="10"/>
        <v>3.0131999999999999</v>
      </c>
      <c r="Y43" s="238">
        <v>0</v>
      </c>
      <c r="Z43" s="101">
        <v>0</v>
      </c>
    </row>
    <row r="44" spans="1:26" x14ac:dyDescent="0.25">
      <c r="A44" s="264">
        <v>40</v>
      </c>
      <c r="B44" s="256" t="s">
        <v>219</v>
      </c>
      <c r="C44" s="34">
        <v>140</v>
      </c>
      <c r="D44" s="35">
        <v>240</v>
      </c>
      <c r="E44" s="35">
        <v>3</v>
      </c>
      <c r="F44" s="19">
        <f t="shared" si="5"/>
        <v>0.1008</v>
      </c>
      <c r="G44" s="286">
        <v>284</v>
      </c>
      <c r="H44" s="288">
        <f t="shared" si="6"/>
        <v>28.627200000000002</v>
      </c>
      <c r="I44" s="290">
        <v>42</v>
      </c>
      <c r="J44" s="205">
        <f t="shared" si="0"/>
        <v>4.2336</v>
      </c>
      <c r="K44" s="290">
        <v>0</v>
      </c>
      <c r="L44" s="205">
        <f t="shared" ref="L44:L52" si="18">F44*K44</f>
        <v>0</v>
      </c>
      <c r="M44" s="290">
        <v>0</v>
      </c>
      <c r="N44" s="205">
        <f t="shared" ref="N44:N70" si="19">F44*M44</f>
        <v>0</v>
      </c>
      <c r="O44" s="290">
        <v>0</v>
      </c>
      <c r="P44" s="205">
        <f t="shared" ref="P44:P66" si="20">F44*O44</f>
        <v>0</v>
      </c>
      <c r="Q44" s="290">
        <v>0</v>
      </c>
      <c r="R44" s="205">
        <f t="shared" ref="R44:R58" si="21">F44*Q44</f>
        <v>0</v>
      </c>
      <c r="S44" s="39">
        <f t="shared" si="7"/>
        <v>242</v>
      </c>
      <c r="T44" s="38">
        <f t="shared" si="4"/>
        <v>24.393599999999999</v>
      </c>
      <c r="U44" s="290">
        <v>0</v>
      </c>
      <c r="V44" s="13">
        <f t="shared" si="8"/>
        <v>0</v>
      </c>
      <c r="W44" s="294">
        <f t="shared" si="9"/>
        <v>242</v>
      </c>
      <c r="X44" s="295">
        <f t="shared" si="10"/>
        <v>24.393599999999999</v>
      </c>
      <c r="Y44" s="238">
        <v>0</v>
      </c>
      <c r="Z44" s="101">
        <v>0</v>
      </c>
    </row>
    <row r="45" spans="1:26" x14ac:dyDescent="0.25">
      <c r="A45" s="264">
        <v>41</v>
      </c>
      <c r="B45" s="256" t="s">
        <v>169</v>
      </c>
      <c r="C45" s="34">
        <v>82</v>
      </c>
      <c r="D45" s="34">
        <v>80</v>
      </c>
      <c r="E45" s="34">
        <v>2</v>
      </c>
      <c r="F45" s="19">
        <f t="shared" si="5"/>
        <v>1.312E-2</v>
      </c>
      <c r="G45" s="284">
        <v>346</v>
      </c>
      <c r="H45" s="288">
        <f t="shared" si="6"/>
        <v>4.5395199999999996</v>
      </c>
      <c r="I45" s="290">
        <v>210</v>
      </c>
      <c r="J45" s="205">
        <f t="shared" si="0"/>
        <v>2.7551999999999999</v>
      </c>
      <c r="K45" s="290">
        <v>0</v>
      </c>
      <c r="L45" s="205">
        <f t="shared" si="18"/>
        <v>0</v>
      </c>
      <c r="M45" s="290">
        <v>0</v>
      </c>
      <c r="N45" s="205">
        <f t="shared" si="19"/>
        <v>0</v>
      </c>
      <c r="O45" s="290">
        <v>0</v>
      </c>
      <c r="P45" s="205">
        <f t="shared" si="20"/>
        <v>0</v>
      </c>
      <c r="Q45" s="290">
        <v>0</v>
      </c>
      <c r="R45" s="205">
        <f t="shared" si="21"/>
        <v>0</v>
      </c>
      <c r="S45" s="39">
        <f t="shared" si="7"/>
        <v>136</v>
      </c>
      <c r="T45" s="38">
        <f t="shared" si="4"/>
        <v>1.7843199999999999</v>
      </c>
      <c r="U45" s="290">
        <v>564</v>
      </c>
      <c r="V45" s="13">
        <f t="shared" si="8"/>
        <v>7.39968</v>
      </c>
      <c r="W45" s="294">
        <f t="shared" si="9"/>
        <v>700</v>
      </c>
      <c r="X45" s="295">
        <f t="shared" si="10"/>
        <v>9.1839999999999993</v>
      </c>
      <c r="Y45" s="238">
        <v>100</v>
      </c>
      <c r="Z45" s="101">
        <v>300</v>
      </c>
    </row>
    <row r="46" spans="1:26" x14ac:dyDescent="0.25">
      <c r="A46" s="264">
        <v>42</v>
      </c>
      <c r="B46" s="256" t="s">
        <v>170</v>
      </c>
      <c r="C46" s="34">
        <v>90</v>
      </c>
      <c r="D46" s="34">
        <v>83</v>
      </c>
      <c r="E46" s="34">
        <v>2</v>
      </c>
      <c r="F46" s="19">
        <f t="shared" si="5"/>
        <v>1.494E-2</v>
      </c>
      <c r="G46" s="284">
        <v>0</v>
      </c>
      <c r="H46" s="288">
        <f t="shared" si="6"/>
        <v>0</v>
      </c>
      <c r="I46" s="290">
        <v>0</v>
      </c>
      <c r="J46" s="205">
        <f t="shared" si="0"/>
        <v>0</v>
      </c>
      <c r="K46" s="290">
        <v>0</v>
      </c>
      <c r="L46" s="205">
        <f t="shared" si="18"/>
        <v>0</v>
      </c>
      <c r="M46" s="290">
        <v>0</v>
      </c>
      <c r="N46" s="205">
        <f t="shared" si="19"/>
        <v>0</v>
      </c>
      <c r="O46" s="290">
        <v>0</v>
      </c>
      <c r="P46" s="205">
        <f t="shared" si="20"/>
        <v>0</v>
      </c>
      <c r="Q46" s="290">
        <v>0</v>
      </c>
      <c r="R46" s="205">
        <f t="shared" si="21"/>
        <v>0</v>
      </c>
      <c r="S46" s="39">
        <f t="shared" si="7"/>
        <v>0</v>
      </c>
      <c r="T46" s="38">
        <f t="shared" si="4"/>
        <v>0</v>
      </c>
      <c r="U46" s="290">
        <v>0</v>
      </c>
      <c r="V46" s="13">
        <f t="shared" si="8"/>
        <v>0</v>
      </c>
      <c r="W46" s="294">
        <f t="shared" si="9"/>
        <v>0</v>
      </c>
      <c r="X46" s="295">
        <f t="shared" si="10"/>
        <v>0</v>
      </c>
      <c r="Y46" s="238">
        <v>100</v>
      </c>
      <c r="Z46" s="101">
        <v>300</v>
      </c>
    </row>
    <row r="47" spans="1:26" x14ac:dyDescent="0.25">
      <c r="A47" s="264">
        <v>43</v>
      </c>
      <c r="B47" s="256" t="s">
        <v>184</v>
      </c>
      <c r="C47" s="34">
        <v>112</v>
      </c>
      <c r="D47" s="34">
        <v>67</v>
      </c>
      <c r="E47" s="34">
        <v>3</v>
      </c>
      <c r="F47" s="19">
        <f t="shared" si="5"/>
        <v>2.2512000000000001E-2</v>
      </c>
      <c r="G47" s="284">
        <v>15</v>
      </c>
      <c r="H47" s="288">
        <f t="shared" si="6"/>
        <v>0.33768000000000004</v>
      </c>
      <c r="I47" s="290">
        <v>0</v>
      </c>
      <c r="J47" s="205">
        <f t="shared" si="0"/>
        <v>0</v>
      </c>
      <c r="K47" s="290">
        <v>0</v>
      </c>
      <c r="L47" s="205">
        <f t="shared" si="18"/>
        <v>0</v>
      </c>
      <c r="M47" s="290">
        <v>0</v>
      </c>
      <c r="N47" s="205">
        <f t="shared" si="19"/>
        <v>0</v>
      </c>
      <c r="O47" s="290">
        <v>0</v>
      </c>
      <c r="P47" s="205">
        <f t="shared" si="20"/>
        <v>0</v>
      </c>
      <c r="Q47" s="290">
        <v>0</v>
      </c>
      <c r="R47" s="205">
        <f t="shared" si="21"/>
        <v>0</v>
      </c>
      <c r="S47" s="39">
        <f t="shared" si="7"/>
        <v>15</v>
      </c>
      <c r="T47" s="38">
        <f t="shared" si="4"/>
        <v>0.33768000000000004</v>
      </c>
      <c r="U47" s="290">
        <v>0</v>
      </c>
      <c r="V47" s="13">
        <f t="shared" si="8"/>
        <v>0</v>
      </c>
      <c r="W47" s="294">
        <f t="shared" si="9"/>
        <v>15</v>
      </c>
      <c r="X47" s="295">
        <f t="shared" si="10"/>
        <v>0.33768000000000004</v>
      </c>
      <c r="Y47" s="238">
        <v>50</v>
      </c>
      <c r="Z47" s="101">
        <v>100</v>
      </c>
    </row>
    <row r="48" spans="1:26" x14ac:dyDescent="0.25">
      <c r="A48" s="264">
        <v>44</v>
      </c>
      <c r="B48" s="256" t="s">
        <v>220</v>
      </c>
      <c r="C48" s="34">
        <v>70</v>
      </c>
      <c r="D48" s="34">
        <v>54</v>
      </c>
      <c r="E48" s="34">
        <v>7</v>
      </c>
      <c r="F48" s="19">
        <f t="shared" si="5"/>
        <v>2.6460000000000001E-2</v>
      </c>
      <c r="G48" s="284">
        <v>327</v>
      </c>
      <c r="H48" s="288">
        <f t="shared" si="6"/>
        <v>8.6524200000000011</v>
      </c>
      <c r="I48" s="290">
        <v>20</v>
      </c>
      <c r="J48" s="205">
        <f t="shared" si="0"/>
        <v>0.5292</v>
      </c>
      <c r="K48" s="290">
        <v>0</v>
      </c>
      <c r="L48" s="205">
        <f t="shared" si="18"/>
        <v>0</v>
      </c>
      <c r="M48" s="290">
        <v>0</v>
      </c>
      <c r="N48" s="205">
        <f t="shared" si="19"/>
        <v>0</v>
      </c>
      <c r="O48" s="290">
        <v>0</v>
      </c>
      <c r="P48" s="205">
        <f t="shared" si="20"/>
        <v>0</v>
      </c>
      <c r="Q48" s="290">
        <v>0</v>
      </c>
      <c r="R48" s="205">
        <f t="shared" si="21"/>
        <v>0</v>
      </c>
      <c r="S48" s="39">
        <f t="shared" si="7"/>
        <v>307</v>
      </c>
      <c r="T48" s="38">
        <f t="shared" si="4"/>
        <v>8.1232199999999999</v>
      </c>
      <c r="U48" s="290">
        <v>0</v>
      </c>
      <c r="V48" s="13">
        <f t="shared" si="8"/>
        <v>0</v>
      </c>
      <c r="W48" s="294">
        <f t="shared" si="9"/>
        <v>307</v>
      </c>
      <c r="X48" s="295">
        <f t="shared" si="10"/>
        <v>8.1232199999999999</v>
      </c>
      <c r="Y48" s="238">
        <v>0</v>
      </c>
      <c r="Z48" s="101">
        <v>0</v>
      </c>
    </row>
    <row r="49" spans="1:26" x14ac:dyDescent="0.25">
      <c r="A49" s="264">
        <v>45</v>
      </c>
      <c r="B49" s="256" t="s">
        <v>174</v>
      </c>
      <c r="C49" s="34">
        <v>140</v>
      </c>
      <c r="D49" s="34">
        <v>240</v>
      </c>
      <c r="E49" s="34">
        <v>14</v>
      </c>
      <c r="F49" s="19">
        <f t="shared" si="5"/>
        <v>0.47039999999999998</v>
      </c>
      <c r="G49" s="284">
        <v>5</v>
      </c>
      <c r="H49" s="288">
        <f t="shared" si="6"/>
        <v>2.3519999999999999</v>
      </c>
      <c r="I49" s="290">
        <v>0</v>
      </c>
      <c r="J49" s="205">
        <f t="shared" si="0"/>
        <v>0</v>
      </c>
      <c r="K49" s="290">
        <v>0</v>
      </c>
      <c r="L49" s="205">
        <f t="shared" si="18"/>
        <v>0</v>
      </c>
      <c r="M49" s="290">
        <v>0</v>
      </c>
      <c r="N49" s="205">
        <f t="shared" si="19"/>
        <v>0</v>
      </c>
      <c r="O49" s="290">
        <v>0</v>
      </c>
      <c r="P49" s="205">
        <f t="shared" si="20"/>
        <v>0</v>
      </c>
      <c r="Q49" s="290">
        <v>0</v>
      </c>
      <c r="R49" s="205">
        <f t="shared" si="21"/>
        <v>0</v>
      </c>
      <c r="S49" s="39">
        <f t="shared" si="7"/>
        <v>5</v>
      </c>
      <c r="T49" s="38">
        <f t="shared" si="4"/>
        <v>2.3519999999999999</v>
      </c>
      <c r="U49" s="290">
        <v>0</v>
      </c>
      <c r="V49" s="13">
        <f t="shared" si="8"/>
        <v>0</v>
      </c>
      <c r="W49" s="294">
        <f t="shared" si="9"/>
        <v>5</v>
      </c>
      <c r="X49" s="295">
        <f t="shared" si="10"/>
        <v>2.3519999999999999</v>
      </c>
      <c r="Y49" s="238">
        <v>10</v>
      </c>
      <c r="Z49" s="101">
        <v>20</v>
      </c>
    </row>
    <row r="50" spans="1:26" x14ac:dyDescent="0.25">
      <c r="A50" s="264">
        <v>46</v>
      </c>
      <c r="B50" s="256" t="s">
        <v>175</v>
      </c>
      <c r="C50" s="34">
        <v>140</v>
      </c>
      <c r="D50" s="34">
        <v>240</v>
      </c>
      <c r="E50" s="34">
        <v>12</v>
      </c>
      <c r="F50" s="19">
        <f t="shared" si="5"/>
        <v>0.4032</v>
      </c>
      <c r="G50" s="284">
        <v>10</v>
      </c>
      <c r="H50" s="288">
        <f t="shared" si="6"/>
        <v>4.032</v>
      </c>
      <c r="I50" s="290">
        <v>1</v>
      </c>
      <c r="J50" s="205">
        <f t="shared" si="0"/>
        <v>0.4032</v>
      </c>
      <c r="K50" s="290">
        <v>1</v>
      </c>
      <c r="L50" s="205">
        <f t="shared" si="18"/>
        <v>0.4032</v>
      </c>
      <c r="M50" s="290">
        <v>0</v>
      </c>
      <c r="N50" s="205">
        <f t="shared" si="19"/>
        <v>0</v>
      </c>
      <c r="O50" s="290">
        <v>0</v>
      </c>
      <c r="P50" s="205">
        <f t="shared" si="20"/>
        <v>0</v>
      </c>
      <c r="Q50" s="290">
        <v>0</v>
      </c>
      <c r="R50" s="205">
        <f t="shared" si="21"/>
        <v>0</v>
      </c>
      <c r="S50" s="39">
        <f t="shared" si="7"/>
        <v>8</v>
      </c>
      <c r="T50" s="38">
        <f t="shared" si="4"/>
        <v>3.2256</v>
      </c>
      <c r="U50" s="290">
        <v>0</v>
      </c>
      <c r="V50" s="13">
        <f t="shared" si="8"/>
        <v>0</v>
      </c>
      <c r="W50" s="294">
        <f t="shared" si="9"/>
        <v>8</v>
      </c>
      <c r="X50" s="295">
        <f t="shared" si="10"/>
        <v>3.2256</v>
      </c>
      <c r="Y50" s="238">
        <v>10</v>
      </c>
      <c r="Z50" s="101">
        <v>20</v>
      </c>
    </row>
    <row r="51" spans="1:26" x14ac:dyDescent="0.25">
      <c r="A51" s="264">
        <v>47</v>
      </c>
      <c r="B51" s="256" t="s">
        <v>176</v>
      </c>
      <c r="C51" s="34">
        <v>130</v>
      </c>
      <c r="D51" s="34">
        <v>60</v>
      </c>
      <c r="E51" s="34">
        <v>5</v>
      </c>
      <c r="F51" s="19">
        <f t="shared" si="5"/>
        <v>3.9E-2</v>
      </c>
      <c r="G51" s="284">
        <v>0</v>
      </c>
      <c r="H51" s="288">
        <f t="shared" si="6"/>
        <v>0</v>
      </c>
      <c r="I51" s="290">
        <v>0</v>
      </c>
      <c r="J51" s="205">
        <f t="shared" si="0"/>
        <v>0</v>
      </c>
      <c r="K51" s="290">
        <v>0</v>
      </c>
      <c r="L51" s="205">
        <f t="shared" si="18"/>
        <v>0</v>
      </c>
      <c r="M51" s="290">
        <v>0</v>
      </c>
      <c r="N51" s="205">
        <f t="shared" si="19"/>
        <v>0</v>
      </c>
      <c r="O51" s="290">
        <v>0</v>
      </c>
      <c r="P51" s="205">
        <f t="shared" si="20"/>
        <v>0</v>
      </c>
      <c r="Q51" s="290">
        <v>0</v>
      </c>
      <c r="R51" s="205">
        <f t="shared" si="21"/>
        <v>0</v>
      </c>
      <c r="S51" s="39">
        <f t="shared" si="7"/>
        <v>0</v>
      </c>
      <c r="T51" s="38">
        <f t="shared" si="4"/>
        <v>0</v>
      </c>
      <c r="U51" s="290">
        <v>0</v>
      </c>
      <c r="V51" s="13">
        <f t="shared" si="8"/>
        <v>0</v>
      </c>
      <c r="W51" s="294">
        <f t="shared" si="9"/>
        <v>0</v>
      </c>
      <c r="X51" s="295">
        <f t="shared" si="10"/>
        <v>0</v>
      </c>
      <c r="Y51" s="238">
        <v>30</v>
      </c>
      <c r="Z51" s="101">
        <v>100</v>
      </c>
    </row>
    <row r="52" spans="1:26" x14ac:dyDescent="0.25">
      <c r="A52" s="264">
        <v>48</v>
      </c>
      <c r="B52" s="255" t="s">
        <v>178</v>
      </c>
      <c r="C52" s="34">
        <v>140</v>
      </c>
      <c r="D52" s="34">
        <v>240</v>
      </c>
      <c r="E52" s="34">
        <v>3</v>
      </c>
      <c r="F52" s="19">
        <f t="shared" si="5"/>
        <v>0.1008</v>
      </c>
      <c r="G52" s="284">
        <v>421</v>
      </c>
      <c r="H52" s="288">
        <f t="shared" si="6"/>
        <v>42.436799999999998</v>
      </c>
      <c r="I52" s="290">
        <v>4</v>
      </c>
      <c r="J52" s="205">
        <f t="shared" si="0"/>
        <v>0.4032</v>
      </c>
      <c r="K52" s="290">
        <v>9</v>
      </c>
      <c r="L52" s="205">
        <f t="shared" si="18"/>
        <v>0.90720000000000001</v>
      </c>
      <c r="M52" s="290">
        <v>5</v>
      </c>
      <c r="N52" s="205">
        <f t="shared" si="19"/>
        <v>0.504</v>
      </c>
      <c r="O52" s="290">
        <v>4</v>
      </c>
      <c r="P52" s="205">
        <f t="shared" si="20"/>
        <v>0.4032</v>
      </c>
      <c r="Q52" s="290">
        <v>0</v>
      </c>
      <c r="R52" s="205">
        <f t="shared" si="21"/>
        <v>0</v>
      </c>
      <c r="S52" s="39">
        <f t="shared" si="7"/>
        <v>399</v>
      </c>
      <c r="T52" s="38">
        <f t="shared" si="4"/>
        <v>40.219200000000001</v>
      </c>
      <c r="U52" s="290">
        <v>0</v>
      </c>
      <c r="V52" s="13">
        <f t="shared" si="8"/>
        <v>0</v>
      </c>
      <c r="W52" s="294">
        <f t="shared" si="9"/>
        <v>399</v>
      </c>
      <c r="X52" s="295">
        <f t="shared" si="10"/>
        <v>40.219200000000001</v>
      </c>
      <c r="Y52" s="238">
        <v>100</v>
      </c>
      <c r="Z52" s="101">
        <v>300</v>
      </c>
    </row>
    <row r="53" spans="1:26" x14ac:dyDescent="0.25">
      <c r="A53" s="264">
        <v>49</v>
      </c>
      <c r="B53" s="256" t="s">
        <v>185</v>
      </c>
      <c r="C53" s="34">
        <v>140</v>
      </c>
      <c r="D53" s="34">
        <v>240</v>
      </c>
      <c r="E53" s="34">
        <v>1</v>
      </c>
      <c r="F53" s="19">
        <f t="shared" si="5"/>
        <v>3.3599999999999998E-2</v>
      </c>
      <c r="G53" s="284">
        <v>235</v>
      </c>
      <c r="H53" s="288">
        <f t="shared" si="6"/>
        <v>7.8959999999999999</v>
      </c>
      <c r="I53" s="290">
        <v>0</v>
      </c>
      <c r="J53" s="205">
        <f t="shared" si="0"/>
        <v>0</v>
      </c>
      <c r="K53" s="290">
        <v>0</v>
      </c>
      <c r="L53" s="205">
        <f>F53*K53</f>
        <v>0</v>
      </c>
      <c r="M53" s="290">
        <v>0</v>
      </c>
      <c r="N53" s="205">
        <f t="shared" si="19"/>
        <v>0</v>
      </c>
      <c r="O53" s="290">
        <v>0</v>
      </c>
      <c r="P53" s="205">
        <f t="shared" si="20"/>
        <v>0</v>
      </c>
      <c r="Q53" s="290">
        <v>0</v>
      </c>
      <c r="R53" s="205">
        <f t="shared" si="21"/>
        <v>0</v>
      </c>
      <c r="S53" s="39">
        <f t="shared" si="7"/>
        <v>235</v>
      </c>
      <c r="T53" s="38">
        <f t="shared" si="4"/>
        <v>7.8959999999999999</v>
      </c>
      <c r="U53" s="290">
        <v>0</v>
      </c>
      <c r="V53" s="13">
        <f t="shared" si="8"/>
        <v>0</v>
      </c>
      <c r="W53" s="294">
        <f t="shared" si="9"/>
        <v>235</v>
      </c>
      <c r="X53" s="295">
        <f t="shared" si="10"/>
        <v>7.8959999999999999</v>
      </c>
      <c r="Y53" s="238">
        <v>50</v>
      </c>
      <c r="Z53" s="101">
        <v>100</v>
      </c>
    </row>
    <row r="54" spans="1:26" x14ac:dyDescent="0.25">
      <c r="A54" s="264">
        <v>50</v>
      </c>
      <c r="B54" s="256" t="s">
        <v>186</v>
      </c>
      <c r="C54" s="34">
        <v>140</v>
      </c>
      <c r="D54" s="34">
        <v>240</v>
      </c>
      <c r="E54" s="34">
        <v>3</v>
      </c>
      <c r="F54" s="19">
        <f t="shared" si="5"/>
        <v>0.1008</v>
      </c>
      <c r="G54" s="284">
        <v>49</v>
      </c>
      <c r="H54" s="288">
        <f t="shared" si="6"/>
        <v>4.9391999999999996</v>
      </c>
      <c r="I54" s="290">
        <v>0</v>
      </c>
      <c r="J54" s="205">
        <f t="shared" si="0"/>
        <v>0</v>
      </c>
      <c r="K54" s="290">
        <v>0</v>
      </c>
      <c r="L54" s="205">
        <f>F54*K54</f>
        <v>0</v>
      </c>
      <c r="M54" s="290">
        <v>0</v>
      </c>
      <c r="N54" s="205">
        <f t="shared" si="19"/>
        <v>0</v>
      </c>
      <c r="O54" s="290">
        <v>0</v>
      </c>
      <c r="P54" s="205">
        <f t="shared" si="20"/>
        <v>0</v>
      </c>
      <c r="Q54" s="290">
        <v>0</v>
      </c>
      <c r="R54" s="205">
        <f t="shared" si="21"/>
        <v>0</v>
      </c>
      <c r="S54" s="39">
        <f t="shared" si="7"/>
        <v>49</v>
      </c>
      <c r="T54" s="38">
        <f t="shared" si="4"/>
        <v>4.9391999999999996</v>
      </c>
      <c r="U54" s="290">
        <v>0</v>
      </c>
      <c r="V54" s="13">
        <f t="shared" si="8"/>
        <v>0</v>
      </c>
      <c r="W54" s="294">
        <f t="shared" si="9"/>
        <v>49</v>
      </c>
      <c r="X54" s="295">
        <f t="shared" si="10"/>
        <v>4.9391999999999996</v>
      </c>
      <c r="Y54" s="238">
        <v>50</v>
      </c>
      <c r="Z54" s="101">
        <v>100</v>
      </c>
    </row>
    <row r="55" spans="1:26" x14ac:dyDescent="0.25">
      <c r="A55" s="277">
        <v>51</v>
      </c>
      <c r="B55" s="283" t="s">
        <v>187</v>
      </c>
      <c r="C55" s="264">
        <v>140</v>
      </c>
      <c r="D55" s="264">
        <v>240</v>
      </c>
      <c r="E55" s="264">
        <v>5</v>
      </c>
      <c r="F55" s="19">
        <f t="shared" si="5"/>
        <v>0.16800000000000001</v>
      </c>
      <c r="G55" s="296">
        <v>3</v>
      </c>
      <c r="H55" s="299">
        <f t="shared" si="6"/>
        <v>0.504</v>
      </c>
      <c r="I55" s="290">
        <v>0</v>
      </c>
      <c r="J55" s="205">
        <f t="shared" si="0"/>
        <v>0</v>
      </c>
      <c r="K55" s="290">
        <v>0</v>
      </c>
      <c r="L55" s="205">
        <f>F55*K55</f>
        <v>0</v>
      </c>
      <c r="M55" s="290">
        <v>0</v>
      </c>
      <c r="N55" s="205">
        <f t="shared" si="19"/>
        <v>0</v>
      </c>
      <c r="O55" s="290">
        <v>0</v>
      </c>
      <c r="P55" s="205">
        <f t="shared" si="20"/>
        <v>0</v>
      </c>
      <c r="Q55" s="290">
        <v>0</v>
      </c>
      <c r="R55" s="205">
        <f t="shared" si="21"/>
        <v>0</v>
      </c>
      <c r="S55" s="39">
        <f t="shared" si="7"/>
        <v>3</v>
      </c>
      <c r="T55" s="38">
        <f t="shared" si="4"/>
        <v>0.504</v>
      </c>
      <c r="U55" s="290">
        <v>0</v>
      </c>
      <c r="V55" s="13">
        <f t="shared" si="8"/>
        <v>0</v>
      </c>
      <c r="W55" s="294">
        <f t="shared" si="9"/>
        <v>3</v>
      </c>
      <c r="X55" s="295">
        <f t="shared" si="10"/>
        <v>0.504</v>
      </c>
      <c r="Y55" s="101">
        <v>30</v>
      </c>
      <c r="Z55" s="101">
        <v>70</v>
      </c>
    </row>
    <row r="56" spans="1:26" x14ac:dyDescent="0.25">
      <c r="A56" s="277">
        <v>52</v>
      </c>
      <c r="B56" s="283" t="s">
        <v>188</v>
      </c>
      <c r="C56" s="264">
        <v>140</v>
      </c>
      <c r="D56" s="264">
        <v>240</v>
      </c>
      <c r="E56" s="264">
        <v>10</v>
      </c>
      <c r="F56" s="19">
        <f t="shared" si="5"/>
        <v>0.33600000000000002</v>
      </c>
      <c r="G56" s="296">
        <v>50</v>
      </c>
      <c r="H56" s="299">
        <f t="shared" si="6"/>
        <v>16.8</v>
      </c>
      <c r="I56" s="290">
        <v>0</v>
      </c>
      <c r="J56" s="205">
        <f t="shared" ref="J56:J69" si="22">F56*I56</f>
        <v>0</v>
      </c>
      <c r="K56" s="290">
        <v>0</v>
      </c>
      <c r="L56" s="205">
        <f>F56*K56</f>
        <v>0</v>
      </c>
      <c r="M56" s="290">
        <v>4</v>
      </c>
      <c r="N56" s="205">
        <f t="shared" si="19"/>
        <v>1.3440000000000001</v>
      </c>
      <c r="O56" s="290">
        <v>0</v>
      </c>
      <c r="P56" s="205">
        <f t="shared" si="20"/>
        <v>0</v>
      </c>
      <c r="Q56" s="290">
        <v>0</v>
      </c>
      <c r="R56" s="205">
        <f t="shared" si="21"/>
        <v>0</v>
      </c>
      <c r="S56" s="39">
        <f t="shared" si="7"/>
        <v>46</v>
      </c>
      <c r="T56" s="38">
        <f t="shared" si="4"/>
        <v>15.456000000000001</v>
      </c>
      <c r="U56" s="290">
        <v>8</v>
      </c>
      <c r="V56" s="13">
        <f t="shared" si="8"/>
        <v>2.6880000000000002</v>
      </c>
      <c r="W56" s="294">
        <f t="shared" si="9"/>
        <v>54</v>
      </c>
      <c r="X56" s="295">
        <f t="shared" si="10"/>
        <v>18.144000000000002</v>
      </c>
      <c r="Y56" s="101">
        <v>20</v>
      </c>
      <c r="Z56" s="101">
        <v>50</v>
      </c>
    </row>
    <row r="57" spans="1:26" x14ac:dyDescent="0.25">
      <c r="A57" s="264">
        <v>53</v>
      </c>
      <c r="B57" s="101" t="s">
        <v>201</v>
      </c>
      <c r="C57" s="264">
        <v>52</v>
      </c>
      <c r="D57" s="264">
        <v>52</v>
      </c>
      <c r="E57" s="264">
        <v>5</v>
      </c>
      <c r="F57" s="19">
        <f t="shared" si="5"/>
        <v>1.3520000000000001E-2</v>
      </c>
      <c r="G57" s="296">
        <v>750</v>
      </c>
      <c r="H57" s="299">
        <f t="shared" si="6"/>
        <v>10.14</v>
      </c>
      <c r="I57" s="290">
        <v>0</v>
      </c>
      <c r="J57" s="205">
        <f t="shared" si="22"/>
        <v>0</v>
      </c>
      <c r="K57" s="290">
        <v>0</v>
      </c>
      <c r="L57" s="205">
        <f t="shared" ref="L57:L65" si="23">F57*K57</f>
        <v>0</v>
      </c>
      <c r="M57" s="290">
        <v>0</v>
      </c>
      <c r="N57" s="205">
        <f t="shared" si="19"/>
        <v>0</v>
      </c>
      <c r="O57" s="290">
        <v>0</v>
      </c>
      <c r="P57" s="205">
        <f t="shared" si="20"/>
        <v>0</v>
      </c>
      <c r="Q57" s="290">
        <v>0</v>
      </c>
      <c r="R57" s="205">
        <f t="shared" si="21"/>
        <v>0</v>
      </c>
      <c r="S57" s="39">
        <f t="shared" si="7"/>
        <v>750</v>
      </c>
      <c r="T57" s="38">
        <f t="shared" si="4"/>
        <v>10.14</v>
      </c>
      <c r="U57" s="290">
        <v>0</v>
      </c>
      <c r="V57" s="13">
        <f t="shared" si="8"/>
        <v>0</v>
      </c>
      <c r="W57" s="294">
        <f t="shared" si="9"/>
        <v>750</v>
      </c>
      <c r="X57" s="295">
        <f t="shared" si="10"/>
        <v>10.14</v>
      </c>
      <c r="Y57" s="101"/>
      <c r="Z57" s="101"/>
    </row>
    <row r="58" spans="1:26" x14ac:dyDescent="0.25">
      <c r="A58" s="264">
        <v>54</v>
      </c>
      <c r="B58" s="101" t="s">
        <v>193</v>
      </c>
      <c r="C58" s="264">
        <v>80</v>
      </c>
      <c r="D58" s="264">
        <v>75</v>
      </c>
      <c r="E58" s="264">
        <v>5</v>
      </c>
      <c r="F58" s="19">
        <f t="shared" si="5"/>
        <v>0.03</v>
      </c>
      <c r="G58" s="264">
        <v>175</v>
      </c>
      <c r="H58" s="299">
        <f t="shared" si="6"/>
        <v>5.25</v>
      </c>
      <c r="I58" s="290">
        <v>0</v>
      </c>
      <c r="J58" s="205">
        <f t="shared" si="22"/>
        <v>0</v>
      </c>
      <c r="K58" s="290">
        <v>0</v>
      </c>
      <c r="L58" s="205">
        <f t="shared" si="23"/>
        <v>0</v>
      </c>
      <c r="M58" s="290">
        <v>0</v>
      </c>
      <c r="N58" s="205">
        <f t="shared" si="19"/>
        <v>0</v>
      </c>
      <c r="O58" s="290">
        <v>0</v>
      </c>
      <c r="P58" s="205">
        <f t="shared" si="20"/>
        <v>0</v>
      </c>
      <c r="Q58" s="290">
        <v>0</v>
      </c>
      <c r="R58" s="205">
        <f t="shared" si="21"/>
        <v>0</v>
      </c>
      <c r="S58" s="39">
        <f t="shared" si="7"/>
        <v>175</v>
      </c>
      <c r="T58" s="38">
        <f t="shared" si="4"/>
        <v>5.25</v>
      </c>
      <c r="U58" s="290">
        <v>0</v>
      </c>
      <c r="V58" s="308">
        <f t="shared" si="8"/>
        <v>0</v>
      </c>
      <c r="W58" s="294">
        <f t="shared" si="9"/>
        <v>175</v>
      </c>
      <c r="X58" s="300">
        <f t="shared" si="10"/>
        <v>5.25</v>
      </c>
      <c r="Y58" s="101"/>
      <c r="Z58" s="101"/>
    </row>
    <row r="59" spans="1:26" x14ac:dyDescent="0.25">
      <c r="A59" s="264">
        <v>55</v>
      </c>
      <c r="B59" s="101" t="s">
        <v>194</v>
      </c>
      <c r="C59" s="264">
        <v>58</v>
      </c>
      <c r="D59" s="264">
        <v>25</v>
      </c>
      <c r="E59" s="264">
        <v>3</v>
      </c>
      <c r="F59" s="298">
        <f t="shared" si="5"/>
        <v>4.3499999999999997E-3</v>
      </c>
      <c r="G59" s="264">
        <v>0</v>
      </c>
      <c r="H59" s="299">
        <f t="shared" si="6"/>
        <v>0</v>
      </c>
      <c r="I59" s="290">
        <v>0</v>
      </c>
      <c r="J59" s="205">
        <f t="shared" si="22"/>
        <v>0</v>
      </c>
      <c r="K59" s="290">
        <v>0</v>
      </c>
      <c r="L59" s="205">
        <f t="shared" si="23"/>
        <v>0</v>
      </c>
      <c r="M59" s="290">
        <v>0</v>
      </c>
      <c r="N59" s="205">
        <f t="shared" si="19"/>
        <v>0</v>
      </c>
      <c r="O59" s="290">
        <v>0</v>
      </c>
      <c r="P59" s="205">
        <f t="shared" si="20"/>
        <v>0</v>
      </c>
      <c r="Q59" s="290">
        <v>0</v>
      </c>
      <c r="R59" s="205">
        <f>F59*Q59</f>
        <v>0</v>
      </c>
      <c r="S59" s="39">
        <f t="shared" si="7"/>
        <v>0</v>
      </c>
      <c r="T59" s="38">
        <f t="shared" si="4"/>
        <v>0</v>
      </c>
      <c r="U59" s="290">
        <v>0</v>
      </c>
      <c r="V59" s="309">
        <f t="shared" si="8"/>
        <v>0</v>
      </c>
      <c r="W59" s="294">
        <f t="shared" si="9"/>
        <v>0</v>
      </c>
      <c r="X59" s="300">
        <f t="shared" si="10"/>
        <v>0</v>
      </c>
      <c r="Y59" s="101"/>
      <c r="Z59" s="101"/>
    </row>
    <row r="60" spans="1:26" x14ac:dyDescent="0.25">
      <c r="A60" s="264">
        <v>56</v>
      </c>
      <c r="B60" s="101" t="s">
        <v>195</v>
      </c>
      <c r="C60" s="264">
        <v>64</v>
      </c>
      <c r="D60" s="264">
        <v>58</v>
      </c>
      <c r="E60" s="264">
        <v>5</v>
      </c>
      <c r="F60" s="298">
        <f t="shared" si="5"/>
        <v>1.856E-2</v>
      </c>
      <c r="G60" s="264">
        <v>350</v>
      </c>
      <c r="H60" s="299">
        <f t="shared" si="6"/>
        <v>6.4960000000000004</v>
      </c>
      <c r="I60" s="290">
        <v>0</v>
      </c>
      <c r="J60" s="205">
        <f t="shared" si="22"/>
        <v>0</v>
      </c>
      <c r="K60" s="290">
        <v>0</v>
      </c>
      <c r="L60" s="205">
        <f t="shared" si="23"/>
        <v>0</v>
      </c>
      <c r="M60" s="290">
        <v>0</v>
      </c>
      <c r="N60" s="205">
        <f t="shared" si="19"/>
        <v>0</v>
      </c>
      <c r="O60" s="290">
        <v>0</v>
      </c>
      <c r="P60" s="205">
        <f t="shared" si="20"/>
        <v>0</v>
      </c>
      <c r="Q60" s="290">
        <v>0</v>
      </c>
      <c r="R60" s="205">
        <f t="shared" ref="R60:R65" si="24">F60*Q60</f>
        <v>0</v>
      </c>
      <c r="S60" s="39">
        <f t="shared" si="7"/>
        <v>350</v>
      </c>
      <c r="T60" s="38">
        <f t="shared" si="4"/>
        <v>6.4960000000000004</v>
      </c>
      <c r="U60" s="290">
        <v>0</v>
      </c>
      <c r="V60" s="309">
        <f t="shared" si="8"/>
        <v>0</v>
      </c>
      <c r="W60" s="294">
        <f t="shared" si="9"/>
        <v>350</v>
      </c>
      <c r="X60" s="301">
        <f t="shared" si="10"/>
        <v>6.4960000000000004</v>
      </c>
      <c r="Y60" s="101"/>
      <c r="Z60" s="101"/>
    </row>
    <row r="61" spans="1:26" x14ac:dyDescent="0.25">
      <c r="A61" s="264">
        <v>57</v>
      </c>
      <c r="B61" s="101" t="s">
        <v>197</v>
      </c>
      <c r="C61" s="264">
        <v>65</v>
      </c>
      <c r="D61" s="264">
        <v>65</v>
      </c>
      <c r="E61" s="264">
        <v>5</v>
      </c>
      <c r="F61" s="101">
        <f t="shared" si="5"/>
        <v>2.1125000000000001E-2</v>
      </c>
      <c r="G61" s="264">
        <v>360</v>
      </c>
      <c r="H61" s="299">
        <f t="shared" si="6"/>
        <v>7.6050000000000004</v>
      </c>
      <c r="I61" s="290">
        <v>0</v>
      </c>
      <c r="J61" s="205">
        <f t="shared" si="22"/>
        <v>0</v>
      </c>
      <c r="K61" s="290">
        <v>0</v>
      </c>
      <c r="L61" s="205">
        <f t="shared" si="23"/>
        <v>0</v>
      </c>
      <c r="M61" s="290">
        <v>0</v>
      </c>
      <c r="N61" s="174">
        <f t="shared" si="19"/>
        <v>0</v>
      </c>
      <c r="O61" s="290">
        <v>0</v>
      </c>
      <c r="P61" s="205">
        <f t="shared" si="20"/>
        <v>0</v>
      </c>
      <c r="Q61" s="290">
        <v>0</v>
      </c>
      <c r="R61" s="205">
        <f t="shared" si="24"/>
        <v>0</v>
      </c>
      <c r="S61" s="39">
        <f t="shared" si="7"/>
        <v>360</v>
      </c>
      <c r="T61" s="38">
        <f t="shared" si="4"/>
        <v>7.6050000000000004</v>
      </c>
      <c r="U61" s="290">
        <v>0</v>
      </c>
      <c r="V61" s="309">
        <f t="shared" si="8"/>
        <v>0</v>
      </c>
      <c r="W61" s="294">
        <f t="shared" si="9"/>
        <v>360</v>
      </c>
      <c r="X61" s="300">
        <f t="shared" si="10"/>
        <v>7.6050000000000004</v>
      </c>
      <c r="Y61" s="101"/>
      <c r="Z61" s="101"/>
    </row>
    <row r="62" spans="1:26" x14ac:dyDescent="0.25">
      <c r="A62" s="264">
        <v>58</v>
      </c>
      <c r="B62" s="101" t="s">
        <v>198</v>
      </c>
      <c r="C62" s="264">
        <v>83</v>
      </c>
      <c r="D62" s="264">
        <v>55</v>
      </c>
      <c r="E62" s="264">
        <v>3</v>
      </c>
      <c r="F62" s="101">
        <f t="shared" si="5"/>
        <v>1.3695000000000001E-2</v>
      </c>
      <c r="G62" s="264">
        <v>72</v>
      </c>
      <c r="H62" s="299">
        <f t="shared" si="6"/>
        <v>0.98604000000000003</v>
      </c>
      <c r="I62" s="290">
        <v>0</v>
      </c>
      <c r="J62" s="205">
        <f t="shared" si="22"/>
        <v>0</v>
      </c>
      <c r="K62" s="290">
        <v>0</v>
      </c>
      <c r="L62" s="205">
        <f t="shared" si="23"/>
        <v>0</v>
      </c>
      <c r="M62" s="290">
        <v>0</v>
      </c>
      <c r="N62" s="174">
        <f t="shared" si="19"/>
        <v>0</v>
      </c>
      <c r="O62" s="290">
        <v>0</v>
      </c>
      <c r="P62" s="205">
        <f t="shared" si="20"/>
        <v>0</v>
      </c>
      <c r="Q62" s="290">
        <v>0</v>
      </c>
      <c r="R62" s="205">
        <f t="shared" si="24"/>
        <v>0</v>
      </c>
      <c r="S62" s="39">
        <f t="shared" si="7"/>
        <v>72</v>
      </c>
      <c r="T62" s="38">
        <f t="shared" si="4"/>
        <v>0.98604000000000003</v>
      </c>
      <c r="U62" s="290">
        <v>0</v>
      </c>
      <c r="V62" s="309">
        <f t="shared" si="8"/>
        <v>0</v>
      </c>
      <c r="W62" s="294">
        <f t="shared" si="9"/>
        <v>72</v>
      </c>
      <c r="X62" s="300">
        <f t="shared" si="10"/>
        <v>0.98604000000000003</v>
      </c>
      <c r="Y62" s="101"/>
      <c r="Z62" s="101"/>
    </row>
    <row r="63" spans="1:26" x14ac:dyDescent="0.25">
      <c r="A63" s="264">
        <v>59</v>
      </c>
      <c r="B63" s="101" t="s">
        <v>199</v>
      </c>
      <c r="C63" s="264">
        <v>75</v>
      </c>
      <c r="D63" s="264">
        <v>55</v>
      </c>
      <c r="E63" s="264">
        <v>3</v>
      </c>
      <c r="F63" s="101">
        <f t="shared" si="5"/>
        <v>1.2375000000000001E-2</v>
      </c>
      <c r="G63" s="264">
        <v>130</v>
      </c>
      <c r="H63" s="299">
        <f t="shared" si="6"/>
        <v>1.6087500000000001</v>
      </c>
      <c r="I63" s="290">
        <v>0</v>
      </c>
      <c r="J63" s="205">
        <f t="shared" si="22"/>
        <v>0</v>
      </c>
      <c r="K63" s="290">
        <v>0</v>
      </c>
      <c r="L63" s="205">
        <f t="shared" si="23"/>
        <v>0</v>
      </c>
      <c r="M63" s="290">
        <v>0</v>
      </c>
      <c r="N63" s="174">
        <f t="shared" si="19"/>
        <v>0</v>
      </c>
      <c r="O63" s="290">
        <v>0</v>
      </c>
      <c r="P63" s="205">
        <f t="shared" si="20"/>
        <v>0</v>
      </c>
      <c r="Q63" s="290">
        <v>0</v>
      </c>
      <c r="R63" s="205">
        <f t="shared" si="24"/>
        <v>0</v>
      </c>
      <c r="S63" s="39">
        <f t="shared" si="7"/>
        <v>130</v>
      </c>
      <c r="T63" s="38">
        <f t="shared" si="4"/>
        <v>1.6087500000000001</v>
      </c>
      <c r="U63" s="290">
        <v>0</v>
      </c>
      <c r="V63" s="309">
        <f t="shared" si="8"/>
        <v>0</v>
      </c>
      <c r="W63" s="294">
        <f t="shared" si="9"/>
        <v>130</v>
      </c>
      <c r="X63" s="300">
        <f t="shared" si="10"/>
        <v>1.6087500000000001</v>
      </c>
      <c r="Y63" s="101"/>
      <c r="Z63" s="101"/>
    </row>
    <row r="64" spans="1:26" x14ac:dyDescent="0.25">
      <c r="A64" s="264">
        <v>60</v>
      </c>
      <c r="B64" s="101" t="s">
        <v>200</v>
      </c>
      <c r="C64" s="264">
        <v>58</v>
      </c>
      <c r="D64" s="264">
        <v>19</v>
      </c>
      <c r="E64" s="264">
        <v>3</v>
      </c>
      <c r="F64" s="101">
        <f t="shared" si="5"/>
        <v>3.3059999999999999E-3</v>
      </c>
      <c r="G64" s="264">
        <v>170</v>
      </c>
      <c r="H64" s="299">
        <f t="shared" si="6"/>
        <v>0.56201999999999996</v>
      </c>
      <c r="I64" s="290">
        <v>0</v>
      </c>
      <c r="J64" s="205">
        <f t="shared" si="22"/>
        <v>0</v>
      </c>
      <c r="K64" s="290">
        <v>0</v>
      </c>
      <c r="L64" s="205">
        <f t="shared" si="23"/>
        <v>0</v>
      </c>
      <c r="M64" s="290">
        <v>0</v>
      </c>
      <c r="N64" s="174">
        <f t="shared" si="19"/>
        <v>0</v>
      </c>
      <c r="O64" s="290">
        <v>0</v>
      </c>
      <c r="P64" s="205">
        <f t="shared" si="20"/>
        <v>0</v>
      </c>
      <c r="Q64" s="290">
        <v>0</v>
      </c>
      <c r="R64" s="205">
        <f t="shared" si="24"/>
        <v>0</v>
      </c>
      <c r="S64" s="39">
        <f t="shared" si="7"/>
        <v>170</v>
      </c>
      <c r="T64" s="38">
        <f t="shared" si="4"/>
        <v>0.56201999999999996</v>
      </c>
      <c r="U64" s="290">
        <v>0</v>
      </c>
      <c r="V64" s="309">
        <f t="shared" si="8"/>
        <v>0</v>
      </c>
      <c r="W64" s="294">
        <f t="shared" si="9"/>
        <v>170</v>
      </c>
      <c r="X64" s="300">
        <f t="shared" si="10"/>
        <v>0.56201999999999996</v>
      </c>
      <c r="Y64" s="101"/>
      <c r="Z64" s="101"/>
    </row>
    <row r="65" spans="1:26" x14ac:dyDescent="0.25">
      <c r="A65" s="264">
        <v>61</v>
      </c>
      <c r="B65" s="101" t="s">
        <v>202</v>
      </c>
      <c r="C65" s="264">
        <v>140</v>
      </c>
      <c r="D65" s="264">
        <v>240</v>
      </c>
      <c r="E65" s="264">
        <v>4</v>
      </c>
      <c r="F65" s="101">
        <f t="shared" si="5"/>
        <v>0.13439999999999999</v>
      </c>
      <c r="G65" s="264">
        <v>43</v>
      </c>
      <c r="H65" s="299">
        <f t="shared" si="6"/>
        <v>5.7791999999999994</v>
      </c>
      <c r="I65" s="290">
        <v>3</v>
      </c>
      <c r="J65" s="205">
        <f t="shared" si="22"/>
        <v>0.4032</v>
      </c>
      <c r="K65" s="290">
        <v>21</v>
      </c>
      <c r="L65" s="205">
        <f t="shared" si="23"/>
        <v>2.8224</v>
      </c>
      <c r="M65" s="290">
        <v>4</v>
      </c>
      <c r="N65" s="174">
        <f t="shared" si="19"/>
        <v>0.53759999999999997</v>
      </c>
      <c r="O65" s="290">
        <v>0</v>
      </c>
      <c r="P65" s="205">
        <f t="shared" si="20"/>
        <v>0</v>
      </c>
      <c r="Q65" s="290">
        <v>0</v>
      </c>
      <c r="R65" s="205">
        <f t="shared" si="24"/>
        <v>0</v>
      </c>
      <c r="S65" s="39">
        <f t="shared" si="7"/>
        <v>15</v>
      </c>
      <c r="T65" s="38">
        <f t="shared" si="4"/>
        <v>2.016</v>
      </c>
      <c r="U65" s="290">
        <v>70</v>
      </c>
      <c r="V65" s="309">
        <f t="shared" si="8"/>
        <v>9.4079999999999995</v>
      </c>
      <c r="W65" s="294">
        <f t="shared" si="9"/>
        <v>85</v>
      </c>
      <c r="X65" s="300">
        <f t="shared" si="10"/>
        <v>11.423999999999999</v>
      </c>
      <c r="Y65" s="101">
        <v>30</v>
      </c>
      <c r="Z65" s="101">
        <v>70</v>
      </c>
    </row>
    <row r="66" spans="1:26" x14ac:dyDescent="0.25">
      <c r="A66" s="264">
        <v>62</v>
      </c>
      <c r="B66" s="101" t="s">
        <v>203</v>
      </c>
      <c r="C66" s="264">
        <v>50</v>
      </c>
      <c r="D66" s="264">
        <v>46.5</v>
      </c>
      <c r="E66" s="264">
        <v>3</v>
      </c>
      <c r="F66" s="101">
        <f t="shared" si="5"/>
        <v>6.9750000000000003E-3</v>
      </c>
      <c r="G66" s="264">
        <v>435</v>
      </c>
      <c r="H66" s="289">
        <f t="shared" si="6"/>
        <v>3.034125</v>
      </c>
      <c r="I66" s="290">
        <v>0</v>
      </c>
      <c r="J66" s="205">
        <f t="shared" si="22"/>
        <v>0</v>
      </c>
      <c r="K66" s="290">
        <v>0</v>
      </c>
      <c r="L66" s="101"/>
      <c r="M66" s="290">
        <v>170</v>
      </c>
      <c r="N66" s="264">
        <f t="shared" si="19"/>
        <v>1.1857500000000001</v>
      </c>
      <c r="O66" s="290">
        <v>0</v>
      </c>
      <c r="P66" s="264">
        <f t="shared" si="20"/>
        <v>0</v>
      </c>
      <c r="Q66" s="290">
        <v>0</v>
      </c>
      <c r="R66" s="101"/>
      <c r="S66" s="39">
        <f t="shared" si="7"/>
        <v>265</v>
      </c>
      <c r="T66" s="38">
        <f t="shared" si="4"/>
        <v>1.8483750000000001</v>
      </c>
      <c r="U66" s="290">
        <v>0</v>
      </c>
      <c r="V66" s="309">
        <f t="shared" si="8"/>
        <v>0</v>
      </c>
      <c r="W66" s="294">
        <f t="shared" si="9"/>
        <v>265</v>
      </c>
      <c r="X66" s="300">
        <f t="shared" si="10"/>
        <v>1.8483750000000001</v>
      </c>
      <c r="Y66" s="101">
        <v>500</v>
      </c>
      <c r="Z66" s="101">
        <v>1000</v>
      </c>
    </row>
    <row r="67" spans="1:26" x14ac:dyDescent="0.25">
      <c r="A67" s="264">
        <v>63</v>
      </c>
      <c r="B67" s="101" t="s">
        <v>204</v>
      </c>
      <c r="C67" s="264">
        <v>50</v>
      </c>
      <c r="D67" s="264">
        <v>35</v>
      </c>
      <c r="E67" s="264">
        <v>3</v>
      </c>
      <c r="F67" s="101">
        <f t="shared" si="5"/>
        <v>5.2500000000000003E-3</v>
      </c>
      <c r="G67" s="264">
        <v>533</v>
      </c>
      <c r="H67" s="289">
        <f t="shared" si="6"/>
        <v>2.7982500000000003</v>
      </c>
      <c r="I67" s="290">
        <v>0</v>
      </c>
      <c r="J67" s="205">
        <f t="shared" si="22"/>
        <v>0</v>
      </c>
      <c r="K67" s="290">
        <v>0</v>
      </c>
      <c r="L67" s="205">
        <f t="shared" ref="L67" si="25">F67*K67</f>
        <v>0</v>
      </c>
      <c r="M67" s="290">
        <v>170</v>
      </c>
      <c r="N67" s="264">
        <f t="shared" si="19"/>
        <v>0.89250000000000007</v>
      </c>
      <c r="O67" s="290">
        <v>0</v>
      </c>
      <c r="P67" s="264"/>
      <c r="Q67" s="290">
        <v>0</v>
      </c>
      <c r="R67" s="264"/>
      <c r="S67" s="39">
        <f t="shared" si="7"/>
        <v>363</v>
      </c>
      <c r="T67" s="38">
        <f t="shared" si="4"/>
        <v>1.9057500000000001</v>
      </c>
      <c r="U67" s="290">
        <v>0</v>
      </c>
      <c r="V67" s="309">
        <f t="shared" si="8"/>
        <v>0</v>
      </c>
      <c r="W67" s="294">
        <f t="shared" si="9"/>
        <v>363</v>
      </c>
      <c r="X67" s="300">
        <f t="shared" si="10"/>
        <v>1.9057500000000001</v>
      </c>
      <c r="Y67" s="101">
        <v>500</v>
      </c>
      <c r="Z67" s="101">
        <v>1000</v>
      </c>
    </row>
    <row r="68" spans="1:26" x14ac:dyDescent="0.25">
      <c r="A68" s="264">
        <v>64</v>
      </c>
      <c r="B68" s="101" t="s">
        <v>205</v>
      </c>
      <c r="C68" s="264">
        <v>140</v>
      </c>
      <c r="D68" s="264">
        <v>240</v>
      </c>
      <c r="E68" s="264">
        <v>8</v>
      </c>
      <c r="F68" s="101">
        <f t="shared" si="5"/>
        <v>0.26879999999999998</v>
      </c>
      <c r="G68" s="264">
        <v>2</v>
      </c>
      <c r="H68" s="289">
        <f t="shared" si="6"/>
        <v>0.53759999999999997</v>
      </c>
      <c r="I68" s="290">
        <v>0</v>
      </c>
      <c r="J68" s="264">
        <f t="shared" si="22"/>
        <v>0</v>
      </c>
      <c r="K68" s="290">
        <v>0</v>
      </c>
      <c r="L68" s="264"/>
      <c r="M68" s="290">
        <v>0</v>
      </c>
      <c r="N68" s="264">
        <v>0</v>
      </c>
      <c r="O68" s="290">
        <v>0</v>
      </c>
      <c r="P68" s="264"/>
      <c r="Q68" s="290">
        <v>0</v>
      </c>
      <c r="R68" s="264">
        <v>0</v>
      </c>
      <c r="S68" s="39">
        <f t="shared" si="7"/>
        <v>2</v>
      </c>
      <c r="T68" s="38">
        <f t="shared" si="4"/>
        <v>0.53759999999999997</v>
      </c>
      <c r="U68" s="290">
        <v>0</v>
      </c>
      <c r="V68" s="309">
        <v>0</v>
      </c>
      <c r="W68" s="294">
        <f t="shared" si="9"/>
        <v>2</v>
      </c>
      <c r="X68" s="300">
        <f t="shared" si="10"/>
        <v>0.53759999999999997</v>
      </c>
      <c r="Y68" s="101"/>
      <c r="Z68" s="101"/>
    </row>
    <row r="69" spans="1:26" x14ac:dyDescent="0.25">
      <c r="A69" s="264">
        <v>65</v>
      </c>
      <c r="B69" s="101" t="s">
        <v>206</v>
      </c>
      <c r="C69" s="264">
        <v>140</v>
      </c>
      <c r="D69" s="264">
        <v>240</v>
      </c>
      <c r="E69" s="264">
        <v>2</v>
      </c>
      <c r="F69" s="101">
        <f t="shared" si="5"/>
        <v>6.7199999999999996E-2</v>
      </c>
      <c r="G69" s="264">
        <v>80</v>
      </c>
      <c r="H69" s="289">
        <f t="shared" si="6"/>
        <v>5.3759999999999994</v>
      </c>
      <c r="I69" s="290">
        <v>0</v>
      </c>
      <c r="J69" s="264">
        <f t="shared" si="22"/>
        <v>0</v>
      </c>
      <c r="K69" s="290">
        <v>0</v>
      </c>
      <c r="L69" s="264"/>
      <c r="M69" s="290">
        <v>0</v>
      </c>
      <c r="N69" s="174">
        <v>0</v>
      </c>
      <c r="O69" s="290">
        <v>0</v>
      </c>
      <c r="P69" s="264">
        <f t="shared" ref="P69" si="26">F69*O69</f>
        <v>0</v>
      </c>
      <c r="Q69" s="290">
        <v>0</v>
      </c>
      <c r="R69" s="205">
        <f t="shared" ref="R69" si="27">F69*Q69</f>
        <v>0</v>
      </c>
      <c r="S69" s="39">
        <f t="shared" si="7"/>
        <v>80</v>
      </c>
      <c r="T69" s="38">
        <f t="shared" ref="T69:T70" si="28">F69*S69</f>
        <v>5.3759999999999994</v>
      </c>
      <c r="U69" s="290">
        <v>0</v>
      </c>
      <c r="V69" s="309">
        <f t="shared" si="8"/>
        <v>0</v>
      </c>
      <c r="W69" s="294">
        <f t="shared" si="9"/>
        <v>80</v>
      </c>
      <c r="X69" s="300">
        <f t="shared" si="10"/>
        <v>5.3759999999999994</v>
      </c>
      <c r="Y69" s="101">
        <v>70</v>
      </c>
      <c r="Z69" s="101">
        <v>200</v>
      </c>
    </row>
    <row r="70" spans="1:26" x14ac:dyDescent="0.25">
      <c r="A70" s="264">
        <v>66</v>
      </c>
      <c r="B70" s="101" t="s">
        <v>213</v>
      </c>
      <c r="C70" s="264"/>
      <c r="D70" s="264"/>
      <c r="E70" s="264"/>
      <c r="F70" s="101"/>
      <c r="G70" s="264">
        <v>320</v>
      </c>
      <c r="H70" s="289"/>
      <c r="I70" s="290">
        <v>0</v>
      </c>
      <c r="J70" s="264"/>
      <c r="K70" s="290">
        <v>0</v>
      </c>
      <c r="L70" s="264"/>
      <c r="M70" s="290">
        <v>0</v>
      </c>
      <c r="N70" s="264">
        <f t="shared" si="19"/>
        <v>0</v>
      </c>
      <c r="O70" s="290">
        <v>0</v>
      </c>
      <c r="P70" s="264"/>
      <c r="Q70" s="290">
        <v>0</v>
      </c>
      <c r="R70" s="264"/>
      <c r="S70" s="39">
        <f t="shared" ref="S70" si="29">G70-I70-K70-M70-O70-Q70</f>
        <v>320</v>
      </c>
      <c r="T70" s="38">
        <f t="shared" si="28"/>
        <v>0</v>
      </c>
      <c r="U70" s="290">
        <v>0</v>
      </c>
      <c r="V70" s="309">
        <f t="shared" ref="V70" si="30">F70*U70</f>
        <v>0</v>
      </c>
      <c r="W70" s="294">
        <f t="shared" ref="W70" si="31">S70+U70</f>
        <v>320</v>
      </c>
      <c r="X70" s="300">
        <f t="shared" ref="X70" si="32">F70*W70</f>
        <v>0</v>
      </c>
      <c r="Y70" s="101"/>
      <c r="Z70" s="101"/>
    </row>
    <row r="71" spans="1:26" x14ac:dyDescent="0.25">
      <c r="A71" s="277">
        <v>67</v>
      </c>
      <c r="B71" s="317" t="s">
        <v>224</v>
      </c>
      <c r="C71" s="101"/>
      <c r="D71" s="101"/>
      <c r="E71" s="101"/>
      <c r="F71" s="101"/>
      <c r="G71" s="277">
        <v>150</v>
      </c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 spans="1:26" x14ac:dyDescent="0.25">
      <c r="A72" s="101"/>
      <c r="B72" s="317" t="s">
        <v>225</v>
      </c>
      <c r="C72" s="101"/>
      <c r="D72" s="101"/>
      <c r="E72" s="101"/>
      <c r="F72" s="101"/>
      <c r="G72" s="277">
        <v>112</v>
      </c>
      <c r="H72" s="101"/>
      <c r="I72" s="101">
        <v>10</v>
      </c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</row>
    <row r="73" spans="1:26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1:26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1:26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1:26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1:26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1:26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</sheetData>
  <mergeCells count="24">
    <mergeCell ref="C1:H1"/>
    <mergeCell ref="G2:H3"/>
    <mergeCell ref="I2:J2"/>
    <mergeCell ref="K2:L2"/>
    <mergeCell ref="M2:N2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S4:T4"/>
    <mergeCell ref="U4:V4"/>
    <mergeCell ref="W4:X4"/>
    <mergeCell ref="G4:H4"/>
    <mergeCell ref="I4:J4"/>
    <mergeCell ref="K4:L4"/>
    <mergeCell ref="M4:N4"/>
    <mergeCell ref="O4:P4"/>
    <mergeCell ref="Q4:R4"/>
  </mergeCells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2424B-CA1A-4867-8910-F33B77F638CC}">
  <dimension ref="A1:Z78"/>
  <sheetViews>
    <sheetView topLeftCell="A52" workbookViewId="0">
      <selection activeCell="O62" sqref="O62"/>
    </sheetView>
  </sheetViews>
  <sheetFormatPr defaultRowHeight="15" x14ac:dyDescent="0.25"/>
  <cols>
    <col min="1" max="1" width="5" customWidth="1"/>
    <col min="2" max="2" width="31.85546875" style="3" customWidth="1"/>
    <col min="3" max="3" width="4.7109375" style="2" hidden="1" customWidth="1"/>
    <col min="4" max="4" width="7.28515625" style="2" hidden="1" customWidth="1"/>
    <col min="5" max="5" width="5.85546875" style="2" hidden="1" customWidth="1"/>
    <col min="6" max="6" width="8" style="4" hidden="1" customWidth="1"/>
    <col min="7" max="7" width="7.5703125" style="5" customWidth="1"/>
    <col min="8" max="8" width="9" style="5" customWidth="1"/>
    <col min="9" max="9" width="6" style="2" customWidth="1"/>
    <col min="10" max="10" width="7.140625" style="2" customWidth="1"/>
    <col min="11" max="11" width="6.28515625" style="2" customWidth="1"/>
    <col min="12" max="12" width="8" style="2" customWidth="1"/>
    <col min="13" max="20" width="6.42578125" style="2" customWidth="1"/>
    <col min="21" max="24" width="6.42578125" customWidth="1"/>
    <col min="25" max="25" width="10.28515625" customWidth="1"/>
  </cols>
  <sheetData>
    <row r="1" spans="1:26" ht="15.75" thickBot="1" x14ac:dyDescent="0.3">
      <c r="B1" s="4" t="s">
        <v>18</v>
      </c>
      <c r="C1" s="384" t="s">
        <v>226</v>
      </c>
      <c r="D1" s="320"/>
      <c r="E1" s="320"/>
      <c r="F1" s="320"/>
      <c r="G1" s="320"/>
      <c r="H1" s="320"/>
      <c r="Y1" s="314">
        <v>45656</v>
      </c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45968</v>
      </c>
      <c r="J2" s="326"/>
      <c r="K2" s="327">
        <v>45975</v>
      </c>
      <c r="L2" s="328"/>
      <c r="M2" s="325">
        <v>45982</v>
      </c>
      <c r="N2" s="329"/>
      <c r="O2" s="327">
        <v>45989</v>
      </c>
      <c r="P2" s="346"/>
      <c r="Q2" s="325">
        <v>0</v>
      </c>
      <c r="R2" s="329"/>
      <c r="S2" s="330" t="s">
        <v>69</v>
      </c>
      <c r="T2" s="331"/>
      <c r="U2" s="334" t="s">
        <v>70</v>
      </c>
      <c r="V2" s="335"/>
      <c r="W2" s="385" t="s">
        <v>71</v>
      </c>
      <c r="X2" s="386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87"/>
      <c r="X3" s="388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89" t="s">
        <v>63</v>
      </c>
      <c r="X4" s="390"/>
      <c r="Y4" s="268" t="s">
        <v>179</v>
      </c>
      <c r="Z4" s="269" t="s">
        <v>99</v>
      </c>
    </row>
    <row r="5" spans="1:26" x14ac:dyDescent="0.25">
      <c r="A5" s="263">
        <v>1</v>
      </c>
      <c r="B5" s="256" t="s">
        <v>134</v>
      </c>
      <c r="C5" s="32">
        <v>70</v>
      </c>
      <c r="D5" s="33">
        <v>64</v>
      </c>
      <c r="E5" s="33">
        <v>8</v>
      </c>
      <c r="F5" s="15">
        <f>(C5*D5*E5)/1000000</f>
        <v>3.5839999999999997E-2</v>
      </c>
      <c r="G5" s="286">
        <v>208</v>
      </c>
      <c r="H5" s="287">
        <f>F5*G5</f>
        <v>7.4547199999999991</v>
      </c>
      <c r="I5" s="290">
        <v>2</v>
      </c>
      <c r="J5" s="205">
        <f t="shared" ref="J5:R55" si="0">F5*I5</f>
        <v>7.1679999999999994E-2</v>
      </c>
      <c r="K5" s="290">
        <v>0</v>
      </c>
      <c r="L5" s="205">
        <f>F5*K5</f>
        <v>0</v>
      </c>
      <c r="M5" s="290">
        <v>0</v>
      </c>
      <c r="N5" s="205">
        <f t="shared" ref="N5:N10" si="1">F5*M5</f>
        <v>0</v>
      </c>
      <c r="O5" s="290">
        <v>12</v>
      </c>
      <c r="P5" s="205">
        <f t="shared" ref="P5:P10" si="2">F5*O5</f>
        <v>0.43007999999999996</v>
      </c>
      <c r="Q5" s="290">
        <v>0</v>
      </c>
      <c r="R5" s="205">
        <f t="shared" ref="R5:R11" si="3">F5*Q5</f>
        <v>0</v>
      </c>
      <c r="S5" s="39">
        <f>G5-I5-K5-M5-O5-Q5</f>
        <v>194</v>
      </c>
      <c r="T5" s="38">
        <f t="shared" ref="T5:T68" si="4">F5*S5</f>
        <v>6.9529599999999991</v>
      </c>
      <c r="U5" s="290">
        <v>0</v>
      </c>
      <c r="V5" s="13">
        <f>F5*U5</f>
        <v>0</v>
      </c>
      <c r="W5" s="294">
        <f>S5+U5</f>
        <v>194</v>
      </c>
      <c r="X5" s="295">
        <f>F5*W5</f>
        <v>6.9529599999999991</v>
      </c>
      <c r="Y5" s="266">
        <v>200</v>
      </c>
      <c r="Z5" s="267">
        <v>750</v>
      </c>
    </row>
    <row r="6" spans="1:26" x14ac:dyDescent="0.25">
      <c r="A6" s="264">
        <v>2</v>
      </c>
      <c r="B6" s="256" t="s">
        <v>135</v>
      </c>
      <c r="C6" s="34">
        <v>70</v>
      </c>
      <c r="D6" s="35">
        <v>80</v>
      </c>
      <c r="E6" s="35">
        <v>8</v>
      </c>
      <c r="F6" s="19">
        <f t="shared" ref="F6:F69" si="5">(C6*D6*E6)/1000000</f>
        <v>4.48E-2</v>
      </c>
      <c r="G6" s="286">
        <v>284</v>
      </c>
      <c r="H6" s="288">
        <f t="shared" ref="H6:H69" si="6">F6*G6</f>
        <v>12.7232</v>
      </c>
      <c r="I6" s="290">
        <v>6</v>
      </c>
      <c r="J6" s="205">
        <f t="shared" si="0"/>
        <v>0.26879999999999998</v>
      </c>
      <c r="K6" s="290">
        <v>0</v>
      </c>
      <c r="L6" s="205">
        <f>F6*K6</f>
        <v>0</v>
      </c>
      <c r="M6" s="290">
        <v>4</v>
      </c>
      <c r="N6" s="205">
        <f t="shared" si="1"/>
        <v>0.1792</v>
      </c>
      <c r="O6" s="290">
        <v>12</v>
      </c>
      <c r="P6" s="205">
        <f t="shared" si="2"/>
        <v>0.53759999999999997</v>
      </c>
      <c r="Q6" s="290">
        <v>0</v>
      </c>
      <c r="R6" s="205">
        <f t="shared" si="3"/>
        <v>0</v>
      </c>
      <c r="S6" s="39">
        <f t="shared" ref="S6:S69" si="7">G6-I6-K6-M6-O6-Q6</f>
        <v>262</v>
      </c>
      <c r="T6" s="38">
        <f t="shared" si="4"/>
        <v>11.7376</v>
      </c>
      <c r="U6" s="290">
        <v>0</v>
      </c>
      <c r="V6" s="13">
        <f t="shared" ref="V6:V69" si="8">F6*U6</f>
        <v>0</v>
      </c>
      <c r="W6" s="294">
        <f t="shared" ref="W6:W69" si="9">S6+U6</f>
        <v>262</v>
      </c>
      <c r="X6" s="295">
        <f t="shared" ref="X6:X69" si="10">F6*W6</f>
        <v>11.7376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136</v>
      </c>
      <c r="C7" s="34">
        <v>70</v>
      </c>
      <c r="D7" s="35">
        <v>74</v>
      </c>
      <c r="E7" s="35">
        <v>8</v>
      </c>
      <c r="F7" s="19">
        <f t="shared" si="5"/>
        <v>4.1439999999999998E-2</v>
      </c>
      <c r="G7" s="286">
        <v>245</v>
      </c>
      <c r="H7" s="288">
        <f t="shared" si="6"/>
        <v>10.152799999999999</v>
      </c>
      <c r="I7" s="290">
        <v>6</v>
      </c>
      <c r="J7" s="205">
        <f t="shared" si="0"/>
        <v>0.24863999999999997</v>
      </c>
      <c r="K7" s="290">
        <v>0</v>
      </c>
      <c r="L7" s="205">
        <f>F7*K7</f>
        <v>0</v>
      </c>
      <c r="M7" s="290">
        <v>0</v>
      </c>
      <c r="N7" s="205">
        <f t="shared" si="1"/>
        <v>0</v>
      </c>
      <c r="O7" s="290">
        <v>24</v>
      </c>
      <c r="P7" s="205">
        <f t="shared" si="2"/>
        <v>0.99455999999999989</v>
      </c>
      <c r="Q7" s="290">
        <v>0</v>
      </c>
      <c r="R7" s="205">
        <f t="shared" si="3"/>
        <v>0</v>
      </c>
      <c r="S7" s="39">
        <f t="shared" si="7"/>
        <v>215</v>
      </c>
      <c r="T7" s="38">
        <f t="shared" si="4"/>
        <v>8.9095999999999993</v>
      </c>
      <c r="U7" s="290">
        <v>0</v>
      </c>
      <c r="V7" s="13">
        <f t="shared" si="8"/>
        <v>0</v>
      </c>
      <c r="W7" s="294">
        <f t="shared" si="9"/>
        <v>215</v>
      </c>
      <c r="X7" s="295">
        <f t="shared" si="10"/>
        <v>8.9095999999999993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208</v>
      </c>
      <c r="C8" s="34">
        <v>70</v>
      </c>
      <c r="D8" s="35">
        <v>88</v>
      </c>
      <c r="E8" s="35">
        <v>8</v>
      </c>
      <c r="F8" s="19">
        <f t="shared" si="5"/>
        <v>4.9279999999999997E-2</v>
      </c>
      <c r="G8" s="286">
        <v>256</v>
      </c>
      <c r="H8" s="288">
        <f t="shared" si="6"/>
        <v>12.615679999999999</v>
      </c>
      <c r="I8" s="290">
        <v>2</v>
      </c>
      <c r="J8" s="205">
        <f t="shared" si="0"/>
        <v>9.8559999999999995E-2</v>
      </c>
      <c r="K8" s="290">
        <v>2</v>
      </c>
      <c r="L8" s="205">
        <f>F8*K8</f>
        <v>9.8559999999999995E-2</v>
      </c>
      <c r="M8" s="290">
        <v>4</v>
      </c>
      <c r="N8" s="205">
        <f t="shared" si="1"/>
        <v>0.19711999999999999</v>
      </c>
      <c r="O8" s="290">
        <v>0</v>
      </c>
      <c r="P8" s="205">
        <f t="shared" si="2"/>
        <v>0</v>
      </c>
      <c r="Q8" s="290">
        <v>0</v>
      </c>
      <c r="R8" s="205">
        <f t="shared" si="3"/>
        <v>0</v>
      </c>
      <c r="S8" s="39">
        <f t="shared" si="7"/>
        <v>248</v>
      </c>
      <c r="T8" s="38">
        <f t="shared" si="4"/>
        <v>12.221439999999999</v>
      </c>
      <c r="U8" s="290">
        <v>0</v>
      </c>
      <c r="V8" s="13">
        <f t="shared" si="8"/>
        <v>0</v>
      </c>
      <c r="W8" s="294">
        <f t="shared" si="9"/>
        <v>248</v>
      </c>
      <c r="X8" s="295">
        <f t="shared" si="10"/>
        <v>12.221439999999999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138</v>
      </c>
      <c r="C9" s="34">
        <v>140</v>
      </c>
      <c r="D9" s="35">
        <v>240</v>
      </c>
      <c r="E9" s="35">
        <v>5</v>
      </c>
      <c r="F9" s="19">
        <f t="shared" si="5"/>
        <v>0.16800000000000001</v>
      </c>
      <c r="G9" s="286">
        <v>128</v>
      </c>
      <c r="H9" s="288">
        <f t="shared" si="6"/>
        <v>21.504000000000001</v>
      </c>
      <c r="I9" s="290">
        <v>16</v>
      </c>
      <c r="J9" s="205">
        <f t="shared" si="0"/>
        <v>2.6880000000000002</v>
      </c>
      <c r="K9" s="290">
        <v>9</v>
      </c>
      <c r="L9" s="205">
        <f>F9*K9</f>
        <v>1.512</v>
      </c>
      <c r="M9" s="290">
        <v>4</v>
      </c>
      <c r="N9" s="205">
        <f t="shared" si="1"/>
        <v>0.67200000000000004</v>
      </c>
      <c r="O9" s="290">
        <v>7</v>
      </c>
      <c r="P9" s="205">
        <f t="shared" si="2"/>
        <v>1.1760000000000002</v>
      </c>
      <c r="Q9" s="290">
        <v>0</v>
      </c>
      <c r="R9" s="205">
        <f t="shared" si="3"/>
        <v>0</v>
      </c>
      <c r="S9" s="39">
        <f t="shared" si="7"/>
        <v>92</v>
      </c>
      <c r="T9" s="38">
        <f t="shared" si="4"/>
        <v>15.456000000000001</v>
      </c>
      <c r="U9" s="290">
        <v>0</v>
      </c>
      <c r="V9" s="13">
        <f t="shared" si="8"/>
        <v>0</v>
      </c>
      <c r="W9" s="294">
        <f t="shared" si="9"/>
        <v>92</v>
      </c>
      <c r="X9" s="295">
        <f t="shared" si="10"/>
        <v>15.456000000000001</v>
      </c>
      <c r="Y9" s="238">
        <v>100</v>
      </c>
      <c r="Z9" s="101">
        <v>250</v>
      </c>
    </row>
    <row r="10" spans="1:26" x14ac:dyDescent="0.25">
      <c r="A10" s="264">
        <v>6</v>
      </c>
      <c r="B10" s="256" t="s">
        <v>211</v>
      </c>
      <c r="C10" s="34">
        <v>143</v>
      </c>
      <c r="D10" s="35">
        <v>68</v>
      </c>
      <c r="E10" s="35">
        <v>5</v>
      </c>
      <c r="F10" s="19">
        <f t="shared" si="5"/>
        <v>4.8619999999999997E-2</v>
      </c>
      <c r="G10" s="286">
        <v>500</v>
      </c>
      <c r="H10" s="288">
        <f t="shared" si="6"/>
        <v>24.31</v>
      </c>
      <c r="I10" s="290">
        <v>0</v>
      </c>
      <c r="J10" s="205">
        <f t="shared" si="0"/>
        <v>0</v>
      </c>
      <c r="K10" s="290">
        <v>44</v>
      </c>
      <c r="L10" s="205">
        <f t="shared" ref="L10" si="11">F10*K10</f>
        <v>2.1392799999999998</v>
      </c>
      <c r="M10" s="290">
        <v>28</v>
      </c>
      <c r="N10" s="205">
        <f t="shared" si="1"/>
        <v>1.3613599999999999</v>
      </c>
      <c r="O10" s="290">
        <v>35</v>
      </c>
      <c r="P10" s="205">
        <f t="shared" si="2"/>
        <v>1.7016999999999998</v>
      </c>
      <c r="Q10" s="290">
        <v>0</v>
      </c>
      <c r="R10" s="205">
        <f t="shared" si="3"/>
        <v>0</v>
      </c>
      <c r="S10" s="39">
        <f t="shared" si="7"/>
        <v>393</v>
      </c>
      <c r="T10" s="38">
        <f t="shared" si="4"/>
        <v>19.107659999999999</v>
      </c>
      <c r="U10" s="290">
        <v>0</v>
      </c>
      <c r="V10" s="13">
        <f t="shared" si="8"/>
        <v>0</v>
      </c>
      <c r="W10" s="294">
        <f t="shared" si="9"/>
        <v>393</v>
      </c>
      <c r="X10" s="295">
        <f t="shared" si="10"/>
        <v>19.107659999999999</v>
      </c>
      <c r="Y10" s="238">
        <v>75</v>
      </c>
      <c r="Z10" s="101">
        <v>250</v>
      </c>
    </row>
    <row r="11" spans="1:26" x14ac:dyDescent="0.25">
      <c r="A11" s="264">
        <v>7</v>
      </c>
      <c r="B11" s="256" t="s">
        <v>207</v>
      </c>
      <c r="C11" s="34">
        <v>140</v>
      </c>
      <c r="D11" s="35">
        <v>240</v>
      </c>
      <c r="E11" s="35">
        <v>8</v>
      </c>
      <c r="F11" s="19">
        <f t="shared" si="5"/>
        <v>0.26879999999999998</v>
      </c>
      <c r="G11" s="286">
        <v>38</v>
      </c>
      <c r="H11" s="288">
        <f t="shared" si="6"/>
        <v>10.214399999999999</v>
      </c>
      <c r="I11" s="290">
        <v>0</v>
      </c>
      <c r="J11" s="205">
        <f t="shared" si="0"/>
        <v>0</v>
      </c>
      <c r="K11" s="290">
        <v>0</v>
      </c>
      <c r="L11" s="205">
        <f>F11*K11</f>
        <v>0</v>
      </c>
      <c r="M11" s="290">
        <v>0</v>
      </c>
      <c r="N11" s="21">
        <v>0</v>
      </c>
      <c r="O11" s="290">
        <v>0</v>
      </c>
      <c r="P11" s="21">
        <v>0</v>
      </c>
      <c r="Q11" s="290">
        <v>0</v>
      </c>
      <c r="R11" s="205">
        <f t="shared" si="3"/>
        <v>0</v>
      </c>
      <c r="S11" s="39">
        <f t="shared" si="7"/>
        <v>38</v>
      </c>
      <c r="T11" s="38">
        <f t="shared" si="4"/>
        <v>10.214399999999999</v>
      </c>
      <c r="U11" s="290">
        <v>0</v>
      </c>
      <c r="V11" s="13">
        <f t="shared" si="8"/>
        <v>0</v>
      </c>
      <c r="W11" s="294">
        <f t="shared" si="9"/>
        <v>38</v>
      </c>
      <c r="X11" s="295">
        <f t="shared" si="10"/>
        <v>10.214399999999999</v>
      </c>
      <c r="Y11" s="238">
        <v>30</v>
      </c>
      <c r="Z11" s="101">
        <v>75</v>
      </c>
    </row>
    <row r="12" spans="1:26" x14ac:dyDescent="0.25">
      <c r="A12" s="264">
        <v>8</v>
      </c>
      <c r="B12" s="256" t="s">
        <v>217</v>
      </c>
      <c r="C12" s="34">
        <v>75</v>
      </c>
      <c r="D12" s="35">
        <v>54</v>
      </c>
      <c r="E12" s="35">
        <v>5</v>
      </c>
      <c r="F12" s="19">
        <f t="shared" si="5"/>
        <v>2.0250000000000001E-2</v>
      </c>
      <c r="G12" s="286">
        <v>432</v>
      </c>
      <c r="H12" s="288">
        <f t="shared" si="6"/>
        <v>8.7480000000000011</v>
      </c>
      <c r="I12" s="290">
        <v>11</v>
      </c>
      <c r="J12" s="205">
        <f t="shared" si="0"/>
        <v>0.22275</v>
      </c>
      <c r="K12" s="290">
        <v>10</v>
      </c>
      <c r="L12" s="205">
        <f>F12*K12</f>
        <v>0.20250000000000001</v>
      </c>
      <c r="M12" s="290">
        <v>14</v>
      </c>
      <c r="N12" s="205">
        <f>F12*M12</f>
        <v>0.28350000000000003</v>
      </c>
      <c r="O12" s="290">
        <v>2</v>
      </c>
      <c r="P12" s="205">
        <f>F12*O12</f>
        <v>4.0500000000000001E-2</v>
      </c>
      <c r="Q12" s="290">
        <v>0</v>
      </c>
      <c r="R12" s="21">
        <v>0</v>
      </c>
      <c r="S12" s="39">
        <f t="shared" si="7"/>
        <v>395</v>
      </c>
      <c r="T12" s="38">
        <f t="shared" si="4"/>
        <v>7.9987500000000002</v>
      </c>
      <c r="U12" s="290">
        <v>312</v>
      </c>
      <c r="V12" s="13">
        <f t="shared" si="8"/>
        <v>6.3180000000000005</v>
      </c>
      <c r="W12" s="294">
        <f t="shared" si="9"/>
        <v>707</v>
      </c>
      <c r="X12" s="295">
        <f t="shared" si="10"/>
        <v>14.316750000000001</v>
      </c>
      <c r="Y12" s="238">
        <v>100</v>
      </c>
      <c r="Z12" s="101">
        <v>300</v>
      </c>
    </row>
    <row r="13" spans="1:26" x14ac:dyDescent="0.25">
      <c r="A13" s="264">
        <v>9</v>
      </c>
      <c r="B13" s="256" t="s">
        <v>142</v>
      </c>
      <c r="C13" s="34">
        <v>140</v>
      </c>
      <c r="D13" s="35">
        <v>240</v>
      </c>
      <c r="E13" s="35">
        <v>5</v>
      </c>
      <c r="F13" s="19">
        <f t="shared" si="5"/>
        <v>0.16800000000000001</v>
      </c>
      <c r="G13" s="286">
        <v>178</v>
      </c>
      <c r="H13" s="288">
        <f t="shared" si="6"/>
        <v>29.904000000000003</v>
      </c>
      <c r="I13" s="290">
        <v>4</v>
      </c>
      <c r="J13" s="205">
        <f t="shared" si="0"/>
        <v>0.67200000000000004</v>
      </c>
      <c r="K13" s="290">
        <v>2</v>
      </c>
      <c r="L13" s="205">
        <f>F13*K13</f>
        <v>0.33600000000000002</v>
      </c>
      <c r="M13" s="290">
        <v>11</v>
      </c>
      <c r="N13" s="205">
        <f>F13*M13</f>
        <v>1.8480000000000001</v>
      </c>
      <c r="O13" s="290">
        <v>4</v>
      </c>
      <c r="P13" s="205">
        <f>F13*O13</f>
        <v>0.67200000000000004</v>
      </c>
      <c r="Q13" s="290">
        <v>0</v>
      </c>
      <c r="R13" s="205">
        <f>F13*Q13</f>
        <v>0</v>
      </c>
      <c r="S13" s="39">
        <f t="shared" si="7"/>
        <v>157</v>
      </c>
      <c r="T13" s="38">
        <f t="shared" si="4"/>
        <v>26.376000000000001</v>
      </c>
      <c r="U13" s="290">
        <v>0</v>
      </c>
      <c r="V13" s="13">
        <f t="shared" si="8"/>
        <v>0</v>
      </c>
      <c r="W13" s="294">
        <f t="shared" si="9"/>
        <v>157</v>
      </c>
      <c r="X13" s="295">
        <f t="shared" si="10"/>
        <v>26.376000000000001</v>
      </c>
      <c r="Y13" s="238">
        <v>100</v>
      </c>
      <c r="Z13" s="101">
        <v>300</v>
      </c>
    </row>
    <row r="14" spans="1:26" x14ac:dyDescent="0.25">
      <c r="A14" s="264">
        <v>10</v>
      </c>
      <c r="B14" s="256" t="s">
        <v>215</v>
      </c>
      <c r="C14" s="34">
        <v>90</v>
      </c>
      <c r="D14" s="35">
        <v>85</v>
      </c>
      <c r="E14" s="35">
        <v>5</v>
      </c>
      <c r="F14" s="19">
        <f t="shared" si="5"/>
        <v>3.8249999999999999E-2</v>
      </c>
      <c r="G14" s="286">
        <v>880</v>
      </c>
      <c r="H14" s="288">
        <f t="shared" si="6"/>
        <v>33.659999999999997</v>
      </c>
      <c r="I14" s="290">
        <v>0</v>
      </c>
      <c r="J14" s="205">
        <f t="shared" si="0"/>
        <v>0</v>
      </c>
      <c r="K14" s="290">
        <v>0</v>
      </c>
      <c r="L14" s="205">
        <f t="shared" ref="L14:L20" si="12">F14*K14</f>
        <v>0</v>
      </c>
      <c r="M14" s="290">
        <v>0</v>
      </c>
      <c r="N14" s="205">
        <f>F14*M14</f>
        <v>0</v>
      </c>
      <c r="O14" s="290">
        <v>0</v>
      </c>
      <c r="P14" s="205">
        <f t="shared" si="0"/>
        <v>0</v>
      </c>
      <c r="Q14" s="290">
        <v>0</v>
      </c>
      <c r="R14" s="205">
        <f t="shared" si="0"/>
        <v>0</v>
      </c>
      <c r="S14" s="39">
        <f t="shared" si="7"/>
        <v>880</v>
      </c>
      <c r="T14" s="38">
        <f t="shared" si="4"/>
        <v>33.659999999999997</v>
      </c>
      <c r="U14" s="290">
        <v>0</v>
      </c>
      <c r="V14" s="13">
        <f t="shared" si="8"/>
        <v>0</v>
      </c>
      <c r="W14" s="294">
        <f t="shared" si="9"/>
        <v>880</v>
      </c>
      <c r="X14" s="295">
        <f t="shared" si="10"/>
        <v>33.659999999999997</v>
      </c>
      <c r="Y14" s="238">
        <v>100</v>
      </c>
      <c r="Z14" s="101">
        <v>300</v>
      </c>
    </row>
    <row r="15" spans="1:26" x14ac:dyDescent="0.25">
      <c r="A15" s="264">
        <v>11</v>
      </c>
      <c r="B15" s="256" t="s">
        <v>144</v>
      </c>
      <c r="C15" s="34">
        <v>140</v>
      </c>
      <c r="D15" s="35">
        <v>240</v>
      </c>
      <c r="E15" s="35">
        <v>5</v>
      </c>
      <c r="F15" s="19">
        <f t="shared" si="5"/>
        <v>0.16800000000000001</v>
      </c>
      <c r="G15" s="286">
        <v>318</v>
      </c>
      <c r="H15" s="288">
        <f t="shared" si="6"/>
        <v>53.424000000000007</v>
      </c>
      <c r="I15" s="290">
        <v>1</v>
      </c>
      <c r="J15" s="205">
        <f t="shared" si="0"/>
        <v>0.16800000000000001</v>
      </c>
      <c r="K15" s="290">
        <v>4</v>
      </c>
      <c r="L15" s="205">
        <f t="shared" si="12"/>
        <v>0.67200000000000004</v>
      </c>
      <c r="M15" s="290">
        <v>1</v>
      </c>
      <c r="N15" s="205">
        <f t="shared" ref="N15:N37" si="13">F15*M15</f>
        <v>0.16800000000000001</v>
      </c>
      <c r="O15" s="290">
        <v>4</v>
      </c>
      <c r="P15" s="205">
        <f t="shared" ref="P15:P36" si="14">F15*O15</f>
        <v>0.67200000000000004</v>
      </c>
      <c r="Q15" s="290">
        <v>0</v>
      </c>
      <c r="R15" s="205">
        <f t="shared" ref="R15:R20" si="15">F15*Q15</f>
        <v>0</v>
      </c>
      <c r="S15" s="39">
        <f t="shared" si="7"/>
        <v>308</v>
      </c>
      <c r="T15" s="38">
        <f t="shared" si="4"/>
        <v>51.744</v>
      </c>
      <c r="U15" s="290">
        <v>0</v>
      </c>
      <c r="V15" s="13">
        <f t="shared" si="8"/>
        <v>0</v>
      </c>
      <c r="W15" s="294">
        <f t="shared" si="9"/>
        <v>308</v>
      </c>
      <c r="X15" s="295">
        <f t="shared" si="10"/>
        <v>51.744</v>
      </c>
      <c r="Y15" s="238">
        <v>200</v>
      </c>
      <c r="Z15" s="101">
        <v>400</v>
      </c>
    </row>
    <row r="16" spans="1:26" x14ac:dyDescent="0.25">
      <c r="A16" s="264">
        <v>12</v>
      </c>
      <c r="B16" s="256" t="s">
        <v>145</v>
      </c>
      <c r="C16" s="34">
        <v>140</v>
      </c>
      <c r="D16" s="35">
        <v>240</v>
      </c>
      <c r="E16" s="35">
        <v>5</v>
      </c>
      <c r="F16" s="19">
        <f t="shared" si="5"/>
        <v>0.16800000000000001</v>
      </c>
      <c r="G16" s="286">
        <v>101</v>
      </c>
      <c r="H16" s="288">
        <f t="shared" si="6"/>
        <v>16.968</v>
      </c>
      <c r="I16" s="290">
        <v>4</v>
      </c>
      <c r="J16" s="205">
        <f t="shared" si="0"/>
        <v>0.67200000000000004</v>
      </c>
      <c r="K16" s="290">
        <v>15</v>
      </c>
      <c r="L16" s="205">
        <f t="shared" si="12"/>
        <v>2.52</v>
      </c>
      <c r="M16" s="290">
        <v>4</v>
      </c>
      <c r="N16" s="205">
        <f t="shared" si="13"/>
        <v>0.67200000000000004</v>
      </c>
      <c r="O16" s="290">
        <v>4</v>
      </c>
      <c r="P16" s="205">
        <f t="shared" si="14"/>
        <v>0.67200000000000004</v>
      </c>
      <c r="Q16" s="290">
        <v>0</v>
      </c>
      <c r="R16" s="205">
        <f t="shared" si="15"/>
        <v>0</v>
      </c>
      <c r="S16" s="39">
        <f t="shared" si="7"/>
        <v>74</v>
      </c>
      <c r="T16" s="38">
        <f t="shared" si="4"/>
        <v>12.432</v>
      </c>
      <c r="U16" s="290">
        <v>0</v>
      </c>
      <c r="V16" s="13">
        <f t="shared" si="8"/>
        <v>0</v>
      </c>
      <c r="W16" s="294">
        <f t="shared" si="9"/>
        <v>74</v>
      </c>
      <c r="X16" s="295">
        <f t="shared" si="10"/>
        <v>12.432</v>
      </c>
      <c r="Y16" s="238">
        <v>100</v>
      </c>
      <c r="Z16" s="101">
        <v>300</v>
      </c>
    </row>
    <row r="17" spans="1:26" x14ac:dyDescent="0.25">
      <c r="A17" s="264">
        <v>13</v>
      </c>
      <c r="B17" s="256" t="s">
        <v>146</v>
      </c>
      <c r="C17" s="34">
        <v>140</v>
      </c>
      <c r="D17" s="35">
        <v>240</v>
      </c>
      <c r="E17" s="35">
        <v>8</v>
      </c>
      <c r="F17" s="19">
        <f t="shared" si="5"/>
        <v>0.26879999999999998</v>
      </c>
      <c r="G17" s="286">
        <v>90</v>
      </c>
      <c r="H17" s="288">
        <f t="shared" si="6"/>
        <v>24.192</v>
      </c>
      <c r="I17" s="290">
        <v>0</v>
      </c>
      <c r="J17" s="205">
        <f t="shared" si="0"/>
        <v>0</v>
      </c>
      <c r="K17" s="290">
        <v>11</v>
      </c>
      <c r="L17" s="205">
        <f t="shared" si="12"/>
        <v>2.9567999999999999</v>
      </c>
      <c r="M17" s="290">
        <v>0</v>
      </c>
      <c r="N17" s="205">
        <f t="shared" si="13"/>
        <v>0</v>
      </c>
      <c r="O17" s="290">
        <v>0</v>
      </c>
      <c r="P17" s="205">
        <f t="shared" si="14"/>
        <v>0</v>
      </c>
      <c r="Q17" s="290">
        <v>0</v>
      </c>
      <c r="R17" s="205">
        <f t="shared" si="15"/>
        <v>0</v>
      </c>
      <c r="S17" s="39">
        <f t="shared" si="7"/>
        <v>79</v>
      </c>
      <c r="T17" s="38">
        <f t="shared" si="4"/>
        <v>21.235199999999999</v>
      </c>
      <c r="U17" s="290">
        <v>0</v>
      </c>
      <c r="V17" s="13">
        <f t="shared" si="8"/>
        <v>0</v>
      </c>
      <c r="W17" s="294">
        <f t="shared" si="9"/>
        <v>79</v>
      </c>
      <c r="X17" s="295">
        <f t="shared" si="10"/>
        <v>21.235199999999999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147</v>
      </c>
      <c r="C18" s="34">
        <v>77</v>
      </c>
      <c r="D18" s="35">
        <v>86</v>
      </c>
      <c r="E18" s="35">
        <v>8</v>
      </c>
      <c r="F18" s="19">
        <f t="shared" si="5"/>
        <v>5.2976000000000002E-2</v>
      </c>
      <c r="G18" s="286">
        <v>829</v>
      </c>
      <c r="H18" s="288">
        <f t="shared" si="6"/>
        <v>43.917104000000002</v>
      </c>
      <c r="I18" s="290">
        <v>10</v>
      </c>
      <c r="J18" s="205">
        <f t="shared" si="0"/>
        <v>0.52976000000000001</v>
      </c>
      <c r="K18" s="290">
        <v>2</v>
      </c>
      <c r="L18" s="205">
        <f t="shared" si="12"/>
        <v>0.105952</v>
      </c>
      <c r="M18" s="290">
        <v>10</v>
      </c>
      <c r="N18" s="205">
        <f t="shared" si="13"/>
        <v>0.52976000000000001</v>
      </c>
      <c r="O18" s="290">
        <v>12</v>
      </c>
      <c r="P18" s="205">
        <f t="shared" si="14"/>
        <v>0.63571200000000005</v>
      </c>
      <c r="Q18" s="290">
        <v>0</v>
      </c>
      <c r="R18" s="205">
        <f t="shared" si="15"/>
        <v>0</v>
      </c>
      <c r="S18" s="39">
        <f t="shared" si="7"/>
        <v>795</v>
      </c>
      <c r="T18" s="38">
        <f t="shared" si="4"/>
        <v>42.115920000000003</v>
      </c>
      <c r="U18" s="290">
        <v>0</v>
      </c>
      <c r="V18" s="13">
        <f t="shared" si="8"/>
        <v>0</v>
      </c>
      <c r="W18" s="294">
        <f t="shared" si="9"/>
        <v>795</v>
      </c>
      <c r="X18" s="295">
        <f t="shared" si="10"/>
        <v>42.115920000000003</v>
      </c>
      <c r="Y18" s="238">
        <v>100</v>
      </c>
      <c r="Z18" s="101">
        <v>300</v>
      </c>
    </row>
    <row r="19" spans="1:26" x14ac:dyDescent="0.25">
      <c r="A19" s="264">
        <v>15</v>
      </c>
      <c r="B19" s="256" t="s">
        <v>148</v>
      </c>
      <c r="C19" s="34">
        <v>77</v>
      </c>
      <c r="D19" s="35">
        <v>68</v>
      </c>
      <c r="E19" s="35">
        <v>8</v>
      </c>
      <c r="F19" s="19">
        <f t="shared" si="5"/>
        <v>4.1888000000000002E-2</v>
      </c>
      <c r="G19" s="286">
        <v>97</v>
      </c>
      <c r="H19" s="288">
        <f t="shared" si="6"/>
        <v>4.0631360000000001</v>
      </c>
      <c r="I19" s="290">
        <v>2</v>
      </c>
      <c r="J19" s="205">
        <f t="shared" si="0"/>
        <v>8.3776000000000003E-2</v>
      </c>
      <c r="K19" s="290">
        <v>0</v>
      </c>
      <c r="L19" s="205">
        <f t="shared" si="12"/>
        <v>0</v>
      </c>
      <c r="M19" s="290">
        <v>0</v>
      </c>
      <c r="N19" s="205">
        <f t="shared" si="13"/>
        <v>0</v>
      </c>
      <c r="O19" s="290">
        <v>12</v>
      </c>
      <c r="P19" s="205">
        <f t="shared" si="14"/>
        <v>0.50265599999999999</v>
      </c>
      <c r="Q19" s="290">
        <v>0</v>
      </c>
      <c r="R19" s="205">
        <f t="shared" si="15"/>
        <v>0</v>
      </c>
      <c r="S19" s="39">
        <f t="shared" si="7"/>
        <v>83</v>
      </c>
      <c r="T19" s="38">
        <f t="shared" si="4"/>
        <v>3.4767040000000002</v>
      </c>
      <c r="U19" s="290">
        <v>0</v>
      </c>
      <c r="V19" s="13">
        <f t="shared" si="8"/>
        <v>0</v>
      </c>
      <c r="W19" s="294">
        <f t="shared" si="9"/>
        <v>83</v>
      </c>
      <c r="X19" s="295">
        <f t="shared" si="10"/>
        <v>3.4767040000000002</v>
      </c>
      <c r="Y19" s="238">
        <v>100</v>
      </c>
      <c r="Z19" s="101">
        <v>300</v>
      </c>
    </row>
    <row r="20" spans="1:26" x14ac:dyDescent="0.25">
      <c r="A20" s="264">
        <v>16</v>
      </c>
      <c r="B20" s="256" t="s">
        <v>149</v>
      </c>
      <c r="C20" s="34">
        <v>76</v>
      </c>
      <c r="D20" s="35">
        <v>75</v>
      </c>
      <c r="E20" s="35">
        <v>8</v>
      </c>
      <c r="F20" s="19">
        <f t="shared" si="5"/>
        <v>4.5600000000000002E-2</v>
      </c>
      <c r="G20" s="286">
        <v>1244</v>
      </c>
      <c r="H20" s="288">
        <f t="shared" si="6"/>
        <v>56.726400000000005</v>
      </c>
      <c r="I20" s="290">
        <v>4</v>
      </c>
      <c r="J20" s="205">
        <f t="shared" si="0"/>
        <v>0.18240000000000001</v>
      </c>
      <c r="K20" s="290">
        <v>0</v>
      </c>
      <c r="L20" s="205">
        <f t="shared" si="12"/>
        <v>0</v>
      </c>
      <c r="M20" s="290">
        <v>0</v>
      </c>
      <c r="N20" s="205">
        <f t="shared" si="13"/>
        <v>0</v>
      </c>
      <c r="O20" s="290">
        <v>24</v>
      </c>
      <c r="P20" s="205">
        <f t="shared" si="14"/>
        <v>1.0944</v>
      </c>
      <c r="Q20" s="290">
        <v>0</v>
      </c>
      <c r="R20" s="205">
        <f t="shared" si="15"/>
        <v>0</v>
      </c>
      <c r="S20" s="39">
        <f t="shared" si="7"/>
        <v>1216</v>
      </c>
      <c r="T20" s="38">
        <f t="shared" si="4"/>
        <v>55.449600000000004</v>
      </c>
      <c r="U20" s="290">
        <v>0</v>
      </c>
      <c r="V20" s="13">
        <f t="shared" si="8"/>
        <v>0</v>
      </c>
      <c r="W20" s="294">
        <f t="shared" si="9"/>
        <v>1216</v>
      </c>
      <c r="X20" s="295">
        <f t="shared" si="10"/>
        <v>55.449600000000004</v>
      </c>
      <c r="Y20" s="238">
        <v>100</v>
      </c>
      <c r="Z20" s="101">
        <v>300</v>
      </c>
    </row>
    <row r="21" spans="1:26" x14ac:dyDescent="0.25">
      <c r="A21" s="264">
        <v>17</v>
      </c>
      <c r="B21" s="256" t="s">
        <v>150</v>
      </c>
      <c r="C21" s="34">
        <v>60</v>
      </c>
      <c r="D21" s="35">
        <v>63</v>
      </c>
      <c r="E21" s="35">
        <v>10</v>
      </c>
      <c r="F21" s="19">
        <f t="shared" si="5"/>
        <v>3.78E-2</v>
      </c>
      <c r="G21" s="286">
        <v>426</v>
      </c>
      <c r="H21" s="288">
        <f t="shared" si="6"/>
        <v>16.102799999999998</v>
      </c>
      <c r="I21" s="290">
        <v>0</v>
      </c>
      <c r="J21" s="205">
        <f t="shared" si="0"/>
        <v>0</v>
      </c>
      <c r="K21" s="290">
        <v>9</v>
      </c>
      <c r="L21" s="205">
        <f t="shared" si="0"/>
        <v>144.92519999999999</v>
      </c>
      <c r="M21" s="290">
        <v>0</v>
      </c>
      <c r="N21" s="21">
        <v>0</v>
      </c>
      <c r="O21" s="290">
        <v>0</v>
      </c>
      <c r="P21" s="205">
        <f t="shared" si="14"/>
        <v>0</v>
      </c>
      <c r="Q21" s="290">
        <v>0</v>
      </c>
      <c r="R21" s="21">
        <v>0</v>
      </c>
      <c r="S21" s="39">
        <f t="shared" si="7"/>
        <v>417</v>
      </c>
      <c r="T21" s="38">
        <f t="shared" si="4"/>
        <v>15.762600000000001</v>
      </c>
      <c r="U21" s="290">
        <v>0</v>
      </c>
      <c r="V21" s="13">
        <f t="shared" si="8"/>
        <v>0</v>
      </c>
      <c r="W21" s="294">
        <f t="shared" si="9"/>
        <v>417</v>
      </c>
      <c r="X21" s="295">
        <f t="shared" si="10"/>
        <v>15.762600000000001</v>
      </c>
      <c r="Y21" s="238">
        <v>50</v>
      </c>
      <c r="Z21" s="101">
        <v>200</v>
      </c>
    </row>
    <row r="22" spans="1:26" x14ac:dyDescent="0.25">
      <c r="A22" s="264">
        <v>18</v>
      </c>
      <c r="B22" s="256" t="s">
        <v>151</v>
      </c>
      <c r="C22" s="34">
        <v>63</v>
      </c>
      <c r="D22" s="35">
        <v>60</v>
      </c>
      <c r="E22" s="35">
        <v>3</v>
      </c>
      <c r="F22" s="19">
        <f t="shared" si="5"/>
        <v>1.1339999999999999E-2</v>
      </c>
      <c r="G22" s="286">
        <v>180</v>
      </c>
      <c r="H22" s="288">
        <f t="shared" si="6"/>
        <v>2.0411999999999999</v>
      </c>
      <c r="I22" s="290">
        <v>0</v>
      </c>
      <c r="J22" s="205">
        <f t="shared" si="0"/>
        <v>0</v>
      </c>
      <c r="K22" s="290">
        <v>9</v>
      </c>
      <c r="L22" s="205">
        <f>F22*K22</f>
        <v>0.10206</v>
      </c>
      <c r="M22" s="290">
        <v>0</v>
      </c>
      <c r="N22" s="205">
        <f t="shared" si="13"/>
        <v>0</v>
      </c>
      <c r="O22" s="290">
        <v>0</v>
      </c>
      <c r="P22" s="205">
        <f t="shared" si="14"/>
        <v>0</v>
      </c>
      <c r="Q22" s="290">
        <v>0</v>
      </c>
      <c r="R22" s="21">
        <v>0</v>
      </c>
      <c r="S22" s="39">
        <f t="shared" si="7"/>
        <v>171</v>
      </c>
      <c r="T22" s="38">
        <f t="shared" si="4"/>
        <v>1.9391399999999999</v>
      </c>
      <c r="U22" s="290">
        <v>0</v>
      </c>
      <c r="V22" s="13">
        <f t="shared" si="8"/>
        <v>0</v>
      </c>
      <c r="W22" s="294">
        <f t="shared" si="9"/>
        <v>171</v>
      </c>
      <c r="X22" s="295">
        <f t="shared" si="10"/>
        <v>1.9391399999999999</v>
      </c>
      <c r="Y22" s="238">
        <v>50</v>
      </c>
      <c r="Z22" s="101">
        <v>200</v>
      </c>
    </row>
    <row r="23" spans="1:26" x14ac:dyDescent="0.25">
      <c r="A23" s="264">
        <v>19</v>
      </c>
      <c r="B23" s="42" t="s">
        <v>152</v>
      </c>
      <c r="C23" s="34">
        <v>140</v>
      </c>
      <c r="D23" s="35">
        <v>240</v>
      </c>
      <c r="E23" s="35">
        <v>1.4</v>
      </c>
      <c r="F23" s="19">
        <f t="shared" si="5"/>
        <v>4.7039999999999998E-2</v>
      </c>
      <c r="G23" s="286">
        <v>517</v>
      </c>
      <c r="H23" s="288">
        <f t="shared" si="6"/>
        <v>24.319679999999998</v>
      </c>
      <c r="I23" s="290">
        <v>47</v>
      </c>
      <c r="J23" s="205">
        <f t="shared" si="0"/>
        <v>2.21088</v>
      </c>
      <c r="K23" s="290">
        <v>43</v>
      </c>
      <c r="L23" s="205">
        <f t="shared" ref="L23:L36" si="16">F23*K23</f>
        <v>2.0227200000000001</v>
      </c>
      <c r="M23" s="290">
        <v>6</v>
      </c>
      <c r="N23" s="205">
        <f t="shared" si="13"/>
        <v>0.28223999999999999</v>
      </c>
      <c r="O23" s="290">
        <v>72</v>
      </c>
      <c r="P23" s="205">
        <f t="shared" si="14"/>
        <v>3.3868799999999997</v>
      </c>
      <c r="Q23" s="290">
        <v>0</v>
      </c>
      <c r="R23" s="205">
        <f t="shared" ref="R23:R37" si="17">F23*Q23</f>
        <v>0</v>
      </c>
      <c r="S23" s="39">
        <f t="shared" si="7"/>
        <v>349</v>
      </c>
      <c r="T23" s="38">
        <f t="shared" si="4"/>
        <v>16.41696</v>
      </c>
      <c r="U23" s="290">
        <v>559</v>
      </c>
      <c r="V23" s="13">
        <f t="shared" si="8"/>
        <v>26.295359999999999</v>
      </c>
      <c r="W23" s="294">
        <f t="shared" si="9"/>
        <v>908</v>
      </c>
      <c r="X23" s="295">
        <f t="shared" si="10"/>
        <v>42.712319999999998</v>
      </c>
      <c r="Y23" s="238">
        <v>200</v>
      </c>
      <c r="Z23" s="101">
        <v>500</v>
      </c>
    </row>
    <row r="24" spans="1:26" x14ac:dyDescent="0.25">
      <c r="A24" s="264">
        <v>20</v>
      </c>
      <c r="B24" s="256" t="s">
        <v>3</v>
      </c>
      <c r="C24" s="34">
        <v>140</v>
      </c>
      <c r="D24" s="35">
        <v>240</v>
      </c>
      <c r="E24" s="35">
        <v>0.8</v>
      </c>
      <c r="F24" s="19">
        <f t="shared" si="5"/>
        <v>2.6880000000000001E-2</v>
      </c>
      <c r="G24" s="286">
        <v>186</v>
      </c>
      <c r="H24" s="288">
        <f t="shared" si="6"/>
        <v>4.9996800000000006</v>
      </c>
      <c r="I24" s="290">
        <v>6</v>
      </c>
      <c r="J24" s="205">
        <f t="shared" si="0"/>
        <v>0.16128000000000001</v>
      </c>
      <c r="K24" s="290">
        <v>29</v>
      </c>
      <c r="L24" s="205">
        <f t="shared" si="16"/>
        <v>0.77951999999999999</v>
      </c>
      <c r="M24" s="290">
        <v>40</v>
      </c>
      <c r="N24" s="205">
        <f t="shared" si="13"/>
        <v>1.0752000000000002</v>
      </c>
      <c r="O24" s="290">
        <v>29</v>
      </c>
      <c r="P24" s="205">
        <f t="shared" si="14"/>
        <v>0.77951999999999999</v>
      </c>
      <c r="Q24" s="290">
        <v>0</v>
      </c>
      <c r="R24" s="205">
        <f t="shared" si="17"/>
        <v>0</v>
      </c>
      <c r="S24" s="39">
        <f t="shared" si="7"/>
        <v>82</v>
      </c>
      <c r="T24" s="38">
        <f t="shared" si="4"/>
        <v>2.2041599999999999</v>
      </c>
      <c r="U24" s="290">
        <v>0</v>
      </c>
      <c r="V24" s="13">
        <f t="shared" si="8"/>
        <v>0</v>
      </c>
      <c r="W24" s="294">
        <f t="shared" si="9"/>
        <v>82</v>
      </c>
      <c r="X24" s="295">
        <f t="shared" si="10"/>
        <v>2.2041599999999999</v>
      </c>
      <c r="Y24" s="238">
        <v>100</v>
      </c>
      <c r="Z24" s="101">
        <v>300</v>
      </c>
    </row>
    <row r="25" spans="1:26" x14ac:dyDescent="0.25">
      <c r="A25" s="264">
        <v>21</v>
      </c>
      <c r="B25" s="256" t="s">
        <v>153</v>
      </c>
      <c r="C25" s="34">
        <v>58</v>
      </c>
      <c r="D25" s="35">
        <v>58</v>
      </c>
      <c r="E25" s="35">
        <v>2.2999999999999998</v>
      </c>
      <c r="F25" s="19">
        <f t="shared" si="5"/>
        <v>7.7371999999999996E-3</v>
      </c>
      <c r="G25" s="286">
        <v>230</v>
      </c>
      <c r="H25" s="288">
        <f t="shared" si="6"/>
        <v>1.7795559999999999</v>
      </c>
      <c r="I25" s="290">
        <v>138</v>
      </c>
      <c r="J25" s="205">
        <f t="shared" si="0"/>
        <v>1.0677335999999999</v>
      </c>
      <c r="K25" s="290">
        <v>200</v>
      </c>
      <c r="L25" s="205">
        <f t="shared" si="16"/>
        <v>1.5474399999999999</v>
      </c>
      <c r="M25" s="290">
        <v>0</v>
      </c>
      <c r="N25" s="205">
        <f t="shared" si="13"/>
        <v>0</v>
      </c>
      <c r="O25" s="290">
        <v>350</v>
      </c>
      <c r="P25" s="205">
        <f t="shared" si="14"/>
        <v>2.7080199999999999</v>
      </c>
      <c r="Q25" s="290">
        <v>0</v>
      </c>
      <c r="R25" s="205">
        <f t="shared" si="17"/>
        <v>0</v>
      </c>
      <c r="S25" s="39">
        <f t="shared" si="7"/>
        <v>-458</v>
      </c>
      <c r="T25" s="38">
        <f t="shared" si="4"/>
        <v>-3.5436375999999998</v>
      </c>
      <c r="U25" s="290">
        <v>1181</v>
      </c>
      <c r="V25" s="13">
        <f t="shared" si="8"/>
        <v>9.1376331999999998</v>
      </c>
      <c r="W25" s="294">
        <f t="shared" si="9"/>
        <v>723</v>
      </c>
      <c r="X25" s="295">
        <f t="shared" si="10"/>
        <v>5.5939955999999995</v>
      </c>
      <c r="Y25" s="238">
        <v>200</v>
      </c>
      <c r="Z25" s="101">
        <v>750</v>
      </c>
    </row>
    <row r="26" spans="1:26" x14ac:dyDescent="0.25">
      <c r="A26" s="264">
        <v>22</v>
      </c>
      <c r="B26" s="256" t="s">
        <v>154</v>
      </c>
      <c r="C26" s="34">
        <v>140</v>
      </c>
      <c r="D26" s="35">
        <v>240</v>
      </c>
      <c r="E26" s="35">
        <v>7</v>
      </c>
      <c r="F26" s="19">
        <f t="shared" si="5"/>
        <v>0.23519999999999999</v>
      </c>
      <c r="G26" s="286">
        <v>77</v>
      </c>
      <c r="H26" s="288">
        <f t="shared" si="6"/>
        <v>18.110399999999998</v>
      </c>
      <c r="I26" s="290">
        <v>18</v>
      </c>
      <c r="J26" s="205">
        <f t="shared" si="0"/>
        <v>4.2336</v>
      </c>
      <c r="K26" s="290">
        <v>5</v>
      </c>
      <c r="L26" s="205">
        <f t="shared" si="16"/>
        <v>1.1759999999999999</v>
      </c>
      <c r="M26" s="290">
        <v>5</v>
      </c>
      <c r="N26" s="205">
        <f t="shared" si="13"/>
        <v>1.1759999999999999</v>
      </c>
      <c r="O26" s="290">
        <v>14</v>
      </c>
      <c r="P26" s="205">
        <f t="shared" si="14"/>
        <v>3.2927999999999997</v>
      </c>
      <c r="Q26" s="290">
        <v>0</v>
      </c>
      <c r="R26" s="205">
        <f t="shared" si="17"/>
        <v>0</v>
      </c>
      <c r="S26" s="39">
        <f t="shared" si="7"/>
        <v>35</v>
      </c>
      <c r="T26" s="38">
        <f t="shared" si="4"/>
        <v>8.2319999999999993</v>
      </c>
      <c r="U26" s="290">
        <v>0</v>
      </c>
      <c r="V26" s="13">
        <f t="shared" si="8"/>
        <v>0</v>
      </c>
      <c r="W26" s="294">
        <f t="shared" si="9"/>
        <v>35</v>
      </c>
      <c r="X26" s="295">
        <f t="shared" si="10"/>
        <v>8.2319999999999993</v>
      </c>
      <c r="Y26" s="238">
        <v>50</v>
      </c>
      <c r="Z26" s="101">
        <v>200</v>
      </c>
    </row>
    <row r="27" spans="1:26" ht="15.75" x14ac:dyDescent="0.25">
      <c r="A27" s="264">
        <v>23</v>
      </c>
      <c r="B27" s="256" t="s">
        <v>55</v>
      </c>
      <c r="C27" s="111">
        <v>50</v>
      </c>
      <c r="D27" s="112">
        <v>45</v>
      </c>
      <c r="E27" s="112">
        <v>4</v>
      </c>
      <c r="F27" s="19">
        <f t="shared" si="5"/>
        <v>8.9999999999999993E-3</v>
      </c>
      <c r="G27" s="286">
        <v>1550</v>
      </c>
      <c r="H27" s="288">
        <f t="shared" si="6"/>
        <v>13.95</v>
      </c>
      <c r="I27" s="290">
        <v>0</v>
      </c>
      <c r="J27" s="205">
        <f t="shared" si="0"/>
        <v>0</v>
      </c>
      <c r="K27" s="290">
        <v>0</v>
      </c>
      <c r="L27" s="205">
        <f t="shared" si="16"/>
        <v>0</v>
      </c>
      <c r="M27" s="290">
        <v>0</v>
      </c>
      <c r="N27" s="205">
        <f t="shared" si="13"/>
        <v>0</v>
      </c>
      <c r="O27" s="290">
        <v>0</v>
      </c>
      <c r="P27" s="205">
        <f t="shared" si="14"/>
        <v>0</v>
      </c>
      <c r="Q27" s="290">
        <v>0</v>
      </c>
      <c r="R27" s="205">
        <f t="shared" si="17"/>
        <v>0</v>
      </c>
      <c r="S27" s="39">
        <f t="shared" si="7"/>
        <v>1550</v>
      </c>
      <c r="T27" s="38">
        <f t="shared" si="4"/>
        <v>13.95</v>
      </c>
      <c r="U27" s="290">
        <v>0</v>
      </c>
      <c r="V27" s="13">
        <f t="shared" si="8"/>
        <v>0</v>
      </c>
      <c r="W27" s="294">
        <f t="shared" si="9"/>
        <v>1550</v>
      </c>
      <c r="X27" s="295">
        <f t="shared" si="10"/>
        <v>13.95</v>
      </c>
      <c r="Y27" s="238">
        <v>300</v>
      </c>
      <c r="Z27" s="101">
        <v>1000</v>
      </c>
    </row>
    <row r="28" spans="1:26" ht="15.75" x14ac:dyDescent="0.25">
      <c r="A28" s="264">
        <v>24</v>
      </c>
      <c r="B28" s="256" t="s">
        <v>56</v>
      </c>
      <c r="C28" s="111">
        <v>50</v>
      </c>
      <c r="D28" s="112">
        <v>35</v>
      </c>
      <c r="E28" s="112">
        <v>4</v>
      </c>
      <c r="F28" s="19">
        <f t="shared" si="5"/>
        <v>7.0000000000000001E-3</v>
      </c>
      <c r="G28" s="286">
        <v>0</v>
      </c>
      <c r="H28" s="288">
        <f t="shared" si="6"/>
        <v>0</v>
      </c>
      <c r="I28" s="290">
        <v>0</v>
      </c>
      <c r="J28" s="205">
        <f t="shared" si="0"/>
        <v>0</v>
      </c>
      <c r="K28" s="290">
        <v>0</v>
      </c>
      <c r="L28" s="205">
        <f t="shared" si="16"/>
        <v>0</v>
      </c>
      <c r="M28" s="290">
        <v>0</v>
      </c>
      <c r="N28" s="205">
        <f t="shared" si="13"/>
        <v>0</v>
      </c>
      <c r="O28" s="290">
        <v>0</v>
      </c>
      <c r="P28" s="205">
        <f t="shared" si="14"/>
        <v>0</v>
      </c>
      <c r="Q28" s="290">
        <v>0</v>
      </c>
      <c r="R28" s="205">
        <f t="shared" si="17"/>
        <v>0</v>
      </c>
      <c r="S28" s="39">
        <f t="shared" si="7"/>
        <v>0</v>
      </c>
      <c r="T28" s="38">
        <f t="shared" si="4"/>
        <v>0</v>
      </c>
      <c r="U28" s="290">
        <v>0</v>
      </c>
      <c r="V28" s="13">
        <f t="shared" si="8"/>
        <v>0</v>
      </c>
      <c r="W28" s="294">
        <f t="shared" si="9"/>
        <v>0</v>
      </c>
      <c r="X28" s="295">
        <f t="shared" si="10"/>
        <v>0</v>
      </c>
      <c r="Y28" s="238">
        <v>300</v>
      </c>
      <c r="Z28" s="101">
        <v>1000</v>
      </c>
    </row>
    <row r="29" spans="1:26" ht="15.75" x14ac:dyDescent="0.25">
      <c r="A29" s="264">
        <v>25</v>
      </c>
      <c r="B29" s="256" t="s">
        <v>57</v>
      </c>
      <c r="C29" s="111">
        <v>45</v>
      </c>
      <c r="D29" s="112">
        <v>44</v>
      </c>
      <c r="E29" s="112">
        <v>3</v>
      </c>
      <c r="F29" s="19">
        <f t="shared" si="5"/>
        <v>5.94E-3</v>
      </c>
      <c r="G29" s="286">
        <v>155</v>
      </c>
      <c r="H29" s="288">
        <f t="shared" si="6"/>
        <v>0.92069999999999996</v>
      </c>
      <c r="I29" s="290">
        <v>0</v>
      </c>
      <c r="J29" s="205">
        <f t="shared" si="0"/>
        <v>0</v>
      </c>
      <c r="K29" s="290">
        <v>0</v>
      </c>
      <c r="L29" s="205">
        <f t="shared" si="16"/>
        <v>0</v>
      </c>
      <c r="M29" s="290">
        <v>25</v>
      </c>
      <c r="N29" s="205">
        <f t="shared" si="13"/>
        <v>0.14849999999999999</v>
      </c>
      <c r="O29" s="290">
        <v>0</v>
      </c>
      <c r="P29" s="205">
        <f t="shared" si="14"/>
        <v>0</v>
      </c>
      <c r="Q29" s="290">
        <v>0</v>
      </c>
      <c r="R29" s="205">
        <f t="shared" si="17"/>
        <v>0</v>
      </c>
      <c r="S29" s="39">
        <f t="shared" si="7"/>
        <v>130</v>
      </c>
      <c r="T29" s="38">
        <f t="shared" si="4"/>
        <v>0.7722</v>
      </c>
      <c r="U29" s="290">
        <v>0</v>
      </c>
      <c r="V29" s="13">
        <f t="shared" si="8"/>
        <v>0</v>
      </c>
      <c r="W29" s="294">
        <f t="shared" si="9"/>
        <v>130</v>
      </c>
      <c r="X29" s="295">
        <f t="shared" si="10"/>
        <v>0.7722</v>
      </c>
      <c r="Y29" s="238">
        <v>500</v>
      </c>
      <c r="Z29" s="101">
        <v>1500</v>
      </c>
    </row>
    <row r="30" spans="1:26" ht="15.75" x14ac:dyDescent="0.25">
      <c r="A30" s="264">
        <v>26</v>
      </c>
      <c r="B30" s="256" t="s">
        <v>58</v>
      </c>
      <c r="C30" s="111">
        <v>45</v>
      </c>
      <c r="D30" s="112">
        <v>35.5</v>
      </c>
      <c r="E30" s="112">
        <v>3</v>
      </c>
      <c r="F30" s="19">
        <f t="shared" si="5"/>
        <v>4.7924999999999999E-3</v>
      </c>
      <c r="G30" s="286">
        <v>18</v>
      </c>
      <c r="H30" s="288">
        <f t="shared" si="6"/>
        <v>8.6264999999999994E-2</v>
      </c>
      <c r="I30" s="290">
        <v>0</v>
      </c>
      <c r="J30" s="205">
        <f t="shared" si="0"/>
        <v>0</v>
      </c>
      <c r="K30" s="290">
        <v>0</v>
      </c>
      <c r="L30" s="205">
        <f t="shared" si="16"/>
        <v>0</v>
      </c>
      <c r="M30" s="290">
        <v>0</v>
      </c>
      <c r="N30" s="205">
        <f t="shared" si="13"/>
        <v>0</v>
      </c>
      <c r="O30" s="290">
        <v>0</v>
      </c>
      <c r="P30" s="205">
        <f t="shared" si="14"/>
        <v>0</v>
      </c>
      <c r="Q30" s="290">
        <v>0</v>
      </c>
      <c r="R30" s="205">
        <f t="shared" si="17"/>
        <v>0</v>
      </c>
      <c r="S30" s="39">
        <f t="shared" si="7"/>
        <v>18</v>
      </c>
      <c r="T30" s="38">
        <f t="shared" si="4"/>
        <v>8.6264999999999994E-2</v>
      </c>
      <c r="U30" s="290">
        <v>0</v>
      </c>
      <c r="V30" s="13">
        <f t="shared" si="8"/>
        <v>0</v>
      </c>
      <c r="W30" s="294">
        <f t="shared" si="9"/>
        <v>18</v>
      </c>
      <c r="X30" s="295">
        <f t="shared" si="10"/>
        <v>8.6264999999999994E-2</v>
      </c>
      <c r="Y30" s="238">
        <v>500</v>
      </c>
      <c r="Z30" s="101">
        <v>1500</v>
      </c>
    </row>
    <row r="31" spans="1:26" x14ac:dyDescent="0.25">
      <c r="A31" s="264">
        <v>27</v>
      </c>
      <c r="B31" s="256" t="s">
        <v>155</v>
      </c>
      <c r="C31" s="34">
        <v>140</v>
      </c>
      <c r="D31" s="35">
        <v>9.5</v>
      </c>
      <c r="E31" s="35">
        <v>6.5</v>
      </c>
      <c r="F31" s="19">
        <f t="shared" si="5"/>
        <v>8.6449999999999999E-3</v>
      </c>
      <c r="G31" s="286">
        <v>960</v>
      </c>
      <c r="H31" s="288">
        <f t="shared" si="6"/>
        <v>8.299199999999999</v>
      </c>
      <c r="I31" s="290">
        <v>400</v>
      </c>
      <c r="J31" s="205">
        <f t="shared" si="0"/>
        <v>3.4580000000000002</v>
      </c>
      <c r="K31" s="290">
        <v>120</v>
      </c>
      <c r="L31" s="205">
        <f t="shared" si="16"/>
        <v>1.0373999999999999</v>
      </c>
      <c r="M31" s="290">
        <v>0</v>
      </c>
      <c r="N31" s="205">
        <f t="shared" si="13"/>
        <v>0</v>
      </c>
      <c r="O31" s="290">
        <v>90</v>
      </c>
      <c r="P31" s="205">
        <f t="shared" si="14"/>
        <v>0.77805000000000002</v>
      </c>
      <c r="Q31" s="290">
        <v>0</v>
      </c>
      <c r="R31" s="205">
        <f t="shared" si="17"/>
        <v>0</v>
      </c>
      <c r="S31" s="39">
        <f t="shared" si="7"/>
        <v>350</v>
      </c>
      <c r="T31" s="38">
        <f t="shared" si="4"/>
        <v>3.0257499999999999</v>
      </c>
      <c r="U31" s="290">
        <v>731</v>
      </c>
      <c r="V31" s="13">
        <f t="shared" si="8"/>
        <v>6.3194949999999999</v>
      </c>
      <c r="W31" s="294">
        <f t="shared" si="9"/>
        <v>1081</v>
      </c>
      <c r="X31" s="295">
        <f t="shared" si="10"/>
        <v>9.3452450000000002</v>
      </c>
      <c r="Y31" s="238">
        <v>500</v>
      </c>
      <c r="Z31" s="101">
        <v>1500</v>
      </c>
    </row>
    <row r="32" spans="1:26" x14ac:dyDescent="0.25">
      <c r="A32" s="264">
        <v>28</v>
      </c>
      <c r="B32" s="256" t="s">
        <v>156</v>
      </c>
      <c r="C32" s="34">
        <v>140</v>
      </c>
      <c r="D32" s="35">
        <v>240</v>
      </c>
      <c r="E32" s="35">
        <v>1</v>
      </c>
      <c r="F32" s="19">
        <f t="shared" si="5"/>
        <v>3.3599999999999998E-2</v>
      </c>
      <c r="G32" s="286">
        <v>571</v>
      </c>
      <c r="H32" s="288">
        <f t="shared" si="6"/>
        <v>19.185599999999997</v>
      </c>
      <c r="I32" s="290">
        <v>96</v>
      </c>
      <c r="J32" s="205">
        <f t="shared" si="0"/>
        <v>3.2256</v>
      </c>
      <c r="K32" s="290">
        <v>256</v>
      </c>
      <c r="L32" s="205">
        <f t="shared" si="16"/>
        <v>8.6015999999999995</v>
      </c>
      <c r="M32" s="290">
        <v>128</v>
      </c>
      <c r="N32" s="205">
        <f t="shared" si="13"/>
        <v>4.3007999999999997</v>
      </c>
      <c r="O32" s="290">
        <v>128</v>
      </c>
      <c r="P32" s="205">
        <f t="shared" si="14"/>
        <v>4.3007999999999997</v>
      </c>
      <c r="Q32" s="290">
        <v>0</v>
      </c>
      <c r="R32" s="205">
        <f>F32*Q32</f>
        <v>0</v>
      </c>
      <c r="S32" s="39">
        <f t="shared" si="7"/>
        <v>-37</v>
      </c>
      <c r="T32" s="38">
        <f t="shared" si="4"/>
        <v>-1.2431999999999999</v>
      </c>
      <c r="U32" s="290">
        <v>832</v>
      </c>
      <c r="V32" s="13">
        <f t="shared" si="8"/>
        <v>27.955199999999998</v>
      </c>
      <c r="W32" s="294">
        <f t="shared" si="9"/>
        <v>795</v>
      </c>
      <c r="X32" s="295">
        <f t="shared" si="10"/>
        <v>26.712</v>
      </c>
      <c r="Y32" s="238">
        <v>500</v>
      </c>
      <c r="Z32" s="101">
        <v>1500</v>
      </c>
    </row>
    <row r="33" spans="1:26" x14ac:dyDescent="0.25">
      <c r="A33" s="264">
        <v>29</v>
      </c>
      <c r="B33" s="256" t="s">
        <v>157</v>
      </c>
      <c r="C33" s="34">
        <v>140</v>
      </c>
      <c r="D33" s="35">
        <v>240</v>
      </c>
      <c r="E33" s="35">
        <v>2</v>
      </c>
      <c r="F33" s="19">
        <f t="shared" si="5"/>
        <v>6.7199999999999996E-2</v>
      </c>
      <c r="G33" s="286">
        <v>235</v>
      </c>
      <c r="H33" s="288">
        <f t="shared" si="6"/>
        <v>15.792</v>
      </c>
      <c r="I33" s="290">
        <v>17</v>
      </c>
      <c r="J33" s="205">
        <f t="shared" si="0"/>
        <v>1.1423999999999999</v>
      </c>
      <c r="K33" s="290">
        <v>18</v>
      </c>
      <c r="L33" s="205">
        <f t="shared" si="16"/>
        <v>1.2096</v>
      </c>
      <c r="M33" s="290">
        <v>68</v>
      </c>
      <c r="N33" s="205">
        <f t="shared" si="13"/>
        <v>4.5695999999999994</v>
      </c>
      <c r="O33" s="290">
        <v>32</v>
      </c>
      <c r="P33" s="205">
        <f t="shared" si="14"/>
        <v>2.1503999999999999</v>
      </c>
      <c r="Q33" s="290">
        <v>0</v>
      </c>
      <c r="R33" s="205">
        <f>F33*Q33</f>
        <v>0</v>
      </c>
      <c r="S33" s="39">
        <f t="shared" si="7"/>
        <v>100</v>
      </c>
      <c r="T33" s="38">
        <f t="shared" si="4"/>
        <v>6.72</v>
      </c>
      <c r="U33" s="290">
        <v>0</v>
      </c>
      <c r="V33" s="13">
        <f t="shared" si="8"/>
        <v>0</v>
      </c>
      <c r="W33" s="294">
        <f t="shared" si="9"/>
        <v>100</v>
      </c>
      <c r="X33" s="295">
        <f t="shared" si="10"/>
        <v>6.72</v>
      </c>
      <c r="Y33" s="238">
        <v>75</v>
      </c>
      <c r="Z33" s="101">
        <v>150</v>
      </c>
    </row>
    <row r="34" spans="1:26" x14ac:dyDescent="0.25">
      <c r="A34" s="264">
        <v>30</v>
      </c>
      <c r="B34" s="256" t="s">
        <v>158</v>
      </c>
      <c r="C34" s="34">
        <v>140</v>
      </c>
      <c r="D34" s="35">
        <v>240</v>
      </c>
      <c r="E34" s="35">
        <v>3</v>
      </c>
      <c r="F34" s="19">
        <f t="shared" si="5"/>
        <v>0.1008</v>
      </c>
      <c r="G34" s="286">
        <v>65</v>
      </c>
      <c r="H34" s="288">
        <f t="shared" si="6"/>
        <v>6.5519999999999996</v>
      </c>
      <c r="I34" s="290">
        <v>13</v>
      </c>
      <c r="J34" s="205">
        <f>F34*I34</f>
        <v>1.3104</v>
      </c>
      <c r="K34" s="290">
        <v>15</v>
      </c>
      <c r="L34" s="205">
        <f t="shared" si="16"/>
        <v>1.512</v>
      </c>
      <c r="M34" s="290">
        <v>14</v>
      </c>
      <c r="N34" s="205">
        <f t="shared" si="13"/>
        <v>1.4112</v>
      </c>
      <c r="O34" s="290">
        <v>25</v>
      </c>
      <c r="P34" s="205">
        <f t="shared" si="14"/>
        <v>2.52</v>
      </c>
      <c r="Q34" s="290">
        <v>0</v>
      </c>
      <c r="R34" s="205">
        <f t="shared" si="17"/>
        <v>0</v>
      </c>
      <c r="S34" s="39">
        <f t="shared" si="7"/>
        <v>-2</v>
      </c>
      <c r="T34" s="38">
        <f t="shared" si="4"/>
        <v>-0.2016</v>
      </c>
      <c r="U34" s="290">
        <v>199</v>
      </c>
      <c r="V34" s="13">
        <f t="shared" si="8"/>
        <v>20.059200000000001</v>
      </c>
      <c r="W34" s="294">
        <f t="shared" si="9"/>
        <v>197</v>
      </c>
      <c r="X34" s="295">
        <f t="shared" si="10"/>
        <v>19.857600000000001</v>
      </c>
      <c r="Y34" s="238">
        <v>75</v>
      </c>
      <c r="Z34" s="101">
        <v>150</v>
      </c>
    </row>
    <row r="35" spans="1:26" x14ac:dyDescent="0.25">
      <c r="A35" s="264">
        <v>31</v>
      </c>
      <c r="B35" s="256" t="s">
        <v>159</v>
      </c>
      <c r="C35" s="34">
        <v>140</v>
      </c>
      <c r="D35" s="35">
        <v>240</v>
      </c>
      <c r="E35" s="35">
        <v>4</v>
      </c>
      <c r="F35" s="19">
        <f t="shared" si="5"/>
        <v>0.13439999999999999</v>
      </c>
      <c r="G35" s="286">
        <v>93</v>
      </c>
      <c r="H35" s="288">
        <f t="shared" si="6"/>
        <v>12.4992</v>
      </c>
      <c r="I35" s="290">
        <v>2</v>
      </c>
      <c r="J35" s="205">
        <f t="shared" si="0"/>
        <v>0.26879999999999998</v>
      </c>
      <c r="K35" s="290">
        <v>9</v>
      </c>
      <c r="L35" s="205">
        <f t="shared" si="16"/>
        <v>1.2096</v>
      </c>
      <c r="M35" s="290">
        <v>3</v>
      </c>
      <c r="N35" s="205">
        <f t="shared" si="13"/>
        <v>0.4032</v>
      </c>
      <c r="O35" s="290">
        <v>3</v>
      </c>
      <c r="P35" s="205">
        <f t="shared" si="14"/>
        <v>0.4032</v>
      </c>
      <c r="Q35" s="290">
        <v>0</v>
      </c>
      <c r="R35" s="205">
        <f t="shared" si="17"/>
        <v>0</v>
      </c>
      <c r="S35" s="39">
        <f t="shared" si="7"/>
        <v>76</v>
      </c>
      <c r="T35" s="38">
        <f t="shared" si="4"/>
        <v>10.214399999999999</v>
      </c>
      <c r="U35" s="290">
        <v>0</v>
      </c>
      <c r="V35" s="13">
        <f t="shared" si="8"/>
        <v>0</v>
      </c>
      <c r="W35" s="294">
        <f t="shared" si="9"/>
        <v>76</v>
      </c>
      <c r="X35" s="295">
        <f t="shared" si="10"/>
        <v>10.214399999999999</v>
      </c>
      <c r="Y35" s="238">
        <v>50</v>
      </c>
      <c r="Z35" s="101">
        <v>100</v>
      </c>
    </row>
    <row r="36" spans="1:26" x14ac:dyDescent="0.25">
      <c r="A36" s="264">
        <v>32</v>
      </c>
      <c r="B36" s="256" t="s">
        <v>160</v>
      </c>
      <c r="C36" s="34">
        <v>140</v>
      </c>
      <c r="D36" s="35">
        <v>240</v>
      </c>
      <c r="E36" s="35">
        <v>2</v>
      </c>
      <c r="F36" s="19">
        <f t="shared" si="5"/>
        <v>6.7199999999999996E-2</v>
      </c>
      <c r="G36" s="286">
        <v>400</v>
      </c>
      <c r="H36" s="288">
        <f t="shared" si="6"/>
        <v>26.88</v>
      </c>
      <c r="I36" s="290">
        <v>35</v>
      </c>
      <c r="J36" s="205">
        <f>F36*I36</f>
        <v>2.3519999999999999</v>
      </c>
      <c r="K36" s="290">
        <v>96</v>
      </c>
      <c r="L36" s="205">
        <f t="shared" si="16"/>
        <v>6.4512</v>
      </c>
      <c r="M36" s="290">
        <v>31</v>
      </c>
      <c r="N36" s="205">
        <f t="shared" si="13"/>
        <v>2.0831999999999997</v>
      </c>
      <c r="O36" s="290">
        <v>31</v>
      </c>
      <c r="P36" s="205">
        <f t="shared" si="14"/>
        <v>2.0831999999999997</v>
      </c>
      <c r="Q36" s="290">
        <v>0</v>
      </c>
      <c r="R36" s="205">
        <f t="shared" si="17"/>
        <v>0</v>
      </c>
      <c r="S36" s="39">
        <f t="shared" si="7"/>
        <v>207</v>
      </c>
      <c r="T36" s="38">
        <f t="shared" si="4"/>
        <v>13.910399999999999</v>
      </c>
      <c r="U36" s="290">
        <v>14</v>
      </c>
      <c r="V36" s="13">
        <f t="shared" si="8"/>
        <v>0.94079999999999997</v>
      </c>
      <c r="W36" s="294">
        <f t="shared" si="9"/>
        <v>221</v>
      </c>
      <c r="X36" s="295">
        <f t="shared" si="10"/>
        <v>14.851199999999999</v>
      </c>
      <c r="Y36" s="238">
        <v>200</v>
      </c>
      <c r="Z36" s="101">
        <v>300</v>
      </c>
    </row>
    <row r="37" spans="1:26" x14ac:dyDescent="0.25">
      <c r="A37" s="264">
        <v>33</v>
      </c>
      <c r="B37" s="256" t="s">
        <v>222</v>
      </c>
      <c r="C37" s="34">
        <v>140</v>
      </c>
      <c r="D37" s="35">
        <v>240</v>
      </c>
      <c r="E37" s="35">
        <v>6</v>
      </c>
      <c r="F37" s="19">
        <f t="shared" si="5"/>
        <v>0.2016</v>
      </c>
      <c r="G37" s="286">
        <v>26</v>
      </c>
      <c r="H37" s="288">
        <f t="shared" si="6"/>
        <v>5.2416</v>
      </c>
      <c r="I37" s="290">
        <v>0</v>
      </c>
      <c r="J37" s="205">
        <f t="shared" si="0"/>
        <v>0</v>
      </c>
      <c r="K37" s="290">
        <v>0</v>
      </c>
      <c r="L37" s="205">
        <f>F37*K37</f>
        <v>0</v>
      </c>
      <c r="M37" s="290">
        <v>0</v>
      </c>
      <c r="N37" s="205">
        <f t="shared" si="13"/>
        <v>0</v>
      </c>
      <c r="O37" s="290">
        <v>2</v>
      </c>
      <c r="P37" s="21">
        <v>0</v>
      </c>
      <c r="Q37" s="290">
        <v>0</v>
      </c>
      <c r="R37" s="205">
        <f t="shared" si="17"/>
        <v>0</v>
      </c>
      <c r="S37" s="39">
        <f t="shared" si="7"/>
        <v>24</v>
      </c>
      <c r="T37" s="38">
        <f t="shared" si="4"/>
        <v>4.8384</v>
      </c>
      <c r="U37" s="290">
        <v>0</v>
      </c>
      <c r="V37" s="13">
        <f t="shared" si="8"/>
        <v>0</v>
      </c>
      <c r="W37" s="294">
        <f t="shared" si="9"/>
        <v>24</v>
      </c>
      <c r="X37" s="295">
        <f t="shared" si="10"/>
        <v>4.8384</v>
      </c>
      <c r="Y37" s="238">
        <v>10</v>
      </c>
      <c r="Z37" s="101">
        <v>30</v>
      </c>
    </row>
    <row r="38" spans="1:26" x14ac:dyDescent="0.25">
      <c r="A38" s="264">
        <v>34</v>
      </c>
      <c r="B38" s="256" t="s">
        <v>181</v>
      </c>
      <c r="C38" s="34">
        <v>80</v>
      </c>
      <c r="D38" s="35">
        <v>75</v>
      </c>
      <c r="E38" s="35">
        <v>5</v>
      </c>
      <c r="F38" s="19">
        <f t="shared" si="5"/>
        <v>0.03</v>
      </c>
      <c r="G38" s="286">
        <v>175</v>
      </c>
      <c r="H38" s="288">
        <f t="shared" si="6"/>
        <v>5.25</v>
      </c>
      <c r="I38" s="290">
        <v>0</v>
      </c>
      <c r="J38" s="205">
        <f t="shared" si="0"/>
        <v>0</v>
      </c>
      <c r="K38" s="290">
        <v>0</v>
      </c>
      <c r="L38" s="205">
        <f t="shared" si="0"/>
        <v>0</v>
      </c>
      <c r="M38" s="290">
        <v>0</v>
      </c>
      <c r="N38" s="21">
        <v>0</v>
      </c>
      <c r="O38" s="290">
        <v>0</v>
      </c>
      <c r="P38" s="21">
        <v>0</v>
      </c>
      <c r="Q38" s="290">
        <v>0</v>
      </c>
      <c r="R38" s="21">
        <v>0</v>
      </c>
      <c r="S38" s="39">
        <f t="shared" si="7"/>
        <v>175</v>
      </c>
      <c r="T38" s="38">
        <f t="shared" si="4"/>
        <v>5.25</v>
      </c>
      <c r="U38" s="290">
        <v>0</v>
      </c>
      <c r="V38" s="13">
        <f t="shared" si="8"/>
        <v>0</v>
      </c>
      <c r="W38" s="294">
        <f t="shared" si="9"/>
        <v>175</v>
      </c>
      <c r="X38" s="295">
        <f t="shared" si="10"/>
        <v>5.25</v>
      </c>
      <c r="Y38" s="238">
        <v>50</v>
      </c>
      <c r="Z38" s="101">
        <v>100</v>
      </c>
    </row>
    <row r="39" spans="1:26" x14ac:dyDescent="0.25">
      <c r="A39" s="264">
        <v>35</v>
      </c>
      <c r="B39" s="256" t="s">
        <v>182</v>
      </c>
      <c r="C39" s="34">
        <v>100</v>
      </c>
      <c r="D39" s="35">
        <v>95</v>
      </c>
      <c r="E39" s="35">
        <v>5</v>
      </c>
      <c r="F39" s="19">
        <f t="shared" si="5"/>
        <v>4.7500000000000001E-2</v>
      </c>
      <c r="G39" s="286">
        <v>85</v>
      </c>
      <c r="H39" s="288">
        <f t="shared" si="6"/>
        <v>4.0374999999999996</v>
      </c>
      <c r="I39" s="290">
        <v>0</v>
      </c>
      <c r="J39" s="205">
        <f t="shared" si="0"/>
        <v>0</v>
      </c>
      <c r="K39" s="290">
        <v>0</v>
      </c>
      <c r="L39" s="205">
        <f>F39*K39</f>
        <v>0</v>
      </c>
      <c r="M39" s="290">
        <v>0</v>
      </c>
      <c r="N39" s="205">
        <f>F39*M39</f>
        <v>0</v>
      </c>
      <c r="O39" s="290">
        <v>0</v>
      </c>
      <c r="P39" s="205">
        <f>J39*O39</f>
        <v>0</v>
      </c>
      <c r="Q39" s="290">
        <v>0</v>
      </c>
      <c r="R39" s="205">
        <f>L39*Q39</f>
        <v>0</v>
      </c>
      <c r="S39" s="39">
        <f t="shared" si="7"/>
        <v>85</v>
      </c>
      <c r="T39" s="38">
        <f t="shared" si="4"/>
        <v>4.0374999999999996</v>
      </c>
      <c r="U39" s="290">
        <v>0</v>
      </c>
      <c r="V39" s="13">
        <f t="shared" si="8"/>
        <v>0</v>
      </c>
      <c r="W39" s="294">
        <f t="shared" si="9"/>
        <v>85</v>
      </c>
      <c r="X39" s="295">
        <f t="shared" si="10"/>
        <v>4.0374999999999996</v>
      </c>
      <c r="Y39" s="238">
        <v>50</v>
      </c>
      <c r="Z39" s="101">
        <v>100</v>
      </c>
    </row>
    <row r="40" spans="1:26" x14ac:dyDescent="0.25">
      <c r="A40" s="264">
        <v>36</v>
      </c>
      <c r="B40" s="256" t="s">
        <v>196</v>
      </c>
      <c r="C40" s="34">
        <v>65</v>
      </c>
      <c r="D40" s="35">
        <v>60</v>
      </c>
      <c r="E40" s="35">
        <v>5</v>
      </c>
      <c r="F40" s="19">
        <f t="shared" si="5"/>
        <v>1.95E-2</v>
      </c>
      <c r="G40" s="286">
        <v>360</v>
      </c>
      <c r="H40" s="288">
        <f t="shared" si="6"/>
        <v>7.02</v>
      </c>
      <c r="I40" s="290">
        <v>0</v>
      </c>
      <c r="J40" s="205">
        <f t="shared" si="0"/>
        <v>0</v>
      </c>
      <c r="K40" s="290">
        <v>0</v>
      </c>
      <c r="L40" s="205">
        <f>F40*K40</f>
        <v>0</v>
      </c>
      <c r="M40" s="290">
        <v>0</v>
      </c>
      <c r="N40" s="205">
        <f>F40*M40</f>
        <v>0</v>
      </c>
      <c r="O40" s="290">
        <v>0</v>
      </c>
      <c r="P40" s="205">
        <f>F40*O40</f>
        <v>0</v>
      </c>
      <c r="Q40" s="290">
        <v>0</v>
      </c>
      <c r="R40" s="205">
        <f>F40*Q40</f>
        <v>0</v>
      </c>
      <c r="S40" s="39">
        <f t="shared" si="7"/>
        <v>360</v>
      </c>
      <c r="T40" s="38">
        <f t="shared" si="4"/>
        <v>7.02</v>
      </c>
      <c r="U40" s="290">
        <v>0</v>
      </c>
      <c r="V40" s="13">
        <f t="shared" si="8"/>
        <v>0</v>
      </c>
      <c r="W40" s="294">
        <f t="shared" si="9"/>
        <v>360</v>
      </c>
      <c r="X40" s="295">
        <f t="shared" si="10"/>
        <v>7.02</v>
      </c>
      <c r="Y40" s="238">
        <v>100</v>
      </c>
      <c r="Z40" s="101">
        <v>300</v>
      </c>
    </row>
    <row r="41" spans="1:26" x14ac:dyDescent="0.25">
      <c r="A41" s="264">
        <v>37</v>
      </c>
      <c r="B41" s="256" t="s">
        <v>165</v>
      </c>
      <c r="C41" s="34">
        <v>140</v>
      </c>
      <c r="D41" s="35">
        <v>240</v>
      </c>
      <c r="E41" s="35">
        <v>10</v>
      </c>
      <c r="F41" s="19">
        <f t="shared" si="5"/>
        <v>0.33600000000000002</v>
      </c>
      <c r="G41" s="286">
        <v>83</v>
      </c>
      <c r="H41" s="288">
        <f t="shared" si="6"/>
        <v>27.888000000000002</v>
      </c>
      <c r="I41" s="290">
        <v>16</v>
      </c>
      <c r="J41" s="205">
        <f>F41*I41</f>
        <v>5.3760000000000003</v>
      </c>
      <c r="K41" s="290">
        <v>9</v>
      </c>
      <c r="L41" s="205">
        <f>F41*K41</f>
        <v>3.024</v>
      </c>
      <c r="M41" s="290">
        <v>7</v>
      </c>
      <c r="N41" s="205">
        <f>F41*M41</f>
        <v>2.3520000000000003</v>
      </c>
      <c r="O41" s="290">
        <v>4</v>
      </c>
      <c r="P41" s="205">
        <f>F41*O41</f>
        <v>1.3440000000000001</v>
      </c>
      <c r="Q41" s="290">
        <v>0</v>
      </c>
      <c r="R41" s="205">
        <f>F41*Q41</f>
        <v>0</v>
      </c>
      <c r="S41" s="39">
        <f t="shared" si="7"/>
        <v>47</v>
      </c>
      <c r="T41" s="38">
        <f t="shared" si="4"/>
        <v>15.792000000000002</v>
      </c>
      <c r="U41" s="290">
        <v>0</v>
      </c>
      <c r="V41" s="13">
        <f t="shared" si="8"/>
        <v>0</v>
      </c>
      <c r="W41" s="294">
        <f t="shared" si="9"/>
        <v>47</v>
      </c>
      <c r="X41" s="295">
        <f t="shared" si="10"/>
        <v>15.792000000000002</v>
      </c>
      <c r="Y41" s="238">
        <v>50</v>
      </c>
      <c r="Z41" s="101">
        <v>100</v>
      </c>
    </row>
    <row r="42" spans="1:26" x14ac:dyDescent="0.25">
      <c r="A42" s="264">
        <v>38</v>
      </c>
      <c r="B42" s="256" t="s">
        <v>166</v>
      </c>
      <c r="C42" s="34">
        <v>92</v>
      </c>
      <c r="D42" s="35">
        <v>82</v>
      </c>
      <c r="E42" s="35">
        <v>2</v>
      </c>
      <c r="F42" s="19">
        <f t="shared" si="5"/>
        <v>1.5088000000000001E-2</v>
      </c>
      <c r="G42" s="286">
        <v>656</v>
      </c>
      <c r="H42" s="288">
        <f t="shared" si="6"/>
        <v>9.8977280000000007</v>
      </c>
      <c r="I42" s="290">
        <v>0</v>
      </c>
      <c r="J42" s="205">
        <f t="shared" si="0"/>
        <v>0</v>
      </c>
      <c r="K42" s="290">
        <v>0</v>
      </c>
      <c r="L42" s="205">
        <f>F42*K42</f>
        <v>0</v>
      </c>
      <c r="M42" s="290">
        <v>0</v>
      </c>
      <c r="N42" s="205">
        <f>F42*M42</f>
        <v>0</v>
      </c>
      <c r="O42" s="290">
        <v>34</v>
      </c>
      <c r="P42" s="205">
        <f>F42*O42</f>
        <v>0.512992</v>
      </c>
      <c r="Q42" s="290">
        <v>0</v>
      </c>
      <c r="R42" s="205">
        <f>F42*Q42</f>
        <v>0</v>
      </c>
      <c r="S42" s="39">
        <f t="shared" si="7"/>
        <v>622</v>
      </c>
      <c r="T42" s="38">
        <f t="shared" si="4"/>
        <v>9.3847360000000002</v>
      </c>
      <c r="U42" s="290">
        <v>34</v>
      </c>
      <c r="V42" s="13">
        <f t="shared" si="8"/>
        <v>0.512992</v>
      </c>
      <c r="W42" s="294">
        <f t="shared" si="9"/>
        <v>656</v>
      </c>
      <c r="X42" s="295">
        <f t="shared" si="10"/>
        <v>9.8977280000000007</v>
      </c>
      <c r="Y42" s="238">
        <v>100</v>
      </c>
      <c r="Z42" s="101">
        <v>300</v>
      </c>
    </row>
    <row r="43" spans="1:26" x14ac:dyDescent="0.25">
      <c r="A43" s="264">
        <v>39</v>
      </c>
      <c r="B43" s="256" t="s">
        <v>183</v>
      </c>
      <c r="C43" s="34">
        <v>90</v>
      </c>
      <c r="D43" s="35">
        <v>90</v>
      </c>
      <c r="E43" s="35">
        <v>3</v>
      </c>
      <c r="F43" s="19">
        <f t="shared" si="5"/>
        <v>2.4299999999999999E-2</v>
      </c>
      <c r="G43" s="286">
        <v>124</v>
      </c>
      <c r="H43" s="288">
        <f t="shared" si="6"/>
        <v>3.0131999999999999</v>
      </c>
      <c r="I43" s="290">
        <v>0</v>
      </c>
      <c r="J43" s="205">
        <f t="shared" si="0"/>
        <v>0</v>
      </c>
      <c r="K43" s="290">
        <v>0</v>
      </c>
      <c r="L43" s="205">
        <f t="shared" si="0"/>
        <v>0</v>
      </c>
      <c r="M43" s="290">
        <v>0</v>
      </c>
      <c r="N43" s="21">
        <v>0</v>
      </c>
      <c r="O43" s="290">
        <v>0</v>
      </c>
      <c r="P43" s="21">
        <v>0</v>
      </c>
      <c r="Q43" s="290">
        <v>0</v>
      </c>
      <c r="R43" s="21">
        <v>0</v>
      </c>
      <c r="S43" s="39">
        <f t="shared" si="7"/>
        <v>124</v>
      </c>
      <c r="T43" s="38">
        <f t="shared" si="4"/>
        <v>3.0131999999999999</v>
      </c>
      <c r="U43" s="290">
        <v>0</v>
      </c>
      <c r="V43" s="13">
        <f t="shared" si="8"/>
        <v>0</v>
      </c>
      <c r="W43" s="294">
        <f t="shared" si="9"/>
        <v>124</v>
      </c>
      <c r="X43" s="295">
        <f t="shared" si="10"/>
        <v>3.0131999999999999</v>
      </c>
      <c r="Y43" s="238">
        <v>50</v>
      </c>
      <c r="Z43" s="101">
        <v>150</v>
      </c>
    </row>
    <row r="44" spans="1:26" x14ac:dyDescent="0.25">
      <c r="A44" s="264">
        <v>40</v>
      </c>
      <c r="B44" s="256" t="s">
        <v>219</v>
      </c>
      <c r="C44" s="34">
        <v>140</v>
      </c>
      <c r="D44" s="35">
        <v>240</v>
      </c>
      <c r="E44" s="35">
        <v>3</v>
      </c>
      <c r="F44" s="19">
        <f t="shared" si="5"/>
        <v>0.1008</v>
      </c>
      <c r="G44" s="286">
        <v>242</v>
      </c>
      <c r="H44" s="288">
        <f t="shared" si="6"/>
        <v>24.393599999999999</v>
      </c>
      <c r="I44" s="290">
        <v>0</v>
      </c>
      <c r="J44" s="205">
        <f t="shared" si="0"/>
        <v>0</v>
      </c>
      <c r="K44" s="290">
        <v>0</v>
      </c>
      <c r="L44" s="205">
        <f t="shared" ref="L44:L52" si="18">F44*K44</f>
        <v>0</v>
      </c>
      <c r="M44" s="290">
        <v>0</v>
      </c>
      <c r="N44" s="205">
        <f t="shared" ref="N44:N70" si="19">F44*M44</f>
        <v>0</v>
      </c>
      <c r="O44" s="290">
        <v>0</v>
      </c>
      <c r="P44" s="205">
        <f t="shared" ref="P44:P66" si="20">F44*O44</f>
        <v>0</v>
      </c>
      <c r="Q44" s="290">
        <v>0</v>
      </c>
      <c r="R44" s="205">
        <f t="shared" ref="R44:R58" si="21">F44*Q44</f>
        <v>0</v>
      </c>
      <c r="S44" s="39">
        <f t="shared" si="7"/>
        <v>242</v>
      </c>
      <c r="T44" s="38">
        <f t="shared" si="4"/>
        <v>24.393599999999999</v>
      </c>
      <c r="U44" s="290">
        <v>0</v>
      </c>
      <c r="V44" s="13">
        <f t="shared" si="8"/>
        <v>0</v>
      </c>
      <c r="W44" s="294">
        <f t="shared" si="9"/>
        <v>242</v>
      </c>
      <c r="X44" s="295">
        <f t="shared" si="10"/>
        <v>24.393599999999999</v>
      </c>
      <c r="Y44" s="238">
        <v>50</v>
      </c>
      <c r="Z44" s="101">
        <v>150</v>
      </c>
    </row>
    <row r="45" spans="1:26" x14ac:dyDescent="0.25">
      <c r="A45" s="264">
        <v>41</v>
      </c>
      <c r="B45" s="256" t="s">
        <v>169</v>
      </c>
      <c r="C45" s="34">
        <v>82</v>
      </c>
      <c r="D45" s="34">
        <v>80</v>
      </c>
      <c r="E45" s="34">
        <v>2</v>
      </c>
      <c r="F45" s="19">
        <f t="shared" si="5"/>
        <v>1.312E-2</v>
      </c>
      <c r="G45" s="284">
        <v>700</v>
      </c>
      <c r="H45" s="288">
        <f t="shared" si="6"/>
        <v>9.1839999999999993</v>
      </c>
      <c r="I45" s="290">
        <v>0</v>
      </c>
      <c r="J45" s="205">
        <f t="shared" si="0"/>
        <v>0</v>
      </c>
      <c r="K45" s="290">
        <v>0</v>
      </c>
      <c r="L45" s="205">
        <f t="shared" si="18"/>
        <v>0</v>
      </c>
      <c r="M45" s="290">
        <v>0</v>
      </c>
      <c r="N45" s="205">
        <f t="shared" si="19"/>
        <v>0</v>
      </c>
      <c r="O45" s="290">
        <v>64</v>
      </c>
      <c r="P45" s="205">
        <f t="shared" si="20"/>
        <v>0.83967999999999998</v>
      </c>
      <c r="Q45" s="290">
        <v>0</v>
      </c>
      <c r="R45" s="205">
        <f t="shared" si="21"/>
        <v>0</v>
      </c>
      <c r="S45" s="39">
        <f t="shared" si="7"/>
        <v>636</v>
      </c>
      <c r="T45" s="38">
        <f t="shared" si="4"/>
        <v>8.3443199999999997</v>
      </c>
      <c r="U45" s="290">
        <v>0</v>
      </c>
      <c r="V45" s="13">
        <f t="shared" si="8"/>
        <v>0</v>
      </c>
      <c r="W45" s="294">
        <f t="shared" si="9"/>
        <v>636</v>
      </c>
      <c r="X45" s="295">
        <f t="shared" si="10"/>
        <v>8.3443199999999997</v>
      </c>
      <c r="Y45" s="238">
        <v>100</v>
      </c>
      <c r="Z45" s="101">
        <v>300</v>
      </c>
    </row>
    <row r="46" spans="1:26" x14ac:dyDescent="0.25">
      <c r="A46" s="264">
        <v>42</v>
      </c>
      <c r="B46" s="256" t="s">
        <v>170</v>
      </c>
      <c r="C46" s="34">
        <v>90</v>
      </c>
      <c r="D46" s="34">
        <v>83</v>
      </c>
      <c r="E46" s="34">
        <v>2</v>
      </c>
      <c r="F46" s="19">
        <f t="shared" si="5"/>
        <v>1.494E-2</v>
      </c>
      <c r="G46" s="284">
        <v>0</v>
      </c>
      <c r="H46" s="288">
        <f t="shared" si="6"/>
        <v>0</v>
      </c>
      <c r="I46" s="290">
        <v>0</v>
      </c>
      <c r="J46" s="205">
        <f t="shared" si="0"/>
        <v>0</v>
      </c>
      <c r="K46" s="290">
        <v>0</v>
      </c>
      <c r="L46" s="205">
        <f t="shared" si="18"/>
        <v>0</v>
      </c>
      <c r="M46" s="290">
        <v>0</v>
      </c>
      <c r="N46" s="205">
        <f t="shared" si="19"/>
        <v>0</v>
      </c>
      <c r="O46" s="290">
        <v>0</v>
      </c>
      <c r="P46" s="205">
        <f t="shared" si="20"/>
        <v>0</v>
      </c>
      <c r="Q46" s="290">
        <v>0</v>
      </c>
      <c r="R46" s="205">
        <f t="shared" si="21"/>
        <v>0</v>
      </c>
      <c r="S46" s="39">
        <f t="shared" si="7"/>
        <v>0</v>
      </c>
      <c r="T46" s="38">
        <f t="shared" si="4"/>
        <v>0</v>
      </c>
      <c r="U46" s="290">
        <v>0</v>
      </c>
      <c r="V46" s="13">
        <f t="shared" si="8"/>
        <v>0</v>
      </c>
      <c r="W46" s="294">
        <f t="shared" si="9"/>
        <v>0</v>
      </c>
      <c r="X46" s="295">
        <f t="shared" si="10"/>
        <v>0</v>
      </c>
      <c r="Y46" s="238">
        <v>100</v>
      </c>
      <c r="Z46" s="101">
        <v>300</v>
      </c>
    </row>
    <row r="47" spans="1:26" x14ac:dyDescent="0.25">
      <c r="A47" s="264">
        <v>43</v>
      </c>
      <c r="B47" s="256" t="s">
        <v>184</v>
      </c>
      <c r="C47" s="34">
        <v>112</v>
      </c>
      <c r="D47" s="34">
        <v>67</v>
      </c>
      <c r="E47" s="34">
        <v>3</v>
      </c>
      <c r="F47" s="19">
        <f t="shared" si="5"/>
        <v>2.2512000000000001E-2</v>
      </c>
      <c r="G47" s="284">
        <v>15</v>
      </c>
      <c r="H47" s="288">
        <f t="shared" si="6"/>
        <v>0.33768000000000004</v>
      </c>
      <c r="I47" s="290">
        <v>0</v>
      </c>
      <c r="J47" s="205">
        <f t="shared" si="0"/>
        <v>0</v>
      </c>
      <c r="K47" s="290">
        <v>0</v>
      </c>
      <c r="L47" s="205">
        <f t="shared" si="18"/>
        <v>0</v>
      </c>
      <c r="M47" s="290">
        <v>0</v>
      </c>
      <c r="N47" s="205">
        <f t="shared" si="19"/>
        <v>0</v>
      </c>
      <c r="O47" s="290">
        <v>0</v>
      </c>
      <c r="P47" s="205">
        <f t="shared" si="20"/>
        <v>0</v>
      </c>
      <c r="Q47" s="290">
        <v>0</v>
      </c>
      <c r="R47" s="205">
        <f t="shared" si="21"/>
        <v>0</v>
      </c>
      <c r="S47" s="39">
        <f t="shared" si="7"/>
        <v>15</v>
      </c>
      <c r="T47" s="38">
        <f t="shared" si="4"/>
        <v>0.33768000000000004</v>
      </c>
      <c r="U47" s="290">
        <v>0</v>
      </c>
      <c r="V47" s="13">
        <f t="shared" si="8"/>
        <v>0</v>
      </c>
      <c r="W47" s="294">
        <f t="shared" si="9"/>
        <v>15</v>
      </c>
      <c r="X47" s="295">
        <f t="shared" si="10"/>
        <v>0.33768000000000004</v>
      </c>
      <c r="Y47" s="238">
        <v>50</v>
      </c>
      <c r="Z47" s="101">
        <v>100</v>
      </c>
    </row>
    <row r="48" spans="1:26" x14ac:dyDescent="0.25">
      <c r="A48" s="264">
        <v>44</v>
      </c>
      <c r="B48" s="256" t="s">
        <v>220</v>
      </c>
      <c r="C48" s="34">
        <v>70</v>
      </c>
      <c r="D48" s="34">
        <v>54</v>
      </c>
      <c r="E48" s="34">
        <v>7</v>
      </c>
      <c r="F48" s="19">
        <f t="shared" si="5"/>
        <v>2.6460000000000001E-2</v>
      </c>
      <c r="G48" s="284">
        <v>307</v>
      </c>
      <c r="H48" s="288">
        <f t="shared" si="6"/>
        <v>8.1232199999999999</v>
      </c>
      <c r="I48" s="290">
        <v>0</v>
      </c>
      <c r="J48" s="205">
        <f t="shared" si="0"/>
        <v>0</v>
      </c>
      <c r="K48" s="290">
        <v>0</v>
      </c>
      <c r="L48" s="205">
        <f t="shared" si="18"/>
        <v>0</v>
      </c>
      <c r="M48" s="290">
        <v>0</v>
      </c>
      <c r="N48" s="205">
        <f t="shared" si="19"/>
        <v>0</v>
      </c>
      <c r="O48" s="290">
        <v>0</v>
      </c>
      <c r="P48" s="205">
        <f t="shared" si="20"/>
        <v>0</v>
      </c>
      <c r="Q48" s="290">
        <v>0</v>
      </c>
      <c r="R48" s="205">
        <f t="shared" si="21"/>
        <v>0</v>
      </c>
      <c r="S48" s="39">
        <f t="shared" si="7"/>
        <v>307</v>
      </c>
      <c r="T48" s="38">
        <f t="shared" si="4"/>
        <v>8.1232199999999999</v>
      </c>
      <c r="U48" s="290">
        <v>0</v>
      </c>
      <c r="V48" s="13">
        <f t="shared" si="8"/>
        <v>0</v>
      </c>
      <c r="W48" s="294">
        <f t="shared" si="9"/>
        <v>307</v>
      </c>
      <c r="X48" s="295">
        <f t="shared" si="10"/>
        <v>8.1232199999999999</v>
      </c>
      <c r="Y48" s="238">
        <v>20</v>
      </c>
      <c r="Z48" s="101">
        <v>70</v>
      </c>
    </row>
    <row r="49" spans="1:26" x14ac:dyDescent="0.25">
      <c r="A49" s="264">
        <v>45</v>
      </c>
      <c r="B49" s="256" t="s">
        <v>174</v>
      </c>
      <c r="C49" s="34">
        <v>140</v>
      </c>
      <c r="D49" s="34">
        <v>240</v>
      </c>
      <c r="E49" s="34">
        <v>14</v>
      </c>
      <c r="F49" s="19">
        <f t="shared" si="5"/>
        <v>0.47039999999999998</v>
      </c>
      <c r="G49" s="284">
        <v>5</v>
      </c>
      <c r="H49" s="288">
        <f t="shared" si="6"/>
        <v>2.3519999999999999</v>
      </c>
      <c r="I49" s="290">
        <v>0</v>
      </c>
      <c r="J49" s="205">
        <f t="shared" si="0"/>
        <v>0</v>
      </c>
      <c r="K49" s="290">
        <v>0</v>
      </c>
      <c r="L49" s="205">
        <f t="shared" si="18"/>
        <v>0</v>
      </c>
      <c r="M49" s="290">
        <v>0</v>
      </c>
      <c r="N49" s="205">
        <f t="shared" si="19"/>
        <v>0</v>
      </c>
      <c r="O49" s="290">
        <v>0</v>
      </c>
      <c r="P49" s="205">
        <f t="shared" si="20"/>
        <v>0</v>
      </c>
      <c r="Q49" s="290">
        <v>0</v>
      </c>
      <c r="R49" s="205">
        <f t="shared" si="21"/>
        <v>0</v>
      </c>
      <c r="S49" s="39">
        <f t="shared" si="7"/>
        <v>5</v>
      </c>
      <c r="T49" s="38">
        <f t="shared" si="4"/>
        <v>2.3519999999999999</v>
      </c>
      <c r="U49" s="290">
        <v>0</v>
      </c>
      <c r="V49" s="13">
        <f t="shared" si="8"/>
        <v>0</v>
      </c>
      <c r="W49" s="294">
        <f t="shared" si="9"/>
        <v>5</v>
      </c>
      <c r="X49" s="295">
        <f t="shared" si="10"/>
        <v>2.3519999999999999</v>
      </c>
      <c r="Y49" s="238">
        <v>10</v>
      </c>
      <c r="Z49" s="101">
        <v>20</v>
      </c>
    </row>
    <row r="50" spans="1:26" x14ac:dyDescent="0.25">
      <c r="A50" s="264">
        <v>46</v>
      </c>
      <c r="B50" s="256" t="s">
        <v>175</v>
      </c>
      <c r="C50" s="34">
        <v>140</v>
      </c>
      <c r="D50" s="34">
        <v>240</v>
      </c>
      <c r="E50" s="34">
        <v>12</v>
      </c>
      <c r="F50" s="19">
        <f t="shared" si="5"/>
        <v>0.4032</v>
      </c>
      <c r="G50" s="284">
        <v>8</v>
      </c>
      <c r="H50" s="288">
        <f t="shared" si="6"/>
        <v>3.2256</v>
      </c>
      <c r="I50" s="290">
        <v>0</v>
      </c>
      <c r="J50" s="205">
        <f t="shared" si="0"/>
        <v>0</v>
      </c>
      <c r="K50" s="290">
        <v>0</v>
      </c>
      <c r="L50" s="205">
        <f t="shared" si="18"/>
        <v>0</v>
      </c>
      <c r="M50" s="290">
        <v>0</v>
      </c>
      <c r="N50" s="205">
        <f t="shared" si="19"/>
        <v>0</v>
      </c>
      <c r="O50" s="290">
        <v>0</v>
      </c>
      <c r="P50" s="205">
        <f t="shared" si="20"/>
        <v>0</v>
      </c>
      <c r="Q50" s="290">
        <v>0</v>
      </c>
      <c r="R50" s="205">
        <f t="shared" si="21"/>
        <v>0</v>
      </c>
      <c r="S50" s="39">
        <f t="shared" si="7"/>
        <v>8</v>
      </c>
      <c r="T50" s="38">
        <f t="shared" si="4"/>
        <v>3.2256</v>
      </c>
      <c r="U50" s="290">
        <v>0</v>
      </c>
      <c r="V50" s="13">
        <f t="shared" si="8"/>
        <v>0</v>
      </c>
      <c r="W50" s="294">
        <f t="shared" si="9"/>
        <v>8</v>
      </c>
      <c r="X50" s="295">
        <f t="shared" si="10"/>
        <v>3.2256</v>
      </c>
      <c r="Y50" s="238">
        <v>10</v>
      </c>
      <c r="Z50" s="101">
        <v>20</v>
      </c>
    </row>
    <row r="51" spans="1:26" x14ac:dyDescent="0.25">
      <c r="A51" s="264">
        <v>47</v>
      </c>
      <c r="B51" s="255" t="s">
        <v>227</v>
      </c>
      <c r="C51" s="34">
        <v>130</v>
      </c>
      <c r="D51" s="34">
        <v>60</v>
      </c>
      <c r="E51" s="34">
        <v>5</v>
      </c>
      <c r="F51" s="19">
        <f t="shared" si="5"/>
        <v>3.9E-2</v>
      </c>
      <c r="G51" s="284">
        <v>300</v>
      </c>
      <c r="H51" s="288">
        <f t="shared" si="6"/>
        <v>11.7</v>
      </c>
      <c r="I51" s="290">
        <v>0</v>
      </c>
      <c r="J51" s="205">
        <f t="shared" si="0"/>
        <v>0</v>
      </c>
      <c r="K51" s="290">
        <v>0</v>
      </c>
      <c r="L51" s="205">
        <f t="shared" si="18"/>
        <v>0</v>
      </c>
      <c r="M51" s="290">
        <v>0</v>
      </c>
      <c r="N51" s="205">
        <f t="shared" si="19"/>
        <v>0</v>
      </c>
      <c r="O51" s="290">
        <v>0</v>
      </c>
      <c r="P51" s="205">
        <f t="shared" si="20"/>
        <v>0</v>
      </c>
      <c r="Q51" s="290">
        <v>0</v>
      </c>
      <c r="R51" s="205">
        <f t="shared" si="21"/>
        <v>0</v>
      </c>
      <c r="S51" s="39">
        <f t="shared" si="7"/>
        <v>300</v>
      </c>
      <c r="T51" s="38">
        <f t="shared" si="4"/>
        <v>11.7</v>
      </c>
      <c r="U51" s="290">
        <v>269</v>
      </c>
      <c r="V51" s="13">
        <f t="shared" si="8"/>
        <v>10.491</v>
      </c>
      <c r="W51" s="294">
        <f t="shared" si="9"/>
        <v>569</v>
      </c>
      <c r="X51" s="295">
        <f t="shared" si="10"/>
        <v>22.190999999999999</v>
      </c>
      <c r="Y51" s="238">
        <v>30</v>
      </c>
      <c r="Z51" s="101">
        <v>100</v>
      </c>
    </row>
    <row r="52" spans="1:26" x14ac:dyDescent="0.25">
      <c r="A52" s="264">
        <v>48</v>
      </c>
      <c r="B52" s="255" t="s">
        <v>178</v>
      </c>
      <c r="C52" s="34">
        <v>140</v>
      </c>
      <c r="D52" s="34">
        <v>240</v>
      </c>
      <c r="E52" s="34">
        <v>3</v>
      </c>
      <c r="F52" s="19">
        <f t="shared" si="5"/>
        <v>0.1008</v>
      </c>
      <c r="G52" s="284">
        <v>399</v>
      </c>
      <c r="H52" s="288">
        <f t="shared" si="6"/>
        <v>40.219200000000001</v>
      </c>
      <c r="I52" s="290">
        <v>2</v>
      </c>
      <c r="J52" s="205">
        <f t="shared" si="0"/>
        <v>0.2016</v>
      </c>
      <c r="K52" s="290">
        <v>8</v>
      </c>
      <c r="L52" s="205">
        <f t="shared" si="18"/>
        <v>0.80640000000000001</v>
      </c>
      <c r="M52" s="290">
        <v>1</v>
      </c>
      <c r="N52" s="205">
        <f t="shared" si="19"/>
        <v>0.1008</v>
      </c>
      <c r="O52" s="290">
        <v>3</v>
      </c>
      <c r="P52" s="205">
        <f t="shared" si="20"/>
        <v>0.3024</v>
      </c>
      <c r="Q52" s="290">
        <v>0</v>
      </c>
      <c r="R52" s="205">
        <f t="shared" si="21"/>
        <v>0</v>
      </c>
      <c r="S52" s="39">
        <f t="shared" si="7"/>
        <v>385</v>
      </c>
      <c r="T52" s="38">
        <f t="shared" si="4"/>
        <v>38.808</v>
      </c>
      <c r="U52" s="290">
        <v>0</v>
      </c>
      <c r="V52" s="13">
        <f t="shared" si="8"/>
        <v>0</v>
      </c>
      <c r="W52" s="294">
        <f t="shared" si="9"/>
        <v>385</v>
      </c>
      <c r="X52" s="295">
        <f t="shared" si="10"/>
        <v>38.808</v>
      </c>
      <c r="Y52" s="238">
        <v>100</v>
      </c>
      <c r="Z52" s="101">
        <v>300</v>
      </c>
    </row>
    <row r="53" spans="1:26" x14ac:dyDescent="0.25">
      <c r="A53" s="264">
        <v>49</v>
      </c>
      <c r="B53" s="256" t="s">
        <v>185</v>
      </c>
      <c r="C53" s="34">
        <v>140</v>
      </c>
      <c r="D53" s="34">
        <v>240</v>
      </c>
      <c r="E53" s="34">
        <v>1</v>
      </c>
      <c r="F53" s="19">
        <f t="shared" si="5"/>
        <v>3.3599999999999998E-2</v>
      </c>
      <c r="G53" s="284">
        <v>235</v>
      </c>
      <c r="H53" s="288">
        <f t="shared" si="6"/>
        <v>7.8959999999999999</v>
      </c>
      <c r="I53" s="290">
        <v>0</v>
      </c>
      <c r="J53" s="205">
        <f t="shared" si="0"/>
        <v>0</v>
      </c>
      <c r="K53" s="290">
        <v>0</v>
      </c>
      <c r="L53" s="205">
        <f>F53*K53</f>
        <v>0</v>
      </c>
      <c r="M53" s="290">
        <v>0</v>
      </c>
      <c r="N53" s="205">
        <f t="shared" si="19"/>
        <v>0</v>
      </c>
      <c r="O53" s="290">
        <v>0</v>
      </c>
      <c r="P53" s="205">
        <f t="shared" si="20"/>
        <v>0</v>
      </c>
      <c r="Q53" s="290">
        <v>0</v>
      </c>
      <c r="R53" s="205">
        <f t="shared" si="21"/>
        <v>0</v>
      </c>
      <c r="S53" s="39">
        <f t="shared" si="7"/>
        <v>235</v>
      </c>
      <c r="T53" s="38">
        <f t="shared" si="4"/>
        <v>7.8959999999999999</v>
      </c>
      <c r="U53" s="290">
        <v>0</v>
      </c>
      <c r="V53" s="13">
        <f t="shared" si="8"/>
        <v>0</v>
      </c>
      <c r="W53" s="294">
        <f t="shared" si="9"/>
        <v>235</v>
      </c>
      <c r="X53" s="295">
        <f t="shared" si="10"/>
        <v>7.8959999999999999</v>
      </c>
      <c r="Y53" s="238">
        <v>50</v>
      </c>
      <c r="Z53" s="101">
        <v>100</v>
      </c>
    </row>
    <row r="54" spans="1:26" x14ac:dyDescent="0.25">
      <c r="A54" s="264">
        <v>50</v>
      </c>
      <c r="B54" s="256" t="s">
        <v>186</v>
      </c>
      <c r="C54" s="34">
        <v>140</v>
      </c>
      <c r="D54" s="34">
        <v>240</v>
      </c>
      <c r="E54" s="34">
        <v>3</v>
      </c>
      <c r="F54" s="19">
        <f t="shared" si="5"/>
        <v>0.1008</v>
      </c>
      <c r="G54" s="284">
        <v>49</v>
      </c>
      <c r="H54" s="288">
        <f t="shared" si="6"/>
        <v>4.9391999999999996</v>
      </c>
      <c r="I54" s="290">
        <v>0</v>
      </c>
      <c r="J54" s="205">
        <f t="shared" si="0"/>
        <v>0</v>
      </c>
      <c r="K54" s="290">
        <v>0</v>
      </c>
      <c r="L54" s="205">
        <f>F54*K54</f>
        <v>0</v>
      </c>
      <c r="M54" s="290">
        <v>23</v>
      </c>
      <c r="N54" s="205">
        <f t="shared" si="19"/>
        <v>2.3184</v>
      </c>
      <c r="O54" s="290">
        <v>0</v>
      </c>
      <c r="P54" s="205">
        <f t="shared" si="20"/>
        <v>0</v>
      </c>
      <c r="Q54" s="290">
        <v>0</v>
      </c>
      <c r="R54" s="205">
        <f t="shared" si="21"/>
        <v>0</v>
      </c>
      <c r="S54" s="39">
        <f t="shared" si="7"/>
        <v>26</v>
      </c>
      <c r="T54" s="38">
        <f t="shared" si="4"/>
        <v>2.6208</v>
      </c>
      <c r="U54" s="290">
        <v>0</v>
      </c>
      <c r="V54" s="13">
        <f t="shared" si="8"/>
        <v>0</v>
      </c>
      <c r="W54" s="294">
        <f t="shared" si="9"/>
        <v>26</v>
      </c>
      <c r="X54" s="295">
        <f t="shared" si="10"/>
        <v>2.6208</v>
      </c>
      <c r="Y54" s="238">
        <v>50</v>
      </c>
      <c r="Z54" s="101">
        <v>100</v>
      </c>
    </row>
    <row r="55" spans="1:26" x14ac:dyDescent="0.25">
      <c r="A55" s="277">
        <v>51</v>
      </c>
      <c r="B55" s="283" t="s">
        <v>187</v>
      </c>
      <c r="C55" s="264">
        <v>140</v>
      </c>
      <c r="D55" s="264">
        <v>240</v>
      </c>
      <c r="E55" s="264">
        <v>5</v>
      </c>
      <c r="F55" s="19">
        <f t="shared" si="5"/>
        <v>0.16800000000000001</v>
      </c>
      <c r="G55" s="296">
        <v>3</v>
      </c>
      <c r="H55" s="299">
        <f t="shared" si="6"/>
        <v>0.504</v>
      </c>
      <c r="I55" s="290">
        <v>0</v>
      </c>
      <c r="J55" s="205">
        <f t="shared" si="0"/>
        <v>0</v>
      </c>
      <c r="K55" s="290">
        <v>0</v>
      </c>
      <c r="L55" s="205">
        <f>F55*K55</f>
        <v>0</v>
      </c>
      <c r="M55" s="290">
        <v>3</v>
      </c>
      <c r="N55" s="205">
        <f t="shared" si="19"/>
        <v>0.504</v>
      </c>
      <c r="O55" s="290">
        <v>0</v>
      </c>
      <c r="P55" s="205">
        <f t="shared" si="20"/>
        <v>0</v>
      </c>
      <c r="Q55" s="290">
        <v>0</v>
      </c>
      <c r="R55" s="205">
        <f t="shared" si="21"/>
        <v>0</v>
      </c>
      <c r="S55" s="39">
        <f t="shared" si="7"/>
        <v>0</v>
      </c>
      <c r="T55" s="38">
        <f t="shared" si="4"/>
        <v>0</v>
      </c>
      <c r="U55" s="290">
        <v>0</v>
      </c>
      <c r="V55" s="13">
        <f t="shared" si="8"/>
        <v>0</v>
      </c>
      <c r="W55" s="294">
        <f t="shared" si="9"/>
        <v>0</v>
      </c>
      <c r="X55" s="295">
        <f t="shared" si="10"/>
        <v>0</v>
      </c>
      <c r="Y55" s="101">
        <v>30</v>
      </c>
      <c r="Z55" s="101">
        <v>70</v>
      </c>
    </row>
    <row r="56" spans="1:26" x14ac:dyDescent="0.25">
      <c r="A56" s="277">
        <v>52</v>
      </c>
      <c r="B56" s="283" t="s">
        <v>188</v>
      </c>
      <c r="C56" s="264">
        <v>140</v>
      </c>
      <c r="D56" s="264">
        <v>240</v>
      </c>
      <c r="E56" s="264">
        <v>10</v>
      </c>
      <c r="F56" s="19">
        <f t="shared" si="5"/>
        <v>0.33600000000000002</v>
      </c>
      <c r="G56" s="296">
        <v>54</v>
      </c>
      <c r="H56" s="299">
        <f t="shared" si="6"/>
        <v>18.144000000000002</v>
      </c>
      <c r="I56" s="290">
        <v>0</v>
      </c>
      <c r="J56" s="205">
        <f t="shared" ref="J56:J69" si="22">F56*I56</f>
        <v>0</v>
      </c>
      <c r="K56" s="290">
        <v>0</v>
      </c>
      <c r="L56" s="205">
        <f>F56*K56</f>
        <v>0</v>
      </c>
      <c r="M56" s="290">
        <v>0</v>
      </c>
      <c r="N56" s="205">
        <f t="shared" si="19"/>
        <v>0</v>
      </c>
      <c r="O56" s="290">
        <v>0</v>
      </c>
      <c r="P56" s="205">
        <f t="shared" si="20"/>
        <v>0</v>
      </c>
      <c r="Q56" s="290">
        <v>0</v>
      </c>
      <c r="R56" s="205">
        <f t="shared" si="21"/>
        <v>0</v>
      </c>
      <c r="S56" s="39">
        <f t="shared" si="7"/>
        <v>54</v>
      </c>
      <c r="T56" s="38">
        <f t="shared" si="4"/>
        <v>18.144000000000002</v>
      </c>
      <c r="U56" s="290">
        <v>0</v>
      </c>
      <c r="V56" s="13">
        <f t="shared" si="8"/>
        <v>0</v>
      </c>
      <c r="W56" s="294">
        <f t="shared" si="9"/>
        <v>54</v>
      </c>
      <c r="X56" s="295">
        <f t="shared" si="10"/>
        <v>18.144000000000002</v>
      </c>
      <c r="Y56" s="101">
        <v>20</v>
      </c>
      <c r="Z56" s="101">
        <v>50</v>
      </c>
    </row>
    <row r="57" spans="1:26" x14ac:dyDescent="0.25">
      <c r="A57" s="264">
        <v>53</v>
      </c>
      <c r="B57" s="101" t="s">
        <v>201</v>
      </c>
      <c r="C57" s="264">
        <v>52</v>
      </c>
      <c r="D57" s="264">
        <v>52</v>
      </c>
      <c r="E57" s="264">
        <v>5</v>
      </c>
      <c r="F57" s="19">
        <f t="shared" si="5"/>
        <v>1.3520000000000001E-2</v>
      </c>
      <c r="G57" s="296">
        <v>750</v>
      </c>
      <c r="H57" s="299">
        <f t="shared" si="6"/>
        <v>10.14</v>
      </c>
      <c r="I57" s="290">
        <v>0</v>
      </c>
      <c r="J57" s="205">
        <f t="shared" si="22"/>
        <v>0</v>
      </c>
      <c r="K57" s="290">
        <v>0</v>
      </c>
      <c r="L57" s="205">
        <f t="shared" ref="L57:L65" si="23">F57*K57</f>
        <v>0</v>
      </c>
      <c r="M57" s="290">
        <v>20</v>
      </c>
      <c r="N57" s="205">
        <f t="shared" si="19"/>
        <v>0.27040000000000003</v>
      </c>
      <c r="O57" s="290">
        <v>0</v>
      </c>
      <c r="P57" s="205">
        <f t="shared" si="20"/>
        <v>0</v>
      </c>
      <c r="Q57" s="290">
        <v>0</v>
      </c>
      <c r="R57" s="205">
        <f t="shared" si="21"/>
        <v>0</v>
      </c>
      <c r="S57" s="39">
        <f t="shared" si="7"/>
        <v>730</v>
      </c>
      <c r="T57" s="38">
        <f t="shared" si="4"/>
        <v>9.8696000000000002</v>
      </c>
      <c r="U57" s="290">
        <v>0</v>
      </c>
      <c r="V57" s="13">
        <f t="shared" si="8"/>
        <v>0</v>
      </c>
      <c r="W57" s="294">
        <f t="shared" si="9"/>
        <v>730</v>
      </c>
      <c r="X57" s="295">
        <f t="shared" si="10"/>
        <v>9.8696000000000002</v>
      </c>
      <c r="Y57" s="101">
        <v>20</v>
      </c>
      <c r="Z57" s="101">
        <v>50</v>
      </c>
    </row>
    <row r="58" spans="1:26" x14ac:dyDescent="0.25">
      <c r="A58" s="264">
        <v>54</v>
      </c>
      <c r="B58" s="101" t="s">
        <v>193</v>
      </c>
      <c r="C58" s="264">
        <v>80</v>
      </c>
      <c r="D58" s="264">
        <v>75</v>
      </c>
      <c r="E58" s="264">
        <v>5</v>
      </c>
      <c r="F58" s="19">
        <f t="shared" si="5"/>
        <v>0.03</v>
      </c>
      <c r="G58" s="264">
        <v>175</v>
      </c>
      <c r="H58" s="299">
        <f t="shared" si="6"/>
        <v>5.25</v>
      </c>
      <c r="I58" s="290">
        <v>0</v>
      </c>
      <c r="J58" s="205">
        <f t="shared" si="22"/>
        <v>0</v>
      </c>
      <c r="K58" s="290">
        <v>0</v>
      </c>
      <c r="L58" s="205">
        <f t="shared" si="23"/>
        <v>0</v>
      </c>
      <c r="M58" s="290">
        <v>0</v>
      </c>
      <c r="N58" s="205">
        <f t="shared" si="19"/>
        <v>0</v>
      </c>
      <c r="O58" s="290">
        <v>0</v>
      </c>
      <c r="P58" s="205">
        <f t="shared" si="20"/>
        <v>0</v>
      </c>
      <c r="Q58" s="290">
        <v>0</v>
      </c>
      <c r="R58" s="205">
        <f t="shared" si="21"/>
        <v>0</v>
      </c>
      <c r="S58" s="39">
        <f t="shared" si="7"/>
        <v>175</v>
      </c>
      <c r="T58" s="38">
        <f t="shared" si="4"/>
        <v>5.25</v>
      </c>
      <c r="U58" s="290">
        <v>0</v>
      </c>
      <c r="V58" s="308">
        <f t="shared" si="8"/>
        <v>0</v>
      </c>
      <c r="W58" s="294">
        <f t="shared" si="9"/>
        <v>175</v>
      </c>
      <c r="X58" s="300">
        <f t="shared" si="10"/>
        <v>5.25</v>
      </c>
      <c r="Y58" s="101">
        <v>20</v>
      </c>
      <c r="Z58" s="101">
        <v>50</v>
      </c>
    </row>
    <row r="59" spans="1:26" x14ac:dyDescent="0.25">
      <c r="A59" s="264">
        <v>55</v>
      </c>
      <c r="B59" s="101" t="s">
        <v>228</v>
      </c>
      <c r="C59" s="264">
        <v>58</v>
      </c>
      <c r="D59" s="264">
        <v>25</v>
      </c>
      <c r="E59" s="264">
        <v>3</v>
      </c>
      <c r="F59" s="298">
        <f t="shared" si="5"/>
        <v>4.3499999999999997E-3</v>
      </c>
      <c r="G59" s="264">
        <v>0</v>
      </c>
      <c r="H59" s="299">
        <f t="shared" si="6"/>
        <v>0</v>
      </c>
      <c r="I59" s="290">
        <v>0</v>
      </c>
      <c r="J59" s="205">
        <f t="shared" si="22"/>
        <v>0</v>
      </c>
      <c r="K59" s="290">
        <v>0</v>
      </c>
      <c r="L59" s="205">
        <f t="shared" si="23"/>
        <v>0</v>
      </c>
      <c r="M59" s="290">
        <v>0</v>
      </c>
      <c r="N59" s="205">
        <f t="shared" si="19"/>
        <v>0</v>
      </c>
      <c r="O59" s="290">
        <v>0</v>
      </c>
      <c r="P59" s="205">
        <f t="shared" si="20"/>
        <v>0</v>
      </c>
      <c r="Q59" s="290">
        <v>0</v>
      </c>
      <c r="R59" s="205">
        <f>F59*Q59</f>
        <v>0</v>
      </c>
      <c r="S59" s="39">
        <f t="shared" si="7"/>
        <v>0</v>
      </c>
      <c r="T59" s="38">
        <f t="shared" si="4"/>
        <v>0</v>
      </c>
      <c r="U59" s="290">
        <v>540</v>
      </c>
      <c r="V59" s="309">
        <f t="shared" si="8"/>
        <v>2.3489999999999998</v>
      </c>
      <c r="W59" s="294">
        <f t="shared" si="9"/>
        <v>540</v>
      </c>
      <c r="X59" s="300">
        <f t="shared" si="10"/>
        <v>2.3489999999999998</v>
      </c>
      <c r="Y59" s="101">
        <v>20</v>
      </c>
      <c r="Z59" s="101">
        <v>50</v>
      </c>
    </row>
    <row r="60" spans="1:26" x14ac:dyDescent="0.25">
      <c r="A60" s="264">
        <v>56</v>
      </c>
      <c r="B60" s="101" t="s">
        <v>195</v>
      </c>
      <c r="C60" s="264">
        <v>64</v>
      </c>
      <c r="D60" s="264">
        <v>58</v>
      </c>
      <c r="E60" s="264">
        <v>5</v>
      </c>
      <c r="F60" s="298">
        <f t="shared" si="5"/>
        <v>1.856E-2</v>
      </c>
      <c r="G60" s="264">
        <v>350</v>
      </c>
      <c r="H60" s="299">
        <f t="shared" si="6"/>
        <v>6.4960000000000004</v>
      </c>
      <c r="I60" s="290">
        <v>0</v>
      </c>
      <c r="J60" s="205">
        <f t="shared" si="22"/>
        <v>0</v>
      </c>
      <c r="K60" s="290">
        <v>0</v>
      </c>
      <c r="L60" s="205">
        <f t="shared" si="23"/>
        <v>0</v>
      </c>
      <c r="M60" s="290">
        <v>0</v>
      </c>
      <c r="N60" s="205">
        <f t="shared" si="19"/>
        <v>0</v>
      </c>
      <c r="O60" s="290">
        <v>0</v>
      </c>
      <c r="P60" s="205">
        <f t="shared" si="20"/>
        <v>0</v>
      </c>
      <c r="Q60" s="290">
        <v>0</v>
      </c>
      <c r="R60" s="205">
        <f t="shared" ref="R60:R65" si="24">F60*Q60</f>
        <v>0</v>
      </c>
      <c r="S60" s="39">
        <f t="shared" si="7"/>
        <v>350</v>
      </c>
      <c r="T60" s="38">
        <f t="shared" si="4"/>
        <v>6.4960000000000004</v>
      </c>
      <c r="U60" s="290">
        <v>0</v>
      </c>
      <c r="V60" s="309">
        <f t="shared" si="8"/>
        <v>0</v>
      </c>
      <c r="W60" s="294">
        <f t="shared" si="9"/>
        <v>350</v>
      </c>
      <c r="X60" s="301">
        <f t="shared" si="10"/>
        <v>6.4960000000000004</v>
      </c>
      <c r="Y60" s="101">
        <v>20</v>
      </c>
      <c r="Z60" s="101">
        <v>50</v>
      </c>
    </row>
    <row r="61" spans="1:26" x14ac:dyDescent="0.25">
      <c r="A61" s="264">
        <v>57</v>
      </c>
      <c r="B61" s="101" t="s">
        <v>197</v>
      </c>
      <c r="C61" s="264">
        <v>65</v>
      </c>
      <c r="D61" s="264">
        <v>65</v>
      </c>
      <c r="E61" s="264">
        <v>5</v>
      </c>
      <c r="F61" s="101">
        <f t="shared" si="5"/>
        <v>2.1125000000000001E-2</v>
      </c>
      <c r="G61" s="264">
        <v>360</v>
      </c>
      <c r="H61" s="299">
        <f t="shared" si="6"/>
        <v>7.6050000000000004</v>
      </c>
      <c r="I61" s="290">
        <v>0</v>
      </c>
      <c r="J61" s="205">
        <f t="shared" si="22"/>
        <v>0</v>
      </c>
      <c r="K61" s="290">
        <v>0</v>
      </c>
      <c r="L61" s="205">
        <f t="shared" si="23"/>
        <v>0</v>
      </c>
      <c r="M61" s="290">
        <v>0</v>
      </c>
      <c r="N61" s="174">
        <f t="shared" si="19"/>
        <v>0</v>
      </c>
      <c r="O61" s="290">
        <v>0</v>
      </c>
      <c r="P61" s="205">
        <f t="shared" si="20"/>
        <v>0</v>
      </c>
      <c r="Q61" s="290">
        <v>0</v>
      </c>
      <c r="R61" s="205">
        <f t="shared" si="24"/>
        <v>0</v>
      </c>
      <c r="S61" s="39">
        <f t="shared" si="7"/>
        <v>360</v>
      </c>
      <c r="T61" s="38">
        <f t="shared" si="4"/>
        <v>7.6050000000000004</v>
      </c>
      <c r="U61" s="290">
        <v>0</v>
      </c>
      <c r="V61" s="309">
        <f t="shared" si="8"/>
        <v>0</v>
      </c>
      <c r="W61" s="294">
        <f t="shared" si="9"/>
        <v>360</v>
      </c>
      <c r="X61" s="300">
        <f t="shared" si="10"/>
        <v>7.6050000000000004</v>
      </c>
      <c r="Y61" s="101">
        <v>20</v>
      </c>
      <c r="Z61" s="101">
        <v>50</v>
      </c>
    </row>
    <row r="62" spans="1:26" x14ac:dyDescent="0.25">
      <c r="A62" s="264">
        <v>58</v>
      </c>
      <c r="B62" s="101" t="s">
        <v>198</v>
      </c>
      <c r="C62" s="264">
        <v>83</v>
      </c>
      <c r="D62" s="264">
        <v>55</v>
      </c>
      <c r="E62" s="264">
        <v>3</v>
      </c>
      <c r="F62" s="101">
        <f t="shared" si="5"/>
        <v>1.3695000000000001E-2</v>
      </c>
      <c r="G62" s="264">
        <v>72</v>
      </c>
      <c r="H62" s="299">
        <f t="shared" si="6"/>
        <v>0.98604000000000003</v>
      </c>
      <c r="I62" s="290">
        <v>0</v>
      </c>
      <c r="J62" s="205">
        <f t="shared" si="22"/>
        <v>0</v>
      </c>
      <c r="K62" s="290">
        <v>0</v>
      </c>
      <c r="L62" s="205">
        <f t="shared" si="23"/>
        <v>0</v>
      </c>
      <c r="M62" s="290">
        <v>0</v>
      </c>
      <c r="N62" s="174">
        <f t="shared" si="19"/>
        <v>0</v>
      </c>
      <c r="O62" s="290">
        <v>0</v>
      </c>
      <c r="P62" s="205">
        <f t="shared" si="20"/>
        <v>0</v>
      </c>
      <c r="Q62" s="290">
        <v>0</v>
      </c>
      <c r="R62" s="205">
        <f t="shared" si="24"/>
        <v>0</v>
      </c>
      <c r="S62" s="39">
        <f t="shared" si="7"/>
        <v>72</v>
      </c>
      <c r="T62" s="38">
        <f t="shared" si="4"/>
        <v>0.98604000000000003</v>
      </c>
      <c r="U62" s="290">
        <v>0</v>
      </c>
      <c r="V62" s="309">
        <f t="shared" si="8"/>
        <v>0</v>
      </c>
      <c r="W62" s="294">
        <f t="shared" si="9"/>
        <v>72</v>
      </c>
      <c r="X62" s="300">
        <f t="shared" si="10"/>
        <v>0.98604000000000003</v>
      </c>
      <c r="Y62" s="101">
        <v>20</v>
      </c>
      <c r="Z62" s="101">
        <v>50</v>
      </c>
    </row>
    <row r="63" spans="1:26" x14ac:dyDescent="0.25">
      <c r="A63" s="264">
        <v>59</v>
      </c>
      <c r="B63" s="101" t="s">
        <v>199</v>
      </c>
      <c r="C63" s="264">
        <v>75</v>
      </c>
      <c r="D63" s="264">
        <v>55</v>
      </c>
      <c r="E63" s="264">
        <v>3</v>
      </c>
      <c r="F63" s="101">
        <f t="shared" si="5"/>
        <v>1.2375000000000001E-2</v>
      </c>
      <c r="G63" s="264">
        <v>130</v>
      </c>
      <c r="H63" s="299">
        <f t="shared" si="6"/>
        <v>1.6087500000000001</v>
      </c>
      <c r="I63" s="290">
        <v>0</v>
      </c>
      <c r="J63" s="205">
        <f t="shared" si="22"/>
        <v>0</v>
      </c>
      <c r="K63" s="290">
        <v>0</v>
      </c>
      <c r="L63" s="205">
        <f t="shared" si="23"/>
        <v>0</v>
      </c>
      <c r="M63" s="290">
        <v>0</v>
      </c>
      <c r="N63" s="174">
        <f t="shared" si="19"/>
        <v>0</v>
      </c>
      <c r="O63" s="290">
        <v>0</v>
      </c>
      <c r="P63" s="205">
        <f t="shared" si="20"/>
        <v>0</v>
      </c>
      <c r="Q63" s="290">
        <v>0</v>
      </c>
      <c r="R63" s="205">
        <f t="shared" si="24"/>
        <v>0</v>
      </c>
      <c r="S63" s="39">
        <f t="shared" si="7"/>
        <v>130</v>
      </c>
      <c r="T63" s="38">
        <f t="shared" si="4"/>
        <v>1.6087500000000001</v>
      </c>
      <c r="U63" s="290">
        <v>0</v>
      </c>
      <c r="V63" s="309">
        <f t="shared" si="8"/>
        <v>0</v>
      </c>
      <c r="W63" s="294">
        <f t="shared" si="9"/>
        <v>130</v>
      </c>
      <c r="X63" s="300">
        <f t="shared" si="10"/>
        <v>1.6087500000000001</v>
      </c>
      <c r="Y63" s="101">
        <v>20</v>
      </c>
      <c r="Z63" s="101">
        <v>50</v>
      </c>
    </row>
    <row r="64" spans="1:26" x14ac:dyDescent="0.25">
      <c r="A64" s="264">
        <v>60</v>
      </c>
      <c r="B64" s="101" t="s">
        <v>200</v>
      </c>
      <c r="C64" s="264">
        <v>58</v>
      </c>
      <c r="D64" s="264">
        <v>19</v>
      </c>
      <c r="E64" s="264">
        <v>3</v>
      </c>
      <c r="F64" s="101">
        <f t="shared" si="5"/>
        <v>3.3059999999999999E-3</v>
      </c>
      <c r="G64" s="264">
        <v>170</v>
      </c>
      <c r="H64" s="299">
        <f t="shared" si="6"/>
        <v>0.56201999999999996</v>
      </c>
      <c r="I64" s="290">
        <v>0</v>
      </c>
      <c r="J64" s="205">
        <f t="shared" si="22"/>
        <v>0</v>
      </c>
      <c r="K64" s="290">
        <v>0</v>
      </c>
      <c r="L64" s="205">
        <f t="shared" si="23"/>
        <v>0</v>
      </c>
      <c r="M64" s="290">
        <v>0</v>
      </c>
      <c r="N64" s="174">
        <f t="shared" si="19"/>
        <v>0</v>
      </c>
      <c r="O64" s="290">
        <v>0</v>
      </c>
      <c r="P64" s="205">
        <f t="shared" si="20"/>
        <v>0</v>
      </c>
      <c r="Q64" s="290">
        <v>0</v>
      </c>
      <c r="R64" s="205">
        <f t="shared" si="24"/>
        <v>0</v>
      </c>
      <c r="S64" s="39">
        <f t="shared" si="7"/>
        <v>170</v>
      </c>
      <c r="T64" s="38">
        <f t="shared" si="4"/>
        <v>0.56201999999999996</v>
      </c>
      <c r="U64" s="290">
        <v>0</v>
      </c>
      <c r="V64" s="309">
        <f t="shared" si="8"/>
        <v>0</v>
      </c>
      <c r="W64" s="294">
        <f t="shared" si="9"/>
        <v>170</v>
      </c>
      <c r="X64" s="300">
        <f t="shared" si="10"/>
        <v>0.56201999999999996</v>
      </c>
      <c r="Y64" s="101">
        <v>20</v>
      </c>
      <c r="Z64" s="101">
        <v>50</v>
      </c>
    </row>
    <row r="65" spans="1:26" x14ac:dyDescent="0.25">
      <c r="A65" s="264">
        <v>61</v>
      </c>
      <c r="B65" s="101" t="s">
        <v>202</v>
      </c>
      <c r="C65" s="264">
        <v>140</v>
      </c>
      <c r="D65" s="264">
        <v>240</v>
      </c>
      <c r="E65" s="264">
        <v>4</v>
      </c>
      <c r="F65" s="101">
        <f t="shared" si="5"/>
        <v>0.13439999999999999</v>
      </c>
      <c r="G65" s="264">
        <v>85</v>
      </c>
      <c r="H65" s="299">
        <f t="shared" si="6"/>
        <v>11.423999999999999</v>
      </c>
      <c r="I65" s="290">
        <v>0</v>
      </c>
      <c r="J65" s="205">
        <f t="shared" si="22"/>
        <v>0</v>
      </c>
      <c r="K65" s="290">
        <v>0</v>
      </c>
      <c r="L65" s="205">
        <f t="shared" si="23"/>
        <v>0</v>
      </c>
      <c r="M65" s="290">
        <v>0</v>
      </c>
      <c r="N65" s="174">
        <f t="shared" si="19"/>
        <v>0</v>
      </c>
      <c r="O65" s="290">
        <v>0</v>
      </c>
      <c r="P65" s="205">
        <f t="shared" si="20"/>
        <v>0</v>
      </c>
      <c r="Q65" s="290">
        <v>0</v>
      </c>
      <c r="R65" s="205">
        <f t="shared" si="24"/>
        <v>0</v>
      </c>
      <c r="S65" s="39">
        <f t="shared" si="7"/>
        <v>85</v>
      </c>
      <c r="T65" s="38">
        <f t="shared" si="4"/>
        <v>11.423999999999999</v>
      </c>
      <c r="U65" s="290">
        <v>0</v>
      </c>
      <c r="V65" s="309">
        <f t="shared" si="8"/>
        <v>0</v>
      </c>
      <c r="W65" s="294">
        <f t="shared" si="9"/>
        <v>85</v>
      </c>
      <c r="X65" s="300">
        <f t="shared" si="10"/>
        <v>11.423999999999999</v>
      </c>
      <c r="Y65" s="101">
        <v>30</v>
      </c>
      <c r="Z65" s="101">
        <v>70</v>
      </c>
    </row>
    <row r="66" spans="1:26" x14ac:dyDescent="0.25">
      <c r="A66" s="264">
        <v>62</v>
      </c>
      <c r="B66" s="101" t="s">
        <v>203</v>
      </c>
      <c r="C66" s="264">
        <v>50</v>
      </c>
      <c r="D66" s="264">
        <v>46.5</v>
      </c>
      <c r="E66" s="264">
        <v>3</v>
      </c>
      <c r="F66" s="101">
        <f t="shared" si="5"/>
        <v>6.9750000000000003E-3</v>
      </c>
      <c r="G66" s="264">
        <v>265</v>
      </c>
      <c r="H66" s="289">
        <f t="shared" si="6"/>
        <v>1.8483750000000001</v>
      </c>
      <c r="I66" s="290">
        <v>0</v>
      </c>
      <c r="J66" s="205">
        <f t="shared" si="22"/>
        <v>0</v>
      </c>
      <c r="K66" s="290">
        <v>0</v>
      </c>
      <c r="L66" s="101"/>
      <c r="M66" s="290">
        <v>0</v>
      </c>
      <c r="N66" s="264">
        <f t="shared" si="19"/>
        <v>0</v>
      </c>
      <c r="O66" s="290">
        <v>0</v>
      </c>
      <c r="P66" s="264">
        <f t="shared" si="20"/>
        <v>0</v>
      </c>
      <c r="Q66" s="290">
        <v>0</v>
      </c>
      <c r="R66" s="101"/>
      <c r="S66" s="39">
        <f t="shared" si="7"/>
        <v>265</v>
      </c>
      <c r="T66" s="38">
        <f t="shared" si="4"/>
        <v>1.8483750000000001</v>
      </c>
      <c r="U66" s="290">
        <v>0</v>
      </c>
      <c r="V66" s="309">
        <f t="shared" si="8"/>
        <v>0</v>
      </c>
      <c r="W66" s="294">
        <f t="shared" si="9"/>
        <v>265</v>
      </c>
      <c r="X66" s="300">
        <f t="shared" si="10"/>
        <v>1.8483750000000001</v>
      </c>
      <c r="Y66" s="101">
        <v>500</v>
      </c>
      <c r="Z66" s="101">
        <v>1000</v>
      </c>
    </row>
    <row r="67" spans="1:26" x14ac:dyDescent="0.25">
      <c r="A67" s="264">
        <v>63</v>
      </c>
      <c r="B67" s="101" t="s">
        <v>204</v>
      </c>
      <c r="C67" s="264">
        <v>50</v>
      </c>
      <c r="D67" s="264">
        <v>35</v>
      </c>
      <c r="E67" s="264">
        <v>3</v>
      </c>
      <c r="F67" s="101">
        <f t="shared" si="5"/>
        <v>5.2500000000000003E-3</v>
      </c>
      <c r="G67" s="264">
        <v>363</v>
      </c>
      <c r="H67" s="289">
        <f t="shared" si="6"/>
        <v>1.9057500000000001</v>
      </c>
      <c r="I67" s="290">
        <v>0</v>
      </c>
      <c r="J67" s="205">
        <f t="shared" si="22"/>
        <v>0</v>
      </c>
      <c r="K67" s="290">
        <v>0</v>
      </c>
      <c r="L67" s="205">
        <f t="shared" ref="L67" si="25">F67*K67</f>
        <v>0</v>
      </c>
      <c r="M67" s="290">
        <v>0</v>
      </c>
      <c r="N67" s="264">
        <f t="shared" si="19"/>
        <v>0</v>
      </c>
      <c r="O67" s="290">
        <v>0</v>
      </c>
      <c r="P67" s="264"/>
      <c r="Q67" s="290">
        <v>0</v>
      </c>
      <c r="R67" s="264"/>
      <c r="S67" s="39">
        <f t="shared" si="7"/>
        <v>363</v>
      </c>
      <c r="T67" s="38">
        <f t="shared" si="4"/>
        <v>1.9057500000000001</v>
      </c>
      <c r="U67" s="290">
        <v>0</v>
      </c>
      <c r="V67" s="309">
        <f t="shared" si="8"/>
        <v>0</v>
      </c>
      <c r="W67" s="294">
        <f t="shared" si="9"/>
        <v>363</v>
      </c>
      <c r="X67" s="300">
        <f t="shared" si="10"/>
        <v>1.9057500000000001</v>
      </c>
      <c r="Y67" s="101">
        <v>500</v>
      </c>
      <c r="Z67" s="101">
        <v>1000</v>
      </c>
    </row>
    <row r="68" spans="1:26" x14ac:dyDescent="0.25">
      <c r="A68" s="264">
        <v>64</v>
      </c>
      <c r="B68" s="101" t="s">
        <v>205</v>
      </c>
      <c r="C68" s="264">
        <v>140</v>
      </c>
      <c r="D68" s="264">
        <v>240</v>
      </c>
      <c r="E68" s="264">
        <v>8</v>
      </c>
      <c r="F68" s="101">
        <f t="shared" si="5"/>
        <v>0.26879999999999998</v>
      </c>
      <c r="G68" s="264">
        <v>2</v>
      </c>
      <c r="H68" s="289">
        <f t="shared" si="6"/>
        <v>0.53759999999999997</v>
      </c>
      <c r="I68" s="290">
        <v>0</v>
      </c>
      <c r="J68" s="264">
        <f t="shared" si="22"/>
        <v>0</v>
      </c>
      <c r="K68" s="290">
        <v>0</v>
      </c>
      <c r="L68" s="264"/>
      <c r="M68" s="290">
        <v>0</v>
      </c>
      <c r="N68" s="264">
        <v>0</v>
      </c>
      <c r="O68" s="290">
        <v>0</v>
      </c>
      <c r="P68" s="264"/>
      <c r="Q68" s="290">
        <v>0</v>
      </c>
      <c r="R68" s="264">
        <v>0</v>
      </c>
      <c r="S68" s="39">
        <f t="shared" si="7"/>
        <v>2</v>
      </c>
      <c r="T68" s="38">
        <f t="shared" si="4"/>
        <v>0.53759999999999997</v>
      </c>
      <c r="U68" s="290">
        <v>0</v>
      </c>
      <c r="V68" s="309">
        <v>0</v>
      </c>
      <c r="W68" s="294">
        <f t="shared" si="9"/>
        <v>2</v>
      </c>
      <c r="X68" s="300">
        <f t="shared" si="10"/>
        <v>0.53759999999999997</v>
      </c>
      <c r="Y68" s="101"/>
      <c r="Z68" s="101"/>
    </row>
    <row r="69" spans="1:26" x14ac:dyDescent="0.25">
      <c r="A69" s="264">
        <v>65</v>
      </c>
      <c r="B69" s="101" t="s">
        <v>206</v>
      </c>
      <c r="C69" s="264">
        <v>140</v>
      </c>
      <c r="D69" s="264">
        <v>240</v>
      </c>
      <c r="E69" s="264">
        <v>2</v>
      </c>
      <c r="F69" s="101">
        <f t="shared" si="5"/>
        <v>6.7199999999999996E-2</v>
      </c>
      <c r="G69" s="264">
        <v>80</v>
      </c>
      <c r="H69" s="289">
        <f t="shared" si="6"/>
        <v>5.3759999999999994</v>
      </c>
      <c r="I69" s="290">
        <v>0</v>
      </c>
      <c r="J69" s="264">
        <f t="shared" si="22"/>
        <v>0</v>
      </c>
      <c r="K69" s="290">
        <v>0</v>
      </c>
      <c r="L69" s="264"/>
      <c r="M69" s="290">
        <v>0</v>
      </c>
      <c r="N69" s="174">
        <v>0</v>
      </c>
      <c r="O69" s="290">
        <v>0</v>
      </c>
      <c r="P69" s="264">
        <f t="shared" ref="P69" si="26">F69*O69</f>
        <v>0</v>
      </c>
      <c r="Q69" s="290">
        <v>0</v>
      </c>
      <c r="R69" s="205">
        <f t="shared" ref="R69" si="27">F69*Q69</f>
        <v>0</v>
      </c>
      <c r="S69" s="39">
        <f t="shared" si="7"/>
        <v>80</v>
      </c>
      <c r="T69" s="38">
        <f t="shared" ref="T69:T70" si="28">F69*S69</f>
        <v>5.3759999999999994</v>
      </c>
      <c r="U69" s="290">
        <v>0</v>
      </c>
      <c r="V69" s="309">
        <f t="shared" si="8"/>
        <v>0</v>
      </c>
      <c r="W69" s="294">
        <f t="shared" si="9"/>
        <v>80</v>
      </c>
      <c r="X69" s="300">
        <f t="shared" si="10"/>
        <v>5.3759999999999994</v>
      </c>
      <c r="Y69" s="101">
        <v>70</v>
      </c>
      <c r="Z69" s="101">
        <v>200</v>
      </c>
    </row>
    <row r="70" spans="1:26" x14ac:dyDescent="0.25">
      <c r="A70" s="264">
        <v>66</v>
      </c>
      <c r="B70" s="101" t="s">
        <v>213</v>
      </c>
      <c r="C70" s="264"/>
      <c r="D70" s="264"/>
      <c r="E70" s="264"/>
      <c r="F70" s="101"/>
      <c r="G70" s="264">
        <v>290</v>
      </c>
      <c r="H70" s="289"/>
      <c r="I70" s="290">
        <v>0</v>
      </c>
      <c r="J70" s="264"/>
      <c r="K70" s="290">
        <v>0</v>
      </c>
      <c r="L70" s="264"/>
      <c r="M70" s="290">
        <v>0</v>
      </c>
      <c r="N70" s="264">
        <f t="shared" si="19"/>
        <v>0</v>
      </c>
      <c r="O70" s="290">
        <v>0</v>
      </c>
      <c r="P70" s="264"/>
      <c r="Q70" s="290">
        <v>0</v>
      </c>
      <c r="R70" s="264"/>
      <c r="S70" s="39">
        <f t="shared" ref="S70" si="29">G70-I70-K70-M70-O70-Q70</f>
        <v>290</v>
      </c>
      <c r="T70" s="38">
        <f t="shared" si="28"/>
        <v>0</v>
      </c>
      <c r="U70" s="290">
        <v>0</v>
      </c>
      <c r="V70" s="309">
        <f t="shared" ref="V70" si="30">F70*U70</f>
        <v>0</v>
      </c>
      <c r="W70" s="294">
        <f t="shared" ref="W70" si="31">S70+U70</f>
        <v>290</v>
      </c>
      <c r="X70" s="300">
        <f t="shared" ref="X70" si="32">F70*W70</f>
        <v>0</v>
      </c>
      <c r="Y70" s="101"/>
      <c r="Z70" s="101"/>
    </row>
    <row r="71" spans="1:26" x14ac:dyDescent="0.25">
      <c r="A71" s="277">
        <v>67</v>
      </c>
      <c r="B71" s="317" t="s">
        <v>224</v>
      </c>
      <c r="C71" s="101"/>
      <c r="D71" s="101"/>
      <c r="E71" s="101"/>
      <c r="F71" s="101"/>
      <c r="G71" s="277">
        <v>141</v>
      </c>
      <c r="H71" s="101"/>
      <c r="I71" s="290">
        <v>0</v>
      </c>
      <c r="J71" s="101"/>
      <c r="K71" s="290">
        <v>0</v>
      </c>
      <c r="L71" s="101"/>
      <c r="M71" s="290">
        <v>0</v>
      </c>
      <c r="N71" s="101"/>
      <c r="O71" s="290">
        <v>0</v>
      </c>
      <c r="P71" s="101"/>
      <c r="Q71" s="290">
        <v>0</v>
      </c>
      <c r="R71" s="101"/>
      <c r="S71" s="101"/>
      <c r="T71" s="101"/>
      <c r="U71" s="290">
        <v>0</v>
      </c>
      <c r="V71" s="101"/>
      <c r="W71" s="101"/>
      <c r="X71" s="101"/>
      <c r="Y71" s="101"/>
      <c r="Z71" s="101"/>
    </row>
    <row r="72" spans="1:26" x14ac:dyDescent="0.25">
      <c r="A72" s="101"/>
      <c r="B72" s="317" t="s">
        <v>225</v>
      </c>
      <c r="C72" s="101"/>
      <c r="D72" s="101"/>
      <c r="E72" s="101"/>
      <c r="F72" s="101"/>
      <c r="G72" s="277">
        <v>105</v>
      </c>
      <c r="H72" s="101"/>
      <c r="I72" s="290">
        <v>0</v>
      </c>
      <c r="J72" s="101"/>
      <c r="K72" s="290">
        <v>9</v>
      </c>
      <c r="L72" s="101"/>
      <c r="M72" s="290">
        <v>0</v>
      </c>
      <c r="N72" s="101"/>
      <c r="O72" s="290">
        <v>0</v>
      </c>
      <c r="P72" s="101"/>
      <c r="Q72" s="290">
        <v>0</v>
      </c>
      <c r="R72" s="101"/>
      <c r="S72" s="101"/>
      <c r="T72" s="101"/>
      <c r="U72" s="290">
        <v>0</v>
      </c>
      <c r="V72" s="101"/>
      <c r="W72" s="101"/>
      <c r="X72" s="101"/>
      <c r="Y72" s="101"/>
      <c r="Z72" s="101"/>
    </row>
    <row r="73" spans="1:26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1:26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1:26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1:26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1:26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1:26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</sheetData>
  <mergeCells count="24">
    <mergeCell ref="C1:H1"/>
    <mergeCell ref="G2:H3"/>
    <mergeCell ref="I2:J2"/>
    <mergeCell ref="K2:L2"/>
    <mergeCell ref="M2:N2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S4:T4"/>
    <mergeCell ref="U4:V4"/>
    <mergeCell ref="W4:X4"/>
    <mergeCell ref="G4:H4"/>
    <mergeCell ref="I4:J4"/>
    <mergeCell ref="K4:L4"/>
    <mergeCell ref="M4:N4"/>
    <mergeCell ref="O4:P4"/>
    <mergeCell ref="Q4:R4"/>
  </mergeCell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42F3-60C0-417F-8C2B-26EFAC511D79}">
  <dimension ref="A1:Z78"/>
  <sheetViews>
    <sheetView topLeftCell="A10" workbookViewId="0">
      <selection activeCell="Q30" sqref="Q30"/>
    </sheetView>
  </sheetViews>
  <sheetFormatPr defaultRowHeight="15" x14ac:dyDescent="0.25"/>
  <cols>
    <col min="1" max="1" width="5" customWidth="1"/>
    <col min="2" max="2" width="31.85546875" style="3" customWidth="1"/>
    <col min="3" max="3" width="4.7109375" style="2" hidden="1" customWidth="1"/>
    <col min="4" max="4" width="7.28515625" style="2" hidden="1" customWidth="1"/>
    <col min="5" max="5" width="5.85546875" style="2" hidden="1" customWidth="1"/>
    <col min="6" max="6" width="8" style="4" hidden="1" customWidth="1"/>
    <col min="7" max="7" width="7.5703125" style="5" customWidth="1"/>
    <col min="8" max="8" width="9" style="5" customWidth="1"/>
    <col min="9" max="9" width="6" style="2" customWidth="1"/>
    <col min="10" max="10" width="7.140625" style="2" customWidth="1"/>
    <col min="11" max="11" width="6.28515625" style="2" customWidth="1"/>
    <col min="12" max="12" width="8" style="2" customWidth="1"/>
    <col min="13" max="20" width="6.42578125" style="2" customWidth="1"/>
    <col min="21" max="24" width="6.42578125" customWidth="1"/>
    <col min="25" max="25" width="10.28515625" customWidth="1"/>
  </cols>
  <sheetData>
    <row r="1" spans="1:26" ht="15.75" thickBot="1" x14ac:dyDescent="0.3">
      <c r="B1" s="4" t="s">
        <v>18</v>
      </c>
      <c r="C1" s="384" t="s">
        <v>229</v>
      </c>
      <c r="D1" s="320"/>
      <c r="E1" s="320"/>
      <c r="F1" s="320"/>
      <c r="G1" s="320"/>
      <c r="H1" s="320"/>
      <c r="Y1" s="314">
        <v>45656</v>
      </c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45996</v>
      </c>
      <c r="J2" s="326"/>
      <c r="K2" s="327">
        <v>46003</v>
      </c>
      <c r="L2" s="328"/>
      <c r="M2" s="325">
        <v>46010</v>
      </c>
      <c r="N2" s="329"/>
      <c r="O2" s="327">
        <v>46017</v>
      </c>
      <c r="P2" s="346"/>
      <c r="Q2" s="325">
        <v>46022</v>
      </c>
      <c r="R2" s="329"/>
      <c r="S2" s="330" t="s">
        <v>69</v>
      </c>
      <c r="T2" s="331"/>
      <c r="U2" s="334" t="s">
        <v>70</v>
      </c>
      <c r="V2" s="335"/>
      <c r="W2" s="385" t="s">
        <v>71</v>
      </c>
      <c r="X2" s="386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87"/>
      <c r="X3" s="388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89" t="s">
        <v>63</v>
      </c>
      <c r="X4" s="390"/>
      <c r="Y4" s="268" t="s">
        <v>179</v>
      </c>
      <c r="Z4" s="269" t="s">
        <v>99</v>
      </c>
    </row>
    <row r="5" spans="1:26" x14ac:dyDescent="0.25">
      <c r="A5" s="263">
        <v>1</v>
      </c>
      <c r="B5" s="256" t="s">
        <v>134</v>
      </c>
      <c r="C5" s="32">
        <v>70</v>
      </c>
      <c r="D5" s="33">
        <v>64</v>
      </c>
      <c r="E5" s="33">
        <v>8</v>
      </c>
      <c r="F5" s="15">
        <f>(C5*D5*E5)/1000000</f>
        <v>3.5839999999999997E-2</v>
      </c>
      <c r="G5" s="286">
        <v>194</v>
      </c>
      <c r="H5" s="287">
        <f>F5*G5</f>
        <v>6.9529599999999991</v>
      </c>
      <c r="I5" s="290">
        <v>0</v>
      </c>
      <c r="J5" s="205">
        <f t="shared" ref="J5:R55" si="0">F5*I5</f>
        <v>0</v>
      </c>
      <c r="K5" s="290">
        <v>0</v>
      </c>
      <c r="L5" s="205">
        <f>F5*K5</f>
        <v>0</v>
      </c>
      <c r="M5" s="290">
        <v>0</v>
      </c>
      <c r="N5" s="205">
        <f t="shared" ref="N5:N10" si="1">F5*M5</f>
        <v>0</v>
      </c>
      <c r="O5" s="290">
        <v>0</v>
      </c>
      <c r="P5" s="205">
        <f t="shared" ref="P5:P10" si="2">F5*O5</f>
        <v>0</v>
      </c>
      <c r="Q5" s="290">
        <v>0</v>
      </c>
      <c r="R5" s="205">
        <f t="shared" ref="R5:R11" si="3">F5*Q5</f>
        <v>0</v>
      </c>
      <c r="S5" s="39">
        <f>G5-I5-K5-M5-O5-Q5</f>
        <v>194</v>
      </c>
      <c r="T5" s="38">
        <f t="shared" ref="T5:T68" si="4">F5*S5</f>
        <v>6.9529599999999991</v>
      </c>
      <c r="U5" s="290">
        <v>0</v>
      </c>
      <c r="V5" s="13">
        <f>F5*U5</f>
        <v>0</v>
      </c>
      <c r="W5" s="294">
        <f>S5+U5</f>
        <v>194</v>
      </c>
      <c r="X5" s="295">
        <f>F5*W5</f>
        <v>6.9529599999999991</v>
      </c>
      <c r="Y5" s="266">
        <v>200</v>
      </c>
      <c r="Z5" s="267">
        <v>750</v>
      </c>
    </row>
    <row r="6" spans="1:26" x14ac:dyDescent="0.25">
      <c r="A6" s="264">
        <v>2</v>
      </c>
      <c r="B6" s="256" t="s">
        <v>135</v>
      </c>
      <c r="C6" s="34">
        <v>70</v>
      </c>
      <c r="D6" s="35">
        <v>80</v>
      </c>
      <c r="E6" s="35">
        <v>8</v>
      </c>
      <c r="F6" s="19">
        <f t="shared" ref="F6:F69" si="5">(C6*D6*E6)/1000000</f>
        <v>4.48E-2</v>
      </c>
      <c r="G6" s="286">
        <v>262</v>
      </c>
      <c r="H6" s="288">
        <f t="shared" ref="H6:H69" si="6">F6*G6</f>
        <v>11.7376</v>
      </c>
      <c r="I6" s="290">
        <v>0</v>
      </c>
      <c r="J6" s="205">
        <f t="shared" si="0"/>
        <v>0</v>
      </c>
      <c r="K6" s="290">
        <v>0</v>
      </c>
      <c r="L6" s="205">
        <f>F6*K6</f>
        <v>0</v>
      </c>
      <c r="M6" s="290">
        <v>0</v>
      </c>
      <c r="N6" s="205">
        <f t="shared" si="1"/>
        <v>0</v>
      </c>
      <c r="O6" s="290">
        <v>4</v>
      </c>
      <c r="P6" s="205">
        <f t="shared" si="2"/>
        <v>0.1792</v>
      </c>
      <c r="Q6" s="290">
        <v>0</v>
      </c>
      <c r="R6" s="205">
        <f t="shared" si="3"/>
        <v>0</v>
      </c>
      <c r="S6" s="39">
        <f t="shared" ref="S6:S69" si="7">G6-I6-K6-M6-O6-Q6</f>
        <v>258</v>
      </c>
      <c r="T6" s="38">
        <f t="shared" si="4"/>
        <v>11.558400000000001</v>
      </c>
      <c r="U6" s="290">
        <v>0</v>
      </c>
      <c r="V6" s="13">
        <f t="shared" ref="V6:V69" si="8">F6*U6</f>
        <v>0</v>
      </c>
      <c r="W6" s="294">
        <f t="shared" ref="W6:W69" si="9">S6+U6</f>
        <v>258</v>
      </c>
      <c r="X6" s="295">
        <f t="shared" ref="X6:X69" si="10">F6*W6</f>
        <v>11.558400000000001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136</v>
      </c>
      <c r="C7" s="34">
        <v>70</v>
      </c>
      <c r="D7" s="35">
        <v>74</v>
      </c>
      <c r="E7" s="35">
        <v>8</v>
      </c>
      <c r="F7" s="19">
        <f t="shared" si="5"/>
        <v>4.1439999999999998E-2</v>
      </c>
      <c r="G7" s="286">
        <v>215</v>
      </c>
      <c r="H7" s="288">
        <f t="shared" si="6"/>
        <v>8.9095999999999993</v>
      </c>
      <c r="I7" s="290">
        <v>0</v>
      </c>
      <c r="J7" s="205">
        <f t="shared" si="0"/>
        <v>0</v>
      </c>
      <c r="K7" s="290">
        <v>0</v>
      </c>
      <c r="L7" s="205">
        <f>F7*K7</f>
        <v>0</v>
      </c>
      <c r="M7" s="290">
        <v>0</v>
      </c>
      <c r="N7" s="205">
        <f t="shared" si="1"/>
        <v>0</v>
      </c>
      <c r="O7" s="290">
        <v>2</v>
      </c>
      <c r="P7" s="205">
        <f t="shared" si="2"/>
        <v>8.2879999999999995E-2</v>
      </c>
      <c r="Q7" s="290">
        <v>0</v>
      </c>
      <c r="R7" s="205">
        <f t="shared" si="3"/>
        <v>0</v>
      </c>
      <c r="S7" s="39">
        <f t="shared" si="7"/>
        <v>213</v>
      </c>
      <c r="T7" s="38">
        <f t="shared" si="4"/>
        <v>8.8267199999999999</v>
      </c>
      <c r="U7" s="290">
        <v>0</v>
      </c>
      <c r="V7" s="13">
        <f t="shared" si="8"/>
        <v>0</v>
      </c>
      <c r="W7" s="294">
        <f t="shared" si="9"/>
        <v>213</v>
      </c>
      <c r="X7" s="295">
        <f t="shared" si="10"/>
        <v>8.8267199999999999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208</v>
      </c>
      <c r="C8" s="34">
        <v>70</v>
      </c>
      <c r="D8" s="35">
        <v>88</v>
      </c>
      <c r="E8" s="35">
        <v>8</v>
      </c>
      <c r="F8" s="19">
        <f t="shared" si="5"/>
        <v>4.9279999999999997E-2</v>
      </c>
      <c r="G8" s="286">
        <v>248</v>
      </c>
      <c r="H8" s="288">
        <f t="shared" si="6"/>
        <v>12.221439999999999</v>
      </c>
      <c r="I8" s="290">
        <v>0</v>
      </c>
      <c r="J8" s="205">
        <f t="shared" si="0"/>
        <v>0</v>
      </c>
      <c r="K8" s="290">
        <v>0</v>
      </c>
      <c r="L8" s="205">
        <f>F8*K8</f>
        <v>0</v>
      </c>
      <c r="M8" s="290">
        <v>0</v>
      </c>
      <c r="N8" s="205">
        <f t="shared" si="1"/>
        <v>0</v>
      </c>
      <c r="O8" s="290">
        <v>1</v>
      </c>
      <c r="P8" s="205">
        <f t="shared" si="2"/>
        <v>4.9279999999999997E-2</v>
      </c>
      <c r="Q8" s="290">
        <v>0</v>
      </c>
      <c r="R8" s="205">
        <f t="shared" si="3"/>
        <v>0</v>
      </c>
      <c r="S8" s="39">
        <f t="shared" si="7"/>
        <v>247</v>
      </c>
      <c r="T8" s="38">
        <f t="shared" si="4"/>
        <v>12.17216</v>
      </c>
      <c r="U8" s="290">
        <v>0</v>
      </c>
      <c r="V8" s="13">
        <f t="shared" si="8"/>
        <v>0</v>
      </c>
      <c r="W8" s="294">
        <f t="shared" si="9"/>
        <v>247</v>
      </c>
      <c r="X8" s="295">
        <f t="shared" si="10"/>
        <v>12.17216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138</v>
      </c>
      <c r="C9" s="34">
        <v>140</v>
      </c>
      <c r="D9" s="35">
        <v>240</v>
      </c>
      <c r="E9" s="35">
        <v>5</v>
      </c>
      <c r="F9" s="19">
        <f t="shared" si="5"/>
        <v>0.16800000000000001</v>
      </c>
      <c r="G9" s="286">
        <v>92</v>
      </c>
      <c r="H9" s="288">
        <f t="shared" si="6"/>
        <v>15.456000000000001</v>
      </c>
      <c r="I9" s="290">
        <v>17</v>
      </c>
      <c r="J9" s="205">
        <f t="shared" si="0"/>
        <v>2.8560000000000003</v>
      </c>
      <c r="K9" s="290">
        <v>37</v>
      </c>
      <c r="L9" s="205">
        <f>F9*K9</f>
        <v>6.2160000000000002</v>
      </c>
      <c r="M9" s="290">
        <v>18</v>
      </c>
      <c r="N9" s="205">
        <f t="shared" si="1"/>
        <v>3.024</v>
      </c>
      <c r="O9" s="290">
        <v>26</v>
      </c>
      <c r="P9" s="205">
        <f t="shared" si="2"/>
        <v>4.3680000000000003</v>
      </c>
      <c r="Q9" s="290">
        <v>9</v>
      </c>
      <c r="R9" s="205">
        <f t="shared" si="3"/>
        <v>1.512</v>
      </c>
      <c r="S9" s="39">
        <f t="shared" si="7"/>
        <v>-15</v>
      </c>
      <c r="T9" s="38">
        <f t="shared" si="4"/>
        <v>-2.52</v>
      </c>
      <c r="U9" s="290">
        <v>154</v>
      </c>
      <c r="V9" s="13">
        <f t="shared" si="8"/>
        <v>25.872</v>
      </c>
      <c r="W9" s="294">
        <f t="shared" si="9"/>
        <v>139</v>
      </c>
      <c r="X9" s="295">
        <f t="shared" si="10"/>
        <v>23.352</v>
      </c>
      <c r="Y9" s="238">
        <v>100</v>
      </c>
      <c r="Z9" s="101">
        <v>250</v>
      </c>
    </row>
    <row r="10" spans="1:26" x14ac:dyDescent="0.25">
      <c r="A10" s="264">
        <v>6</v>
      </c>
      <c r="B10" s="256" t="s">
        <v>211</v>
      </c>
      <c r="C10" s="34">
        <v>143</v>
      </c>
      <c r="D10" s="35">
        <v>68</v>
      </c>
      <c r="E10" s="35">
        <v>5</v>
      </c>
      <c r="F10" s="19">
        <f t="shared" si="5"/>
        <v>4.8619999999999997E-2</v>
      </c>
      <c r="G10" s="286">
        <v>393</v>
      </c>
      <c r="H10" s="288">
        <f t="shared" si="6"/>
        <v>19.107659999999999</v>
      </c>
      <c r="I10" s="290">
        <v>61</v>
      </c>
      <c r="J10" s="205">
        <f t="shared" si="0"/>
        <v>2.9658199999999999</v>
      </c>
      <c r="K10" s="290">
        <v>60</v>
      </c>
      <c r="L10" s="205">
        <f t="shared" ref="L10" si="11">F10*K10</f>
        <v>2.9171999999999998</v>
      </c>
      <c r="M10" s="290">
        <v>8</v>
      </c>
      <c r="N10" s="205">
        <f t="shared" si="1"/>
        <v>0.38895999999999997</v>
      </c>
      <c r="O10" s="290">
        <v>28</v>
      </c>
      <c r="P10" s="205">
        <f t="shared" si="2"/>
        <v>1.3613599999999999</v>
      </c>
      <c r="Q10" s="290">
        <v>4</v>
      </c>
      <c r="R10" s="205">
        <f t="shared" si="3"/>
        <v>0.19447999999999999</v>
      </c>
      <c r="S10" s="39">
        <f t="shared" si="7"/>
        <v>232</v>
      </c>
      <c r="T10" s="38">
        <f t="shared" si="4"/>
        <v>11.27984</v>
      </c>
      <c r="U10" s="290">
        <v>0</v>
      </c>
      <c r="V10" s="13">
        <f t="shared" si="8"/>
        <v>0</v>
      </c>
      <c r="W10" s="294">
        <f t="shared" si="9"/>
        <v>232</v>
      </c>
      <c r="X10" s="295">
        <f t="shared" si="10"/>
        <v>11.27984</v>
      </c>
      <c r="Y10" s="238">
        <v>75</v>
      </c>
      <c r="Z10" s="101">
        <v>250</v>
      </c>
    </row>
    <row r="11" spans="1:26" x14ac:dyDescent="0.25">
      <c r="A11" s="264">
        <v>7</v>
      </c>
      <c r="B11" s="256" t="s">
        <v>207</v>
      </c>
      <c r="C11" s="34">
        <v>140</v>
      </c>
      <c r="D11" s="35">
        <v>240</v>
      </c>
      <c r="E11" s="35">
        <v>8</v>
      </c>
      <c r="F11" s="19">
        <f t="shared" si="5"/>
        <v>0.26879999999999998</v>
      </c>
      <c r="G11" s="286">
        <v>38</v>
      </c>
      <c r="H11" s="288">
        <f t="shared" si="6"/>
        <v>10.214399999999999</v>
      </c>
      <c r="I11" s="290">
        <v>0</v>
      </c>
      <c r="J11" s="205">
        <f t="shared" si="0"/>
        <v>0</v>
      </c>
      <c r="K11" s="290">
        <v>0</v>
      </c>
      <c r="L11" s="205">
        <f>F11*K11</f>
        <v>0</v>
      </c>
      <c r="M11" s="290">
        <v>0</v>
      </c>
      <c r="N11" s="21">
        <v>0</v>
      </c>
      <c r="O11" s="290">
        <v>0</v>
      </c>
      <c r="P11" s="21">
        <v>0</v>
      </c>
      <c r="Q11" s="290">
        <v>0</v>
      </c>
      <c r="R11" s="205">
        <f t="shared" si="3"/>
        <v>0</v>
      </c>
      <c r="S11" s="39">
        <f t="shared" si="7"/>
        <v>38</v>
      </c>
      <c r="T11" s="38">
        <f t="shared" si="4"/>
        <v>10.214399999999999</v>
      </c>
      <c r="U11" s="290">
        <v>0</v>
      </c>
      <c r="V11" s="13">
        <f t="shared" si="8"/>
        <v>0</v>
      </c>
      <c r="W11" s="294">
        <f t="shared" si="9"/>
        <v>38</v>
      </c>
      <c r="X11" s="295">
        <f t="shared" si="10"/>
        <v>10.214399999999999</v>
      </c>
      <c r="Y11" s="238">
        <v>30</v>
      </c>
      <c r="Z11" s="101">
        <v>75</v>
      </c>
    </row>
    <row r="12" spans="1:26" x14ac:dyDescent="0.25">
      <c r="A12" s="264">
        <v>8</v>
      </c>
      <c r="B12" s="256" t="s">
        <v>217</v>
      </c>
      <c r="C12" s="34">
        <v>75</v>
      </c>
      <c r="D12" s="35">
        <v>54</v>
      </c>
      <c r="E12" s="35">
        <v>5</v>
      </c>
      <c r="F12" s="19">
        <f t="shared" si="5"/>
        <v>2.0250000000000001E-2</v>
      </c>
      <c r="G12" s="286">
        <v>707</v>
      </c>
      <c r="H12" s="288">
        <f t="shared" si="6"/>
        <v>14.316750000000001</v>
      </c>
      <c r="I12" s="290">
        <v>0</v>
      </c>
      <c r="J12" s="205">
        <f t="shared" si="0"/>
        <v>0</v>
      </c>
      <c r="K12" s="290">
        <v>16</v>
      </c>
      <c r="L12" s="205">
        <f>F12*K12</f>
        <v>0.32400000000000001</v>
      </c>
      <c r="M12" s="290">
        <v>12</v>
      </c>
      <c r="N12" s="205">
        <f>F12*M12</f>
        <v>0.24299999999999999</v>
      </c>
      <c r="O12" s="290">
        <v>18</v>
      </c>
      <c r="P12" s="205">
        <f>F12*O12</f>
        <v>0.36449999999999999</v>
      </c>
      <c r="Q12" s="290">
        <v>0</v>
      </c>
      <c r="R12" s="21">
        <v>0</v>
      </c>
      <c r="S12" s="39">
        <f t="shared" si="7"/>
        <v>661</v>
      </c>
      <c r="T12" s="38">
        <f t="shared" si="4"/>
        <v>13.385250000000001</v>
      </c>
      <c r="U12" s="290">
        <v>8</v>
      </c>
      <c r="V12" s="13">
        <f t="shared" si="8"/>
        <v>0.16200000000000001</v>
      </c>
      <c r="W12" s="294">
        <f t="shared" si="9"/>
        <v>669</v>
      </c>
      <c r="X12" s="295">
        <f t="shared" si="10"/>
        <v>13.54725</v>
      </c>
      <c r="Y12" s="238">
        <v>100</v>
      </c>
      <c r="Z12" s="101">
        <v>300</v>
      </c>
    </row>
    <row r="13" spans="1:26" x14ac:dyDescent="0.25">
      <c r="A13" s="264">
        <v>9</v>
      </c>
      <c r="B13" s="256" t="s">
        <v>142</v>
      </c>
      <c r="C13" s="34">
        <v>140</v>
      </c>
      <c r="D13" s="35">
        <v>240</v>
      </c>
      <c r="E13" s="35">
        <v>5</v>
      </c>
      <c r="F13" s="19">
        <f t="shared" si="5"/>
        <v>0.16800000000000001</v>
      </c>
      <c r="G13" s="286">
        <v>157</v>
      </c>
      <c r="H13" s="288">
        <f t="shared" si="6"/>
        <v>26.376000000000001</v>
      </c>
      <c r="I13" s="290">
        <v>0</v>
      </c>
      <c r="J13" s="205">
        <f t="shared" si="0"/>
        <v>0</v>
      </c>
      <c r="K13" s="290">
        <v>4</v>
      </c>
      <c r="L13" s="205">
        <f>F13*K13</f>
        <v>0.67200000000000004</v>
      </c>
      <c r="M13" s="290">
        <v>0</v>
      </c>
      <c r="N13" s="205">
        <f>F13*M13</f>
        <v>0</v>
      </c>
      <c r="O13" s="290">
        <v>4</v>
      </c>
      <c r="P13" s="205">
        <f>F13*O13</f>
        <v>0.67200000000000004</v>
      </c>
      <c r="Q13" s="290">
        <v>1</v>
      </c>
      <c r="R13" s="205">
        <f>F13*Q13</f>
        <v>0.16800000000000001</v>
      </c>
      <c r="S13" s="39">
        <f t="shared" si="7"/>
        <v>148</v>
      </c>
      <c r="T13" s="38">
        <f t="shared" si="4"/>
        <v>24.864000000000001</v>
      </c>
      <c r="U13" s="290">
        <v>0</v>
      </c>
      <c r="V13" s="13">
        <f t="shared" si="8"/>
        <v>0</v>
      </c>
      <c r="W13" s="294">
        <f t="shared" si="9"/>
        <v>148</v>
      </c>
      <c r="X13" s="295">
        <f t="shared" si="10"/>
        <v>24.864000000000001</v>
      </c>
      <c r="Y13" s="238">
        <v>100</v>
      </c>
      <c r="Z13" s="101">
        <v>300</v>
      </c>
    </row>
    <row r="14" spans="1:26" x14ac:dyDescent="0.25">
      <c r="A14" s="264">
        <v>10</v>
      </c>
      <c r="B14" s="256" t="s">
        <v>215</v>
      </c>
      <c r="C14" s="34">
        <v>90</v>
      </c>
      <c r="D14" s="35">
        <v>85</v>
      </c>
      <c r="E14" s="35">
        <v>5</v>
      </c>
      <c r="F14" s="19">
        <f t="shared" si="5"/>
        <v>3.8249999999999999E-2</v>
      </c>
      <c r="G14" s="286">
        <v>880</v>
      </c>
      <c r="H14" s="288">
        <f t="shared" si="6"/>
        <v>33.659999999999997</v>
      </c>
      <c r="I14" s="290">
        <v>0</v>
      </c>
      <c r="J14" s="205">
        <f t="shared" si="0"/>
        <v>0</v>
      </c>
      <c r="K14" s="290">
        <v>300</v>
      </c>
      <c r="L14" s="205">
        <f t="shared" ref="L14:L20" si="12">F14*K14</f>
        <v>11.475</v>
      </c>
      <c r="M14" s="290">
        <v>0</v>
      </c>
      <c r="N14" s="205">
        <f>F14*M14</f>
        <v>0</v>
      </c>
      <c r="O14" s="290">
        <v>0</v>
      </c>
      <c r="P14" s="205">
        <f t="shared" si="0"/>
        <v>0</v>
      </c>
      <c r="Q14" s="290">
        <v>0</v>
      </c>
      <c r="R14" s="205">
        <f t="shared" si="0"/>
        <v>0</v>
      </c>
      <c r="S14" s="39">
        <f t="shared" si="7"/>
        <v>580</v>
      </c>
      <c r="T14" s="38">
        <f t="shared" si="4"/>
        <v>22.184999999999999</v>
      </c>
      <c r="U14" s="290">
        <v>0</v>
      </c>
      <c r="V14" s="13">
        <f t="shared" si="8"/>
        <v>0</v>
      </c>
      <c r="W14" s="294">
        <f t="shared" si="9"/>
        <v>580</v>
      </c>
      <c r="X14" s="295">
        <f t="shared" si="10"/>
        <v>22.184999999999999</v>
      </c>
      <c r="Y14" s="238">
        <v>100</v>
      </c>
      <c r="Z14" s="101">
        <v>300</v>
      </c>
    </row>
    <row r="15" spans="1:26" x14ac:dyDescent="0.25">
      <c r="A15" s="264">
        <v>11</v>
      </c>
      <c r="B15" s="256" t="s">
        <v>144</v>
      </c>
      <c r="C15" s="34">
        <v>140</v>
      </c>
      <c r="D15" s="35">
        <v>240</v>
      </c>
      <c r="E15" s="35">
        <v>5</v>
      </c>
      <c r="F15" s="19">
        <f t="shared" si="5"/>
        <v>0.16800000000000001</v>
      </c>
      <c r="G15" s="286">
        <v>308</v>
      </c>
      <c r="H15" s="288">
        <f t="shared" si="6"/>
        <v>51.744</v>
      </c>
      <c r="I15" s="290">
        <v>1</v>
      </c>
      <c r="J15" s="205">
        <f t="shared" si="0"/>
        <v>0.16800000000000001</v>
      </c>
      <c r="K15" s="290">
        <v>8</v>
      </c>
      <c r="L15" s="205">
        <f t="shared" si="12"/>
        <v>1.3440000000000001</v>
      </c>
      <c r="M15" s="290">
        <v>2</v>
      </c>
      <c r="N15" s="205">
        <f t="shared" ref="N15:N37" si="13">F15*M15</f>
        <v>0.33600000000000002</v>
      </c>
      <c r="O15" s="290">
        <v>5</v>
      </c>
      <c r="P15" s="205">
        <f t="shared" ref="P15:P36" si="14">F15*O15</f>
        <v>0.84000000000000008</v>
      </c>
      <c r="Q15" s="290">
        <v>9</v>
      </c>
      <c r="R15" s="205">
        <f t="shared" ref="R15:R20" si="15">F15*Q15</f>
        <v>1.512</v>
      </c>
      <c r="S15" s="39">
        <f t="shared" si="7"/>
        <v>283</v>
      </c>
      <c r="T15" s="38">
        <f t="shared" si="4"/>
        <v>47.544000000000004</v>
      </c>
      <c r="U15" s="290">
        <v>0</v>
      </c>
      <c r="V15" s="13">
        <f t="shared" si="8"/>
        <v>0</v>
      </c>
      <c r="W15" s="294">
        <f t="shared" si="9"/>
        <v>283</v>
      </c>
      <c r="X15" s="295">
        <f t="shared" si="10"/>
        <v>47.544000000000004</v>
      </c>
      <c r="Y15" s="238">
        <v>200</v>
      </c>
      <c r="Z15" s="101">
        <v>400</v>
      </c>
    </row>
    <row r="16" spans="1:26" x14ac:dyDescent="0.25">
      <c r="A16" s="264">
        <v>12</v>
      </c>
      <c r="B16" s="256" t="s">
        <v>145</v>
      </c>
      <c r="C16" s="34">
        <v>140</v>
      </c>
      <c r="D16" s="35">
        <v>240</v>
      </c>
      <c r="E16" s="35">
        <v>5</v>
      </c>
      <c r="F16" s="19">
        <f t="shared" si="5"/>
        <v>0.16800000000000001</v>
      </c>
      <c r="G16" s="286">
        <v>74</v>
      </c>
      <c r="H16" s="288">
        <f t="shared" si="6"/>
        <v>12.432</v>
      </c>
      <c r="I16" s="290">
        <v>11</v>
      </c>
      <c r="J16" s="205">
        <f t="shared" si="0"/>
        <v>1.8480000000000001</v>
      </c>
      <c r="K16" s="290">
        <v>15</v>
      </c>
      <c r="L16" s="205">
        <f t="shared" si="12"/>
        <v>2.52</v>
      </c>
      <c r="M16" s="290">
        <v>15</v>
      </c>
      <c r="N16" s="205">
        <f t="shared" si="13"/>
        <v>2.52</v>
      </c>
      <c r="O16" s="290">
        <v>19</v>
      </c>
      <c r="P16" s="205">
        <f t="shared" si="14"/>
        <v>3.1920000000000002</v>
      </c>
      <c r="Q16" s="290">
        <v>4</v>
      </c>
      <c r="R16" s="205">
        <f t="shared" si="15"/>
        <v>0.67200000000000004</v>
      </c>
      <c r="S16" s="39">
        <f t="shared" si="7"/>
        <v>10</v>
      </c>
      <c r="T16" s="38">
        <f t="shared" si="4"/>
        <v>1.6800000000000002</v>
      </c>
      <c r="U16" s="290">
        <v>100</v>
      </c>
      <c r="V16" s="13">
        <f t="shared" si="8"/>
        <v>16.8</v>
      </c>
      <c r="W16" s="294">
        <f t="shared" si="9"/>
        <v>110</v>
      </c>
      <c r="X16" s="295">
        <f t="shared" si="10"/>
        <v>18.48</v>
      </c>
      <c r="Y16" s="238">
        <v>100</v>
      </c>
      <c r="Z16" s="101">
        <v>300</v>
      </c>
    </row>
    <row r="17" spans="1:26" x14ac:dyDescent="0.25">
      <c r="A17" s="264">
        <v>13</v>
      </c>
      <c r="B17" s="256" t="s">
        <v>146</v>
      </c>
      <c r="C17" s="34">
        <v>140</v>
      </c>
      <c r="D17" s="35">
        <v>240</v>
      </c>
      <c r="E17" s="35">
        <v>8</v>
      </c>
      <c r="F17" s="19">
        <f t="shared" si="5"/>
        <v>0.26879999999999998</v>
      </c>
      <c r="G17" s="286">
        <v>79</v>
      </c>
      <c r="H17" s="288">
        <f t="shared" si="6"/>
        <v>21.235199999999999</v>
      </c>
      <c r="I17" s="290">
        <v>0</v>
      </c>
      <c r="J17" s="205">
        <f t="shared" si="0"/>
        <v>0</v>
      </c>
      <c r="K17" s="290">
        <v>0</v>
      </c>
      <c r="L17" s="205">
        <f t="shared" si="12"/>
        <v>0</v>
      </c>
      <c r="M17" s="290">
        <v>2</v>
      </c>
      <c r="N17" s="205">
        <f t="shared" si="13"/>
        <v>0.53759999999999997</v>
      </c>
      <c r="O17" s="290">
        <v>0</v>
      </c>
      <c r="P17" s="205">
        <f t="shared" si="14"/>
        <v>0</v>
      </c>
      <c r="Q17" s="290">
        <v>3</v>
      </c>
      <c r="R17" s="205">
        <f t="shared" si="15"/>
        <v>0.80640000000000001</v>
      </c>
      <c r="S17" s="39">
        <f t="shared" si="7"/>
        <v>74</v>
      </c>
      <c r="T17" s="38">
        <f t="shared" si="4"/>
        <v>19.891199999999998</v>
      </c>
      <c r="U17" s="290">
        <v>0</v>
      </c>
      <c r="V17" s="13">
        <f t="shared" si="8"/>
        <v>0</v>
      </c>
      <c r="W17" s="294">
        <f t="shared" si="9"/>
        <v>74</v>
      </c>
      <c r="X17" s="295">
        <f t="shared" si="10"/>
        <v>19.891199999999998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147</v>
      </c>
      <c r="C18" s="34">
        <v>77</v>
      </c>
      <c r="D18" s="35">
        <v>86</v>
      </c>
      <c r="E18" s="35">
        <v>8</v>
      </c>
      <c r="F18" s="19">
        <f t="shared" si="5"/>
        <v>5.2976000000000002E-2</v>
      </c>
      <c r="G18" s="286">
        <v>795</v>
      </c>
      <c r="H18" s="288">
        <f t="shared" si="6"/>
        <v>42.115920000000003</v>
      </c>
      <c r="I18" s="290">
        <v>0</v>
      </c>
      <c r="J18" s="205">
        <f t="shared" si="0"/>
        <v>0</v>
      </c>
      <c r="K18" s="290">
        <v>0</v>
      </c>
      <c r="L18" s="205">
        <f t="shared" si="12"/>
        <v>0</v>
      </c>
      <c r="M18" s="290">
        <v>0</v>
      </c>
      <c r="N18" s="205">
        <f t="shared" si="13"/>
        <v>0</v>
      </c>
      <c r="O18" s="290">
        <v>6</v>
      </c>
      <c r="P18" s="205">
        <f t="shared" si="14"/>
        <v>0.31785600000000003</v>
      </c>
      <c r="Q18" s="290">
        <v>0</v>
      </c>
      <c r="R18" s="205">
        <f t="shared" si="15"/>
        <v>0</v>
      </c>
      <c r="S18" s="39">
        <f t="shared" si="7"/>
        <v>789</v>
      </c>
      <c r="T18" s="38">
        <f t="shared" si="4"/>
        <v>41.798064000000004</v>
      </c>
      <c r="U18" s="290">
        <v>0</v>
      </c>
      <c r="V18" s="13">
        <f t="shared" si="8"/>
        <v>0</v>
      </c>
      <c r="W18" s="294">
        <f t="shared" si="9"/>
        <v>789</v>
      </c>
      <c r="X18" s="295">
        <f t="shared" si="10"/>
        <v>41.798064000000004</v>
      </c>
      <c r="Y18" s="238">
        <v>100</v>
      </c>
      <c r="Z18" s="101">
        <v>300</v>
      </c>
    </row>
    <row r="19" spans="1:26" x14ac:dyDescent="0.25">
      <c r="A19" s="264">
        <v>15</v>
      </c>
      <c r="B19" s="256" t="s">
        <v>148</v>
      </c>
      <c r="C19" s="34">
        <v>77</v>
      </c>
      <c r="D19" s="35">
        <v>68</v>
      </c>
      <c r="E19" s="35">
        <v>8</v>
      </c>
      <c r="F19" s="19">
        <f t="shared" si="5"/>
        <v>4.1888000000000002E-2</v>
      </c>
      <c r="G19" s="286">
        <v>83</v>
      </c>
      <c r="H19" s="288">
        <f t="shared" si="6"/>
        <v>3.4767040000000002</v>
      </c>
      <c r="I19" s="290">
        <v>0</v>
      </c>
      <c r="J19" s="205">
        <f t="shared" si="0"/>
        <v>0</v>
      </c>
      <c r="K19" s="290">
        <v>0</v>
      </c>
      <c r="L19" s="205">
        <f t="shared" si="12"/>
        <v>0</v>
      </c>
      <c r="M19" s="290">
        <v>0</v>
      </c>
      <c r="N19" s="205">
        <f t="shared" si="13"/>
        <v>0</v>
      </c>
      <c r="O19" s="290">
        <v>0</v>
      </c>
      <c r="P19" s="205">
        <f t="shared" si="14"/>
        <v>0</v>
      </c>
      <c r="Q19" s="290">
        <v>0</v>
      </c>
      <c r="R19" s="205">
        <f t="shared" si="15"/>
        <v>0</v>
      </c>
      <c r="S19" s="39">
        <f t="shared" si="7"/>
        <v>83</v>
      </c>
      <c r="T19" s="38">
        <f t="shared" si="4"/>
        <v>3.4767040000000002</v>
      </c>
      <c r="U19" s="290">
        <v>258</v>
      </c>
      <c r="V19" s="13">
        <f t="shared" si="8"/>
        <v>10.807104000000001</v>
      </c>
      <c r="W19" s="294">
        <f t="shared" si="9"/>
        <v>341</v>
      </c>
      <c r="X19" s="295">
        <f t="shared" si="10"/>
        <v>14.283808000000001</v>
      </c>
      <c r="Y19" s="238">
        <v>100</v>
      </c>
      <c r="Z19" s="101">
        <v>300</v>
      </c>
    </row>
    <row r="20" spans="1:26" x14ac:dyDescent="0.25">
      <c r="A20" s="264">
        <v>16</v>
      </c>
      <c r="B20" s="256" t="s">
        <v>149</v>
      </c>
      <c r="C20" s="34">
        <v>76</v>
      </c>
      <c r="D20" s="35">
        <v>75</v>
      </c>
      <c r="E20" s="35">
        <v>8</v>
      </c>
      <c r="F20" s="19">
        <f t="shared" si="5"/>
        <v>4.5600000000000002E-2</v>
      </c>
      <c r="G20" s="286">
        <v>1216</v>
      </c>
      <c r="H20" s="288">
        <f t="shared" si="6"/>
        <v>55.449600000000004</v>
      </c>
      <c r="I20" s="290">
        <v>0</v>
      </c>
      <c r="J20" s="205">
        <f t="shared" si="0"/>
        <v>0</v>
      </c>
      <c r="K20" s="290">
        <v>0</v>
      </c>
      <c r="L20" s="205">
        <f t="shared" si="12"/>
        <v>0</v>
      </c>
      <c r="M20" s="290">
        <v>0</v>
      </c>
      <c r="N20" s="205">
        <f t="shared" si="13"/>
        <v>0</v>
      </c>
      <c r="O20" s="290">
        <v>3</v>
      </c>
      <c r="P20" s="205">
        <f t="shared" si="14"/>
        <v>0.1368</v>
      </c>
      <c r="Q20" s="290">
        <v>0</v>
      </c>
      <c r="R20" s="205">
        <f t="shared" si="15"/>
        <v>0</v>
      </c>
      <c r="S20" s="39">
        <f t="shared" si="7"/>
        <v>1213</v>
      </c>
      <c r="T20" s="38">
        <f t="shared" si="4"/>
        <v>55.312800000000003</v>
      </c>
      <c r="U20" s="290">
        <v>0</v>
      </c>
      <c r="V20" s="13">
        <f t="shared" si="8"/>
        <v>0</v>
      </c>
      <c r="W20" s="294">
        <f t="shared" si="9"/>
        <v>1213</v>
      </c>
      <c r="X20" s="295">
        <f t="shared" si="10"/>
        <v>55.312800000000003</v>
      </c>
      <c r="Y20" s="238">
        <v>100</v>
      </c>
      <c r="Z20" s="101">
        <v>300</v>
      </c>
    </row>
    <row r="21" spans="1:26" x14ac:dyDescent="0.25">
      <c r="A21" s="264">
        <v>17</v>
      </c>
      <c r="B21" s="256" t="s">
        <v>150</v>
      </c>
      <c r="C21" s="34">
        <v>60</v>
      </c>
      <c r="D21" s="35">
        <v>63</v>
      </c>
      <c r="E21" s="35">
        <v>10</v>
      </c>
      <c r="F21" s="19">
        <f t="shared" si="5"/>
        <v>3.78E-2</v>
      </c>
      <c r="G21" s="286">
        <v>417</v>
      </c>
      <c r="H21" s="288">
        <f t="shared" si="6"/>
        <v>15.762600000000001</v>
      </c>
      <c r="I21" s="290">
        <v>0</v>
      </c>
      <c r="J21" s="205">
        <f t="shared" si="0"/>
        <v>0</v>
      </c>
      <c r="K21" s="290">
        <v>0</v>
      </c>
      <c r="L21" s="205">
        <f t="shared" si="0"/>
        <v>0</v>
      </c>
      <c r="M21" s="290">
        <v>0</v>
      </c>
      <c r="N21" s="21">
        <v>0</v>
      </c>
      <c r="O21" s="290">
        <v>0</v>
      </c>
      <c r="P21" s="205">
        <f t="shared" si="14"/>
        <v>0</v>
      </c>
      <c r="Q21" s="290">
        <v>0</v>
      </c>
      <c r="R21" s="21">
        <v>0</v>
      </c>
      <c r="S21" s="39">
        <f t="shared" si="7"/>
        <v>417</v>
      </c>
      <c r="T21" s="38">
        <f t="shared" si="4"/>
        <v>15.762600000000001</v>
      </c>
      <c r="U21" s="290">
        <v>0</v>
      </c>
      <c r="V21" s="13">
        <f t="shared" si="8"/>
        <v>0</v>
      </c>
      <c r="W21" s="294">
        <f t="shared" si="9"/>
        <v>417</v>
      </c>
      <c r="X21" s="295">
        <f t="shared" si="10"/>
        <v>15.762600000000001</v>
      </c>
      <c r="Y21" s="238">
        <v>50</v>
      </c>
      <c r="Z21" s="101">
        <v>200</v>
      </c>
    </row>
    <row r="22" spans="1:26" x14ac:dyDescent="0.25">
      <c r="A22" s="264">
        <v>18</v>
      </c>
      <c r="B22" s="256" t="s">
        <v>151</v>
      </c>
      <c r="C22" s="34">
        <v>63</v>
      </c>
      <c r="D22" s="35">
        <v>60</v>
      </c>
      <c r="E22" s="35">
        <v>3</v>
      </c>
      <c r="F22" s="19">
        <f t="shared" si="5"/>
        <v>1.1339999999999999E-2</v>
      </c>
      <c r="G22" s="286">
        <v>171</v>
      </c>
      <c r="H22" s="288">
        <f t="shared" si="6"/>
        <v>1.9391399999999999</v>
      </c>
      <c r="I22" s="290">
        <v>0</v>
      </c>
      <c r="J22" s="205">
        <f t="shared" si="0"/>
        <v>0</v>
      </c>
      <c r="K22" s="290">
        <v>0</v>
      </c>
      <c r="L22" s="205">
        <f>F22*K22</f>
        <v>0</v>
      </c>
      <c r="M22" s="290">
        <v>0</v>
      </c>
      <c r="N22" s="205">
        <f t="shared" si="13"/>
        <v>0</v>
      </c>
      <c r="O22" s="290">
        <v>0</v>
      </c>
      <c r="P22" s="205">
        <f t="shared" si="14"/>
        <v>0</v>
      </c>
      <c r="Q22" s="290">
        <v>0</v>
      </c>
      <c r="R22" s="21">
        <v>0</v>
      </c>
      <c r="S22" s="39">
        <f t="shared" si="7"/>
        <v>171</v>
      </c>
      <c r="T22" s="38">
        <f t="shared" si="4"/>
        <v>1.9391399999999999</v>
      </c>
      <c r="U22" s="290">
        <v>0</v>
      </c>
      <c r="V22" s="13">
        <f t="shared" si="8"/>
        <v>0</v>
      </c>
      <c r="W22" s="294">
        <f t="shared" si="9"/>
        <v>171</v>
      </c>
      <c r="X22" s="295">
        <f t="shared" si="10"/>
        <v>1.9391399999999999</v>
      </c>
      <c r="Y22" s="238">
        <v>50</v>
      </c>
      <c r="Z22" s="101">
        <v>200</v>
      </c>
    </row>
    <row r="23" spans="1:26" x14ac:dyDescent="0.25">
      <c r="A23" s="264">
        <v>19</v>
      </c>
      <c r="B23" s="42" t="s">
        <v>152</v>
      </c>
      <c r="C23" s="34">
        <v>140</v>
      </c>
      <c r="D23" s="35">
        <v>240</v>
      </c>
      <c r="E23" s="35">
        <v>1.4</v>
      </c>
      <c r="F23" s="19">
        <f t="shared" si="5"/>
        <v>4.7039999999999998E-2</v>
      </c>
      <c r="G23" s="286">
        <v>908</v>
      </c>
      <c r="H23" s="288">
        <f t="shared" si="6"/>
        <v>42.712319999999998</v>
      </c>
      <c r="I23" s="290">
        <v>56</v>
      </c>
      <c r="J23" s="205">
        <f t="shared" si="0"/>
        <v>2.6342400000000001</v>
      </c>
      <c r="K23" s="290">
        <v>59</v>
      </c>
      <c r="L23" s="205">
        <f t="shared" ref="L23:L36" si="16">F23*K23</f>
        <v>2.77536</v>
      </c>
      <c r="M23" s="290">
        <v>84</v>
      </c>
      <c r="N23" s="205">
        <f t="shared" si="13"/>
        <v>3.9513599999999998</v>
      </c>
      <c r="O23" s="290">
        <v>101</v>
      </c>
      <c r="P23" s="205">
        <f t="shared" si="14"/>
        <v>4.7510399999999997</v>
      </c>
      <c r="Q23" s="290">
        <v>9</v>
      </c>
      <c r="R23" s="205">
        <f t="shared" ref="R23:R37" si="17">F23*Q23</f>
        <v>0.42335999999999996</v>
      </c>
      <c r="S23" s="39">
        <f t="shared" si="7"/>
        <v>599</v>
      </c>
      <c r="T23" s="38">
        <f t="shared" si="4"/>
        <v>28.176959999999998</v>
      </c>
      <c r="U23" s="290">
        <v>100</v>
      </c>
      <c r="V23" s="13">
        <f t="shared" si="8"/>
        <v>4.7039999999999997</v>
      </c>
      <c r="W23" s="294">
        <f t="shared" si="9"/>
        <v>699</v>
      </c>
      <c r="X23" s="295">
        <f t="shared" si="10"/>
        <v>32.880960000000002</v>
      </c>
      <c r="Y23" s="238">
        <v>200</v>
      </c>
      <c r="Z23" s="101">
        <v>500</v>
      </c>
    </row>
    <row r="24" spans="1:26" x14ac:dyDescent="0.25">
      <c r="A24" s="264">
        <v>20</v>
      </c>
      <c r="B24" s="256" t="s">
        <v>3</v>
      </c>
      <c r="C24" s="34">
        <v>140</v>
      </c>
      <c r="D24" s="35">
        <v>240</v>
      </c>
      <c r="E24" s="35">
        <v>0.8</v>
      </c>
      <c r="F24" s="19">
        <f t="shared" si="5"/>
        <v>2.6880000000000001E-2</v>
      </c>
      <c r="G24" s="286">
        <v>82</v>
      </c>
      <c r="H24" s="288">
        <f t="shared" si="6"/>
        <v>2.2041599999999999</v>
      </c>
      <c r="I24" s="290">
        <v>25</v>
      </c>
      <c r="J24" s="205">
        <f t="shared" si="0"/>
        <v>0.67200000000000004</v>
      </c>
      <c r="K24" s="290">
        <v>9</v>
      </c>
      <c r="L24" s="205">
        <f t="shared" si="16"/>
        <v>0.24192000000000002</v>
      </c>
      <c r="M24" s="290">
        <v>2</v>
      </c>
      <c r="N24" s="205">
        <f t="shared" si="13"/>
        <v>5.3760000000000002E-2</v>
      </c>
      <c r="O24" s="290">
        <v>12</v>
      </c>
      <c r="P24" s="205">
        <f t="shared" si="14"/>
        <v>0.32256000000000001</v>
      </c>
      <c r="Q24" s="290">
        <v>22</v>
      </c>
      <c r="R24" s="205">
        <f t="shared" si="17"/>
        <v>0.59136</v>
      </c>
      <c r="S24" s="39">
        <f t="shared" si="7"/>
        <v>12</v>
      </c>
      <c r="T24" s="38">
        <f t="shared" si="4"/>
        <v>0.32256000000000001</v>
      </c>
      <c r="U24" s="290">
        <v>220</v>
      </c>
      <c r="V24" s="13">
        <f t="shared" si="8"/>
        <v>5.9136000000000006</v>
      </c>
      <c r="W24" s="294">
        <f t="shared" si="9"/>
        <v>232</v>
      </c>
      <c r="X24" s="295">
        <f t="shared" si="10"/>
        <v>6.2361599999999999</v>
      </c>
      <c r="Y24" s="238">
        <v>100</v>
      </c>
      <c r="Z24" s="101">
        <v>300</v>
      </c>
    </row>
    <row r="25" spans="1:26" x14ac:dyDescent="0.25">
      <c r="A25" s="264">
        <v>21</v>
      </c>
      <c r="B25" s="256" t="s">
        <v>153</v>
      </c>
      <c r="C25" s="34">
        <v>58</v>
      </c>
      <c r="D25" s="35">
        <v>58</v>
      </c>
      <c r="E25" s="35">
        <v>2.2999999999999998</v>
      </c>
      <c r="F25" s="19">
        <f t="shared" si="5"/>
        <v>7.7371999999999996E-3</v>
      </c>
      <c r="G25" s="286">
        <v>723</v>
      </c>
      <c r="H25" s="288">
        <f t="shared" si="6"/>
        <v>5.5939955999999995</v>
      </c>
      <c r="I25" s="290">
        <v>225</v>
      </c>
      <c r="J25" s="205">
        <f t="shared" si="0"/>
        <v>1.7408699999999999</v>
      </c>
      <c r="K25" s="290">
        <v>170</v>
      </c>
      <c r="L25" s="205">
        <f t="shared" si="16"/>
        <v>1.3153239999999999</v>
      </c>
      <c r="M25" s="290">
        <v>450</v>
      </c>
      <c r="N25" s="205">
        <f t="shared" si="13"/>
        <v>3.4817399999999998</v>
      </c>
      <c r="O25" s="290">
        <v>25</v>
      </c>
      <c r="P25" s="205">
        <f t="shared" si="14"/>
        <v>0.19342999999999999</v>
      </c>
      <c r="Q25" s="290">
        <v>54</v>
      </c>
      <c r="R25" s="205">
        <f t="shared" si="17"/>
        <v>0.41780879999999998</v>
      </c>
      <c r="S25" s="39">
        <f t="shared" si="7"/>
        <v>-201</v>
      </c>
      <c r="T25" s="38">
        <f t="shared" si="4"/>
        <v>-1.5551771999999999</v>
      </c>
      <c r="U25" s="290">
        <v>616</v>
      </c>
      <c r="V25" s="13">
        <f t="shared" si="8"/>
        <v>4.7661151999999998</v>
      </c>
      <c r="W25" s="294">
        <f t="shared" si="9"/>
        <v>415</v>
      </c>
      <c r="X25" s="295">
        <f t="shared" si="10"/>
        <v>3.2109379999999996</v>
      </c>
      <c r="Y25" s="238">
        <v>200</v>
      </c>
      <c r="Z25" s="101">
        <v>750</v>
      </c>
    </row>
    <row r="26" spans="1:26" x14ac:dyDescent="0.25">
      <c r="A26" s="264">
        <v>22</v>
      </c>
      <c r="B26" s="256" t="s">
        <v>154</v>
      </c>
      <c r="C26" s="34">
        <v>140</v>
      </c>
      <c r="D26" s="35">
        <v>240</v>
      </c>
      <c r="E26" s="35">
        <v>7</v>
      </c>
      <c r="F26" s="19">
        <f t="shared" si="5"/>
        <v>0.23519999999999999</v>
      </c>
      <c r="G26" s="286">
        <v>35</v>
      </c>
      <c r="H26" s="288">
        <f t="shared" si="6"/>
        <v>8.2319999999999993</v>
      </c>
      <c r="I26" s="290">
        <v>7</v>
      </c>
      <c r="J26" s="205">
        <f t="shared" si="0"/>
        <v>1.6463999999999999</v>
      </c>
      <c r="K26" s="290">
        <v>10</v>
      </c>
      <c r="L26" s="205">
        <f t="shared" si="16"/>
        <v>2.3519999999999999</v>
      </c>
      <c r="M26" s="290">
        <v>14</v>
      </c>
      <c r="N26" s="205">
        <f t="shared" si="13"/>
        <v>3.2927999999999997</v>
      </c>
      <c r="O26" s="290">
        <v>9</v>
      </c>
      <c r="P26" s="205">
        <f t="shared" si="14"/>
        <v>2.1168</v>
      </c>
      <c r="Q26" s="290">
        <v>9</v>
      </c>
      <c r="R26" s="205">
        <f t="shared" si="17"/>
        <v>2.1168</v>
      </c>
      <c r="S26" s="39">
        <f t="shared" si="7"/>
        <v>-14</v>
      </c>
      <c r="T26" s="38">
        <f t="shared" si="4"/>
        <v>-3.2927999999999997</v>
      </c>
      <c r="U26" s="290">
        <v>51</v>
      </c>
      <c r="V26" s="13">
        <f t="shared" si="8"/>
        <v>11.995199999999999</v>
      </c>
      <c r="W26" s="294">
        <f t="shared" si="9"/>
        <v>37</v>
      </c>
      <c r="X26" s="295">
        <f t="shared" si="10"/>
        <v>8.702399999999999</v>
      </c>
      <c r="Y26" s="238">
        <v>50</v>
      </c>
      <c r="Z26" s="101">
        <v>200</v>
      </c>
    </row>
    <row r="27" spans="1:26" ht="15.75" x14ac:dyDescent="0.25">
      <c r="A27" s="264">
        <v>23</v>
      </c>
      <c r="B27" s="256" t="s">
        <v>55</v>
      </c>
      <c r="C27" s="111">
        <v>50</v>
      </c>
      <c r="D27" s="112">
        <v>45</v>
      </c>
      <c r="E27" s="112">
        <v>4</v>
      </c>
      <c r="F27" s="19">
        <f t="shared" si="5"/>
        <v>8.9999999999999993E-3</v>
      </c>
      <c r="G27" s="286">
        <v>1550</v>
      </c>
      <c r="H27" s="288">
        <f t="shared" si="6"/>
        <v>13.95</v>
      </c>
      <c r="I27" s="290">
        <v>0</v>
      </c>
      <c r="J27" s="205">
        <f t="shared" si="0"/>
        <v>0</v>
      </c>
      <c r="K27" s="290">
        <v>0</v>
      </c>
      <c r="L27" s="205">
        <f t="shared" si="16"/>
        <v>0</v>
      </c>
      <c r="M27" s="290">
        <v>0</v>
      </c>
      <c r="N27" s="205">
        <f t="shared" si="13"/>
        <v>0</v>
      </c>
      <c r="O27" s="290">
        <v>0</v>
      </c>
      <c r="P27" s="205">
        <f t="shared" si="14"/>
        <v>0</v>
      </c>
      <c r="Q27" s="290">
        <v>0</v>
      </c>
      <c r="R27" s="205">
        <f t="shared" si="17"/>
        <v>0</v>
      </c>
      <c r="S27" s="39">
        <f t="shared" si="7"/>
        <v>1550</v>
      </c>
      <c r="T27" s="38">
        <f t="shared" si="4"/>
        <v>13.95</v>
      </c>
      <c r="U27" s="290">
        <v>0</v>
      </c>
      <c r="V27" s="13">
        <f t="shared" si="8"/>
        <v>0</v>
      </c>
      <c r="W27" s="294">
        <f t="shared" si="9"/>
        <v>1550</v>
      </c>
      <c r="X27" s="295">
        <f t="shared" si="10"/>
        <v>13.95</v>
      </c>
      <c r="Y27" s="238">
        <v>300</v>
      </c>
      <c r="Z27" s="101">
        <v>1000</v>
      </c>
    </row>
    <row r="28" spans="1:26" ht="15.75" x14ac:dyDescent="0.25">
      <c r="A28" s="264">
        <v>24</v>
      </c>
      <c r="B28" s="256" t="s">
        <v>56</v>
      </c>
      <c r="C28" s="111">
        <v>50</v>
      </c>
      <c r="D28" s="112">
        <v>35</v>
      </c>
      <c r="E28" s="112">
        <v>4</v>
      </c>
      <c r="F28" s="19">
        <f t="shared" si="5"/>
        <v>7.0000000000000001E-3</v>
      </c>
      <c r="G28" s="286">
        <v>0</v>
      </c>
      <c r="H28" s="288">
        <f t="shared" si="6"/>
        <v>0</v>
      </c>
      <c r="I28" s="290">
        <v>0</v>
      </c>
      <c r="J28" s="205">
        <f t="shared" si="0"/>
        <v>0</v>
      </c>
      <c r="K28" s="290">
        <v>0</v>
      </c>
      <c r="L28" s="205">
        <f t="shared" si="16"/>
        <v>0</v>
      </c>
      <c r="M28" s="290">
        <v>0</v>
      </c>
      <c r="N28" s="205">
        <f t="shared" si="13"/>
        <v>0</v>
      </c>
      <c r="O28" s="290">
        <v>0</v>
      </c>
      <c r="P28" s="205">
        <f t="shared" si="14"/>
        <v>0</v>
      </c>
      <c r="Q28" s="290">
        <v>0</v>
      </c>
      <c r="R28" s="205">
        <f t="shared" si="17"/>
        <v>0</v>
      </c>
      <c r="S28" s="39">
        <f t="shared" si="7"/>
        <v>0</v>
      </c>
      <c r="T28" s="38">
        <f t="shared" si="4"/>
        <v>0</v>
      </c>
      <c r="U28" s="290">
        <v>0</v>
      </c>
      <c r="V28" s="13">
        <f t="shared" si="8"/>
        <v>0</v>
      </c>
      <c r="W28" s="294">
        <f t="shared" si="9"/>
        <v>0</v>
      </c>
      <c r="X28" s="295">
        <f t="shared" si="10"/>
        <v>0</v>
      </c>
      <c r="Y28" s="238">
        <v>300</v>
      </c>
      <c r="Z28" s="101">
        <v>1000</v>
      </c>
    </row>
    <row r="29" spans="1:26" ht="15.75" x14ac:dyDescent="0.25">
      <c r="A29" s="264">
        <v>25</v>
      </c>
      <c r="B29" s="256" t="s">
        <v>57</v>
      </c>
      <c r="C29" s="111">
        <v>45</v>
      </c>
      <c r="D29" s="112">
        <v>44</v>
      </c>
      <c r="E29" s="112">
        <v>3</v>
      </c>
      <c r="F29" s="19">
        <f t="shared" si="5"/>
        <v>5.94E-3</v>
      </c>
      <c r="G29" s="286">
        <v>130</v>
      </c>
      <c r="H29" s="288">
        <f t="shared" si="6"/>
        <v>0.7722</v>
      </c>
      <c r="I29" s="290">
        <v>0</v>
      </c>
      <c r="J29" s="205">
        <f t="shared" si="0"/>
        <v>0</v>
      </c>
      <c r="K29" s="290">
        <v>73</v>
      </c>
      <c r="L29" s="205">
        <f t="shared" si="16"/>
        <v>0.43362000000000001</v>
      </c>
      <c r="M29" s="290">
        <v>0</v>
      </c>
      <c r="N29" s="205">
        <f t="shared" si="13"/>
        <v>0</v>
      </c>
      <c r="O29" s="290">
        <v>50</v>
      </c>
      <c r="P29" s="205">
        <f t="shared" si="14"/>
        <v>0.29699999999999999</v>
      </c>
      <c r="Q29" s="290">
        <v>12</v>
      </c>
      <c r="R29" s="205">
        <f t="shared" si="17"/>
        <v>7.1279999999999996E-2</v>
      </c>
      <c r="S29" s="39">
        <f t="shared" si="7"/>
        <v>-5</v>
      </c>
      <c r="T29" s="38">
        <f t="shared" si="4"/>
        <v>-2.9700000000000001E-2</v>
      </c>
      <c r="U29" s="290">
        <v>930</v>
      </c>
      <c r="V29" s="13">
        <f t="shared" si="8"/>
        <v>5.5241999999999996</v>
      </c>
      <c r="W29" s="294">
        <f t="shared" si="9"/>
        <v>925</v>
      </c>
      <c r="X29" s="295">
        <f t="shared" si="10"/>
        <v>5.4945000000000004</v>
      </c>
      <c r="Y29" s="238">
        <v>500</v>
      </c>
      <c r="Z29" s="101">
        <v>1500</v>
      </c>
    </row>
    <row r="30" spans="1:26" ht="15.75" x14ac:dyDescent="0.25">
      <c r="A30" s="264">
        <v>26</v>
      </c>
      <c r="B30" s="256" t="s">
        <v>58</v>
      </c>
      <c r="C30" s="111">
        <v>45</v>
      </c>
      <c r="D30" s="112">
        <v>35.5</v>
      </c>
      <c r="E30" s="112">
        <v>3</v>
      </c>
      <c r="F30" s="19">
        <f t="shared" si="5"/>
        <v>4.7924999999999999E-3</v>
      </c>
      <c r="G30" s="286">
        <v>18</v>
      </c>
      <c r="H30" s="288">
        <f t="shared" si="6"/>
        <v>8.6264999999999994E-2</v>
      </c>
      <c r="I30" s="290">
        <v>0</v>
      </c>
      <c r="J30" s="205">
        <f t="shared" si="0"/>
        <v>0</v>
      </c>
      <c r="K30" s="290">
        <v>73</v>
      </c>
      <c r="L30" s="205">
        <f t="shared" si="16"/>
        <v>0.34985250000000001</v>
      </c>
      <c r="M30" s="290">
        <v>0</v>
      </c>
      <c r="N30" s="205">
        <f t="shared" si="13"/>
        <v>0</v>
      </c>
      <c r="O30" s="290">
        <v>50</v>
      </c>
      <c r="P30" s="205">
        <f t="shared" si="14"/>
        <v>0.239625</v>
      </c>
      <c r="Q30" s="290">
        <v>12</v>
      </c>
      <c r="R30" s="205">
        <f t="shared" si="17"/>
        <v>5.7509999999999999E-2</v>
      </c>
      <c r="S30" s="39">
        <f t="shared" si="7"/>
        <v>-117</v>
      </c>
      <c r="T30" s="38">
        <f t="shared" si="4"/>
        <v>-0.56072250000000001</v>
      </c>
      <c r="U30" s="290">
        <v>832</v>
      </c>
      <c r="V30" s="13">
        <f t="shared" si="8"/>
        <v>3.9873599999999998</v>
      </c>
      <c r="W30" s="294">
        <f t="shared" si="9"/>
        <v>715</v>
      </c>
      <c r="X30" s="295">
        <f t="shared" si="10"/>
        <v>3.4266375</v>
      </c>
      <c r="Y30" s="238">
        <v>500</v>
      </c>
      <c r="Z30" s="101">
        <v>1500</v>
      </c>
    </row>
    <row r="31" spans="1:26" x14ac:dyDescent="0.25">
      <c r="A31" s="264">
        <v>27</v>
      </c>
      <c r="B31" s="256" t="s">
        <v>155</v>
      </c>
      <c r="C31" s="34">
        <v>140</v>
      </c>
      <c r="D31" s="35">
        <v>9.5</v>
      </c>
      <c r="E31" s="35">
        <v>6.5</v>
      </c>
      <c r="F31" s="19">
        <f t="shared" si="5"/>
        <v>8.6449999999999999E-3</v>
      </c>
      <c r="G31" s="286">
        <v>1081</v>
      </c>
      <c r="H31" s="288">
        <f t="shared" si="6"/>
        <v>9.3452450000000002</v>
      </c>
      <c r="I31" s="290">
        <v>125</v>
      </c>
      <c r="J31" s="205">
        <f t="shared" si="0"/>
        <v>1.0806249999999999</v>
      </c>
      <c r="K31" s="290">
        <v>198</v>
      </c>
      <c r="L31" s="205">
        <f t="shared" si="16"/>
        <v>1.7117100000000001</v>
      </c>
      <c r="M31" s="290">
        <v>280</v>
      </c>
      <c r="N31" s="205">
        <f t="shared" si="13"/>
        <v>2.4205999999999999</v>
      </c>
      <c r="O31" s="290">
        <v>280</v>
      </c>
      <c r="P31" s="205">
        <f t="shared" si="14"/>
        <v>2.4205999999999999</v>
      </c>
      <c r="Q31" s="290">
        <v>68</v>
      </c>
      <c r="R31" s="205">
        <f t="shared" si="17"/>
        <v>0.58786000000000005</v>
      </c>
      <c r="S31" s="39">
        <f t="shared" si="7"/>
        <v>130</v>
      </c>
      <c r="T31" s="38">
        <f t="shared" si="4"/>
        <v>1.12385</v>
      </c>
      <c r="U31" s="290">
        <v>315</v>
      </c>
      <c r="V31" s="13">
        <f t="shared" si="8"/>
        <v>2.7231749999999999</v>
      </c>
      <c r="W31" s="294">
        <f t="shared" si="9"/>
        <v>445</v>
      </c>
      <c r="X31" s="295">
        <f t="shared" si="10"/>
        <v>3.8470249999999999</v>
      </c>
      <c r="Y31" s="238">
        <v>500</v>
      </c>
      <c r="Z31" s="101">
        <v>1500</v>
      </c>
    </row>
    <row r="32" spans="1:26" x14ac:dyDescent="0.25">
      <c r="A32" s="264">
        <v>28</v>
      </c>
      <c r="B32" s="256" t="s">
        <v>156</v>
      </c>
      <c r="C32" s="34">
        <v>140</v>
      </c>
      <c r="D32" s="35">
        <v>240</v>
      </c>
      <c r="E32" s="35">
        <v>1</v>
      </c>
      <c r="F32" s="19">
        <f t="shared" si="5"/>
        <v>3.3599999999999998E-2</v>
      </c>
      <c r="G32" s="286">
        <v>795</v>
      </c>
      <c r="H32" s="288">
        <f t="shared" si="6"/>
        <v>26.712</v>
      </c>
      <c r="I32" s="290">
        <v>160</v>
      </c>
      <c r="J32" s="205">
        <f t="shared" si="0"/>
        <v>5.3759999999999994</v>
      </c>
      <c r="K32" s="290">
        <v>126</v>
      </c>
      <c r="L32" s="205">
        <f t="shared" si="16"/>
        <v>4.2336</v>
      </c>
      <c r="M32" s="290">
        <v>161</v>
      </c>
      <c r="N32" s="205">
        <f t="shared" si="13"/>
        <v>5.4095999999999993</v>
      </c>
      <c r="O32" s="290">
        <v>112</v>
      </c>
      <c r="P32" s="205">
        <f t="shared" si="14"/>
        <v>3.7631999999999999</v>
      </c>
      <c r="Q32" s="290">
        <v>108</v>
      </c>
      <c r="R32" s="205">
        <f>F32*Q32</f>
        <v>3.6287999999999996</v>
      </c>
      <c r="S32" s="39">
        <f t="shared" si="7"/>
        <v>128</v>
      </c>
      <c r="T32" s="38">
        <f t="shared" si="4"/>
        <v>4.3007999999999997</v>
      </c>
      <c r="U32" s="290">
        <v>1520</v>
      </c>
      <c r="V32" s="13">
        <f t="shared" si="8"/>
        <v>51.071999999999996</v>
      </c>
      <c r="W32" s="294">
        <f t="shared" si="9"/>
        <v>1648</v>
      </c>
      <c r="X32" s="295">
        <f t="shared" si="10"/>
        <v>55.372799999999998</v>
      </c>
      <c r="Y32" s="238">
        <v>500</v>
      </c>
      <c r="Z32" s="101">
        <v>1500</v>
      </c>
    </row>
    <row r="33" spans="1:26" x14ac:dyDescent="0.25">
      <c r="A33" s="264">
        <v>29</v>
      </c>
      <c r="B33" s="256" t="s">
        <v>157</v>
      </c>
      <c r="C33" s="34">
        <v>140</v>
      </c>
      <c r="D33" s="35">
        <v>240</v>
      </c>
      <c r="E33" s="35">
        <v>2</v>
      </c>
      <c r="F33" s="19">
        <f t="shared" si="5"/>
        <v>6.7199999999999996E-2</v>
      </c>
      <c r="G33" s="286">
        <v>100</v>
      </c>
      <c r="H33" s="288">
        <f t="shared" si="6"/>
        <v>6.72</v>
      </c>
      <c r="I33" s="290">
        <v>19</v>
      </c>
      <c r="J33" s="205">
        <f t="shared" si="0"/>
        <v>1.2767999999999999</v>
      </c>
      <c r="K33" s="290">
        <v>13</v>
      </c>
      <c r="L33" s="205">
        <f t="shared" si="16"/>
        <v>0.87359999999999993</v>
      </c>
      <c r="M33" s="290">
        <v>16</v>
      </c>
      <c r="N33" s="205">
        <f t="shared" si="13"/>
        <v>1.0751999999999999</v>
      </c>
      <c r="O33" s="290">
        <v>26</v>
      </c>
      <c r="P33" s="205">
        <f t="shared" si="14"/>
        <v>1.7471999999999999</v>
      </c>
      <c r="Q33" s="290">
        <v>18</v>
      </c>
      <c r="R33" s="205">
        <f>F33*Q33</f>
        <v>1.2096</v>
      </c>
      <c r="S33" s="39">
        <f t="shared" si="7"/>
        <v>8</v>
      </c>
      <c r="T33" s="38">
        <f t="shared" si="4"/>
        <v>0.53759999999999997</v>
      </c>
      <c r="U33" s="290">
        <v>100</v>
      </c>
      <c r="V33" s="13">
        <f t="shared" si="8"/>
        <v>6.72</v>
      </c>
      <c r="W33" s="294">
        <f t="shared" si="9"/>
        <v>108</v>
      </c>
      <c r="X33" s="295">
        <f t="shared" si="10"/>
        <v>7.2575999999999992</v>
      </c>
      <c r="Y33" s="238">
        <v>75</v>
      </c>
      <c r="Z33" s="101">
        <v>150</v>
      </c>
    </row>
    <row r="34" spans="1:26" x14ac:dyDescent="0.25">
      <c r="A34" s="264">
        <v>30</v>
      </c>
      <c r="B34" s="256" t="s">
        <v>158</v>
      </c>
      <c r="C34" s="34">
        <v>140</v>
      </c>
      <c r="D34" s="35">
        <v>240</v>
      </c>
      <c r="E34" s="35">
        <v>3</v>
      </c>
      <c r="F34" s="19">
        <f t="shared" si="5"/>
        <v>0.1008</v>
      </c>
      <c r="G34" s="286">
        <v>197</v>
      </c>
      <c r="H34" s="288">
        <f t="shared" si="6"/>
        <v>19.857600000000001</v>
      </c>
      <c r="I34" s="290">
        <v>12</v>
      </c>
      <c r="J34" s="205">
        <f>F34*I34</f>
        <v>1.2096</v>
      </c>
      <c r="K34" s="290">
        <v>16</v>
      </c>
      <c r="L34" s="205">
        <f t="shared" si="16"/>
        <v>1.6128</v>
      </c>
      <c r="M34" s="290">
        <v>5</v>
      </c>
      <c r="N34" s="205">
        <f t="shared" si="13"/>
        <v>0.504</v>
      </c>
      <c r="O34" s="290">
        <v>19</v>
      </c>
      <c r="P34" s="205">
        <f t="shared" si="14"/>
        <v>1.9152</v>
      </c>
      <c r="Q34" s="290">
        <v>14</v>
      </c>
      <c r="R34" s="205">
        <f t="shared" si="17"/>
        <v>1.4112</v>
      </c>
      <c r="S34" s="39">
        <f t="shared" si="7"/>
        <v>131</v>
      </c>
      <c r="T34" s="38">
        <f t="shared" si="4"/>
        <v>13.204800000000001</v>
      </c>
      <c r="U34" s="290">
        <v>99</v>
      </c>
      <c r="V34" s="13">
        <f t="shared" si="8"/>
        <v>9.9792000000000005</v>
      </c>
      <c r="W34" s="294">
        <f t="shared" si="9"/>
        <v>230</v>
      </c>
      <c r="X34" s="295">
        <f t="shared" si="10"/>
        <v>23.184000000000001</v>
      </c>
      <c r="Y34" s="238">
        <v>75</v>
      </c>
      <c r="Z34" s="101">
        <v>150</v>
      </c>
    </row>
    <row r="35" spans="1:26" x14ac:dyDescent="0.25">
      <c r="A35" s="264">
        <v>31</v>
      </c>
      <c r="B35" s="256" t="s">
        <v>159</v>
      </c>
      <c r="C35" s="34">
        <v>140</v>
      </c>
      <c r="D35" s="35">
        <v>240</v>
      </c>
      <c r="E35" s="35">
        <v>4</v>
      </c>
      <c r="F35" s="19">
        <f t="shared" si="5"/>
        <v>0.13439999999999999</v>
      </c>
      <c r="G35" s="286">
        <v>76</v>
      </c>
      <c r="H35" s="288">
        <f t="shared" si="6"/>
        <v>10.214399999999999</v>
      </c>
      <c r="I35" s="290">
        <v>8</v>
      </c>
      <c r="J35" s="205">
        <f t="shared" si="0"/>
        <v>1.0751999999999999</v>
      </c>
      <c r="K35" s="290">
        <v>8</v>
      </c>
      <c r="L35" s="205">
        <f t="shared" si="16"/>
        <v>1.0751999999999999</v>
      </c>
      <c r="M35" s="290">
        <v>9</v>
      </c>
      <c r="N35" s="205">
        <f t="shared" si="13"/>
        <v>1.2096</v>
      </c>
      <c r="O35" s="290">
        <v>8</v>
      </c>
      <c r="P35" s="205">
        <f t="shared" si="14"/>
        <v>1.0751999999999999</v>
      </c>
      <c r="Q35" s="290">
        <v>0</v>
      </c>
      <c r="R35" s="205">
        <f t="shared" si="17"/>
        <v>0</v>
      </c>
      <c r="S35" s="39">
        <f t="shared" si="7"/>
        <v>43</v>
      </c>
      <c r="T35" s="38">
        <f t="shared" si="4"/>
        <v>5.7791999999999994</v>
      </c>
      <c r="U35" s="290">
        <v>49</v>
      </c>
      <c r="V35" s="13">
        <f t="shared" si="8"/>
        <v>6.5855999999999995</v>
      </c>
      <c r="W35" s="294">
        <f t="shared" si="9"/>
        <v>92</v>
      </c>
      <c r="X35" s="295">
        <f t="shared" si="10"/>
        <v>12.364799999999999</v>
      </c>
      <c r="Y35" s="238">
        <v>50</v>
      </c>
      <c r="Z35" s="101">
        <v>100</v>
      </c>
    </row>
    <row r="36" spans="1:26" x14ac:dyDescent="0.25">
      <c r="A36" s="264">
        <v>32</v>
      </c>
      <c r="B36" s="256" t="s">
        <v>160</v>
      </c>
      <c r="C36" s="34">
        <v>140</v>
      </c>
      <c r="D36" s="35">
        <v>240</v>
      </c>
      <c r="E36" s="35">
        <v>2</v>
      </c>
      <c r="F36" s="19">
        <f t="shared" si="5"/>
        <v>6.7199999999999996E-2</v>
      </c>
      <c r="G36" s="286">
        <v>221</v>
      </c>
      <c r="H36" s="288">
        <f t="shared" si="6"/>
        <v>14.851199999999999</v>
      </c>
      <c r="I36" s="290">
        <v>45</v>
      </c>
      <c r="J36" s="205">
        <f>F36*I36</f>
        <v>3.024</v>
      </c>
      <c r="K36" s="290">
        <v>38</v>
      </c>
      <c r="L36" s="205">
        <f t="shared" si="16"/>
        <v>2.5535999999999999</v>
      </c>
      <c r="M36" s="290">
        <v>57</v>
      </c>
      <c r="N36" s="205">
        <f t="shared" si="13"/>
        <v>3.8303999999999996</v>
      </c>
      <c r="O36" s="290">
        <v>34</v>
      </c>
      <c r="P36" s="205">
        <f t="shared" si="14"/>
        <v>2.2847999999999997</v>
      </c>
      <c r="Q36" s="290">
        <v>36</v>
      </c>
      <c r="R36" s="205">
        <f t="shared" si="17"/>
        <v>2.4192</v>
      </c>
      <c r="S36" s="39">
        <f t="shared" si="7"/>
        <v>11</v>
      </c>
      <c r="T36" s="38">
        <f t="shared" si="4"/>
        <v>0.73919999999999997</v>
      </c>
      <c r="U36" s="290">
        <v>213</v>
      </c>
      <c r="V36" s="13">
        <f t="shared" si="8"/>
        <v>14.313599999999999</v>
      </c>
      <c r="W36" s="294">
        <f t="shared" si="9"/>
        <v>224</v>
      </c>
      <c r="X36" s="295">
        <f t="shared" si="10"/>
        <v>15.0528</v>
      </c>
      <c r="Y36" s="238">
        <v>200</v>
      </c>
      <c r="Z36" s="101">
        <v>300</v>
      </c>
    </row>
    <row r="37" spans="1:26" x14ac:dyDescent="0.25">
      <c r="A37" s="264">
        <v>33</v>
      </c>
      <c r="B37" s="256" t="s">
        <v>222</v>
      </c>
      <c r="C37" s="34">
        <v>140</v>
      </c>
      <c r="D37" s="35">
        <v>240</v>
      </c>
      <c r="E37" s="35">
        <v>6</v>
      </c>
      <c r="F37" s="19">
        <f t="shared" si="5"/>
        <v>0.2016</v>
      </c>
      <c r="G37" s="286">
        <v>24</v>
      </c>
      <c r="H37" s="288">
        <f t="shared" si="6"/>
        <v>4.8384</v>
      </c>
      <c r="I37" s="290">
        <v>0</v>
      </c>
      <c r="J37" s="205">
        <f t="shared" si="0"/>
        <v>0</v>
      </c>
      <c r="K37" s="290">
        <v>0</v>
      </c>
      <c r="L37" s="205">
        <f>F37*K37</f>
        <v>0</v>
      </c>
      <c r="M37" s="290">
        <v>0</v>
      </c>
      <c r="N37" s="205">
        <f t="shared" si="13"/>
        <v>0</v>
      </c>
      <c r="O37" s="290">
        <v>0</v>
      </c>
      <c r="P37" s="21">
        <v>0</v>
      </c>
      <c r="Q37" s="290">
        <v>0</v>
      </c>
      <c r="R37" s="205">
        <f t="shared" si="17"/>
        <v>0</v>
      </c>
      <c r="S37" s="39">
        <f t="shared" si="7"/>
        <v>24</v>
      </c>
      <c r="T37" s="38">
        <f t="shared" si="4"/>
        <v>4.8384</v>
      </c>
      <c r="U37" s="290">
        <v>0</v>
      </c>
      <c r="V37" s="13">
        <f t="shared" si="8"/>
        <v>0</v>
      </c>
      <c r="W37" s="294">
        <f t="shared" si="9"/>
        <v>24</v>
      </c>
      <c r="X37" s="295">
        <f t="shared" si="10"/>
        <v>4.8384</v>
      </c>
      <c r="Y37" s="238">
        <v>10</v>
      </c>
      <c r="Z37" s="101">
        <v>30</v>
      </c>
    </row>
    <row r="38" spans="1:26" x14ac:dyDescent="0.25">
      <c r="A38" s="264">
        <v>34</v>
      </c>
      <c r="B38" s="256" t="s">
        <v>181</v>
      </c>
      <c r="C38" s="34">
        <v>80</v>
      </c>
      <c r="D38" s="35">
        <v>75</v>
      </c>
      <c r="E38" s="35">
        <v>5</v>
      </c>
      <c r="F38" s="19">
        <f t="shared" si="5"/>
        <v>0.03</v>
      </c>
      <c r="G38" s="286">
        <v>175</v>
      </c>
      <c r="H38" s="288">
        <f t="shared" si="6"/>
        <v>5.25</v>
      </c>
      <c r="I38" s="290">
        <v>0</v>
      </c>
      <c r="J38" s="205">
        <f t="shared" si="0"/>
        <v>0</v>
      </c>
      <c r="K38" s="290">
        <v>0</v>
      </c>
      <c r="L38" s="205">
        <f t="shared" si="0"/>
        <v>0</v>
      </c>
      <c r="M38" s="290">
        <v>0</v>
      </c>
      <c r="N38" s="21">
        <v>0</v>
      </c>
      <c r="O38" s="290">
        <v>0</v>
      </c>
      <c r="P38" s="21">
        <v>0</v>
      </c>
      <c r="Q38" s="290">
        <v>0</v>
      </c>
      <c r="R38" s="21">
        <v>0</v>
      </c>
      <c r="S38" s="39">
        <f t="shared" si="7"/>
        <v>175</v>
      </c>
      <c r="T38" s="38">
        <f t="shared" si="4"/>
        <v>5.25</v>
      </c>
      <c r="U38" s="290">
        <v>0</v>
      </c>
      <c r="V38" s="13">
        <f t="shared" si="8"/>
        <v>0</v>
      </c>
      <c r="W38" s="294">
        <f t="shared" si="9"/>
        <v>175</v>
      </c>
      <c r="X38" s="295">
        <f t="shared" si="10"/>
        <v>5.25</v>
      </c>
      <c r="Y38" s="238">
        <v>50</v>
      </c>
      <c r="Z38" s="101">
        <v>100</v>
      </c>
    </row>
    <row r="39" spans="1:26" x14ac:dyDescent="0.25">
      <c r="A39" s="264">
        <v>35</v>
      </c>
      <c r="B39" s="256" t="s">
        <v>182</v>
      </c>
      <c r="C39" s="34">
        <v>100</v>
      </c>
      <c r="D39" s="35">
        <v>95</v>
      </c>
      <c r="E39" s="35">
        <v>5</v>
      </c>
      <c r="F39" s="19">
        <f t="shared" si="5"/>
        <v>4.7500000000000001E-2</v>
      </c>
      <c r="G39" s="286">
        <v>85</v>
      </c>
      <c r="H39" s="288">
        <f t="shared" si="6"/>
        <v>4.0374999999999996</v>
      </c>
      <c r="I39" s="290">
        <v>0</v>
      </c>
      <c r="J39" s="205">
        <f t="shared" si="0"/>
        <v>0</v>
      </c>
      <c r="K39" s="290">
        <v>0</v>
      </c>
      <c r="L39" s="205">
        <f>F39*K39</f>
        <v>0</v>
      </c>
      <c r="M39" s="290">
        <v>0</v>
      </c>
      <c r="N39" s="205">
        <f>F39*M39</f>
        <v>0</v>
      </c>
      <c r="O39" s="290">
        <v>0</v>
      </c>
      <c r="P39" s="205">
        <f>J39*O39</f>
        <v>0</v>
      </c>
      <c r="Q39" s="290">
        <v>0</v>
      </c>
      <c r="R39" s="205">
        <f>L39*Q39</f>
        <v>0</v>
      </c>
      <c r="S39" s="39">
        <f t="shared" si="7"/>
        <v>85</v>
      </c>
      <c r="T39" s="38">
        <f t="shared" si="4"/>
        <v>4.0374999999999996</v>
      </c>
      <c r="U39" s="290">
        <v>0</v>
      </c>
      <c r="V39" s="13">
        <f t="shared" si="8"/>
        <v>0</v>
      </c>
      <c r="W39" s="294">
        <f t="shared" si="9"/>
        <v>85</v>
      </c>
      <c r="X39" s="295">
        <f t="shared" si="10"/>
        <v>4.0374999999999996</v>
      </c>
      <c r="Y39" s="238">
        <v>50</v>
      </c>
      <c r="Z39" s="101">
        <v>100</v>
      </c>
    </row>
    <row r="40" spans="1:26" x14ac:dyDescent="0.25">
      <c r="A40" s="264">
        <v>36</v>
      </c>
      <c r="B40" s="256" t="s">
        <v>196</v>
      </c>
      <c r="C40" s="34">
        <v>65</v>
      </c>
      <c r="D40" s="35">
        <v>60</v>
      </c>
      <c r="E40" s="35">
        <v>5</v>
      </c>
      <c r="F40" s="19">
        <f t="shared" si="5"/>
        <v>1.95E-2</v>
      </c>
      <c r="G40" s="286">
        <v>360</v>
      </c>
      <c r="H40" s="288">
        <f t="shared" si="6"/>
        <v>7.02</v>
      </c>
      <c r="I40" s="290">
        <v>0</v>
      </c>
      <c r="J40" s="205">
        <f t="shared" si="0"/>
        <v>0</v>
      </c>
      <c r="K40" s="290">
        <v>0</v>
      </c>
      <c r="L40" s="205">
        <f>F40*K40</f>
        <v>0</v>
      </c>
      <c r="M40" s="290">
        <v>0</v>
      </c>
      <c r="N40" s="205">
        <f>F40*M40</f>
        <v>0</v>
      </c>
      <c r="O40" s="290">
        <v>0</v>
      </c>
      <c r="P40" s="205">
        <f>F40*O40</f>
        <v>0</v>
      </c>
      <c r="Q40" s="290">
        <v>0</v>
      </c>
      <c r="R40" s="205">
        <f>F40*Q40</f>
        <v>0</v>
      </c>
      <c r="S40" s="39">
        <f t="shared" si="7"/>
        <v>360</v>
      </c>
      <c r="T40" s="38">
        <f t="shared" si="4"/>
        <v>7.02</v>
      </c>
      <c r="U40" s="290">
        <v>0</v>
      </c>
      <c r="V40" s="13">
        <f t="shared" si="8"/>
        <v>0</v>
      </c>
      <c r="W40" s="294">
        <f t="shared" si="9"/>
        <v>360</v>
      </c>
      <c r="X40" s="295">
        <f t="shared" si="10"/>
        <v>7.02</v>
      </c>
      <c r="Y40" s="238">
        <v>100</v>
      </c>
      <c r="Z40" s="101">
        <v>300</v>
      </c>
    </row>
    <row r="41" spans="1:26" x14ac:dyDescent="0.25">
      <c r="A41" s="264">
        <v>37</v>
      </c>
      <c r="B41" s="256" t="s">
        <v>165</v>
      </c>
      <c r="C41" s="34">
        <v>140</v>
      </c>
      <c r="D41" s="35">
        <v>240</v>
      </c>
      <c r="E41" s="35">
        <v>10</v>
      </c>
      <c r="F41" s="19">
        <f t="shared" si="5"/>
        <v>0.33600000000000002</v>
      </c>
      <c r="G41" s="286">
        <v>47</v>
      </c>
      <c r="H41" s="288">
        <f t="shared" si="6"/>
        <v>15.792000000000002</v>
      </c>
      <c r="I41" s="290">
        <v>7</v>
      </c>
      <c r="J41" s="205">
        <f>F41*I41</f>
        <v>2.3520000000000003</v>
      </c>
      <c r="K41" s="290">
        <v>10</v>
      </c>
      <c r="L41" s="205">
        <f>F41*K41</f>
        <v>3.3600000000000003</v>
      </c>
      <c r="M41" s="290">
        <v>9</v>
      </c>
      <c r="N41" s="205">
        <f>F41*M41</f>
        <v>3.024</v>
      </c>
      <c r="O41" s="290">
        <v>16</v>
      </c>
      <c r="P41" s="205">
        <f>F41*O41</f>
        <v>5.3760000000000003</v>
      </c>
      <c r="Q41" s="290">
        <v>4</v>
      </c>
      <c r="R41" s="205">
        <f>F41*Q41</f>
        <v>1.3440000000000001</v>
      </c>
      <c r="S41" s="39">
        <f t="shared" si="7"/>
        <v>1</v>
      </c>
      <c r="T41" s="38">
        <f t="shared" si="4"/>
        <v>0.33600000000000002</v>
      </c>
      <c r="U41" s="290">
        <v>60</v>
      </c>
      <c r="V41" s="13">
        <f t="shared" si="8"/>
        <v>20.16</v>
      </c>
      <c r="W41" s="294">
        <f t="shared" si="9"/>
        <v>61</v>
      </c>
      <c r="X41" s="295">
        <f t="shared" si="10"/>
        <v>20.496000000000002</v>
      </c>
      <c r="Y41" s="238">
        <v>50</v>
      </c>
      <c r="Z41" s="101">
        <v>100</v>
      </c>
    </row>
    <row r="42" spans="1:26" x14ac:dyDescent="0.25">
      <c r="A42" s="264">
        <v>38</v>
      </c>
      <c r="B42" s="256" t="s">
        <v>166</v>
      </c>
      <c r="C42" s="34">
        <v>92</v>
      </c>
      <c r="D42" s="35">
        <v>82</v>
      </c>
      <c r="E42" s="35">
        <v>2</v>
      </c>
      <c r="F42" s="19">
        <f t="shared" si="5"/>
        <v>1.5088000000000001E-2</v>
      </c>
      <c r="G42" s="286">
        <v>656</v>
      </c>
      <c r="H42" s="288">
        <f t="shared" si="6"/>
        <v>9.8977280000000007</v>
      </c>
      <c r="I42" s="290">
        <v>34</v>
      </c>
      <c r="J42" s="205">
        <f t="shared" si="0"/>
        <v>0.512992</v>
      </c>
      <c r="K42" s="290">
        <v>21</v>
      </c>
      <c r="L42" s="205">
        <f>F42*K42</f>
        <v>0.31684800000000002</v>
      </c>
      <c r="M42" s="290">
        <v>4</v>
      </c>
      <c r="N42" s="205">
        <f>F42*M42</f>
        <v>6.0352000000000003E-2</v>
      </c>
      <c r="O42" s="290">
        <v>0</v>
      </c>
      <c r="P42" s="205">
        <f>F42*O42</f>
        <v>0</v>
      </c>
      <c r="Q42" s="290">
        <v>0</v>
      </c>
      <c r="R42" s="205">
        <f>F42*Q42</f>
        <v>0</v>
      </c>
      <c r="S42" s="39">
        <f t="shared" si="7"/>
        <v>597</v>
      </c>
      <c r="T42" s="38">
        <f t="shared" si="4"/>
        <v>9.007536</v>
      </c>
      <c r="U42" s="290">
        <v>0</v>
      </c>
      <c r="V42" s="13">
        <f t="shared" si="8"/>
        <v>0</v>
      </c>
      <c r="W42" s="294">
        <f t="shared" si="9"/>
        <v>597</v>
      </c>
      <c r="X42" s="295">
        <f t="shared" si="10"/>
        <v>9.007536</v>
      </c>
      <c r="Y42" s="238">
        <v>100</v>
      </c>
      <c r="Z42" s="101">
        <v>300</v>
      </c>
    </row>
    <row r="43" spans="1:26" x14ac:dyDescent="0.25">
      <c r="A43" s="264">
        <v>39</v>
      </c>
      <c r="B43" s="256" t="s">
        <v>183</v>
      </c>
      <c r="C43" s="34">
        <v>90</v>
      </c>
      <c r="D43" s="35">
        <v>90</v>
      </c>
      <c r="E43" s="35">
        <v>3</v>
      </c>
      <c r="F43" s="19">
        <f t="shared" si="5"/>
        <v>2.4299999999999999E-2</v>
      </c>
      <c r="G43" s="286">
        <v>124</v>
      </c>
      <c r="H43" s="288">
        <f t="shared" si="6"/>
        <v>3.0131999999999999</v>
      </c>
      <c r="I43" s="290">
        <v>0</v>
      </c>
      <c r="J43" s="205">
        <f t="shared" si="0"/>
        <v>0</v>
      </c>
      <c r="K43" s="290">
        <v>0</v>
      </c>
      <c r="L43" s="205">
        <f t="shared" si="0"/>
        <v>0</v>
      </c>
      <c r="M43" s="290">
        <v>0</v>
      </c>
      <c r="N43" s="21">
        <v>0</v>
      </c>
      <c r="O43" s="290">
        <v>0</v>
      </c>
      <c r="P43" s="21">
        <v>0</v>
      </c>
      <c r="Q43" s="290">
        <v>0</v>
      </c>
      <c r="R43" s="21">
        <v>0</v>
      </c>
      <c r="S43" s="39">
        <f t="shared" si="7"/>
        <v>124</v>
      </c>
      <c r="T43" s="38">
        <f t="shared" si="4"/>
        <v>3.0131999999999999</v>
      </c>
      <c r="U43" s="290">
        <v>0</v>
      </c>
      <c r="V43" s="13">
        <f t="shared" si="8"/>
        <v>0</v>
      </c>
      <c r="W43" s="294">
        <f t="shared" si="9"/>
        <v>124</v>
      </c>
      <c r="X43" s="295">
        <f t="shared" si="10"/>
        <v>3.0131999999999999</v>
      </c>
      <c r="Y43" s="238">
        <v>50</v>
      </c>
      <c r="Z43" s="101">
        <v>150</v>
      </c>
    </row>
    <row r="44" spans="1:26" x14ac:dyDescent="0.25">
      <c r="A44" s="264">
        <v>40</v>
      </c>
      <c r="B44" s="256" t="s">
        <v>219</v>
      </c>
      <c r="C44" s="34">
        <v>140</v>
      </c>
      <c r="D44" s="35">
        <v>240</v>
      </c>
      <c r="E44" s="35">
        <v>3</v>
      </c>
      <c r="F44" s="19">
        <f t="shared" si="5"/>
        <v>0.1008</v>
      </c>
      <c r="G44" s="286">
        <v>242</v>
      </c>
      <c r="H44" s="288">
        <f t="shared" si="6"/>
        <v>24.393599999999999</v>
      </c>
      <c r="I44" s="290">
        <v>0</v>
      </c>
      <c r="J44" s="205">
        <f t="shared" si="0"/>
        <v>0</v>
      </c>
      <c r="K44" s="290">
        <v>0</v>
      </c>
      <c r="L44" s="205">
        <f t="shared" ref="L44:L52" si="18">F44*K44</f>
        <v>0</v>
      </c>
      <c r="M44" s="290">
        <v>0</v>
      </c>
      <c r="N44" s="205">
        <f t="shared" ref="N44:N70" si="19">F44*M44</f>
        <v>0</v>
      </c>
      <c r="O44" s="290">
        <v>0</v>
      </c>
      <c r="P44" s="205">
        <f t="shared" ref="P44:P66" si="20">F44*O44</f>
        <v>0</v>
      </c>
      <c r="Q44" s="290">
        <v>0</v>
      </c>
      <c r="R44" s="205">
        <f t="shared" ref="R44:R58" si="21">F44*Q44</f>
        <v>0</v>
      </c>
      <c r="S44" s="39">
        <f t="shared" si="7"/>
        <v>242</v>
      </c>
      <c r="T44" s="38">
        <f t="shared" si="4"/>
        <v>24.393599999999999</v>
      </c>
      <c r="U44" s="290">
        <v>0</v>
      </c>
      <c r="V44" s="13">
        <f t="shared" si="8"/>
        <v>0</v>
      </c>
      <c r="W44" s="294">
        <f t="shared" si="9"/>
        <v>242</v>
      </c>
      <c r="X44" s="295">
        <f t="shared" si="10"/>
        <v>24.393599999999999</v>
      </c>
      <c r="Y44" s="238">
        <v>50</v>
      </c>
      <c r="Z44" s="101">
        <v>150</v>
      </c>
    </row>
    <row r="45" spans="1:26" x14ac:dyDescent="0.25">
      <c r="A45" s="264">
        <v>41</v>
      </c>
      <c r="B45" s="256" t="s">
        <v>169</v>
      </c>
      <c r="C45" s="34">
        <v>82</v>
      </c>
      <c r="D45" s="34">
        <v>80</v>
      </c>
      <c r="E45" s="34">
        <v>2</v>
      </c>
      <c r="F45" s="19">
        <f t="shared" si="5"/>
        <v>1.312E-2</v>
      </c>
      <c r="G45" s="284">
        <v>636</v>
      </c>
      <c r="H45" s="288">
        <f t="shared" si="6"/>
        <v>8.3443199999999997</v>
      </c>
      <c r="I45" s="290">
        <v>0</v>
      </c>
      <c r="J45" s="205">
        <f t="shared" si="0"/>
        <v>0</v>
      </c>
      <c r="K45" s="290">
        <v>0</v>
      </c>
      <c r="L45" s="205">
        <f t="shared" si="18"/>
        <v>0</v>
      </c>
      <c r="M45" s="290">
        <v>0</v>
      </c>
      <c r="N45" s="205">
        <f t="shared" si="19"/>
        <v>0</v>
      </c>
      <c r="O45" s="290">
        <v>0</v>
      </c>
      <c r="P45" s="205">
        <f t="shared" si="20"/>
        <v>0</v>
      </c>
      <c r="Q45" s="290">
        <v>0</v>
      </c>
      <c r="R45" s="205">
        <f t="shared" si="21"/>
        <v>0</v>
      </c>
      <c r="S45" s="39">
        <f t="shared" si="7"/>
        <v>636</v>
      </c>
      <c r="T45" s="38">
        <f t="shared" si="4"/>
        <v>8.3443199999999997</v>
      </c>
      <c r="U45" s="290">
        <v>0</v>
      </c>
      <c r="V45" s="13">
        <f t="shared" si="8"/>
        <v>0</v>
      </c>
      <c r="W45" s="294">
        <f t="shared" si="9"/>
        <v>636</v>
      </c>
      <c r="X45" s="295">
        <f t="shared" si="10"/>
        <v>8.3443199999999997</v>
      </c>
      <c r="Y45" s="238">
        <v>100</v>
      </c>
      <c r="Z45" s="101">
        <v>300</v>
      </c>
    </row>
    <row r="46" spans="1:26" x14ac:dyDescent="0.25">
      <c r="A46" s="264">
        <v>42</v>
      </c>
      <c r="B46" s="256" t="s">
        <v>170</v>
      </c>
      <c r="C46" s="34">
        <v>90</v>
      </c>
      <c r="D46" s="34">
        <v>83</v>
      </c>
      <c r="E46" s="34">
        <v>2</v>
      </c>
      <c r="F46" s="19">
        <f t="shared" si="5"/>
        <v>1.494E-2</v>
      </c>
      <c r="G46" s="284">
        <v>0</v>
      </c>
      <c r="H46" s="288">
        <f t="shared" si="6"/>
        <v>0</v>
      </c>
      <c r="I46" s="290">
        <v>0</v>
      </c>
      <c r="J46" s="205">
        <f t="shared" si="0"/>
        <v>0</v>
      </c>
      <c r="K46" s="290">
        <v>0</v>
      </c>
      <c r="L46" s="205">
        <f t="shared" si="18"/>
        <v>0</v>
      </c>
      <c r="M46" s="290">
        <v>0</v>
      </c>
      <c r="N46" s="205">
        <f t="shared" si="19"/>
        <v>0</v>
      </c>
      <c r="O46" s="290">
        <v>0</v>
      </c>
      <c r="P46" s="205">
        <f t="shared" si="20"/>
        <v>0</v>
      </c>
      <c r="Q46" s="290">
        <v>0</v>
      </c>
      <c r="R46" s="205">
        <f t="shared" si="21"/>
        <v>0</v>
      </c>
      <c r="S46" s="39">
        <f t="shared" si="7"/>
        <v>0</v>
      </c>
      <c r="T46" s="38">
        <f t="shared" si="4"/>
        <v>0</v>
      </c>
      <c r="U46" s="290">
        <v>0</v>
      </c>
      <c r="V46" s="13">
        <f t="shared" si="8"/>
        <v>0</v>
      </c>
      <c r="W46" s="294">
        <f t="shared" si="9"/>
        <v>0</v>
      </c>
      <c r="X46" s="295">
        <f t="shared" si="10"/>
        <v>0</v>
      </c>
      <c r="Y46" s="238">
        <v>100</v>
      </c>
      <c r="Z46" s="101">
        <v>300</v>
      </c>
    </row>
    <row r="47" spans="1:26" x14ac:dyDescent="0.25">
      <c r="A47" s="264">
        <v>43</v>
      </c>
      <c r="B47" s="256" t="s">
        <v>184</v>
      </c>
      <c r="C47" s="34">
        <v>112</v>
      </c>
      <c r="D47" s="34">
        <v>67</v>
      </c>
      <c r="E47" s="34">
        <v>3</v>
      </c>
      <c r="F47" s="19">
        <f t="shared" si="5"/>
        <v>2.2512000000000001E-2</v>
      </c>
      <c r="G47" s="284">
        <v>15</v>
      </c>
      <c r="H47" s="288">
        <f t="shared" si="6"/>
        <v>0.33768000000000004</v>
      </c>
      <c r="I47" s="290">
        <v>0</v>
      </c>
      <c r="J47" s="205">
        <f t="shared" si="0"/>
        <v>0</v>
      </c>
      <c r="K47" s="290">
        <v>0</v>
      </c>
      <c r="L47" s="205">
        <f t="shared" si="18"/>
        <v>0</v>
      </c>
      <c r="M47" s="290">
        <v>0</v>
      </c>
      <c r="N47" s="205">
        <f t="shared" si="19"/>
        <v>0</v>
      </c>
      <c r="O47" s="290">
        <v>0</v>
      </c>
      <c r="P47" s="205">
        <f t="shared" si="20"/>
        <v>0</v>
      </c>
      <c r="Q47" s="290">
        <v>0</v>
      </c>
      <c r="R47" s="205">
        <f t="shared" si="21"/>
        <v>0</v>
      </c>
      <c r="S47" s="39">
        <f t="shared" si="7"/>
        <v>15</v>
      </c>
      <c r="T47" s="38">
        <f t="shared" si="4"/>
        <v>0.33768000000000004</v>
      </c>
      <c r="U47" s="290">
        <v>0</v>
      </c>
      <c r="V47" s="13">
        <f t="shared" si="8"/>
        <v>0</v>
      </c>
      <c r="W47" s="294">
        <f t="shared" si="9"/>
        <v>15</v>
      </c>
      <c r="X47" s="295">
        <f t="shared" si="10"/>
        <v>0.33768000000000004</v>
      </c>
      <c r="Y47" s="238">
        <v>50</v>
      </c>
      <c r="Z47" s="101">
        <v>100</v>
      </c>
    </row>
    <row r="48" spans="1:26" x14ac:dyDescent="0.25">
      <c r="A48" s="264">
        <v>44</v>
      </c>
      <c r="B48" s="256" t="s">
        <v>220</v>
      </c>
      <c r="C48" s="34">
        <v>70</v>
      </c>
      <c r="D48" s="34">
        <v>54</v>
      </c>
      <c r="E48" s="34">
        <v>7</v>
      </c>
      <c r="F48" s="19">
        <f t="shared" si="5"/>
        <v>2.6460000000000001E-2</v>
      </c>
      <c r="G48" s="284">
        <v>350</v>
      </c>
      <c r="H48" s="288">
        <f t="shared" si="6"/>
        <v>9.261000000000001</v>
      </c>
      <c r="I48" s="290">
        <v>0</v>
      </c>
      <c r="J48" s="205">
        <f t="shared" si="0"/>
        <v>0</v>
      </c>
      <c r="K48" s="290">
        <v>270</v>
      </c>
      <c r="L48" s="205">
        <f t="shared" si="18"/>
        <v>7.1442000000000005</v>
      </c>
      <c r="M48" s="290">
        <v>49</v>
      </c>
      <c r="N48" s="205">
        <f t="shared" si="19"/>
        <v>1.29654</v>
      </c>
      <c r="O48" s="290">
        <v>30</v>
      </c>
      <c r="P48" s="205">
        <f t="shared" si="20"/>
        <v>0.79380000000000006</v>
      </c>
      <c r="Q48" s="290">
        <v>0</v>
      </c>
      <c r="R48" s="205">
        <f t="shared" si="21"/>
        <v>0</v>
      </c>
      <c r="S48" s="39">
        <f t="shared" si="7"/>
        <v>1</v>
      </c>
      <c r="T48" s="38">
        <f t="shared" si="4"/>
        <v>2.6460000000000001E-2</v>
      </c>
      <c r="U48" s="290">
        <v>0</v>
      </c>
      <c r="V48" s="13">
        <f t="shared" si="8"/>
        <v>0</v>
      </c>
      <c r="W48" s="294">
        <f t="shared" si="9"/>
        <v>1</v>
      </c>
      <c r="X48" s="295">
        <f t="shared" si="10"/>
        <v>2.6460000000000001E-2</v>
      </c>
      <c r="Y48" s="238">
        <v>20</v>
      </c>
      <c r="Z48" s="101">
        <v>70</v>
      </c>
    </row>
    <row r="49" spans="1:26" x14ac:dyDescent="0.25">
      <c r="A49" s="264">
        <v>45</v>
      </c>
      <c r="B49" s="256" t="s">
        <v>174</v>
      </c>
      <c r="C49" s="34">
        <v>140</v>
      </c>
      <c r="D49" s="34">
        <v>240</v>
      </c>
      <c r="E49" s="34">
        <v>14</v>
      </c>
      <c r="F49" s="19">
        <f t="shared" si="5"/>
        <v>0.47039999999999998</v>
      </c>
      <c r="G49" s="284">
        <v>5</v>
      </c>
      <c r="H49" s="288">
        <f t="shared" si="6"/>
        <v>2.3519999999999999</v>
      </c>
      <c r="I49" s="290">
        <v>0</v>
      </c>
      <c r="J49" s="205">
        <f t="shared" si="0"/>
        <v>0</v>
      </c>
      <c r="K49" s="290">
        <v>0</v>
      </c>
      <c r="L49" s="205">
        <f t="shared" si="18"/>
        <v>0</v>
      </c>
      <c r="M49" s="290">
        <v>0</v>
      </c>
      <c r="N49" s="205">
        <f t="shared" si="19"/>
        <v>0</v>
      </c>
      <c r="O49" s="290">
        <v>0</v>
      </c>
      <c r="P49" s="205">
        <f t="shared" si="20"/>
        <v>0</v>
      </c>
      <c r="Q49" s="290">
        <v>0</v>
      </c>
      <c r="R49" s="205">
        <f t="shared" si="21"/>
        <v>0</v>
      </c>
      <c r="S49" s="39">
        <f t="shared" si="7"/>
        <v>5</v>
      </c>
      <c r="T49" s="38">
        <f t="shared" si="4"/>
        <v>2.3519999999999999</v>
      </c>
      <c r="U49" s="290">
        <v>0</v>
      </c>
      <c r="V49" s="13">
        <f t="shared" si="8"/>
        <v>0</v>
      </c>
      <c r="W49" s="294">
        <f t="shared" si="9"/>
        <v>5</v>
      </c>
      <c r="X49" s="295">
        <f t="shared" si="10"/>
        <v>2.3519999999999999</v>
      </c>
      <c r="Y49" s="238">
        <v>10</v>
      </c>
      <c r="Z49" s="101">
        <v>20</v>
      </c>
    </row>
    <row r="50" spans="1:26" x14ac:dyDescent="0.25">
      <c r="A50" s="264">
        <v>46</v>
      </c>
      <c r="B50" s="256" t="s">
        <v>175</v>
      </c>
      <c r="C50" s="34">
        <v>140</v>
      </c>
      <c r="D50" s="34">
        <v>240</v>
      </c>
      <c r="E50" s="34">
        <v>12</v>
      </c>
      <c r="F50" s="19">
        <f t="shared" si="5"/>
        <v>0.4032</v>
      </c>
      <c r="G50" s="284">
        <v>8</v>
      </c>
      <c r="H50" s="288">
        <f t="shared" si="6"/>
        <v>3.2256</v>
      </c>
      <c r="I50" s="290">
        <v>0</v>
      </c>
      <c r="J50" s="205">
        <f t="shared" si="0"/>
        <v>0</v>
      </c>
      <c r="K50" s="290">
        <v>0</v>
      </c>
      <c r="L50" s="205">
        <f t="shared" si="18"/>
        <v>0</v>
      </c>
      <c r="M50" s="290">
        <v>0</v>
      </c>
      <c r="N50" s="205">
        <f t="shared" si="19"/>
        <v>0</v>
      </c>
      <c r="O50" s="290">
        <v>0</v>
      </c>
      <c r="P50" s="205">
        <f t="shared" si="20"/>
        <v>0</v>
      </c>
      <c r="Q50" s="290">
        <v>1</v>
      </c>
      <c r="R50" s="205">
        <f t="shared" si="21"/>
        <v>0.4032</v>
      </c>
      <c r="S50" s="39">
        <f t="shared" si="7"/>
        <v>7</v>
      </c>
      <c r="T50" s="38">
        <f t="shared" si="4"/>
        <v>2.8224</v>
      </c>
      <c r="U50" s="290">
        <v>0</v>
      </c>
      <c r="V50" s="13">
        <f t="shared" si="8"/>
        <v>0</v>
      </c>
      <c r="W50" s="294">
        <f t="shared" si="9"/>
        <v>7</v>
      </c>
      <c r="X50" s="295">
        <f t="shared" si="10"/>
        <v>2.8224</v>
      </c>
      <c r="Y50" s="238">
        <v>10</v>
      </c>
      <c r="Z50" s="101">
        <v>20</v>
      </c>
    </row>
    <row r="51" spans="1:26" x14ac:dyDescent="0.25">
      <c r="A51" s="264">
        <v>47</v>
      </c>
      <c r="B51" s="318" t="s">
        <v>230</v>
      </c>
      <c r="C51" s="34">
        <v>130</v>
      </c>
      <c r="D51" s="34">
        <v>60</v>
      </c>
      <c r="E51" s="34">
        <v>5</v>
      </c>
      <c r="F51" s="19">
        <f t="shared" si="5"/>
        <v>3.9E-2</v>
      </c>
      <c r="G51" s="284">
        <v>0</v>
      </c>
      <c r="H51" s="288">
        <f t="shared" si="6"/>
        <v>0</v>
      </c>
      <c r="I51" s="290">
        <v>0</v>
      </c>
      <c r="J51" s="205">
        <f t="shared" si="0"/>
        <v>0</v>
      </c>
      <c r="K51" s="290">
        <v>0</v>
      </c>
      <c r="L51" s="205">
        <f t="shared" si="18"/>
        <v>0</v>
      </c>
      <c r="M51" s="290">
        <v>0</v>
      </c>
      <c r="N51" s="205">
        <f t="shared" si="19"/>
        <v>0</v>
      </c>
      <c r="O51" s="290">
        <v>90</v>
      </c>
      <c r="P51" s="205">
        <f t="shared" si="20"/>
        <v>3.51</v>
      </c>
      <c r="Q51" s="290">
        <v>0</v>
      </c>
      <c r="R51" s="205">
        <f t="shared" si="21"/>
        <v>0</v>
      </c>
      <c r="S51" s="39">
        <f t="shared" si="7"/>
        <v>-90</v>
      </c>
      <c r="T51" s="38">
        <f t="shared" si="4"/>
        <v>-3.51</v>
      </c>
      <c r="U51" s="290">
        <v>90</v>
      </c>
      <c r="V51" s="13">
        <f t="shared" si="8"/>
        <v>3.51</v>
      </c>
      <c r="W51" s="294">
        <f t="shared" si="9"/>
        <v>0</v>
      </c>
      <c r="X51" s="295">
        <f t="shared" si="10"/>
        <v>0</v>
      </c>
      <c r="Y51" s="238">
        <v>30</v>
      </c>
      <c r="Z51" s="101">
        <v>100</v>
      </c>
    </row>
    <row r="52" spans="1:26" x14ac:dyDescent="0.25">
      <c r="A52" s="264">
        <v>48</v>
      </c>
      <c r="B52" s="255" t="s">
        <v>178</v>
      </c>
      <c r="C52" s="34">
        <v>140</v>
      </c>
      <c r="D52" s="34">
        <v>240</v>
      </c>
      <c r="E52" s="34">
        <v>3</v>
      </c>
      <c r="F52" s="19">
        <f t="shared" si="5"/>
        <v>0.1008</v>
      </c>
      <c r="G52" s="284">
        <v>385</v>
      </c>
      <c r="H52" s="288">
        <f t="shared" si="6"/>
        <v>38.808</v>
      </c>
      <c r="I52" s="290">
        <v>5</v>
      </c>
      <c r="J52" s="205">
        <f t="shared" si="0"/>
        <v>0.504</v>
      </c>
      <c r="K52" s="290">
        <v>8</v>
      </c>
      <c r="L52" s="205">
        <f t="shared" si="18"/>
        <v>0.80640000000000001</v>
      </c>
      <c r="M52" s="290">
        <v>20</v>
      </c>
      <c r="N52" s="205">
        <f t="shared" si="19"/>
        <v>2.016</v>
      </c>
      <c r="O52" s="290">
        <v>6</v>
      </c>
      <c r="P52" s="205">
        <f t="shared" si="20"/>
        <v>0.6048</v>
      </c>
      <c r="Q52" s="290">
        <v>0</v>
      </c>
      <c r="R52" s="205">
        <f t="shared" si="21"/>
        <v>0</v>
      </c>
      <c r="S52" s="39">
        <f t="shared" si="7"/>
        <v>346</v>
      </c>
      <c r="T52" s="38">
        <f t="shared" si="4"/>
        <v>34.876800000000003</v>
      </c>
      <c r="U52" s="290">
        <v>0</v>
      </c>
      <c r="V52" s="13">
        <f t="shared" si="8"/>
        <v>0</v>
      </c>
      <c r="W52" s="294">
        <f t="shared" si="9"/>
        <v>346</v>
      </c>
      <c r="X52" s="295">
        <f t="shared" si="10"/>
        <v>34.876800000000003</v>
      </c>
      <c r="Y52" s="238">
        <v>100</v>
      </c>
      <c r="Z52" s="101">
        <v>300</v>
      </c>
    </row>
    <row r="53" spans="1:26" x14ac:dyDescent="0.25">
      <c r="A53" s="264">
        <v>49</v>
      </c>
      <c r="B53" s="256" t="s">
        <v>185</v>
      </c>
      <c r="C53" s="34">
        <v>140</v>
      </c>
      <c r="D53" s="34">
        <v>240</v>
      </c>
      <c r="E53" s="34">
        <v>1</v>
      </c>
      <c r="F53" s="19">
        <f t="shared" si="5"/>
        <v>3.3599999999999998E-2</v>
      </c>
      <c r="G53" s="284">
        <v>235</v>
      </c>
      <c r="H53" s="288">
        <f t="shared" si="6"/>
        <v>7.8959999999999999</v>
      </c>
      <c r="I53" s="290">
        <v>0</v>
      </c>
      <c r="J53" s="205">
        <f t="shared" si="0"/>
        <v>0</v>
      </c>
      <c r="K53" s="290">
        <v>0</v>
      </c>
      <c r="L53" s="205">
        <f>F53*K53</f>
        <v>0</v>
      </c>
      <c r="M53" s="290">
        <v>0</v>
      </c>
      <c r="N53" s="205">
        <f t="shared" si="19"/>
        <v>0</v>
      </c>
      <c r="O53" s="290">
        <v>0</v>
      </c>
      <c r="P53" s="205">
        <f t="shared" si="20"/>
        <v>0</v>
      </c>
      <c r="Q53" s="290">
        <v>0</v>
      </c>
      <c r="R53" s="205">
        <f t="shared" si="21"/>
        <v>0</v>
      </c>
      <c r="S53" s="39">
        <f t="shared" si="7"/>
        <v>235</v>
      </c>
      <c r="T53" s="38">
        <f t="shared" si="4"/>
        <v>7.8959999999999999</v>
      </c>
      <c r="U53" s="290">
        <v>0</v>
      </c>
      <c r="V53" s="13">
        <f t="shared" si="8"/>
        <v>0</v>
      </c>
      <c r="W53" s="294">
        <f t="shared" si="9"/>
        <v>235</v>
      </c>
      <c r="X53" s="295">
        <f t="shared" si="10"/>
        <v>7.8959999999999999</v>
      </c>
      <c r="Y53" s="238">
        <v>50</v>
      </c>
      <c r="Z53" s="101">
        <v>100</v>
      </c>
    </row>
    <row r="54" spans="1:26" x14ac:dyDescent="0.25">
      <c r="A54" s="264">
        <v>50</v>
      </c>
      <c r="B54" s="256" t="s">
        <v>186</v>
      </c>
      <c r="C54" s="34">
        <v>140</v>
      </c>
      <c r="D54" s="34">
        <v>240</v>
      </c>
      <c r="E54" s="34">
        <v>3</v>
      </c>
      <c r="F54" s="19">
        <f t="shared" si="5"/>
        <v>0.1008</v>
      </c>
      <c r="G54" s="284">
        <v>26</v>
      </c>
      <c r="H54" s="288">
        <f t="shared" si="6"/>
        <v>2.6208</v>
      </c>
      <c r="I54" s="290">
        <v>26</v>
      </c>
      <c r="J54" s="205">
        <f t="shared" si="0"/>
        <v>2.6208</v>
      </c>
      <c r="K54" s="290">
        <v>0</v>
      </c>
      <c r="L54" s="205">
        <f>F54*K54</f>
        <v>0</v>
      </c>
      <c r="M54" s="290">
        <v>0</v>
      </c>
      <c r="N54" s="205">
        <f t="shared" si="19"/>
        <v>0</v>
      </c>
      <c r="O54" s="290">
        <v>0</v>
      </c>
      <c r="P54" s="205">
        <f t="shared" si="20"/>
        <v>0</v>
      </c>
      <c r="Q54" s="290">
        <v>13</v>
      </c>
      <c r="R54" s="205">
        <f t="shared" si="21"/>
        <v>1.3104</v>
      </c>
      <c r="S54" s="39">
        <f t="shared" si="7"/>
        <v>-13</v>
      </c>
      <c r="T54" s="38">
        <f t="shared" si="4"/>
        <v>-1.3104</v>
      </c>
      <c r="U54" s="290">
        <v>110</v>
      </c>
      <c r="V54" s="13">
        <f t="shared" si="8"/>
        <v>11.088000000000001</v>
      </c>
      <c r="W54" s="294">
        <f t="shared" si="9"/>
        <v>97</v>
      </c>
      <c r="X54" s="295">
        <f t="shared" si="10"/>
        <v>9.7775999999999996</v>
      </c>
      <c r="Y54" s="238">
        <v>50</v>
      </c>
      <c r="Z54" s="101">
        <v>100</v>
      </c>
    </row>
    <row r="55" spans="1:26" x14ac:dyDescent="0.25">
      <c r="A55" s="277">
        <v>51</v>
      </c>
      <c r="B55" s="283" t="s">
        <v>187</v>
      </c>
      <c r="C55" s="264">
        <v>140</v>
      </c>
      <c r="D55" s="264">
        <v>240</v>
      </c>
      <c r="E55" s="264">
        <v>5</v>
      </c>
      <c r="F55" s="19">
        <f t="shared" si="5"/>
        <v>0.16800000000000001</v>
      </c>
      <c r="G55" s="296">
        <v>0</v>
      </c>
      <c r="H55" s="299">
        <f t="shared" si="6"/>
        <v>0</v>
      </c>
      <c r="I55" s="290">
        <v>0</v>
      </c>
      <c r="J55" s="205">
        <f t="shared" si="0"/>
        <v>0</v>
      </c>
      <c r="K55" s="290">
        <v>0</v>
      </c>
      <c r="L55" s="205">
        <f>F55*K55</f>
        <v>0</v>
      </c>
      <c r="M55" s="290">
        <v>2</v>
      </c>
      <c r="N55" s="205">
        <f t="shared" si="19"/>
        <v>0.33600000000000002</v>
      </c>
      <c r="O55" s="290">
        <v>0</v>
      </c>
      <c r="P55" s="205">
        <f t="shared" si="20"/>
        <v>0</v>
      </c>
      <c r="Q55" s="290">
        <v>15</v>
      </c>
      <c r="R55" s="205">
        <f t="shared" si="21"/>
        <v>2.52</v>
      </c>
      <c r="S55" s="39">
        <f t="shared" si="7"/>
        <v>-17</v>
      </c>
      <c r="T55" s="38">
        <f t="shared" si="4"/>
        <v>-2.8560000000000003</v>
      </c>
      <c r="U55" s="290">
        <v>50</v>
      </c>
      <c r="V55" s="13">
        <f t="shared" si="8"/>
        <v>8.4</v>
      </c>
      <c r="W55" s="294">
        <f t="shared" si="9"/>
        <v>33</v>
      </c>
      <c r="X55" s="295">
        <f t="shared" si="10"/>
        <v>5.5440000000000005</v>
      </c>
      <c r="Y55" s="101">
        <v>30</v>
      </c>
      <c r="Z55" s="101">
        <v>70</v>
      </c>
    </row>
    <row r="56" spans="1:26" x14ac:dyDescent="0.25">
      <c r="A56" s="277">
        <v>52</v>
      </c>
      <c r="B56" s="283" t="s">
        <v>188</v>
      </c>
      <c r="C56" s="264">
        <v>140</v>
      </c>
      <c r="D56" s="264">
        <v>240</v>
      </c>
      <c r="E56" s="264">
        <v>10</v>
      </c>
      <c r="F56" s="19">
        <f t="shared" si="5"/>
        <v>0.33600000000000002</v>
      </c>
      <c r="G56" s="296">
        <v>54</v>
      </c>
      <c r="H56" s="299">
        <f t="shared" si="6"/>
        <v>18.144000000000002</v>
      </c>
      <c r="I56" s="290">
        <v>0</v>
      </c>
      <c r="J56" s="205">
        <f t="shared" ref="J56:J69" si="22">F56*I56</f>
        <v>0</v>
      </c>
      <c r="K56" s="290">
        <v>0</v>
      </c>
      <c r="L56" s="205">
        <f>F56*K56</f>
        <v>0</v>
      </c>
      <c r="M56" s="290">
        <v>0</v>
      </c>
      <c r="N56" s="205">
        <f t="shared" si="19"/>
        <v>0</v>
      </c>
      <c r="O56" s="290">
        <v>0</v>
      </c>
      <c r="P56" s="205">
        <f t="shared" si="20"/>
        <v>0</v>
      </c>
      <c r="Q56" s="290">
        <v>0</v>
      </c>
      <c r="R56" s="205">
        <f t="shared" si="21"/>
        <v>0</v>
      </c>
      <c r="S56" s="39">
        <f t="shared" si="7"/>
        <v>54</v>
      </c>
      <c r="T56" s="38">
        <f t="shared" si="4"/>
        <v>18.144000000000002</v>
      </c>
      <c r="U56" s="290">
        <v>0</v>
      </c>
      <c r="V56" s="13">
        <f t="shared" si="8"/>
        <v>0</v>
      </c>
      <c r="W56" s="294">
        <f t="shared" si="9"/>
        <v>54</v>
      </c>
      <c r="X56" s="295">
        <f t="shared" si="10"/>
        <v>18.144000000000002</v>
      </c>
      <c r="Y56" s="101">
        <v>20</v>
      </c>
      <c r="Z56" s="101">
        <v>50</v>
      </c>
    </row>
    <row r="57" spans="1:26" x14ac:dyDescent="0.25">
      <c r="A57" s="264">
        <v>53</v>
      </c>
      <c r="B57" s="101" t="s">
        <v>201</v>
      </c>
      <c r="C57" s="264">
        <v>52</v>
      </c>
      <c r="D57" s="264">
        <v>52</v>
      </c>
      <c r="E57" s="264">
        <v>5</v>
      </c>
      <c r="F57" s="19">
        <f t="shared" si="5"/>
        <v>1.3520000000000001E-2</v>
      </c>
      <c r="G57" s="296">
        <v>730</v>
      </c>
      <c r="H57" s="299">
        <f t="shared" si="6"/>
        <v>9.8696000000000002</v>
      </c>
      <c r="I57" s="290">
        <v>6</v>
      </c>
      <c r="J57" s="205">
        <f t="shared" si="22"/>
        <v>8.1119999999999998E-2</v>
      </c>
      <c r="K57" s="290">
        <v>4</v>
      </c>
      <c r="L57" s="205">
        <f t="shared" ref="L57:L65" si="23">F57*K57</f>
        <v>5.4080000000000003E-2</v>
      </c>
      <c r="M57" s="290">
        <v>0</v>
      </c>
      <c r="N57" s="205">
        <f t="shared" si="19"/>
        <v>0</v>
      </c>
      <c r="O57" s="290">
        <v>0</v>
      </c>
      <c r="P57" s="205">
        <f t="shared" si="20"/>
        <v>0</v>
      </c>
      <c r="Q57" s="290">
        <v>0</v>
      </c>
      <c r="R57" s="205">
        <f t="shared" si="21"/>
        <v>0</v>
      </c>
      <c r="S57" s="39">
        <f t="shared" si="7"/>
        <v>720</v>
      </c>
      <c r="T57" s="38">
        <f t="shared" si="4"/>
        <v>9.7344000000000008</v>
      </c>
      <c r="U57" s="290">
        <v>0</v>
      </c>
      <c r="V57" s="13">
        <f t="shared" si="8"/>
        <v>0</v>
      </c>
      <c r="W57" s="294">
        <f t="shared" si="9"/>
        <v>720</v>
      </c>
      <c r="X57" s="295">
        <f t="shared" si="10"/>
        <v>9.7344000000000008</v>
      </c>
      <c r="Y57" s="101">
        <v>20</v>
      </c>
      <c r="Z57" s="101">
        <v>50</v>
      </c>
    </row>
    <row r="58" spans="1:26" x14ac:dyDescent="0.25">
      <c r="A58" s="264">
        <v>54</v>
      </c>
      <c r="B58" s="101" t="s">
        <v>193</v>
      </c>
      <c r="C58" s="264">
        <v>80</v>
      </c>
      <c r="D58" s="264">
        <v>75</v>
      </c>
      <c r="E58" s="264">
        <v>5</v>
      </c>
      <c r="F58" s="19">
        <f t="shared" si="5"/>
        <v>0.03</v>
      </c>
      <c r="G58" s="264">
        <v>175</v>
      </c>
      <c r="H58" s="299">
        <f t="shared" si="6"/>
        <v>5.25</v>
      </c>
      <c r="I58" s="290">
        <v>0</v>
      </c>
      <c r="J58" s="205">
        <f t="shared" si="22"/>
        <v>0</v>
      </c>
      <c r="K58" s="290">
        <v>0</v>
      </c>
      <c r="L58" s="205">
        <f t="shared" si="23"/>
        <v>0</v>
      </c>
      <c r="M58" s="290">
        <v>0</v>
      </c>
      <c r="N58" s="205">
        <f t="shared" si="19"/>
        <v>0</v>
      </c>
      <c r="O58" s="290">
        <v>0</v>
      </c>
      <c r="P58" s="205">
        <f t="shared" si="20"/>
        <v>0</v>
      </c>
      <c r="Q58" s="290">
        <v>0</v>
      </c>
      <c r="R58" s="205">
        <f t="shared" si="21"/>
        <v>0</v>
      </c>
      <c r="S58" s="39">
        <f t="shared" si="7"/>
        <v>175</v>
      </c>
      <c r="T58" s="38">
        <f t="shared" si="4"/>
        <v>5.25</v>
      </c>
      <c r="U58" s="290">
        <v>0</v>
      </c>
      <c r="V58" s="308">
        <f t="shared" si="8"/>
        <v>0</v>
      </c>
      <c r="W58" s="294">
        <f t="shared" si="9"/>
        <v>175</v>
      </c>
      <c r="X58" s="300">
        <f t="shared" si="10"/>
        <v>5.25</v>
      </c>
      <c r="Y58" s="101">
        <v>20</v>
      </c>
      <c r="Z58" s="101">
        <v>50</v>
      </c>
    </row>
    <row r="59" spans="1:26" x14ac:dyDescent="0.25">
      <c r="A59" s="264">
        <v>55</v>
      </c>
      <c r="B59" s="298" t="s">
        <v>228</v>
      </c>
      <c r="C59" s="264">
        <v>58</v>
      </c>
      <c r="D59" s="264">
        <v>25</v>
      </c>
      <c r="E59" s="264">
        <v>3</v>
      </c>
      <c r="F59" s="298">
        <f t="shared" si="5"/>
        <v>4.3499999999999997E-3</v>
      </c>
      <c r="G59" s="264">
        <v>650</v>
      </c>
      <c r="H59" s="299">
        <f t="shared" si="6"/>
        <v>2.8274999999999997</v>
      </c>
      <c r="I59" s="290">
        <v>0</v>
      </c>
      <c r="J59" s="205">
        <f t="shared" si="22"/>
        <v>0</v>
      </c>
      <c r="K59" s="290">
        <v>60</v>
      </c>
      <c r="L59" s="205">
        <f t="shared" si="23"/>
        <v>0.26100000000000001</v>
      </c>
      <c r="M59" s="290">
        <v>0</v>
      </c>
      <c r="N59" s="205">
        <f t="shared" si="19"/>
        <v>0</v>
      </c>
      <c r="O59" s="290">
        <v>0</v>
      </c>
      <c r="P59" s="205">
        <f t="shared" si="20"/>
        <v>0</v>
      </c>
      <c r="Q59" s="290">
        <v>0</v>
      </c>
      <c r="R59" s="205">
        <f>F59*Q59</f>
        <v>0</v>
      </c>
      <c r="S59" s="39">
        <f t="shared" si="7"/>
        <v>590</v>
      </c>
      <c r="T59" s="38">
        <f t="shared" si="4"/>
        <v>2.5665</v>
      </c>
      <c r="U59" s="290">
        <v>0</v>
      </c>
      <c r="V59" s="309">
        <f t="shared" si="8"/>
        <v>0</v>
      </c>
      <c r="W59" s="294">
        <f t="shared" si="9"/>
        <v>590</v>
      </c>
      <c r="X59" s="300">
        <f t="shared" si="10"/>
        <v>2.5665</v>
      </c>
      <c r="Y59" s="101">
        <v>20</v>
      </c>
      <c r="Z59" s="101">
        <v>50</v>
      </c>
    </row>
    <row r="60" spans="1:26" x14ac:dyDescent="0.25">
      <c r="A60" s="264">
        <v>56</v>
      </c>
      <c r="B60" s="101" t="s">
        <v>195</v>
      </c>
      <c r="C60" s="264">
        <v>64</v>
      </c>
      <c r="D60" s="264">
        <v>58</v>
      </c>
      <c r="E60" s="264">
        <v>5</v>
      </c>
      <c r="F60" s="298">
        <f t="shared" si="5"/>
        <v>1.856E-2</v>
      </c>
      <c r="G60" s="264">
        <v>350</v>
      </c>
      <c r="H60" s="299">
        <f t="shared" si="6"/>
        <v>6.4960000000000004</v>
      </c>
      <c r="I60" s="290">
        <v>0</v>
      </c>
      <c r="J60" s="205">
        <f t="shared" si="22"/>
        <v>0</v>
      </c>
      <c r="K60" s="290">
        <v>0</v>
      </c>
      <c r="L60" s="205">
        <f t="shared" si="23"/>
        <v>0</v>
      </c>
      <c r="M60" s="290">
        <v>0</v>
      </c>
      <c r="N60" s="205">
        <f t="shared" si="19"/>
        <v>0</v>
      </c>
      <c r="O60" s="290">
        <v>0</v>
      </c>
      <c r="P60" s="205">
        <f t="shared" si="20"/>
        <v>0</v>
      </c>
      <c r="Q60" s="290">
        <v>0</v>
      </c>
      <c r="R60" s="205">
        <f t="shared" ref="R60:R65" si="24">F60*Q60</f>
        <v>0</v>
      </c>
      <c r="S60" s="39">
        <f t="shared" si="7"/>
        <v>350</v>
      </c>
      <c r="T60" s="38">
        <f t="shared" si="4"/>
        <v>6.4960000000000004</v>
      </c>
      <c r="U60" s="290">
        <v>0</v>
      </c>
      <c r="V60" s="309">
        <f t="shared" si="8"/>
        <v>0</v>
      </c>
      <c r="W60" s="294">
        <f t="shared" si="9"/>
        <v>350</v>
      </c>
      <c r="X60" s="301">
        <f t="shared" si="10"/>
        <v>6.4960000000000004</v>
      </c>
      <c r="Y60" s="101">
        <v>20</v>
      </c>
      <c r="Z60" s="101">
        <v>50</v>
      </c>
    </row>
    <row r="61" spans="1:26" x14ac:dyDescent="0.25">
      <c r="A61" s="264">
        <v>57</v>
      </c>
      <c r="B61" s="101" t="s">
        <v>197</v>
      </c>
      <c r="C61" s="264">
        <v>65</v>
      </c>
      <c r="D61" s="264">
        <v>65</v>
      </c>
      <c r="E61" s="264">
        <v>5</v>
      </c>
      <c r="F61" s="101">
        <f t="shared" si="5"/>
        <v>2.1125000000000001E-2</v>
      </c>
      <c r="G61" s="264">
        <v>360</v>
      </c>
      <c r="H61" s="299">
        <f t="shared" si="6"/>
        <v>7.6050000000000004</v>
      </c>
      <c r="I61" s="290">
        <v>0</v>
      </c>
      <c r="J61" s="205">
        <f t="shared" si="22"/>
        <v>0</v>
      </c>
      <c r="K61" s="290">
        <v>0</v>
      </c>
      <c r="L61" s="205">
        <f t="shared" si="23"/>
        <v>0</v>
      </c>
      <c r="M61" s="290">
        <v>0</v>
      </c>
      <c r="N61" s="174">
        <f t="shared" si="19"/>
        <v>0</v>
      </c>
      <c r="O61" s="290">
        <v>0</v>
      </c>
      <c r="P61" s="205">
        <f t="shared" si="20"/>
        <v>0</v>
      </c>
      <c r="Q61" s="290">
        <v>0</v>
      </c>
      <c r="R61" s="205">
        <f t="shared" si="24"/>
        <v>0</v>
      </c>
      <c r="S61" s="39">
        <f t="shared" si="7"/>
        <v>360</v>
      </c>
      <c r="T61" s="38">
        <f t="shared" si="4"/>
        <v>7.6050000000000004</v>
      </c>
      <c r="U61" s="290">
        <v>0</v>
      </c>
      <c r="V61" s="309">
        <f t="shared" si="8"/>
        <v>0</v>
      </c>
      <c r="W61" s="294">
        <f t="shared" si="9"/>
        <v>360</v>
      </c>
      <c r="X61" s="300">
        <f t="shared" si="10"/>
        <v>7.6050000000000004</v>
      </c>
      <c r="Y61" s="101">
        <v>20</v>
      </c>
      <c r="Z61" s="101">
        <v>50</v>
      </c>
    </row>
    <row r="62" spans="1:26" x14ac:dyDescent="0.25">
      <c r="A62" s="264">
        <v>58</v>
      </c>
      <c r="B62" s="101" t="s">
        <v>231</v>
      </c>
      <c r="C62" s="264">
        <v>83</v>
      </c>
      <c r="D62" s="264">
        <v>55</v>
      </c>
      <c r="E62" s="264">
        <v>3</v>
      </c>
      <c r="F62" s="101">
        <f t="shared" si="5"/>
        <v>1.3695000000000001E-2</v>
      </c>
      <c r="G62" s="264">
        <v>72</v>
      </c>
      <c r="H62" s="299">
        <f t="shared" si="6"/>
        <v>0.98604000000000003</v>
      </c>
      <c r="I62" s="290">
        <v>0</v>
      </c>
      <c r="J62" s="205">
        <f t="shared" si="22"/>
        <v>0</v>
      </c>
      <c r="K62" s="290">
        <v>70</v>
      </c>
      <c r="L62" s="205">
        <f t="shared" si="23"/>
        <v>0.95865</v>
      </c>
      <c r="M62" s="290">
        <v>108</v>
      </c>
      <c r="N62" s="174">
        <f t="shared" si="19"/>
        <v>1.47906</v>
      </c>
      <c r="O62" s="290">
        <v>0</v>
      </c>
      <c r="P62" s="205">
        <f t="shared" si="20"/>
        <v>0</v>
      </c>
      <c r="Q62" s="290">
        <v>0</v>
      </c>
      <c r="R62" s="205">
        <f t="shared" si="24"/>
        <v>0</v>
      </c>
      <c r="S62" s="39">
        <f t="shared" si="7"/>
        <v>-106</v>
      </c>
      <c r="T62" s="38">
        <f t="shared" si="4"/>
        <v>-1.45167</v>
      </c>
      <c r="U62" s="290">
        <v>254</v>
      </c>
      <c r="V62" s="309">
        <f t="shared" si="8"/>
        <v>3.4785300000000001</v>
      </c>
      <c r="W62" s="294">
        <f t="shared" si="9"/>
        <v>148</v>
      </c>
      <c r="X62" s="300">
        <f t="shared" si="10"/>
        <v>2.0268600000000001</v>
      </c>
      <c r="Y62" s="101">
        <v>20</v>
      </c>
      <c r="Z62" s="101">
        <v>50</v>
      </c>
    </row>
    <row r="63" spans="1:26" x14ac:dyDescent="0.25">
      <c r="A63" s="264">
        <v>59</v>
      </c>
      <c r="B63" s="101" t="s">
        <v>233</v>
      </c>
      <c r="C63" s="264">
        <v>75</v>
      </c>
      <c r="D63" s="264">
        <v>55</v>
      </c>
      <c r="E63" s="264">
        <v>3</v>
      </c>
      <c r="F63" s="101">
        <f t="shared" si="5"/>
        <v>1.2375000000000001E-2</v>
      </c>
      <c r="G63" s="264">
        <v>130</v>
      </c>
      <c r="H63" s="299">
        <f t="shared" si="6"/>
        <v>1.6087500000000001</v>
      </c>
      <c r="I63" s="290">
        <v>0</v>
      </c>
      <c r="J63" s="205">
        <f t="shared" si="22"/>
        <v>0</v>
      </c>
      <c r="K63" s="290">
        <v>0</v>
      </c>
      <c r="L63" s="205">
        <f t="shared" si="23"/>
        <v>0</v>
      </c>
      <c r="M63" s="290">
        <v>0</v>
      </c>
      <c r="N63" s="174">
        <f t="shared" si="19"/>
        <v>0</v>
      </c>
      <c r="O63" s="290">
        <v>130</v>
      </c>
      <c r="P63" s="205">
        <f t="shared" si="20"/>
        <v>1.6087500000000001</v>
      </c>
      <c r="Q63" s="290">
        <v>0</v>
      </c>
      <c r="R63" s="205">
        <f t="shared" si="24"/>
        <v>0</v>
      </c>
      <c r="S63" s="39">
        <f t="shared" si="7"/>
        <v>0</v>
      </c>
      <c r="T63" s="38">
        <f t="shared" si="4"/>
        <v>0</v>
      </c>
      <c r="U63" s="290">
        <v>183</v>
      </c>
      <c r="V63" s="309">
        <f t="shared" si="8"/>
        <v>2.2646250000000001</v>
      </c>
      <c r="W63" s="294">
        <f t="shared" si="9"/>
        <v>183</v>
      </c>
      <c r="X63" s="300">
        <f t="shared" si="10"/>
        <v>2.2646250000000001</v>
      </c>
      <c r="Y63" s="101">
        <v>20</v>
      </c>
      <c r="Z63" s="101">
        <v>50</v>
      </c>
    </row>
    <row r="64" spans="1:26" x14ac:dyDescent="0.25">
      <c r="A64" s="264">
        <v>60</v>
      </c>
      <c r="B64" s="101" t="s">
        <v>200</v>
      </c>
      <c r="C64" s="264">
        <v>58</v>
      </c>
      <c r="D64" s="264">
        <v>19</v>
      </c>
      <c r="E64" s="264">
        <v>3</v>
      </c>
      <c r="F64" s="101">
        <f t="shared" si="5"/>
        <v>3.3059999999999999E-3</v>
      </c>
      <c r="G64" s="264">
        <v>170</v>
      </c>
      <c r="H64" s="299">
        <f t="shared" si="6"/>
        <v>0.56201999999999996</v>
      </c>
      <c r="I64" s="290">
        <v>0</v>
      </c>
      <c r="J64" s="205">
        <f t="shared" si="22"/>
        <v>0</v>
      </c>
      <c r="K64" s="290">
        <v>0</v>
      </c>
      <c r="L64" s="205">
        <f t="shared" si="23"/>
        <v>0</v>
      </c>
      <c r="M64" s="290">
        <v>0</v>
      </c>
      <c r="N64" s="174">
        <f t="shared" si="19"/>
        <v>0</v>
      </c>
      <c r="O64" s="290">
        <v>0</v>
      </c>
      <c r="P64" s="205">
        <f t="shared" si="20"/>
        <v>0</v>
      </c>
      <c r="Q64" s="290">
        <v>0</v>
      </c>
      <c r="R64" s="205">
        <f t="shared" si="24"/>
        <v>0</v>
      </c>
      <c r="S64" s="39">
        <f t="shared" si="7"/>
        <v>170</v>
      </c>
      <c r="T64" s="38">
        <f t="shared" si="4"/>
        <v>0.56201999999999996</v>
      </c>
      <c r="U64" s="290">
        <v>0</v>
      </c>
      <c r="V64" s="309">
        <f t="shared" si="8"/>
        <v>0</v>
      </c>
      <c r="W64" s="294">
        <f t="shared" si="9"/>
        <v>170</v>
      </c>
      <c r="X64" s="300">
        <f t="shared" si="10"/>
        <v>0.56201999999999996</v>
      </c>
      <c r="Y64" s="101">
        <v>20</v>
      </c>
      <c r="Z64" s="101">
        <v>50</v>
      </c>
    </row>
    <row r="65" spans="1:26" x14ac:dyDescent="0.25">
      <c r="A65" s="264">
        <v>61</v>
      </c>
      <c r="B65" s="101" t="s">
        <v>202</v>
      </c>
      <c r="C65" s="264">
        <v>140</v>
      </c>
      <c r="D65" s="264">
        <v>240</v>
      </c>
      <c r="E65" s="264">
        <v>4</v>
      </c>
      <c r="F65" s="101">
        <f t="shared" si="5"/>
        <v>0.13439999999999999</v>
      </c>
      <c r="G65" s="264">
        <v>85</v>
      </c>
      <c r="H65" s="299">
        <f t="shared" si="6"/>
        <v>11.423999999999999</v>
      </c>
      <c r="I65" s="290">
        <v>0</v>
      </c>
      <c r="J65" s="205">
        <f t="shared" si="22"/>
        <v>0</v>
      </c>
      <c r="K65" s="290">
        <v>0</v>
      </c>
      <c r="L65" s="205">
        <f t="shared" si="23"/>
        <v>0</v>
      </c>
      <c r="M65" s="290">
        <v>0</v>
      </c>
      <c r="N65" s="174">
        <f t="shared" si="19"/>
        <v>0</v>
      </c>
      <c r="O65" s="290">
        <v>0</v>
      </c>
      <c r="P65" s="205">
        <f t="shared" si="20"/>
        <v>0</v>
      </c>
      <c r="Q65" s="290">
        <v>0</v>
      </c>
      <c r="R65" s="205">
        <f t="shared" si="24"/>
        <v>0</v>
      </c>
      <c r="S65" s="39">
        <f t="shared" si="7"/>
        <v>85</v>
      </c>
      <c r="T65" s="38">
        <f t="shared" si="4"/>
        <v>11.423999999999999</v>
      </c>
      <c r="U65" s="290">
        <v>0</v>
      </c>
      <c r="V65" s="309">
        <f t="shared" si="8"/>
        <v>0</v>
      </c>
      <c r="W65" s="294">
        <f t="shared" si="9"/>
        <v>85</v>
      </c>
      <c r="X65" s="300">
        <f t="shared" si="10"/>
        <v>11.423999999999999</v>
      </c>
      <c r="Y65" s="101">
        <v>30</v>
      </c>
      <c r="Z65" s="101">
        <v>70</v>
      </c>
    </row>
    <row r="66" spans="1:26" x14ac:dyDescent="0.25">
      <c r="A66" s="264">
        <v>62</v>
      </c>
      <c r="B66" s="101" t="s">
        <v>203</v>
      </c>
      <c r="C66" s="264">
        <v>50</v>
      </c>
      <c r="D66" s="264">
        <v>46.5</v>
      </c>
      <c r="E66" s="264">
        <v>3</v>
      </c>
      <c r="F66" s="101">
        <f t="shared" si="5"/>
        <v>6.9750000000000003E-3</v>
      </c>
      <c r="G66" s="264">
        <v>265</v>
      </c>
      <c r="H66" s="289">
        <f t="shared" si="6"/>
        <v>1.8483750000000001</v>
      </c>
      <c r="I66" s="290">
        <v>0</v>
      </c>
      <c r="J66" s="205">
        <f t="shared" si="22"/>
        <v>0</v>
      </c>
      <c r="K66" s="290">
        <v>0</v>
      </c>
      <c r="L66" s="101"/>
      <c r="M66" s="290">
        <v>100</v>
      </c>
      <c r="N66" s="264">
        <f t="shared" si="19"/>
        <v>0.69750000000000001</v>
      </c>
      <c r="O66" s="290">
        <v>0</v>
      </c>
      <c r="P66" s="264">
        <f t="shared" si="20"/>
        <v>0</v>
      </c>
      <c r="Q66" s="290">
        <v>0</v>
      </c>
      <c r="R66" s="101"/>
      <c r="S66" s="39">
        <f t="shared" si="7"/>
        <v>165</v>
      </c>
      <c r="T66" s="38">
        <f t="shared" si="4"/>
        <v>1.1508750000000001</v>
      </c>
      <c r="U66" s="290">
        <v>510</v>
      </c>
      <c r="V66" s="309">
        <f t="shared" si="8"/>
        <v>3.5572500000000002</v>
      </c>
      <c r="W66" s="294">
        <f t="shared" si="9"/>
        <v>675</v>
      </c>
      <c r="X66" s="300">
        <f t="shared" si="10"/>
        <v>4.7081249999999999</v>
      </c>
      <c r="Y66" s="101">
        <v>500</v>
      </c>
      <c r="Z66" s="101">
        <v>1000</v>
      </c>
    </row>
    <row r="67" spans="1:26" x14ac:dyDescent="0.25">
      <c r="A67" s="264">
        <v>63</v>
      </c>
      <c r="B67" s="101" t="s">
        <v>204</v>
      </c>
      <c r="C67" s="264">
        <v>50</v>
      </c>
      <c r="D67" s="264">
        <v>35</v>
      </c>
      <c r="E67" s="264">
        <v>3</v>
      </c>
      <c r="F67" s="101">
        <f t="shared" si="5"/>
        <v>5.2500000000000003E-3</v>
      </c>
      <c r="G67" s="264">
        <v>363</v>
      </c>
      <c r="H67" s="289">
        <f t="shared" si="6"/>
        <v>1.9057500000000001</v>
      </c>
      <c r="I67" s="290">
        <v>0</v>
      </c>
      <c r="J67" s="205">
        <f t="shared" si="22"/>
        <v>0</v>
      </c>
      <c r="K67" s="290">
        <v>0</v>
      </c>
      <c r="L67" s="205">
        <f t="shared" ref="L67" si="25">F67*K67</f>
        <v>0</v>
      </c>
      <c r="M67" s="290">
        <v>100</v>
      </c>
      <c r="N67" s="264">
        <f t="shared" si="19"/>
        <v>0.52500000000000002</v>
      </c>
      <c r="O67" s="290">
        <v>0</v>
      </c>
      <c r="P67" s="264"/>
      <c r="Q67" s="290">
        <v>0</v>
      </c>
      <c r="R67" s="264"/>
      <c r="S67" s="39">
        <f t="shared" si="7"/>
        <v>263</v>
      </c>
      <c r="T67" s="38">
        <f t="shared" si="4"/>
        <v>1.3807500000000001</v>
      </c>
      <c r="U67" s="290">
        <v>450</v>
      </c>
      <c r="V67" s="309">
        <f t="shared" si="8"/>
        <v>2.3625000000000003</v>
      </c>
      <c r="W67" s="294">
        <f t="shared" si="9"/>
        <v>713</v>
      </c>
      <c r="X67" s="300">
        <f t="shared" si="10"/>
        <v>3.7432500000000002</v>
      </c>
      <c r="Y67" s="101">
        <v>500</v>
      </c>
      <c r="Z67" s="101">
        <v>1000</v>
      </c>
    </row>
    <row r="68" spans="1:26" x14ac:dyDescent="0.25">
      <c r="A68" s="264">
        <v>64</v>
      </c>
      <c r="B68" s="101" t="s">
        <v>205</v>
      </c>
      <c r="C68" s="264">
        <v>140</v>
      </c>
      <c r="D68" s="264">
        <v>240</v>
      </c>
      <c r="E68" s="264">
        <v>8</v>
      </c>
      <c r="F68" s="101">
        <f t="shared" si="5"/>
        <v>0.26879999999999998</v>
      </c>
      <c r="G68" s="264">
        <v>2</v>
      </c>
      <c r="H68" s="289">
        <f t="shared" si="6"/>
        <v>0.53759999999999997</v>
      </c>
      <c r="I68" s="290">
        <v>0</v>
      </c>
      <c r="J68" s="264">
        <f t="shared" si="22"/>
        <v>0</v>
      </c>
      <c r="K68" s="290">
        <v>0</v>
      </c>
      <c r="L68" s="264"/>
      <c r="M68" s="290">
        <v>0</v>
      </c>
      <c r="N68" s="264">
        <v>0</v>
      </c>
      <c r="O68" s="290">
        <v>0</v>
      </c>
      <c r="P68" s="264"/>
      <c r="Q68" s="290">
        <v>0</v>
      </c>
      <c r="R68" s="264">
        <v>0</v>
      </c>
      <c r="S68" s="39">
        <f t="shared" si="7"/>
        <v>2</v>
      </c>
      <c r="T68" s="38">
        <f t="shared" si="4"/>
        <v>0.53759999999999997</v>
      </c>
      <c r="U68" s="290">
        <v>0</v>
      </c>
      <c r="V68" s="309">
        <v>0</v>
      </c>
      <c r="W68" s="294">
        <f t="shared" si="9"/>
        <v>2</v>
      </c>
      <c r="X68" s="300">
        <f t="shared" si="10"/>
        <v>0.53759999999999997</v>
      </c>
      <c r="Y68" s="101"/>
      <c r="Z68" s="101"/>
    </row>
    <row r="69" spans="1:26" x14ac:dyDescent="0.25">
      <c r="A69" s="264">
        <v>65</v>
      </c>
      <c r="B69" s="101" t="s">
        <v>206</v>
      </c>
      <c r="C69" s="264">
        <v>140</v>
      </c>
      <c r="D69" s="264">
        <v>240</v>
      </c>
      <c r="E69" s="264">
        <v>2</v>
      </c>
      <c r="F69" s="101">
        <f t="shared" si="5"/>
        <v>6.7199999999999996E-2</v>
      </c>
      <c r="G69" s="264">
        <v>80</v>
      </c>
      <c r="H69" s="289">
        <f t="shared" si="6"/>
        <v>5.3759999999999994</v>
      </c>
      <c r="I69" s="290">
        <v>0</v>
      </c>
      <c r="J69" s="264">
        <f t="shared" si="22"/>
        <v>0</v>
      </c>
      <c r="K69" s="290">
        <v>0</v>
      </c>
      <c r="L69" s="264"/>
      <c r="M69" s="290">
        <v>0</v>
      </c>
      <c r="N69" s="174">
        <v>0</v>
      </c>
      <c r="O69" s="290">
        <v>0</v>
      </c>
      <c r="P69" s="264">
        <f t="shared" ref="P69" si="26">F69*O69</f>
        <v>0</v>
      </c>
      <c r="Q69" s="290">
        <v>0</v>
      </c>
      <c r="R69" s="205">
        <f t="shared" ref="R69" si="27">F69*Q69</f>
        <v>0</v>
      </c>
      <c r="S69" s="39">
        <f t="shared" si="7"/>
        <v>80</v>
      </c>
      <c r="T69" s="38">
        <f t="shared" ref="T69:T72" si="28">F69*S69</f>
        <v>5.3759999999999994</v>
      </c>
      <c r="U69" s="290">
        <v>0</v>
      </c>
      <c r="V69" s="309">
        <f t="shared" si="8"/>
        <v>0</v>
      </c>
      <c r="W69" s="294">
        <f t="shared" si="9"/>
        <v>80</v>
      </c>
      <c r="X69" s="300">
        <f t="shared" si="10"/>
        <v>5.3759999999999994</v>
      </c>
      <c r="Y69" s="101">
        <v>70</v>
      </c>
      <c r="Z69" s="101">
        <v>200</v>
      </c>
    </row>
    <row r="70" spans="1:26" x14ac:dyDescent="0.25">
      <c r="A70" s="264">
        <v>66</v>
      </c>
      <c r="B70" s="101" t="s">
        <v>213</v>
      </c>
      <c r="C70" s="264"/>
      <c r="D70" s="264"/>
      <c r="E70" s="264"/>
      <c r="F70" s="101"/>
      <c r="G70" s="264">
        <v>290</v>
      </c>
      <c r="H70" s="289"/>
      <c r="I70" s="290">
        <v>0</v>
      </c>
      <c r="J70" s="264"/>
      <c r="K70" s="290">
        <v>0</v>
      </c>
      <c r="L70" s="264"/>
      <c r="M70" s="290">
        <v>0</v>
      </c>
      <c r="N70" s="264">
        <f t="shared" si="19"/>
        <v>0</v>
      </c>
      <c r="O70" s="290">
        <v>0</v>
      </c>
      <c r="P70" s="264"/>
      <c r="Q70" s="290">
        <v>0</v>
      </c>
      <c r="R70" s="264"/>
      <c r="S70" s="39">
        <f t="shared" ref="S70:S73" si="29">G70-I70-K70-M70-O70-Q70</f>
        <v>290</v>
      </c>
      <c r="T70" s="38">
        <f t="shared" si="28"/>
        <v>0</v>
      </c>
      <c r="U70" s="290">
        <v>0</v>
      </c>
      <c r="V70" s="309">
        <f t="shared" ref="V70" si="30">F70*U70</f>
        <v>0</v>
      </c>
      <c r="W70" s="294">
        <f t="shared" ref="W70:W73" si="31">S70+U70</f>
        <v>290</v>
      </c>
      <c r="X70" s="300">
        <f t="shared" ref="X70" si="32">F70*W70</f>
        <v>0</v>
      </c>
      <c r="Y70" s="101">
        <v>50</v>
      </c>
      <c r="Z70" s="101"/>
    </row>
    <row r="71" spans="1:26" x14ac:dyDescent="0.25">
      <c r="A71" s="277">
        <v>67</v>
      </c>
      <c r="B71" s="317" t="s">
        <v>224</v>
      </c>
      <c r="C71" s="101"/>
      <c r="D71" s="101"/>
      <c r="E71" s="101"/>
      <c r="F71" s="101"/>
      <c r="G71" s="277">
        <v>141</v>
      </c>
      <c r="H71" s="101"/>
      <c r="I71" s="290">
        <v>0</v>
      </c>
      <c r="J71" s="101"/>
      <c r="K71" s="290">
        <v>0</v>
      </c>
      <c r="L71" s="101"/>
      <c r="M71" s="290">
        <v>0</v>
      </c>
      <c r="N71" s="101"/>
      <c r="O71" s="290">
        <v>0</v>
      </c>
      <c r="P71" s="101"/>
      <c r="Q71" s="290">
        <v>0</v>
      </c>
      <c r="R71" s="101"/>
      <c r="S71" s="39">
        <f t="shared" si="29"/>
        <v>141</v>
      </c>
      <c r="T71" s="38">
        <f t="shared" si="28"/>
        <v>0</v>
      </c>
      <c r="U71" s="290">
        <v>0</v>
      </c>
      <c r="V71" s="101"/>
      <c r="W71" s="294">
        <f t="shared" si="31"/>
        <v>141</v>
      </c>
      <c r="X71" s="101"/>
      <c r="Y71" s="101">
        <v>50</v>
      </c>
      <c r="Z71" s="101"/>
    </row>
    <row r="72" spans="1:26" x14ac:dyDescent="0.25">
      <c r="A72" s="264">
        <v>68</v>
      </c>
      <c r="B72" s="317" t="s">
        <v>225</v>
      </c>
      <c r="C72" s="101"/>
      <c r="D72" s="101"/>
      <c r="E72" s="101"/>
      <c r="F72" s="101"/>
      <c r="G72" s="277">
        <v>105</v>
      </c>
      <c r="H72" s="101"/>
      <c r="I72" s="290">
        <v>3</v>
      </c>
      <c r="J72" s="101"/>
      <c r="K72" s="290">
        <v>0</v>
      </c>
      <c r="L72" s="101"/>
      <c r="M72" s="290">
        <v>3</v>
      </c>
      <c r="N72" s="101"/>
      <c r="O72" s="290">
        <v>0</v>
      </c>
      <c r="P72" s="101"/>
      <c r="Q72" s="290">
        <v>0</v>
      </c>
      <c r="R72" s="101"/>
      <c r="S72" s="39">
        <f t="shared" si="29"/>
        <v>99</v>
      </c>
      <c r="T72" s="38">
        <f t="shared" si="28"/>
        <v>0</v>
      </c>
      <c r="U72" s="290">
        <v>0</v>
      </c>
      <c r="V72" s="101"/>
      <c r="W72" s="294">
        <f t="shared" si="31"/>
        <v>99</v>
      </c>
      <c r="X72" s="101"/>
      <c r="Y72" s="101">
        <v>50</v>
      </c>
      <c r="Z72" s="101"/>
    </row>
    <row r="73" spans="1:26" x14ac:dyDescent="0.25">
      <c r="A73" s="277">
        <v>69</v>
      </c>
      <c r="B73" s="317" t="s">
        <v>232</v>
      </c>
      <c r="C73" s="101"/>
      <c r="D73" s="101"/>
      <c r="E73" s="101"/>
      <c r="F73" s="101"/>
      <c r="G73" s="277">
        <v>0</v>
      </c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39">
        <f t="shared" si="29"/>
        <v>0</v>
      </c>
      <c r="T73" s="101"/>
      <c r="U73" s="319">
        <v>309</v>
      </c>
      <c r="V73" s="101"/>
      <c r="W73" s="294">
        <f t="shared" si="31"/>
        <v>309</v>
      </c>
      <c r="X73" s="101"/>
      <c r="Y73" s="101"/>
      <c r="Z73" s="101"/>
    </row>
    <row r="74" spans="1:26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1:26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1:26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1:26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1:26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</sheetData>
  <mergeCells count="24">
    <mergeCell ref="S4:T4"/>
    <mergeCell ref="U4:V4"/>
    <mergeCell ref="W4:X4"/>
    <mergeCell ref="G4:H4"/>
    <mergeCell ref="I4:J4"/>
    <mergeCell ref="K4:L4"/>
    <mergeCell ref="M4:N4"/>
    <mergeCell ref="O4:P4"/>
    <mergeCell ref="Q4:R4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C1:H1"/>
    <mergeCell ref="G2:H3"/>
    <mergeCell ref="I2:J2"/>
    <mergeCell ref="K2:L2"/>
    <mergeCell ref="M2:N2"/>
  </mergeCells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218AE-8454-4387-B0EB-FF1A479CEBC6}">
  <dimension ref="A1:Z78"/>
  <sheetViews>
    <sheetView topLeftCell="A11" workbookViewId="0">
      <selection activeCell="O25" sqref="O25"/>
    </sheetView>
  </sheetViews>
  <sheetFormatPr defaultRowHeight="15" x14ac:dyDescent="0.25"/>
  <cols>
    <col min="1" max="1" width="5" customWidth="1"/>
    <col min="2" max="2" width="31.85546875" style="3" customWidth="1"/>
    <col min="3" max="3" width="4.7109375" style="2" hidden="1" customWidth="1"/>
    <col min="4" max="4" width="7.28515625" style="2" hidden="1" customWidth="1"/>
    <col min="5" max="5" width="5.85546875" style="2" hidden="1" customWidth="1"/>
    <col min="6" max="6" width="8" style="4" hidden="1" customWidth="1"/>
    <col min="7" max="7" width="7.5703125" style="5" customWidth="1"/>
    <col min="8" max="8" width="9" style="5" customWidth="1"/>
    <col min="9" max="9" width="6" style="2" customWidth="1"/>
    <col min="10" max="10" width="7.140625" style="2" customWidth="1"/>
    <col min="11" max="11" width="6.28515625" style="2" customWidth="1"/>
    <col min="12" max="12" width="8" style="2" customWidth="1"/>
    <col min="13" max="20" width="6.42578125" style="2" customWidth="1"/>
    <col min="21" max="24" width="6.42578125" customWidth="1"/>
    <col min="25" max="25" width="10.28515625" customWidth="1"/>
  </cols>
  <sheetData>
    <row r="1" spans="1:26" ht="15.75" thickBot="1" x14ac:dyDescent="0.3">
      <c r="B1" s="4" t="s">
        <v>18</v>
      </c>
      <c r="C1" s="384" t="s">
        <v>234</v>
      </c>
      <c r="D1" s="320"/>
      <c r="E1" s="320"/>
      <c r="F1" s="320"/>
      <c r="G1" s="320"/>
      <c r="H1" s="320"/>
      <c r="Y1" s="314">
        <v>45656</v>
      </c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46031</v>
      </c>
      <c r="J2" s="326"/>
      <c r="K2" s="327">
        <v>46038</v>
      </c>
      <c r="L2" s="328"/>
      <c r="M2" s="325">
        <v>46045</v>
      </c>
      <c r="N2" s="329"/>
      <c r="O2" s="327">
        <v>46052</v>
      </c>
      <c r="P2" s="346"/>
      <c r="Q2" s="325">
        <v>0</v>
      </c>
      <c r="R2" s="329"/>
      <c r="S2" s="330" t="s">
        <v>69</v>
      </c>
      <c r="T2" s="331"/>
      <c r="U2" s="334" t="s">
        <v>70</v>
      </c>
      <c r="V2" s="335"/>
      <c r="W2" s="385" t="s">
        <v>71</v>
      </c>
      <c r="X2" s="386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87"/>
      <c r="X3" s="388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89" t="s">
        <v>63</v>
      </c>
      <c r="X4" s="390"/>
      <c r="Y4" s="268" t="s">
        <v>179</v>
      </c>
      <c r="Z4" s="269" t="s">
        <v>99</v>
      </c>
    </row>
    <row r="5" spans="1:26" x14ac:dyDescent="0.25">
      <c r="A5" s="263">
        <v>1</v>
      </c>
      <c r="B5" s="256" t="s">
        <v>134</v>
      </c>
      <c r="C5" s="32">
        <v>70</v>
      </c>
      <c r="D5" s="33">
        <v>64</v>
      </c>
      <c r="E5" s="33">
        <v>8</v>
      </c>
      <c r="F5" s="15">
        <f>(C5*D5*E5)/1000000</f>
        <v>3.5839999999999997E-2</v>
      </c>
      <c r="G5" s="286">
        <v>192</v>
      </c>
      <c r="H5" s="287">
        <f>F5*G5</f>
        <v>6.8812799999999994</v>
      </c>
      <c r="I5" s="290">
        <v>0</v>
      </c>
      <c r="J5" s="205">
        <f t="shared" ref="J5:R55" si="0">F5*I5</f>
        <v>0</v>
      </c>
      <c r="K5" s="290">
        <v>0</v>
      </c>
      <c r="L5" s="205">
        <f>F5*K5</f>
        <v>0</v>
      </c>
      <c r="M5" s="290">
        <v>2</v>
      </c>
      <c r="N5" s="205">
        <f t="shared" ref="N5:N10" si="1">F5*M5</f>
        <v>7.1679999999999994E-2</v>
      </c>
      <c r="O5" s="290">
        <v>0</v>
      </c>
      <c r="P5" s="205">
        <f t="shared" ref="P5:P10" si="2">F5*O5</f>
        <v>0</v>
      </c>
      <c r="Q5" s="290">
        <v>0</v>
      </c>
      <c r="R5" s="205">
        <f t="shared" ref="R5:R11" si="3">F5*Q5</f>
        <v>0</v>
      </c>
      <c r="S5" s="39">
        <f>G5-I5-K5-M5-O5-Q5</f>
        <v>190</v>
      </c>
      <c r="T5" s="38">
        <f t="shared" ref="T5:T68" si="4">F5*S5</f>
        <v>6.8095999999999997</v>
      </c>
      <c r="U5" s="290">
        <v>0</v>
      </c>
      <c r="V5" s="13">
        <f>F5*U5</f>
        <v>0</v>
      </c>
      <c r="W5" s="294">
        <f>S5+U5</f>
        <v>190</v>
      </c>
      <c r="X5" s="295">
        <f>F5*W5</f>
        <v>6.8095999999999997</v>
      </c>
      <c r="Y5" s="266">
        <v>200</v>
      </c>
      <c r="Z5" s="267">
        <v>750</v>
      </c>
    </row>
    <row r="6" spans="1:26" x14ac:dyDescent="0.25">
      <c r="A6" s="264">
        <v>2</v>
      </c>
      <c r="B6" s="256" t="s">
        <v>135</v>
      </c>
      <c r="C6" s="34">
        <v>70</v>
      </c>
      <c r="D6" s="35">
        <v>80</v>
      </c>
      <c r="E6" s="35">
        <v>8</v>
      </c>
      <c r="F6" s="19">
        <f t="shared" ref="F6:F69" si="5">(C6*D6*E6)/1000000</f>
        <v>4.48E-2</v>
      </c>
      <c r="G6" s="286">
        <v>258</v>
      </c>
      <c r="H6" s="288">
        <f t="shared" ref="H6:H69" si="6">F6*G6</f>
        <v>11.558400000000001</v>
      </c>
      <c r="I6" s="290">
        <v>0</v>
      </c>
      <c r="J6" s="205">
        <f t="shared" si="0"/>
        <v>0</v>
      </c>
      <c r="K6" s="290">
        <v>10</v>
      </c>
      <c r="L6" s="205">
        <f>F6*K6</f>
        <v>0.44800000000000001</v>
      </c>
      <c r="M6" s="290">
        <v>13</v>
      </c>
      <c r="N6" s="205">
        <f t="shared" si="1"/>
        <v>0.58240000000000003</v>
      </c>
      <c r="O6" s="290">
        <v>0</v>
      </c>
      <c r="P6" s="205">
        <f t="shared" si="2"/>
        <v>0</v>
      </c>
      <c r="Q6" s="290">
        <v>0</v>
      </c>
      <c r="R6" s="205">
        <f t="shared" si="3"/>
        <v>0</v>
      </c>
      <c r="S6" s="39">
        <f t="shared" ref="S6:S69" si="7">G6-I6-K6-M6-O6-Q6</f>
        <v>235</v>
      </c>
      <c r="T6" s="38">
        <f t="shared" si="4"/>
        <v>10.528</v>
      </c>
      <c r="U6" s="290">
        <v>0</v>
      </c>
      <c r="V6" s="13">
        <f t="shared" ref="V6:V69" si="8">F6*U6</f>
        <v>0</v>
      </c>
      <c r="W6" s="294">
        <f t="shared" ref="W6:W69" si="9">S6+U6</f>
        <v>235</v>
      </c>
      <c r="X6" s="295">
        <f t="shared" ref="X6:X69" si="10">F6*W6</f>
        <v>10.528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136</v>
      </c>
      <c r="C7" s="34">
        <v>70</v>
      </c>
      <c r="D7" s="35">
        <v>74</v>
      </c>
      <c r="E7" s="35">
        <v>8</v>
      </c>
      <c r="F7" s="19">
        <f t="shared" si="5"/>
        <v>4.1439999999999998E-2</v>
      </c>
      <c r="G7" s="286">
        <v>213</v>
      </c>
      <c r="H7" s="288">
        <f t="shared" si="6"/>
        <v>8.8267199999999999</v>
      </c>
      <c r="I7" s="290">
        <v>0</v>
      </c>
      <c r="J7" s="205">
        <f t="shared" si="0"/>
        <v>0</v>
      </c>
      <c r="K7" s="290">
        <v>0</v>
      </c>
      <c r="L7" s="205">
        <f>F7*K7</f>
        <v>0</v>
      </c>
      <c r="M7" s="290">
        <v>4</v>
      </c>
      <c r="N7" s="205">
        <f t="shared" si="1"/>
        <v>0.16575999999999999</v>
      </c>
      <c r="O7" s="290">
        <v>0</v>
      </c>
      <c r="P7" s="205">
        <f t="shared" si="2"/>
        <v>0</v>
      </c>
      <c r="Q7" s="290">
        <v>0</v>
      </c>
      <c r="R7" s="205">
        <f t="shared" si="3"/>
        <v>0</v>
      </c>
      <c r="S7" s="39">
        <f t="shared" si="7"/>
        <v>209</v>
      </c>
      <c r="T7" s="38">
        <f t="shared" si="4"/>
        <v>8.6609599999999993</v>
      </c>
      <c r="U7" s="290">
        <v>0</v>
      </c>
      <c r="V7" s="13">
        <f t="shared" si="8"/>
        <v>0</v>
      </c>
      <c r="W7" s="294">
        <f t="shared" si="9"/>
        <v>209</v>
      </c>
      <c r="X7" s="295">
        <f t="shared" si="10"/>
        <v>8.6609599999999993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208</v>
      </c>
      <c r="C8" s="34">
        <v>70</v>
      </c>
      <c r="D8" s="35">
        <v>88</v>
      </c>
      <c r="E8" s="35">
        <v>8</v>
      </c>
      <c r="F8" s="19">
        <f t="shared" si="5"/>
        <v>4.9279999999999997E-2</v>
      </c>
      <c r="G8" s="286">
        <v>247</v>
      </c>
      <c r="H8" s="288">
        <f t="shared" si="6"/>
        <v>12.17216</v>
      </c>
      <c r="I8" s="290">
        <v>0</v>
      </c>
      <c r="J8" s="205">
        <f t="shared" si="0"/>
        <v>0</v>
      </c>
      <c r="K8" s="290">
        <v>0</v>
      </c>
      <c r="L8" s="205">
        <f>F8*K8</f>
        <v>0</v>
      </c>
      <c r="M8" s="290">
        <v>0</v>
      </c>
      <c r="N8" s="205">
        <f t="shared" si="1"/>
        <v>0</v>
      </c>
      <c r="O8" s="290">
        <v>0</v>
      </c>
      <c r="P8" s="205">
        <f t="shared" si="2"/>
        <v>0</v>
      </c>
      <c r="Q8" s="290">
        <v>0</v>
      </c>
      <c r="R8" s="205">
        <f t="shared" si="3"/>
        <v>0</v>
      </c>
      <c r="S8" s="39">
        <f t="shared" si="7"/>
        <v>247</v>
      </c>
      <c r="T8" s="38">
        <f t="shared" si="4"/>
        <v>12.17216</v>
      </c>
      <c r="U8" s="290">
        <v>0</v>
      </c>
      <c r="V8" s="13">
        <f t="shared" si="8"/>
        <v>0</v>
      </c>
      <c r="W8" s="294">
        <f t="shared" si="9"/>
        <v>247</v>
      </c>
      <c r="X8" s="295">
        <f t="shared" si="10"/>
        <v>12.17216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138</v>
      </c>
      <c r="C9" s="34">
        <v>140</v>
      </c>
      <c r="D9" s="35">
        <v>240</v>
      </c>
      <c r="E9" s="35">
        <v>5</v>
      </c>
      <c r="F9" s="19">
        <f t="shared" si="5"/>
        <v>0.16800000000000001</v>
      </c>
      <c r="G9" s="286">
        <v>139</v>
      </c>
      <c r="H9" s="288">
        <f t="shared" si="6"/>
        <v>23.352</v>
      </c>
      <c r="I9" s="290">
        <v>14</v>
      </c>
      <c r="J9" s="205">
        <f t="shared" si="0"/>
        <v>2.3520000000000003</v>
      </c>
      <c r="K9" s="290">
        <v>14</v>
      </c>
      <c r="L9" s="205">
        <f>F9*K9</f>
        <v>2.3520000000000003</v>
      </c>
      <c r="M9" s="290">
        <v>12</v>
      </c>
      <c r="N9" s="205">
        <f t="shared" si="1"/>
        <v>2.016</v>
      </c>
      <c r="O9" s="290">
        <v>8</v>
      </c>
      <c r="P9" s="205">
        <f t="shared" si="2"/>
        <v>1.3440000000000001</v>
      </c>
      <c r="Q9" s="290">
        <v>0</v>
      </c>
      <c r="R9" s="205">
        <f t="shared" si="3"/>
        <v>0</v>
      </c>
      <c r="S9" s="39">
        <f t="shared" si="7"/>
        <v>91</v>
      </c>
      <c r="T9" s="38">
        <f t="shared" si="4"/>
        <v>15.288</v>
      </c>
      <c r="U9" s="290">
        <v>0</v>
      </c>
      <c r="V9" s="13">
        <f t="shared" si="8"/>
        <v>0</v>
      </c>
      <c r="W9" s="294">
        <f t="shared" si="9"/>
        <v>91</v>
      </c>
      <c r="X9" s="295">
        <f t="shared" si="10"/>
        <v>15.288</v>
      </c>
      <c r="Y9" s="238">
        <v>100</v>
      </c>
      <c r="Z9" s="101">
        <v>250</v>
      </c>
    </row>
    <row r="10" spans="1:26" x14ac:dyDescent="0.25">
      <c r="A10" s="264">
        <v>6</v>
      </c>
      <c r="B10" s="256" t="s">
        <v>211</v>
      </c>
      <c r="C10" s="34">
        <v>143</v>
      </c>
      <c r="D10" s="35">
        <v>68</v>
      </c>
      <c r="E10" s="35">
        <v>5</v>
      </c>
      <c r="F10" s="19">
        <f t="shared" si="5"/>
        <v>4.8619999999999997E-2</v>
      </c>
      <c r="G10" s="286">
        <v>232</v>
      </c>
      <c r="H10" s="288">
        <f t="shared" si="6"/>
        <v>11.27984</v>
      </c>
      <c r="I10" s="290">
        <v>12</v>
      </c>
      <c r="J10" s="205">
        <f t="shared" si="0"/>
        <v>0.58343999999999996</v>
      </c>
      <c r="K10" s="290">
        <v>29</v>
      </c>
      <c r="L10" s="205">
        <f t="shared" ref="L10" si="11">F10*K10</f>
        <v>1.40998</v>
      </c>
      <c r="M10" s="290">
        <v>44</v>
      </c>
      <c r="N10" s="205">
        <f t="shared" si="1"/>
        <v>2.1392799999999998</v>
      </c>
      <c r="O10" s="290">
        <v>12</v>
      </c>
      <c r="P10" s="205">
        <f t="shared" si="2"/>
        <v>0.58343999999999996</v>
      </c>
      <c r="Q10" s="290">
        <v>0</v>
      </c>
      <c r="R10" s="205">
        <f t="shared" si="3"/>
        <v>0</v>
      </c>
      <c r="S10" s="39">
        <f t="shared" si="7"/>
        <v>135</v>
      </c>
      <c r="T10" s="38">
        <f t="shared" si="4"/>
        <v>6.5636999999999999</v>
      </c>
      <c r="U10" s="290">
        <v>0</v>
      </c>
      <c r="V10" s="13">
        <f t="shared" si="8"/>
        <v>0</v>
      </c>
      <c r="W10" s="294">
        <f t="shared" si="9"/>
        <v>135</v>
      </c>
      <c r="X10" s="295">
        <f t="shared" si="10"/>
        <v>6.5636999999999999</v>
      </c>
      <c r="Y10" s="238">
        <v>75</v>
      </c>
      <c r="Z10" s="101">
        <v>250</v>
      </c>
    </row>
    <row r="11" spans="1:26" x14ac:dyDescent="0.25">
      <c r="A11" s="264">
        <v>7</v>
      </c>
      <c r="B11" s="256" t="s">
        <v>207</v>
      </c>
      <c r="C11" s="34">
        <v>140</v>
      </c>
      <c r="D11" s="35">
        <v>240</v>
      </c>
      <c r="E11" s="35">
        <v>8</v>
      </c>
      <c r="F11" s="19">
        <f t="shared" si="5"/>
        <v>0.26879999999999998</v>
      </c>
      <c r="G11" s="286">
        <v>38</v>
      </c>
      <c r="H11" s="288">
        <f t="shared" si="6"/>
        <v>10.214399999999999</v>
      </c>
      <c r="I11" s="290">
        <v>0</v>
      </c>
      <c r="J11" s="205">
        <f t="shared" si="0"/>
        <v>0</v>
      </c>
      <c r="K11" s="290">
        <v>0</v>
      </c>
      <c r="L11" s="205">
        <f>F11*K11</f>
        <v>0</v>
      </c>
      <c r="M11" s="290">
        <v>0</v>
      </c>
      <c r="N11" s="21">
        <v>0</v>
      </c>
      <c r="O11" s="290">
        <v>0</v>
      </c>
      <c r="P11" s="21">
        <v>0</v>
      </c>
      <c r="Q11" s="290">
        <v>0</v>
      </c>
      <c r="R11" s="205">
        <f t="shared" si="3"/>
        <v>0</v>
      </c>
      <c r="S11" s="39">
        <f t="shared" si="7"/>
        <v>38</v>
      </c>
      <c r="T11" s="38">
        <f t="shared" si="4"/>
        <v>10.214399999999999</v>
      </c>
      <c r="U11" s="290">
        <v>0</v>
      </c>
      <c r="V11" s="13">
        <f t="shared" si="8"/>
        <v>0</v>
      </c>
      <c r="W11" s="294">
        <f t="shared" si="9"/>
        <v>38</v>
      </c>
      <c r="X11" s="295">
        <f t="shared" si="10"/>
        <v>10.214399999999999</v>
      </c>
      <c r="Y11" s="238">
        <v>30</v>
      </c>
      <c r="Z11" s="101">
        <v>75</v>
      </c>
    </row>
    <row r="12" spans="1:26" x14ac:dyDescent="0.25">
      <c r="A12" s="264">
        <v>8</v>
      </c>
      <c r="B12" s="256" t="s">
        <v>217</v>
      </c>
      <c r="C12" s="34">
        <v>75</v>
      </c>
      <c r="D12" s="35">
        <v>54</v>
      </c>
      <c r="E12" s="35">
        <v>5</v>
      </c>
      <c r="F12" s="19">
        <f t="shared" si="5"/>
        <v>2.0250000000000001E-2</v>
      </c>
      <c r="G12" s="286">
        <v>669</v>
      </c>
      <c r="H12" s="288">
        <f t="shared" si="6"/>
        <v>13.54725</v>
      </c>
      <c r="I12" s="290">
        <v>0</v>
      </c>
      <c r="J12" s="205">
        <f t="shared" si="0"/>
        <v>0</v>
      </c>
      <c r="K12" s="290">
        <v>0</v>
      </c>
      <c r="L12" s="205">
        <f>F12*K12</f>
        <v>0</v>
      </c>
      <c r="M12" s="290">
        <v>28</v>
      </c>
      <c r="N12" s="205">
        <f>F12*M12</f>
        <v>0.56700000000000006</v>
      </c>
      <c r="O12" s="290">
        <v>0</v>
      </c>
      <c r="P12" s="205">
        <f>F12*O12</f>
        <v>0</v>
      </c>
      <c r="Q12" s="290">
        <v>0</v>
      </c>
      <c r="R12" s="21">
        <v>0</v>
      </c>
      <c r="S12" s="39">
        <f t="shared" si="7"/>
        <v>641</v>
      </c>
      <c r="T12" s="38">
        <f t="shared" si="4"/>
        <v>12.98025</v>
      </c>
      <c r="U12" s="290">
        <v>0</v>
      </c>
      <c r="V12" s="13">
        <f t="shared" si="8"/>
        <v>0</v>
      </c>
      <c r="W12" s="294">
        <f t="shared" si="9"/>
        <v>641</v>
      </c>
      <c r="X12" s="295">
        <f t="shared" si="10"/>
        <v>12.98025</v>
      </c>
      <c r="Y12" s="238">
        <v>100</v>
      </c>
      <c r="Z12" s="101">
        <v>300</v>
      </c>
    </row>
    <row r="13" spans="1:26" x14ac:dyDescent="0.25">
      <c r="A13" s="264">
        <v>9</v>
      </c>
      <c r="B13" s="256" t="s">
        <v>142</v>
      </c>
      <c r="C13" s="34">
        <v>140</v>
      </c>
      <c r="D13" s="35">
        <v>240</v>
      </c>
      <c r="E13" s="35">
        <v>5</v>
      </c>
      <c r="F13" s="19">
        <f t="shared" si="5"/>
        <v>0.16800000000000001</v>
      </c>
      <c r="G13" s="286">
        <v>148</v>
      </c>
      <c r="H13" s="288">
        <f t="shared" si="6"/>
        <v>24.864000000000001</v>
      </c>
      <c r="I13" s="290">
        <v>0</v>
      </c>
      <c r="J13" s="205">
        <f t="shared" si="0"/>
        <v>0</v>
      </c>
      <c r="K13" s="290">
        <v>4</v>
      </c>
      <c r="L13" s="205">
        <f>F13*K13</f>
        <v>0.67200000000000004</v>
      </c>
      <c r="M13" s="290">
        <v>0</v>
      </c>
      <c r="N13" s="205">
        <f>F13*M13</f>
        <v>0</v>
      </c>
      <c r="O13" s="290">
        <v>11</v>
      </c>
      <c r="P13" s="205">
        <f>F13*O13</f>
        <v>1.8480000000000001</v>
      </c>
      <c r="Q13" s="290">
        <v>0</v>
      </c>
      <c r="R13" s="205">
        <f>F13*Q13</f>
        <v>0</v>
      </c>
      <c r="S13" s="39">
        <f t="shared" si="7"/>
        <v>133</v>
      </c>
      <c r="T13" s="38">
        <f t="shared" si="4"/>
        <v>22.344000000000001</v>
      </c>
      <c r="U13" s="290">
        <v>0</v>
      </c>
      <c r="V13" s="13">
        <f t="shared" si="8"/>
        <v>0</v>
      </c>
      <c r="W13" s="294">
        <f t="shared" si="9"/>
        <v>133</v>
      </c>
      <c r="X13" s="295">
        <f t="shared" si="10"/>
        <v>22.344000000000001</v>
      </c>
      <c r="Y13" s="238">
        <v>100</v>
      </c>
      <c r="Z13" s="101">
        <v>300</v>
      </c>
    </row>
    <row r="14" spans="1:26" x14ac:dyDescent="0.25">
      <c r="A14" s="264">
        <v>10</v>
      </c>
      <c r="B14" s="256" t="s">
        <v>215</v>
      </c>
      <c r="C14" s="34">
        <v>90</v>
      </c>
      <c r="D14" s="35">
        <v>85</v>
      </c>
      <c r="E14" s="35">
        <v>5</v>
      </c>
      <c r="F14" s="19">
        <f t="shared" si="5"/>
        <v>3.8249999999999999E-2</v>
      </c>
      <c r="G14" s="286">
        <v>580</v>
      </c>
      <c r="H14" s="288">
        <f t="shared" si="6"/>
        <v>22.184999999999999</v>
      </c>
      <c r="I14" s="290">
        <v>0</v>
      </c>
      <c r="J14" s="205">
        <f t="shared" si="0"/>
        <v>0</v>
      </c>
      <c r="K14" s="290">
        <v>0</v>
      </c>
      <c r="L14" s="205">
        <f t="shared" ref="L14:L20" si="12">F14*K14</f>
        <v>0</v>
      </c>
      <c r="M14" s="290">
        <v>0</v>
      </c>
      <c r="N14" s="205">
        <f>F14*M14</f>
        <v>0</v>
      </c>
      <c r="O14" s="290">
        <v>0</v>
      </c>
      <c r="P14" s="205">
        <f t="shared" si="0"/>
        <v>0</v>
      </c>
      <c r="Q14" s="290">
        <v>0</v>
      </c>
      <c r="R14" s="205">
        <f t="shared" si="0"/>
        <v>0</v>
      </c>
      <c r="S14" s="39">
        <f t="shared" si="7"/>
        <v>580</v>
      </c>
      <c r="T14" s="38">
        <f t="shared" si="4"/>
        <v>22.184999999999999</v>
      </c>
      <c r="U14" s="290">
        <v>0</v>
      </c>
      <c r="V14" s="13">
        <f t="shared" si="8"/>
        <v>0</v>
      </c>
      <c r="W14" s="294">
        <f t="shared" si="9"/>
        <v>580</v>
      </c>
      <c r="X14" s="295">
        <f t="shared" si="10"/>
        <v>22.184999999999999</v>
      </c>
      <c r="Y14" s="238">
        <v>100</v>
      </c>
      <c r="Z14" s="101">
        <v>300</v>
      </c>
    </row>
    <row r="15" spans="1:26" x14ac:dyDescent="0.25">
      <c r="A15" s="264">
        <v>11</v>
      </c>
      <c r="B15" s="256" t="s">
        <v>144</v>
      </c>
      <c r="C15" s="34">
        <v>140</v>
      </c>
      <c r="D15" s="35">
        <v>240</v>
      </c>
      <c r="E15" s="35">
        <v>5</v>
      </c>
      <c r="F15" s="19">
        <f t="shared" si="5"/>
        <v>0.16800000000000001</v>
      </c>
      <c r="G15" s="286">
        <v>283</v>
      </c>
      <c r="H15" s="288">
        <f t="shared" si="6"/>
        <v>47.544000000000004</v>
      </c>
      <c r="I15" s="290">
        <v>3</v>
      </c>
      <c r="J15" s="205">
        <f t="shared" si="0"/>
        <v>0.504</v>
      </c>
      <c r="K15" s="290">
        <v>6</v>
      </c>
      <c r="L15" s="205">
        <f t="shared" si="12"/>
        <v>1.008</v>
      </c>
      <c r="M15" s="290">
        <v>8</v>
      </c>
      <c r="N15" s="205">
        <f t="shared" ref="N15:N37" si="13">F15*M15</f>
        <v>1.3440000000000001</v>
      </c>
      <c r="O15" s="290">
        <v>1</v>
      </c>
      <c r="P15" s="205">
        <f t="shared" ref="P15:P36" si="14">F15*O15</f>
        <v>0.16800000000000001</v>
      </c>
      <c r="Q15" s="290">
        <v>0</v>
      </c>
      <c r="R15" s="205">
        <f t="shared" ref="R15:R20" si="15">F15*Q15</f>
        <v>0</v>
      </c>
      <c r="S15" s="39">
        <f t="shared" si="7"/>
        <v>265</v>
      </c>
      <c r="T15" s="38">
        <f t="shared" si="4"/>
        <v>44.52</v>
      </c>
      <c r="U15" s="290">
        <v>0</v>
      </c>
      <c r="V15" s="13">
        <f t="shared" si="8"/>
        <v>0</v>
      </c>
      <c r="W15" s="294">
        <f t="shared" si="9"/>
        <v>265</v>
      </c>
      <c r="X15" s="295">
        <f t="shared" si="10"/>
        <v>44.52</v>
      </c>
      <c r="Y15" s="238">
        <v>200</v>
      </c>
      <c r="Z15" s="101">
        <v>400</v>
      </c>
    </row>
    <row r="16" spans="1:26" x14ac:dyDescent="0.25">
      <c r="A16" s="264">
        <v>12</v>
      </c>
      <c r="B16" s="256" t="s">
        <v>145</v>
      </c>
      <c r="C16" s="34">
        <v>140</v>
      </c>
      <c r="D16" s="35">
        <v>240</v>
      </c>
      <c r="E16" s="35">
        <v>5</v>
      </c>
      <c r="F16" s="19">
        <f t="shared" si="5"/>
        <v>0.16800000000000001</v>
      </c>
      <c r="G16" s="286">
        <v>210</v>
      </c>
      <c r="H16" s="288">
        <f t="shared" si="6"/>
        <v>35.28</v>
      </c>
      <c r="I16" s="290">
        <v>14</v>
      </c>
      <c r="J16" s="205">
        <f t="shared" si="0"/>
        <v>2.3520000000000003</v>
      </c>
      <c r="K16" s="290">
        <v>9</v>
      </c>
      <c r="L16" s="205">
        <f t="shared" si="12"/>
        <v>1.512</v>
      </c>
      <c r="M16" s="290">
        <v>6</v>
      </c>
      <c r="N16" s="205">
        <f t="shared" si="13"/>
        <v>1.008</v>
      </c>
      <c r="O16" s="290">
        <v>1</v>
      </c>
      <c r="P16" s="205">
        <f t="shared" si="14"/>
        <v>0.16800000000000001</v>
      </c>
      <c r="Q16" s="290">
        <v>0</v>
      </c>
      <c r="R16" s="205">
        <f t="shared" si="15"/>
        <v>0</v>
      </c>
      <c r="S16" s="39">
        <f t="shared" si="7"/>
        <v>180</v>
      </c>
      <c r="T16" s="38">
        <f t="shared" si="4"/>
        <v>30.240000000000002</v>
      </c>
      <c r="U16" s="290">
        <v>0</v>
      </c>
      <c r="V16" s="13">
        <f t="shared" si="8"/>
        <v>0</v>
      </c>
      <c r="W16" s="294">
        <f t="shared" si="9"/>
        <v>180</v>
      </c>
      <c r="X16" s="295">
        <f t="shared" si="10"/>
        <v>30.240000000000002</v>
      </c>
      <c r="Y16" s="238">
        <v>100</v>
      </c>
      <c r="Z16" s="101">
        <v>300</v>
      </c>
    </row>
    <row r="17" spans="1:26" x14ac:dyDescent="0.25">
      <c r="A17" s="264">
        <v>13</v>
      </c>
      <c r="B17" s="256" t="s">
        <v>146</v>
      </c>
      <c r="C17" s="34">
        <v>140</v>
      </c>
      <c r="D17" s="35">
        <v>240</v>
      </c>
      <c r="E17" s="35">
        <v>8</v>
      </c>
      <c r="F17" s="19">
        <f t="shared" si="5"/>
        <v>0.26879999999999998</v>
      </c>
      <c r="G17" s="286">
        <v>74</v>
      </c>
      <c r="H17" s="288">
        <f t="shared" si="6"/>
        <v>19.891199999999998</v>
      </c>
      <c r="I17" s="290">
        <v>0</v>
      </c>
      <c r="J17" s="205">
        <f t="shared" si="0"/>
        <v>0</v>
      </c>
      <c r="K17" s="290">
        <v>0</v>
      </c>
      <c r="L17" s="205">
        <f t="shared" si="12"/>
        <v>0</v>
      </c>
      <c r="M17" s="290">
        <v>0</v>
      </c>
      <c r="N17" s="205">
        <f t="shared" si="13"/>
        <v>0</v>
      </c>
      <c r="O17" s="290">
        <v>0</v>
      </c>
      <c r="P17" s="205">
        <f t="shared" si="14"/>
        <v>0</v>
      </c>
      <c r="Q17" s="290">
        <v>0</v>
      </c>
      <c r="R17" s="205">
        <f t="shared" si="15"/>
        <v>0</v>
      </c>
      <c r="S17" s="39">
        <f t="shared" si="7"/>
        <v>74</v>
      </c>
      <c r="T17" s="38">
        <f t="shared" si="4"/>
        <v>19.891199999999998</v>
      </c>
      <c r="U17" s="290">
        <v>0</v>
      </c>
      <c r="V17" s="13">
        <f t="shared" si="8"/>
        <v>0</v>
      </c>
      <c r="W17" s="294">
        <f t="shared" si="9"/>
        <v>74</v>
      </c>
      <c r="X17" s="295">
        <f t="shared" si="10"/>
        <v>19.891199999999998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147</v>
      </c>
      <c r="C18" s="34">
        <v>77</v>
      </c>
      <c r="D18" s="35">
        <v>86</v>
      </c>
      <c r="E18" s="35">
        <v>8</v>
      </c>
      <c r="F18" s="19">
        <f t="shared" si="5"/>
        <v>5.2976000000000002E-2</v>
      </c>
      <c r="G18" s="286">
        <v>789</v>
      </c>
      <c r="H18" s="288">
        <f t="shared" si="6"/>
        <v>41.798064000000004</v>
      </c>
      <c r="I18" s="290">
        <v>8</v>
      </c>
      <c r="J18" s="205">
        <f t="shared" si="0"/>
        <v>0.42380800000000002</v>
      </c>
      <c r="K18" s="290">
        <v>13</v>
      </c>
      <c r="L18" s="205">
        <f t="shared" si="12"/>
        <v>0.68868800000000008</v>
      </c>
      <c r="M18" s="290">
        <v>11</v>
      </c>
      <c r="N18" s="205">
        <f t="shared" si="13"/>
        <v>0.58273600000000003</v>
      </c>
      <c r="O18" s="290">
        <v>82</v>
      </c>
      <c r="P18" s="205">
        <f t="shared" si="14"/>
        <v>4.3440320000000003</v>
      </c>
      <c r="Q18" s="290">
        <v>0</v>
      </c>
      <c r="R18" s="205">
        <f t="shared" si="15"/>
        <v>0</v>
      </c>
      <c r="S18" s="39">
        <f t="shared" si="7"/>
        <v>675</v>
      </c>
      <c r="T18" s="38">
        <f t="shared" si="4"/>
        <v>35.758800000000001</v>
      </c>
      <c r="U18" s="290">
        <v>0</v>
      </c>
      <c r="V18" s="13">
        <f t="shared" si="8"/>
        <v>0</v>
      </c>
      <c r="W18" s="294">
        <f t="shared" si="9"/>
        <v>675</v>
      </c>
      <c r="X18" s="295">
        <f t="shared" si="10"/>
        <v>35.758800000000001</v>
      </c>
      <c r="Y18" s="238">
        <v>100</v>
      </c>
      <c r="Z18" s="101">
        <v>300</v>
      </c>
    </row>
    <row r="19" spans="1:26" x14ac:dyDescent="0.25">
      <c r="A19" s="264">
        <v>15</v>
      </c>
      <c r="B19" s="256" t="s">
        <v>148</v>
      </c>
      <c r="C19" s="34">
        <v>77</v>
      </c>
      <c r="D19" s="35">
        <v>68</v>
      </c>
      <c r="E19" s="35">
        <v>8</v>
      </c>
      <c r="F19" s="19">
        <f t="shared" si="5"/>
        <v>4.1888000000000002E-2</v>
      </c>
      <c r="G19" s="286">
        <v>341</v>
      </c>
      <c r="H19" s="288">
        <f t="shared" si="6"/>
        <v>14.283808000000001</v>
      </c>
      <c r="I19" s="290">
        <v>0</v>
      </c>
      <c r="J19" s="205">
        <f t="shared" si="0"/>
        <v>0</v>
      </c>
      <c r="K19" s="290">
        <v>0</v>
      </c>
      <c r="L19" s="205">
        <f t="shared" si="12"/>
        <v>0</v>
      </c>
      <c r="M19" s="290">
        <v>2</v>
      </c>
      <c r="N19" s="205">
        <f t="shared" si="13"/>
        <v>8.3776000000000003E-2</v>
      </c>
      <c r="O19" s="290">
        <v>26</v>
      </c>
      <c r="P19" s="205">
        <f t="shared" si="14"/>
        <v>1.0890880000000001</v>
      </c>
      <c r="Q19" s="290">
        <v>0</v>
      </c>
      <c r="R19" s="205">
        <f t="shared" si="15"/>
        <v>0</v>
      </c>
      <c r="S19" s="39">
        <f t="shared" si="7"/>
        <v>313</v>
      </c>
      <c r="T19" s="38">
        <f t="shared" si="4"/>
        <v>13.110944</v>
      </c>
      <c r="U19" s="290">
        <v>0</v>
      </c>
      <c r="V19" s="13">
        <f t="shared" si="8"/>
        <v>0</v>
      </c>
      <c r="W19" s="294">
        <f t="shared" si="9"/>
        <v>313</v>
      </c>
      <c r="X19" s="295">
        <f t="shared" si="10"/>
        <v>13.110944</v>
      </c>
      <c r="Y19" s="238">
        <v>100</v>
      </c>
      <c r="Z19" s="101">
        <v>300</v>
      </c>
    </row>
    <row r="20" spans="1:26" x14ac:dyDescent="0.25">
      <c r="A20" s="264">
        <v>16</v>
      </c>
      <c r="B20" s="256" t="s">
        <v>149</v>
      </c>
      <c r="C20" s="34">
        <v>76</v>
      </c>
      <c r="D20" s="35">
        <v>75</v>
      </c>
      <c r="E20" s="35">
        <v>8</v>
      </c>
      <c r="F20" s="19">
        <f t="shared" si="5"/>
        <v>4.5600000000000002E-2</v>
      </c>
      <c r="G20" s="286">
        <v>1213</v>
      </c>
      <c r="H20" s="288">
        <f t="shared" si="6"/>
        <v>55.312800000000003</v>
      </c>
      <c r="I20" s="290">
        <v>0</v>
      </c>
      <c r="J20" s="205">
        <f t="shared" si="0"/>
        <v>0</v>
      </c>
      <c r="K20" s="290">
        <v>0</v>
      </c>
      <c r="L20" s="205">
        <f t="shared" si="12"/>
        <v>0</v>
      </c>
      <c r="M20" s="290">
        <v>4</v>
      </c>
      <c r="N20" s="205">
        <f t="shared" si="13"/>
        <v>0.18240000000000001</v>
      </c>
      <c r="O20" s="290">
        <v>5</v>
      </c>
      <c r="P20" s="205">
        <f t="shared" si="14"/>
        <v>0.22800000000000001</v>
      </c>
      <c r="Q20" s="290">
        <v>0</v>
      </c>
      <c r="R20" s="205">
        <f t="shared" si="15"/>
        <v>0</v>
      </c>
      <c r="S20" s="39">
        <f t="shared" si="7"/>
        <v>1204</v>
      </c>
      <c r="T20" s="38">
        <f t="shared" si="4"/>
        <v>54.9024</v>
      </c>
      <c r="U20" s="290">
        <v>0</v>
      </c>
      <c r="V20" s="13">
        <f t="shared" si="8"/>
        <v>0</v>
      </c>
      <c r="W20" s="294">
        <f t="shared" si="9"/>
        <v>1204</v>
      </c>
      <c r="X20" s="295">
        <f t="shared" si="10"/>
        <v>54.9024</v>
      </c>
      <c r="Y20" s="238">
        <v>100</v>
      </c>
      <c r="Z20" s="101">
        <v>300</v>
      </c>
    </row>
    <row r="21" spans="1:26" x14ac:dyDescent="0.25">
      <c r="A21" s="264">
        <v>17</v>
      </c>
      <c r="B21" s="256" t="s">
        <v>150</v>
      </c>
      <c r="C21" s="34">
        <v>60</v>
      </c>
      <c r="D21" s="35">
        <v>63</v>
      </c>
      <c r="E21" s="35">
        <v>10</v>
      </c>
      <c r="F21" s="19">
        <f t="shared" si="5"/>
        <v>3.78E-2</v>
      </c>
      <c r="G21" s="286">
        <v>417</v>
      </c>
      <c r="H21" s="288">
        <f t="shared" si="6"/>
        <v>15.762600000000001</v>
      </c>
      <c r="I21" s="290">
        <v>6</v>
      </c>
      <c r="J21" s="205">
        <f t="shared" si="0"/>
        <v>0.2268</v>
      </c>
      <c r="K21" s="290">
        <v>16</v>
      </c>
      <c r="L21" s="205">
        <f t="shared" si="0"/>
        <v>252.20160000000001</v>
      </c>
      <c r="M21" s="290">
        <v>0</v>
      </c>
      <c r="N21" s="21">
        <v>0</v>
      </c>
      <c r="O21" s="290">
        <v>0</v>
      </c>
      <c r="P21" s="205">
        <f t="shared" si="14"/>
        <v>0</v>
      </c>
      <c r="Q21" s="290">
        <v>0</v>
      </c>
      <c r="R21" s="21">
        <v>0</v>
      </c>
      <c r="S21" s="39">
        <f t="shared" si="7"/>
        <v>395</v>
      </c>
      <c r="T21" s="38">
        <f t="shared" si="4"/>
        <v>14.931000000000001</v>
      </c>
      <c r="U21" s="290">
        <v>0</v>
      </c>
      <c r="V21" s="13">
        <f t="shared" si="8"/>
        <v>0</v>
      </c>
      <c r="W21" s="294">
        <f t="shared" si="9"/>
        <v>395</v>
      </c>
      <c r="X21" s="295">
        <f t="shared" si="10"/>
        <v>14.931000000000001</v>
      </c>
      <c r="Y21" s="238">
        <v>50</v>
      </c>
      <c r="Z21" s="101">
        <v>200</v>
      </c>
    </row>
    <row r="22" spans="1:26" x14ac:dyDescent="0.25">
      <c r="A22" s="264">
        <v>18</v>
      </c>
      <c r="B22" s="256" t="s">
        <v>151</v>
      </c>
      <c r="C22" s="34">
        <v>63</v>
      </c>
      <c r="D22" s="35">
        <v>60</v>
      </c>
      <c r="E22" s="35">
        <v>3</v>
      </c>
      <c r="F22" s="19">
        <f t="shared" si="5"/>
        <v>1.1339999999999999E-2</v>
      </c>
      <c r="G22" s="286">
        <v>171</v>
      </c>
      <c r="H22" s="288">
        <f t="shared" si="6"/>
        <v>1.9391399999999999</v>
      </c>
      <c r="I22" s="290">
        <v>3</v>
      </c>
      <c r="J22" s="205">
        <f t="shared" si="0"/>
        <v>3.4019999999999995E-2</v>
      </c>
      <c r="K22" s="290">
        <v>8</v>
      </c>
      <c r="L22" s="205">
        <f>F22*K22</f>
        <v>9.0719999999999995E-2</v>
      </c>
      <c r="M22" s="290">
        <v>0</v>
      </c>
      <c r="N22" s="205">
        <f t="shared" si="13"/>
        <v>0</v>
      </c>
      <c r="O22" s="290">
        <v>0</v>
      </c>
      <c r="P22" s="205">
        <f t="shared" si="14"/>
        <v>0</v>
      </c>
      <c r="Q22" s="290">
        <v>0</v>
      </c>
      <c r="R22" s="21">
        <v>0</v>
      </c>
      <c r="S22" s="39">
        <f t="shared" si="7"/>
        <v>160</v>
      </c>
      <c r="T22" s="38">
        <f t="shared" si="4"/>
        <v>1.8144</v>
      </c>
      <c r="U22" s="290">
        <v>0</v>
      </c>
      <c r="V22" s="13">
        <f t="shared" si="8"/>
        <v>0</v>
      </c>
      <c r="W22" s="294">
        <f t="shared" si="9"/>
        <v>160</v>
      </c>
      <c r="X22" s="295">
        <f t="shared" si="10"/>
        <v>1.8144</v>
      </c>
      <c r="Y22" s="238">
        <v>50</v>
      </c>
      <c r="Z22" s="101">
        <v>200</v>
      </c>
    </row>
    <row r="23" spans="1:26" x14ac:dyDescent="0.25">
      <c r="A23" s="264">
        <v>19</v>
      </c>
      <c r="B23" s="42" t="s">
        <v>152</v>
      </c>
      <c r="C23" s="34">
        <v>140</v>
      </c>
      <c r="D23" s="35">
        <v>240</v>
      </c>
      <c r="E23" s="35">
        <v>1.4</v>
      </c>
      <c r="F23" s="19">
        <f t="shared" si="5"/>
        <v>4.7039999999999998E-2</v>
      </c>
      <c r="G23" s="286">
        <v>699</v>
      </c>
      <c r="H23" s="288">
        <f t="shared" si="6"/>
        <v>32.880960000000002</v>
      </c>
      <c r="I23" s="290">
        <v>68</v>
      </c>
      <c r="J23" s="205">
        <f t="shared" si="0"/>
        <v>3.1987199999999998</v>
      </c>
      <c r="K23" s="290">
        <v>72</v>
      </c>
      <c r="L23" s="205">
        <f t="shared" ref="L23:L36" si="16">F23*K23</f>
        <v>3.3868799999999997</v>
      </c>
      <c r="M23" s="290">
        <v>123</v>
      </c>
      <c r="N23" s="205">
        <f t="shared" si="13"/>
        <v>5.78592</v>
      </c>
      <c r="O23" s="290">
        <v>76</v>
      </c>
      <c r="P23" s="205">
        <f t="shared" si="14"/>
        <v>3.57504</v>
      </c>
      <c r="Q23" s="290">
        <v>0</v>
      </c>
      <c r="R23" s="205">
        <f t="shared" ref="R23:R37" si="17">F23*Q23</f>
        <v>0</v>
      </c>
      <c r="S23" s="39">
        <f t="shared" si="7"/>
        <v>360</v>
      </c>
      <c r="T23" s="38">
        <f t="shared" si="4"/>
        <v>16.9344</v>
      </c>
      <c r="U23" s="290">
        <v>0</v>
      </c>
      <c r="V23" s="13">
        <f t="shared" si="8"/>
        <v>0</v>
      </c>
      <c r="W23" s="294">
        <f t="shared" si="9"/>
        <v>360</v>
      </c>
      <c r="X23" s="295">
        <f t="shared" si="10"/>
        <v>16.9344</v>
      </c>
      <c r="Y23" s="238">
        <v>200</v>
      </c>
      <c r="Z23" s="101">
        <v>500</v>
      </c>
    </row>
    <row r="24" spans="1:26" x14ac:dyDescent="0.25">
      <c r="A24" s="264">
        <v>20</v>
      </c>
      <c r="B24" s="256" t="s">
        <v>3</v>
      </c>
      <c r="C24" s="34">
        <v>140</v>
      </c>
      <c r="D24" s="35">
        <v>240</v>
      </c>
      <c r="E24" s="35">
        <v>0.8</v>
      </c>
      <c r="F24" s="19">
        <f t="shared" si="5"/>
        <v>2.6880000000000001E-2</v>
      </c>
      <c r="G24" s="286">
        <v>232</v>
      </c>
      <c r="H24" s="288">
        <f t="shared" si="6"/>
        <v>6.2361599999999999</v>
      </c>
      <c r="I24" s="290">
        <v>17</v>
      </c>
      <c r="J24" s="205">
        <f t="shared" si="0"/>
        <v>0.45696000000000003</v>
      </c>
      <c r="K24" s="290">
        <v>10</v>
      </c>
      <c r="L24" s="205">
        <f t="shared" si="16"/>
        <v>0.26880000000000004</v>
      </c>
      <c r="M24" s="290">
        <v>25</v>
      </c>
      <c r="N24" s="205">
        <f t="shared" si="13"/>
        <v>0.67200000000000004</v>
      </c>
      <c r="O24" s="290">
        <v>12</v>
      </c>
      <c r="P24" s="205">
        <f t="shared" si="14"/>
        <v>0.32256000000000001</v>
      </c>
      <c r="Q24" s="290">
        <v>0</v>
      </c>
      <c r="R24" s="205">
        <f t="shared" si="17"/>
        <v>0</v>
      </c>
      <c r="S24" s="39">
        <f t="shared" si="7"/>
        <v>168</v>
      </c>
      <c r="T24" s="38">
        <f t="shared" si="4"/>
        <v>4.5158399999999999</v>
      </c>
      <c r="U24" s="290">
        <v>0</v>
      </c>
      <c r="V24" s="13">
        <f t="shared" si="8"/>
        <v>0</v>
      </c>
      <c r="W24" s="294">
        <f t="shared" si="9"/>
        <v>168</v>
      </c>
      <c r="X24" s="295">
        <f t="shared" si="10"/>
        <v>4.5158399999999999</v>
      </c>
      <c r="Y24" s="238">
        <v>100</v>
      </c>
      <c r="Z24" s="101">
        <v>300</v>
      </c>
    </row>
    <row r="25" spans="1:26" x14ac:dyDescent="0.25">
      <c r="A25" s="264">
        <v>21</v>
      </c>
      <c r="B25" s="256" t="s">
        <v>153</v>
      </c>
      <c r="C25" s="34">
        <v>58</v>
      </c>
      <c r="D25" s="35">
        <v>58</v>
      </c>
      <c r="E25" s="35">
        <v>2.2999999999999998</v>
      </c>
      <c r="F25" s="19">
        <f t="shared" si="5"/>
        <v>7.7371999999999996E-3</v>
      </c>
      <c r="G25" s="286">
        <v>415</v>
      </c>
      <c r="H25" s="288">
        <f t="shared" si="6"/>
        <v>3.2109379999999996</v>
      </c>
      <c r="I25" s="290">
        <v>66</v>
      </c>
      <c r="J25" s="205">
        <f t="shared" si="0"/>
        <v>0.51065519999999998</v>
      </c>
      <c r="K25" s="290">
        <v>124</v>
      </c>
      <c r="L25" s="205">
        <f t="shared" si="16"/>
        <v>0.95941279999999995</v>
      </c>
      <c r="M25" s="290">
        <v>48</v>
      </c>
      <c r="N25" s="205">
        <f t="shared" si="13"/>
        <v>0.37138559999999998</v>
      </c>
      <c r="O25" s="290">
        <v>54</v>
      </c>
      <c r="P25" s="205">
        <f t="shared" si="14"/>
        <v>0.41780879999999998</v>
      </c>
      <c r="Q25" s="290">
        <v>0</v>
      </c>
      <c r="R25" s="205">
        <f t="shared" si="17"/>
        <v>0</v>
      </c>
      <c r="S25" s="39">
        <f t="shared" si="7"/>
        <v>123</v>
      </c>
      <c r="T25" s="38">
        <f t="shared" si="4"/>
        <v>0.95167559999999995</v>
      </c>
      <c r="U25" s="290">
        <v>0</v>
      </c>
      <c r="V25" s="13">
        <f t="shared" si="8"/>
        <v>0</v>
      </c>
      <c r="W25" s="294">
        <f t="shared" si="9"/>
        <v>123</v>
      </c>
      <c r="X25" s="295">
        <f t="shared" si="10"/>
        <v>0.95167559999999995</v>
      </c>
      <c r="Y25" s="238">
        <v>200</v>
      </c>
      <c r="Z25" s="101">
        <v>750</v>
      </c>
    </row>
    <row r="26" spans="1:26" x14ac:dyDescent="0.25">
      <c r="A26" s="264">
        <v>22</v>
      </c>
      <c r="B26" s="256" t="s">
        <v>154</v>
      </c>
      <c r="C26" s="34">
        <v>140</v>
      </c>
      <c r="D26" s="35">
        <v>240</v>
      </c>
      <c r="E26" s="35">
        <v>7</v>
      </c>
      <c r="F26" s="19">
        <f t="shared" si="5"/>
        <v>0.23519999999999999</v>
      </c>
      <c r="G26" s="286">
        <v>37</v>
      </c>
      <c r="H26" s="288">
        <f t="shared" si="6"/>
        <v>8.702399999999999</v>
      </c>
      <c r="I26" s="290">
        <v>8</v>
      </c>
      <c r="J26" s="205">
        <f t="shared" si="0"/>
        <v>1.8815999999999999</v>
      </c>
      <c r="K26" s="290">
        <v>11</v>
      </c>
      <c r="L26" s="205">
        <f t="shared" si="16"/>
        <v>2.5871999999999997</v>
      </c>
      <c r="M26" s="290">
        <v>9</v>
      </c>
      <c r="N26" s="205">
        <f t="shared" si="13"/>
        <v>2.1168</v>
      </c>
      <c r="O26" s="290">
        <v>2</v>
      </c>
      <c r="P26" s="205">
        <f t="shared" si="14"/>
        <v>0.47039999999999998</v>
      </c>
      <c r="Q26" s="290">
        <v>0</v>
      </c>
      <c r="R26" s="205">
        <f t="shared" si="17"/>
        <v>0</v>
      </c>
      <c r="S26" s="39">
        <f t="shared" si="7"/>
        <v>7</v>
      </c>
      <c r="T26" s="38">
        <f t="shared" si="4"/>
        <v>1.6463999999999999</v>
      </c>
      <c r="U26" s="290">
        <v>0</v>
      </c>
      <c r="V26" s="13">
        <f t="shared" si="8"/>
        <v>0</v>
      </c>
      <c r="W26" s="294">
        <f t="shared" si="9"/>
        <v>7</v>
      </c>
      <c r="X26" s="295">
        <f t="shared" si="10"/>
        <v>1.6463999999999999</v>
      </c>
      <c r="Y26" s="238">
        <v>50</v>
      </c>
      <c r="Z26" s="101">
        <v>200</v>
      </c>
    </row>
    <row r="27" spans="1:26" ht="15.75" x14ac:dyDescent="0.25">
      <c r="A27" s="264">
        <v>23</v>
      </c>
      <c r="B27" s="256" t="s">
        <v>55</v>
      </c>
      <c r="C27" s="111">
        <v>50</v>
      </c>
      <c r="D27" s="112">
        <v>45</v>
      </c>
      <c r="E27" s="112">
        <v>4</v>
      </c>
      <c r="F27" s="19">
        <f t="shared" si="5"/>
        <v>8.9999999999999993E-3</v>
      </c>
      <c r="G27" s="286">
        <v>1550</v>
      </c>
      <c r="H27" s="288">
        <f t="shared" si="6"/>
        <v>13.95</v>
      </c>
      <c r="I27" s="290">
        <v>0</v>
      </c>
      <c r="J27" s="205">
        <f t="shared" si="0"/>
        <v>0</v>
      </c>
      <c r="K27" s="290">
        <v>0</v>
      </c>
      <c r="L27" s="205">
        <f t="shared" si="16"/>
        <v>0</v>
      </c>
      <c r="M27" s="290">
        <v>0</v>
      </c>
      <c r="N27" s="205">
        <f t="shared" si="13"/>
        <v>0</v>
      </c>
      <c r="O27" s="290">
        <v>0</v>
      </c>
      <c r="P27" s="205">
        <f t="shared" si="14"/>
        <v>0</v>
      </c>
      <c r="Q27" s="290">
        <v>0</v>
      </c>
      <c r="R27" s="205">
        <f t="shared" si="17"/>
        <v>0</v>
      </c>
      <c r="S27" s="39">
        <f t="shared" si="7"/>
        <v>1550</v>
      </c>
      <c r="T27" s="38">
        <f t="shared" si="4"/>
        <v>13.95</v>
      </c>
      <c r="U27" s="290">
        <v>0</v>
      </c>
      <c r="V27" s="13">
        <f t="shared" si="8"/>
        <v>0</v>
      </c>
      <c r="W27" s="294">
        <f t="shared" si="9"/>
        <v>1550</v>
      </c>
      <c r="X27" s="295">
        <f t="shared" si="10"/>
        <v>13.95</v>
      </c>
      <c r="Y27" s="238">
        <v>300</v>
      </c>
      <c r="Z27" s="101">
        <v>1000</v>
      </c>
    </row>
    <row r="28" spans="1:26" ht="15.75" x14ac:dyDescent="0.25">
      <c r="A28" s="264">
        <v>24</v>
      </c>
      <c r="B28" s="256" t="s">
        <v>56</v>
      </c>
      <c r="C28" s="111">
        <v>50</v>
      </c>
      <c r="D28" s="112">
        <v>35</v>
      </c>
      <c r="E28" s="112">
        <v>4</v>
      </c>
      <c r="F28" s="19">
        <f t="shared" si="5"/>
        <v>7.0000000000000001E-3</v>
      </c>
      <c r="G28" s="286">
        <v>0</v>
      </c>
      <c r="H28" s="288">
        <f t="shared" si="6"/>
        <v>0</v>
      </c>
      <c r="I28" s="290">
        <v>0</v>
      </c>
      <c r="J28" s="205">
        <f t="shared" si="0"/>
        <v>0</v>
      </c>
      <c r="K28" s="290">
        <v>0</v>
      </c>
      <c r="L28" s="205">
        <f t="shared" si="16"/>
        <v>0</v>
      </c>
      <c r="M28" s="290">
        <v>0</v>
      </c>
      <c r="N28" s="205">
        <f t="shared" si="13"/>
        <v>0</v>
      </c>
      <c r="O28" s="290">
        <v>0</v>
      </c>
      <c r="P28" s="205">
        <f t="shared" si="14"/>
        <v>0</v>
      </c>
      <c r="Q28" s="290">
        <v>0</v>
      </c>
      <c r="R28" s="205">
        <f t="shared" si="17"/>
        <v>0</v>
      </c>
      <c r="S28" s="39">
        <f t="shared" si="7"/>
        <v>0</v>
      </c>
      <c r="T28" s="38">
        <f t="shared" si="4"/>
        <v>0</v>
      </c>
      <c r="U28" s="290">
        <v>0</v>
      </c>
      <c r="V28" s="13">
        <f t="shared" si="8"/>
        <v>0</v>
      </c>
      <c r="W28" s="294">
        <f t="shared" si="9"/>
        <v>0</v>
      </c>
      <c r="X28" s="295">
        <f t="shared" si="10"/>
        <v>0</v>
      </c>
      <c r="Y28" s="238">
        <v>300</v>
      </c>
      <c r="Z28" s="101">
        <v>1000</v>
      </c>
    </row>
    <row r="29" spans="1:26" ht="15.75" x14ac:dyDescent="0.25">
      <c r="A29" s="264">
        <v>25</v>
      </c>
      <c r="B29" s="256" t="s">
        <v>57</v>
      </c>
      <c r="C29" s="111">
        <v>45</v>
      </c>
      <c r="D29" s="112">
        <v>44</v>
      </c>
      <c r="E29" s="112">
        <v>3</v>
      </c>
      <c r="F29" s="19">
        <f t="shared" si="5"/>
        <v>5.94E-3</v>
      </c>
      <c r="G29" s="286">
        <v>925</v>
      </c>
      <c r="H29" s="288">
        <f t="shared" si="6"/>
        <v>5.4945000000000004</v>
      </c>
      <c r="I29" s="290">
        <v>0</v>
      </c>
      <c r="J29" s="205">
        <f t="shared" si="0"/>
        <v>0</v>
      </c>
      <c r="K29" s="290">
        <v>0</v>
      </c>
      <c r="L29" s="205">
        <f t="shared" si="16"/>
        <v>0</v>
      </c>
      <c r="M29" s="290">
        <v>30</v>
      </c>
      <c r="N29" s="205">
        <f t="shared" si="13"/>
        <v>0.1782</v>
      </c>
      <c r="O29" s="290">
        <v>20</v>
      </c>
      <c r="P29" s="205">
        <f t="shared" si="14"/>
        <v>0.1188</v>
      </c>
      <c r="Q29" s="290">
        <v>0</v>
      </c>
      <c r="R29" s="205">
        <f t="shared" si="17"/>
        <v>0</v>
      </c>
      <c r="S29" s="39">
        <f t="shared" si="7"/>
        <v>875</v>
      </c>
      <c r="T29" s="38">
        <f t="shared" si="4"/>
        <v>5.1974999999999998</v>
      </c>
      <c r="U29" s="290">
        <v>0</v>
      </c>
      <c r="V29" s="13">
        <f t="shared" si="8"/>
        <v>0</v>
      </c>
      <c r="W29" s="294">
        <f t="shared" si="9"/>
        <v>875</v>
      </c>
      <c r="X29" s="295">
        <f t="shared" si="10"/>
        <v>5.1974999999999998</v>
      </c>
      <c r="Y29" s="238">
        <v>500</v>
      </c>
      <c r="Z29" s="101">
        <v>1500</v>
      </c>
    </row>
    <row r="30" spans="1:26" ht="15.75" x14ac:dyDescent="0.25">
      <c r="A30" s="264">
        <v>26</v>
      </c>
      <c r="B30" s="256" t="s">
        <v>58</v>
      </c>
      <c r="C30" s="111">
        <v>45</v>
      </c>
      <c r="D30" s="112">
        <v>35.5</v>
      </c>
      <c r="E30" s="112">
        <v>3</v>
      </c>
      <c r="F30" s="19">
        <f t="shared" si="5"/>
        <v>4.7924999999999999E-3</v>
      </c>
      <c r="G30" s="286">
        <v>715</v>
      </c>
      <c r="H30" s="288">
        <f t="shared" si="6"/>
        <v>3.4266375</v>
      </c>
      <c r="I30" s="290">
        <v>0</v>
      </c>
      <c r="J30" s="205">
        <f t="shared" si="0"/>
        <v>0</v>
      </c>
      <c r="K30" s="290">
        <v>0</v>
      </c>
      <c r="L30" s="205">
        <f t="shared" si="16"/>
        <v>0</v>
      </c>
      <c r="M30" s="290">
        <v>30</v>
      </c>
      <c r="N30" s="205">
        <f t="shared" si="13"/>
        <v>0.14377499999999999</v>
      </c>
      <c r="O30" s="290">
        <v>20</v>
      </c>
      <c r="P30" s="205">
        <f t="shared" si="14"/>
        <v>9.5849999999999991E-2</v>
      </c>
      <c r="Q30" s="290">
        <v>0</v>
      </c>
      <c r="R30" s="205">
        <f t="shared" si="17"/>
        <v>0</v>
      </c>
      <c r="S30" s="39">
        <f t="shared" si="7"/>
        <v>665</v>
      </c>
      <c r="T30" s="38">
        <f t="shared" si="4"/>
        <v>3.1870124999999998</v>
      </c>
      <c r="U30" s="290">
        <v>0</v>
      </c>
      <c r="V30" s="13">
        <f t="shared" si="8"/>
        <v>0</v>
      </c>
      <c r="W30" s="294">
        <f t="shared" si="9"/>
        <v>665</v>
      </c>
      <c r="X30" s="295">
        <f t="shared" si="10"/>
        <v>3.1870124999999998</v>
      </c>
      <c r="Y30" s="238">
        <v>500</v>
      </c>
      <c r="Z30" s="101">
        <v>1500</v>
      </c>
    </row>
    <row r="31" spans="1:26" x14ac:dyDescent="0.25">
      <c r="A31" s="264">
        <v>27</v>
      </c>
      <c r="B31" s="256" t="s">
        <v>155</v>
      </c>
      <c r="C31" s="34">
        <v>140</v>
      </c>
      <c r="D31" s="35">
        <v>9.5</v>
      </c>
      <c r="E31" s="35">
        <v>6.5</v>
      </c>
      <c r="F31" s="19">
        <f t="shared" si="5"/>
        <v>8.6449999999999999E-3</v>
      </c>
      <c r="G31" s="286">
        <v>445</v>
      </c>
      <c r="H31" s="288">
        <f t="shared" si="6"/>
        <v>3.8470249999999999</v>
      </c>
      <c r="I31" s="290">
        <v>40</v>
      </c>
      <c r="J31" s="205">
        <f t="shared" si="0"/>
        <v>0.3458</v>
      </c>
      <c r="K31" s="290">
        <v>85</v>
      </c>
      <c r="L31" s="205">
        <f t="shared" si="16"/>
        <v>0.73482499999999995</v>
      </c>
      <c r="M31" s="290">
        <v>191</v>
      </c>
      <c r="N31" s="205">
        <f t="shared" si="13"/>
        <v>1.651195</v>
      </c>
      <c r="O31" s="290">
        <v>70</v>
      </c>
      <c r="P31" s="205">
        <f t="shared" si="14"/>
        <v>0.60514999999999997</v>
      </c>
      <c r="Q31" s="290">
        <v>0</v>
      </c>
      <c r="R31" s="205">
        <f t="shared" si="17"/>
        <v>0</v>
      </c>
      <c r="S31" s="39">
        <f t="shared" si="7"/>
        <v>59</v>
      </c>
      <c r="T31" s="38">
        <f t="shared" si="4"/>
        <v>0.51005500000000004</v>
      </c>
      <c r="U31" s="290">
        <v>0</v>
      </c>
      <c r="V31" s="13">
        <f t="shared" si="8"/>
        <v>0</v>
      </c>
      <c r="W31" s="294">
        <f t="shared" si="9"/>
        <v>59</v>
      </c>
      <c r="X31" s="295">
        <f t="shared" si="10"/>
        <v>0.51005500000000004</v>
      </c>
      <c r="Y31" s="238">
        <v>500</v>
      </c>
      <c r="Z31" s="101">
        <v>1500</v>
      </c>
    </row>
    <row r="32" spans="1:26" x14ac:dyDescent="0.25">
      <c r="A32" s="264">
        <v>28</v>
      </c>
      <c r="B32" s="256" t="s">
        <v>156</v>
      </c>
      <c r="C32" s="34">
        <v>140</v>
      </c>
      <c r="D32" s="35">
        <v>240</v>
      </c>
      <c r="E32" s="35">
        <v>1</v>
      </c>
      <c r="F32" s="19">
        <f t="shared" si="5"/>
        <v>3.3599999999999998E-2</v>
      </c>
      <c r="G32" s="286">
        <v>1648</v>
      </c>
      <c r="H32" s="288">
        <f t="shared" si="6"/>
        <v>55.372799999999998</v>
      </c>
      <c r="I32" s="290">
        <v>130</v>
      </c>
      <c r="J32" s="205">
        <f t="shared" si="0"/>
        <v>4.3679999999999994</v>
      </c>
      <c r="K32" s="290">
        <v>197</v>
      </c>
      <c r="L32" s="205">
        <f t="shared" si="16"/>
        <v>6.6191999999999993</v>
      </c>
      <c r="M32" s="290">
        <v>100</v>
      </c>
      <c r="N32" s="205">
        <f t="shared" si="13"/>
        <v>3.36</v>
      </c>
      <c r="O32" s="290">
        <v>141</v>
      </c>
      <c r="P32" s="205">
        <f t="shared" si="14"/>
        <v>4.7375999999999996</v>
      </c>
      <c r="Q32" s="290">
        <v>0</v>
      </c>
      <c r="R32" s="205">
        <f>F32*Q32</f>
        <v>0</v>
      </c>
      <c r="S32" s="39">
        <f t="shared" si="7"/>
        <v>1080</v>
      </c>
      <c r="T32" s="38">
        <f t="shared" si="4"/>
        <v>36.287999999999997</v>
      </c>
      <c r="U32" s="290">
        <v>0</v>
      </c>
      <c r="V32" s="13">
        <f t="shared" si="8"/>
        <v>0</v>
      </c>
      <c r="W32" s="294">
        <f t="shared" si="9"/>
        <v>1080</v>
      </c>
      <c r="X32" s="295">
        <f t="shared" si="10"/>
        <v>36.287999999999997</v>
      </c>
      <c r="Y32" s="238">
        <v>500</v>
      </c>
      <c r="Z32" s="101">
        <v>1500</v>
      </c>
    </row>
    <row r="33" spans="1:26" x14ac:dyDescent="0.25">
      <c r="A33" s="264">
        <v>29</v>
      </c>
      <c r="B33" s="256" t="s">
        <v>157</v>
      </c>
      <c r="C33" s="34">
        <v>140</v>
      </c>
      <c r="D33" s="35">
        <v>240</v>
      </c>
      <c r="E33" s="35">
        <v>2</v>
      </c>
      <c r="F33" s="19">
        <f t="shared" si="5"/>
        <v>6.7199999999999996E-2</v>
      </c>
      <c r="G33" s="286">
        <v>108</v>
      </c>
      <c r="H33" s="288">
        <f t="shared" si="6"/>
        <v>7.2575999999999992</v>
      </c>
      <c r="I33" s="290">
        <v>9</v>
      </c>
      <c r="J33" s="205">
        <f t="shared" si="0"/>
        <v>0.6048</v>
      </c>
      <c r="K33" s="290">
        <v>33</v>
      </c>
      <c r="L33" s="205">
        <f t="shared" si="16"/>
        <v>2.2176</v>
      </c>
      <c r="M33" s="290">
        <v>11</v>
      </c>
      <c r="N33" s="205">
        <f t="shared" si="13"/>
        <v>0.73919999999999997</v>
      </c>
      <c r="O33" s="290">
        <v>23</v>
      </c>
      <c r="P33" s="205">
        <f t="shared" si="14"/>
        <v>1.5455999999999999</v>
      </c>
      <c r="Q33" s="290">
        <v>0</v>
      </c>
      <c r="R33" s="205">
        <f>F33*Q33</f>
        <v>0</v>
      </c>
      <c r="S33" s="39">
        <f t="shared" si="7"/>
        <v>32</v>
      </c>
      <c r="T33" s="38">
        <f t="shared" si="4"/>
        <v>2.1503999999999999</v>
      </c>
      <c r="U33" s="290">
        <v>0</v>
      </c>
      <c r="V33" s="13">
        <f t="shared" si="8"/>
        <v>0</v>
      </c>
      <c r="W33" s="294">
        <f t="shared" si="9"/>
        <v>32</v>
      </c>
      <c r="X33" s="295">
        <f t="shared" si="10"/>
        <v>2.1503999999999999</v>
      </c>
      <c r="Y33" s="238">
        <v>75</v>
      </c>
      <c r="Z33" s="101">
        <v>150</v>
      </c>
    </row>
    <row r="34" spans="1:26" x14ac:dyDescent="0.25">
      <c r="A34" s="264">
        <v>30</v>
      </c>
      <c r="B34" s="256" t="s">
        <v>158</v>
      </c>
      <c r="C34" s="34">
        <v>140</v>
      </c>
      <c r="D34" s="35">
        <v>240</v>
      </c>
      <c r="E34" s="35">
        <v>3</v>
      </c>
      <c r="F34" s="19">
        <f t="shared" si="5"/>
        <v>0.1008</v>
      </c>
      <c r="G34" s="286">
        <v>230</v>
      </c>
      <c r="H34" s="288">
        <f t="shared" si="6"/>
        <v>23.184000000000001</v>
      </c>
      <c r="I34" s="290">
        <v>18</v>
      </c>
      <c r="J34" s="205">
        <f>F34*I34</f>
        <v>1.8144</v>
      </c>
      <c r="K34" s="290">
        <v>11</v>
      </c>
      <c r="L34" s="205">
        <f t="shared" si="16"/>
        <v>1.1088</v>
      </c>
      <c r="M34" s="290">
        <v>35</v>
      </c>
      <c r="N34" s="205">
        <f t="shared" si="13"/>
        <v>3.528</v>
      </c>
      <c r="O34" s="290">
        <v>27</v>
      </c>
      <c r="P34" s="205">
        <f t="shared" si="14"/>
        <v>2.7216</v>
      </c>
      <c r="Q34" s="290">
        <v>0</v>
      </c>
      <c r="R34" s="205">
        <f t="shared" si="17"/>
        <v>0</v>
      </c>
      <c r="S34" s="39">
        <f t="shared" si="7"/>
        <v>139</v>
      </c>
      <c r="T34" s="38">
        <f t="shared" si="4"/>
        <v>14.011200000000001</v>
      </c>
      <c r="U34" s="290">
        <v>0</v>
      </c>
      <c r="V34" s="13">
        <f t="shared" si="8"/>
        <v>0</v>
      </c>
      <c r="W34" s="294">
        <f t="shared" si="9"/>
        <v>139</v>
      </c>
      <c r="X34" s="295">
        <f t="shared" si="10"/>
        <v>14.011200000000001</v>
      </c>
      <c r="Y34" s="238">
        <v>75</v>
      </c>
      <c r="Z34" s="101">
        <v>150</v>
      </c>
    </row>
    <row r="35" spans="1:26" x14ac:dyDescent="0.25">
      <c r="A35" s="264">
        <v>31</v>
      </c>
      <c r="B35" s="256" t="s">
        <v>159</v>
      </c>
      <c r="C35" s="34">
        <v>140</v>
      </c>
      <c r="D35" s="35">
        <v>240</v>
      </c>
      <c r="E35" s="35">
        <v>4</v>
      </c>
      <c r="F35" s="19">
        <f t="shared" si="5"/>
        <v>0.13439999999999999</v>
      </c>
      <c r="G35" s="286">
        <v>92</v>
      </c>
      <c r="H35" s="288">
        <f t="shared" si="6"/>
        <v>12.364799999999999</v>
      </c>
      <c r="I35" s="290">
        <v>9</v>
      </c>
      <c r="J35" s="205">
        <f t="shared" si="0"/>
        <v>1.2096</v>
      </c>
      <c r="K35" s="290">
        <v>3</v>
      </c>
      <c r="L35" s="205">
        <f t="shared" si="16"/>
        <v>0.4032</v>
      </c>
      <c r="M35" s="290">
        <v>8</v>
      </c>
      <c r="N35" s="205">
        <f t="shared" si="13"/>
        <v>1.0751999999999999</v>
      </c>
      <c r="O35" s="290">
        <v>13</v>
      </c>
      <c r="P35" s="205">
        <f t="shared" si="14"/>
        <v>1.7471999999999999</v>
      </c>
      <c r="Q35" s="290">
        <v>0</v>
      </c>
      <c r="R35" s="205">
        <f t="shared" si="17"/>
        <v>0</v>
      </c>
      <c r="S35" s="39">
        <f t="shared" si="7"/>
        <v>59</v>
      </c>
      <c r="T35" s="38">
        <f t="shared" si="4"/>
        <v>7.9295999999999998</v>
      </c>
      <c r="U35" s="290">
        <v>0</v>
      </c>
      <c r="V35" s="13">
        <f t="shared" si="8"/>
        <v>0</v>
      </c>
      <c r="W35" s="294">
        <f t="shared" si="9"/>
        <v>59</v>
      </c>
      <c r="X35" s="295">
        <f t="shared" si="10"/>
        <v>7.9295999999999998</v>
      </c>
      <c r="Y35" s="238">
        <v>50</v>
      </c>
      <c r="Z35" s="101">
        <v>100</v>
      </c>
    </row>
    <row r="36" spans="1:26" x14ac:dyDescent="0.25">
      <c r="A36" s="264">
        <v>32</v>
      </c>
      <c r="B36" s="256" t="s">
        <v>160</v>
      </c>
      <c r="C36" s="34">
        <v>140</v>
      </c>
      <c r="D36" s="35">
        <v>240</v>
      </c>
      <c r="E36" s="35">
        <v>2</v>
      </c>
      <c r="F36" s="19">
        <f t="shared" si="5"/>
        <v>6.7199999999999996E-2</v>
      </c>
      <c r="G36" s="286">
        <v>224</v>
      </c>
      <c r="H36" s="288">
        <f t="shared" si="6"/>
        <v>15.0528</v>
      </c>
      <c r="I36" s="290">
        <v>53</v>
      </c>
      <c r="J36" s="205">
        <f>F36*I36</f>
        <v>3.5615999999999999</v>
      </c>
      <c r="K36" s="290">
        <v>76</v>
      </c>
      <c r="L36" s="205">
        <f t="shared" si="16"/>
        <v>5.1071999999999997</v>
      </c>
      <c r="M36" s="290">
        <v>74</v>
      </c>
      <c r="N36" s="205">
        <f t="shared" si="13"/>
        <v>4.9727999999999994</v>
      </c>
      <c r="O36" s="290">
        <v>5</v>
      </c>
      <c r="P36" s="205">
        <f t="shared" si="14"/>
        <v>0.33599999999999997</v>
      </c>
      <c r="Q36" s="290">
        <v>0</v>
      </c>
      <c r="R36" s="205">
        <f t="shared" si="17"/>
        <v>0</v>
      </c>
      <c r="S36" s="39">
        <f t="shared" si="7"/>
        <v>16</v>
      </c>
      <c r="T36" s="38">
        <f t="shared" si="4"/>
        <v>1.0751999999999999</v>
      </c>
      <c r="U36" s="290">
        <v>261</v>
      </c>
      <c r="V36" s="13">
        <f t="shared" si="8"/>
        <v>17.539199999999997</v>
      </c>
      <c r="W36" s="294">
        <f t="shared" si="9"/>
        <v>277</v>
      </c>
      <c r="X36" s="295">
        <f t="shared" si="10"/>
        <v>18.6144</v>
      </c>
      <c r="Y36" s="238">
        <v>200</v>
      </c>
      <c r="Z36" s="101">
        <v>300</v>
      </c>
    </row>
    <row r="37" spans="1:26" x14ac:dyDescent="0.25">
      <c r="A37" s="264">
        <v>33</v>
      </c>
      <c r="B37" s="256" t="s">
        <v>222</v>
      </c>
      <c r="C37" s="34">
        <v>140</v>
      </c>
      <c r="D37" s="35">
        <v>240</v>
      </c>
      <c r="E37" s="35">
        <v>6</v>
      </c>
      <c r="F37" s="19">
        <f t="shared" si="5"/>
        <v>0.2016</v>
      </c>
      <c r="G37" s="286">
        <v>24</v>
      </c>
      <c r="H37" s="288">
        <f t="shared" si="6"/>
        <v>4.8384</v>
      </c>
      <c r="I37" s="290">
        <v>0</v>
      </c>
      <c r="J37" s="205">
        <f t="shared" si="0"/>
        <v>0</v>
      </c>
      <c r="K37" s="290">
        <v>6</v>
      </c>
      <c r="L37" s="205">
        <f>F37*K37</f>
        <v>1.2096</v>
      </c>
      <c r="M37" s="290">
        <v>0</v>
      </c>
      <c r="N37" s="205">
        <f t="shared" si="13"/>
        <v>0</v>
      </c>
      <c r="O37" s="290">
        <v>0</v>
      </c>
      <c r="P37" s="21">
        <v>0</v>
      </c>
      <c r="Q37" s="290">
        <v>0</v>
      </c>
      <c r="R37" s="205">
        <f t="shared" si="17"/>
        <v>0</v>
      </c>
      <c r="S37" s="39">
        <f t="shared" si="7"/>
        <v>18</v>
      </c>
      <c r="T37" s="38">
        <f t="shared" si="4"/>
        <v>3.6288</v>
      </c>
      <c r="U37" s="290">
        <v>0</v>
      </c>
      <c r="V37" s="13">
        <f t="shared" si="8"/>
        <v>0</v>
      </c>
      <c r="W37" s="294">
        <f t="shared" si="9"/>
        <v>18</v>
      </c>
      <c r="X37" s="295">
        <f t="shared" si="10"/>
        <v>3.6288</v>
      </c>
      <c r="Y37" s="238">
        <v>10</v>
      </c>
      <c r="Z37" s="101">
        <v>30</v>
      </c>
    </row>
    <row r="38" spans="1:26" x14ac:dyDescent="0.25">
      <c r="A38" s="264">
        <v>34</v>
      </c>
      <c r="B38" s="256" t="s">
        <v>181</v>
      </c>
      <c r="C38" s="34">
        <v>80</v>
      </c>
      <c r="D38" s="35">
        <v>75</v>
      </c>
      <c r="E38" s="35">
        <v>5</v>
      </c>
      <c r="F38" s="19">
        <f t="shared" si="5"/>
        <v>0.03</v>
      </c>
      <c r="G38" s="286">
        <v>175</v>
      </c>
      <c r="H38" s="288">
        <f t="shared" si="6"/>
        <v>5.25</v>
      </c>
      <c r="I38" s="290">
        <v>0</v>
      </c>
      <c r="J38" s="205">
        <f t="shared" si="0"/>
        <v>0</v>
      </c>
      <c r="K38" s="290">
        <v>0</v>
      </c>
      <c r="L38" s="205">
        <f t="shared" si="0"/>
        <v>0</v>
      </c>
      <c r="M38" s="290">
        <v>0</v>
      </c>
      <c r="N38" s="21">
        <v>0</v>
      </c>
      <c r="O38" s="290">
        <v>0</v>
      </c>
      <c r="P38" s="21">
        <v>0</v>
      </c>
      <c r="Q38" s="290">
        <v>0</v>
      </c>
      <c r="R38" s="21">
        <v>0</v>
      </c>
      <c r="S38" s="39">
        <f t="shared" si="7"/>
        <v>175</v>
      </c>
      <c r="T38" s="38">
        <f t="shared" si="4"/>
        <v>5.25</v>
      </c>
      <c r="U38" s="290">
        <v>0</v>
      </c>
      <c r="V38" s="13">
        <f t="shared" si="8"/>
        <v>0</v>
      </c>
      <c r="W38" s="294">
        <f t="shared" si="9"/>
        <v>175</v>
      </c>
      <c r="X38" s="295">
        <f t="shared" si="10"/>
        <v>5.25</v>
      </c>
      <c r="Y38" s="238">
        <v>50</v>
      </c>
      <c r="Z38" s="101">
        <v>100</v>
      </c>
    </row>
    <row r="39" spans="1:26" x14ac:dyDescent="0.25">
      <c r="A39" s="264">
        <v>35</v>
      </c>
      <c r="B39" s="256" t="s">
        <v>182</v>
      </c>
      <c r="C39" s="34">
        <v>100</v>
      </c>
      <c r="D39" s="35">
        <v>95</v>
      </c>
      <c r="E39" s="35">
        <v>5</v>
      </c>
      <c r="F39" s="19">
        <f t="shared" si="5"/>
        <v>4.7500000000000001E-2</v>
      </c>
      <c r="G39" s="286">
        <v>85</v>
      </c>
      <c r="H39" s="288">
        <f t="shared" si="6"/>
        <v>4.0374999999999996</v>
      </c>
      <c r="I39" s="290">
        <v>0</v>
      </c>
      <c r="J39" s="205">
        <f t="shared" si="0"/>
        <v>0</v>
      </c>
      <c r="K39" s="290">
        <v>0</v>
      </c>
      <c r="L39" s="205">
        <f>F39*K39</f>
        <v>0</v>
      </c>
      <c r="M39" s="290">
        <v>0</v>
      </c>
      <c r="N39" s="205">
        <f>F39*M39</f>
        <v>0</v>
      </c>
      <c r="O39" s="290">
        <v>0</v>
      </c>
      <c r="P39" s="205">
        <f>J39*O39</f>
        <v>0</v>
      </c>
      <c r="Q39" s="290">
        <v>0</v>
      </c>
      <c r="R39" s="205">
        <f>L39*Q39</f>
        <v>0</v>
      </c>
      <c r="S39" s="39">
        <f t="shared" si="7"/>
        <v>85</v>
      </c>
      <c r="T39" s="38">
        <f t="shared" si="4"/>
        <v>4.0374999999999996</v>
      </c>
      <c r="U39" s="290">
        <v>0</v>
      </c>
      <c r="V39" s="13">
        <f t="shared" si="8"/>
        <v>0</v>
      </c>
      <c r="W39" s="294">
        <f t="shared" si="9"/>
        <v>85</v>
      </c>
      <c r="X39" s="295">
        <f t="shared" si="10"/>
        <v>4.0374999999999996</v>
      </c>
      <c r="Y39" s="238">
        <v>50</v>
      </c>
      <c r="Z39" s="101">
        <v>100</v>
      </c>
    </row>
    <row r="40" spans="1:26" x14ac:dyDescent="0.25">
      <c r="A40" s="264">
        <v>36</v>
      </c>
      <c r="B40" s="256" t="s">
        <v>196</v>
      </c>
      <c r="C40" s="34">
        <v>65</v>
      </c>
      <c r="D40" s="35">
        <v>60</v>
      </c>
      <c r="E40" s="35">
        <v>5</v>
      </c>
      <c r="F40" s="19">
        <f t="shared" si="5"/>
        <v>1.95E-2</v>
      </c>
      <c r="G40" s="286">
        <v>360</v>
      </c>
      <c r="H40" s="288">
        <f t="shared" si="6"/>
        <v>7.02</v>
      </c>
      <c r="I40" s="290">
        <v>0</v>
      </c>
      <c r="J40" s="205">
        <f t="shared" si="0"/>
        <v>0</v>
      </c>
      <c r="K40" s="290">
        <v>0</v>
      </c>
      <c r="L40" s="205">
        <f>F40*K40</f>
        <v>0</v>
      </c>
      <c r="M40" s="290">
        <v>0</v>
      </c>
      <c r="N40" s="205">
        <f>F40*M40</f>
        <v>0</v>
      </c>
      <c r="O40" s="290">
        <v>0</v>
      </c>
      <c r="P40" s="205">
        <f>F40*O40</f>
        <v>0</v>
      </c>
      <c r="Q40" s="290">
        <v>0</v>
      </c>
      <c r="R40" s="205">
        <f>F40*Q40</f>
        <v>0</v>
      </c>
      <c r="S40" s="39">
        <f t="shared" si="7"/>
        <v>360</v>
      </c>
      <c r="T40" s="38">
        <f t="shared" si="4"/>
        <v>7.02</v>
      </c>
      <c r="U40" s="290">
        <v>0</v>
      </c>
      <c r="V40" s="13">
        <f t="shared" si="8"/>
        <v>0</v>
      </c>
      <c r="W40" s="294">
        <f t="shared" si="9"/>
        <v>360</v>
      </c>
      <c r="X40" s="295">
        <f t="shared" si="10"/>
        <v>7.02</v>
      </c>
      <c r="Y40" s="238">
        <v>100</v>
      </c>
      <c r="Z40" s="101">
        <v>300</v>
      </c>
    </row>
    <row r="41" spans="1:26" x14ac:dyDescent="0.25">
      <c r="A41" s="264">
        <v>37</v>
      </c>
      <c r="B41" s="256" t="s">
        <v>165</v>
      </c>
      <c r="C41" s="34">
        <v>140</v>
      </c>
      <c r="D41" s="35">
        <v>240</v>
      </c>
      <c r="E41" s="35">
        <v>10</v>
      </c>
      <c r="F41" s="19">
        <f t="shared" si="5"/>
        <v>0.33600000000000002</v>
      </c>
      <c r="G41" s="286">
        <v>61</v>
      </c>
      <c r="H41" s="288">
        <f t="shared" si="6"/>
        <v>20.496000000000002</v>
      </c>
      <c r="I41" s="290">
        <v>6</v>
      </c>
      <c r="J41" s="205">
        <f>F41*I41</f>
        <v>2.016</v>
      </c>
      <c r="K41" s="290">
        <v>18</v>
      </c>
      <c r="L41" s="205">
        <f>F41*K41</f>
        <v>6.048</v>
      </c>
      <c r="M41" s="290">
        <v>12</v>
      </c>
      <c r="N41" s="205">
        <f>F41*M41</f>
        <v>4.032</v>
      </c>
      <c r="O41" s="290">
        <v>13</v>
      </c>
      <c r="P41" s="205">
        <f>F41*O41</f>
        <v>4.3680000000000003</v>
      </c>
      <c r="Q41" s="290">
        <v>0</v>
      </c>
      <c r="R41" s="205">
        <f>F41*Q41</f>
        <v>0</v>
      </c>
      <c r="S41" s="39">
        <f t="shared" si="7"/>
        <v>12</v>
      </c>
      <c r="T41" s="38">
        <f t="shared" si="4"/>
        <v>4.032</v>
      </c>
      <c r="U41" s="290">
        <v>90</v>
      </c>
      <c r="V41" s="13">
        <f t="shared" si="8"/>
        <v>30.240000000000002</v>
      </c>
      <c r="W41" s="294">
        <f t="shared" si="9"/>
        <v>102</v>
      </c>
      <c r="X41" s="295">
        <f t="shared" si="10"/>
        <v>34.272000000000006</v>
      </c>
      <c r="Y41" s="238">
        <v>50</v>
      </c>
      <c r="Z41" s="101">
        <v>100</v>
      </c>
    </row>
    <row r="42" spans="1:26" x14ac:dyDescent="0.25">
      <c r="A42" s="264">
        <v>38</v>
      </c>
      <c r="B42" s="256" t="s">
        <v>166</v>
      </c>
      <c r="C42" s="34">
        <v>92</v>
      </c>
      <c r="D42" s="35">
        <v>82</v>
      </c>
      <c r="E42" s="35">
        <v>2</v>
      </c>
      <c r="F42" s="19">
        <f t="shared" si="5"/>
        <v>1.5088000000000001E-2</v>
      </c>
      <c r="G42" s="286">
        <v>397</v>
      </c>
      <c r="H42" s="288">
        <f t="shared" si="6"/>
        <v>5.9899360000000001</v>
      </c>
      <c r="I42" s="290">
        <v>50</v>
      </c>
      <c r="J42" s="205">
        <f t="shared" si="0"/>
        <v>0.75440000000000007</v>
      </c>
      <c r="K42" s="290">
        <v>20</v>
      </c>
      <c r="L42" s="205">
        <f>F42*K42</f>
        <v>0.30176000000000003</v>
      </c>
      <c r="M42" s="290">
        <v>21</v>
      </c>
      <c r="N42" s="205">
        <f>F42*M42</f>
        <v>0.31684800000000002</v>
      </c>
      <c r="O42" s="290">
        <v>0</v>
      </c>
      <c r="P42" s="205">
        <f>F42*O42</f>
        <v>0</v>
      </c>
      <c r="Q42" s="290">
        <v>0</v>
      </c>
      <c r="R42" s="205">
        <f>F42*Q42</f>
        <v>0</v>
      </c>
      <c r="S42" s="39">
        <f t="shared" si="7"/>
        <v>306</v>
      </c>
      <c r="T42" s="38">
        <f t="shared" si="4"/>
        <v>4.6169280000000006</v>
      </c>
      <c r="U42" s="290">
        <v>0</v>
      </c>
      <c r="V42" s="13">
        <f t="shared" si="8"/>
        <v>0</v>
      </c>
      <c r="W42" s="294">
        <f t="shared" si="9"/>
        <v>306</v>
      </c>
      <c r="X42" s="295">
        <f t="shared" si="10"/>
        <v>4.6169280000000006</v>
      </c>
      <c r="Y42" s="238">
        <v>100</v>
      </c>
      <c r="Z42" s="101">
        <v>300</v>
      </c>
    </row>
    <row r="43" spans="1:26" x14ac:dyDescent="0.25">
      <c r="A43" s="264">
        <v>39</v>
      </c>
      <c r="B43" s="256" t="s">
        <v>183</v>
      </c>
      <c r="C43" s="34">
        <v>90</v>
      </c>
      <c r="D43" s="35">
        <v>90</v>
      </c>
      <c r="E43" s="35">
        <v>3</v>
      </c>
      <c r="F43" s="19">
        <f t="shared" si="5"/>
        <v>2.4299999999999999E-2</v>
      </c>
      <c r="G43" s="286">
        <v>124</v>
      </c>
      <c r="H43" s="288">
        <f t="shared" si="6"/>
        <v>3.0131999999999999</v>
      </c>
      <c r="I43" s="290">
        <v>0</v>
      </c>
      <c r="J43" s="205">
        <f t="shared" si="0"/>
        <v>0</v>
      </c>
      <c r="K43" s="290">
        <v>0</v>
      </c>
      <c r="L43" s="205">
        <f t="shared" si="0"/>
        <v>0</v>
      </c>
      <c r="M43" s="290">
        <v>0</v>
      </c>
      <c r="N43" s="21">
        <v>0</v>
      </c>
      <c r="O43" s="290">
        <v>0</v>
      </c>
      <c r="P43" s="21">
        <v>0</v>
      </c>
      <c r="Q43" s="290">
        <v>0</v>
      </c>
      <c r="R43" s="21">
        <v>0</v>
      </c>
      <c r="S43" s="39">
        <f t="shared" si="7"/>
        <v>124</v>
      </c>
      <c r="T43" s="38">
        <f t="shared" si="4"/>
        <v>3.0131999999999999</v>
      </c>
      <c r="U43" s="290">
        <v>0</v>
      </c>
      <c r="V43" s="13">
        <f t="shared" si="8"/>
        <v>0</v>
      </c>
      <c r="W43" s="294">
        <f t="shared" si="9"/>
        <v>124</v>
      </c>
      <c r="X43" s="295">
        <f t="shared" si="10"/>
        <v>3.0131999999999999</v>
      </c>
      <c r="Y43" s="238">
        <v>50</v>
      </c>
      <c r="Z43" s="101">
        <v>150</v>
      </c>
    </row>
    <row r="44" spans="1:26" x14ac:dyDescent="0.25">
      <c r="A44" s="264">
        <v>40</v>
      </c>
      <c r="B44" s="256" t="s">
        <v>219</v>
      </c>
      <c r="C44" s="34">
        <v>140</v>
      </c>
      <c r="D44" s="35">
        <v>240</v>
      </c>
      <c r="E44" s="35">
        <v>3</v>
      </c>
      <c r="F44" s="19">
        <f t="shared" si="5"/>
        <v>0.1008</v>
      </c>
      <c r="G44" s="286">
        <v>242</v>
      </c>
      <c r="H44" s="288">
        <f t="shared" si="6"/>
        <v>24.393599999999999</v>
      </c>
      <c r="I44" s="290">
        <v>0</v>
      </c>
      <c r="J44" s="205">
        <f t="shared" si="0"/>
        <v>0</v>
      </c>
      <c r="K44" s="290">
        <v>60</v>
      </c>
      <c r="L44" s="205">
        <f t="shared" ref="L44:L52" si="18">F44*K44</f>
        <v>6.048</v>
      </c>
      <c r="M44" s="290">
        <v>0</v>
      </c>
      <c r="N44" s="205">
        <f t="shared" ref="N44:N70" si="19">F44*M44</f>
        <v>0</v>
      </c>
      <c r="O44" s="290">
        <v>80</v>
      </c>
      <c r="P44" s="205">
        <f t="shared" ref="P44:P66" si="20">F44*O44</f>
        <v>8.0640000000000001</v>
      </c>
      <c r="Q44" s="290">
        <v>0</v>
      </c>
      <c r="R44" s="205">
        <f t="shared" ref="R44:R58" si="21">F44*Q44</f>
        <v>0</v>
      </c>
      <c r="S44" s="39">
        <f t="shared" si="7"/>
        <v>102</v>
      </c>
      <c r="T44" s="38">
        <f t="shared" si="4"/>
        <v>10.281600000000001</v>
      </c>
      <c r="U44" s="290">
        <v>0</v>
      </c>
      <c r="V44" s="13">
        <f t="shared" si="8"/>
        <v>0</v>
      </c>
      <c r="W44" s="294">
        <f t="shared" si="9"/>
        <v>102</v>
      </c>
      <c r="X44" s="295">
        <f t="shared" si="10"/>
        <v>10.281600000000001</v>
      </c>
      <c r="Y44" s="238">
        <v>50</v>
      </c>
      <c r="Z44" s="101">
        <v>150</v>
      </c>
    </row>
    <row r="45" spans="1:26" x14ac:dyDescent="0.25">
      <c r="A45" s="264">
        <v>41</v>
      </c>
      <c r="B45" s="256" t="s">
        <v>169</v>
      </c>
      <c r="C45" s="34">
        <v>82</v>
      </c>
      <c r="D45" s="34">
        <v>80</v>
      </c>
      <c r="E45" s="34">
        <v>2</v>
      </c>
      <c r="F45" s="19">
        <f t="shared" si="5"/>
        <v>1.312E-2</v>
      </c>
      <c r="G45" s="284">
        <v>636</v>
      </c>
      <c r="H45" s="288">
        <f t="shared" si="6"/>
        <v>8.3443199999999997</v>
      </c>
      <c r="I45" s="290">
        <v>0</v>
      </c>
      <c r="J45" s="205">
        <f t="shared" si="0"/>
        <v>0</v>
      </c>
      <c r="K45" s="290">
        <v>20</v>
      </c>
      <c r="L45" s="205">
        <f t="shared" si="18"/>
        <v>0.26239999999999997</v>
      </c>
      <c r="M45" s="290">
        <v>0</v>
      </c>
      <c r="N45" s="205">
        <f t="shared" si="19"/>
        <v>0</v>
      </c>
      <c r="O45" s="290">
        <v>0</v>
      </c>
      <c r="P45" s="205">
        <f t="shared" si="20"/>
        <v>0</v>
      </c>
      <c r="Q45" s="290">
        <v>0</v>
      </c>
      <c r="R45" s="205">
        <f t="shared" si="21"/>
        <v>0</v>
      </c>
      <c r="S45" s="39">
        <f t="shared" si="7"/>
        <v>616</v>
      </c>
      <c r="T45" s="38">
        <f t="shared" si="4"/>
        <v>8.0819200000000002</v>
      </c>
      <c r="U45" s="290">
        <v>0</v>
      </c>
      <c r="V45" s="13">
        <f t="shared" si="8"/>
        <v>0</v>
      </c>
      <c r="W45" s="294">
        <f t="shared" si="9"/>
        <v>616</v>
      </c>
      <c r="X45" s="295">
        <f t="shared" si="10"/>
        <v>8.0819200000000002</v>
      </c>
      <c r="Y45" s="238">
        <v>100</v>
      </c>
      <c r="Z45" s="101">
        <v>300</v>
      </c>
    </row>
    <row r="46" spans="1:26" x14ac:dyDescent="0.25">
      <c r="A46" s="264">
        <v>42</v>
      </c>
      <c r="B46" s="256" t="s">
        <v>170</v>
      </c>
      <c r="C46" s="34">
        <v>90</v>
      </c>
      <c r="D46" s="34">
        <v>83</v>
      </c>
      <c r="E46" s="34">
        <v>2</v>
      </c>
      <c r="F46" s="19">
        <f t="shared" si="5"/>
        <v>1.494E-2</v>
      </c>
      <c r="G46" s="284">
        <v>0</v>
      </c>
      <c r="H46" s="288">
        <f t="shared" si="6"/>
        <v>0</v>
      </c>
      <c r="I46" s="290">
        <v>0</v>
      </c>
      <c r="J46" s="205">
        <f t="shared" si="0"/>
        <v>0</v>
      </c>
      <c r="K46" s="290">
        <v>0</v>
      </c>
      <c r="L46" s="205">
        <f t="shared" si="18"/>
        <v>0</v>
      </c>
      <c r="M46" s="290">
        <v>0</v>
      </c>
      <c r="N46" s="205">
        <f t="shared" si="19"/>
        <v>0</v>
      </c>
      <c r="O46" s="290">
        <v>0</v>
      </c>
      <c r="P46" s="205">
        <f t="shared" si="20"/>
        <v>0</v>
      </c>
      <c r="Q46" s="290">
        <v>0</v>
      </c>
      <c r="R46" s="205">
        <f t="shared" si="21"/>
        <v>0</v>
      </c>
      <c r="S46" s="39">
        <f t="shared" si="7"/>
        <v>0</v>
      </c>
      <c r="T46" s="38">
        <f t="shared" si="4"/>
        <v>0</v>
      </c>
      <c r="U46" s="290">
        <v>0</v>
      </c>
      <c r="V46" s="13">
        <f t="shared" si="8"/>
        <v>0</v>
      </c>
      <c r="W46" s="294">
        <f t="shared" si="9"/>
        <v>0</v>
      </c>
      <c r="X46" s="295">
        <f t="shared" si="10"/>
        <v>0</v>
      </c>
      <c r="Y46" s="238">
        <v>100</v>
      </c>
      <c r="Z46" s="101">
        <v>300</v>
      </c>
    </row>
    <row r="47" spans="1:26" x14ac:dyDescent="0.25">
      <c r="A47" s="264">
        <v>43</v>
      </c>
      <c r="B47" s="256" t="s">
        <v>184</v>
      </c>
      <c r="C47" s="34">
        <v>112</v>
      </c>
      <c r="D47" s="34">
        <v>67</v>
      </c>
      <c r="E47" s="34">
        <v>3</v>
      </c>
      <c r="F47" s="19">
        <f t="shared" si="5"/>
        <v>2.2512000000000001E-2</v>
      </c>
      <c r="G47" s="284">
        <v>15</v>
      </c>
      <c r="H47" s="288">
        <f t="shared" si="6"/>
        <v>0.33768000000000004</v>
      </c>
      <c r="I47" s="290">
        <v>0</v>
      </c>
      <c r="J47" s="205">
        <f t="shared" si="0"/>
        <v>0</v>
      </c>
      <c r="K47" s="290">
        <v>0</v>
      </c>
      <c r="L47" s="205">
        <f t="shared" si="18"/>
        <v>0</v>
      </c>
      <c r="M47" s="290">
        <v>0</v>
      </c>
      <c r="N47" s="205">
        <f t="shared" si="19"/>
        <v>0</v>
      </c>
      <c r="O47" s="290">
        <v>0</v>
      </c>
      <c r="P47" s="205">
        <f t="shared" si="20"/>
        <v>0</v>
      </c>
      <c r="Q47" s="290">
        <v>0</v>
      </c>
      <c r="R47" s="205">
        <f t="shared" si="21"/>
        <v>0</v>
      </c>
      <c r="S47" s="39">
        <f t="shared" si="7"/>
        <v>15</v>
      </c>
      <c r="T47" s="38">
        <f t="shared" si="4"/>
        <v>0.33768000000000004</v>
      </c>
      <c r="U47" s="290">
        <v>0</v>
      </c>
      <c r="V47" s="13">
        <f t="shared" si="8"/>
        <v>0</v>
      </c>
      <c r="W47" s="294">
        <f t="shared" si="9"/>
        <v>15</v>
      </c>
      <c r="X47" s="295">
        <f t="shared" si="10"/>
        <v>0.33768000000000004</v>
      </c>
      <c r="Y47" s="238">
        <v>50</v>
      </c>
      <c r="Z47" s="101">
        <v>100</v>
      </c>
    </row>
    <row r="48" spans="1:26" x14ac:dyDescent="0.25">
      <c r="A48" s="264">
        <v>44</v>
      </c>
      <c r="B48" s="256" t="s">
        <v>220</v>
      </c>
      <c r="C48" s="34">
        <v>70</v>
      </c>
      <c r="D48" s="34">
        <v>54</v>
      </c>
      <c r="E48" s="34">
        <v>7</v>
      </c>
      <c r="F48" s="19">
        <f t="shared" si="5"/>
        <v>2.6460000000000001E-2</v>
      </c>
      <c r="G48" s="284">
        <v>0</v>
      </c>
      <c r="H48" s="288">
        <f t="shared" si="6"/>
        <v>0</v>
      </c>
      <c r="I48" s="290">
        <v>0</v>
      </c>
      <c r="J48" s="205">
        <f t="shared" si="0"/>
        <v>0</v>
      </c>
      <c r="K48" s="290">
        <v>0</v>
      </c>
      <c r="L48" s="205">
        <f t="shared" si="18"/>
        <v>0</v>
      </c>
      <c r="M48" s="290">
        <v>0</v>
      </c>
      <c r="N48" s="205">
        <f t="shared" si="19"/>
        <v>0</v>
      </c>
      <c r="O48" s="290">
        <v>0</v>
      </c>
      <c r="P48" s="205">
        <f t="shared" si="20"/>
        <v>0</v>
      </c>
      <c r="Q48" s="290">
        <v>0</v>
      </c>
      <c r="R48" s="205">
        <f t="shared" si="21"/>
        <v>0</v>
      </c>
      <c r="S48" s="39">
        <f t="shared" si="7"/>
        <v>0</v>
      </c>
      <c r="T48" s="38">
        <f t="shared" si="4"/>
        <v>0</v>
      </c>
      <c r="U48" s="290">
        <v>0</v>
      </c>
      <c r="V48" s="13">
        <f t="shared" si="8"/>
        <v>0</v>
      </c>
      <c r="W48" s="294">
        <f t="shared" si="9"/>
        <v>0</v>
      </c>
      <c r="X48" s="295">
        <f t="shared" si="10"/>
        <v>0</v>
      </c>
      <c r="Y48" s="238">
        <v>20</v>
      </c>
      <c r="Z48" s="101">
        <v>70</v>
      </c>
    </row>
    <row r="49" spans="1:26" x14ac:dyDescent="0.25">
      <c r="A49" s="264">
        <v>45</v>
      </c>
      <c r="B49" s="256" t="s">
        <v>174</v>
      </c>
      <c r="C49" s="34">
        <v>140</v>
      </c>
      <c r="D49" s="34">
        <v>240</v>
      </c>
      <c r="E49" s="34">
        <v>14</v>
      </c>
      <c r="F49" s="19">
        <f t="shared" si="5"/>
        <v>0.47039999999999998</v>
      </c>
      <c r="G49" s="284">
        <v>5</v>
      </c>
      <c r="H49" s="288">
        <f t="shared" si="6"/>
        <v>2.3519999999999999</v>
      </c>
      <c r="I49" s="290">
        <v>0</v>
      </c>
      <c r="J49" s="205">
        <f t="shared" si="0"/>
        <v>0</v>
      </c>
      <c r="K49" s="290">
        <v>0</v>
      </c>
      <c r="L49" s="205">
        <f t="shared" si="18"/>
        <v>0</v>
      </c>
      <c r="M49" s="290">
        <v>0</v>
      </c>
      <c r="N49" s="205">
        <f t="shared" si="19"/>
        <v>0</v>
      </c>
      <c r="O49" s="290">
        <v>0</v>
      </c>
      <c r="P49" s="205">
        <f t="shared" si="20"/>
        <v>0</v>
      </c>
      <c r="Q49" s="290">
        <v>0</v>
      </c>
      <c r="R49" s="205">
        <f t="shared" si="21"/>
        <v>0</v>
      </c>
      <c r="S49" s="39">
        <f t="shared" si="7"/>
        <v>5</v>
      </c>
      <c r="T49" s="38">
        <f t="shared" si="4"/>
        <v>2.3519999999999999</v>
      </c>
      <c r="U49" s="290">
        <v>0</v>
      </c>
      <c r="V49" s="13">
        <f t="shared" si="8"/>
        <v>0</v>
      </c>
      <c r="W49" s="294">
        <f t="shared" si="9"/>
        <v>5</v>
      </c>
      <c r="X49" s="295">
        <f t="shared" si="10"/>
        <v>2.3519999999999999</v>
      </c>
      <c r="Y49" s="238">
        <v>10</v>
      </c>
      <c r="Z49" s="101">
        <v>20</v>
      </c>
    </row>
    <row r="50" spans="1:26" x14ac:dyDescent="0.25">
      <c r="A50" s="264">
        <v>46</v>
      </c>
      <c r="B50" s="256" t="s">
        <v>175</v>
      </c>
      <c r="C50" s="34">
        <v>140</v>
      </c>
      <c r="D50" s="34">
        <v>240</v>
      </c>
      <c r="E50" s="34">
        <v>12</v>
      </c>
      <c r="F50" s="19">
        <f t="shared" si="5"/>
        <v>0.4032</v>
      </c>
      <c r="G50" s="284">
        <v>7</v>
      </c>
      <c r="H50" s="288">
        <f t="shared" si="6"/>
        <v>2.8224</v>
      </c>
      <c r="I50" s="290">
        <v>0</v>
      </c>
      <c r="J50" s="205">
        <f t="shared" si="0"/>
        <v>0</v>
      </c>
      <c r="K50" s="290">
        <v>0</v>
      </c>
      <c r="L50" s="205">
        <f t="shared" si="18"/>
        <v>0</v>
      </c>
      <c r="M50" s="290">
        <v>0</v>
      </c>
      <c r="N50" s="205">
        <f t="shared" si="19"/>
        <v>0</v>
      </c>
      <c r="O50" s="290">
        <v>0</v>
      </c>
      <c r="P50" s="205">
        <f t="shared" si="20"/>
        <v>0</v>
      </c>
      <c r="Q50" s="290">
        <v>0</v>
      </c>
      <c r="R50" s="205">
        <f t="shared" si="21"/>
        <v>0</v>
      </c>
      <c r="S50" s="39">
        <f t="shared" si="7"/>
        <v>7</v>
      </c>
      <c r="T50" s="38">
        <f t="shared" si="4"/>
        <v>2.8224</v>
      </c>
      <c r="U50" s="290">
        <v>0</v>
      </c>
      <c r="V50" s="13">
        <f t="shared" si="8"/>
        <v>0</v>
      </c>
      <c r="W50" s="294">
        <f t="shared" si="9"/>
        <v>7</v>
      </c>
      <c r="X50" s="295">
        <f t="shared" si="10"/>
        <v>2.8224</v>
      </c>
      <c r="Y50" s="238">
        <v>10</v>
      </c>
      <c r="Z50" s="101">
        <v>20</v>
      </c>
    </row>
    <row r="51" spans="1:26" x14ac:dyDescent="0.25">
      <c r="A51" s="264">
        <v>47</v>
      </c>
      <c r="B51" s="318" t="s">
        <v>230</v>
      </c>
      <c r="C51" s="34">
        <v>130</v>
      </c>
      <c r="D51" s="34">
        <v>60</v>
      </c>
      <c r="E51" s="34">
        <v>5</v>
      </c>
      <c r="F51" s="19">
        <f t="shared" si="5"/>
        <v>3.9E-2</v>
      </c>
      <c r="G51" s="284">
        <v>0</v>
      </c>
      <c r="H51" s="288">
        <f t="shared" si="6"/>
        <v>0</v>
      </c>
      <c r="I51" s="290">
        <v>0</v>
      </c>
      <c r="J51" s="205">
        <f t="shared" si="0"/>
        <v>0</v>
      </c>
      <c r="K51" s="290">
        <v>0</v>
      </c>
      <c r="L51" s="205">
        <f t="shared" si="18"/>
        <v>0</v>
      </c>
      <c r="M51" s="290">
        <v>0</v>
      </c>
      <c r="N51" s="205">
        <f t="shared" si="19"/>
        <v>0</v>
      </c>
      <c r="O51" s="290">
        <v>0</v>
      </c>
      <c r="P51" s="205">
        <f t="shared" si="20"/>
        <v>0</v>
      </c>
      <c r="Q51" s="290">
        <v>0</v>
      </c>
      <c r="R51" s="205">
        <f t="shared" si="21"/>
        <v>0</v>
      </c>
      <c r="S51" s="39">
        <f t="shared" si="7"/>
        <v>0</v>
      </c>
      <c r="T51" s="38">
        <f t="shared" si="4"/>
        <v>0</v>
      </c>
      <c r="U51" s="290">
        <v>0</v>
      </c>
      <c r="V51" s="13">
        <f t="shared" si="8"/>
        <v>0</v>
      </c>
      <c r="W51" s="294">
        <f t="shared" si="9"/>
        <v>0</v>
      </c>
      <c r="X51" s="295">
        <f t="shared" si="10"/>
        <v>0</v>
      </c>
      <c r="Y51" s="238">
        <v>30</v>
      </c>
      <c r="Z51" s="101">
        <v>100</v>
      </c>
    </row>
    <row r="52" spans="1:26" x14ac:dyDescent="0.25">
      <c r="A52" s="264">
        <v>48</v>
      </c>
      <c r="B52" s="255" t="s">
        <v>178</v>
      </c>
      <c r="C52" s="34">
        <v>140</v>
      </c>
      <c r="D52" s="34">
        <v>240</v>
      </c>
      <c r="E52" s="34">
        <v>3</v>
      </c>
      <c r="F52" s="19">
        <f t="shared" si="5"/>
        <v>0.1008</v>
      </c>
      <c r="G52" s="284">
        <v>346</v>
      </c>
      <c r="H52" s="288">
        <f t="shared" si="6"/>
        <v>34.876800000000003</v>
      </c>
      <c r="I52" s="290">
        <v>5</v>
      </c>
      <c r="J52" s="205">
        <f t="shared" si="0"/>
        <v>0.504</v>
      </c>
      <c r="K52" s="290">
        <v>0</v>
      </c>
      <c r="L52" s="205">
        <f t="shared" si="18"/>
        <v>0</v>
      </c>
      <c r="M52" s="290">
        <v>4</v>
      </c>
      <c r="N52" s="205">
        <f t="shared" si="19"/>
        <v>0.4032</v>
      </c>
      <c r="O52" s="290">
        <v>6</v>
      </c>
      <c r="P52" s="205">
        <f t="shared" si="20"/>
        <v>0.6048</v>
      </c>
      <c r="Q52" s="290">
        <v>0</v>
      </c>
      <c r="R52" s="205">
        <f t="shared" si="21"/>
        <v>0</v>
      </c>
      <c r="S52" s="39">
        <f t="shared" si="7"/>
        <v>331</v>
      </c>
      <c r="T52" s="38">
        <f t="shared" si="4"/>
        <v>33.364800000000002</v>
      </c>
      <c r="U52" s="290">
        <v>0</v>
      </c>
      <c r="V52" s="13">
        <f t="shared" si="8"/>
        <v>0</v>
      </c>
      <c r="W52" s="294">
        <f t="shared" si="9"/>
        <v>331</v>
      </c>
      <c r="X52" s="295">
        <f t="shared" si="10"/>
        <v>33.364800000000002</v>
      </c>
      <c r="Y52" s="238">
        <v>100</v>
      </c>
      <c r="Z52" s="101">
        <v>300</v>
      </c>
    </row>
    <row r="53" spans="1:26" x14ac:dyDescent="0.25">
      <c r="A53" s="264">
        <v>49</v>
      </c>
      <c r="B53" s="256" t="s">
        <v>185</v>
      </c>
      <c r="C53" s="34">
        <v>140</v>
      </c>
      <c r="D53" s="34">
        <v>240</v>
      </c>
      <c r="E53" s="34">
        <v>1</v>
      </c>
      <c r="F53" s="19">
        <f t="shared" si="5"/>
        <v>3.3599999999999998E-2</v>
      </c>
      <c r="G53" s="284">
        <v>235</v>
      </c>
      <c r="H53" s="288">
        <f t="shared" si="6"/>
        <v>7.8959999999999999</v>
      </c>
      <c r="I53" s="290">
        <v>0</v>
      </c>
      <c r="J53" s="205">
        <f t="shared" si="0"/>
        <v>0</v>
      </c>
      <c r="K53" s="290">
        <v>0</v>
      </c>
      <c r="L53" s="205">
        <f>F53*K53</f>
        <v>0</v>
      </c>
      <c r="M53" s="290">
        <v>0</v>
      </c>
      <c r="N53" s="205">
        <f t="shared" si="19"/>
        <v>0</v>
      </c>
      <c r="O53" s="290">
        <v>0</v>
      </c>
      <c r="P53" s="205">
        <f t="shared" si="20"/>
        <v>0</v>
      </c>
      <c r="Q53" s="290">
        <v>0</v>
      </c>
      <c r="R53" s="205">
        <f t="shared" si="21"/>
        <v>0</v>
      </c>
      <c r="S53" s="39">
        <f t="shared" si="7"/>
        <v>235</v>
      </c>
      <c r="T53" s="38">
        <f t="shared" si="4"/>
        <v>7.8959999999999999</v>
      </c>
      <c r="U53" s="290">
        <v>0</v>
      </c>
      <c r="V53" s="13">
        <f t="shared" si="8"/>
        <v>0</v>
      </c>
      <c r="W53" s="294">
        <f t="shared" si="9"/>
        <v>235</v>
      </c>
      <c r="X53" s="295">
        <f t="shared" si="10"/>
        <v>7.8959999999999999</v>
      </c>
      <c r="Y53" s="238">
        <v>50</v>
      </c>
      <c r="Z53" s="101">
        <v>100</v>
      </c>
    </row>
    <row r="54" spans="1:26" x14ac:dyDescent="0.25">
      <c r="A54" s="264">
        <v>50</v>
      </c>
      <c r="B54" s="256" t="s">
        <v>186</v>
      </c>
      <c r="C54" s="34">
        <v>140</v>
      </c>
      <c r="D54" s="34">
        <v>240</v>
      </c>
      <c r="E54" s="34">
        <v>3</v>
      </c>
      <c r="F54" s="19">
        <f t="shared" si="5"/>
        <v>0.1008</v>
      </c>
      <c r="G54" s="284">
        <v>185</v>
      </c>
      <c r="H54" s="288">
        <f t="shared" si="6"/>
        <v>18.648</v>
      </c>
      <c r="I54" s="290">
        <v>76</v>
      </c>
      <c r="J54" s="205">
        <f t="shared" si="0"/>
        <v>7.6608000000000001</v>
      </c>
      <c r="K54" s="290">
        <v>28</v>
      </c>
      <c r="L54" s="205">
        <f>F54*K54</f>
        <v>2.8224</v>
      </c>
      <c r="M54" s="290">
        <v>33</v>
      </c>
      <c r="N54" s="205">
        <f t="shared" si="19"/>
        <v>3.3264</v>
      </c>
      <c r="O54" s="290">
        <v>24</v>
      </c>
      <c r="P54" s="205">
        <f t="shared" si="20"/>
        <v>2.4192</v>
      </c>
      <c r="Q54" s="290">
        <v>0</v>
      </c>
      <c r="R54" s="205">
        <f t="shared" si="21"/>
        <v>0</v>
      </c>
      <c r="S54" s="39">
        <f t="shared" si="7"/>
        <v>24</v>
      </c>
      <c r="T54" s="38">
        <f t="shared" si="4"/>
        <v>2.4192</v>
      </c>
      <c r="U54" s="290">
        <v>0</v>
      </c>
      <c r="V54" s="13">
        <f t="shared" si="8"/>
        <v>0</v>
      </c>
      <c r="W54" s="294">
        <f t="shared" si="9"/>
        <v>24</v>
      </c>
      <c r="X54" s="295">
        <f t="shared" si="10"/>
        <v>2.4192</v>
      </c>
      <c r="Y54" s="238">
        <v>50</v>
      </c>
      <c r="Z54" s="101">
        <v>100</v>
      </c>
    </row>
    <row r="55" spans="1:26" x14ac:dyDescent="0.25">
      <c r="A55" s="277">
        <v>51</v>
      </c>
      <c r="B55" s="283" t="s">
        <v>187</v>
      </c>
      <c r="C55" s="264">
        <v>140</v>
      </c>
      <c r="D55" s="264">
        <v>240</v>
      </c>
      <c r="E55" s="264">
        <v>5</v>
      </c>
      <c r="F55" s="19">
        <f t="shared" si="5"/>
        <v>0.16800000000000001</v>
      </c>
      <c r="G55" s="296">
        <v>33</v>
      </c>
      <c r="H55" s="299">
        <f t="shared" si="6"/>
        <v>5.5440000000000005</v>
      </c>
      <c r="I55" s="290">
        <v>3</v>
      </c>
      <c r="J55" s="205">
        <f t="shared" si="0"/>
        <v>0.504</v>
      </c>
      <c r="K55" s="290">
        <v>0</v>
      </c>
      <c r="L55" s="205">
        <f>F55*K55</f>
        <v>0</v>
      </c>
      <c r="M55" s="290">
        <v>0</v>
      </c>
      <c r="N55" s="205">
        <f t="shared" si="19"/>
        <v>0</v>
      </c>
      <c r="O55" s="290">
        <v>3</v>
      </c>
      <c r="P55" s="205">
        <f t="shared" si="20"/>
        <v>0.504</v>
      </c>
      <c r="Q55" s="290">
        <v>0</v>
      </c>
      <c r="R55" s="205">
        <f t="shared" si="21"/>
        <v>0</v>
      </c>
      <c r="S55" s="39">
        <f t="shared" si="7"/>
        <v>27</v>
      </c>
      <c r="T55" s="38">
        <f t="shared" si="4"/>
        <v>4.5360000000000005</v>
      </c>
      <c r="U55" s="290">
        <v>0</v>
      </c>
      <c r="V55" s="13">
        <f t="shared" si="8"/>
        <v>0</v>
      </c>
      <c r="W55" s="294">
        <f t="shared" si="9"/>
        <v>27</v>
      </c>
      <c r="X55" s="295">
        <f t="shared" si="10"/>
        <v>4.5360000000000005</v>
      </c>
      <c r="Y55" s="101">
        <v>30</v>
      </c>
      <c r="Z55" s="101">
        <v>70</v>
      </c>
    </row>
    <row r="56" spans="1:26" x14ac:dyDescent="0.25">
      <c r="A56" s="277">
        <v>52</v>
      </c>
      <c r="B56" s="283" t="s">
        <v>188</v>
      </c>
      <c r="C56" s="264">
        <v>140</v>
      </c>
      <c r="D56" s="264">
        <v>240</v>
      </c>
      <c r="E56" s="264">
        <v>10</v>
      </c>
      <c r="F56" s="19">
        <f t="shared" si="5"/>
        <v>0.33600000000000002</v>
      </c>
      <c r="G56" s="296">
        <v>54</v>
      </c>
      <c r="H56" s="299">
        <f t="shared" si="6"/>
        <v>18.144000000000002</v>
      </c>
      <c r="I56" s="290">
        <v>0</v>
      </c>
      <c r="J56" s="205">
        <f t="shared" ref="J56:J69" si="22">F56*I56</f>
        <v>0</v>
      </c>
      <c r="K56" s="290">
        <v>0</v>
      </c>
      <c r="L56" s="205">
        <f>F56*K56</f>
        <v>0</v>
      </c>
      <c r="M56" s="290">
        <v>0</v>
      </c>
      <c r="N56" s="205">
        <f t="shared" si="19"/>
        <v>0</v>
      </c>
      <c r="O56" s="290">
        <v>0</v>
      </c>
      <c r="P56" s="205">
        <f t="shared" si="20"/>
        <v>0</v>
      </c>
      <c r="Q56" s="290">
        <v>0</v>
      </c>
      <c r="R56" s="205">
        <f t="shared" si="21"/>
        <v>0</v>
      </c>
      <c r="S56" s="39">
        <f t="shared" si="7"/>
        <v>54</v>
      </c>
      <c r="T56" s="38">
        <f t="shared" si="4"/>
        <v>18.144000000000002</v>
      </c>
      <c r="U56" s="290">
        <v>0</v>
      </c>
      <c r="V56" s="13">
        <f t="shared" si="8"/>
        <v>0</v>
      </c>
      <c r="W56" s="294">
        <f t="shared" si="9"/>
        <v>54</v>
      </c>
      <c r="X56" s="295">
        <f t="shared" si="10"/>
        <v>18.144000000000002</v>
      </c>
      <c r="Y56" s="101">
        <v>20</v>
      </c>
      <c r="Z56" s="101">
        <v>50</v>
      </c>
    </row>
    <row r="57" spans="1:26" x14ac:dyDescent="0.25">
      <c r="A57" s="264">
        <v>53</v>
      </c>
      <c r="B57" s="101" t="s">
        <v>201</v>
      </c>
      <c r="C57" s="264">
        <v>52</v>
      </c>
      <c r="D57" s="264">
        <v>52</v>
      </c>
      <c r="E57" s="264">
        <v>5</v>
      </c>
      <c r="F57" s="19">
        <f t="shared" si="5"/>
        <v>1.3520000000000001E-2</v>
      </c>
      <c r="G57" s="296">
        <v>720</v>
      </c>
      <c r="H57" s="299">
        <f t="shared" si="6"/>
        <v>9.7344000000000008</v>
      </c>
      <c r="I57" s="290">
        <v>0</v>
      </c>
      <c r="J57" s="205">
        <f t="shared" si="22"/>
        <v>0</v>
      </c>
      <c r="K57" s="290">
        <v>0</v>
      </c>
      <c r="L57" s="205">
        <f t="shared" ref="L57:L65" si="23">F57*K57</f>
        <v>0</v>
      </c>
      <c r="M57" s="290">
        <v>0</v>
      </c>
      <c r="N57" s="205">
        <f t="shared" si="19"/>
        <v>0</v>
      </c>
      <c r="O57" s="290">
        <v>40</v>
      </c>
      <c r="P57" s="205">
        <f t="shared" si="20"/>
        <v>0.54080000000000006</v>
      </c>
      <c r="Q57" s="290">
        <v>0</v>
      </c>
      <c r="R57" s="205">
        <f t="shared" si="21"/>
        <v>0</v>
      </c>
      <c r="S57" s="39">
        <f t="shared" si="7"/>
        <v>680</v>
      </c>
      <c r="T57" s="38">
        <f t="shared" si="4"/>
        <v>9.1936</v>
      </c>
      <c r="U57" s="290">
        <v>0</v>
      </c>
      <c r="V57" s="13">
        <f t="shared" si="8"/>
        <v>0</v>
      </c>
      <c r="W57" s="294">
        <f t="shared" si="9"/>
        <v>680</v>
      </c>
      <c r="X57" s="295">
        <f t="shared" si="10"/>
        <v>9.1936</v>
      </c>
      <c r="Y57" s="101">
        <v>20</v>
      </c>
      <c r="Z57" s="101">
        <v>50</v>
      </c>
    </row>
    <row r="58" spans="1:26" x14ac:dyDescent="0.25">
      <c r="A58" s="264">
        <v>54</v>
      </c>
      <c r="B58" s="101" t="s">
        <v>193</v>
      </c>
      <c r="C58" s="264">
        <v>80</v>
      </c>
      <c r="D58" s="264">
        <v>75</v>
      </c>
      <c r="E58" s="264">
        <v>5</v>
      </c>
      <c r="F58" s="19">
        <f t="shared" si="5"/>
        <v>0.03</v>
      </c>
      <c r="G58" s="264">
        <v>175</v>
      </c>
      <c r="H58" s="299">
        <f t="shared" si="6"/>
        <v>5.25</v>
      </c>
      <c r="I58" s="290">
        <v>0</v>
      </c>
      <c r="J58" s="205">
        <f t="shared" si="22"/>
        <v>0</v>
      </c>
      <c r="K58" s="290">
        <v>0</v>
      </c>
      <c r="L58" s="205">
        <f t="shared" si="23"/>
        <v>0</v>
      </c>
      <c r="M58" s="290">
        <v>0</v>
      </c>
      <c r="N58" s="205">
        <f t="shared" si="19"/>
        <v>0</v>
      </c>
      <c r="O58" s="290">
        <v>0</v>
      </c>
      <c r="P58" s="205">
        <f t="shared" si="20"/>
        <v>0</v>
      </c>
      <c r="Q58" s="290">
        <v>0</v>
      </c>
      <c r="R58" s="205">
        <f t="shared" si="21"/>
        <v>0</v>
      </c>
      <c r="S58" s="39">
        <f t="shared" si="7"/>
        <v>175</v>
      </c>
      <c r="T58" s="38">
        <f t="shared" si="4"/>
        <v>5.25</v>
      </c>
      <c r="U58" s="290">
        <v>0</v>
      </c>
      <c r="V58" s="308">
        <f t="shared" si="8"/>
        <v>0</v>
      </c>
      <c r="W58" s="294">
        <f t="shared" si="9"/>
        <v>175</v>
      </c>
      <c r="X58" s="300">
        <f t="shared" si="10"/>
        <v>5.25</v>
      </c>
      <c r="Y58" s="101">
        <v>20</v>
      </c>
      <c r="Z58" s="101">
        <v>50</v>
      </c>
    </row>
    <row r="59" spans="1:26" x14ac:dyDescent="0.25">
      <c r="A59" s="264">
        <v>55</v>
      </c>
      <c r="B59" s="298" t="s">
        <v>228</v>
      </c>
      <c r="C59" s="264">
        <v>58</v>
      </c>
      <c r="D59" s="264">
        <v>25</v>
      </c>
      <c r="E59" s="264">
        <v>3</v>
      </c>
      <c r="F59" s="298">
        <f t="shared" si="5"/>
        <v>4.3499999999999997E-3</v>
      </c>
      <c r="G59" s="264">
        <v>590</v>
      </c>
      <c r="H59" s="299">
        <f t="shared" si="6"/>
        <v>2.5665</v>
      </c>
      <c r="I59" s="290">
        <v>66</v>
      </c>
      <c r="J59" s="205">
        <f t="shared" si="22"/>
        <v>0.28709999999999997</v>
      </c>
      <c r="K59" s="290">
        <v>22</v>
      </c>
      <c r="L59" s="205">
        <f t="shared" si="23"/>
        <v>9.5699999999999993E-2</v>
      </c>
      <c r="M59" s="290">
        <v>0</v>
      </c>
      <c r="N59" s="205">
        <f t="shared" si="19"/>
        <v>0</v>
      </c>
      <c r="O59" s="290">
        <v>0</v>
      </c>
      <c r="P59" s="205">
        <f t="shared" si="20"/>
        <v>0</v>
      </c>
      <c r="Q59" s="290">
        <v>0</v>
      </c>
      <c r="R59" s="205">
        <f>F59*Q59</f>
        <v>0</v>
      </c>
      <c r="S59" s="39">
        <f t="shared" si="7"/>
        <v>502</v>
      </c>
      <c r="T59" s="38">
        <f t="shared" si="4"/>
        <v>2.1837</v>
      </c>
      <c r="U59" s="290">
        <v>0</v>
      </c>
      <c r="V59" s="309">
        <f t="shared" si="8"/>
        <v>0</v>
      </c>
      <c r="W59" s="294">
        <f t="shared" si="9"/>
        <v>502</v>
      </c>
      <c r="X59" s="300">
        <f t="shared" si="10"/>
        <v>2.1837</v>
      </c>
      <c r="Y59" s="101">
        <v>20</v>
      </c>
      <c r="Z59" s="101">
        <v>50</v>
      </c>
    </row>
    <row r="60" spans="1:26" x14ac:dyDescent="0.25">
      <c r="A60" s="264">
        <v>56</v>
      </c>
      <c r="B60" s="101" t="s">
        <v>195</v>
      </c>
      <c r="C60" s="264">
        <v>64</v>
      </c>
      <c r="D60" s="264">
        <v>58</v>
      </c>
      <c r="E60" s="264">
        <v>5</v>
      </c>
      <c r="F60" s="298">
        <f t="shared" si="5"/>
        <v>1.856E-2</v>
      </c>
      <c r="G60" s="264">
        <v>350</v>
      </c>
      <c r="H60" s="299">
        <f t="shared" si="6"/>
        <v>6.4960000000000004</v>
      </c>
      <c r="I60" s="290">
        <v>0</v>
      </c>
      <c r="J60" s="205">
        <f t="shared" si="22"/>
        <v>0</v>
      </c>
      <c r="K60" s="290">
        <v>0</v>
      </c>
      <c r="L60" s="205">
        <f t="shared" si="23"/>
        <v>0</v>
      </c>
      <c r="M60" s="290">
        <v>28</v>
      </c>
      <c r="N60" s="205">
        <f t="shared" si="19"/>
        <v>0.51968000000000003</v>
      </c>
      <c r="O60" s="290">
        <v>10</v>
      </c>
      <c r="P60" s="205">
        <f t="shared" si="20"/>
        <v>0.18559999999999999</v>
      </c>
      <c r="Q60" s="290">
        <v>0</v>
      </c>
      <c r="R60" s="205">
        <f t="shared" ref="R60:R65" si="24">F60*Q60</f>
        <v>0</v>
      </c>
      <c r="S60" s="39">
        <f t="shared" si="7"/>
        <v>312</v>
      </c>
      <c r="T60" s="38">
        <f t="shared" si="4"/>
        <v>5.7907200000000003</v>
      </c>
      <c r="U60" s="290">
        <v>0</v>
      </c>
      <c r="V60" s="309">
        <f t="shared" si="8"/>
        <v>0</v>
      </c>
      <c r="W60" s="294">
        <f t="shared" si="9"/>
        <v>312</v>
      </c>
      <c r="X60" s="301">
        <f t="shared" si="10"/>
        <v>5.7907200000000003</v>
      </c>
      <c r="Y60" s="101">
        <v>20</v>
      </c>
      <c r="Z60" s="101">
        <v>50</v>
      </c>
    </row>
    <row r="61" spans="1:26" x14ac:dyDescent="0.25">
      <c r="A61" s="264">
        <v>57</v>
      </c>
      <c r="B61" s="101" t="s">
        <v>197</v>
      </c>
      <c r="C61" s="264">
        <v>65</v>
      </c>
      <c r="D61" s="264">
        <v>65</v>
      </c>
      <c r="E61" s="264">
        <v>5</v>
      </c>
      <c r="F61" s="101">
        <f t="shared" si="5"/>
        <v>2.1125000000000001E-2</v>
      </c>
      <c r="G61" s="264">
        <v>360</v>
      </c>
      <c r="H61" s="299">
        <f t="shared" si="6"/>
        <v>7.6050000000000004</v>
      </c>
      <c r="I61" s="290">
        <v>0</v>
      </c>
      <c r="J61" s="205">
        <f t="shared" si="22"/>
        <v>0</v>
      </c>
      <c r="K61" s="290">
        <v>0</v>
      </c>
      <c r="L61" s="205">
        <f t="shared" si="23"/>
        <v>0</v>
      </c>
      <c r="M61" s="290">
        <v>0</v>
      </c>
      <c r="N61" s="174">
        <f t="shared" si="19"/>
        <v>0</v>
      </c>
      <c r="O61" s="290">
        <v>0</v>
      </c>
      <c r="P61" s="205">
        <f t="shared" si="20"/>
        <v>0</v>
      </c>
      <c r="Q61" s="290">
        <v>0</v>
      </c>
      <c r="R61" s="205">
        <f t="shared" si="24"/>
        <v>0</v>
      </c>
      <c r="S61" s="39">
        <f t="shared" si="7"/>
        <v>360</v>
      </c>
      <c r="T61" s="38">
        <f t="shared" si="4"/>
        <v>7.6050000000000004</v>
      </c>
      <c r="U61" s="290">
        <v>0</v>
      </c>
      <c r="V61" s="309">
        <f t="shared" si="8"/>
        <v>0</v>
      </c>
      <c r="W61" s="294">
        <f t="shared" si="9"/>
        <v>360</v>
      </c>
      <c r="X61" s="300">
        <f t="shared" si="10"/>
        <v>7.6050000000000004</v>
      </c>
      <c r="Y61" s="101">
        <v>20</v>
      </c>
      <c r="Z61" s="101">
        <v>50</v>
      </c>
    </row>
    <row r="62" spans="1:26" x14ac:dyDescent="0.25">
      <c r="A62" s="264">
        <v>58</v>
      </c>
      <c r="B62" s="101" t="s">
        <v>231</v>
      </c>
      <c r="C62" s="264">
        <v>83</v>
      </c>
      <c r="D62" s="264">
        <v>55</v>
      </c>
      <c r="E62" s="264">
        <v>3</v>
      </c>
      <c r="F62" s="101">
        <f t="shared" si="5"/>
        <v>1.3695000000000001E-2</v>
      </c>
      <c r="G62" s="264">
        <v>148</v>
      </c>
      <c r="H62" s="299">
        <f t="shared" si="6"/>
        <v>2.0268600000000001</v>
      </c>
      <c r="I62" s="290">
        <v>0</v>
      </c>
      <c r="J62" s="205">
        <f t="shared" si="22"/>
        <v>0</v>
      </c>
      <c r="K62" s="290">
        <v>0</v>
      </c>
      <c r="L62" s="205">
        <f t="shared" si="23"/>
        <v>0</v>
      </c>
      <c r="M62" s="290">
        <v>0</v>
      </c>
      <c r="N62" s="174">
        <f t="shared" si="19"/>
        <v>0</v>
      </c>
      <c r="O62" s="290">
        <v>46</v>
      </c>
      <c r="P62" s="205">
        <f t="shared" si="20"/>
        <v>0.62997000000000003</v>
      </c>
      <c r="Q62" s="290">
        <v>0</v>
      </c>
      <c r="R62" s="205">
        <f t="shared" si="24"/>
        <v>0</v>
      </c>
      <c r="S62" s="39">
        <f t="shared" si="7"/>
        <v>102</v>
      </c>
      <c r="T62" s="38">
        <f t="shared" si="4"/>
        <v>1.39689</v>
      </c>
      <c r="U62" s="290">
        <v>72</v>
      </c>
      <c r="V62" s="309">
        <f t="shared" si="8"/>
        <v>0.98604000000000003</v>
      </c>
      <c r="W62" s="294">
        <f t="shared" si="9"/>
        <v>174</v>
      </c>
      <c r="X62" s="300">
        <f t="shared" si="10"/>
        <v>2.38293</v>
      </c>
      <c r="Y62" s="101">
        <v>20</v>
      </c>
      <c r="Z62" s="101">
        <v>50</v>
      </c>
    </row>
    <row r="63" spans="1:26" x14ac:dyDescent="0.25">
      <c r="A63" s="264">
        <v>59</v>
      </c>
      <c r="B63" s="101" t="s">
        <v>233</v>
      </c>
      <c r="C63" s="264">
        <v>75</v>
      </c>
      <c r="D63" s="264">
        <v>55</v>
      </c>
      <c r="E63" s="264">
        <v>3</v>
      </c>
      <c r="F63" s="101">
        <f t="shared" si="5"/>
        <v>1.2375000000000001E-2</v>
      </c>
      <c r="G63" s="264">
        <v>183</v>
      </c>
      <c r="H63" s="299">
        <f t="shared" si="6"/>
        <v>2.2646250000000001</v>
      </c>
      <c r="I63" s="290">
        <v>0</v>
      </c>
      <c r="J63" s="205">
        <f t="shared" si="22"/>
        <v>0</v>
      </c>
      <c r="K63" s="290">
        <v>0</v>
      </c>
      <c r="L63" s="205">
        <f t="shared" si="23"/>
        <v>0</v>
      </c>
      <c r="M63" s="290">
        <v>28</v>
      </c>
      <c r="N63" s="174">
        <f t="shared" si="19"/>
        <v>0.34650000000000003</v>
      </c>
      <c r="O63" s="290">
        <v>0</v>
      </c>
      <c r="P63" s="205">
        <f t="shared" si="20"/>
        <v>0</v>
      </c>
      <c r="Q63" s="290">
        <v>0</v>
      </c>
      <c r="R63" s="205">
        <f t="shared" si="24"/>
        <v>0</v>
      </c>
      <c r="S63" s="39">
        <f t="shared" si="7"/>
        <v>155</v>
      </c>
      <c r="T63" s="38">
        <f t="shared" si="4"/>
        <v>1.9181250000000001</v>
      </c>
      <c r="U63" s="290">
        <v>0</v>
      </c>
      <c r="V63" s="309">
        <f t="shared" si="8"/>
        <v>0</v>
      </c>
      <c r="W63" s="294">
        <f t="shared" si="9"/>
        <v>155</v>
      </c>
      <c r="X63" s="300">
        <f t="shared" si="10"/>
        <v>1.9181250000000001</v>
      </c>
      <c r="Y63" s="101">
        <v>20</v>
      </c>
      <c r="Z63" s="101">
        <v>50</v>
      </c>
    </row>
    <row r="64" spans="1:26" x14ac:dyDescent="0.25">
      <c r="A64" s="264">
        <v>60</v>
      </c>
      <c r="B64" s="101" t="s">
        <v>200</v>
      </c>
      <c r="C64" s="264">
        <v>58</v>
      </c>
      <c r="D64" s="264">
        <v>19</v>
      </c>
      <c r="E64" s="264">
        <v>3</v>
      </c>
      <c r="F64" s="101">
        <f t="shared" si="5"/>
        <v>3.3059999999999999E-3</v>
      </c>
      <c r="G64" s="264">
        <v>170</v>
      </c>
      <c r="H64" s="299">
        <f t="shared" si="6"/>
        <v>0.56201999999999996</v>
      </c>
      <c r="I64" s="290">
        <v>0</v>
      </c>
      <c r="J64" s="205">
        <f t="shared" si="22"/>
        <v>0</v>
      </c>
      <c r="K64" s="290">
        <v>0</v>
      </c>
      <c r="L64" s="205">
        <f t="shared" si="23"/>
        <v>0</v>
      </c>
      <c r="M64" s="290">
        <v>0</v>
      </c>
      <c r="N64" s="174">
        <f t="shared" si="19"/>
        <v>0</v>
      </c>
      <c r="O64" s="290">
        <v>0</v>
      </c>
      <c r="P64" s="205">
        <f t="shared" si="20"/>
        <v>0</v>
      </c>
      <c r="Q64" s="290">
        <v>0</v>
      </c>
      <c r="R64" s="205">
        <f t="shared" si="24"/>
        <v>0</v>
      </c>
      <c r="S64" s="39">
        <f t="shared" si="7"/>
        <v>170</v>
      </c>
      <c r="T64" s="38">
        <f t="shared" si="4"/>
        <v>0.56201999999999996</v>
      </c>
      <c r="U64" s="290">
        <v>0</v>
      </c>
      <c r="V64" s="309">
        <f t="shared" si="8"/>
        <v>0</v>
      </c>
      <c r="W64" s="294">
        <f t="shared" si="9"/>
        <v>170</v>
      </c>
      <c r="X64" s="300">
        <f t="shared" si="10"/>
        <v>0.56201999999999996</v>
      </c>
      <c r="Y64" s="101">
        <v>20</v>
      </c>
      <c r="Z64" s="101">
        <v>50</v>
      </c>
    </row>
    <row r="65" spans="1:26" x14ac:dyDescent="0.25">
      <c r="A65" s="264">
        <v>61</v>
      </c>
      <c r="B65" s="101" t="s">
        <v>202</v>
      </c>
      <c r="C65" s="264">
        <v>140</v>
      </c>
      <c r="D65" s="264">
        <v>240</v>
      </c>
      <c r="E65" s="264">
        <v>4</v>
      </c>
      <c r="F65" s="101">
        <f t="shared" si="5"/>
        <v>0.13439999999999999</v>
      </c>
      <c r="G65" s="264">
        <v>85</v>
      </c>
      <c r="H65" s="299">
        <f t="shared" si="6"/>
        <v>11.423999999999999</v>
      </c>
      <c r="I65" s="290">
        <v>0</v>
      </c>
      <c r="J65" s="205">
        <f t="shared" si="22"/>
        <v>0</v>
      </c>
      <c r="K65" s="290">
        <v>0</v>
      </c>
      <c r="L65" s="205">
        <f t="shared" si="23"/>
        <v>0</v>
      </c>
      <c r="M65" s="290">
        <v>0</v>
      </c>
      <c r="N65" s="174">
        <f t="shared" si="19"/>
        <v>0</v>
      </c>
      <c r="O65" s="290">
        <v>0</v>
      </c>
      <c r="P65" s="205">
        <f t="shared" si="20"/>
        <v>0</v>
      </c>
      <c r="Q65" s="290">
        <v>0</v>
      </c>
      <c r="R65" s="205">
        <f t="shared" si="24"/>
        <v>0</v>
      </c>
      <c r="S65" s="39">
        <f t="shared" si="7"/>
        <v>85</v>
      </c>
      <c r="T65" s="38">
        <f t="shared" si="4"/>
        <v>11.423999999999999</v>
      </c>
      <c r="U65" s="290">
        <v>0</v>
      </c>
      <c r="V65" s="309">
        <f t="shared" si="8"/>
        <v>0</v>
      </c>
      <c r="W65" s="294">
        <f t="shared" si="9"/>
        <v>85</v>
      </c>
      <c r="X65" s="300">
        <f t="shared" si="10"/>
        <v>11.423999999999999</v>
      </c>
      <c r="Y65" s="101">
        <v>30</v>
      </c>
      <c r="Z65" s="101">
        <v>70</v>
      </c>
    </row>
    <row r="66" spans="1:26" x14ac:dyDescent="0.25">
      <c r="A66" s="264">
        <v>62</v>
      </c>
      <c r="B66" s="101" t="s">
        <v>203</v>
      </c>
      <c r="C66" s="264">
        <v>50</v>
      </c>
      <c r="D66" s="264">
        <v>46.5</v>
      </c>
      <c r="E66" s="264">
        <v>3</v>
      </c>
      <c r="F66" s="101">
        <f t="shared" si="5"/>
        <v>6.9750000000000003E-3</v>
      </c>
      <c r="G66" s="264">
        <v>675</v>
      </c>
      <c r="H66" s="289">
        <f t="shared" si="6"/>
        <v>4.7081249999999999</v>
      </c>
      <c r="I66" s="290">
        <v>32</v>
      </c>
      <c r="J66" s="205">
        <f t="shared" si="22"/>
        <v>0.22320000000000001</v>
      </c>
      <c r="K66" s="290">
        <v>0</v>
      </c>
      <c r="L66" s="101"/>
      <c r="M66" s="290">
        <v>0</v>
      </c>
      <c r="N66" s="264">
        <f t="shared" si="19"/>
        <v>0</v>
      </c>
      <c r="O66" s="290">
        <v>50</v>
      </c>
      <c r="P66" s="264">
        <f t="shared" si="20"/>
        <v>0.34875</v>
      </c>
      <c r="Q66" s="290">
        <v>0</v>
      </c>
      <c r="R66" s="101"/>
      <c r="S66" s="39">
        <f t="shared" si="7"/>
        <v>593</v>
      </c>
      <c r="T66" s="38">
        <f t="shared" si="4"/>
        <v>4.1361750000000006</v>
      </c>
      <c r="U66" s="290">
        <v>0</v>
      </c>
      <c r="V66" s="309">
        <f t="shared" si="8"/>
        <v>0</v>
      </c>
      <c r="W66" s="294">
        <f t="shared" si="9"/>
        <v>593</v>
      </c>
      <c r="X66" s="300">
        <f t="shared" si="10"/>
        <v>4.1361750000000006</v>
      </c>
      <c r="Y66" s="101">
        <v>500</v>
      </c>
      <c r="Z66" s="101">
        <v>1000</v>
      </c>
    </row>
    <row r="67" spans="1:26" x14ac:dyDescent="0.25">
      <c r="A67" s="264">
        <v>63</v>
      </c>
      <c r="B67" s="101" t="s">
        <v>204</v>
      </c>
      <c r="C67" s="264">
        <v>50</v>
      </c>
      <c r="D67" s="264">
        <v>35</v>
      </c>
      <c r="E67" s="264">
        <v>3</v>
      </c>
      <c r="F67" s="101">
        <f t="shared" si="5"/>
        <v>5.2500000000000003E-3</v>
      </c>
      <c r="G67" s="264">
        <v>713</v>
      </c>
      <c r="H67" s="289">
        <f t="shared" si="6"/>
        <v>3.7432500000000002</v>
      </c>
      <c r="I67" s="290">
        <v>32</v>
      </c>
      <c r="J67" s="205">
        <f t="shared" si="22"/>
        <v>0.16800000000000001</v>
      </c>
      <c r="K67" s="290">
        <v>0</v>
      </c>
      <c r="L67" s="205">
        <f t="shared" ref="L67" si="25">F67*K67</f>
        <v>0</v>
      </c>
      <c r="M67" s="290">
        <v>0</v>
      </c>
      <c r="N67" s="264">
        <f t="shared" si="19"/>
        <v>0</v>
      </c>
      <c r="O67" s="290">
        <v>50</v>
      </c>
      <c r="P67" s="264"/>
      <c r="Q67" s="290">
        <v>0</v>
      </c>
      <c r="R67" s="264"/>
      <c r="S67" s="39">
        <f t="shared" si="7"/>
        <v>631</v>
      </c>
      <c r="T67" s="38">
        <f t="shared" si="4"/>
        <v>3.3127500000000003</v>
      </c>
      <c r="U67" s="290">
        <v>0</v>
      </c>
      <c r="V67" s="309">
        <f t="shared" si="8"/>
        <v>0</v>
      </c>
      <c r="W67" s="294">
        <f t="shared" si="9"/>
        <v>631</v>
      </c>
      <c r="X67" s="300">
        <f t="shared" si="10"/>
        <v>3.3127500000000003</v>
      </c>
      <c r="Y67" s="101">
        <v>500</v>
      </c>
      <c r="Z67" s="101">
        <v>1000</v>
      </c>
    </row>
    <row r="68" spans="1:26" x14ac:dyDescent="0.25">
      <c r="A68" s="264">
        <v>64</v>
      </c>
      <c r="B68" s="101" t="s">
        <v>205</v>
      </c>
      <c r="C68" s="264">
        <v>140</v>
      </c>
      <c r="D68" s="264">
        <v>240</v>
      </c>
      <c r="E68" s="264">
        <v>8</v>
      </c>
      <c r="F68" s="101">
        <f t="shared" si="5"/>
        <v>0.26879999999999998</v>
      </c>
      <c r="G68" s="264">
        <v>2</v>
      </c>
      <c r="H68" s="289">
        <f t="shared" si="6"/>
        <v>0.53759999999999997</v>
      </c>
      <c r="I68" s="290">
        <v>0</v>
      </c>
      <c r="J68" s="264">
        <f t="shared" si="22"/>
        <v>0</v>
      </c>
      <c r="K68" s="290">
        <v>0</v>
      </c>
      <c r="L68" s="264"/>
      <c r="M68" s="290">
        <v>0</v>
      </c>
      <c r="N68" s="264">
        <v>0</v>
      </c>
      <c r="O68" s="290">
        <v>0</v>
      </c>
      <c r="P68" s="264"/>
      <c r="Q68" s="290">
        <v>0</v>
      </c>
      <c r="R68" s="264">
        <v>0</v>
      </c>
      <c r="S68" s="39">
        <f t="shared" si="7"/>
        <v>2</v>
      </c>
      <c r="T68" s="38">
        <f t="shared" si="4"/>
        <v>0.53759999999999997</v>
      </c>
      <c r="U68" s="290">
        <v>0</v>
      </c>
      <c r="V68" s="309">
        <v>0</v>
      </c>
      <c r="W68" s="294">
        <f t="shared" si="9"/>
        <v>2</v>
      </c>
      <c r="X68" s="300">
        <f t="shared" si="10"/>
        <v>0.53759999999999997</v>
      </c>
      <c r="Y68" s="101"/>
      <c r="Z68" s="101"/>
    </row>
    <row r="69" spans="1:26" x14ac:dyDescent="0.25">
      <c r="A69" s="264">
        <v>65</v>
      </c>
      <c r="B69" s="101" t="s">
        <v>206</v>
      </c>
      <c r="C69" s="264">
        <v>140</v>
      </c>
      <c r="D69" s="264">
        <v>240</v>
      </c>
      <c r="E69" s="264">
        <v>2</v>
      </c>
      <c r="F69" s="101">
        <f t="shared" si="5"/>
        <v>6.7199999999999996E-2</v>
      </c>
      <c r="G69" s="264">
        <v>80</v>
      </c>
      <c r="H69" s="289">
        <f t="shared" si="6"/>
        <v>5.3759999999999994</v>
      </c>
      <c r="I69" s="290">
        <v>0</v>
      </c>
      <c r="J69" s="264">
        <f t="shared" si="22"/>
        <v>0</v>
      </c>
      <c r="K69" s="290">
        <v>0</v>
      </c>
      <c r="L69" s="264"/>
      <c r="M69" s="290">
        <v>0</v>
      </c>
      <c r="N69" s="174">
        <v>0</v>
      </c>
      <c r="O69" s="290">
        <v>0</v>
      </c>
      <c r="P69" s="264">
        <f t="shared" ref="P69" si="26">F69*O69</f>
        <v>0</v>
      </c>
      <c r="Q69" s="290">
        <v>0</v>
      </c>
      <c r="R69" s="205">
        <f t="shared" ref="R69" si="27">F69*Q69</f>
        <v>0</v>
      </c>
      <c r="S69" s="39">
        <f t="shared" si="7"/>
        <v>80</v>
      </c>
      <c r="T69" s="38">
        <f t="shared" ref="T69:T72" si="28">F69*S69</f>
        <v>5.3759999999999994</v>
      </c>
      <c r="U69" s="290">
        <v>0</v>
      </c>
      <c r="V69" s="309">
        <f t="shared" si="8"/>
        <v>0</v>
      </c>
      <c r="W69" s="294">
        <f t="shared" si="9"/>
        <v>80</v>
      </c>
      <c r="X69" s="300">
        <f t="shared" si="10"/>
        <v>5.3759999999999994</v>
      </c>
      <c r="Y69" s="101">
        <v>70</v>
      </c>
      <c r="Z69" s="101">
        <v>200</v>
      </c>
    </row>
    <row r="70" spans="1:26" x14ac:dyDescent="0.25">
      <c r="A70" s="264">
        <v>66</v>
      </c>
      <c r="B70" s="101" t="s">
        <v>213</v>
      </c>
      <c r="C70" s="264"/>
      <c r="D70" s="264"/>
      <c r="E70" s="264"/>
      <c r="F70" s="101"/>
      <c r="G70" s="264">
        <v>290</v>
      </c>
      <c r="H70" s="289"/>
      <c r="I70" s="290">
        <v>0</v>
      </c>
      <c r="J70" s="264"/>
      <c r="K70" s="290">
        <v>0</v>
      </c>
      <c r="L70" s="264"/>
      <c r="M70" s="290">
        <v>0</v>
      </c>
      <c r="N70" s="264">
        <f t="shared" si="19"/>
        <v>0</v>
      </c>
      <c r="O70" s="290">
        <v>290</v>
      </c>
      <c r="P70" s="264"/>
      <c r="Q70" s="290">
        <v>0</v>
      </c>
      <c r="R70" s="264"/>
      <c r="S70" s="39">
        <f t="shared" ref="S70:S73" si="29">G70-I70-K70-M70-O70-Q70</f>
        <v>0</v>
      </c>
      <c r="T70" s="38">
        <f t="shared" si="28"/>
        <v>0</v>
      </c>
      <c r="U70" s="290">
        <v>355</v>
      </c>
      <c r="V70" s="309">
        <f t="shared" ref="V70" si="30">F70*U70</f>
        <v>0</v>
      </c>
      <c r="W70" s="294">
        <f t="shared" ref="W70:W73" si="31">S70+U70</f>
        <v>355</v>
      </c>
      <c r="X70" s="300">
        <f t="shared" ref="X70" si="32">F70*W70</f>
        <v>0</v>
      </c>
      <c r="Y70" s="101">
        <v>50</v>
      </c>
      <c r="Z70" s="101"/>
    </row>
    <row r="71" spans="1:26" x14ac:dyDescent="0.25">
      <c r="A71" s="277">
        <v>67</v>
      </c>
      <c r="B71" s="317" t="s">
        <v>224</v>
      </c>
      <c r="C71" s="101"/>
      <c r="D71" s="101"/>
      <c r="E71" s="101"/>
      <c r="F71" s="101"/>
      <c r="G71" s="277">
        <v>141</v>
      </c>
      <c r="H71" s="101"/>
      <c r="I71" s="290">
        <v>0</v>
      </c>
      <c r="J71" s="101"/>
      <c r="K71" s="290">
        <v>0</v>
      </c>
      <c r="L71" s="101"/>
      <c r="M71" s="290">
        <v>0</v>
      </c>
      <c r="N71" s="101"/>
      <c r="O71" s="290">
        <v>0</v>
      </c>
      <c r="P71" s="101"/>
      <c r="Q71" s="290">
        <v>0</v>
      </c>
      <c r="R71" s="101"/>
      <c r="S71" s="39">
        <f t="shared" si="29"/>
        <v>141</v>
      </c>
      <c r="T71" s="38">
        <f t="shared" si="28"/>
        <v>0</v>
      </c>
      <c r="U71" s="290">
        <v>0</v>
      </c>
      <c r="V71" s="101"/>
      <c r="W71" s="294">
        <f t="shared" si="31"/>
        <v>141</v>
      </c>
      <c r="X71" s="101"/>
      <c r="Y71" s="101">
        <v>50</v>
      </c>
      <c r="Z71" s="101"/>
    </row>
    <row r="72" spans="1:26" x14ac:dyDescent="0.25">
      <c r="A72" s="264">
        <v>68</v>
      </c>
      <c r="B72" s="317" t="s">
        <v>225</v>
      </c>
      <c r="C72" s="101"/>
      <c r="D72" s="101"/>
      <c r="E72" s="101"/>
      <c r="F72" s="101"/>
      <c r="G72" s="277">
        <v>99</v>
      </c>
      <c r="H72" s="101"/>
      <c r="I72" s="290">
        <v>0</v>
      </c>
      <c r="J72" s="101"/>
      <c r="K72" s="290">
        <v>0</v>
      </c>
      <c r="L72" s="101"/>
      <c r="M72" s="290">
        <v>0</v>
      </c>
      <c r="N72" s="101"/>
      <c r="O72" s="290">
        <v>0</v>
      </c>
      <c r="P72" s="101"/>
      <c r="Q72" s="290">
        <v>0</v>
      </c>
      <c r="R72" s="101"/>
      <c r="S72" s="39">
        <f t="shared" si="29"/>
        <v>99</v>
      </c>
      <c r="T72" s="38">
        <f t="shared" si="28"/>
        <v>0</v>
      </c>
      <c r="U72" s="290">
        <v>0</v>
      </c>
      <c r="V72" s="101"/>
      <c r="W72" s="294">
        <f t="shared" si="31"/>
        <v>99</v>
      </c>
      <c r="X72" s="101"/>
      <c r="Y72" s="101">
        <v>50</v>
      </c>
      <c r="Z72" s="101"/>
    </row>
    <row r="73" spans="1:26" x14ac:dyDescent="0.25">
      <c r="A73" s="277">
        <v>69</v>
      </c>
      <c r="B73" s="317" t="s">
        <v>232</v>
      </c>
      <c r="C73" s="101"/>
      <c r="D73" s="101"/>
      <c r="E73" s="101"/>
      <c r="F73" s="101"/>
      <c r="G73" s="277">
        <v>309</v>
      </c>
      <c r="H73" s="101"/>
      <c r="I73" s="290">
        <v>0</v>
      </c>
      <c r="J73" s="101"/>
      <c r="K73" s="290">
        <v>21</v>
      </c>
      <c r="L73" s="101"/>
      <c r="M73" s="101"/>
      <c r="N73" s="101"/>
      <c r="O73" s="290">
        <v>140</v>
      </c>
      <c r="P73" s="101"/>
      <c r="Q73" s="290">
        <v>0</v>
      </c>
      <c r="R73" s="101"/>
      <c r="S73" s="39">
        <f t="shared" si="29"/>
        <v>148</v>
      </c>
      <c r="T73" s="101"/>
      <c r="U73" s="290">
        <v>0</v>
      </c>
      <c r="V73" s="101"/>
      <c r="W73" s="294">
        <f t="shared" si="31"/>
        <v>148</v>
      </c>
      <c r="X73" s="101"/>
      <c r="Y73" s="101"/>
      <c r="Z73" s="101"/>
    </row>
    <row r="74" spans="1:26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1:26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1:26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1:26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1:26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</sheetData>
  <mergeCells count="24">
    <mergeCell ref="C1:H1"/>
    <mergeCell ref="G2:H3"/>
    <mergeCell ref="I2:J2"/>
    <mergeCell ref="K2:L2"/>
    <mergeCell ref="M2:N2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S4:T4"/>
    <mergeCell ref="U4:V4"/>
    <mergeCell ref="W4:X4"/>
    <mergeCell ref="G4:H4"/>
    <mergeCell ref="I4:J4"/>
    <mergeCell ref="K4:L4"/>
    <mergeCell ref="M4:N4"/>
    <mergeCell ref="O4:P4"/>
    <mergeCell ref="Q4:R4"/>
  </mergeCells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0EA5A-FA03-4FE2-92A9-17A654B75878}">
  <dimension ref="A1:Z78"/>
  <sheetViews>
    <sheetView tabSelected="1" topLeftCell="B19" workbookViewId="0">
      <selection activeCell="R22" sqref="R22"/>
    </sheetView>
  </sheetViews>
  <sheetFormatPr defaultRowHeight="15" x14ac:dyDescent="0.25"/>
  <cols>
    <col min="1" max="1" width="5" customWidth="1"/>
    <col min="2" max="2" width="31.85546875" style="3" customWidth="1"/>
    <col min="3" max="3" width="4.7109375" style="2" hidden="1" customWidth="1"/>
    <col min="4" max="4" width="7.28515625" style="2" hidden="1" customWidth="1"/>
    <col min="5" max="5" width="5.85546875" style="2" hidden="1" customWidth="1"/>
    <col min="6" max="6" width="8" style="4" hidden="1" customWidth="1"/>
    <col min="7" max="7" width="7.5703125" style="5" customWidth="1"/>
    <col min="8" max="8" width="9" style="5" customWidth="1"/>
    <col min="9" max="9" width="6" style="2" customWidth="1"/>
    <col min="10" max="10" width="7.140625" style="2" customWidth="1"/>
    <col min="11" max="11" width="6.28515625" style="2" customWidth="1"/>
    <col min="12" max="12" width="8" style="2" customWidth="1"/>
    <col min="13" max="20" width="6.42578125" style="2" customWidth="1"/>
    <col min="21" max="24" width="6.42578125" customWidth="1"/>
    <col min="25" max="25" width="10.28515625" customWidth="1"/>
  </cols>
  <sheetData>
    <row r="1" spans="1:26" ht="15.75" thickBot="1" x14ac:dyDescent="0.3">
      <c r="B1" s="4" t="s">
        <v>18</v>
      </c>
      <c r="C1" s="384" t="s">
        <v>235</v>
      </c>
      <c r="D1" s="320"/>
      <c r="E1" s="320"/>
      <c r="F1" s="320"/>
      <c r="G1" s="320"/>
      <c r="H1" s="320"/>
      <c r="Y1" s="314">
        <v>45656</v>
      </c>
    </row>
    <row r="2" spans="1:26" s="1" customFormat="1" ht="15.75" customHeight="1" thickBot="1" x14ac:dyDescent="0.3">
      <c r="A2" s="263" t="s">
        <v>104</v>
      </c>
      <c r="B2" s="254" t="s">
        <v>0</v>
      </c>
      <c r="C2" s="28"/>
      <c r="D2" s="29"/>
      <c r="E2" s="29"/>
      <c r="F2" s="14"/>
      <c r="G2" s="321" t="s">
        <v>1</v>
      </c>
      <c r="H2" s="322"/>
      <c r="I2" s="325">
        <v>46059</v>
      </c>
      <c r="J2" s="326"/>
      <c r="K2" s="327">
        <v>46066</v>
      </c>
      <c r="L2" s="328"/>
      <c r="M2" s="325">
        <v>46073</v>
      </c>
      <c r="N2" s="329"/>
      <c r="O2" s="327">
        <v>46080</v>
      </c>
      <c r="P2" s="346"/>
      <c r="Q2" s="325">
        <v>0</v>
      </c>
      <c r="R2" s="329"/>
      <c r="S2" s="330" t="s">
        <v>69</v>
      </c>
      <c r="T2" s="331"/>
      <c r="U2" s="334" t="s">
        <v>70</v>
      </c>
      <c r="V2" s="335"/>
      <c r="W2" s="385" t="s">
        <v>71</v>
      </c>
      <c r="X2" s="386"/>
      <c r="Y2" s="180"/>
      <c r="Z2" s="181"/>
    </row>
    <row r="3" spans="1:26" s="1" customFormat="1" ht="15.75" thickBot="1" x14ac:dyDescent="0.3">
      <c r="A3" s="263"/>
      <c r="B3" s="255"/>
      <c r="C3" s="30"/>
      <c r="D3" s="31"/>
      <c r="E3" s="31"/>
      <c r="F3" s="15"/>
      <c r="G3" s="323"/>
      <c r="H3" s="324"/>
      <c r="I3" s="342" t="s">
        <v>68</v>
      </c>
      <c r="J3" s="343"/>
      <c r="K3" s="344" t="s">
        <v>68</v>
      </c>
      <c r="L3" s="345"/>
      <c r="M3" s="342" t="s">
        <v>68</v>
      </c>
      <c r="N3" s="343"/>
      <c r="O3" s="344" t="s">
        <v>68</v>
      </c>
      <c r="P3" s="345"/>
      <c r="Q3" s="342" t="s">
        <v>68</v>
      </c>
      <c r="R3" s="343"/>
      <c r="S3" s="332"/>
      <c r="T3" s="333"/>
      <c r="U3" s="336"/>
      <c r="V3" s="337"/>
      <c r="W3" s="387"/>
      <c r="X3" s="388"/>
      <c r="Y3" s="248"/>
      <c r="Z3" s="249"/>
    </row>
    <row r="4" spans="1:26" ht="15.75" thickBot="1" x14ac:dyDescent="0.3">
      <c r="A4" s="263"/>
      <c r="B4" s="255" t="s">
        <v>105</v>
      </c>
      <c r="C4" s="16" t="s">
        <v>65</v>
      </c>
      <c r="D4" s="17" t="s">
        <v>66</v>
      </c>
      <c r="E4" s="17" t="s">
        <v>67</v>
      </c>
      <c r="F4" s="18" t="s">
        <v>64</v>
      </c>
      <c r="G4" s="323" t="s">
        <v>63</v>
      </c>
      <c r="H4" s="324"/>
      <c r="I4" s="353" t="s">
        <v>63</v>
      </c>
      <c r="J4" s="354"/>
      <c r="K4" s="355" t="s">
        <v>63</v>
      </c>
      <c r="L4" s="356"/>
      <c r="M4" s="353" t="s">
        <v>63</v>
      </c>
      <c r="N4" s="354"/>
      <c r="O4" s="355" t="s">
        <v>63</v>
      </c>
      <c r="P4" s="356"/>
      <c r="Q4" s="353" t="s">
        <v>63</v>
      </c>
      <c r="R4" s="354"/>
      <c r="S4" s="347" t="s">
        <v>63</v>
      </c>
      <c r="T4" s="348"/>
      <c r="U4" s="349" t="s">
        <v>63</v>
      </c>
      <c r="V4" s="350"/>
      <c r="W4" s="389" t="s">
        <v>63</v>
      </c>
      <c r="X4" s="390"/>
      <c r="Y4" s="268" t="s">
        <v>179</v>
      </c>
      <c r="Z4" s="269" t="s">
        <v>99</v>
      </c>
    </row>
    <row r="5" spans="1:26" x14ac:dyDescent="0.25">
      <c r="A5" s="263">
        <v>1</v>
      </c>
      <c r="B5" s="256" t="s">
        <v>134</v>
      </c>
      <c r="C5" s="32">
        <v>70</v>
      </c>
      <c r="D5" s="33">
        <v>64</v>
      </c>
      <c r="E5" s="33">
        <v>8</v>
      </c>
      <c r="F5" s="15">
        <f>(C5*D5*E5)/1000000</f>
        <v>3.5839999999999997E-2</v>
      </c>
      <c r="G5" s="286">
        <v>190</v>
      </c>
      <c r="H5" s="287">
        <f>F5*G5</f>
        <v>6.8095999999999997</v>
      </c>
      <c r="I5" s="290">
        <v>2</v>
      </c>
      <c r="J5" s="205">
        <f t="shared" ref="J5:R55" si="0">F5*I5</f>
        <v>7.1679999999999994E-2</v>
      </c>
      <c r="K5" s="290">
        <v>5</v>
      </c>
      <c r="L5" s="205">
        <f>F5*K5</f>
        <v>0.17919999999999997</v>
      </c>
      <c r="M5" s="290">
        <v>0</v>
      </c>
      <c r="N5" s="205">
        <f t="shared" ref="N5:N10" si="1">F5*M5</f>
        <v>0</v>
      </c>
      <c r="O5" s="290">
        <v>0</v>
      </c>
      <c r="P5" s="205">
        <f t="shared" ref="P5:P10" si="2">F5*O5</f>
        <v>0</v>
      </c>
      <c r="Q5" s="290">
        <v>0</v>
      </c>
      <c r="R5" s="205">
        <f t="shared" ref="R5:R11" si="3">F5*Q5</f>
        <v>0</v>
      </c>
      <c r="S5" s="39">
        <f>G5-I5-K5-M5-O5-Q5</f>
        <v>183</v>
      </c>
      <c r="T5" s="38">
        <f t="shared" ref="T5:T68" si="4">F5*S5</f>
        <v>6.5587199999999992</v>
      </c>
      <c r="U5" s="290">
        <v>0</v>
      </c>
      <c r="V5" s="13">
        <f>F5*U5</f>
        <v>0</v>
      </c>
      <c r="W5" s="294">
        <f>S5+U5</f>
        <v>183</v>
      </c>
      <c r="X5" s="295">
        <f>F5*W5</f>
        <v>6.5587199999999992</v>
      </c>
      <c r="Y5" s="266">
        <v>150</v>
      </c>
      <c r="Z5" s="267">
        <v>500</v>
      </c>
    </row>
    <row r="6" spans="1:26" x14ac:dyDescent="0.25">
      <c r="A6" s="264">
        <v>2</v>
      </c>
      <c r="B6" s="256" t="s">
        <v>135</v>
      </c>
      <c r="C6" s="34">
        <v>70</v>
      </c>
      <c r="D6" s="35">
        <v>80</v>
      </c>
      <c r="E6" s="35">
        <v>8</v>
      </c>
      <c r="F6" s="19">
        <f t="shared" ref="F6:F69" si="5">(C6*D6*E6)/1000000</f>
        <v>4.48E-2</v>
      </c>
      <c r="G6" s="286">
        <v>235</v>
      </c>
      <c r="H6" s="288">
        <f t="shared" ref="H6:H69" si="6">F6*G6</f>
        <v>10.528</v>
      </c>
      <c r="I6" s="290">
        <v>8</v>
      </c>
      <c r="J6" s="205">
        <f t="shared" si="0"/>
        <v>0.3584</v>
      </c>
      <c r="K6" s="290">
        <v>8</v>
      </c>
      <c r="L6" s="205">
        <f>F6*K6</f>
        <v>0.3584</v>
      </c>
      <c r="M6" s="290">
        <v>4</v>
      </c>
      <c r="N6" s="205">
        <f t="shared" si="1"/>
        <v>0.1792</v>
      </c>
      <c r="O6" s="290">
        <v>0</v>
      </c>
      <c r="P6" s="205">
        <f t="shared" si="2"/>
        <v>0</v>
      </c>
      <c r="Q6" s="290">
        <v>0</v>
      </c>
      <c r="R6" s="205">
        <f t="shared" si="3"/>
        <v>0</v>
      </c>
      <c r="S6" s="39">
        <f t="shared" ref="S6:S69" si="7">G6-I6-K6-M6-O6-Q6</f>
        <v>215</v>
      </c>
      <c r="T6" s="38">
        <f t="shared" si="4"/>
        <v>9.6319999999999997</v>
      </c>
      <c r="U6" s="290">
        <v>0</v>
      </c>
      <c r="V6" s="13">
        <f t="shared" ref="V6:V69" si="8">F6*U6</f>
        <v>0</v>
      </c>
      <c r="W6" s="294">
        <f t="shared" ref="W6:W69" si="9">S6+U6</f>
        <v>215</v>
      </c>
      <c r="X6" s="295">
        <f t="shared" ref="X6:X69" si="10">F6*W6</f>
        <v>9.6319999999999997</v>
      </c>
      <c r="Y6" s="238">
        <v>100</v>
      </c>
      <c r="Z6" s="101">
        <v>300</v>
      </c>
    </row>
    <row r="7" spans="1:26" x14ac:dyDescent="0.25">
      <c r="A7" s="264">
        <v>3</v>
      </c>
      <c r="B7" s="256" t="s">
        <v>136</v>
      </c>
      <c r="C7" s="34">
        <v>70</v>
      </c>
      <c r="D7" s="35">
        <v>74</v>
      </c>
      <c r="E7" s="35">
        <v>8</v>
      </c>
      <c r="F7" s="19">
        <f t="shared" si="5"/>
        <v>4.1439999999999998E-2</v>
      </c>
      <c r="G7" s="286">
        <v>209</v>
      </c>
      <c r="H7" s="288">
        <f t="shared" si="6"/>
        <v>8.6609599999999993</v>
      </c>
      <c r="I7" s="290">
        <v>4</v>
      </c>
      <c r="J7" s="205">
        <f t="shared" si="0"/>
        <v>0.16575999999999999</v>
      </c>
      <c r="K7" s="290">
        <v>4</v>
      </c>
      <c r="L7" s="205">
        <f>F7*K7</f>
        <v>0.16575999999999999</v>
      </c>
      <c r="M7" s="290">
        <v>0</v>
      </c>
      <c r="N7" s="205">
        <f t="shared" si="1"/>
        <v>0</v>
      </c>
      <c r="O7" s="290">
        <v>0</v>
      </c>
      <c r="P7" s="205">
        <f t="shared" si="2"/>
        <v>0</v>
      </c>
      <c r="Q7" s="290">
        <v>0</v>
      </c>
      <c r="R7" s="205">
        <f t="shared" si="3"/>
        <v>0</v>
      </c>
      <c r="S7" s="39">
        <f t="shared" si="7"/>
        <v>201</v>
      </c>
      <c r="T7" s="38">
        <f t="shared" si="4"/>
        <v>8.32944</v>
      </c>
      <c r="U7" s="290">
        <v>0</v>
      </c>
      <c r="V7" s="13">
        <f t="shared" si="8"/>
        <v>0</v>
      </c>
      <c r="W7" s="294">
        <f t="shared" si="9"/>
        <v>201</v>
      </c>
      <c r="X7" s="295">
        <f t="shared" si="10"/>
        <v>8.32944</v>
      </c>
      <c r="Y7" s="238">
        <v>250</v>
      </c>
      <c r="Z7" s="101">
        <v>750</v>
      </c>
    </row>
    <row r="8" spans="1:26" x14ac:dyDescent="0.25">
      <c r="A8" s="264">
        <v>4</v>
      </c>
      <c r="B8" s="256" t="s">
        <v>208</v>
      </c>
      <c r="C8" s="34">
        <v>70</v>
      </c>
      <c r="D8" s="35">
        <v>88</v>
      </c>
      <c r="E8" s="35">
        <v>8</v>
      </c>
      <c r="F8" s="19">
        <f t="shared" si="5"/>
        <v>4.9279999999999997E-2</v>
      </c>
      <c r="G8" s="286">
        <v>247</v>
      </c>
      <c r="H8" s="288">
        <f t="shared" si="6"/>
        <v>12.17216</v>
      </c>
      <c r="I8" s="290">
        <v>8</v>
      </c>
      <c r="J8" s="205">
        <f t="shared" si="0"/>
        <v>0.39423999999999998</v>
      </c>
      <c r="K8" s="290">
        <v>0</v>
      </c>
      <c r="L8" s="205">
        <f>F8*K8</f>
        <v>0</v>
      </c>
      <c r="M8" s="290">
        <v>4</v>
      </c>
      <c r="N8" s="205">
        <f t="shared" si="1"/>
        <v>0.19711999999999999</v>
      </c>
      <c r="O8" s="290">
        <v>0</v>
      </c>
      <c r="P8" s="205">
        <f t="shared" si="2"/>
        <v>0</v>
      </c>
      <c r="Q8" s="290">
        <v>0</v>
      </c>
      <c r="R8" s="205">
        <f t="shared" si="3"/>
        <v>0</v>
      </c>
      <c r="S8" s="39">
        <f t="shared" si="7"/>
        <v>235</v>
      </c>
      <c r="T8" s="38">
        <f t="shared" si="4"/>
        <v>11.5808</v>
      </c>
      <c r="U8" s="290">
        <v>0</v>
      </c>
      <c r="V8" s="13">
        <f t="shared" si="8"/>
        <v>0</v>
      </c>
      <c r="W8" s="294">
        <f t="shared" si="9"/>
        <v>235</v>
      </c>
      <c r="X8" s="295">
        <f t="shared" si="10"/>
        <v>11.5808</v>
      </c>
      <c r="Y8" s="238">
        <v>20</v>
      </c>
      <c r="Z8" s="101">
        <v>50</v>
      </c>
    </row>
    <row r="9" spans="1:26" x14ac:dyDescent="0.25">
      <c r="A9" s="264">
        <v>5</v>
      </c>
      <c r="B9" s="256" t="s">
        <v>138</v>
      </c>
      <c r="C9" s="34">
        <v>140</v>
      </c>
      <c r="D9" s="35">
        <v>240</v>
      </c>
      <c r="E9" s="35">
        <v>5</v>
      </c>
      <c r="F9" s="19">
        <f t="shared" si="5"/>
        <v>0.16800000000000001</v>
      </c>
      <c r="G9" s="286">
        <v>91</v>
      </c>
      <c r="H9" s="288">
        <f t="shared" si="6"/>
        <v>15.288</v>
      </c>
      <c r="I9" s="290">
        <v>10</v>
      </c>
      <c r="J9" s="205">
        <f t="shared" si="0"/>
        <v>1.6800000000000002</v>
      </c>
      <c r="K9" s="290">
        <v>11</v>
      </c>
      <c r="L9" s="205">
        <f>F9*K9</f>
        <v>1.8480000000000001</v>
      </c>
      <c r="M9" s="290">
        <v>14</v>
      </c>
      <c r="N9" s="205">
        <f t="shared" si="1"/>
        <v>2.3520000000000003</v>
      </c>
      <c r="O9" s="290">
        <v>0</v>
      </c>
      <c r="P9" s="205">
        <f t="shared" si="2"/>
        <v>0</v>
      </c>
      <c r="Q9" s="290">
        <v>0</v>
      </c>
      <c r="R9" s="205">
        <f t="shared" si="3"/>
        <v>0</v>
      </c>
      <c r="S9" s="39">
        <f t="shared" si="7"/>
        <v>56</v>
      </c>
      <c r="T9" s="38">
        <f t="shared" si="4"/>
        <v>9.4080000000000013</v>
      </c>
      <c r="U9" s="290">
        <v>107</v>
      </c>
      <c r="V9" s="13">
        <f t="shared" si="8"/>
        <v>17.976000000000003</v>
      </c>
      <c r="W9" s="294">
        <f t="shared" si="9"/>
        <v>163</v>
      </c>
      <c r="X9" s="295">
        <f t="shared" si="10"/>
        <v>27.384</v>
      </c>
      <c r="Y9" s="238">
        <v>100</v>
      </c>
      <c r="Z9" s="101">
        <v>250</v>
      </c>
    </row>
    <row r="10" spans="1:26" x14ac:dyDescent="0.25">
      <c r="A10" s="264">
        <v>6</v>
      </c>
      <c r="B10" s="256" t="s">
        <v>211</v>
      </c>
      <c r="C10" s="34">
        <v>143</v>
      </c>
      <c r="D10" s="35">
        <v>68</v>
      </c>
      <c r="E10" s="35">
        <v>5</v>
      </c>
      <c r="F10" s="19">
        <f t="shared" si="5"/>
        <v>4.8619999999999997E-2</v>
      </c>
      <c r="G10" s="286">
        <v>135</v>
      </c>
      <c r="H10" s="288">
        <f t="shared" si="6"/>
        <v>6.5636999999999999</v>
      </c>
      <c r="I10" s="290">
        <v>12</v>
      </c>
      <c r="J10" s="205">
        <f t="shared" si="0"/>
        <v>0.58343999999999996</v>
      </c>
      <c r="K10" s="290">
        <v>0</v>
      </c>
      <c r="L10" s="205">
        <f t="shared" ref="L10" si="11">F10*K10</f>
        <v>0</v>
      </c>
      <c r="M10" s="290">
        <v>0</v>
      </c>
      <c r="N10" s="205">
        <f t="shared" si="1"/>
        <v>0</v>
      </c>
      <c r="O10" s="290">
        <v>0</v>
      </c>
      <c r="P10" s="205">
        <f t="shared" si="2"/>
        <v>0</v>
      </c>
      <c r="Q10" s="290">
        <v>0</v>
      </c>
      <c r="R10" s="205">
        <f t="shared" si="3"/>
        <v>0</v>
      </c>
      <c r="S10" s="39">
        <f t="shared" si="7"/>
        <v>123</v>
      </c>
      <c r="T10" s="38">
        <f t="shared" si="4"/>
        <v>5.9802599999999995</v>
      </c>
      <c r="U10" s="290">
        <v>0</v>
      </c>
      <c r="V10" s="13">
        <f t="shared" si="8"/>
        <v>0</v>
      </c>
      <c r="W10" s="294">
        <f t="shared" si="9"/>
        <v>123</v>
      </c>
      <c r="X10" s="295">
        <f t="shared" si="10"/>
        <v>5.9802599999999995</v>
      </c>
      <c r="Y10" s="238">
        <v>100</v>
      </c>
      <c r="Z10" s="101">
        <v>250</v>
      </c>
    </row>
    <row r="11" spans="1:26" x14ac:dyDescent="0.25">
      <c r="A11" s="264">
        <v>7</v>
      </c>
      <c r="B11" s="256" t="s">
        <v>207</v>
      </c>
      <c r="C11" s="34">
        <v>140</v>
      </c>
      <c r="D11" s="35">
        <v>240</v>
      </c>
      <c r="E11" s="35">
        <v>8</v>
      </c>
      <c r="F11" s="19">
        <f t="shared" si="5"/>
        <v>0.26879999999999998</v>
      </c>
      <c r="G11" s="286">
        <v>38</v>
      </c>
      <c r="H11" s="288">
        <f t="shared" si="6"/>
        <v>10.214399999999999</v>
      </c>
      <c r="I11" s="290">
        <v>0</v>
      </c>
      <c r="J11" s="205">
        <f t="shared" si="0"/>
        <v>0</v>
      </c>
      <c r="K11" s="290">
        <v>0</v>
      </c>
      <c r="L11" s="205">
        <f>F11*K11</f>
        <v>0</v>
      </c>
      <c r="M11" s="290">
        <v>0</v>
      </c>
      <c r="N11" s="21">
        <v>0</v>
      </c>
      <c r="O11" s="290">
        <v>0</v>
      </c>
      <c r="P11" s="21">
        <v>0</v>
      </c>
      <c r="Q11" s="290">
        <v>0</v>
      </c>
      <c r="R11" s="205">
        <f t="shared" si="3"/>
        <v>0</v>
      </c>
      <c r="S11" s="39">
        <f t="shared" si="7"/>
        <v>38</v>
      </c>
      <c r="T11" s="38">
        <f t="shared" si="4"/>
        <v>10.214399999999999</v>
      </c>
      <c r="U11" s="290">
        <v>0</v>
      </c>
      <c r="V11" s="13">
        <f t="shared" si="8"/>
        <v>0</v>
      </c>
      <c r="W11" s="294">
        <f t="shared" si="9"/>
        <v>38</v>
      </c>
      <c r="X11" s="295">
        <f t="shared" si="10"/>
        <v>10.214399999999999</v>
      </c>
      <c r="Y11" s="238">
        <v>30</v>
      </c>
      <c r="Z11" s="101">
        <v>75</v>
      </c>
    </row>
    <row r="12" spans="1:26" x14ac:dyDescent="0.25">
      <c r="A12" s="264">
        <v>8</v>
      </c>
      <c r="B12" s="256" t="s">
        <v>217</v>
      </c>
      <c r="C12" s="34">
        <v>75</v>
      </c>
      <c r="D12" s="35">
        <v>54</v>
      </c>
      <c r="E12" s="35">
        <v>5</v>
      </c>
      <c r="F12" s="19">
        <f t="shared" si="5"/>
        <v>2.0250000000000001E-2</v>
      </c>
      <c r="G12" s="286">
        <v>641</v>
      </c>
      <c r="H12" s="288">
        <f t="shared" si="6"/>
        <v>12.98025</v>
      </c>
      <c r="I12" s="290">
        <v>8</v>
      </c>
      <c r="J12" s="205">
        <f t="shared" si="0"/>
        <v>0.16200000000000001</v>
      </c>
      <c r="K12" s="290">
        <v>4</v>
      </c>
      <c r="L12" s="205">
        <f>F12*K12</f>
        <v>8.1000000000000003E-2</v>
      </c>
      <c r="M12" s="290">
        <v>10</v>
      </c>
      <c r="N12" s="205">
        <f>F12*M12</f>
        <v>0.20250000000000001</v>
      </c>
      <c r="O12" s="290">
        <v>0</v>
      </c>
      <c r="P12" s="205">
        <f>F12*O12</f>
        <v>0</v>
      </c>
      <c r="Q12" s="290">
        <v>0</v>
      </c>
      <c r="R12" s="21">
        <v>0</v>
      </c>
      <c r="S12" s="39">
        <f t="shared" si="7"/>
        <v>619</v>
      </c>
      <c r="T12" s="38">
        <f t="shared" si="4"/>
        <v>12.534750000000001</v>
      </c>
      <c r="U12" s="290">
        <v>0</v>
      </c>
      <c r="V12" s="13">
        <f t="shared" si="8"/>
        <v>0</v>
      </c>
      <c r="W12" s="294">
        <f t="shared" si="9"/>
        <v>619</v>
      </c>
      <c r="X12" s="295">
        <f t="shared" si="10"/>
        <v>12.534750000000001</v>
      </c>
      <c r="Y12" s="238">
        <v>100</v>
      </c>
      <c r="Z12" s="101">
        <v>300</v>
      </c>
    </row>
    <row r="13" spans="1:26" x14ac:dyDescent="0.25">
      <c r="A13" s="264">
        <v>9</v>
      </c>
      <c r="B13" s="256" t="s">
        <v>142</v>
      </c>
      <c r="C13" s="34">
        <v>140</v>
      </c>
      <c r="D13" s="35">
        <v>240</v>
      </c>
      <c r="E13" s="35">
        <v>5</v>
      </c>
      <c r="F13" s="19">
        <f t="shared" si="5"/>
        <v>0.16800000000000001</v>
      </c>
      <c r="G13" s="286">
        <v>133</v>
      </c>
      <c r="H13" s="288">
        <f t="shared" si="6"/>
        <v>22.344000000000001</v>
      </c>
      <c r="I13" s="290">
        <v>7</v>
      </c>
      <c r="J13" s="205">
        <f t="shared" si="0"/>
        <v>1.1760000000000002</v>
      </c>
      <c r="K13" s="290">
        <v>2</v>
      </c>
      <c r="L13" s="205">
        <f>F13*K13</f>
        <v>0.33600000000000002</v>
      </c>
      <c r="M13" s="290">
        <v>0</v>
      </c>
      <c r="N13" s="205">
        <f>F13*M13</f>
        <v>0</v>
      </c>
      <c r="O13" s="290">
        <v>0</v>
      </c>
      <c r="P13" s="205">
        <f>F13*O13</f>
        <v>0</v>
      </c>
      <c r="Q13" s="290">
        <v>0</v>
      </c>
      <c r="R13" s="205">
        <f>F13*Q13</f>
        <v>0</v>
      </c>
      <c r="S13" s="39">
        <f t="shared" si="7"/>
        <v>124</v>
      </c>
      <c r="T13" s="38">
        <f t="shared" si="4"/>
        <v>20.832000000000001</v>
      </c>
      <c r="U13" s="290">
        <v>0</v>
      </c>
      <c r="V13" s="13">
        <f t="shared" si="8"/>
        <v>0</v>
      </c>
      <c r="W13" s="294">
        <f t="shared" si="9"/>
        <v>124</v>
      </c>
      <c r="X13" s="295">
        <f t="shared" si="10"/>
        <v>20.832000000000001</v>
      </c>
      <c r="Y13" s="238">
        <v>100</v>
      </c>
      <c r="Z13" s="101">
        <v>300</v>
      </c>
    </row>
    <row r="14" spans="1:26" x14ac:dyDescent="0.25">
      <c r="A14" s="264">
        <v>10</v>
      </c>
      <c r="B14" s="256" t="s">
        <v>215</v>
      </c>
      <c r="C14" s="34">
        <v>90</v>
      </c>
      <c r="D14" s="35">
        <v>85</v>
      </c>
      <c r="E14" s="35">
        <v>5</v>
      </c>
      <c r="F14" s="19">
        <f t="shared" si="5"/>
        <v>3.8249999999999999E-2</v>
      </c>
      <c r="G14" s="286">
        <v>150</v>
      </c>
      <c r="H14" s="288">
        <f t="shared" si="6"/>
        <v>5.7374999999999998</v>
      </c>
      <c r="I14" s="290">
        <v>0</v>
      </c>
      <c r="J14" s="205">
        <f t="shared" si="0"/>
        <v>0</v>
      </c>
      <c r="K14" s="290">
        <v>0</v>
      </c>
      <c r="L14" s="205">
        <f t="shared" ref="L14:L20" si="12">F14*K14</f>
        <v>0</v>
      </c>
      <c r="M14" s="290">
        <v>0</v>
      </c>
      <c r="N14" s="205">
        <f>F14*M14</f>
        <v>0</v>
      </c>
      <c r="O14" s="290">
        <v>0</v>
      </c>
      <c r="P14" s="205">
        <f t="shared" si="0"/>
        <v>0</v>
      </c>
      <c r="Q14" s="290">
        <v>0</v>
      </c>
      <c r="R14" s="205">
        <f t="shared" si="0"/>
        <v>0</v>
      </c>
      <c r="S14" s="39">
        <f t="shared" si="7"/>
        <v>150</v>
      </c>
      <c r="T14" s="38">
        <f t="shared" si="4"/>
        <v>5.7374999999999998</v>
      </c>
      <c r="U14" s="290">
        <v>0</v>
      </c>
      <c r="V14" s="13">
        <f t="shared" si="8"/>
        <v>0</v>
      </c>
      <c r="W14" s="294">
        <f t="shared" si="9"/>
        <v>150</v>
      </c>
      <c r="X14" s="295">
        <f t="shared" si="10"/>
        <v>5.7374999999999998</v>
      </c>
      <c r="Y14" s="238">
        <v>100</v>
      </c>
      <c r="Z14" s="101">
        <v>300</v>
      </c>
    </row>
    <row r="15" spans="1:26" x14ac:dyDescent="0.25">
      <c r="A15" s="264">
        <v>11</v>
      </c>
      <c r="B15" s="256" t="s">
        <v>144</v>
      </c>
      <c r="C15" s="34">
        <v>140</v>
      </c>
      <c r="D15" s="35">
        <v>240</v>
      </c>
      <c r="E15" s="35">
        <v>5</v>
      </c>
      <c r="F15" s="19">
        <f t="shared" si="5"/>
        <v>0.16800000000000001</v>
      </c>
      <c r="G15" s="286">
        <v>265</v>
      </c>
      <c r="H15" s="288">
        <f t="shared" si="6"/>
        <v>44.52</v>
      </c>
      <c r="I15" s="290">
        <v>5</v>
      </c>
      <c r="J15" s="205">
        <f t="shared" si="0"/>
        <v>0.84000000000000008</v>
      </c>
      <c r="K15" s="290">
        <v>2</v>
      </c>
      <c r="L15" s="205">
        <f t="shared" si="12"/>
        <v>0.33600000000000002</v>
      </c>
      <c r="M15" s="290">
        <v>0</v>
      </c>
      <c r="N15" s="205">
        <f t="shared" ref="N15:N37" si="13">F15*M15</f>
        <v>0</v>
      </c>
      <c r="O15" s="290">
        <v>0</v>
      </c>
      <c r="P15" s="205">
        <f t="shared" ref="P15:P36" si="14">F15*O15</f>
        <v>0</v>
      </c>
      <c r="Q15" s="290">
        <v>0</v>
      </c>
      <c r="R15" s="205">
        <f t="shared" ref="R15:R20" si="15">F15*Q15</f>
        <v>0</v>
      </c>
      <c r="S15" s="39">
        <f t="shared" si="7"/>
        <v>258</v>
      </c>
      <c r="T15" s="38">
        <f t="shared" si="4"/>
        <v>43.344000000000001</v>
      </c>
      <c r="U15" s="290">
        <v>0</v>
      </c>
      <c r="V15" s="13">
        <f t="shared" si="8"/>
        <v>0</v>
      </c>
      <c r="W15" s="294">
        <f t="shared" si="9"/>
        <v>258</v>
      </c>
      <c r="X15" s="295">
        <f t="shared" si="10"/>
        <v>43.344000000000001</v>
      </c>
      <c r="Y15" s="238">
        <v>200</v>
      </c>
      <c r="Z15" s="101">
        <v>400</v>
      </c>
    </row>
    <row r="16" spans="1:26" x14ac:dyDescent="0.25">
      <c r="A16" s="264">
        <v>12</v>
      </c>
      <c r="B16" s="256" t="s">
        <v>145</v>
      </c>
      <c r="C16" s="34">
        <v>140</v>
      </c>
      <c r="D16" s="35">
        <v>240</v>
      </c>
      <c r="E16" s="35">
        <v>5</v>
      </c>
      <c r="F16" s="19">
        <f t="shared" si="5"/>
        <v>0.16800000000000001</v>
      </c>
      <c r="G16" s="286">
        <v>180</v>
      </c>
      <c r="H16" s="288">
        <f t="shared" si="6"/>
        <v>30.240000000000002</v>
      </c>
      <c r="I16" s="290">
        <v>20</v>
      </c>
      <c r="J16" s="205">
        <f t="shared" si="0"/>
        <v>3.3600000000000003</v>
      </c>
      <c r="K16" s="290">
        <v>7</v>
      </c>
      <c r="L16" s="205">
        <f t="shared" si="12"/>
        <v>1.1760000000000002</v>
      </c>
      <c r="M16" s="290">
        <v>6</v>
      </c>
      <c r="N16" s="205">
        <f t="shared" si="13"/>
        <v>1.008</v>
      </c>
      <c r="O16" s="290">
        <v>0</v>
      </c>
      <c r="P16" s="205">
        <f t="shared" si="14"/>
        <v>0</v>
      </c>
      <c r="Q16" s="290">
        <v>0</v>
      </c>
      <c r="R16" s="205">
        <f t="shared" si="15"/>
        <v>0</v>
      </c>
      <c r="S16" s="39">
        <f t="shared" si="7"/>
        <v>147</v>
      </c>
      <c r="T16" s="38">
        <f t="shared" si="4"/>
        <v>24.696000000000002</v>
      </c>
      <c r="U16" s="290">
        <v>0</v>
      </c>
      <c r="V16" s="13">
        <f t="shared" si="8"/>
        <v>0</v>
      </c>
      <c r="W16" s="294">
        <f t="shared" si="9"/>
        <v>147</v>
      </c>
      <c r="X16" s="295">
        <f t="shared" si="10"/>
        <v>24.696000000000002</v>
      </c>
      <c r="Y16" s="238">
        <v>100</v>
      </c>
      <c r="Z16" s="101">
        <v>300</v>
      </c>
    </row>
    <row r="17" spans="1:26" x14ac:dyDescent="0.25">
      <c r="A17" s="264">
        <v>13</v>
      </c>
      <c r="B17" s="256" t="s">
        <v>146</v>
      </c>
      <c r="C17" s="34">
        <v>140</v>
      </c>
      <c r="D17" s="35">
        <v>240</v>
      </c>
      <c r="E17" s="35">
        <v>8</v>
      </c>
      <c r="F17" s="19">
        <f t="shared" si="5"/>
        <v>0.26879999999999998</v>
      </c>
      <c r="G17" s="286">
        <v>74</v>
      </c>
      <c r="H17" s="288">
        <f t="shared" si="6"/>
        <v>19.891199999999998</v>
      </c>
      <c r="I17" s="290">
        <v>0</v>
      </c>
      <c r="J17" s="205">
        <f t="shared" si="0"/>
        <v>0</v>
      </c>
      <c r="K17" s="290">
        <v>0</v>
      </c>
      <c r="L17" s="205">
        <f t="shared" si="12"/>
        <v>0</v>
      </c>
      <c r="M17" s="290">
        <v>0</v>
      </c>
      <c r="N17" s="205">
        <f t="shared" si="13"/>
        <v>0</v>
      </c>
      <c r="O17" s="290">
        <v>0</v>
      </c>
      <c r="P17" s="205">
        <f t="shared" si="14"/>
        <v>0</v>
      </c>
      <c r="Q17" s="290">
        <v>0</v>
      </c>
      <c r="R17" s="205">
        <f t="shared" si="15"/>
        <v>0</v>
      </c>
      <c r="S17" s="39">
        <f t="shared" si="7"/>
        <v>74</v>
      </c>
      <c r="T17" s="38">
        <f t="shared" si="4"/>
        <v>19.891199999999998</v>
      </c>
      <c r="U17" s="290">
        <v>0</v>
      </c>
      <c r="V17" s="13">
        <f t="shared" si="8"/>
        <v>0</v>
      </c>
      <c r="W17" s="294">
        <f t="shared" si="9"/>
        <v>74</v>
      </c>
      <c r="X17" s="295">
        <f t="shared" si="10"/>
        <v>19.891199999999998</v>
      </c>
      <c r="Y17" s="238">
        <v>50</v>
      </c>
      <c r="Z17" s="101">
        <v>150</v>
      </c>
    </row>
    <row r="18" spans="1:26" x14ac:dyDescent="0.25">
      <c r="A18" s="264">
        <v>14</v>
      </c>
      <c r="B18" s="256" t="s">
        <v>147</v>
      </c>
      <c r="C18" s="34">
        <v>77</v>
      </c>
      <c r="D18" s="35">
        <v>86</v>
      </c>
      <c r="E18" s="35">
        <v>8</v>
      </c>
      <c r="F18" s="19">
        <f t="shared" si="5"/>
        <v>5.2976000000000002E-2</v>
      </c>
      <c r="G18" s="286">
        <v>675</v>
      </c>
      <c r="H18" s="288">
        <f t="shared" si="6"/>
        <v>35.758800000000001</v>
      </c>
      <c r="I18" s="290">
        <v>8</v>
      </c>
      <c r="J18" s="205">
        <f t="shared" si="0"/>
        <v>0.42380800000000002</v>
      </c>
      <c r="K18" s="290">
        <v>16</v>
      </c>
      <c r="L18" s="205">
        <f t="shared" si="12"/>
        <v>0.84761600000000004</v>
      </c>
      <c r="M18" s="290">
        <v>8</v>
      </c>
      <c r="N18" s="205">
        <f t="shared" si="13"/>
        <v>0.42380800000000002</v>
      </c>
      <c r="O18" s="290">
        <v>0</v>
      </c>
      <c r="P18" s="205">
        <f t="shared" si="14"/>
        <v>0</v>
      </c>
      <c r="Q18" s="290">
        <v>0</v>
      </c>
      <c r="R18" s="205">
        <f t="shared" si="15"/>
        <v>0</v>
      </c>
      <c r="S18" s="39">
        <f t="shared" si="7"/>
        <v>643</v>
      </c>
      <c r="T18" s="38">
        <f t="shared" si="4"/>
        <v>34.063568000000004</v>
      </c>
      <c r="U18" s="290">
        <v>0</v>
      </c>
      <c r="V18" s="13">
        <f t="shared" si="8"/>
        <v>0</v>
      </c>
      <c r="W18" s="294">
        <f t="shared" si="9"/>
        <v>643</v>
      </c>
      <c r="X18" s="295">
        <f t="shared" si="10"/>
        <v>34.063568000000004</v>
      </c>
      <c r="Y18" s="238">
        <v>100</v>
      </c>
      <c r="Z18" s="101">
        <v>300</v>
      </c>
    </row>
    <row r="19" spans="1:26" x14ac:dyDescent="0.25">
      <c r="A19" s="264">
        <v>15</v>
      </c>
      <c r="B19" s="256" t="s">
        <v>148</v>
      </c>
      <c r="C19" s="34">
        <v>77</v>
      </c>
      <c r="D19" s="35">
        <v>68</v>
      </c>
      <c r="E19" s="35">
        <v>8</v>
      </c>
      <c r="F19" s="19">
        <f t="shared" si="5"/>
        <v>4.1888000000000002E-2</v>
      </c>
      <c r="G19" s="286">
        <v>313</v>
      </c>
      <c r="H19" s="288">
        <f t="shared" si="6"/>
        <v>13.110944</v>
      </c>
      <c r="I19" s="290">
        <v>8</v>
      </c>
      <c r="J19" s="205">
        <f t="shared" si="0"/>
        <v>0.33510400000000001</v>
      </c>
      <c r="K19" s="290">
        <v>4</v>
      </c>
      <c r="L19" s="205">
        <f t="shared" si="12"/>
        <v>0.16755200000000001</v>
      </c>
      <c r="M19" s="290">
        <v>0</v>
      </c>
      <c r="N19" s="205">
        <f t="shared" si="13"/>
        <v>0</v>
      </c>
      <c r="O19" s="290">
        <v>0</v>
      </c>
      <c r="P19" s="205">
        <f t="shared" si="14"/>
        <v>0</v>
      </c>
      <c r="Q19" s="290">
        <v>0</v>
      </c>
      <c r="R19" s="205">
        <f t="shared" si="15"/>
        <v>0</v>
      </c>
      <c r="S19" s="39">
        <f t="shared" si="7"/>
        <v>301</v>
      </c>
      <c r="T19" s="38">
        <f t="shared" si="4"/>
        <v>12.608288</v>
      </c>
      <c r="U19" s="290">
        <v>0</v>
      </c>
      <c r="V19" s="13">
        <f t="shared" si="8"/>
        <v>0</v>
      </c>
      <c r="W19" s="294">
        <f t="shared" si="9"/>
        <v>301</v>
      </c>
      <c r="X19" s="295">
        <f t="shared" si="10"/>
        <v>12.608288</v>
      </c>
      <c r="Y19" s="238">
        <v>100</v>
      </c>
      <c r="Z19" s="101">
        <v>300</v>
      </c>
    </row>
    <row r="20" spans="1:26" x14ac:dyDescent="0.25">
      <c r="A20" s="264">
        <v>16</v>
      </c>
      <c r="B20" s="256" t="s">
        <v>149</v>
      </c>
      <c r="C20" s="34">
        <v>76</v>
      </c>
      <c r="D20" s="35">
        <v>75</v>
      </c>
      <c r="E20" s="35">
        <v>8</v>
      </c>
      <c r="F20" s="19">
        <f t="shared" si="5"/>
        <v>4.5600000000000002E-2</v>
      </c>
      <c r="G20" s="286">
        <v>1204</v>
      </c>
      <c r="H20" s="288">
        <f t="shared" si="6"/>
        <v>54.9024</v>
      </c>
      <c r="I20" s="290">
        <v>4</v>
      </c>
      <c r="J20" s="205">
        <f t="shared" si="0"/>
        <v>0.18240000000000001</v>
      </c>
      <c r="K20" s="290">
        <v>14</v>
      </c>
      <c r="L20" s="205">
        <f t="shared" si="12"/>
        <v>0.63840000000000008</v>
      </c>
      <c r="M20" s="290">
        <v>0</v>
      </c>
      <c r="N20" s="205">
        <f t="shared" si="13"/>
        <v>0</v>
      </c>
      <c r="O20" s="290">
        <v>0</v>
      </c>
      <c r="P20" s="205">
        <f t="shared" si="14"/>
        <v>0</v>
      </c>
      <c r="Q20" s="290">
        <v>0</v>
      </c>
      <c r="R20" s="205">
        <f t="shared" si="15"/>
        <v>0</v>
      </c>
      <c r="S20" s="39">
        <f t="shared" si="7"/>
        <v>1186</v>
      </c>
      <c r="T20" s="38">
        <f t="shared" si="4"/>
        <v>54.081600000000002</v>
      </c>
      <c r="U20" s="290">
        <v>0</v>
      </c>
      <c r="V20" s="13">
        <f t="shared" si="8"/>
        <v>0</v>
      </c>
      <c r="W20" s="294">
        <f t="shared" si="9"/>
        <v>1186</v>
      </c>
      <c r="X20" s="295">
        <f t="shared" si="10"/>
        <v>54.081600000000002</v>
      </c>
      <c r="Y20" s="238">
        <v>100</v>
      </c>
      <c r="Z20" s="101">
        <v>300</v>
      </c>
    </row>
    <row r="21" spans="1:26" x14ac:dyDescent="0.25">
      <c r="A21" s="264">
        <v>17</v>
      </c>
      <c r="B21" s="256" t="s">
        <v>150</v>
      </c>
      <c r="C21" s="34">
        <v>60</v>
      </c>
      <c r="D21" s="35">
        <v>63</v>
      </c>
      <c r="E21" s="35">
        <v>10</v>
      </c>
      <c r="F21" s="19">
        <f t="shared" si="5"/>
        <v>3.78E-2</v>
      </c>
      <c r="G21" s="286">
        <v>395</v>
      </c>
      <c r="H21" s="288">
        <f t="shared" si="6"/>
        <v>14.931000000000001</v>
      </c>
      <c r="I21" s="290">
        <v>5</v>
      </c>
      <c r="J21" s="205">
        <f t="shared" si="0"/>
        <v>0.189</v>
      </c>
      <c r="K21" s="290">
        <v>0</v>
      </c>
      <c r="L21" s="205">
        <f t="shared" si="0"/>
        <v>0</v>
      </c>
      <c r="M21" s="290">
        <v>2</v>
      </c>
      <c r="N21" s="205">
        <f t="shared" si="13"/>
        <v>7.5600000000000001E-2</v>
      </c>
      <c r="O21" s="290">
        <v>0</v>
      </c>
      <c r="P21" s="205">
        <f t="shared" si="14"/>
        <v>0</v>
      </c>
      <c r="Q21" s="290">
        <v>0</v>
      </c>
      <c r="R21" s="21">
        <v>0</v>
      </c>
      <c r="S21" s="39">
        <f t="shared" si="7"/>
        <v>388</v>
      </c>
      <c r="T21" s="38">
        <f t="shared" si="4"/>
        <v>14.666399999999999</v>
      </c>
      <c r="U21" s="290">
        <v>0</v>
      </c>
      <c r="V21" s="13">
        <f t="shared" si="8"/>
        <v>0</v>
      </c>
      <c r="W21" s="294">
        <f t="shared" si="9"/>
        <v>388</v>
      </c>
      <c r="X21" s="295">
        <f t="shared" si="10"/>
        <v>14.666399999999999</v>
      </c>
      <c r="Y21" s="238">
        <v>50</v>
      </c>
      <c r="Z21" s="101">
        <v>200</v>
      </c>
    </row>
    <row r="22" spans="1:26" x14ac:dyDescent="0.25">
      <c r="A22" s="264">
        <v>18</v>
      </c>
      <c r="B22" s="256" t="s">
        <v>151</v>
      </c>
      <c r="C22" s="34">
        <v>63</v>
      </c>
      <c r="D22" s="35">
        <v>60</v>
      </c>
      <c r="E22" s="35">
        <v>3</v>
      </c>
      <c r="F22" s="19">
        <f t="shared" si="5"/>
        <v>1.1339999999999999E-2</v>
      </c>
      <c r="G22" s="286">
        <v>160</v>
      </c>
      <c r="H22" s="288">
        <f t="shared" si="6"/>
        <v>1.8144</v>
      </c>
      <c r="I22" s="290">
        <v>5</v>
      </c>
      <c r="J22" s="205">
        <f t="shared" si="0"/>
        <v>5.67E-2</v>
      </c>
      <c r="K22" s="290">
        <v>0</v>
      </c>
      <c r="L22" s="205">
        <f>F22*K22</f>
        <v>0</v>
      </c>
      <c r="M22" s="290">
        <v>1</v>
      </c>
      <c r="N22" s="205">
        <f t="shared" si="13"/>
        <v>1.1339999999999999E-2</v>
      </c>
      <c r="O22" s="290">
        <v>0</v>
      </c>
      <c r="P22" s="205">
        <f t="shared" si="14"/>
        <v>0</v>
      </c>
      <c r="Q22" s="290">
        <v>0</v>
      </c>
      <c r="R22" s="21">
        <v>0</v>
      </c>
      <c r="S22" s="39">
        <f t="shared" si="7"/>
        <v>154</v>
      </c>
      <c r="T22" s="38">
        <f t="shared" si="4"/>
        <v>1.7463599999999999</v>
      </c>
      <c r="U22" s="290">
        <v>0</v>
      </c>
      <c r="V22" s="13">
        <f t="shared" si="8"/>
        <v>0</v>
      </c>
      <c r="W22" s="294">
        <f t="shared" si="9"/>
        <v>154</v>
      </c>
      <c r="X22" s="295">
        <f t="shared" si="10"/>
        <v>1.7463599999999999</v>
      </c>
      <c r="Y22" s="238">
        <v>50</v>
      </c>
      <c r="Z22" s="101">
        <v>200</v>
      </c>
    </row>
    <row r="23" spans="1:26" x14ac:dyDescent="0.25">
      <c r="A23" s="264">
        <v>19</v>
      </c>
      <c r="B23" s="42" t="s">
        <v>152</v>
      </c>
      <c r="C23" s="34">
        <v>140</v>
      </c>
      <c r="D23" s="35">
        <v>240</v>
      </c>
      <c r="E23" s="35">
        <v>1.4</v>
      </c>
      <c r="F23" s="19">
        <f t="shared" si="5"/>
        <v>4.7039999999999998E-2</v>
      </c>
      <c r="G23" s="286">
        <v>360</v>
      </c>
      <c r="H23" s="288">
        <f t="shared" si="6"/>
        <v>16.9344</v>
      </c>
      <c r="I23" s="290">
        <v>41</v>
      </c>
      <c r="J23" s="205">
        <f t="shared" si="0"/>
        <v>1.9286399999999999</v>
      </c>
      <c r="K23" s="290">
        <v>56</v>
      </c>
      <c r="L23" s="205">
        <f t="shared" ref="L23:L36" si="16">F23*K23</f>
        <v>2.6342400000000001</v>
      </c>
      <c r="M23" s="290">
        <v>15</v>
      </c>
      <c r="N23" s="205">
        <f t="shared" si="13"/>
        <v>0.7056</v>
      </c>
      <c r="O23" s="290">
        <v>0</v>
      </c>
      <c r="P23" s="205">
        <f t="shared" si="14"/>
        <v>0</v>
      </c>
      <c r="Q23" s="290">
        <v>0</v>
      </c>
      <c r="R23" s="205">
        <f t="shared" ref="R23:R37" si="17">F23*Q23</f>
        <v>0</v>
      </c>
      <c r="S23" s="39">
        <f t="shared" si="7"/>
        <v>248</v>
      </c>
      <c r="T23" s="38">
        <f t="shared" si="4"/>
        <v>11.66592</v>
      </c>
      <c r="U23" s="290">
        <v>375</v>
      </c>
      <c r="V23" s="13">
        <f t="shared" si="8"/>
        <v>17.64</v>
      </c>
      <c r="W23" s="294">
        <f t="shared" si="9"/>
        <v>623</v>
      </c>
      <c r="X23" s="295">
        <f t="shared" si="10"/>
        <v>29.30592</v>
      </c>
      <c r="Y23" s="238">
        <v>200</v>
      </c>
      <c r="Z23" s="101">
        <v>500</v>
      </c>
    </row>
    <row r="24" spans="1:26" x14ac:dyDescent="0.25">
      <c r="A24" s="264">
        <v>20</v>
      </c>
      <c r="B24" s="256" t="s">
        <v>3</v>
      </c>
      <c r="C24" s="34">
        <v>140</v>
      </c>
      <c r="D24" s="35">
        <v>240</v>
      </c>
      <c r="E24" s="35">
        <v>0.8</v>
      </c>
      <c r="F24" s="19">
        <f t="shared" si="5"/>
        <v>2.6880000000000001E-2</v>
      </c>
      <c r="G24" s="286">
        <v>168</v>
      </c>
      <c r="H24" s="288">
        <f t="shared" si="6"/>
        <v>4.5158399999999999</v>
      </c>
      <c r="I24" s="290">
        <v>7</v>
      </c>
      <c r="J24" s="205">
        <f t="shared" si="0"/>
        <v>0.18815999999999999</v>
      </c>
      <c r="K24" s="290">
        <v>8</v>
      </c>
      <c r="L24" s="205">
        <f t="shared" si="16"/>
        <v>0.21504000000000001</v>
      </c>
      <c r="M24" s="290">
        <v>14</v>
      </c>
      <c r="N24" s="205">
        <f t="shared" si="13"/>
        <v>0.37631999999999999</v>
      </c>
      <c r="O24" s="290">
        <v>0</v>
      </c>
      <c r="P24" s="205">
        <f t="shared" si="14"/>
        <v>0</v>
      </c>
      <c r="Q24" s="290">
        <v>0</v>
      </c>
      <c r="R24" s="205">
        <f t="shared" si="17"/>
        <v>0</v>
      </c>
      <c r="S24" s="39">
        <f t="shared" si="7"/>
        <v>139</v>
      </c>
      <c r="T24" s="38">
        <f t="shared" si="4"/>
        <v>3.7363200000000001</v>
      </c>
      <c r="U24" s="290">
        <v>0</v>
      </c>
      <c r="V24" s="13">
        <f t="shared" si="8"/>
        <v>0</v>
      </c>
      <c r="W24" s="294">
        <f t="shared" si="9"/>
        <v>139</v>
      </c>
      <c r="X24" s="295">
        <f t="shared" si="10"/>
        <v>3.7363200000000001</v>
      </c>
      <c r="Y24" s="238">
        <v>100</v>
      </c>
      <c r="Z24" s="101">
        <v>300</v>
      </c>
    </row>
    <row r="25" spans="1:26" x14ac:dyDescent="0.25">
      <c r="A25" s="264">
        <v>21</v>
      </c>
      <c r="B25" s="256" t="s">
        <v>153</v>
      </c>
      <c r="C25" s="34">
        <v>58</v>
      </c>
      <c r="D25" s="35">
        <v>58</v>
      </c>
      <c r="E25" s="35">
        <v>2.2999999999999998</v>
      </c>
      <c r="F25" s="19">
        <f t="shared" si="5"/>
        <v>7.7371999999999996E-3</v>
      </c>
      <c r="G25" s="286">
        <v>155</v>
      </c>
      <c r="H25" s="288">
        <f t="shared" si="6"/>
        <v>1.1992659999999999</v>
      </c>
      <c r="I25" s="290">
        <v>26</v>
      </c>
      <c r="J25" s="205">
        <f t="shared" si="0"/>
        <v>0.20116719999999999</v>
      </c>
      <c r="K25" s="290">
        <v>110</v>
      </c>
      <c r="L25" s="205">
        <f t="shared" si="16"/>
        <v>0.85109199999999996</v>
      </c>
      <c r="M25" s="290">
        <v>8</v>
      </c>
      <c r="N25" s="205">
        <f t="shared" si="13"/>
        <v>6.1897599999999997E-2</v>
      </c>
      <c r="O25" s="290">
        <v>0</v>
      </c>
      <c r="P25" s="205">
        <f t="shared" si="14"/>
        <v>0</v>
      </c>
      <c r="Q25" s="290">
        <v>0</v>
      </c>
      <c r="R25" s="205">
        <f t="shared" si="17"/>
        <v>0</v>
      </c>
      <c r="S25" s="39">
        <f t="shared" si="7"/>
        <v>11</v>
      </c>
      <c r="T25" s="38">
        <f t="shared" si="4"/>
        <v>8.5109199999999996E-2</v>
      </c>
      <c r="U25" s="290">
        <v>0</v>
      </c>
      <c r="V25" s="13">
        <f t="shared" si="8"/>
        <v>0</v>
      </c>
      <c r="W25" s="294">
        <f t="shared" si="9"/>
        <v>11</v>
      </c>
      <c r="X25" s="295">
        <f t="shared" si="10"/>
        <v>8.5109199999999996E-2</v>
      </c>
      <c r="Y25" s="238">
        <v>200</v>
      </c>
      <c r="Z25" s="101">
        <v>750</v>
      </c>
    </row>
    <row r="26" spans="1:26" x14ac:dyDescent="0.25">
      <c r="A26" s="264">
        <v>22</v>
      </c>
      <c r="B26" s="256" t="s">
        <v>154</v>
      </c>
      <c r="C26" s="34">
        <v>140</v>
      </c>
      <c r="D26" s="35">
        <v>240</v>
      </c>
      <c r="E26" s="35">
        <v>7</v>
      </c>
      <c r="F26" s="19">
        <f t="shared" si="5"/>
        <v>0.23519999999999999</v>
      </c>
      <c r="G26" s="286">
        <v>70</v>
      </c>
      <c r="H26" s="288">
        <f t="shared" si="6"/>
        <v>16.463999999999999</v>
      </c>
      <c r="I26" s="290">
        <v>8</v>
      </c>
      <c r="J26" s="205">
        <f t="shared" si="0"/>
        <v>1.8815999999999999</v>
      </c>
      <c r="K26" s="290">
        <v>6</v>
      </c>
      <c r="L26" s="205">
        <f t="shared" si="16"/>
        <v>1.4112</v>
      </c>
      <c r="M26" s="290">
        <v>9</v>
      </c>
      <c r="N26" s="205">
        <f t="shared" si="13"/>
        <v>2.1168</v>
      </c>
      <c r="O26" s="290">
        <v>0</v>
      </c>
      <c r="P26" s="205">
        <f t="shared" si="14"/>
        <v>0</v>
      </c>
      <c r="Q26" s="290">
        <v>0</v>
      </c>
      <c r="R26" s="205">
        <f t="shared" si="17"/>
        <v>0</v>
      </c>
      <c r="S26" s="39">
        <f t="shared" si="7"/>
        <v>47</v>
      </c>
      <c r="T26" s="38">
        <f t="shared" si="4"/>
        <v>11.054399999999999</v>
      </c>
      <c r="U26" s="290">
        <v>50</v>
      </c>
      <c r="V26" s="13">
        <f t="shared" si="8"/>
        <v>11.76</v>
      </c>
      <c r="W26" s="294">
        <f t="shared" si="9"/>
        <v>97</v>
      </c>
      <c r="X26" s="295">
        <f t="shared" si="10"/>
        <v>22.814399999999999</v>
      </c>
      <c r="Y26" s="238">
        <v>50</v>
      </c>
      <c r="Z26" s="101">
        <v>200</v>
      </c>
    </row>
    <row r="27" spans="1:26" ht="15.75" x14ac:dyDescent="0.25">
      <c r="A27" s="264">
        <v>23</v>
      </c>
      <c r="B27" s="256" t="s">
        <v>55</v>
      </c>
      <c r="C27" s="111">
        <v>50</v>
      </c>
      <c r="D27" s="112">
        <v>45</v>
      </c>
      <c r="E27" s="112">
        <v>4</v>
      </c>
      <c r="F27" s="19">
        <f t="shared" si="5"/>
        <v>8.9999999999999993E-3</v>
      </c>
      <c r="G27" s="286">
        <v>1550</v>
      </c>
      <c r="H27" s="288">
        <f t="shared" si="6"/>
        <v>13.95</v>
      </c>
      <c r="I27" s="290">
        <v>0</v>
      </c>
      <c r="J27" s="205">
        <f t="shared" si="0"/>
        <v>0</v>
      </c>
      <c r="K27" s="290">
        <v>75</v>
      </c>
      <c r="L27" s="205">
        <f t="shared" si="16"/>
        <v>0.67499999999999993</v>
      </c>
      <c r="M27" s="290">
        <v>0</v>
      </c>
      <c r="N27" s="205">
        <f t="shared" si="13"/>
        <v>0</v>
      </c>
      <c r="O27" s="290">
        <v>0</v>
      </c>
      <c r="P27" s="205">
        <f t="shared" si="14"/>
        <v>0</v>
      </c>
      <c r="Q27" s="290">
        <v>0</v>
      </c>
      <c r="R27" s="205">
        <f t="shared" si="17"/>
        <v>0</v>
      </c>
      <c r="S27" s="39">
        <f t="shared" si="7"/>
        <v>1475</v>
      </c>
      <c r="T27" s="38">
        <f t="shared" si="4"/>
        <v>13.274999999999999</v>
      </c>
      <c r="U27" s="290">
        <v>0</v>
      </c>
      <c r="V27" s="13">
        <f t="shared" si="8"/>
        <v>0</v>
      </c>
      <c r="W27" s="294">
        <f t="shared" si="9"/>
        <v>1475</v>
      </c>
      <c r="X27" s="295">
        <f t="shared" si="10"/>
        <v>13.274999999999999</v>
      </c>
      <c r="Y27" s="238">
        <v>300</v>
      </c>
      <c r="Z27" s="101">
        <v>1000</v>
      </c>
    </row>
    <row r="28" spans="1:26" ht="15.75" x14ac:dyDescent="0.25">
      <c r="A28" s="264">
        <v>24</v>
      </c>
      <c r="B28" s="256" t="s">
        <v>56</v>
      </c>
      <c r="C28" s="111">
        <v>50</v>
      </c>
      <c r="D28" s="112">
        <v>35</v>
      </c>
      <c r="E28" s="112">
        <v>4</v>
      </c>
      <c r="F28" s="19">
        <f t="shared" si="5"/>
        <v>7.0000000000000001E-3</v>
      </c>
      <c r="G28" s="286">
        <v>0</v>
      </c>
      <c r="H28" s="288">
        <f t="shared" si="6"/>
        <v>0</v>
      </c>
      <c r="I28" s="290">
        <v>0</v>
      </c>
      <c r="J28" s="205">
        <f t="shared" si="0"/>
        <v>0</v>
      </c>
      <c r="K28" s="290">
        <v>0</v>
      </c>
      <c r="L28" s="205">
        <f t="shared" si="16"/>
        <v>0</v>
      </c>
      <c r="M28" s="290">
        <v>0</v>
      </c>
      <c r="N28" s="205">
        <f t="shared" si="13"/>
        <v>0</v>
      </c>
      <c r="O28" s="290">
        <v>0</v>
      </c>
      <c r="P28" s="205">
        <f t="shared" si="14"/>
        <v>0</v>
      </c>
      <c r="Q28" s="290">
        <v>0</v>
      </c>
      <c r="R28" s="205">
        <f t="shared" si="17"/>
        <v>0</v>
      </c>
      <c r="S28" s="39">
        <f t="shared" si="7"/>
        <v>0</v>
      </c>
      <c r="T28" s="38">
        <f t="shared" si="4"/>
        <v>0</v>
      </c>
      <c r="U28" s="290">
        <v>0</v>
      </c>
      <c r="V28" s="13">
        <f t="shared" si="8"/>
        <v>0</v>
      </c>
      <c r="W28" s="294">
        <f t="shared" si="9"/>
        <v>0</v>
      </c>
      <c r="X28" s="295">
        <f t="shared" si="10"/>
        <v>0</v>
      </c>
      <c r="Y28" s="238">
        <v>300</v>
      </c>
      <c r="Z28" s="101">
        <v>1000</v>
      </c>
    </row>
    <row r="29" spans="1:26" ht="15.75" x14ac:dyDescent="0.25">
      <c r="A29" s="264">
        <v>25</v>
      </c>
      <c r="B29" s="256" t="s">
        <v>57</v>
      </c>
      <c r="C29" s="111">
        <v>45</v>
      </c>
      <c r="D29" s="112">
        <v>44</v>
      </c>
      <c r="E29" s="112">
        <v>3</v>
      </c>
      <c r="F29" s="19">
        <f t="shared" si="5"/>
        <v>5.94E-3</v>
      </c>
      <c r="G29" s="286">
        <v>875</v>
      </c>
      <c r="H29" s="288">
        <f t="shared" si="6"/>
        <v>5.1974999999999998</v>
      </c>
      <c r="I29" s="290">
        <v>20</v>
      </c>
      <c r="J29" s="205">
        <f t="shared" si="0"/>
        <v>0.1188</v>
      </c>
      <c r="K29" s="290">
        <v>0</v>
      </c>
      <c r="L29" s="205">
        <f t="shared" si="16"/>
        <v>0</v>
      </c>
      <c r="M29" s="290">
        <v>0</v>
      </c>
      <c r="N29" s="205">
        <f t="shared" si="13"/>
        <v>0</v>
      </c>
      <c r="O29" s="290">
        <v>0</v>
      </c>
      <c r="P29" s="205">
        <f t="shared" si="14"/>
        <v>0</v>
      </c>
      <c r="Q29" s="290">
        <v>0</v>
      </c>
      <c r="R29" s="205">
        <f t="shared" si="17"/>
        <v>0</v>
      </c>
      <c r="S29" s="39">
        <f t="shared" si="7"/>
        <v>855</v>
      </c>
      <c r="T29" s="38">
        <f t="shared" si="4"/>
        <v>5.0786999999999995</v>
      </c>
      <c r="U29" s="290">
        <v>0</v>
      </c>
      <c r="V29" s="13">
        <f t="shared" si="8"/>
        <v>0</v>
      </c>
      <c r="W29" s="294">
        <f t="shared" si="9"/>
        <v>855</v>
      </c>
      <c r="X29" s="295">
        <f t="shared" si="10"/>
        <v>5.0786999999999995</v>
      </c>
      <c r="Y29" s="238">
        <v>500</v>
      </c>
      <c r="Z29" s="101">
        <v>1500</v>
      </c>
    </row>
    <row r="30" spans="1:26" ht="15.75" x14ac:dyDescent="0.25">
      <c r="A30" s="264">
        <v>26</v>
      </c>
      <c r="B30" s="256" t="s">
        <v>58</v>
      </c>
      <c r="C30" s="111">
        <v>45</v>
      </c>
      <c r="D30" s="112">
        <v>35.5</v>
      </c>
      <c r="E30" s="112">
        <v>3</v>
      </c>
      <c r="F30" s="19">
        <f t="shared" si="5"/>
        <v>4.7924999999999999E-3</v>
      </c>
      <c r="G30" s="286">
        <v>665</v>
      </c>
      <c r="H30" s="288">
        <f t="shared" si="6"/>
        <v>3.1870124999999998</v>
      </c>
      <c r="I30" s="290">
        <v>20</v>
      </c>
      <c r="J30" s="205">
        <f t="shared" si="0"/>
        <v>9.5849999999999991E-2</v>
      </c>
      <c r="K30" s="290">
        <v>0</v>
      </c>
      <c r="L30" s="205">
        <f t="shared" si="16"/>
        <v>0</v>
      </c>
      <c r="M30" s="290">
        <v>0</v>
      </c>
      <c r="N30" s="205">
        <f t="shared" si="13"/>
        <v>0</v>
      </c>
      <c r="O30" s="290">
        <v>0</v>
      </c>
      <c r="P30" s="205">
        <f t="shared" si="14"/>
        <v>0</v>
      </c>
      <c r="Q30" s="290">
        <v>0</v>
      </c>
      <c r="R30" s="205">
        <f t="shared" si="17"/>
        <v>0</v>
      </c>
      <c r="S30" s="39">
        <f t="shared" si="7"/>
        <v>645</v>
      </c>
      <c r="T30" s="38">
        <f t="shared" si="4"/>
        <v>3.0911624999999998</v>
      </c>
      <c r="U30" s="290">
        <v>0</v>
      </c>
      <c r="V30" s="13">
        <f t="shared" si="8"/>
        <v>0</v>
      </c>
      <c r="W30" s="294">
        <f t="shared" si="9"/>
        <v>645</v>
      </c>
      <c r="X30" s="295">
        <f t="shared" si="10"/>
        <v>3.0911624999999998</v>
      </c>
      <c r="Y30" s="238">
        <v>500</v>
      </c>
      <c r="Z30" s="101">
        <v>1500</v>
      </c>
    </row>
    <row r="31" spans="1:26" x14ac:dyDescent="0.25">
      <c r="A31" s="264">
        <v>27</v>
      </c>
      <c r="B31" s="256" t="s">
        <v>155</v>
      </c>
      <c r="C31" s="34">
        <v>140</v>
      </c>
      <c r="D31" s="35">
        <v>9.5</v>
      </c>
      <c r="E31" s="35">
        <v>6.5</v>
      </c>
      <c r="F31" s="19">
        <f t="shared" si="5"/>
        <v>8.6449999999999999E-3</v>
      </c>
      <c r="G31" s="286">
        <v>59</v>
      </c>
      <c r="H31" s="288">
        <f t="shared" si="6"/>
        <v>0.51005500000000004</v>
      </c>
      <c r="I31" s="290">
        <v>0</v>
      </c>
      <c r="J31" s="205">
        <f t="shared" si="0"/>
        <v>0</v>
      </c>
      <c r="K31" s="290">
        <v>83</v>
      </c>
      <c r="L31" s="205">
        <f t="shared" si="16"/>
        <v>0.71753500000000003</v>
      </c>
      <c r="M31" s="290">
        <v>60</v>
      </c>
      <c r="N31" s="205">
        <f t="shared" si="13"/>
        <v>0.51869999999999994</v>
      </c>
      <c r="O31" s="290">
        <v>0</v>
      </c>
      <c r="P31" s="205">
        <f t="shared" si="14"/>
        <v>0</v>
      </c>
      <c r="Q31" s="290">
        <v>0</v>
      </c>
      <c r="R31" s="205">
        <f t="shared" si="17"/>
        <v>0</v>
      </c>
      <c r="S31" s="39">
        <f t="shared" si="7"/>
        <v>-84</v>
      </c>
      <c r="T31" s="38">
        <f t="shared" si="4"/>
        <v>-0.72618000000000005</v>
      </c>
      <c r="U31" s="290">
        <v>1044</v>
      </c>
      <c r="V31" s="13">
        <f t="shared" si="8"/>
        <v>9.0253800000000002</v>
      </c>
      <c r="W31" s="294">
        <f t="shared" si="9"/>
        <v>960</v>
      </c>
      <c r="X31" s="295">
        <f t="shared" si="10"/>
        <v>8.299199999999999</v>
      </c>
      <c r="Y31" s="238">
        <v>500</v>
      </c>
      <c r="Z31" s="101">
        <v>1500</v>
      </c>
    </row>
    <row r="32" spans="1:26" x14ac:dyDescent="0.25">
      <c r="A32" s="264">
        <v>28</v>
      </c>
      <c r="B32" s="256" t="s">
        <v>156</v>
      </c>
      <c r="C32" s="34">
        <v>140</v>
      </c>
      <c r="D32" s="35">
        <v>240</v>
      </c>
      <c r="E32" s="35">
        <v>1</v>
      </c>
      <c r="F32" s="19">
        <f t="shared" si="5"/>
        <v>3.3599999999999998E-2</v>
      </c>
      <c r="G32" s="286">
        <v>1080</v>
      </c>
      <c r="H32" s="288">
        <f t="shared" si="6"/>
        <v>36.287999999999997</v>
      </c>
      <c r="I32" s="290">
        <v>123</v>
      </c>
      <c r="J32" s="205">
        <f t="shared" si="0"/>
        <v>4.1327999999999996</v>
      </c>
      <c r="K32" s="290">
        <v>114</v>
      </c>
      <c r="L32" s="205">
        <f t="shared" si="16"/>
        <v>3.8303999999999996</v>
      </c>
      <c r="M32" s="290">
        <v>67</v>
      </c>
      <c r="N32" s="205">
        <f t="shared" si="13"/>
        <v>2.2511999999999999</v>
      </c>
      <c r="O32" s="290">
        <v>0</v>
      </c>
      <c r="P32" s="205">
        <f t="shared" si="14"/>
        <v>0</v>
      </c>
      <c r="Q32" s="290">
        <v>0</v>
      </c>
      <c r="R32" s="205">
        <f>F32*Q32</f>
        <v>0</v>
      </c>
      <c r="S32" s="39">
        <f t="shared" si="7"/>
        <v>776</v>
      </c>
      <c r="T32" s="38">
        <f t="shared" si="4"/>
        <v>26.073599999999999</v>
      </c>
      <c r="U32" s="290">
        <v>0</v>
      </c>
      <c r="V32" s="13">
        <f t="shared" si="8"/>
        <v>0</v>
      </c>
      <c r="W32" s="294">
        <f t="shared" si="9"/>
        <v>776</v>
      </c>
      <c r="X32" s="295">
        <f t="shared" si="10"/>
        <v>26.073599999999999</v>
      </c>
      <c r="Y32" s="238">
        <v>500</v>
      </c>
      <c r="Z32" s="101">
        <v>1500</v>
      </c>
    </row>
    <row r="33" spans="1:26" x14ac:dyDescent="0.25">
      <c r="A33" s="264">
        <v>29</v>
      </c>
      <c r="B33" s="256" t="s">
        <v>157</v>
      </c>
      <c r="C33" s="34">
        <v>140</v>
      </c>
      <c r="D33" s="35">
        <v>240</v>
      </c>
      <c r="E33" s="35">
        <v>2</v>
      </c>
      <c r="F33" s="19">
        <f t="shared" si="5"/>
        <v>6.7199999999999996E-2</v>
      </c>
      <c r="G33" s="286">
        <v>32</v>
      </c>
      <c r="H33" s="288">
        <f t="shared" si="6"/>
        <v>2.1503999999999999</v>
      </c>
      <c r="I33" s="290">
        <v>11</v>
      </c>
      <c r="J33" s="205">
        <f t="shared" si="0"/>
        <v>0.73919999999999997</v>
      </c>
      <c r="K33" s="290">
        <v>3</v>
      </c>
      <c r="L33" s="205">
        <f t="shared" si="16"/>
        <v>0.2016</v>
      </c>
      <c r="M33" s="290">
        <v>13</v>
      </c>
      <c r="N33" s="205">
        <f t="shared" si="13"/>
        <v>0.87359999999999993</v>
      </c>
      <c r="O33" s="290">
        <v>0</v>
      </c>
      <c r="P33" s="205">
        <f t="shared" si="14"/>
        <v>0</v>
      </c>
      <c r="Q33" s="290">
        <v>0</v>
      </c>
      <c r="R33" s="205">
        <f>F33*Q33</f>
        <v>0</v>
      </c>
      <c r="S33" s="39">
        <f t="shared" si="7"/>
        <v>5</v>
      </c>
      <c r="T33" s="38">
        <f t="shared" si="4"/>
        <v>0.33599999999999997</v>
      </c>
      <c r="U33" s="290">
        <v>205</v>
      </c>
      <c r="V33" s="13">
        <f t="shared" si="8"/>
        <v>13.776</v>
      </c>
      <c r="W33" s="294">
        <f t="shared" si="9"/>
        <v>210</v>
      </c>
      <c r="X33" s="295">
        <f t="shared" si="10"/>
        <v>14.111999999999998</v>
      </c>
      <c r="Y33" s="238">
        <v>100</v>
      </c>
      <c r="Z33" s="101">
        <v>300</v>
      </c>
    </row>
    <row r="34" spans="1:26" x14ac:dyDescent="0.25">
      <c r="A34" s="264">
        <v>30</v>
      </c>
      <c r="B34" s="256" t="s">
        <v>158</v>
      </c>
      <c r="C34" s="34">
        <v>140</v>
      </c>
      <c r="D34" s="35">
        <v>240</v>
      </c>
      <c r="E34" s="35">
        <v>3</v>
      </c>
      <c r="F34" s="19">
        <f t="shared" si="5"/>
        <v>0.1008</v>
      </c>
      <c r="G34" s="286">
        <v>139</v>
      </c>
      <c r="H34" s="288">
        <f t="shared" si="6"/>
        <v>14.011200000000001</v>
      </c>
      <c r="I34" s="290">
        <v>12</v>
      </c>
      <c r="J34" s="205">
        <f>F34*I34</f>
        <v>1.2096</v>
      </c>
      <c r="K34" s="290">
        <v>11</v>
      </c>
      <c r="L34" s="205">
        <f t="shared" si="16"/>
        <v>1.1088</v>
      </c>
      <c r="M34" s="290">
        <v>13</v>
      </c>
      <c r="N34" s="205">
        <f t="shared" si="13"/>
        <v>1.3104</v>
      </c>
      <c r="O34" s="290">
        <v>0</v>
      </c>
      <c r="P34" s="205">
        <f t="shared" si="14"/>
        <v>0</v>
      </c>
      <c r="Q34" s="290">
        <v>0</v>
      </c>
      <c r="R34" s="205">
        <f t="shared" si="17"/>
        <v>0</v>
      </c>
      <c r="S34" s="39">
        <f t="shared" si="7"/>
        <v>103</v>
      </c>
      <c r="T34" s="38">
        <f t="shared" si="4"/>
        <v>10.382400000000001</v>
      </c>
      <c r="U34" s="290">
        <v>0</v>
      </c>
      <c r="V34" s="13">
        <f t="shared" si="8"/>
        <v>0</v>
      </c>
      <c r="W34" s="294">
        <f t="shared" si="9"/>
        <v>103</v>
      </c>
      <c r="X34" s="295">
        <f t="shared" si="10"/>
        <v>10.382400000000001</v>
      </c>
      <c r="Y34" s="238">
        <v>100</v>
      </c>
      <c r="Z34" s="101">
        <v>300</v>
      </c>
    </row>
    <row r="35" spans="1:26" x14ac:dyDescent="0.25">
      <c r="A35" s="264">
        <v>31</v>
      </c>
      <c r="B35" s="256" t="s">
        <v>159</v>
      </c>
      <c r="C35" s="34">
        <v>140</v>
      </c>
      <c r="D35" s="35">
        <v>240</v>
      </c>
      <c r="E35" s="35">
        <v>4</v>
      </c>
      <c r="F35" s="19">
        <f t="shared" si="5"/>
        <v>0.13439999999999999</v>
      </c>
      <c r="G35" s="286">
        <v>115</v>
      </c>
      <c r="H35" s="288">
        <f t="shared" si="6"/>
        <v>15.456</v>
      </c>
      <c r="I35" s="290">
        <v>3</v>
      </c>
      <c r="J35" s="205">
        <f t="shared" si="0"/>
        <v>0.4032</v>
      </c>
      <c r="K35" s="290">
        <v>8</v>
      </c>
      <c r="L35" s="205">
        <f t="shared" si="16"/>
        <v>1.0751999999999999</v>
      </c>
      <c r="M35" s="290">
        <v>4</v>
      </c>
      <c r="N35" s="205">
        <f t="shared" si="13"/>
        <v>0.53759999999999997</v>
      </c>
      <c r="O35" s="290">
        <v>0</v>
      </c>
      <c r="P35" s="205">
        <f t="shared" si="14"/>
        <v>0</v>
      </c>
      <c r="Q35" s="290">
        <v>0</v>
      </c>
      <c r="R35" s="205">
        <f t="shared" si="17"/>
        <v>0</v>
      </c>
      <c r="S35" s="39">
        <f t="shared" si="7"/>
        <v>100</v>
      </c>
      <c r="T35" s="38">
        <f t="shared" si="4"/>
        <v>13.44</v>
      </c>
      <c r="U35" s="290">
        <v>0</v>
      </c>
      <c r="V35" s="13">
        <f t="shared" si="8"/>
        <v>0</v>
      </c>
      <c r="W35" s="294">
        <f t="shared" si="9"/>
        <v>100</v>
      </c>
      <c r="X35" s="295">
        <f t="shared" si="10"/>
        <v>13.44</v>
      </c>
      <c r="Y35" s="238">
        <v>50</v>
      </c>
      <c r="Z35" s="101">
        <v>100</v>
      </c>
    </row>
    <row r="36" spans="1:26" x14ac:dyDescent="0.25">
      <c r="A36" s="264">
        <v>32</v>
      </c>
      <c r="B36" s="256" t="s">
        <v>160</v>
      </c>
      <c r="C36" s="34">
        <v>140</v>
      </c>
      <c r="D36" s="35">
        <v>240</v>
      </c>
      <c r="E36" s="35">
        <v>2</v>
      </c>
      <c r="F36" s="19">
        <f t="shared" si="5"/>
        <v>6.7199999999999996E-2</v>
      </c>
      <c r="G36" s="286">
        <v>277</v>
      </c>
      <c r="H36" s="288">
        <f t="shared" si="6"/>
        <v>18.6144</v>
      </c>
      <c r="I36" s="290">
        <v>13</v>
      </c>
      <c r="J36" s="205">
        <f>F36*I36</f>
        <v>0.87359999999999993</v>
      </c>
      <c r="K36" s="290">
        <v>16</v>
      </c>
      <c r="L36" s="205">
        <f t="shared" si="16"/>
        <v>1.0751999999999999</v>
      </c>
      <c r="M36" s="290">
        <v>17</v>
      </c>
      <c r="N36" s="205">
        <f t="shared" si="13"/>
        <v>1.1423999999999999</v>
      </c>
      <c r="O36" s="290">
        <v>0</v>
      </c>
      <c r="P36" s="205">
        <f t="shared" si="14"/>
        <v>0</v>
      </c>
      <c r="Q36" s="290">
        <v>0</v>
      </c>
      <c r="R36" s="205">
        <f t="shared" si="17"/>
        <v>0</v>
      </c>
      <c r="S36" s="39">
        <f t="shared" si="7"/>
        <v>231</v>
      </c>
      <c r="T36" s="38">
        <f t="shared" si="4"/>
        <v>15.523199999999999</v>
      </c>
      <c r="U36" s="290">
        <v>40</v>
      </c>
      <c r="V36" s="13">
        <f t="shared" si="8"/>
        <v>2.6879999999999997</v>
      </c>
      <c r="W36" s="294">
        <f t="shared" si="9"/>
        <v>271</v>
      </c>
      <c r="X36" s="295">
        <f t="shared" si="10"/>
        <v>18.211199999999998</v>
      </c>
      <c r="Y36" s="238">
        <v>200</v>
      </c>
      <c r="Z36" s="101">
        <v>300</v>
      </c>
    </row>
    <row r="37" spans="1:26" x14ac:dyDescent="0.25">
      <c r="A37" s="264">
        <v>33</v>
      </c>
      <c r="B37" s="256" t="s">
        <v>222</v>
      </c>
      <c r="C37" s="34">
        <v>140</v>
      </c>
      <c r="D37" s="35">
        <v>240</v>
      </c>
      <c r="E37" s="35">
        <v>6</v>
      </c>
      <c r="F37" s="19">
        <f t="shared" si="5"/>
        <v>0.2016</v>
      </c>
      <c r="G37" s="286">
        <v>18</v>
      </c>
      <c r="H37" s="288">
        <f t="shared" si="6"/>
        <v>3.6288</v>
      </c>
      <c r="I37" s="290">
        <v>0</v>
      </c>
      <c r="J37" s="205">
        <f t="shared" si="0"/>
        <v>0</v>
      </c>
      <c r="K37" s="290">
        <v>0</v>
      </c>
      <c r="L37" s="205">
        <f>F37*K37</f>
        <v>0</v>
      </c>
      <c r="M37" s="290">
        <v>0</v>
      </c>
      <c r="N37" s="205">
        <f t="shared" si="13"/>
        <v>0</v>
      </c>
      <c r="O37" s="290">
        <v>0</v>
      </c>
      <c r="P37" s="21">
        <v>0</v>
      </c>
      <c r="Q37" s="290">
        <v>0</v>
      </c>
      <c r="R37" s="205">
        <f t="shared" si="17"/>
        <v>0</v>
      </c>
      <c r="S37" s="39">
        <f t="shared" si="7"/>
        <v>18</v>
      </c>
      <c r="T37" s="38">
        <f t="shared" si="4"/>
        <v>3.6288</v>
      </c>
      <c r="U37" s="290">
        <v>0</v>
      </c>
      <c r="V37" s="13">
        <f t="shared" si="8"/>
        <v>0</v>
      </c>
      <c r="W37" s="294">
        <f t="shared" si="9"/>
        <v>18</v>
      </c>
      <c r="X37" s="295">
        <f t="shared" si="10"/>
        <v>3.6288</v>
      </c>
      <c r="Y37" s="238">
        <v>10</v>
      </c>
      <c r="Z37" s="101">
        <v>30</v>
      </c>
    </row>
    <row r="38" spans="1:26" x14ac:dyDescent="0.25">
      <c r="A38" s="264">
        <v>34</v>
      </c>
      <c r="B38" s="256" t="s">
        <v>181</v>
      </c>
      <c r="C38" s="34">
        <v>80</v>
      </c>
      <c r="D38" s="35">
        <v>75</v>
      </c>
      <c r="E38" s="35">
        <v>5</v>
      </c>
      <c r="F38" s="19">
        <f t="shared" si="5"/>
        <v>0.03</v>
      </c>
      <c r="G38" s="286">
        <v>175</v>
      </c>
      <c r="H38" s="288">
        <f t="shared" si="6"/>
        <v>5.25</v>
      </c>
      <c r="I38" s="290">
        <v>0</v>
      </c>
      <c r="J38" s="205">
        <f t="shared" si="0"/>
        <v>0</v>
      </c>
      <c r="K38" s="290">
        <v>0</v>
      </c>
      <c r="L38" s="205">
        <f t="shared" si="0"/>
        <v>0</v>
      </c>
      <c r="M38" s="290">
        <v>0</v>
      </c>
      <c r="N38" s="21">
        <v>0</v>
      </c>
      <c r="O38" s="290">
        <v>0</v>
      </c>
      <c r="P38" s="21">
        <v>0</v>
      </c>
      <c r="Q38" s="290">
        <v>0</v>
      </c>
      <c r="R38" s="21">
        <v>0</v>
      </c>
      <c r="S38" s="39">
        <f t="shared" si="7"/>
        <v>175</v>
      </c>
      <c r="T38" s="38">
        <f t="shared" si="4"/>
        <v>5.25</v>
      </c>
      <c r="U38" s="290">
        <v>0</v>
      </c>
      <c r="V38" s="13">
        <f t="shared" si="8"/>
        <v>0</v>
      </c>
      <c r="W38" s="294">
        <f t="shared" si="9"/>
        <v>175</v>
      </c>
      <c r="X38" s="295">
        <f t="shared" si="10"/>
        <v>5.25</v>
      </c>
      <c r="Y38" s="238">
        <v>50</v>
      </c>
      <c r="Z38" s="101">
        <v>100</v>
      </c>
    </row>
    <row r="39" spans="1:26" x14ac:dyDescent="0.25">
      <c r="A39" s="264">
        <v>35</v>
      </c>
      <c r="B39" s="256" t="s">
        <v>182</v>
      </c>
      <c r="C39" s="34">
        <v>100</v>
      </c>
      <c r="D39" s="35">
        <v>95</v>
      </c>
      <c r="E39" s="35">
        <v>5</v>
      </c>
      <c r="F39" s="19">
        <f t="shared" si="5"/>
        <v>4.7500000000000001E-2</v>
      </c>
      <c r="G39" s="286">
        <v>85</v>
      </c>
      <c r="H39" s="288">
        <f t="shared" si="6"/>
        <v>4.0374999999999996</v>
      </c>
      <c r="I39" s="290">
        <v>6</v>
      </c>
      <c r="J39" s="205">
        <f t="shared" si="0"/>
        <v>0.28500000000000003</v>
      </c>
      <c r="K39" s="290">
        <v>0</v>
      </c>
      <c r="L39" s="205">
        <f>F39*K39</f>
        <v>0</v>
      </c>
      <c r="M39" s="290">
        <v>0</v>
      </c>
      <c r="N39" s="205">
        <f>F39*M39</f>
        <v>0</v>
      </c>
      <c r="O39" s="290">
        <v>0</v>
      </c>
      <c r="P39" s="205">
        <f>J39*O39</f>
        <v>0</v>
      </c>
      <c r="Q39" s="290">
        <v>0</v>
      </c>
      <c r="R39" s="205">
        <f>L39*Q39</f>
        <v>0</v>
      </c>
      <c r="S39" s="39">
        <f t="shared" si="7"/>
        <v>79</v>
      </c>
      <c r="T39" s="38">
        <f t="shared" si="4"/>
        <v>3.7524999999999999</v>
      </c>
      <c r="U39" s="290">
        <v>0</v>
      </c>
      <c r="V39" s="13">
        <f t="shared" si="8"/>
        <v>0</v>
      </c>
      <c r="W39" s="294">
        <f t="shared" si="9"/>
        <v>79</v>
      </c>
      <c r="X39" s="295">
        <f t="shared" si="10"/>
        <v>3.7524999999999999</v>
      </c>
      <c r="Y39" s="238">
        <v>50</v>
      </c>
      <c r="Z39" s="101">
        <v>100</v>
      </c>
    </row>
    <row r="40" spans="1:26" x14ac:dyDescent="0.25">
      <c r="A40" s="264">
        <v>36</v>
      </c>
      <c r="B40" s="256" t="s">
        <v>196</v>
      </c>
      <c r="C40" s="34">
        <v>65</v>
      </c>
      <c r="D40" s="35">
        <v>60</v>
      </c>
      <c r="E40" s="35">
        <v>5</v>
      </c>
      <c r="F40" s="19">
        <f t="shared" si="5"/>
        <v>1.95E-2</v>
      </c>
      <c r="G40" s="286">
        <v>360</v>
      </c>
      <c r="H40" s="288">
        <f t="shared" si="6"/>
        <v>7.02</v>
      </c>
      <c r="I40" s="290">
        <v>0</v>
      </c>
      <c r="J40" s="205">
        <f t="shared" si="0"/>
        <v>0</v>
      </c>
      <c r="K40" s="290">
        <v>0</v>
      </c>
      <c r="L40" s="205">
        <f>F40*K40</f>
        <v>0</v>
      </c>
      <c r="M40" s="290">
        <v>0</v>
      </c>
      <c r="N40" s="205">
        <f>F40*M40</f>
        <v>0</v>
      </c>
      <c r="O40" s="290">
        <v>0</v>
      </c>
      <c r="P40" s="205">
        <f>F40*O40</f>
        <v>0</v>
      </c>
      <c r="Q40" s="290">
        <v>0</v>
      </c>
      <c r="R40" s="205">
        <f>F40*Q40</f>
        <v>0</v>
      </c>
      <c r="S40" s="39">
        <f t="shared" si="7"/>
        <v>360</v>
      </c>
      <c r="T40" s="38">
        <f t="shared" si="4"/>
        <v>7.02</v>
      </c>
      <c r="U40" s="290">
        <v>0</v>
      </c>
      <c r="V40" s="13">
        <f t="shared" si="8"/>
        <v>0</v>
      </c>
      <c r="W40" s="294">
        <f t="shared" si="9"/>
        <v>360</v>
      </c>
      <c r="X40" s="295">
        <f t="shared" si="10"/>
        <v>7.02</v>
      </c>
      <c r="Y40" s="238">
        <v>100</v>
      </c>
      <c r="Z40" s="101">
        <v>300</v>
      </c>
    </row>
    <row r="41" spans="1:26" x14ac:dyDescent="0.25">
      <c r="A41" s="264">
        <v>37</v>
      </c>
      <c r="B41" s="256" t="s">
        <v>165</v>
      </c>
      <c r="C41" s="34">
        <v>140</v>
      </c>
      <c r="D41" s="35">
        <v>240</v>
      </c>
      <c r="E41" s="35">
        <v>10</v>
      </c>
      <c r="F41" s="19">
        <f t="shared" si="5"/>
        <v>0.33600000000000002</v>
      </c>
      <c r="G41" s="286">
        <v>102</v>
      </c>
      <c r="H41" s="288">
        <f t="shared" si="6"/>
        <v>34.272000000000006</v>
      </c>
      <c r="I41" s="290">
        <v>2</v>
      </c>
      <c r="J41" s="205">
        <f>F41*I41</f>
        <v>0.67200000000000004</v>
      </c>
      <c r="K41" s="290">
        <v>6</v>
      </c>
      <c r="L41" s="205">
        <f>F41*K41</f>
        <v>2.016</v>
      </c>
      <c r="M41" s="290">
        <v>7</v>
      </c>
      <c r="N41" s="205">
        <f>F41*M41</f>
        <v>2.3520000000000003</v>
      </c>
      <c r="O41" s="290">
        <v>0</v>
      </c>
      <c r="P41" s="205">
        <f>F41*O41</f>
        <v>0</v>
      </c>
      <c r="Q41" s="290">
        <v>0</v>
      </c>
      <c r="R41" s="205">
        <f>F41*Q41</f>
        <v>0</v>
      </c>
      <c r="S41" s="39">
        <f t="shared" si="7"/>
        <v>87</v>
      </c>
      <c r="T41" s="38">
        <f t="shared" si="4"/>
        <v>29.232000000000003</v>
      </c>
      <c r="U41" s="290">
        <v>0</v>
      </c>
      <c r="V41" s="13">
        <f t="shared" si="8"/>
        <v>0</v>
      </c>
      <c r="W41" s="294">
        <f t="shared" si="9"/>
        <v>87</v>
      </c>
      <c r="X41" s="295">
        <f t="shared" si="10"/>
        <v>29.232000000000003</v>
      </c>
      <c r="Y41" s="238">
        <v>50</v>
      </c>
      <c r="Z41" s="101">
        <v>100</v>
      </c>
    </row>
    <row r="42" spans="1:26" x14ac:dyDescent="0.25">
      <c r="A42" s="264">
        <v>38</v>
      </c>
      <c r="B42" s="256" t="s">
        <v>166</v>
      </c>
      <c r="C42" s="34">
        <v>92</v>
      </c>
      <c r="D42" s="35">
        <v>82</v>
      </c>
      <c r="E42" s="35">
        <v>2</v>
      </c>
      <c r="F42" s="19">
        <f t="shared" si="5"/>
        <v>1.5088000000000001E-2</v>
      </c>
      <c r="G42" s="286">
        <v>306</v>
      </c>
      <c r="H42" s="288">
        <f t="shared" si="6"/>
        <v>4.6169280000000006</v>
      </c>
      <c r="I42" s="290">
        <v>34</v>
      </c>
      <c r="J42" s="205">
        <f t="shared" si="0"/>
        <v>0.512992</v>
      </c>
      <c r="K42" s="290">
        <v>44</v>
      </c>
      <c r="L42" s="205">
        <f>F42*K42</f>
        <v>0.66387200000000002</v>
      </c>
      <c r="M42" s="290">
        <v>0</v>
      </c>
      <c r="N42" s="205">
        <f>F42*M42</f>
        <v>0</v>
      </c>
      <c r="O42" s="290">
        <v>0</v>
      </c>
      <c r="P42" s="205">
        <f>F42*O42</f>
        <v>0</v>
      </c>
      <c r="Q42" s="290">
        <v>0</v>
      </c>
      <c r="R42" s="205">
        <f>F42*Q42</f>
        <v>0</v>
      </c>
      <c r="S42" s="39">
        <f t="shared" si="7"/>
        <v>228</v>
      </c>
      <c r="T42" s="38">
        <f t="shared" si="4"/>
        <v>3.440064</v>
      </c>
      <c r="U42" s="290">
        <v>0</v>
      </c>
      <c r="V42" s="13">
        <f t="shared" si="8"/>
        <v>0</v>
      </c>
      <c r="W42" s="294">
        <f t="shared" si="9"/>
        <v>228</v>
      </c>
      <c r="X42" s="295">
        <f t="shared" si="10"/>
        <v>3.440064</v>
      </c>
      <c r="Y42" s="238">
        <v>100</v>
      </c>
      <c r="Z42" s="101">
        <v>300</v>
      </c>
    </row>
    <row r="43" spans="1:26" x14ac:dyDescent="0.25">
      <c r="A43" s="264">
        <v>39</v>
      </c>
      <c r="B43" s="256" t="s">
        <v>183</v>
      </c>
      <c r="C43" s="34">
        <v>90</v>
      </c>
      <c r="D43" s="35">
        <v>90</v>
      </c>
      <c r="E43" s="35">
        <v>3</v>
      </c>
      <c r="F43" s="19">
        <f t="shared" si="5"/>
        <v>2.4299999999999999E-2</v>
      </c>
      <c r="G43" s="286">
        <v>124</v>
      </c>
      <c r="H43" s="288">
        <f t="shared" si="6"/>
        <v>3.0131999999999999</v>
      </c>
      <c r="I43" s="290">
        <v>0</v>
      </c>
      <c r="J43" s="205">
        <f t="shared" si="0"/>
        <v>0</v>
      </c>
      <c r="K43" s="290">
        <v>0</v>
      </c>
      <c r="L43" s="205">
        <f t="shared" si="0"/>
        <v>0</v>
      </c>
      <c r="M43" s="290">
        <v>0</v>
      </c>
      <c r="N43" s="21">
        <v>0</v>
      </c>
      <c r="O43" s="290">
        <v>0</v>
      </c>
      <c r="P43" s="21">
        <v>0</v>
      </c>
      <c r="Q43" s="290">
        <v>0</v>
      </c>
      <c r="R43" s="21">
        <v>0</v>
      </c>
      <c r="S43" s="39">
        <f t="shared" si="7"/>
        <v>124</v>
      </c>
      <c r="T43" s="38">
        <f t="shared" si="4"/>
        <v>3.0131999999999999</v>
      </c>
      <c r="U43" s="290">
        <v>0</v>
      </c>
      <c r="V43" s="13">
        <f t="shared" si="8"/>
        <v>0</v>
      </c>
      <c r="W43" s="294">
        <f t="shared" si="9"/>
        <v>124</v>
      </c>
      <c r="X43" s="295">
        <f t="shared" si="10"/>
        <v>3.0131999999999999</v>
      </c>
      <c r="Y43" s="238">
        <v>50</v>
      </c>
      <c r="Z43" s="101">
        <v>150</v>
      </c>
    </row>
    <row r="44" spans="1:26" x14ac:dyDescent="0.25">
      <c r="A44" s="264">
        <v>40</v>
      </c>
      <c r="B44" s="256" t="s">
        <v>219</v>
      </c>
      <c r="C44" s="34">
        <v>140</v>
      </c>
      <c r="D44" s="35">
        <v>240</v>
      </c>
      <c r="E44" s="35">
        <v>3</v>
      </c>
      <c r="F44" s="19">
        <f t="shared" si="5"/>
        <v>0.1008</v>
      </c>
      <c r="G44" s="286">
        <v>102</v>
      </c>
      <c r="H44" s="288">
        <f t="shared" si="6"/>
        <v>10.281600000000001</v>
      </c>
      <c r="I44" s="290">
        <v>0</v>
      </c>
      <c r="J44" s="205">
        <f t="shared" si="0"/>
        <v>0</v>
      </c>
      <c r="K44" s="290">
        <v>0</v>
      </c>
      <c r="L44" s="205">
        <f t="shared" ref="L44:L52" si="18">F44*K44</f>
        <v>0</v>
      </c>
      <c r="M44" s="290">
        <v>0</v>
      </c>
      <c r="N44" s="205">
        <f t="shared" ref="N44:N70" si="19">F44*M44</f>
        <v>0</v>
      </c>
      <c r="O44" s="290">
        <v>0</v>
      </c>
      <c r="P44" s="205">
        <f t="shared" ref="P44:P66" si="20">F44*O44</f>
        <v>0</v>
      </c>
      <c r="Q44" s="290">
        <v>0</v>
      </c>
      <c r="R44" s="205">
        <f t="shared" ref="R44:R58" si="21">F44*Q44</f>
        <v>0</v>
      </c>
      <c r="S44" s="39">
        <f t="shared" si="7"/>
        <v>102</v>
      </c>
      <c r="T44" s="38">
        <f t="shared" si="4"/>
        <v>10.281600000000001</v>
      </c>
      <c r="U44" s="290">
        <v>0</v>
      </c>
      <c r="V44" s="13">
        <f t="shared" si="8"/>
        <v>0</v>
      </c>
      <c r="W44" s="294">
        <f t="shared" si="9"/>
        <v>102</v>
      </c>
      <c r="X44" s="295">
        <f t="shared" si="10"/>
        <v>10.281600000000001</v>
      </c>
      <c r="Y44" s="238">
        <v>50</v>
      </c>
      <c r="Z44" s="101">
        <v>150</v>
      </c>
    </row>
    <row r="45" spans="1:26" x14ac:dyDescent="0.25">
      <c r="A45" s="264">
        <v>41</v>
      </c>
      <c r="B45" s="256" t="s">
        <v>169</v>
      </c>
      <c r="C45" s="34">
        <v>82</v>
      </c>
      <c r="D45" s="34">
        <v>80</v>
      </c>
      <c r="E45" s="34">
        <v>2</v>
      </c>
      <c r="F45" s="19">
        <f t="shared" si="5"/>
        <v>1.312E-2</v>
      </c>
      <c r="G45" s="284">
        <v>616</v>
      </c>
      <c r="H45" s="288">
        <f t="shared" si="6"/>
        <v>8.0819200000000002</v>
      </c>
      <c r="I45" s="290">
        <v>0</v>
      </c>
      <c r="J45" s="205">
        <f t="shared" si="0"/>
        <v>0</v>
      </c>
      <c r="K45" s="290">
        <v>0</v>
      </c>
      <c r="L45" s="205">
        <f t="shared" si="18"/>
        <v>0</v>
      </c>
      <c r="M45" s="290">
        <v>0</v>
      </c>
      <c r="N45" s="205">
        <f t="shared" si="19"/>
        <v>0</v>
      </c>
      <c r="O45" s="290">
        <v>0</v>
      </c>
      <c r="P45" s="205">
        <f t="shared" si="20"/>
        <v>0</v>
      </c>
      <c r="Q45" s="290">
        <v>0</v>
      </c>
      <c r="R45" s="205">
        <f t="shared" si="21"/>
        <v>0</v>
      </c>
      <c r="S45" s="39">
        <f t="shared" si="7"/>
        <v>616</v>
      </c>
      <c r="T45" s="38">
        <f t="shared" si="4"/>
        <v>8.0819200000000002</v>
      </c>
      <c r="U45" s="290">
        <v>0</v>
      </c>
      <c r="V45" s="13">
        <f t="shared" si="8"/>
        <v>0</v>
      </c>
      <c r="W45" s="294">
        <f t="shared" si="9"/>
        <v>616</v>
      </c>
      <c r="X45" s="295">
        <f t="shared" si="10"/>
        <v>8.0819200000000002</v>
      </c>
      <c r="Y45" s="238">
        <v>100</v>
      </c>
      <c r="Z45" s="101">
        <v>300</v>
      </c>
    </row>
    <row r="46" spans="1:26" x14ac:dyDescent="0.25">
      <c r="A46" s="264">
        <v>42</v>
      </c>
      <c r="B46" s="256" t="s">
        <v>170</v>
      </c>
      <c r="C46" s="34">
        <v>90</v>
      </c>
      <c r="D46" s="34">
        <v>83</v>
      </c>
      <c r="E46" s="34">
        <v>2</v>
      </c>
      <c r="F46" s="19">
        <f t="shared" si="5"/>
        <v>1.494E-2</v>
      </c>
      <c r="G46" s="284">
        <v>0</v>
      </c>
      <c r="H46" s="288">
        <f t="shared" si="6"/>
        <v>0</v>
      </c>
      <c r="I46" s="290">
        <v>0</v>
      </c>
      <c r="J46" s="205">
        <f t="shared" si="0"/>
        <v>0</v>
      </c>
      <c r="K46" s="290">
        <v>0</v>
      </c>
      <c r="L46" s="205">
        <f t="shared" si="18"/>
        <v>0</v>
      </c>
      <c r="M46" s="290">
        <v>0</v>
      </c>
      <c r="N46" s="205">
        <f t="shared" si="19"/>
        <v>0</v>
      </c>
      <c r="O46" s="290">
        <v>0</v>
      </c>
      <c r="P46" s="205">
        <f t="shared" si="20"/>
        <v>0</v>
      </c>
      <c r="Q46" s="290">
        <v>0</v>
      </c>
      <c r="R46" s="205">
        <f t="shared" si="21"/>
        <v>0</v>
      </c>
      <c r="S46" s="39">
        <f t="shared" si="7"/>
        <v>0</v>
      </c>
      <c r="T46" s="38">
        <f t="shared" si="4"/>
        <v>0</v>
      </c>
      <c r="U46" s="290">
        <v>0</v>
      </c>
      <c r="V46" s="13">
        <f t="shared" si="8"/>
        <v>0</v>
      </c>
      <c r="W46" s="294">
        <f t="shared" si="9"/>
        <v>0</v>
      </c>
      <c r="X46" s="295">
        <f t="shared" si="10"/>
        <v>0</v>
      </c>
      <c r="Y46" s="238">
        <v>100</v>
      </c>
      <c r="Z46" s="101">
        <v>300</v>
      </c>
    </row>
    <row r="47" spans="1:26" x14ac:dyDescent="0.25">
      <c r="A47" s="264">
        <v>43</v>
      </c>
      <c r="B47" s="256" t="s">
        <v>184</v>
      </c>
      <c r="C47" s="34">
        <v>112</v>
      </c>
      <c r="D47" s="34">
        <v>67</v>
      </c>
      <c r="E47" s="34">
        <v>3</v>
      </c>
      <c r="F47" s="19">
        <f t="shared" si="5"/>
        <v>2.2512000000000001E-2</v>
      </c>
      <c r="G47" s="284">
        <v>15</v>
      </c>
      <c r="H47" s="288">
        <f t="shared" si="6"/>
        <v>0.33768000000000004</v>
      </c>
      <c r="I47" s="290">
        <v>0</v>
      </c>
      <c r="J47" s="205">
        <f t="shared" si="0"/>
        <v>0</v>
      </c>
      <c r="K47" s="290">
        <v>0</v>
      </c>
      <c r="L47" s="205">
        <f t="shared" si="18"/>
        <v>0</v>
      </c>
      <c r="M47" s="290">
        <v>0</v>
      </c>
      <c r="N47" s="205">
        <f t="shared" si="19"/>
        <v>0</v>
      </c>
      <c r="O47" s="290">
        <v>0</v>
      </c>
      <c r="P47" s="205">
        <f t="shared" si="20"/>
        <v>0</v>
      </c>
      <c r="Q47" s="290">
        <v>0</v>
      </c>
      <c r="R47" s="205">
        <f t="shared" si="21"/>
        <v>0</v>
      </c>
      <c r="S47" s="39">
        <f t="shared" si="7"/>
        <v>15</v>
      </c>
      <c r="T47" s="38">
        <f t="shared" si="4"/>
        <v>0.33768000000000004</v>
      </c>
      <c r="U47" s="290">
        <v>0</v>
      </c>
      <c r="V47" s="13">
        <f t="shared" si="8"/>
        <v>0</v>
      </c>
      <c r="W47" s="294">
        <f t="shared" si="9"/>
        <v>15</v>
      </c>
      <c r="X47" s="295">
        <f t="shared" si="10"/>
        <v>0.33768000000000004</v>
      </c>
      <c r="Y47" s="238">
        <v>50</v>
      </c>
      <c r="Z47" s="101">
        <v>100</v>
      </c>
    </row>
    <row r="48" spans="1:26" x14ac:dyDescent="0.25">
      <c r="A48" s="264">
        <v>44</v>
      </c>
      <c r="B48" s="256" t="s">
        <v>220</v>
      </c>
      <c r="C48" s="34">
        <v>70</v>
      </c>
      <c r="D48" s="34">
        <v>54</v>
      </c>
      <c r="E48" s="34">
        <v>7</v>
      </c>
      <c r="F48" s="19">
        <f t="shared" si="5"/>
        <v>2.6460000000000001E-2</v>
      </c>
      <c r="G48" s="284">
        <v>0</v>
      </c>
      <c r="H48" s="288">
        <f t="shared" si="6"/>
        <v>0</v>
      </c>
      <c r="I48" s="290">
        <v>0</v>
      </c>
      <c r="J48" s="205">
        <f t="shared" si="0"/>
        <v>0</v>
      </c>
      <c r="K48" s="290">
        <v>0</v>
      </c>
      <c r="L48" s="205">
        <f t="shared" si="18"/>
        <v>0</v>
      </c>
      <c r="M48" s="290">
        <v>0</v>
      </c>
      <c r="N48" s="205">
        <f t="shared" si="19"/>
        <v>0</v>
      </c>
      <c r="O48" s="290">
        <v>0</v>
      </c>
      <c r="P48" s="205">
        <f t="shared" si="20"/>
        <v>0</v>
      </c>
      <c r="Q48" s="290">
        <v>0</v>
      </c>
      <c r="R48" s="205">
        <f t="shared" si="21"/>
        <v>0</v>
      </c>
      <c r="S48" s="39">
        <f t="shared" si="7"/>
        <v>0</v>
      </c>
      <c r="T48" s="38">
        <f t="shared" si="4"/>
        <v>0</v>
      </c>
      <c r="U48" s="290">
        <v>0</v>
      </c>
      <c r="V48" s="13">
        <f t="shared" si="8"/>
        <v>0</v>
      </c>
      <c r="W48" s="294">
        <f t="shared" si="9"/>
        <v>0</v>
      </c>
      <c r="X48" s="295">
        <f t="shared" si="10"/>
        <v>0</v>
      </c>
      <c r="Y48" s="238">
        <v>20</v>
      </c>
      <c r="Z48" s="101">
        <v>70</v>
      </c>
    </row>
    <row r="49" spans="1:26" x14ac:dyDescent="0.25">
      <c r="A49" s="264">
        <v>45</v>
      </c>
      <c r="B49" s="256" t="s">
        <v>174</v>
      </c>
      <c r="C49" s="34">
        <v>140</v>
      </c>
      <c r="D49" s="34">
        <v>240</v>
      </c>
      <c r="E49" s="34">
        <v>14</v>
      </c>
      <c r="F49" s="19">
        <f t="shared" si="5"/>
        <v>0.47039999999999998</v>
      </c>
      <c r="G49" s="284">
        <v>5</v>
      </c>
      <c r="H49" s="288">
        <f t="shared" si="6"/>
        <v>2.3519999999999999</v>
      </c>
      <c r="I49" s="290">
        <v>0</v>
      </c>
      <c r="J49" s="205">
        <f t="shared" si="0"/>
        <v>0</v>
      </c>
      <c r="K49" s="290">
        <v>0</v>
      </c>
      <c r="L49" s="205">
        <f t="shared" si="18"/>
        <v>0</v>
      </c>
      <c r="M49" s="290">
        <v>0</v>
      </c>
      <c r="N49" s="205">
        <f t="shared" si="19"/>
        <v>0</v>
      </c>
      <c r="O49" s="290">
        <v>0</v>
      </c>
      <c r="P49" s="205">
        <f t="shared" si="20"/>
        <v>0</v>
      </c>
      <c r="Q49" s="290">
        <v>0</v>
      </c>
      <c r="R49" s="205">
        <f t="shared" si="21"/>
        <v>0</v>
      </c>
      <c r="S49" s="39">
        <f t="shared" si="7"/>
        <v>5</v>
      </c>
      <c r="T49" s="38">
        <f t="shared" si="4"/>
        <v>2.3519999999999999</v>
      </c>
      <c r="U49" s="290">
        <v>0</v>
      </c>
      <c r="V49" s="13">
        <f t="shared" si="8"/>
        <v>0</v>
      </c>
      <c r="W49" s="294">
        <f t="shared" si="9"/>
        <v>5</v>
      </c>
      <c r="X49" s="295">
        <f t="shared" si="10"/>
        <v>2.3519999999999999</v>
      </c>
      <c r="Y49" s="238">
        <v>10</v>
      </c>
      <c r="Z49" s="101">
        <v>20</v>
      </c>
    </row>
    <row r="50" spans="1:26" x14ac:dyDescent="0.25">
      <c r="A50" s="264">
        <v>46</v>
      </c>
      <c r="B50" s="256" t="s">
        <v>175</v>
      </c>
      <c r="C50" s="34">
        <v>140</v>
      </c>
      <c r="D50" s="34">
        <v>240</v>
      </c>
      <c r="E50" s="34">
        <v>12</v>
      </c>
      <c r="F50" s="19">
        <f t="shared" si="5"/>
        <v>0.4032</v>
      </c>
      <c r="G50" s="284">
        <v>7</v>
      </c>
      <c r="H50" s="288">
        <f t="shared" si="6"/>
        <v>2.8224</v>
      </c>
      <c r="I50" s="290">
        <v>0</v>
      </c>
      <c r="J50" s="205">
        <f t="shared" si="0"/>
        <v>0</v>
      </c>
      <c r="K50" s="290">
        <v>0</v>
      </c>
      <c r="L50" s="205">
        <f t="shared" si="18"/>
        <v>0</v>
      </c>
      <c r="M50" s="290">
        <v>0</v>
      </c>
      <c r="N50" s="205">
        <f t="shared" si="19"/>
        <v>0</v>
      </c>
      <c r="O50" s="290">
        <v>0</v>
      </c>
      <c r="P50" s="205">
        <f t="shared" si="20"/>
        <v>0</v>
      </c>
      <c r="Q50" s="290">
        <v>0</v>
      </c>
      <c r="R50" s="205">
        <f t="shared" si="21"/>
        <v>0</v>
      </c>
      <c r="S50" s="39">
        <f t="shared" si="7"/>
        <v>7</v>
      </c>
      <c r="T50" s="38">
        <f t="shared" si="4"/>
        <v>2.8224</v>
      </c>
      <c r="U50" s="290">
        <v>0</v>
      </c>
      <c r="V50" s="13">
        <f t="shared" si="8"/>
        <v>0</v>
      </c>
      <c r="W50" s="294">
        <f t="shared" si="9"/>
        <v>7</v>
      </c>
      <c r="X50" s="295">
        <f t="shared" si="10"/>
        <v>2.8224</v>
      </c>
      <c r="Y50" s="238">
        <v>10</v>
      </c>
      <c r="Z50" s="101">
        <v>20</v>
      </c>
    </row>
    <row r="51" spans="1:26" x14ac:dyDescent="0.25">
      <c r="A51" s="264">
        <v>47</v>
      </c>
      <c r="B51" s="318" t="s">
        <v>230</v>
      </c>
      <c r="C51" s="34">
        <v>130</v>
      </c>
      <c r="D51" s="34">
        <v>60</v>
      </c>
      <c r="E51" s="34">
        <v>5</v>
      </c>
      <c r="F51" s="19">
        <f t="shared" si="5"/>
        <v>3.9E-2</v>
      </c>
      <c r="G51" s="284">
        <v>0</v>
      </c>
      <c r="H51" s="288">
        <f t="shared" si="6"/>
        <v>0</v>
      </c>
      <c r="I51" s="290">
        <v>0</v>
      </c>
      <c r="J51" s="205">
        <f t="shared" si="0"/>
        <v>0</v>
      </c>
      <c r="K51" s="290">
        <v>0</v>
      </c>
      <c r="L51" s="205">
        <f t="shared" si="18"/>
        <v>0</v>
      </c>
      <c r="M51" s="290">
        <v>0</v>
      </c>
      <c r="N51" s="205">
        <f t="shared" si="19"/>
        <v>0</v>
      </c>
      <c r="O51" s="290">
        <v>0</v>
      </c>
      <c r="P51" s="205">
        <f t="shared" si="20"/>
        <v>0</v>
      </c>
      <c r="Q51" s="290">
        <v>0</v>
      </c>
      <c r="R51" s="205">
        <f t="shared" si="21"/>
        <v>0</v>
      </c>
      <c r="S51" s="39">
        <f t="shared" si="7"/>
        <v>0</v>
      </c>
      <c r="T51" s="38">
        <f t="shared" si="4"/>
        <v>0</v>
      </c>
      <c r="U51" s="290">
        <v>0</v>
      </c>
      <c r="V51" s="13">
        <f t="shared" si="8"/>
        <v>0</v>
      </c>
      <c r="W51" s="294">
        <f t="shared" si="9"/>
        <v>0</v>
      </c>
      <c r="X51" s="295">
        <f t="shared" si="10"/>
        <v>0</v>
      </c>
      <c r="Y51" s="238">
        <v>30</v>
      </c>
      <c r="Z51" s="101">
        <v>100</v>
      </c>
    </row>
    <row r="52" spans="1:26" x14ac:dyDescent="0.25">
      <c r="A52" s="264">
        <v>48</v>
      </c>
      <c r="B52" s="255" t="s">
        <v>178</v>
      </c>
      <c r="C52" s="34">
        <v>140</v>
      </c>
      <c r="D52" s="34">
        <v>240</v>
      </c>
      <c r="E52" s="34">
        <v>3</v>
      </c>
      <c r="F52" s="19">
        <f t="shared" si="5"/>
        <v>0.1008</v>
      </c>
      <c r="G52" s="284">
        <v>331</v>
      </c>
      <c r="H52" s="288">
        <f t="shared" si="6"/>
        <v>33.364800000000002</v>
      </c>
      <c r="I52" s="290">
        <v>8</v>
      </c>
      <c r="J52" s="205">
        <f t="shared" si="0"/>
        <v>0.80640000000000001</v>
      </c>
      <c r="K52" s="290">
        <v>1</v>
      </c>
      <c r="L52" s="205">
        <f t="shared" si="18"/>
        <v>0.1008</v>
      </c>
      <c r="M52" s="290">
        <v>1</v>
      </c>
      <c r="N52" s="205">
        <f t="shared" si="19"/>
        <v>0.1008</v>
      </c>
      <c r="O52" s="290">
        <v>0</v>
      </c>
      <c r="P52" s="205">
        <f t="shared" si="20"/>
        <v>0</v>
      </c>
      <c r="Q52" s="290">
        <v>0</v>
      </c>
      <c r="R52" s="205">
        <f t="shared" si="21"/>
        <v>0</v>
      </c>
      <c r="S52" s="39">
        <f t="shared" si="7"/>
        <v>321</v>
      </c>
      <c r="T52" s="38">
        <f t="shared" si="4"/>
        <v>32.3568</v>
      </c>
      <c r="U52" s="290">
        <v>0</v>
      </c>
      <c r="V52" s="13">
        <f t="shared" si="8"/>
        <v>0</v>
      </c>
      <c r="W52" s="294">
        <f t="shared" si="9"/>
        <v>321</v>
      </c>
      <c r="X52" s="295">
        <f t="shared" si="10"/>
        <v>32.3568</v>
      </c>
      <c r="Y52" s="238">
        <v>100</v>
      </c>
      <c r="Z52" s="101">
        <v>300</v>
      </c>
    </row>
    <row r="53" spans="1:26" x14ac:dyDescent="0.25">
      <c r="A53" s="264">
        <v>49</v>
      </c>
      <c r="B53" s="256" t="s">
        <v>185</v>
      </c>
      <c r="C53" s="34">
        <v>140</v>
      </c>
      <c r="D53" s="34">
        <v>240</v>
      </c>
      <c r="E53" s="34">
        <v>1</v>
      </c>
      <c r="F53" s="19">
        <f t="shared" si="5"/>
        <v>3.3599999999999998E-2</v>
      </c>
      <c r="G53" s="284">
        <v>235</v>
      </c>
      <c r="H53" s="288">
        <f t="shared" si="6"/>
        <v>7.8959999999999999</v>
      </c>
      <c r="I53" s="290">
        <v>0</v>
      </c>
      <c r="J53" s="205">
        <f t="shared" si="0"/>
        <v>0</v>
      </c>
      <c r="K53" s="290">
        <v>0</v>
      </c>
      <c r="L53" s="205">
        <f>F53*K53</f>
        <v>0</v>
      </c>
      <c r="M53" s="290">
        <v>0</v>
      </c>
      <c r="N53" s="205">
        <f t="shared" si="19"/>
        <v>0</v>
      </c>
      <c r="O53" s="290">
        <v>0</v>
      </c>
      <c r="P53" s="205">
        <f t="shared" si="20"/>
        <v>0</v>
      </c>
      <c r="Q53" s="290">
        <v>0</v>
      </c>
      <c r="R53" s="205">
        <f t="shared" si="21"/>
        <v>0</v>
      </c>
      <c r="S53" s="39">
        <f t="shared" si="7"/>
        <v>235</v>
      </c>
      <c r="T53" s="38">
        <f t="shared" si="4"/>
        <v>7.8959999999999999</v>
      </c>
      <c r="U53" s="290">
        <v>0</v>
      </c>
      <c r="V53" s="13">
        <f t="shared" si="8"/>
        <v>0</v>
      </c>
      <c r="W53" s="294">
        <f t="shared" si="9"/>
        <v>235</v>
      </c>
      <c r="X53" s="295">
        <f t="shared" si="10"/>
        <v>7.8959999999999999</v>
      </c>
      <c r="Y53" s="238">
        <v>50</v>
      </c>
      <c r="Z53" s="101">
        <v>100</v>
      </c>
    </row>
    <row r="54" spans="1:26" x14ac:dyDescent="0.25">
      <c r="A54" s="264">
        <v>50</v>
      </c>
      <c r="B54" s="256" t="s">
        <v>186</v>
      </c>
      <c r="C54" s="34">
        <v>140</v>
      </c>
      <c r="D54" s="34">
        <v>240</v>
      </c>
      <c r="E54" s="34">
        <v>3</v>
      </c>
      <c r="F54" s="19">
        <f t="shared" si="5"/>
        <v>0.1008</v>
      </c>
      <c r="G54" s="284">
        <v>24</v>
      </c>
      <c r="H54" s="288">
        <f t="shared" si="6"/>
        <v>2.4192</v>
      </c>
      <c r="I54" s="290">
        <v>13</v>
      </c>
      <c r="J54" s="205">
        <f t="shared" si="0"/>
        <v>1.3104</v>
      </c>
      <c r="K54" s="290">
        <v>0</v>
      </c>
      <c r="L54" s="205">
        <f>F54*K54</f>
        <v>0</v>
      </c>
      <c r="M54" s="290">
        <v>11</v>
      </c>
      <c r="N54" s="205">
        <f t="shared" si="19"/>
        <v>1.1088</v>
      </c>
      <c r="O54" s="290">
        <v>0</v>
      </c>
      <c r="P54" s="205">
        <f t="shared" si="20"/>
        <v>0</v>
      </c>
      <c r="Q54" s="290">
        <v>0</v>
      </c>
      <c r="R54" s="205">
        <f t="shared" si="21"/>
        <v>0</v>
      </c>
      <c r="S54" s="39">
        <f t="shared" si="7"/>
        <v>0</v>
      </c>
      <c r="T54" s="38">
        <f t="shared" si="4"/>
        <v>0</v>
      </c>
      <c r="U54" s="290">
        <v>0</v>
      </c>
      <c r="V54" s="13">
        <f t="shared" si="8"/>
        <v>0</v>
      </c>
      <c r="W54" s="294">
        <f t="shared" si="9"/>
        <v>0</v>
      </c>
      <c r="X54" s="295">
        <f t="shared" si="10"/>
        <v>0</v>
      </c>
      <c r="Y54" s="238">
        <v>50</v>
      </c>
      <c r="Z54" s="101">
        <v>100</v>
      </c>
    </row>
    <row r="55" spans="1:26" x14ac:dyDescent="0.25">
      <c r="A55" s="277">
        <v>51</v>
      </c>
      <c r="B55" s="283" t="s">
        <v>187</v>
      </c>
      <c r="C55" s="264">
        <v>140</v>
      </c>
      <c r="D55" s="264">
        <v>240</v>
      </c>
      <c r="E55" s="264">
        <v>5</v>
      </c>
      <c r="F55" s="19">
        <f t="shared" si="5"/>
        <v>0.16800000000000001</v>
      </c>
      <c r="G55" s="296">
        <v>27</v>
      </c>
      <c r="H55" s="299">
        <f t="shared" si="6"/>
        <v>4.5360000000000005</v>
      </c>
      <c r="I55" s="290">
        <v>0</v>
      </c>
      <c r="J55" s="205">
        <f t="shared" si="0"/>
        <v>0</v>
      </c>
      <c r="K55" s="290">
        <v>0</v>
      </c>
      <c r="L55" s="205">
        <f>F55*K55</f>
        <v>0</v>
      </c>
      <c r="M55" s="290">
        <v>3</v>
      </c>
      <c r="N55" s="205">
        <f t="shared" si="19"/>
        <v>0.504</v>
      </c>
      <c r="O55" s="290">
        <v>0</v>
      </c>
      <c r="P55" s="205">
        <f t="shared" si="20"/>
        <v>0</v>
      </c>
      <c r="Q55" s="290">
        <v>0</v>
      </c>
      <c r="R55" s="205">
        <f t="shared" si="21"/>
        <v>0</v>
      </c>
      <c r="S55" s="39">
        <f t="shared" si="7"/>
        <v>24</v>
      </c>
      <c r="T55" s="38">
        <f t="shared" si="4"/>
        <v>4.032</v>
      </c>
      <c r="U55" s="290">
        <v>0</v>
      </c>
      <c r="V55" s="13">
        <f t="shared" si="8"/>
        <v>0</v>
      </c>
      <c r="W55" s="294">
        <f t="shared" si="9"/>
        <v>24</v>
      </c>
      <c r="X55" s="295">
        <f t="shared" si="10"/>
        <v>4.032</v>
      </c>
      <c r="Y55" s="101">
        <v>30</v>
      </c>
      <c r="Z55" s="101">
        <v>70</v>
      </c>
    </row>
    <row r="56" spans="1:26" x14ac:dyDescent="0.25">
      <c r="A56" s="277">
        <v>52</v>
      </c>
      <c r="B56" s="283" t="s">
        <v>188</v>
      </c>
      <c r="C56" s="264">
        <v>140</v>
      </c>
      <c r="D56" s="264">
        <v>240</v>
      </c>
      <c r="E56" s="264">
        <v>10</v>
      </c>
      <c r="F56" s="19">
        <f t="shared" si="5"/>
        <v>0.33600000000000002</v>
      </c>
      <c r="G56" s="296">
        <v>54</v>
      </c>
      <c r="H56" s="299">
        <f t="shared" si="6"/>
        <v>18.144000000000002</v>
      </c>
      <c r="I56" s="290">
        <v>0</v>
      </c>
      <c r="J56" s="205">
        <f t="shared" ref="J56:J69" si="22">F56*I56</f>
        <v>0</v>
      </c>
      <c r="K56" s="290">
        <v>0</v>
      </c>
      <c r="L56" s="205">
        <f>F56*K56</f>
        <v>0</v>
      </c>
      <c r="M56" s="290">
        <v>0</v>
      </c>
      <c r="N56" s="205">
        <f t="shared" si="19"/>
        <v>0</v>
      </c>
      <c r="O56" s="290">
        <v>0</v>
      </c>
      <c r="P56" s="205">
        <f t="shared" si="20"/>
        <v>0</v>
      </c>
      <c r="Q56" s="290">
        <v>0</v>
      </c>
      <c r="R56" s="205">
        <f t="shared" si="21"/>
        <v>0</v>
      </c>
      <c r="S56" s="39">
        <f t="shared" si="7"/>
        <v>54</v>
      </c>
      <c r="T56" s="38">
        <f t="shared" si="4"/>
        <v>18.144000000000002</v>
      </c>
      <c r="U56" s="290">
        <v>0</v>
      </c>
      <c r="V56" s="13">
        <f t="shared" si="8"/>
        <v>0</v>
      </c>
      <c r="W56" s="294">
        <f t="shared" si="9"/>
        <v>54</v>
      </c>
      <c r="X56" s="295">
        <f t="shared" si="10"/>
        <v>18.144000000000002</v>
      </c>
      <c r="Y56" s="101">
        <v>20</v>
      </c>
      <c r="Z56" s="101">
        <v>50</v>
      </c>
    </row>
    <row r="57" spans="1:26" x14ac:dyDescent="0.25">
      <c r="A57" s="264">
        <v>53</v>
      </c>
      <c r="B57" s="101" t="s">
        <v>201</v>
      </c>
      <c r="C57" s="264">
        <v>52</v>
      </c>
      <c r="D57" s="264">
        <v>52</v>
      </c>
      <c r="E57" s="264">
        <v>5</v>
      </c>
      <c r="F57" s="19">
        <f t="shared" si="5"/>
        <v>1.3520000000000001E-2</v>
      </c>
      <c r="G57" s="296">
        <v>680</v>
      </c>
      <c r="H57" s="299">
        <f t="shared" si="6"/>
        <v>9.1936</v>
      </c>
      <c r="I57" s="290">
        <v>0</v>
      </c>
      <c r="J57" s="205">
        <f t="shared" si="22"/>
        <v>0</v>
      </c>
      <c r="K57" s="290">
        <v>50</v>
      </c>
      <c r="L57" s="205">
        <f t="shared" ref="L57:L65" si="23">F57*K57</f>
        <v>0.67600000000000005</v>
      </c>
      <c r="M57" s="290">
        <v>0</v>
      </c>
      <c r="N57" s="205">
        <f t="shared" si="19"/>
        <v>0</v>
      </c>
      <c r="O57" s="290">
        <v>0</v>
      </c>
      <c r="P57" s="205">
        <f t="shared" si="20"/>
        <v>0</v>
      </c>
      <c r="Q57" s="290">
        <v>0</v>
      </c>
      <c r="R57" s="205">
        <f t="shared" si="21"/>
        <v>0</v>
      </c>
      <c r="S57" s="39">
        <f t="shared" si="7"/>
        <v>630</v>
      </c>
      <c r="T57" s="38">
        <f t="shared" si="4"/>
        <v>8.5175999999999998</v>
      </c>
      <c r="U57" s="290">
        <v>0</v>
      </c>
      <c r="V57" s="13">
        <f t="shared" si="8"/>
        <v>0</v>
      </c>
      <c r="W57" s="294">
        <f t="shared" si="9"/>
        <v>630</v>
      </c>
      <c r="X57" s="295">
        <f t="shared" si="10"/>
        <v>8.5175999999999998</v>
      </c>
      <c r="Y57" s="101">
        <v>20</v>
      </c>
      <c r="Z57" s="101">
        <v>50</v>
      </c>
    </row>
    <row r="58" spans="1:26" x14ac:dyDescent="0.25">
      <c r="A58" s="264">
        <v>54</v>
      </c>
      <c r="B58" s="101" t="s">
        <v>193</v>
      </c>
      <c r="C58" s="264">
        <v>80</v>
      </c>
      <c r="D58" s="264">
        <v>75</v>
      </c>
      <c r="E58" s="264">
        <v>5</v>
      </c>
      <c r="F58" s="19">
        <f t="shared" si="5"/>
        <v>0.03</v>
      </c>
      <c r="G58" s="264">
        <v>175</v>
      </c>
      <c r="H58" s="299">
        <f t="shared" si="6"/>
        <v>5.25</v>
      </c>
      <c r="I58" s="290">
        <v>0</v>
      </c>
      <c r="J58" s="205">
        <f t="shared" si="22"/>
        <v>0</v>
      </c>
      <c r="K58" s="290">
        <v>0</v>
      </c>
      <c r="L58" s="205">
        <f t="shared" si="23"/>
        <v>0</v>
      </c>
      <c r="M58" s="290">
        <v>0</v>
      </c>
      <c r="N58" s="205">
        <f t="shared" si="19"/>
        <v>0</v>
      </c>
      <c r="O58" s="290">
        <v>0</v>
      </c>
      <c r="P58" s="205">
        <f t="shared" si="20"/>
        <v>0</v>
      </c>
      <c r="Q58" s="290">
        <v>0</v>
      </c>
      <c r="R58" s="205">
        <f t="shared" si="21"/>
        <v>0</v>
      </c>
      <c r="S58" s="39">
        <f t="shared" si="7"/>
        <v>175</v>
      </c>
      <c r="T58" s="38">
        <f t="shared" si="4"/>
        <v>5.25</v>
      </c>
      <c r="U58" s="290">
        <v>0</v>
      </c>
      <c r="V58" s="308">
        <f t="shared" si="8"/>
        <v>0</v>
      </c>
      <c r="W58" s="294">
        <f t="shared" si="9"/>
        <v>175</v>
      </c>
      <c r="X58" s="300">
        <f t="shared" si="10"/>
        <v>5.25</v>
      </c>
      <c r="Y58" s="101">
        <v>20</v>
      </c>
      <c r="Z58" s="101">
        <v>50</v>
      </c>
    </row>
    <row r="59" spans="1:26" x14ac:dyDescent="0.25">
      <c r="A59" s="264">
        <v>55</v>
      </c>
      <c r="B59" s="298" t="s">
        <v>228</v>
      </c>
      <c r="C59" s="264">
        <v>58</v>
      </c>
      <c r="D59" s="264">
        <v>25</v>
      </c>
      <c r="E59" s="264">
        <v>3</v>
      </c>
      <c r="F59" s="298">
        <f t="shared" si="5"/>
        <v>4.3499999999999997E-3</v>
      </c>
      <c r="G59" s="264">
        <v>502</v>
      </c>
      <c r="H59" s="299">
        <f t="shared" si="6"/>
        <v>2.1837</v>
      </c>
      <c r="I59" s="290">
        <v>7</v>
      </c>
      <c r="J59" s="205">
        <f t="shared" si="22"/>
        <v>3.0449999999999998E-2</v>
      </c>
      <c r="K59" s="290">
        <v>0</v>
      </c>
      <c r="L59" s="205">
        <f t="shared" si="23"/>
        <v>0</v>
      </c>
      <c r="M59" s="290">
        <v>0</v>
      </c>
      <c r="N59" s="205">
        <f t="shared" si="19"/>
        <v>0</v>
      </c>
      <c r="O59" s="290">
        <v>0</v>
      </c>
      <c r="P59" s="205">
        <f t="shared" si="20"/>
        <v>0</v>
      </c>
      <c r="Q59" s="290">
        <v>0</v>
      </c>
      <c r="R59" s="205">
        <f>F59*Q59</f>
        <v>0</v>
      </c>
      <c r="S59" s="39">
        <f t="shared" si="7"/>
        <v>495</v>
      </c>
      <c r="T59" s="38">
        <f t="shared" si="4"/>
        <v>2.1532499999999999</v>
      </c>
      <c r="U59" s="290">
        <v>0</v>
      </c>
      <c r="V59" s="309">
        <f t="shared" si="8"/>
        <v>0</v>
      </c>
      <c r="W59" s="294">
        <f t="shared" si="9"/>
        <v>495</v>
      </c>
      <c r="X59" s="300">
        <f t="shared" si="10"/>
        <v>2.1532499999999999</v>
      </c>
      <c r="Y59" s="101">
        <v>20</v>
      </c>
      <c r="Z59" s="101">
        <v>50</v>
      </c>
    </row>
    <row r="60" spans="1:26" x14ac:dyDescent="0.25">
      <c r="A60" s="264">
        <v>56</v>
      </c>
      <c r="B60" s="101" t="s">
        <v>195</v>
      </c>
      <c r="C60" s="264">
        <v>64</v>
      </c>
      <c r="D60" s="264">
        <v>58</v>
      </c>
      <c r="E60" s="264">
        <v>5</v>
      </c>
      <c r="F60" s="298">
        <f t="shared" si="5"/>
        <v>1.856E-2</v>
      </c>
      <c r="G60" s="264">
        <v>312</v>
      </c>
      <c r="H60" s="299">
        <f t="shared" si="6"/>
        <v>5.7907200000000003</v>
      </c>
      <c r="I60" s="290">
        <v>0</v>
      </c>
      <c r="J60" s="205">
        <f t="shared" si="22"/>
        <v>0</v>
      </c>
      <c r="K60" s="290">
        <v>0</v>
      </c>
      <c r="L60" s="205">
        <f t="shared" si="23"/>
        <v>0</v>
      </c>
      <c r="M60" s="290">
        <v>0</v>
      </c>
      <c r="N60" s="205">
        <f t="shared" si="19"/>
        <v>0</v>
      </c>
      <c r="O60" s="290">
        <v>0</v>
      </c>
      <c r="P60" s="205">
        <f t="shared" si="20"/>
        <v>0</v>
      </c>
      <c r="Q60" s="290">
        <v>0</v>
      </c>
      <c r="R60" s="205">
        <f t="shared" ref="R60:R65" si="24">F60*Q60</f>
        <v>0</v>
      </c>
      <c r="S60" s="39">
        <f t="shared" si="7"/>
        <v>312</v>
      </c>
      <c r="T60" s="38">
        <f t="shared" si="4"/>
        <v>5.7907200000000003</v>
      </c>
      <c r="U60" s="290">
        <v>0</v>
      </c>
      <c r="V60" s="309">
        <f t="shared" si="8"/>
        <v>0</v>
      </c>
      <c r="W60" s="294">
        <f t="shared" si="9"/>
        <v>312</v>
      </c>
      <c r="X60" s="301">
        <f t="shared" si="10"/>
        <v>5.7907200000000003</v>
      </c>
      <c r="Y60" s="101">
        <v>20</v>
      </c>
      <c r="Z60" s="101">
        <v>50</v>
      </c>
    </row>
    <row r="61" spans="1:26" x14ac:dyDescent="0.25">
      <c r="A61" s="264">
        <v>57</v>
      </c>
      <c r="B61" s="101" t="s">
        <v>197</v>
      </c>
      <c r="C61" s="264">
        <v>65</v>
      </c>
      <c r="D61" s="264">
        <v>65</v>
      </c>
      <c r="E61" s="264">
        <v>5</v>
      </c>
      <c r="F61" s="101">
        <f t="shared" si="5"/>
        <v>2.1125000000000001E-2</v>
      </c>
      <c r="G61" s="264">
        <v>360</v>
      </c>
      <c r="H61" s="299">
        <f t="shared" si="6"/>
        <v>7.6050000000000004</v>
      </c>
      <c r="I61" s="290">
        <v>0</v>
      </c>
      <c r="J61" s="205">
        <f t="shared" si="22"/>
        <v>0</v>
      </c>
      <c r="K61" s="290">
        <v>0</v>
      </c>
      <c r="L61" s="205">
        <f t="shared" si="23"/>
        <v>0</v>
      </c>
      <c r="M61" s="290">
        <v>0</v>
      </c>
      <c r="N61" s="174">
        <f t="shared" si="19"/>
        <v>0</v>
      </c>
      <c r="O61" s="290">
        <v>0</v>
      </c>
      <c r="P61" s="205">
        <f t="shared" si="20"/>
        <v>0</v>
      </c>
      <c r="Q61" s="290">
        <v>0</v>
      </c>
      <c r="R61" s="205">
        <f t="shared" si="24"/>
        <v>0</v>
      </c>
      <c r="S61" s="39">
        <f t="shared" si="7"/>
        <v>360</v>
      </c>
      <c r="T61" s="38">
        <f t="shared" si="4"/>
        <v>7.6050000000000004</v>
      </c>
      <c r="U61" s="290">
        <v>0</v>
      </c>
      <c r="V61" s="309">
        <f t="shared" si="8"/>
        <v>0</v>
      </c>
      <c r="W61" s="294">
        <f t="shared" si="9"/>
        <v>360</v>
      </c>
      <c r="X61" s="300">
        <f t="shared" si="10"/>
        <v>7.6050000000000004</v>
      </c>
      <c r="Y61" s="101">
        <v>20</v>
      </c>
      <c r="Z61" s="101">
        <v>50</v>
      </c>
    </row>
    <row r="62" spans="1:26" x14ac:dyDescent="0.25">
      <c r="A62" s="264">
        <v>58</v>
      </c>
      <c r="B62" s="101" t="s">
        <v>231</v>
      </c>
      <c r="C62" s="264">
        <v>83</v>
      </c>
      <c r="D62" s="264">
        <v>55</v>
      </c>
      <c r="E62" s="264">
        <v>3</v>
      </c>
      <c r="F62" s="101">
        <f t="shared" si="5"/>
        <v>1.3695000000000001E-2</v>
      </c>
      <c r="G62" s="264">
        <v>174</v>
      </c>
      <c r="H62" s="299">
        <f t="shared" si="6"/>
        <v>2.38293</v>
      </c>
      <c r="I62" s="290">
        <v>0</v>
      </c>
      <c r="J62" s="205">
        <f t="shared" si="22"/>
        <v>0</v>
      </c>
      <c r="K62" s="290">
        <v>0</v>
      </c>
      <c r="L62" s="205">
        <f t="shared" si="23"/>
        <v>0</v>
      </c>
      <c r="M62" s="290">
        <v>0</v>
      </c>
      <c r="N62" s="174">
        <f t="shared" si="19"/>
        <v>0</v>
      </c>
      <c r="O62" s="290">
        <v>0</v>
      </c>
      <c r="P62" s="205">
        <f t="shared" si="20"/>
        <v>0</v>
      </c>
      <c r="Q62" s="290">
        <v>0</v>
      </c>
      <c r="R62" s="205">
        <f t="shared" si="24"/>
        <v>0</v>
      </c>
      <c r="S62" s="39">
        <f t="shared" si="7"/>
        <v>174</v>
      </c>
      <c r="T62" s="38">
        <f t="shared" si="4"/>
        <v>2.38293</v>
      </c>
      <c r="U62" s="290">
        <v>45</v>
      </c>
      <c r="V62" s="309">
        <f t="shared" si="8"/>
        <v>0.61627500000000002</v>
      </c>
      <c r="W62" s="294">
        <f t="shared" si="9"/>
        <v>219</v>
      </c>
      <c r="X62" s="300">
        <f t="shared" si="10"/>
        <v>2.9992050000000003</v>
      </c>
      <c r="Y62" s="101">
        <v>20</v>
      </c>
      <c r="Z62" s="101">
        <v>50</v>
      </c>
    </row>
    <row r="63" spans="1:26" x14ac:dyDescent="0.25">
      <c r="A63" s="264">
        <v>59</v>
      </c>
      <c r="B63" s="101" t="s">
        <v>233</v>
      </c>
      <c r="C63" s="264">
        <v>75</v>
      </c>
      <c r="D63" s="264">
        <v>55</v>
      </c>
      <c r="E63" s="264">
        <v>3</v>
      </c>
      <c r="F63" s="101">
        <f t="shared" si="5"/>
        <v>1.2375000000000001E-2</v>
      </c>
      <c r="G63" s="264">
        <v>155</v>
      </c>
      <c r="H63" s="299">
        <f t="shared" si="6"/>
        <v>1.9181250000000001</v>
      </c>
      <c r="I63" s="290">
        <v>0</v>
      </c>
      <c r="J63" s="205">
        <f t="shared" si="22"/>
        <v>0</v>
      </c>
      <c r="K63" s="290">
        <v>0</v>
      </c>
      <c r="L63" s="205">
        <f t="shared" si="23"/>
        <v>0</v>
      </c>
      <c r="M63" s="290">
        <v>0</v>
      </c>
      <c r="N63" s="174">
        <f t="shared" si="19"/>
        <v>0</v>
      </c>
      <c r="O63" s="290">
        <v>0</v>
      </c>
      <c r="P63" s="205">
        <f t="shared" si="20"/>
        <v>0</v>
      </c>
      <c r="Q63" s="290">
        <v>0</v>
      </c>
      <c r="R63" s="205">
        <f t="shared" si="24"/>
        <v>0</v>
      </c>
      <c r="S63" s="39">
        <f t="shared" si="7"/>
        <v>155</v>
      </c>
      <c r="T63" s="38">
        <f t="shared" si="4"/>
        <v>1.9181250000000001</v>
      </c>
      <c r="U63" s="290">
        <v>0</v>
      </c>
      <c r="V63" s="309">
        <f t="shared" si="8"/>
        <v>0</v>
      </c>
      <c r="W63" s="294">
        <f t="shared" si="9"/>
        <v>155</v>
      </c>
      <c r="X63" s="300">
        <f t="shared" si="10"/>
        <v>1.9181250000000001</v>
      </c>
      <c r="Y63" s="101">
        <v>20</v>
      </c>
      <c r="Z63" s="101">
        <v>50</v>
      </c>
    </row>
    <row r="64" spans="1:26" x14ac:dyDescent="0.25">
      <c r="A64" s="264">
        <v>60</v>
      </c>
      <c r="B64" s="101" t="s">
        <v>200</v>
      </c>
      <c r="C64" s="264">
        <v>58</v>
      </c>
      <c r="D64" s="264">
        <v>19</v>
      </c>
      <c r="E64" s="264">
        <v>3</v>
      </c>
      <c r="F64" s="101">
        <f t="shared" si="5"/>
        <v>3.3059999999999999E-3</v>
      </c>
      <c r="G64" s="264">
        <v>170</v>
      </c>
      <c r="H64" s="299">
        <f t="shared" si="6"/>
        <v>0.56201999999999996</v>
      </c>
      <c r="I64" s="290">
        <v>0</v>
      </c>
      <c r="J64" s="205">
        <f t="shared" si="22"/>
        <v>0</v>
      </c>
      <c r="K64" s="290">
        <v>0</v>
      </c>
      <c r="L64" s="205">
        <f t="shared" si="23"/>
        <v>0</v>
      </c>
      <c r="M64" s="290">
        <v>0</v>
      </c>
      <c r="N64" s="174">
        <f t="shared" si="19"/>
        <v>0</v>
      </c>
      <c r="O64" s="290">
        <v>0</v>
      </c>
      <c r="P64" s="205">
        <f t="shared" si="20"/>
        <v>0</v>
      </c>
      <c r="Q64" s="290">
        <v>0</v>
      </c>
      <c r="R64" s="205">
        <f t="shared" si="24"/>
        <v>0</v>
      </c>
      <c r="S64" s="39">
        <f t="shared" si="7"/>
        <v>170</v>
      </c>
      <c r="T64" s="38">
        <f t="shared" si="4"/>
        <v>0.56201999999999996</v>
      </c>
      <c r="U64" s="290">
        <v>0</v>
      </c>
      <c r="V64" s="309">
        <f t="shared" si="8"/>
        <v>0</v>
      </c>
      <c r="W64" s="294">
        <f t="shared" si="9"/>
        <v>170</v>
      </c>
      <c r="X64" s="300">
        <f t="shared" si="10"/>
        <v>0.56201999999999996</v>
      </c>
      <c r="Y64" s="101">
        <v>20</v>
      </c>
      <c r="Z64" s="101">
        <v>50</v>
      </c>
    </row>
    <row r="65" spans="1:26" x14ac:dyDescent="0.25">
      <c r="A65" s="264">
        <v>61</v>
      </c>
      <c r="B65" s="101" t="s">
        <v>202</v>
      </c>
      <c r="C65" s="264">
        <v>140</v>
      </c>
      <c r="D65" s="264">
        <v>240</v>
      </c>
      <c r="E65" s="264">
        <v>4</v>
      </c>
      <c r="F65" s="101">
        <f t="shared" si="5"/>
        <v>0.13439999999999999</v>
      </c>
      <c r="G65" s="264">
        <v>85</v>
      </c>
      <c r="H65" s="299">
        <f t="shared" si="6"/>
        <v>11.423999999999999</v>
      </c>
      <c r="I65" s="290">
        <v>0</v>
      </c>
      <c r="J65" s="205">
        <f t="shared" si="22"/>
        <v>0</v>
      </c>
      <c r="K65" s="290">
        <v>0</v>
      </c>
      <c r="L65" s="205">
        <f t="shared" si="23"/>
        <v>0</v>
      </c>
      <c r="M65" s="290">
        <v>0</v>
      </c>
      <c r="N65" s="174">
        <f t="shared" si="19"/>
        <v>0</v>
      </c>
      <c r="O65" s="290">
        <v>0</v>
      </c>
      <c r="P65" s="205">
        <f t="shared" si="20"/>
        <v>0</v>
      </c>
      <c r="Q65" s="290">
        <v>0</v>
      </c>
      <c r="R65" s="205">
        <f t="shared" si="24"/>
        <v>0</v>
      </c>
      <c r="S65" s="39">
        <f t="shared" si="7"/>
        <v>85</v>
      </c>
      <c r="T65" s="38">
        <f t="shared" si="4"/>
        <v>11.423999999999999</v>
      </c>
      <c r="U65" s="290">
        <v>0</v>
      </c>
      <c r="V65" s="309">
        <f t="shared" si="8"/>
        <v>0</v>
      </c>
      <c r="W65" s="294">
        <f t="shared" si="9"/>
        <v>85</v>
      </c>
      <c r="X65" s="300">
        <f t="shared" si="10"/>
        <v>11.423999999999999</v>
      </c>
      <c r="Y65" s="101">
        <v>30</v>
      </c>
      <c r="Z65" s="101">
        <v>70</v>
      </c>
    </row>
    <row r="66" spans="1:26" x14ac:dyDescent="0.25">
      <c r="A66" s="264">
        <v>62</v>
      </c>
      <c r="B66" s="101" t="s">
        <v>203</v>
      </c>
      <c r="C66" s="264">
        <v>50</v>
      </c>
      <c r="D66" s="264">
        <v>46.5</v>
      </c>
      <c r="E66" s="264">
        <v>3</v>
      </c>
      <c r="F66" s="101">
        <f t="shared" si="5"/>
        <v>6.9750000000000003E-3</v>
      </c>
      <c r="G66" s="264">
        <v>593</v>
      </c>
      <c r="H66" s="289">
        <f t="shared" si="6"/>
        <v>4.1361750000000006</v>
      </c>
      <c r="I66" s="290">
        <v>0</v>
      </c>
      <c r="J66" s="205">
        <f t="shared" si="22"/>
        <v>0</v>
      </c>
      <c r="K66" s="290">
        <v>0</v>
      </c>
      <c r="L66" s="101"/>
      <c r="M66" s="290">
        <v>0</v>
      </c>
      <c r="N66" s="264">
        <f t="shared" si="19"/>
        <v>0</v>
      </c>
      <c r="O66" s="290">
        <v>0</v>
      </c>
      <c r="P66" s="264">
        <f t="shared" si="20"/>
        <v>0</v>
      </c>
      <c r="Q66" s="290">
        <v>0</v>
      </c>
      <c r="R66" s="101"/>
      <c r="S66" s="39">
        <f t="shared" si="7"/>
        <v>593</v>
      </c>
      <c r="T66" s="38">
        <f t="shared" si="4"/>
        <v>4.1361750000000006</v>
      </c>
      <c r="U66" s="290">
        <v>0</v>
      </c>
      <c r="V66" s="309">
        <f t="shared" si="8"/>
        <v>0</v>
      </c>
      <c r="W66" s="294">
        <f t="shared" si="9"/>
        <v>593</v>
      </c>
      <c r="X66" s="300">
        <f t="shared" si="10"/>
        <v>4.1361750000000006</v>
      </c>
      <c r="Y66" s="101">
        <v>500</v>
      </c>
      <c r="Z66" s="101">
        <v>1000</v>
      </c>
    </row>
    <row r="67" spans="1:26" x14ac:dyDescent="0.25">
      <c r="A67" s="264">
        <v>63</v>
      </c>
      <c r="B67" s="101" t="s">
        <v>204</v>
      </c>
      <c r="C67" s="264">
        <v>50</v>
      </c>
      <c r="D67" s="264">
        <v>35</v>
      </c>
      <c r="E67" s="264">
        <v>3</v>
      </c>
      <c r="F67" s="101">
        <f t="shared" si="5"/>
        <v>5.2500000000000003E-3</v>
      </c>
      <c r="G67" s="264">
        <v>631</v>
      </c>
      <c r="H67" s="289">
        <f t="shared" si="6"/>
        <v>3.3127500000000003</v>
      </c>
      <c r="I67" s="290">
        <v>0</v>
      </c>
      <c r="J67" s="205">
        <f t="shared" si="22"/>
        <v>0</v>
      </c>
      <c r="K67" s="290">
        <v>0</v>
      </c>
      <c r="L67" s="205">
        <f t="shared" ref="L67" si="25">F67*K67</f>
        <v>0</v>
      </c>
      <c r="M67" s="290">
        <v>0</v>
      </c>
      <c r="N67" s="264">
        <f t="shared" si="19"/>
        <v>0</v>
      </c>
      <c r="O67" s="290">
        <v>0</v>
      </c>
      <c r="P67" s="264"/>
      <c r="Q67" s="290">
        <v>0</v>
      </c>
      <c r="R67" s="264"/>
      <c r="S67" s="39">
        <f t="shared" si="7"/>
        <v>631</v>
      </c>
      <c r="T67" s="38">
        <f t="shared" si="4"/>
        <v>3.3127500000000003</v>
      </c>
      <c r="U67" s="290">
        <v>0</v>
      </c>
      <c r="V67" s="309">
        <f t="shared" si="8"/>
        <v>0</v>
      </c>
      <c r="W67" s="294">
        <f t="shared" si="9"/>
        <v>631</v>
      </c>
      <c r="X67" s="300">
        <f t="shared" si="10"/>
        <v>3.3127500000000003</v>
      </c>
      <c r="Y67" s="101">
        <v>500</v>
      </c>
      <c r="Z67" s="101">
        <v>1000</v>
      </c>
    </row>
    <row r="68" spans="1:26" x14ac:dyDescent="0.25">
      <c r="A68" s="264">
        <v>64</v>
      </c>
      <c r="B68" s="101" t="s">
        <v>205</v>
      </c>
      <c r="C68" s="264">
        <v>140</v>
      </c>
      <c r="D68" s="264">
        <v>240</v>
      </c>
      <c r="E68" s="264">
        <v>8</v>
      </c>
      <c r="F68" s="101">
        <f t="shared" si="5"/>
        <v>0.26879999999999998</v>
      </c>
      <c r="G68" s="264">
        <v>2</v>
      </c>
      <c r="H68" s="289">
        <f t="shared" si="6"/>
        <v>0.53759999999999997</v>
      </c>
      <c r="I68" s="290">
        <v>0</v>
      </c>
      <c r="J68" s="264">
        <f t="shared" si="22"/>
        <v>0</v>
      </c>
      <c r="K68" s="290">
        <v>0</v>
      </c>
      <c r="L68" s="264"/>
      <c r="M68" s="290">
        <v>0</v>
      </c>
      <c r="N68" s="264">
        <v>0</v>
      </c>
      <c r="O68" s="290">
        <v>0</v>
      </c>
      <c r="P68" s="264"/>
      <c r="Q68" s="290">
        <v>0</v>
      </c>
      <c r="R68" s="264">
        <v>0</v>
      </c>
      <c r="S68" s="39">
        <f t="shared" si="7"/>
        <v>2</v>
      </c>
      <c r="T68" s="38">
        <f t="shared" si="4"/>
        <v>0.53759999999999997</v>
      </c>
      <c r="U68" s="290">
        <v>0</v>
      </c>
      <c r="V68" s="309">
        <v>0</v>
      </c>
      <c r="W68" s="294">
        <f t="shared" si="9"/>
        <v>2</v>
      </c>
      <c r="X68" s="300">
        <f t="shared" si="10"/>
        <v>0.53759999999999997</v>
      </c>
      <c r="Y68" s="101">
        <v>50</v>
      </c>
      <c r="Z68" s="101">
        <v>100</v>
      </c>
    </row>
    <row r="69" spans="1:26" x14ac:dyDescent="0.25">
      <c r="A69" s="264">
        <v>65</v>
      </c>
      <c r="B69" s="101" t="s">
        <v>206</v>
      </c>
      <c r="C69" s="264">
        <v>140</v>
      </c>
      <c r="D69" s="264">
        <v>240</v>
      </c>
      <c r="E69" s="264">
        <v>2</v>
      </c>
      <c r="F69" s="101">
        <f t="shared" si="5"/>
        <v>6.7199999999999996E-2</v>
      </c>
      <c r="G69" s="264">
        <v>80</v>
      </c>
      <c r="H69" s="289">
        <f t="shared" si="6"/>
        <v>5.3759999999999994</v>
      </c>
      <c r="I69" s="290">
        <v>0</v>
      </c>
      <c r="J69" s="264">
        <f t="shared" si="22"/>
        <v>0</v>
      </c>
      <c r="K69" s="290">
        <v>0</v>
      </c>
      <c r="L69" s="264"/>
      <c r="M69" s="290">
        <v>0</v>
      </c>
      <c r="N69" s="174">
        <v>0</v>
      </c>
      <c r="O69" s="290">
        <v>0</v>
      </c>
      <c r="P69" s="264">
        <f t="shared" ref="P69" si="26">F69*O69</f>
        <v>0</v>
      </c>
      <c r="Q69" s="290">
        <v>0</v>
      </c>
      <c r="R69" s="205">
        <f t="shared" ref="R69" si="27">F69*Q69</f>
        <v>0</v>
      </c>
      <c r="S69" s="39">
        <f t="shared" si="7"/>
        <v>80</v>
      </c>
      <c r="T69" s="38">
        <f t="shared" ref="T69:T72" si="28">F69*S69</f>
        <v>5.3759999999999994</v>
      </c>
      <c r="U69" s="290">
        <v>0</v>
      </c>
      <c r="V69" s="309">
        <f t="shared" si="8"/>
        <v>0</v>
      </c>
      <c r="W69" s="294">
        <f t="shared" si="9"/>
        <v>80</v>
      </c>
      <c r="X69" s="300">
        <f t="shared" si="10"/>
        <v>5.3759999999999994</v>
      </c>
      <c r="Y69" s="101">
        <v>70</v>
      </c>
      <c r="Z69" s="101">
        <v>200</v>
      </c>
    </row>
    <row r="70" spans="1:26" x14ac:dyDescent="0.25">
      <c r="A70" s="264">
        <v>66</v>
      </c>
      <c r="B70" s="101" t="s">
        <v>213</v>
      </c>
      <c r="C70" s="264"/>
      <c r="D70" s="264"/>
      <c r="E70" s="264"/>
      <c r="F70" s="101"/>
      <c r="G70" s="264">
        <v>355</v>
      </c>
      <c r="H70" s="289"/>
      <c r="I70" s="290">
        <v>0</v>
      </c>
      <c r="J70" s="264"/>
      <c r="K70" s="290">
        <v>0</v>
      </c>
      <c r="L70" s="264"/>
      <c r="M70" s="290">
        <v>0</v>
      </c>
      <c r="N70" s="264">
        <f t="shared" si="19"/>
        <v>0</v>
      </c>
      <c r="O70" s="290">
        <v>0</v>
      </c>
      <c r="P70" s="264"/>
      <c r="Q70" s="290">
        <v>0</v>
      </c>
      <c r="R70" s="264"/>
      <c r="S70" s="39">
        <f t="shared" ref="S70:S73" si="29">G70-I70-K70-M70-O70-Q70</f>
        <v>355</v>
      </c>
      <c r="T70" s="38">
        <f t="shared" si="28"/>
        <v>0</v>
      </c>
      <c r="U70" s="290">
        <v>0</v>
      </c>
      <c r="V70" s="309">
        <f t="shared" ref="V70" si="30">F70*U70</f>
        <v>0</v>
      </c>
      <c r="W70" s="294">
        <f t="shared" ref="W70:W73" si="31">S70+U70</f>
        <v>355</v>
      </c>
      <c r="X70" s="300">
        <f t="shared" ref="X70" si="32">F70*W70</f>
        <v>0</v>
      </c>
      <c r="Y70" s="101">
        <v>50</v>
      </c>
      <c r="Z70" s="101">
        <v>100</v>
      </c>
    </row>
    <row r="71" spans="1:26" x14ac:dyDescent="0.25">
      <c r="A71" s="277">
        <v>67</v>
      </c>
      <c r="B71" s="317" t="s">
        <v>224</v>
      </c>
      <c r="C71" s="101"/>
      <c r="D71" s="101"/>
      <c r="E71" s="101"/>
      <c r="F71" s="101"/>
      <c r="G71" s="277">
        <v>141</v>
      </c>
      <c r="H71" s="101"/>
      <c r="I71" s="290">
        <v>0</v>
      </c>
      <c r="J71" s="101"/>
      <c r="K71" s="290">
        <v>0</v>
      </c>
      <c r="L71" s="101"/>
      <c r="M71" s="290">
        <v>0</v>
      </c>
      <c r="N71" s="101"/>
      <c r="O71" s="290">
        <v>0</v>
      </c>
      <c r="P71" s="101"/>
      <c r="Q71" s="290">
        <v>0</v>
      </c>
      <c r="R71" s="101"/>
      <c r="S71" s="39">
        <f t="shared" si="29"/>
        <v>141</v>
      </c>
      <c r="T71" s="38">
        <f t="shared" si="28"/>
        <v>0</v>
      </c>
      <c r="U71" s="290">
        <v>0</v>
      </c>
      <c r="V71" s="101"/>
      <c r="W71" s="294">
        <f t="shared" si="31"/>
        <v>141</v>
      </c>
      <c r="X71" s="101"/>
      <c r="Y71" s="101">
        <v>50</v>
      </c>
      <c r="Z71" s="101">
        <v>100</v>
      </c>
    </row>
    <row r="72" spans="1:26" x14ac:dyDescent="0.25">
      <c r="A72" s="264">
        <v>68</v>
      </c>
      <c r="B72" s="317" t="s">
        <v>225</v>
      </c>
      <c r="C72" s="101"/>
      <c r="D72" s="101"/>
      <c r="E72" s="101"/>
      <c r="F72" s="101"/>
      <c r="G72" s="277">
        <v>75</v>
      </c>
      <c r="H72" s="101"/>
      <c r="I72" s="290">
        <v>0</v>
      </c>
      <c r="J72" s="101"/>
      <c r="K72" s="290">
        <v>0</v>
      </c>
      <c r="L72" s="101"/>
      <c r="M72" s="290">
        <v>0</v>
      </c>
      <c r="N72" s="101"/>
      <c r="O72" s="290">
        <v>0</v>
      </c>
      <c r="P72" s="101"/>
      <c r="Q72" s="290">
        <v>0</v>
      </c>
      <c r="R72" s="101"/>
      <c r="S72" s="39">
        <f t="shared" si="29"/>
        <v>75</v>
      </c>
      <c r="T72" s="38">
        <f t="shared" si="28"/>
        <v>0</v>
      </c>
      <c r="U72" s="290">
        <v>0</v>
      </c>
      <c r="V72" s="101"/>
      <c r="W72" s="294">
        <f t="shared" si="31"/>
        <v>75</v>
      </c>
      <c r="X72" s="101"/>
      <c r="Y72" s="101">
        <v>50</v>
      </c>
      <c r="Z72" s="101">
        <v>100</v>
      </c>
    </row>
    <row r="73" spans="1:26" x14ac:dyDescent="0.25">
      <c r="A73" s="277">
        <v>69</v>
      </c>
      <c r="B73" s="317" t="s">
        <v>232</v>
      </c>
      <c r="C73" s="101"/>
      <c r="D73" s="101"/>
      <c r="E73" s="101"/>
      <c r="F73" s="101"/>
      <c r="G73" s="277">
        <v>148</v>
      </c>
      <c r="H73" s="101"/>
      <c r="I73" s="290">
        <v>0</v>
      </c>
      <c r="J73" s="101"/>
      <c r="K73" s="290">
        <v>0</v>
      </c>
      <c r="L73" s="101"/>
      <c r="M73" s="290">
        <v>0</v>
      </c>
      <c r="N73" s="101"/>
      <c r="O73" s="290">
        <v>0</v>
      </c>
      <c r="P73" s="101"/>
      <c r="Q73" s="290">
        <v>0</v>
      </c>
      <c r="R73" s="101"/>
      <c r="S73" s="39">
        <f t="shared" si="29"/>
        <v>148</v>
      </c>
      <c r="T73" s="101"/>
      <c r="U73" s="290">
        <v>0</v>
      </c>
      <c r="V73" s="101"/>
      <c r="W73" s="294">
        <f t="shared" si="31"/>
        <v>148</v>
      </c>
      <c r="X73" s="101"/>
      <c r="Y73" s="101">
        <v>50</v>
      </c>
      <c r="Z73" s="101">
        <v>200</v>
      </c>
    </row>
    <row r="74" spans="1:26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1:26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1:26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1:26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1:26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</sheetData>
  <mergeCells count="24">
    <mergeCell ref="S4:T4"/>
    <mergeCell ref="U4:V4"/>
    <mergeCell ref="W4:X4"/>
    <mergeCell ref="G4:H4"/>
    <mergeCell ref="I4:J4"/>
    <mergeCell ref="K4:L4"/>
    <mergeCell ref="M4:N4"/>
    <mergeCell ref="O4:P4"/>
    <mergeCell ref="Q4:R4"/>
    <mergeCell ref="Q2:R2"/>
    <mergeCell ref="S2:T3"/>
    <mergeCell ref="U2:V3"/>
    <mergeCell ref="W2:X3"/>
    <mergeCell ref="I3:J3"/>
    <mergeCell ref="K3:L3"/>
    <mergeCell ref="M3:N3"/>
    <mergeCell ref="O3:P3"/>
    <mergeCell ref="Q3:R3"/>
    <mergeCell ref="O2:P2"/>
    <mergeCell ref="C1:H1"/>
    <mergeCell ref="G2:H3"/>
    <mergeCell ref="I2:J2"/>
    <mergeCell ref="K2:L2"/>
    <mergeCell ref="M2:N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57</vt:i4>
      </vt:variant>
      <vt:variant>
        <vt:lpstr>Adlandırılmış Aralıklar</vt:lpstr>
      </vt:variant>
      <vt:variant>
        <vt:i4>1</vt:i4>
      </vt:variant>
    </vt:vector>
  </HeadingPairs>
  <TitlesOfParts>
    <vt:vector size="58" baseType="lpstr">
      <vt:lpstr>KASIM 5 HAFTA   (2)</vt:lpstr>
      <vt:lpstr>KASIM 3 HAFTA  (2)</vt:lpstr>
      <vt:lpstr>AĞUSTOS 5. HAFTA</vt:lpstr>
      <vt:lpstr>EYLÜL 1. HAFTA</vt:lpstr>
      <vt:lpstr>EYLÜL 2. HAFTA </vt:lpstr>
      <vt:lpstr>EYLÜL 3. HAFTA</vt:lpstr>
      <vt:lpstr>EYLÜL 4. HAFTA</vt:lpstr>
      <vt:lpstr>EKİM 1 HAFTA</vt:lpstr>
      <vt:lpstr>EKİM 2 HAFTA </vt:lpstr>
      <vt:lpstr>EKİM 3 HAFTA </vt:lpstr>
      <vt:lpstr>EKİM 4 HAFTA </vt:lpstr>
      <vt:lpstr>KASIM 1 HAFTA</vt:lpstr>
      <vt:lpstr>KASIM 2 HAFTA </vt:lpstr>
      <vt:lpstr>KASIM 3 HAFTA </vt:lpstr>
      <vt:lpstr>KASIM 4 HAFTA  </vt:lpstr>
      <vt:lpstr>KASIM 5 HAFTA  </vt:lpstr>
      <vt:lpstr>ARALIK 1 HAFTA</vt:lpstr>
      <vt:lpstr>ARALIK 2 HAFTA</vt:lpstr>
      <vt:lpstr>ARALIK 3 HAFTA </vt:lpstr>
      <vt:lpstr>ARALIK 4 HAFTA </vt:lpstr>
      <vt:lpstr>OCAK 1.HAFTA</vt:lpstr>
      <vt:lpstr>OCAK 2.HAFTA </vt:lpstr>
      <vt:lpstr>OCAK 3.HAFTA </vt:lpstr>
      <vt:lpstr>OCAK 4.HAFTA</vt:lpstr>
      <vt:lpstr>OCAK 5.ŞUBAT 1HAFTA </vt:lpstr>
      <vt:lpstr>HAZ-TEM 2023</vt:lpstr>
      <vt:lpstr>TEMMUZ 2023</vt:lpstr>
      <vt:lpstr>AĞUSTOS 2023</vt:lpstr>
      <vt:lpstr>EYLÜL 2023</vt:lpstr>
      <vt:lpstr>EKİM 2023</vt:lpstr>
      <vt:lpstr>KASIM 2023</vt:lpstr>
      <vt:lpstr>ARALIK2023</vt:lpstr>
      <vt:lpstr>OCAK 2024</vt:lpstr>
      <vt:lpstr>ŞUBAT 2024</vt:lpstr>
      <vt:lpstr>MART 2024</vt:lpstr>
      <vt:lpstr>NİSAN 2024</vt:lpstr>
      <vt:lpstr>MAYIS 2024</vt:lpstr>
      <vt:lpstr>HAZİRAN 2024</vt:lpstr>
      <vt:lpstr>TEMMUZ 2024</vt:lpstr>
      <vt:lpstr>AĞUSTOS 2024</vt:lpstr>
      <vt:lpstr>EYLÜL 2024</vt:lpstr>
      <vt:lpstr>EKİM 2024</vt:lpstr>
      <vt:lpstr>KASIM 2024</vt:lpstr>
      <vt:lpstr>OCAK 2025</vt:lpstr>
      <vt:lpstr>ŞUBAT 2025</vt:lpstr>
      <vt:lpstr>MART 2025</vt:lpstr>
      <vt:lpstr>NİSAN 2025</vt:lpstr>
      <vt:lpstr>MAYIS 2025</vt:lpstr>
      <vt:lpstr>HAZİRAN 2025</vt:lpstr>
      <vt:lpstr>TEMMUZ 2025</vt:lpstr>
      <vt:lpstr>AĞUSTOS 2025</vt:lpstr>
      <vt:lpstr>EYLÜL 2025</vt:lpstr>
      <vt:lpstr>EKİM 2025</vt:lpstr>
      <vt:lpstr>KASIM 2025</vt:lpstr>
      <vt:lpstr>ARALIK 2025</vt:lpstr>
      <vt:lpstr>OCAK 2026</vt:lpstr>
      <vt:lpstr>ŞUBAT 2026</vt:lpstr>
      <vt:lpstr>'AĞUSTOS 5. HAFTA'!Yazdırma_Alanı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Abdulkerim Gürsoy</dc:creator>
  <cp:lastModifiedBy>Abdulkerim Gürsoy</cp:lastModifiedBy>
  <cp:lastPrinted>2022-08-26T08:36:40Z</cp:lastPrinted>
  <dcterms:created xsi:type="dcterms:W3CDTF">2022-08-18T08:24:46Z</dcterms:created>
  <dcterms:modified xsi:type="dcterms:W3CDTF">2026-02-24T07:43:25Z</dcterms:modified>
</cp:coreProperties>
</file>