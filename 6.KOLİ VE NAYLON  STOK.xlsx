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D56CF42-6453-47AC-B127-C42C39D597D9}" xr6:coauthVersionLast="47" xr6:coauthVersionMax="47" xr10:uidLastSave="{00000000-0000-0000-0000-000000000000}"/>
  <bookViews>
    <workbookView xWindow="-120" yWindow="-120" windowWidth="24240" windowHeight="13020" tabRatio="627" firstSheet="23" activeTab="28" xr2:uid="{00000000-000D-0000-FFFF-FFFF00000000}"/>
  </bookViews>
  <sheets>
    <sheet name="KASIM2023" sheetId="1" r:id="rId1"/>
    <sheet name="ALT DEPO DERİ,KMŞ." sheetId="2" r:id="rId2"/>
    <sheet name="MAGAZA" sheetId="3" r:id="rId3"/>
    <sheet name="ARALIK2023" sheetId="4" r:id="rId4"/>
    <sheet name="OCAK 2024" sheetId="5" r:id="rId5"/>
    <sheet name="ŞUBAT 2024" sheetId="6" r:id="rId6"/>
    <sheet name="MART 2024" sheetId="7" r:id="rId7"/>
    <sheet name="NİSAN 2024" sheetId="8" r:id="rId8"/>
    <sheet name="MAYIS 2024" sheetId="9" r:id="rId9"/>
    <sheet name="HAZİRAN 2024" sheetId="10" r:id="rId10"/>
    <sheet name="TEMMUZ 2024" sheetId="11" r:id="rId11"/>
    <sheet name="AĞUSTOS 2024" sheetId="12" r:id="rId12"/>
    <sheet name="EYLÜL 2024" sheetId="13" r:id="rId13"/>
    <sheet name="EKİM 2024" sheetId="14" r:id="rId14"/>
    <sheet name="KASIM 2024" sheetId="15" r:id="rId15"/>
    <sheet name="OCAK 2025" sheetId="16" r:id="rId16"/>
    <sheet name="ŞUBAT 2025" sheetId="17" r:id="rId17"/>
    <sheet name="MART 2025" sheetId="18" r:id="rId18"/>
    <sheet name="NİSAN 2025" sheetId="19" r:id="rId19"/>
    <sheet name="MAYIS 2025" sheetId="20" r:id="rId20"/>
    <sheet name="HAZİRAN 2025" sheetId="21" r:id="rId21"/>
    <sheet name="TEMMUZ 2025" sheetId="22" r:id="rId22"/>
    <sheet name="AĞUSTOS 2025" sheetId="23" r:id="rId23"/>
    <sheet name="EYLÜL 2025" sheetId="25" r:id="rId24"/>
    <sheet name="EKİM 2025" sheetId="27" r:id="rId25"/>
    <sheet name="KASIM 2025" sheetId="28" r:id="rId26"/>
    <sheet name="ARALIK 2025" sheetId="29" r:id="rId27"/>
    <sheet name="OCAK 2026" sheetId="31" r:id="rId28"/>
    <sheet name="ŞUBAT 2026" sheetId="32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32" l="1"/>
  <c r="N18" i="32"/>
  <c r="N17" i="32"/>
  <c r="N16" i="32"/>
  <c r="N15" i="32"/>
  <c r="N14" i="32"/>
  <c r="N13" i="32"/>
  <c r="N12" i="32"/>
  <c r="N11" i="32"/>
  <c r="N10" i="32"/>
  <c r="N9" i="32"/>
  <c r="N8" i="32"/>
  <c r="N7" i="32"/>
  <c r="N6" i="32"/>
  <c r="N5" i="32"/>
  <c r="N4" i="32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N4" i="31"/>
  <c r="N19" i="29"/>
  <c r="N18" i="29"/>
  <c r="N17" i="29"/>
  <c r="N16" i="29"/>
  <c r="N15" i="29"/>
  <c r="N14" i="29"/>
  <c r="N13" i="29"/>
  <c r="N12" i="29"/>
  <c r="N11" i="29"/>
  <c r="N10" i="29"/>
  <c r="N9" i="29"/>
  <c r="N8" i="29"/>
  <c r="N7" i="29"/>
  <c r="N6" i="29"/>
  <c r="N5" i="29"/>
  <c r="N4" i="29"/>
  <c r="N19" i="28"/>
  <c r="N18" i="28"/>
  <c r="N17" i="28"/>
  <c r="N16" i="28"/>
  <c r="N15" i="28"/>
  <c r="N14" i="28"/>
  <c r="N13" i="28"/>
  <c r="N12" i="28"/>
  <c r="N11" i="28"/>
  <c r="N10" i="28"/>
  <c r="N9" i="28"/>
  <c r="N8" i="28"/>
  <c r="N7" i="28"/>
  <c r="N6" i="28"/>
  <c r="N5" i="28"/>
  <c r="N4" i="28"/>
  <c r="N19" i="27"/>
  <c r="N18" i="27"/>
  <c r="N17" i="27"/>
  <c r="N16" i="27"/>
  <c r="N15" i="27"/>
  <c r="N14" i="27"/>
  <c r="N13" i="27"/>
  <c r="N12" i="27"/>
  <c r="N11" i="27"/>
  <c r="N10" i="27"/>
  <c r="N9" i="27"/>
  <c r="N8" i="27"/>
  <c r="N7" i="27"/>
  <c r="N6" i="27"/>
  <c r="N5" i="27"/>
  <c r="N4" i="27"/>
  <c r="N19" i="25"/>
  <c r="N18" i="25"/>
  <c r="N17" i="25"/>
  <c r="N16" i="25"/>
  <c r="N15" i="25"/>
  <c r="N14" i="25"/>
  <c r="N13" i="25"/>
  <c r="N12" i="25"/>
  <c r="N11" i="25"/>
  <c r="N10" i="25"/>
  <c r="N9" i="25"/>
  <c r="N8" i="25"/>
  <c r="N7" i="25"/>
  <c r="N6" i="25"/>
  <c r="N5" i="25"/>
  <c r="N4" i="25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N4" i="23"/>
  <c r="N15" i="22"/>
  <c r="N19" i="22"/>
  <c r="N18" i="22"/>
  <c r="N17" i="22"/>
  <c r="N16" i="22"/>
  <c r="N14" i="22"/>
  <c r="N13" i="22"/>
  <c r="N12" i="22"/>
  <c r="N11" i="22"/>
  <c r="N10" i="22"/>
  <c r="N9" i="22"/>
  <c r="N8" i="22"/>
  <c r="N7" i="22"/>
  <c r="N6" i="22"/>
  <c r="N5" i="22"/>
  <c r="N4" i="22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19" i="17" l="1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19" i="16" l="1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19" i="15" l="1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19" i="14" l="1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17" i="13" l="1"/>
  <c r="N19" i="13" l="1"/>
  <c r="N18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18" i="12" l="1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18" i="11" l="1"/>
  <c r="N17" i="11"/>
  <c r="N16" i="11" l="1"/>
  <c r="N15" i="11"/>
  <c r="N14" i="11"/>
  <c r="N13" i="11"/>
  <c r="N12" i="11"/>
  <c r="N11" i="11"/>
  <c r="N10" i="11"/>
  <c r="N9" i="11"/>
  <c r="N8" i="11"/>
  <c r="N7" i="11"/>
  <c r="N6" i="11"/>
  <c r="N5" i="11"/>
  <c r="N4" i="11"/>
  <c r="N16" i="10" l="1"/>
  <c r="N15" i="10"/>
  <c r="N14" i="10"/>
  <c r="N13" i="10"/>
  <c r="N12" i="10"/>
  <c r="N11" i="10"/>
  <c r="N10" i="10"/>
  <c r="N9" i="10"/>
  <c r="N8" i="10"/>
  <c r="N7" i="10"/>
  <c r="N6" i="10"/>
  <c r="N5" i="10"/>
  <c r="N4" i="10"/>
  <c r="N16" i="9" l="1"/>
  <c r="N15" i="9"/>
  <c r="N14" i="9"/>
  <c r="N13" i="9"/>
  <c r="N12" i="9"/>
  <c r="N11" i="9"/>
  <c r="N10" i="9"/>
  <c r="N9" i="9"/>
  <c r="N8" i="9"/>
  <c r="N7" i="9"/>
  <c r="N6" i="9"/>
  <c r="N5" i="9"/>
  <c r="N4" i="9"/>
  <c r="N16" i="8" l="1"/>
  <c r="N15" i="8"/>
  <c r="N14" i="8"/>
  <c r="N13" i="8"/>
  <c r="N12" i="8"/>
  <c r="N11" i="8"/>
  <c r="N10" i="8"/>
  <c r="N9" i="8"/>
  <c r="N8" i="8"/>
  <c r="N7" i="8"/>
  <c r="N6" i="8"/>
  <c r="N5" i="8"/>
  <c r="N4" i="8"/>
  <c r="N16" i="7" l="1"/>
  <c r="N15" i="7"/>
  <c r="N14" i="7"/>
  <c r="N13" i="7"/>
  <c r="N12" i="7"/>
  <c r="N11" i="7"/>
  <c r="N10" i="7"/>
  <c r="N9" i="7"/>
  <c r="N8" i="7"/>
  <c r="N7" i="7"/>
  <c r="N6" i="7"/>
  <c r="N5" i="7"/>
  <c r="N4" i="7"/>
  <c r="N16" i="6" l="1"/>
  <c r="N15" i="6"/>
  <c r="N14" i="6"/>
  <c r="N13" i="6"/>
  <c r="N12" i="6"/>
  <c r="N11" i="6"/>
  <c r="N10" i="6"/>
  <c r="N9" i="6"/>
  <c r="N8" i="6"/>
  <c r="N7" i="6"/>
  <c r="N6" i="6"/>
  <c r="N5" i="6"/>
  <c r="N4" i="6"/>
  <c r="N16" i="5" l="1"/>
  <c r="N15" i="5"/>
  <c r="N14" i="5"/>
  <c r="N13" i="5" l="1"/>
  <c r="N12" i="5"/>
  <c r="N11" i="5"/>
  <c r="N10" i="5"/>
  <c r="N9" i="5"/>
  <c r="N8" i="5"/>
  <c r="N7" i="5"/>
  <c r="N6" i="5"/>
  <c r="N5" i="5"/>
  <c r="N4" i="5"/>
  <c r="N13" i="4" l="1"/>
  <c r="N12" i="4"/>
  <c r="N11" i="4"/>
  <c r="N10" i="4"/>
  <c r="N9" i="4"/>
  <c r="N8" i="4"/>
  <c r="N7" i="4"/>
  <c r="N6" i="4"/>
  <c r="N5" i="4"/>
  <c r="N4" i="4"/>
  <c r="N13" i="1" l="1"/>
  <c r="N12" i="1"/>
  <c r="N11" i="1"/>
  <c r="N10" i="1"/>
  <c r="N9" i="1"/>
  <c r="N8" i="1"/>
  <c r="N7" i="1"/>
  <c r="N6" i="1"/>
  <c r="N5" i="1"/>
  <c r="N4" i="1"/>
  <c r="F22" i="3" l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<sst xmlns="http://schemas.openxmlformats.org/spreadsheetml/2006/main" count="1916" uniqueCount="117">
  <si>
    <t>AKTIF</t>
  </si>
  <si>
    <t>DSTOK_ADI</t>
  </si>
  <si>
    <t>STOK_NO</t>
  </si>
  <si>
    <t>H</t>
  </si>
  <si>
    <t>-- --</t>
  </si>
  <si>
    <t>Adet</t>
  </si>
  <si>
    <t>ZZ.KOLİ BASKISIZ 850X650X650</t>
  </si>
  <si>
    <t>ZZ.KOLİ BASKISIZ  950*650*730</t>
  </si>
  <si>
    <t>690*1080*840 BASKISIZ DIAMOND KOLİSİ</t>
  </si>
  <si>
    <t>VANA KOLİ 1150*640*570 VEGA</t>
  </si>
  <si>
    <t>KOLİ</t>
  </si>
  <si>
    <t>STOK ADI</t>
  </si>
  <si>
    <t>MİKTAR</t>
  </si>
  <si>
    <t>MAXSİMUN</t>
  </si>
  <si>
    <t>MİNİMUN</t>
  </si>
  <si>
    <t>ZZ.KOLİ  BASKISIZ  1050*660*780</t>
  </si>
  <si>
    <t xml:space="preserve"> </t>
  </si>
  <si>
    <t>BİRİM</t>
  </si>
  <si>
    <t>S.NO</t>
  </si>
  <si>
    <t>DEPO ADI</t>
  </si>
  <si>
    <t>TOSKANO DEVE</t>
  </si>
  <si>
    <t>ALT DEPO</t>
  </si>
  <si>
    <t>RULO MT.</t>
  </si>
  <si>
    <t>RULO/AD.</t>
  </si>
  <si>
    <t xml:space="preserve">  </t>
  </si>
  <si>
    <t>TOPLM.MT</t>
  </si>
  <si>
    <t>TOSKANO KREM</t>
  </si>
  <si>
    <t>TOSKANO BORDO</t>
  </si>
  <si>
    <t>TOSKANO KAHVE</t>
  </si>
  <si>
    <t>TOSKANO KAHVE KEÇELİ</t>
  </si>
  <si>
    <t>TOSKANO SİYAH KEÇELİ</t>
  </si>
  <si>
    <t xml:space="preserve">TOSKANO SİYAH  </t>
  </si>
  <si>
    <t>TOSKANO BEJ</t>
  </si>
  <si>
    <t>TOSKANO YEŞİL</t>
  </si>
  <si>
    <t>HARŞENA SİYAH</t>
  </si>
  <si>
    <t>HARŞENA KAHVE</t>
  </si>
  <si>
    <t>HARŞENA BEJ</t>
  </si>
  <si>
    <t>GÖKTUĞ SİYAH</t>
  </si>
  <si>
    <t>BERCOLONE KAHVE</t>
  </si>
  <si>
    <t>SAHRA KREM</t>
  </si>
  <si>
    <t>SAHRA MOR</t>
  </si>
  <si>
    <t>SANTA FURNISOFT GRİ</t>
  </si>
  <si>
    <t>MADONNA SİYAH</t>
  </si>
  <si>
    <t>MADONNA KIRMIZI</t>
  </si>
  <si>
    <t>MADONNA K.KAHVE</t>
  </si>
  <si>
    <t>MADONNA 03 MAVİ</t>
  </si>
  <si>
    <t>MADONNA GRİ</t>
  </si>
  <si>
    <t>MADONNA MOR</t>
  </si>
  <si>
    <t>MADONNA KREM</t>
  </si>
  <si>
    <t>MADONNA LİLA</t>
  </si>
  <si>
    <t>MADONNA 335 KAHVE</t>
  </si>
  <si>
    <t>MADONNA GÖK MAVİ</t>
  </si>
  <si>
    <t>KANEPELİK KUMAŞ</t>
  </si>
  <si>
    <t>LAMİNELİ MİCRO MAVİ</t>
  </si>
  <si>
    <t>LAMİNELİ MİCRO GRİ</t>
  </si>
  <si>
    <t>YUMUŞAK FİLE SİYAH</t>
  </si>
  <si>
    <t>MİCRO BORDO</t>
  </si>
  <si>
    <t>TELA BEZ</t>
  </si>
  <si>
    <t>MAĞAZA</t>
  </si>
  <si>
    <t>LAMİNELİ KUMAŞ</t>
  </si>
  <si>
    <t>MİCRO KUMAŞ</t>
  </si>
  <si>
    <t>PANAMA KUMAŞ</t>
  </si>
  <si>
    <t>TOSKANO</t>
  </si>
  <si>
    <t>HARŞENA</t>
  </si>
  <si>
    <t>DUBAİ</t>
  </si>
  <si>
    <t>CHESTER</t>
  </si>
  <si>
    <t>INTER</t>
  </si>
  <si>
    <t>CARVEN</t>
  </si>
  <si>
    <t>EXTRA</t>
  </si>
  <si>
    <t>BERCELONA</t>
  </si>
  <si>
    <t>NUR</t>
  </si>
  <si>
    <t>JAVA</t>
  </si>
  <si>
    <t>ZEUS</t>
  </si>
  <si>
    <t>SAHRA</t>
  </si>
  <si>
    <t>ASPENDOS</t>
  </si>
  <si>
    <t>PULLUP</t>
  </si>
  <si>
    <t>GALAXS</t>
  </si>
  <si>
    <t>NİL</t>
  </si>
  <si>
    <t>GOLD</t>
  </si>
  <si>
    <t>ZZ.KOLİ BASKISIZ (SİNEMA) 500*700*500</t>
  </si>
  <si>
    <t>ZZ.410*500*600 BASKISIZ KOLİ (SİNEMA AYAK)</t>
  </si>
  <si>
    <t>GİREN</t>
  </si>
  <si>
    <t>KALAN</t>
  </si>
  <si>
    <t>KOLİ                 ARALIK 2023</t>
  </si>
  <si>
    <t>KOLİ                 OCAK 2024</t>
  </si>
  <si>
    <t>GRİPİN NAYLON</t>
  </si>
  <si>
    <t>TOP</t>
  </si>
  <si>
    <t>ASPİRİN NAYLON</t>
  </si>
  <si>
    <t>100*160 NAYLON</t>
  </si>
  <si>
    <t>KĞ</t>
  </si>
  <si>
    <t>55*60 NAYLON</t>
  </si>
  <si>
    <t>55*55 NAYLON</t>
  </si>
  <si>
    <t>60*70 NAYLON</t>
  </si>
  <si>
    <t>25KĞ</t>
  </si>
  <si>
    <t>KOLİ                 ŞUBAT 2024</t>
  </si>
  <si>
    <t>KOLİ                 MART 2024</t>
  </si>
  <si>
    <t>KOLİ                 NİSAN 2024</t>
  </si>
  <si>
    <t xml:space="preserve">KOLİ                MAYIS 2024 </t>
  </si>
  <si>
    <t xml:space="preserve">KOLİ                HAZİRAN 2024 </t>
  </si>
  <si>
    <t xml:space="preserve">KOLİ                TEMMUZ 2024 </t>
  </si>
  <si>
    <t>WANA BASKILI 530*680*550</t>
  </si>
  <si>
    <t>70*140 NAYLON</t>
  </si>
  <si>
    <t>60*120 NAYLON</t>
  </si>
  <si>
    <t>WANA BASKILI 540*670*640</t>
  </si>
  <si>
    <t xml:space="preserve">NİSAN </t>
  </si>
  <si>
    <t>MAYIS</t>
  </si>
  <si>
    <t>HAZİRAN</t>
  </si>
  <si>
    <t>TEMMUZ</t>
  </si>
  <si>
    <t>KOLİ BASKISIZ 250*380*200</t>
  </si>
  <si>
    <t>AĞUSTOS</t>
  </si>
  <si>
    <t>EYLÜL</t>
  </si>
  <si>
    <t>WANA TAB.KOLİSİ 550*670*600</t>
  </si>
  <si>
    <t>EKİM</t>
  </si>
  <si>
    <t>KASIM</t>
  </si>
  <si>
    <t>ARALIK</t>
  </si>
  <si>
    <t>OCAK</t>
  </si>
  <si>
    <t>ŞUBAT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</si>
</sst>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14" fontId="0" fillId="0" borderId="0" xfId="0" applyNumberFormat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0" borderId="2" xfId="0" applyFont="1" applyFill="1" applyBorder="1"/>
    <xf numFmtId="0" fontId="0" fillId="0" borderId="0" xfId="0" applyBorder="1"/>
    <xf numFmtId="164" fontId="2" fillId="0" borderId="1" xfId="0" applyNumberFormat="1" applyFont="1" applyBorder="1"/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opLeftCell="B1" zoomScaleNormal="100" workbookViewId="0">
      <selection activeCell="C12" sqref="C12"/>
    </sheetView>
  </sheetViews>
  <sheetFormatPr defaultRowHeight="15" x14ac:dyDescent="0.25"/>
  <cols>
    <col min="1" max="1" width="6" hidden="1" customWidth="1"/>
    <col min="2" max="2" width="8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6" ht="22.5" customHeight="1" x14ac:dyDescent="0.25"/>
    <row r="2" spans="1:16" ht="26.25" customHeight="1" x14ac:dyDescent="0.35">
      <c r="C2" s="4" t="s">
        <v>10</v>
      </c>
      <c r="O2" s="5" t="s">
        <v>16</v>
      </c>
    </row>
    <row r="3" spans="1:16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45231</v>
      </c>
      <c r="J3" s="12">
        <v>45237</v>
      </c>
      <c r="K3" s="12">
        <v>45244</v>
      </c>
      <c r="L3" s="12">
        <v>45257</v>
      </c>
      <c r="M3" s="12">
        <v>45260</v>
      </c>
      <c r="N3" s="12" t="s">
        <v>82</v>
      </c>
      <c r="O3" s="6" t="s">
        <v>14</v>
      </c>
      <c r="P3" s="8" t="s">
        <v>13</v>
      </c>
    </row>
    <row r="4" spans="1:16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490</v>
      </c>
      <c r="G4" s="1" t="s">
        <v>5</v>
      </c>
      <c r="H4" s="1">
        <v>993</v>
      </c>
      <c r="I4" s="1">
        <v>170</v>
      </c>
      <c r="J4" s="1">
        <v>230</v>
      </c>
      <c r="K4" s="1">
        <v>57</v>
      </c>
      <c r="L4" s="1">
        <v>40</v>
      </c>
      <c r="M4" s="1">
        <v>100</v>
      </c>
      <c r="N4" s="1">
        <f>+F4+H4-I4-J4-K4-L4-M4</f>
        <v>886</v>
      </c>
      <c r="O4" s="7">
        <v>250</v>
      </c>
      <c r="P4" s="9">
        <v>500</v>
      </c>
    </row>
    <row r="5" spans="1:16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50</v>
      </c>
      <c r="G5" s="1" t="s">
        <v>5</v>
      </c>
      <c r="H5" s="1">
        <v>728</v>
      </c>
      <c r="I5" s="1"/>
      <c r="J5" s="1"/>
      <c r="K5" s="1"/>
      <c r="L5" s="1"/>
      <c r="M5" s="1"/>
      <c r="N5" s="1">
        <f t="shared" ref="N5:N13" si="0">+F5+H5-I5-J5-K5-L5-M5</f>
        <v>778</v>
      </c>
      <c r="O5" s="7">
        <v>250</v>
      </c>
      <c r="P5" s="9">
        <v>500</v>
      </c>
    </row>
    <row r="6" spans="1:16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270</v>
      </c>
      <c r="G6" s="1" t="s">
        <v>5</v>
      </c>
      <c r="H6" s="1">
        <v>1460</v>
      </c>
      <c r="I6" s="1"/>
      <c r="J6" s="1"/>
      <c r="K6" s="1">
        <v>80</v>
      </c>
      <c r="L6" s="1"/>
      <c r="M6" s="1"/>
      <c r="N6" s="1">
        <f t="shared" si="0"/>
        <v>1650</v>
      </c>
      <c r="O6" s="7">
        <v>250</v>
      </c>
      <c r="P6" s="9">
        <v>500</v>
      </c>
    </row>
    <row r="7" spans="1:16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0</v>
      </c>
      <c r="G7" s="1" t="s">
        <v>5</v>
      </c>
      <c r="H7" s="1">
        <v>332</v>
      </c>
      <c r="I7" s="1"/>
      <c r="J7" s="1"/>
      <c r="K7" s="1"/>
      <c r="L7" s="1"/>
      <c r="M7" s="1">
        <v>10</v>
      </c>
      <c r="N7" s="1">
        <f t="shared" si="0"/>
        <v>322</v>
      </c>
      <c r="O7" s="7">
        <v>100</v>
      </c>
      <c r="P7" s="9">
        <v>300</v>
      </c>
    </row>
    <row r="8" spans="1:16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0</v>
      </c>
      <c r="G8" s="1" t="s">
        <v>5</v>
      </c>
      <c r="H8" s="1">
        <v>165</v>
      </c>
      <c r="I8" s="1"/>
      <c r="J8" s="1">
        <v>165</v>
      </c>
      <c r="K8" s="1"/>
      <c r="L8" s="1"/>
      <c r="M8" s="1"/>
      <c r="N8" s="1">
        <f t="shared" si="0"/>
        <v>0</v>
      </c>
      <c r="O8" s="7">
        <v>250</v>
      </c>
      <c r="P8" s="9">
        <v>500</v>
      </c>
    </row>
    <row r="9" spans="1:16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150</v>
      </c>
      <c r="G9" s="1" t="s">
        <v>5</v>
      </c>
      <c r="H9" s="1">
        <v>2607</v>
      </c>
      <c r="I9" s="1"/>
      <c r="J9" s="1"/>
      <c r="K9" s="1"/>
      <c r="L9" s="1"/>
      <c r="M9" s="1">
        <v>150</v>
      </c>
      <c r="N9" s="1">
        <f t="shared" si="0"/>
        <v>2607</v>
      </c>
      <c r="O9" s="7">
        <v>250</v>
      </c>
      <c r="P9" s="9">
        <v>500</v>
      </c>
    </row>
    <row r="10" spans="1:16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120</v>
      </c>
      <c r="G10" s="1" t="s">
        <v>5</v>
      </c>
      <c r="H10" s="1"/>
      <c r="I10" s="1"/>
      <c r="J10" s="1"/>
      <c r="K10" s="1"/>
      <c r="L10" s="1"/>
      <c r="M10" s="1"/>
      <c r="N10" s="1">
        <f t="shared" si="0"/>
        <v>120</v>
      </c>
      <c r="O10" s="7">
        <v>100</v>
      </c>
      <c r="P10" s="9">
        <v>300</v>
      </c>
    </row>
    <row r="11" spans="1:16" ht="26.25" customHeight="1" x14ac:dyDescent="0.25">
      <c r="A11" t="s">
        <v>3</v>
      </c>
      <c r="B11" s="2">
        <v>8</v>
      </c>
      <c r="C11" s="1" t="s">
        <v>16</v>
      </c>
      <c r="D11" s="1" t="s">
        <v>4</v>
      </c>
      <c r="E11" s="1">
        <v>8818</v>
      </c>
      <c r="F11" s="2">
        <v>0</v>
      </c>
      <c r="G11" s="1" t="s">
        <v>16</v>
      </c>
      <c r="H11" s="1"/>
      <c r="I11" s="1"/>
      <c r="J11" s="1"/>
      <c r="K11" s="1"/>
      <c r="L11" s="1"/>
      <c r="M11" s="1"/>
      <c r="N11" s="1">
        <f t="shared" si="0"/>
        <v>0</v>
      </c>
      <c r="O11" s="7" t="s">
        <v>16</v>
      </c>
      <c r="P11" s="9" t="s">
        <v>16</v>
      </c>
    </row>
    <row r="12" spans="1:16" ht="26.25" customHeight="1" x14ac:dyDescent="0.25">
      <c r="A12" t="s">
        <v>3</v>
      </c>
      <c r="B12" s="2">
        <v>9</v>
      </c>
      <c r="C12" s="1" t="s">
        <v>16</v>
      </c>
      <c r="D12" s="1" t="s">
        <v>4</v>
      </c>
      <c r="E12" s="1">
        <v>12191</v>
      </c>
      <c r="F12" s="2">
        <v>0</v>
      </c>
      <c r="G12" s="1" t="s">
        <v>16</v>
      </c>
      <c r="H12" s="1"/>
      <c r="I12" s="1"/>
      <c r="J12" s="1"/>
      <c r="K12" s="1"/>
      <c r="L12" s="1"/>
      <c r="M12" s="1"/>
      <c r="N12" s="1">
        <f t="shared" si="0"/>
        <v>0</v>
      </c>
      <c r="O12" s="7" t="s">
        <v>16</v>
      </c>
      <c r="P12" s="9" t="s">
        <v>16</v>
      </c>
    </row>
    <row r="13" spans="1:16" ht="26.25" customHeight="1" x14ac:dyDescent="0.25">
      <c r="A13" t="s">
        <v>3</v>
      </c>
      <c r="B13" s="2">
        <v>10</v>
      </c>
      <c r="C13" s="1" t="s">
        <v>16</v>
      </c>
      <c r="D13" s="1"/>
      <c r="E13" s="1"/>
      <c r="F13" s="2">
        <v>0</v>
      </c>
      <c r="G13" s="1" t="s">
        <v>16</v>
      </c>
      <c r="H13" s="1"/>
      <c r="I13" s="1"/>
      <c r="J13" s="1"/>
      <c r="K13" s="1"/>
      <c r="L13" s="1"/>
      <c r="M13" s="1"/>
      <c r="N13" s="1">
        <f t="shared" si="0"/>
        <v>0</v>
      </c>
      <c r="O13" s="7" t="s">
        <v>16</v>
      </c>
      <c r="P13" s="9" t="s">
        <v>16</v>
      </c>
    </row>
    <row r="14" spans="1:16" ht="26.25" customHeight="1" x14ac:dyDescent="0.25">
      <c r="A14" t="s">
        <v>3</v>
      </c>
    </row>
    <row r="15" spans="1:16" ht="26.2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5"/>
  <sheetViews>
    <sheetView zoomScaleNormal="100" workbookViewId="0">
      <selection activeCell="A2" sqref="A2:F25"/>
    </sheetView>
  </sheetViews>
  <sheetFormatPr defaultRowHeight="15" x14ac:dyDescent="0.25"/>
  <cols>
    <col min="2" max="2" width="28.42578125" customWidth="1"/>
    <col min="3" max="3" width="11.42578125" customWidth="1"/>
    <col min="4" max="4" width="12.42578125" customWidth="1"/>
    <col min="5" max="5" width="11.42578125" customWidth="1"/>
    <col min="6" max="6" width="16.42578125" customWidth="1"/>
    <col min="7" max="7" width="13.85546875" customWidth="1"/>
  </cols>
  <sheetData>
    <row r="2" spans="1:8" ht="30" customHeight="1" x14ac:dyDescent="0.25">
      <c r="A2" s="3" t="s">
        <v>18</v>
      </c>
      <c r="B2" s="3" t="s">
        <v>11</v>
      </c>
      <c r="C2" s="3" t="s">
        <v>19</v>
      </c>
      <c r="D2" s="3" t="s">
        <v>23</v>
      </c>
      <c r="E2" s="3" t="s">
        <v>22</v>
      </c>
      <c r="F2" s="3" t="s">
        <v>25</v>
      </c>
      <c r="G2" s="10" t="s">
        <v>24</v>
      </c>
      <c r="H2" s="11"/>
    </row>
    <row r="3" spans="1:8" ht="18.75" customHeight="1" x14ac:dyDescent="0.25">
      <c r="A3" s="2">
        <v>1</v>
      </c>
      <c r="B3" s="1" t="s">
        <v>20</v>
      </c>
      <c r="C3" s="1" t="s">
        <v>21</v>
      </c>
      <c r="D3" s="1">
        <v>21</v>
      </c>
      <c r="E3" s="2">
        <v>33</v>
      </c>
      <c r="F3" s="1">
        <f>+D3*E3</f>
        <v>693</v>
      </c>
    </row>
    <row r="4" spans="1:8" ht="18.75" customHeight="1" x14ac:dyDescent="0.25">
      <c r="A4" s="2">
        <v>2</v>
      </c>
      <c r="B4" s="1" t="s">
        <v>26</v>
      </c>
      <c r="C4" s="1" t="s">
        <v>21</v>
      </c>
      <c r="D4" s="1">
        <v>3</v>
      </c>
      <c r="E4" s="2">
        <v>33</v>
      </c>
      <c r="F4" s="1">
        <f t="shared" ref="F4:F12" si="0">+D4*E4</f>
        <v>99</v>
      </c>
    </row>
    <row r="5" spans="1:8" ht="18.75" customHeight="1" x14ac:dyDescent="0.25">
      <c r="A5" s="2">
        <v>3</v>
      </c>
      <c r="B5" s="1" t="s">
        <v>27</v>
      </c>
      <c r="C5" s="1" t="s">
        <v>21</v>
      </c>
      <c r="D5" s="1">
        <v>24</v>
      </c>
      <c r="E5" s="2">
        <v>33</v>
      </c>
      <c r="F5" s="1">
        <f t="shared" si="0"/>
        <v>792</v>
      </c>
    </row>
    <row r="6" spans="1:8" ht="18.75" customHeight="1" x14ac:dyDescent="0.25">
      <c r="A6" s="2">
        <v>4</v>
      </c>
      <c r="B6" s="1" t="s">
        <v>28</v>
      </c>
      <c r="C6" s="1" t="s">
        <v>21</v>
      </c>
      <c r="D6" s="1">
        <v>10</v>
      </c>
      <c r="E6" s="2">
        <v>33</v>
      </c>
      <c r="F6" s="1">
        <f t="shared" si="0"/>
        <v>330</v>
      </c>
    </row>
    <row r="7" spans="1:8" ht="18.75" customHeight="1" x14ac:dyDescent="0.25">
      <c r="A7" s="2">
        <v>5</v>
      </c>
      <c r="B7" s="1" t="s">
        <v>29</v>
      </c>
      <c r="C7" s="1" t="s">
        <v>21</v>
      </c>
      <c r="D7" s="1">
        <v>80</v>
      </c>
      <c r="E7" s="2">
        <v>33</v>
      </c>
      <c r="F7" s="1">
        <f t="shared" si="0"/>
        <v>2640</v>
      </c>
    </row>
    <row r="8" spans="1:8" ht="18.75" customHeight="1" x14ac:dyDescent="0.25">
      <c r="A8" s="2">
        <v>6</v>
      </c>
      <c r="B8" s="1" t="s">
        <v>30</v>
      </c>
      <c r="C8" s="1" t="s">
        <v>21</v>
      </c>
      <c r="D8" s="1">
        <v>44</v>
      </c>
      <c r="E8" s="2">
        <v>33</v>
      </c>
      <c r="F8" s="1">
        <f t="shared" si="0"/>
        <v>1452</v>
      </c>
    </row>
    <row r="9" spans="1:8" ht="18.75" customHeight="1" x14ac:dyDescent="0.25">
      <c r="A9" s="2">
        <v>7</v>
      </c>
      <c r="B9" s="1" t="s">
        <v>31</v>
      </c>
      <c r="C9" s="1" t="s">
        <v>21</v>
      </c>
      <c r="D9" s="1">
        <v>52</v>
      </c>
      <c r="E9" s="2">
        <v>33</v>
      </c>
      <c r="F9" s="1">
        <f t="shared" si="0"/>
        <v>1716</v>
      </c>
    </row>
    <row r="10" spans="1:8" ht="18.75" customHeight="1" x14ac:dyDescent="0.25">
      <c r="A10" s="2">
        <v>8</v>
      </c>
      <c r="B10" s="1" t="s">
        <v>32</v>
      </c>
      <c r="C10" s="1" t="s">
        <v>21</v>
      </c>
      <c r="D10" s="1">
        <v>6</v>
      </c>
      <c r="E10" s="2">
        <v>35</v>
      </c>
      <c r="F10" s="1">
        <f t="shared" si="0"/>
        <v>210</v>
      </c>
    </row>
    <row r="11" spans="1:8" ht="18.75" customHeight="1" x14ac:dyDescent="0.25">
      <c r="A11" s="2">
        <v>9</v>
      </c>
      <c r="B11" s="1" t="s">
        <v>33</v>
      </c>
      <c r="C11" s="1" t="s">
        <v>21</v>
      </c>
      <c r="D11" s="1">
        <v>1</v>
      </c>
      <c r="E11" s="2">
        <v>35</v>
      </c>
      <c r="F11" s="1">
        <f t="shared" si="0"/>
        <v>35</v>
      </c>
    </row>
    <row r="12" spans="1:8" ht="18.75" customHeight="1" x14ac:dyDescent="0.25">
      <c r="A12" s="2">
        <v>10</v>
      </c>
      <c r="B12" s="1" t="s">
        <v>34</v>
      </c>
      <c r="C12" s="1" t="s">
        <v>21</v>
      </c>
      <c r="D12" s="1">
        <v>9</v>
      </c>
      <c r="E12" s="2">
        <v>30</v>
      </c>
      <c r="F12" s="1">
        <f t="shared" si="0"/>
        <v>270</v>
      </c>
    </row>
    <row r="13" spans="1:8" ht="18.75" customHeight="1" x14ac:dyDescent="0.25">
      <c r="A13" s="2">
        <v>11</v>
      </c>
      <c r="B13" s="1" t="s">
        <v>35</v>
      </c>
      <c r="C13" s="1" t="s">
        <v>21</v>
      </c>
      <c r="D13" s="1">
        <v>39</v>
      </c>
      <c r="E13" s="2">
        <v>30</v>
      </c>
      <c r="F13" s="1">
        <f t="shared" ref="F13:F35" si="1">+D13*E13</f>
        <v>1170</v>
      </c>
    </row>
    <row r="14" spans="1:8" ht="18.75" customHeight="1" x14ac:dyDescent="0.25">
      <c r="A14" s="2">
        <v>12</v>
      </c>
      <c r="B14" s="1" t="s">
        <v>36</v>
      </c>
      <c r="C14" s="1" t="s">
        <v>21</v>
      </c>
      <c r="D14" s="1">
        <v>53</v>
      </c>
      <c r="E14" s="2">
        <v>30</v>
      </c>
      <c r="F14" s="1">
        <f t="shared" si="1"/>
        <v>1590</v>
      </c>
    </row>
    <row r="15" spans="1:8" ht="18.75" customHeight="1" x14ac:dyDescent="0.25">
      <c r="A15" s="2">
        <v>13</v>
      </c>
      <c r="B15" s="1" t="s">
        <v>37</v>
      </c>
      <c r="C15" s="1" t="s">
        <v>21</v>
      </c>
      <c r="D15" s="1">
        <v>1</v>
      </c>
      <c r="E15" s="2">
        <v>35</v>
      </c>
      <c r="F15" s="1">
        <f t="shared" si="1"/>
        <v>35</v>
      </c>
    </row>
    <row r="16" spans="1:8" ht="18.75" customHeight="1" x14ac:dyDescent="0.25">
      <c r="A16" s="2">
        <v>14</v>
      </c>
      <c r="B16" s="1" t="s">
        <v>38</v>
      </c>
      <c r="C16" s="1" t="s">
        <v>21</v>
      </c>
      <c r="D16" s="1">
        <v>1</v>
      </c>
      <c r="E16" s="2">
        <v>35</v>
      </c>
      <c r="F16" s="1">
        <f t="shared" si="1"/>
        <v>35</v>
      </c>
    </row>
    <row r="17" spans="1:6" ht="18.75" customHeight="1" x14ac:dyDescent="0.25">
      <c r="A17" s="2">
        <v>15</v>
      </c>
      <c r="B17" s="1" t="s">
        <v>39</v>
      </c>
      <c r="C17" s="1" t="s">
        <v>21</v>
      </c>
      <c r="D17" s="1">
        <v>3</v>
      </c>
      <c r="E17" s="2">
        <v>35</v>
      </c>
      <c r="F17" s="1">
        <f t="shared" si="1"/>
        <v>105</v>
      </c>
    </row>
    <row r="18" spans="1:6" ht="18.75" customHeight="1" x14ac:dyDescent="0.25">
      <c r="A18" s="2">
        <v>16</v>
      </c>
      <c r="B18" s="1" t="s">
        <v>40</v>
      </c>
      <c r="C18" s="1" t="s">
        <v>21</v>
      </c>
      <c r="D18" s="1">
        <v>1</v>
      </c>
      <c r="E18" s="2">
        <v>35</v>
      </c>
      <c r="F18" s="1">
        <f t="shared" si="1"/>
        <v>35</v>
      </c>
    </row>
    <row r="19" spans="1:6" ht="18.75" customHeight="1" x14ac:dyDescent="0.25">
      <c r="A19" s="2">
        <v>17</v>
      </c>
      <c r="B19" s="1" t="s">
        <v>41</v>
      </c>
      <c r="C19" s="1" t="s">
        <v>21</v>
      </c>
      <c r="D19" s="1">
        <v>1</v>
      </c>
      <c r="E19" s="2">
        <v>35</v>
      </c>
      <c r="F19" s="1">
        <f t="shared" si="1"/>
        <v>35</v>
      </c>
    </row>
    <row r="20" spans="1:6" ht="18.75" customHeight="1" x14ac:dyDescent="0.25">
      <c r="A20" s="2">
        <v>1</v>
      </c>
      <c r="B20" s="1" t="s">
        <v>42</v>
      </c>
      <c r="C20" s="1" t="s">
        <v>21</v>
      </c>
      <c r="D20" s="1">
        <v>96</v>
      </c>
      <c r="E20" s="2">
        <v>48</v>
      </c>
      <c r="F20" s="1">
        <f t="shared" si="1"/>
        <v>4608</v>
      </c>
    </row>
    <row r="21" spans="1:6" ht="18.75" customHeight="1" x14ac:dyDescent="0.25">
      <c r="A21" s="2">
        <v>2</v>
      </c>
      <c r="B21" s="1" t="s">
        <v>43</v>
      </c>
      <c r="C21" s="1" t="s">
        <v>21</v>
      </c>
      <c r="D21" s="1">
        <v>40</v>
      </c>
      <c r="E21" s="2">
        <v>48</v>
      </c>
      <c r="F21" s="1">
        <f t="shared" si="1"/>
        <v>1920</v>
      </c>
    </row>
    <row r="22" spans="1:6" ht="18.75" customHeight="1" x14ac:dyDescent="0.25">
      <c r="A22" s="2">
        <v>3</v>
      </c>
      <c r="B22" s="1" t="s">
        <v>44</v>
      </c>
      <c r="C22" s="1" t="s">
        <v>21</v>
      </c>
      <c r="D22" s="1">
        <v>30</v>
      </c>
      <c r="E22" s="2">
        <v>48</v>
      </c>
      <c r="F22" s="1">
        <f t="shared" si="1"/>
        <v>1440</v>
      </c>
    </row>
    <row r="23" spans="1:6" ht="18.75" customHeight="1" x14ac:dyDescent="0.25">
      <c r="A23" s="2">
        <v>4</v>
      </c>
      <c r="B23" s="1" t="s">
        <v>45</v>
      </c>
      <c r="C23" s="1" t="s">
        <v>21</v>
      </c>
      <c r="D23" s="1">
        <v>1</v>
      </c>
      <c r="E23" s="2">
        <v>50</v>
      </c>
      <c r="F23" s="1">
        <f t="shared" si="1"/>
        <v>50</v>
      </c>
    </row>
    <row r="24" spans="1:6" ht="18.75" customHeight="1" x14ac:dyDescent="0.25">
      <c r="A24" s="2">
        <v>5</v>
      </c>
      <c r="B24" s="1" t="s">
        <v>46</v>
      </c>
      <c r="C24" s="1" t="s">
        <v>21</v>
      </c>
      <c r="D24" s="1">
        <v>1</v>
      </c>
      <c r="E24" s="2">
        <v>50</v>
      </c>
      <c r="F24" s="1">
        <f t="shared" si="1"/>
        <v>50</v>
      </c>
    </row>
    <row r="25" spans="1:6" ht="18.75" customHeight="1" x14ac:dyDescent="0.25">
      <c r="A25" s="2">
        <v>6</v>
      </c>
      <c r="B25" s="1" t="s">
        <v>47</v>
      </c>
      <c r="C25" s="1" t="s">
        <v>21</v>
      </c>
      <c r="D25" s="1">
        <v>11</v>
      </c>
      <c r="E25" s="2">
        <v>50</v>
      </c>
      <c r="F25" s="1">
        <f t="shared" si="1"/>
        <v>550</v>
      </c>
    </row>
    <row r="26" spans="1:6" ht="18.75" customHeight="1" x14ac:dyDescent="0.25">
      <c r="A26" s="2">
        <v>7</v>
      </c>
      <c r="B26" s="1" t="s">
        <v>48</v>
      </c>
      <c r="C26" s="1" t="s">
        <v>21</v>
      </c>
      <c r="D26" s="1">
        <v>18</v>
      </c>
      <c r="E26" s="2">
        <v>50</v>
      </c>
      <c r="F26" s="1">
        <f t="shared" si="1"/>
        <v>900</v>
      </c>
    </row>
    <row r="27" spans="1:6" ht="18.75" customHeight="1" x14ac:dyDescent="0.25">
      <c r="A27" s="2">
        <v>8</v>
      </c>
      <c r="B27" s="1" t="s">
        <v>49</v>
      </c>
      <c r="C27" s="1" t="s">
        <v>21</v>
      </c>
      <c r="D27" s="1">
        <v>7</v>
      </c>
      <c r="E27" s="2">
        <v>50</v>
      </c>
      <c r="F27" s="1">
        <f t="shared" si="1"/>
        <v>350</v>
      </c>
    </row>
    <row r="28" spans="1:6" ht="18.75" customHeight="1" x14ac:dyDescent="0.25">
      <c r="A28" s="2">
        <v>9</v>
      </c>
      <c r="B28" s="1" t="s">
        <v>50</v>
      </c>
      <c r="C28" s="1" t="s">
        <v>21</v>
      </c>
      <c r="D28" s="1">
        <v>2</v>
      </c>
      <c r="E28" s="2">
        <v>50</v>
      </c>
      <c r="F28" s="1">
        <f t="shared" si="1"/>
        <v>100</v>
      </c>
    </row>
    <row r="29" spans="1:6" ht="18.75" customHeight="1" x14ac:dyDescent="0.25">
      <c r="A29" s="2">
        <v>10</v>
      </c>
      <c r="B29" s="1" t="s">
        <v>51</v>
      </c>
      <c r="C29" s="1" t="s">
        <v>21</v>
      </c>
      <c r="D29" s="1">
        <v>1</v>
      </c>
      <c r="E29" s="2">
        <v>50</v>
      </c>
      <c r="F29" s="1">
        <f t="shared" si="1"/>
        <v>50</v>
      </c>
    </row>
    <row r="30" spans="1:6" ht="18.75" customHeight="1" x14ac:dyDescent="0.25">
      <c r="A30" s="2">
        <v>11</v>
      </c>
      <c r="B30" s="1" t="s">
        <v>52</v>
      </c>
      <c r="C30" s="1" t="s">
        <v>21</v>
      </c>
      <c r="D30" s="1">
        <v>5</v>
      </c>
      <c r="E30" s="2">
        <v>50</v>
      </c>
      <c r="F30" s="1">
        <f t="shared" si="1"/>
        <v>250</v>
      </c>
    </row>
    <row r="31" spans="1:6" ht="18.75" customHeight="1" x14ac:dyDescent="0.25">
      <c r="A31" s="2">
        <v>12</v>
      </c>
      <c r="B31" s="1" t="s">
        <v>53</v>
      </c>
      <c r="C31" s="1" t="s">
        <v>21</v>
      </c>
      <c r="D31" s="1">
        <v>1</v>
      </c>
      <c r="E31" s="2">
        <v>50</v>
      </c>
      <c r="F31" s="1">
        <f t="shared" si="1"/>
        <v>50</v>
      </c>
    </row>
    <row r="32" spans="1:6" ht="18.75" customHeight="1" x14ac:dyDescent="0.25">
      <c r="A32" s="2">
        <v>13</v>
      </c>
      <c r="B32" s="1" t="s">
        <v>54</v>
      </c>
      <c r="C32" s="1" t="s">
        <v>21</v>
      </c>
      <c r="D32" s="1">
        <v>6</v>
      </c>
      <c r="E32" s="2">
        <v>50</v>
      </c>
      <c r="F32" s="1">
        <f t="shared" si="1"/>
        <v>300</v>
      </c>
    </row>
    <row r="33" spans="1:6" ht="18.75" customHeight="1" x14ac:dyDescent="0.25">
      <c r="A33" s="2">
        <v>14</v>
      </c>
      <c r="B33" s="1" t="s">
        <v>55</v>
      </c>
      <c r="C33" s="1" t="s">
        <v>21</v>
      </c>
      <c r="D33" s="1">
        <v>3</v>
      </c>
      <c r="E33" s="2">
        <v>50</v>
      </c>
      <c r="F33" s="1">
        <f t="shared" si="1"/>
        <v>150</v>
      </c>
    </row>
    <row r="34" spans="1:6" ht="18.75" customHeight="1" x14ac:dyDescent="0.25">
      <c r="A34" s="2">
        <v>15</v>
      </c>
      <c r="B34" s="1" t="s">
        <v>56</v>
      </c>
      <c r="C34" s="1" t="s">
        <v>21</v>
      </c>
      <c r="D34" s="1">
        <v>4</v>
      </c>
      <c r="E34" s="2">
        <v>50</v>
      </c>
      <c r="F34" s="1">
        <f t="shared" si="1"/>
        <v>200</v>
      </c>
    </row>
    <row r="35" spans="1:6" ht="18.75" customHeight="1" x14ac:dyDescent="0.25">
      <c r="A35" s="2">
        <v>16</v>
      </c>
      <c r="B35" s="1" t="s">
        <v>16</v>
      </c>
      <c r="C35" s="1"/>
      <c r="D35" s="1"/>
      <c r="E35" s="2">
        <v>0</v>
      </c>
      <c r="F35" s="1">
        <f t="shared" si="1"/>
        <v>0</v>
      </c>
    </row>
  </sheetData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E2" sqref="E2"/>
    </sheetView>
  </sheetViews>
  <sheetFormatPr defaultRowHeight="15" x14ac:dyDescent="0.25"/>
  <cols>
    <col min="1" max="1" width="7" customWidth="1"/>
    <col min="2" max="2" width="27.28515625" customWidth="1"/>
    <col min="3" max="3" width="15.7109375" customWidth="1"/>
    <col min="4" max="4" width="11.42578125" customWidth="1"/>
    <col min="5" max="5" width="11" customWidth="1"/>
    <col min="6" max="6" width="14.42578125" customWidth="1"/>
  </cols>
  <sheetData>
    <row r="1" spans="1:6" ht="15.75" x14ac:dyDescent="0.25">
      <c r="A1" s="3" t="s">
        <v>18</v>
      </c>
      <c r="B1" s="3" t="s">
        <v>11</v>
      </c>
      <c r="C1" s="3" t="s">
        <v>19</v>
      </c>
      <c r="D1" s="3" t="s">
        <v>23</v>
      </c>
      <c r="E1" s="3" t="s">
        <v>22</v>
      </c>
      <c r="F1" s="3" t="s">
        <v>25</v>
      </c>
    </row>
    <row r="2" spans="1:6" ht="15.75" x14ac:dyDescent="0.25">
      <c r="A2" s="2">
        <v>1</v>
      </c>
      <c r="B2" s="1" t="s">
        <v>57</v>
      </c>
      <c r="C2" s="1" t="s">
        <v>58</v>
      </c>
      <c r="D2" s="1">
        <v>10</v>
      </c>
      <c r="E2" s="2">
        <v>30</v>
      </c>
      <c r="F2" s="1">
        <f>+D2*E2</f>
        <v>300</v>
      </c>
    </row>
    <row r="3" spans="1:6" ht="15.75" x14ac:dyDescent="0.25">
      <c r="A3" s="2">
        <v>2</v>
      </c>
      <c r="B3" s="1" t="s">
        <v>59</v>
      </c>
      <c r="C3" s="1" t="s">
        <v>58</v>
      </c>
      <c r="D3" s="1">
        <v>10</v>
      </c>
      <c r="E3" s="2">
        <v>20</v>
      </c>
      <c r="F3" s="1">
        <f t="shared" ref="F3:F22" si="0">+D3*E3</f>
        <v>200</v>
      </c>
    </row>
    <row r="4" spans="1:6" ht="15.75" x14ac:dyDescent="0.25">
      <c r="A4" s="2">
        <v>3</v>
      </c>
      <c r="B4" s="1" t="s">
        <v>60</v>
      </c>
      <c r="C4" s="1" t="s">
        <v>58</v>
      </c>
      <c r="D4" s="1">
        <v>275</v>
      </c>
      <c r="E4" s="2">
        <v>10</v>
      </c>
      <c r="F4" s="1">
        <f t="shared" si="0"/>
        <v>2750</v>
      </c>
    </row>
    <row r="5" spans="1:6" ht="15.75" x14ac:dyDescent="0.25">
      <c r="A5" s="2">
        <v>4</v>
      </c>
      <c r="B5" s="1" t="s">
        <v>61</v>
      </c>
      <c r="C5" s="1" t="s">
        <v>58</v>
      </c>
      <c r="D5" s="1">
        <v>30</v>
      </c>
      <c r="E5" s="2">
        <v>30</v>
      </c>
      <c r="F5" s="1">
        <f t="shared" si="0"/>
        <v>900</v>
      </c>
    </row>
    <row r="6" spans="1:6" ht="15.75" x14ac:dyDescent="0.25">
      <c r="A6" s="2">
        <v>5</v>
      </c>
      <c r="B6" s="1" t="s">
        <v>62</v>
      </c>
      <c r="C6" s="1" t="s">
        <v>58</v>
      </c>
      <c r="D6" s="1">
        <v>115</v>
      </c>
      <c r="E6" s="2">
        <v>25</v>
      </c>
      <c r="F6" s="1">
        <f t="shared" si="0"/>
        <v>2875</v>
      </c>
    </row>
    <row r="7" spans="1:6" ht="15.75" x14ac:dyDescent="0.25">
      <c r="A7" s="2">
        <v>6</v>
      </c>
      <c r="B7" s="1" t="s">
        <v>63</v>
      </c>
      <c r="C7" s="1" t="s">
        <v>58</v>
      </c>
      <c r="D7" s="1">
        <v>50</v>
      </c>
      <c r="E7" s="2">
        <v>10</v>
      </c>
      <c r="F7" s="1">
        <f t="shared" si="0"/>
        <v>500</v>
      </c>
    </row>
    <row r="8" spans="1:6" ht="15.75" x14ac:dyDescent="0.25">
      <c r="A8" s="2">
        <v>7</v>
      </c>
      <c r="B8" s="1" t="s">
        <v>64</v>
      </c>
      <c r="C8" s="1" t="s">
        <v>58</v>
      </c>
      <c r="D8" s="1">
        <v>25</v>
      </c>
      <c r="E8" s="2">
        <v>20</v>
      </c>
      <c r="F8" s="1">
        <f t="shared" si="0"/>
        <v>500</v>
      </c>
    </row>
    <row r="9" spans="1:6" ht="15.75" x14ac:dyDescent="0.25">
      <c r="A9" s="2">
        <v>8</v>
      </c>
      <c r="B9" s="1" t="s">
        <v>65</v>
      </c>
      <c r="C9" s="1" t="s">
        <v>58</v>
      </c>
      <c r="D9" s="1">
        <v>25</v>
      </c>
      <c r="E9" s="2">
        <v>20</v>
      </c>
      <c r="F9" s="1">
        <f t="shared" si="0"/>
        <v>500</v>
      </c>
    </row>
    <row r="10" spans="1:6" ht="15.75" x14ac:dyDescent="0.25">
      <c r="A10" s="2">
        <v>9</v>
      </c>
      <c r="B10" s="1" t="s">
        <v>66</v>
      </c>
      <c r="C10" s="1" t="s">
        <v>58</v>
      </c>
      <c r="D10" s="1">
        <v>25</v>
      </c>
      <c r="E10" s="2">
        <v>20</v>
      </c>
      <c r="F10" s="1">
        <f t="shared" si="0"/>
        <v>500</v>
      </c>
    </row>
    <row r="11" spans="1:6" ht="15.75" x14ac:dyDescent="0.25">
      <c r="A11" s="2">
        <v>10</v>
      </c>
      <c r="B11" s="1" t="s">
        <v>67</v>
      </c>
      <c r="C11" s="1" t="s">
        <v>58</v>
      </c>
      <c r="D11" s="1">
        <v>25</v>
      </c>
      <c r="E11" s="2">
        <v>10</v>
      </c>
      <c r="F11" s="1">
        <f t="shared" si="0"/>
        <v>250</v>
      </c>
    </row>
    <row r="12" spans="1:6" ht="15.75" x14ac:dyDescent="0.25">
      <c r="A12" s="2">
        <v>11</v>
      </c>
      <c r="B12" s="1" t="s">
        <v>68</v>
      </c>
      <c r="C12" s="1" t="s">
        <v>58</v>
      </c>
      <c r="D12" s="1">
        <v>20</v>
      </c>
      <c r="E12" s="2">
        <v>15</v>
      </c>
      <c r="F12" s="1">
        <f t="shared" si="0"/>
        <v>300</v>
      </c>
    </row>
    <row r="13" spans="1:6" ht="15.75" x14ac:dyDescent="0.25">
      <c r="A13" s="2">
        <v>12</v>
      </c>
      <c r="B13" s="1" t="s">
        <v>69</v>
      </c>
      <c r="C13" s="1" t="s">
        <v>58</v>
      </c>
      <c r="D13" s="1">
        <v>20</v>
      </c>
      <c r="E13" s="2">
        <v>10</v>
      </c>
      <c r="F13" s="1">
        <f t="shared" si="0"/>
        <v>200</v>
      </c>
    </row>
    <row r="14" spans="1:6" ht="15.75" x14ac:dyDescent="0.25">
      <c r="A14" s="2">
        <v>13</v>
      </c>
      <c r="B14" s="1" t="s">
        <v>70</v>
      </c>
      <c r="C14" s="1" t="s">
        <v>58</v>
      </c>
      <c r="D14" s="1">
        <v>10</v>
      </c>
      <c r="E14" s="2">
        <v>15</v>
      </c>
      <c r="F14" s="1">
        <f t="shared" si="0"/>
        <v>150</v>
      </c>
    </row>
    <row r="15" spans="1:6" ht="15.75" x14ac:dyDescent="0.25">
      <c r="A15" s="2">
        <v>14</v>
      </c>
      <c r="B15" s="1" t="s">
        <v>71</v>
      </c>
      <c r="C15" s="1" t="s">
        <v>58</v>
      </c>
      <c r="D15" s="1">
        <v>10</v>
      </c>
      <c r="E15" s="2">
        <v>20</v>
      </c>
      <c r="F15" s="1">
        <f t="shared" si="0"/>
        <v>200</v>
      </c>
    </row>
    <row r="16" spans="1:6" ht="15.75" x14ac:dyDescent="0.25">
      <c r="A16" s="2">
        <v>15</v>
      </c>
      <c r="B16" s="1" t="s">
        <v>72</v>
      </c>
      <c r="C16" s="1" t="s">
        <v>58</v>
      </c>
      <c r="D16" s="1">
        <v>10</v>
      </c>
      <c r="E16" s="2">
        <v>15</v>
      </c>
      <c r="F16" s="1">
        <f t="shared" si="0"/>
        <v>150</v>
      </c>
    </row>
    <row r="17" spans="1:6" ht="15.75" x14ac:dyDescent="0.25">
      <c r="A17" s="2">
        <v>16</v>
      </c>
      <c r="B17" s="1" t="s">
        <v>73</v>
      </c>
      <c r="C17" s="1" t="s">
        <v>58</v>
      </c>
      <c r="D17" s="1">
        <v>20</v>
      </c>
      <c r="E17" s="2">
        <v>20</v>
      </c>
      <c r="F17" s="1">
        <f t="shared" si="0"/>
        <v>400</v>
      </c>
    </row>
    <row r="18" spans="1:6" ht="15.75" x14ac:dyDescent="0.25">
      <c r="A18" s="2">
        <v>17</v>
      </c>
      <c r="B18" s="1" t="s">
        <v>74</v>
      </c>
      <c r="C18" s="1" t="s">
        <v>58</v>
      </c>
      <c r="D18" s="1">
        <v>20</v>
      </c>
      <c r="E18" s="2">
        <v>20</v>
      </c>
      <c r="F18" s="1">
        <f t="shared" si="0"/>
        <v>400</v>
      </c>
    </row>
    <row r="19" spans="1:6" ht="15.75" x14ac:dyDescent="0.25">
      <c r="A19" s="2">
        <v>18</v>
      </c>
      <c r="B19" s="1" t="s">
        <v>75</v>
      </c>
      <c r="C19" s="1" t="s">
        <v>58</v>
      </c>
      <c r="D19" s="1">
        <v>15</v>
      </c>
      <c r="E19" s="2">
        <v>15</v>
      </c>
      <c r="F19" s="1">
        <f t="shared" si="0"/>
        <v>225</v>
      </c>
    </row>
    <row r="20" spans="1:6" ht="15.75" x14ac:dyDescent="0.25">
      <c r="A20" s="2">
        <v>19</v>
      </c>
      <c r="B20" s="1" t="s">
        <v>76</v>
      </c>
      <c r="C20" s="1" t="s">
        <v>58</v>
      </c>
      <c r="D20" s="1">
        <v>3</v>
      </c>
      <c r="E20" s="2">
        <v>25</v>
      </c>
      <c r="F20" s="1">
        <f t="shared" si="0"/>
        <v>75</v>
      </c>
    </row>
    <row r="21" spans="1:6" ht="15.75" x14ac:dyDescent="0.25">
      <c r="A21" s="2">
        <v>20</v>
      </c>
      <c r="B21" s="1" t="s">
        <v>77</v>
      </c>
      <c r="C21" s="1" t="s">
        <v>58</v>
      </c>
      <c r="D21" s="1">
        <v>3</v>
      </c>
      <c r="E21" s="2">
        <v>25</v>
      </c>
      <c r="F21" s="1">
        <f t="shared" si="0"/>
        <v>75</v>
      </c>
    </row>
    <row r="22" spans="1:6" ht="15.75" x14ac:dyDescent="0.25">
      <c r="A22" s="2">
        <v>21</v>
      </c>
      <c r="B22" s="1" t="s">
        <v>78</v>
      </c>
      <c r="C22" s="1" t="s">
        <v>58</v>
      </c>
      <c r="D22" s="1">
        <v>3</v>
      </c>
      <c r="E22" s="2">
        <v>20</v>
      </c>
      <c r="F22" s="1">
        <f t="shared" si="0"/>
        <v>60</v>
      </c>
    </row>
    <row r="23" spans="1:6" ht="15.75" x14ac:dyDescent="0.25">
      <c r="A23" s="2" t="s">
        <v>16</v>
      </c>
      <c r="B23" s="1" t="s">
        <v>16</v>
      </c>
      <c r="C23" s="1" t="s">
        <v>16</v>
      </c>
      <c r="D23" s="1" t="s">
        <v>16</v>
      </c>
      <c r="E23" s="2" t="s">
        <v>16</v>
      </c>
      <c r="F23" s="1" t="s">
        <v>16</v>
      </c>
    </row>
    <row r="24" spans="1:6" ht="15.75" x14ac:dyDescent="0.25">
      <c r="A24" s="2" t="s">
        <v>16</v>
      </c>
      <c r="B24" s="1" t="s">
        <v>16</v>
      </c>
      <c r="C24" s="1" t="s">
        <v>16</v>
      </c>
      <c r="D24" s="1" t="s">
        <v>16</v>
      </c>
      <c r="E24" s="2" t="s">
        <v>16</v>
      </c>
      <c r="F24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topLeftCell="B1" zoomScaleNormal="100" workbookViewId="0">
      <selection activeCell="M6" sqref="M6"/>
    </sheetView>
  </sheetViews>
  <sheetFormatPr defaultRowHeight="15" x14ac:dyDescent="0.25"/>
  <cols>
    <col min="1" max="1" width="6" hidden="1" customWidth="1"/>
    <col min="2" max="2" width="8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6" ht="22.5" customHeight="1" x14ac:dyDescent="0.25"/>
    <row r="2" spans="1:16" ht="26.25" customHeight="1" x14ac:dyDescent="0.35">
      <c r="C2" s="4" t="s">
        <v>83</v>
      </c>
      <c r="O2" s="5" t="s">
        <v>16</v>
      </c>
    </row>
    <row r="3" spans="1:16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45271</v>
      </c>
      <c r="J3" s="12">
        <v>45278</v>
      </c>
      <c r="K3" s="12">
        <v>45284</v>
      </c>
      <c r="L3" s="12">
        <v>45287</v>
      </c>
      <c r="M3" s="12">
        <v>45291</v>
      </c>
      <c r="N3" s="12" t="s">
        <v>82</v>
      </c>
      <c r="O3" s="6" t="s">
        <v>14</v>
      </c>
      <c r="P3" s="8" t="s">
        <v>13</v>
      </c>
    </row>
    <row r="4" spans="1:16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886</v>
      </c>
      <c r="G4" s="1" t="s">
        <v>5</v>
      </c>
      <c r="H4" s="1">
        <v>0</v>
      </c>
      <c r="I4" s="1">
        <v>0</v>
      </c>
      <c r="J4" s="1">
        <v>0</v>
      </c>
      <c r="K4" s="1">
        <v>80</v>
      </c>
      <c r="L4" s="1">
        <v>0</v>
      </c>
      <c r="M4" s="1">
        <v>50</v>
      </c>
      <c r="N4" s="1">
        <f>+F4+H4-I4-J4-K4-L4-M4</f>
        <v>756</v>
      </c>
      <c r="O4" s="7">
        <v>250</v>
      </c>
      <c r="P4" s="9">
        <v>500</v>
      </c>
    </row>
    <row r="5" spans="1:16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778</v>
      </c>
      <c r="G5" s="1" t="s">
        <v>5</v>
      </c>
      <c r="H5" s="1">
        <v>0</v>
      </c>
      <c r="I5" s="1">
        <v>55</v>
      </c>
      <c r="J5" s="1">
        <v>55</v>
      </c>
      <c r="K5" s="1">
        <v>40</v>
      </c>
      <c r="L5" s="1">
        <v>0</v>
      </c>
      <c r="M5" s="1">
        <v>30</v>
      </c>
      <c r="N5" s="1">
        <f t="shared" ref="N5:N13" si="0">+F5+H5-I5-J5-K5-L5-M5</f>
        <v>598</v>
      </c>
      <c r="O5" s="7">
        <v>250</v>
      </c>
      <c r="P5" s="9">
        <v>500</v>
      </c>
    </row>
    <row r="6" spans="1:16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1650</v>
      </c>
      <c r="G6" s="1" t="s">
        <v>5</v>
      </c>
      <c r="H6" s="1">
        <v>0</v>
      </c>
      <c r="I6" s="1">
        <v>0</v>
      </c>
      <c r="J6" s="1">
        <v>100</v>
      </c>
      <c r="K6" s="1">
        <v>120</v>
      </c>
      <c r="L6" s="1">
        <v>0</v>
      </c>
      <c r="M6" s="1">
        <v>55</v>
      </c>
      <c r="N6" s="1">
        <f t="shared" si="0"/>
        <v>1375</v>
      </c>
      <c r="O6" s="7">
        <v>250</v>
      </c>
      <c r="P6" s="9">
        <v>500</v>
      </c>
    </row>
    <row r="7" spans="1:16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322</v>
      </c>
      <c r="G7" s="1" t="s">
        <v>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322</v>
      </c>
      <c r="O7" s="7">
        <v>100</v>
      </c>
      <c r="P7" s="9">
        <v>300</v>
      </c>
    </row>
    <row r="8" spans="1:16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320</v>
      </c>
      <c r="G8" s="1" t="s">
        <v>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f t="shared" si="0"/>
        <v>320</v>
      </c>
      <c r="O8" s="7">
        <v>250</v>
      </c>
      <c r="P8" s="9">
        <v>500</v>
      </c>
    </row>
    <row r="9" spans="1:16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2607</v>
      </c>
      <c r="G9" s="1" t="s">
        <v>5</v>
      </c>
      <c r="H9" s="1">
        <v>0</v>
      </c>
      <c r="I9" s="1">
        <v>0</v>
      </c>
      <c r="J9" s="1">
        <v>50</v>
      </c>
      <c r="K9" s="1">
        <v>90</v>
      </c>
      <c r="L9" s="1">
        <v>0</v>
      </c>
      <c r="M9" s="1">
        <v>20</v>
      </c>
      <c r="N9" s="1">
        <f t="shared" si="0"/>
        <v>2447</v>
      </c>
      <c r="O9" s="7">
        <v>250</v>
      </c>
      <c r="P9" s="9">
        <v>500</v>
      </c>
    </row>
    <row r="10" spans="1:16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120</v>
      </c>
      <c r="G10" s="1" t="s">
        <v>5</v>
      </c>
      <c r="H10" s="1">
        <v>0</v>
      </c>
      <c r="I10" s="1">
        <v>75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45</v>
      </c>
      <c r="O10" s="7">
        <v>100</v>
      </c>
      <c r="P10" s="9">
        <v>300</v>
      </c>
    </row>
    <row r="11" spans="1:16" ht="26.25" customHeight="1" x14ac:dyDescent="0.25">
      <c r="A11" t="s">
        <v>3</v>
      </c>
      <c r="B11" s="2">
        <v>8</v>
      </c>
      <c r="C11" s="1" t="s">
        <v>16</v>
      </c>
      <c r="D11" s="1" t="s">
        <v>4</v>
      </c>
      <c r="E11" s="1">
        <v>8818</v>
      </c>
      <c r="F11" s="2">
        <v>0</v>
      </c>
      <c r="G11" s="1" t="s">
        <v>16</v>
      </c>
      <c r="H11" s="1"/>
      <c r="I11" s="1"/>
      <c r="J11" s="1"/>
      <c r="K11" s="1"/>
      <c r="L11" s="1"/>
      <c r="M11" s="1"/>
      <c r="N11" s="1">
        <f t="shared" si="0"/>
        <v>0</v>
      </c>
      <c r="O11" s="7" t="s">
        <v>16</v>
      </c>
      <c r="P11" s="9" t="s">
        <v>16</v>
      </c>
    </row>
    <row r="12" spans="1:16" ht="26.25" customHeight="1" x14ac:dyDescent="0.25">
      <c r="A12" t="s">
        <v>3</v>
      </c>
      <c r="B12" s="2">
        <v>9</v>
      </c>
      <c r="C12" s="1" t="s">
        <v>16</v>
      </c>
      <c r="D12" s="1" t="s">
        <v>4</v>
      </c>
      <c r="E12" s="1">
        <v>12191</v>
      </c>
      <c r="F12" s="2">
        <v>0</v>
      </c>
      <c r="G12" s="1" t="s">
        <v>16</v>
      </c>
      <c r="H12" s="1"/>
      <c r="I12" s="1"/>
      <c r="J12" s="1"/>
      <c r="K12" s="1"/>
      <c r="L12" s="1"/>
      <c r="M12" s="1"/>
      <c r="N12" s="1">
        <f t="shared" si="0"/>
        <v>0</v>
      </c>
      <c r="O12" s="7" t="s">
        <v>16</v>
      </c>
      <c r="P12" s="9" t="s">
        <v>16</v>
      </c>
    </row>
    <row r="13" spans="1:16" ht="26.25" customHeight="1" x14ac:dyDescent="0.25">
      <c r="A13" t="s">
        <v>3</v>
      </c>
      <c r="B13" s="2">
        <v>10</v>
      </c>
      <c r="C13" s="1" t="s">
        <v>16</v>
      </c>
      <c r="D13" s="1"/>
      <c r="E13" s="1"/>
      <c r="F13" s="2">
        <v>0</v>
      </c>
      <c r="G13" s="1" t="s">
        <v>16</v>
      </c>
      <c r="H13" s="1"/>
      <c r="I13" s="1"/>
      <c r="J13" s="1"/>
      <c r="K13" s="1"/>
      <c r="L13" s="1"/>
      <c r="M13" s="1"/>
      <c r="N13" s="1">
        <f t="shared" si="0"/>
        <v>0</v>
      </c>
      <c r="O13" s="7" t="s">
        <v>16</v>
      </c>
      <c r="P13" s="9" t="s">
        <v>16</v>
      </c>
    </row>
    <row r="14" spans="1:16" ht="26.25" customHeight="1" x14ac:dyDescent="0.25">
      <c r="A14" t="s">
        <v>3</v>
      </c>
    </row>
    <row r="15" spans="1:16" ht="26.25" customHeigh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topLeftCell="B7" zoomScaleNormal="100" workbookViewId="0">
      <selection activeCell="M13" sqref="M13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84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45296</v>
      </c>
      <c r="J3" s="12">
        <v>45306</v>
      </c>
      <c r="K3" s="12">
        <v>45310</v>
      </c>
      <c r="L3" s="12">
        <v>45316</v>
      </c>
      <c r="M3" s="12">
        <v>45322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420</v>
      </c>
      <c r="G4" s="1" t="s">
        <v>5</v>
      </c>
      <c r="H4" s="1">
        <v>0</v>
      </c>
      <c r="I4" s="1">
        <v>0</v>
      </c>
      <c r="J4" s="1">
        <v>0</v>
      </c>
      <c r="K4" s="1">
        <v>81</v>
      </c>
      <c r="L4" s="1">
        <v>0</v>
      </c>
      <c r="M4" s="1">
        <v>70</v>
      </c>
      <c r="N4" s="1">
        <f>+F4+H4-I4-J4-K4-L4-M4</f>
        <v>269</v>
      </c>
      <c r="O4" s="7">
        <v>250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790</v>
      </c>
      <c r="G5" s="1" t="s">
        <v>5</v>
      </c>
      <c r="H5" s="1">
        <v>0</v>
      </c>
      <c r="I5" s="1">
        <v>0</v>
      </c>
      <c r="J5" s="1">
        <v>0</v>
      </c>
      <c r="K5" s="1">
        <v>40</v>
      </c>
      <c r="L5" s="1">
        <v>95</v>
      </c>
      <c r="M5" s="1">
        <v>40</v>
      </c>
      <c r="N5" s="1">
        <f t="shared" ref="N5:N16" si="0">+F5+H5-I5-J5-K5-L5-M5</f>
        <v>615</v>
      </c>
      <c r="O5" s="7">
        <v>250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1210</v>
      </c>
      <c r="G6" s="1" t="s">
        <v>5</v>
      </c>
      <c r="H6" s="1">
        <v>0</v>
      </c>
      <c r="I6" s="1">
        <v>0</v>
      </c>
      <c r="J6" s="1">
        <v>70</v>
      </c>
      <c r="K6" s="1">
        <v>30</v>
      </c>
      <c r="L6" s="1">
        <v>85</v>
      </c>
      <c r="M6" s="1">
        <v>20</v>
      </c>
      <c r="N6" s="1">
        <f t="shared" si="0"/>
        <v>1005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232</v>
      </c>
      <c r="G7" s="1" t="s">
        <v>5</v>
      </c>
      <c r="H7" s="1">
        <v>0</v>
      </c>
      <c r="I7" s="1">
        <v>0</v>
      </c>
      <c r="J7" s="1">
        <v>0</v>
      </c>
      <c r="K7" s="1">
        <v>14</v>
      </c>
      <c r="L7" s="1">
        <v>20</v>
      </c>
      <c r="M7" s="1">
        <v>10</v>
      </c>
      <c r="N7" s="1">
        <f t="shared" si="0"/>
        <v>188</v>
      </c>
      <c r="O7" s="7">
        <v>100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150</v>
      </c>
      <c r="G8" s="1" t="s">
        <v>5</v>
      </c>
      <c r="H8" s="1">
        <v>652</v>
      </c>
      <c r="I8" s="1">
        <v>50</v>
      </c>
      <c r="J8" s="1">
        <v>0</v>
      </c>
      <c r="K8" s="1">
        <v>120</v>
      </c>
      <c r="L8" s="1">
        <v>110</v>
      </c>
      <c r="M8" s="1">
        <v>110</v>
      </c>
      <c r="N8" s="1">
        <f t="shared" si="0"/>
        <v>412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2490</v>
      </c>
      <c r="G9" s="1" t="s">
        <v>5</v>
      </c>
      <c r="H9" s="1">
        <v>0</v>
      </c>
      <c r="I9" s="1">
        <v>0</v>
      </c>
      <c r="J9" s="1">
        <v>70</v>
      </c>
      <c r="K9" s="1">
        <v>30</v>
      </c>
      <c r="L9" s="1">
        <v>20</v>
      </c>
      <c r="M9" s="1">
        <v>20</v>
      </c>
      <c r="N9" s="1">
        <f t="shared" si="0"/>
        <v>2350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35</v>
      </c>
      <c r="G10" s="1" t="s">
        <v>5</v>
      </c>
      <c r="H10" s="1">
        <v>0</v>
      </c>
      <c r="I10" s="1">
        <v>0</v>
      </c>
      <c r="J10" s="1">
        <v>0</v>
      </c>
      <c r="K10" s="1">
        <v>35</v>
      </c>
      <c r="L10" s="1">
        <v>0</v>
      </c>
      <c r="M10" s="1">
        <v>0</v>
      </c>
      <c r="N10" s="1">
        <f t="shared" si="0"/>
        <v>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85</v>
      </c>
      <c r="D11" s="1" t="s">
        <v>4</v>
      </c>
      <c r="E11" s="1">
        <v>8818</v>
      </c>
      <c r="F11" s="2">
        <v>27</v>
      </c>
      <c r="G11" s="1" t="s">
        <v>86</v>
      </c>
      <c r="H11" s="1"/>
      <c r="I11" s="1">
        <v>1</v>
      </c>
      <c r="J11" s="1">
        <v>20</v>
      </c>
      <c r="K11" s="1"/>
      <c r="L11" s="1"/>
      <c r="M11" s="1"/>
      <c r="N11" s="1">
        <f t="shared" si="0"/>
        <v>6</v>
      </c>
      <c r="O11" s="7" t="s">
        <v>16</v>
      </c>
      <c r="P11" s="9" t="s">
        <v>16</v>
      </c>
    </row>
    <row r="12" spans="1:17" ht="26.25" customHeight="1" x14ac:dyDescent="0.25">
      <c r="A12" t="s">
        <v>3</v>
      </c>
      <c r="B12" s="2">
        <v>9</v>
      </c>
      <c r="C12" s="1" t="s">
        <v>87</v>
      </c>
      <c r="D12" s="1" t="s">
        <v>4</v>
      </c>
      <c r="E12" s="1">
        <v>12191</v>
      </c>
      <c r="F12" s="2">
        <v>9</v>
      </c>
      <c r="G12" s="1" t="s">
        <v>86</v>
      </c>
      <c r="H12" s="1"/>
      <c r="I12" s="1"/>
      <c r="J12" s="1">
        <v>1</v>
      </c>
      <c r="K12" s="1"/>
      <c r="L12" s="1"/>
      <c r="M12" s="1"/>
      <c r="N12" s="1">
        <f t="shared" si="0"/>
        <v>8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2">
        <v>825</v>
      </c>
      <c r="G13" s="1" t="s">
        <v>89</v>
      </c>
      <c r="H13" s="1"/>
      <c r="I13" s="1">
        <v>50</v>
      </c>
      <c r="J13" s="1">
        <v>25</v>
      </c>
      <c r="K13" s="1">
        <v>25</v>
      </c>
      <c r="L13" s="1">
        <v>100</v>
      </c>
      <c r="M13" s="1">
        <v>50</v>
      </c>
      <c r="N13" s="1">
        <f t="shared" si="0"/>
        <v>575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5">
        <v>250</v>
      </c>
      <c r="G14" s="1" t="s">
        <v>89</v>
      </c>
      <c r="H14" s="14"/>
      <c r="I14" s="14"/>
      <c r="J14" s="14"/>
      <c r="K14" s="14"/>
      <c r="L14" s="14">
        <v>25</v>
      </c>
      <c r="M14" s="14"/>
      <c r="N14" s="14">
        <f t="shared" si="0"/>
        <v>225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5">
        <v>300</v>
      </c>
      <c r="G15" s="1" t="s">
        <v>89</v>
      </c>
      <c r="H15" s="14"/>
      <c r="I15" s="14"/>
      <c r="J15" s="14"/>
      <c r="K15" s="14"/>
      <c r="L15" s="14"/>
      <c r="M15" s="14"/>
      <c r="N15" s="14">
        <f t="shared" si="0"/>
        <v>300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5">
        <v>258</v>
      </c>
      <c r="G16" s="1" t="s">
        <v>89</v>
      </c>
      <c r="H16" s="14"/>
      <c r="I16" s="14"/>
      <c r="J16" s="14"/>
      <c r="K16" s="14">
        <v>9</v>
      </c>
      <c r="L16" s="14">
        <v>25</v>
      </c>
      <c r="M16" s="14"/>
      <c r="N16" s="14">
        <f t="shared" si="0"/>
        <v>224</v>
      </c>
      <c r="O16" s="14"/>
      <c r="P16" s="14"/>
    </row>
    <row r="17" spans="2:16" ht="25.5" customHeight="1" x14ac:dyDescent="0.25">
      <c r="B17" s="15">
        <v>14</v>
      </c>
      <c r="C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2:16" ht="27.75" customHeight="1" x14ac:dyDescent="0.25">
      <c r="B18" s="15">
        <v>15</v>
      </c>
      <c r="C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8"/>
  <sheetViews>
    <sheetView topLeftCell="B1" zoomScaleNormal="100" workbookViewId="0">
      <selection activeCell="L5" sqref="L5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94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45331</v>
      </c>
      <c r="J3" s="12">
        <v>45341</v>
      </c>
      <c r="K3" s="12">
        <v>45345</v>
      </c>
      <c r="L3" s="12">
        <v>45351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269</v>
      </c>
      <c r="G4" s="1" t="s">
        <v>5</v>
      </c>
      <c r="H4" s="1">
        <v>535</v>
      </c>
      <c r="I4" s="1">
        <v>0</v>
      </c>
      <c r="J4" s="1">
        <v>30</v>
      </c>
      <c r="K4" s="1">
        <v>0</v>
      </c>
      <c r="L4" s="1">
        <v>42</v>
      </c>
      <c r="M4" s="1">
        <v>0</v>
      </c>
      <c r="N4" s="1">
        <f>+F4+H4-I4-J4-K4-L4-M4</f>
        <v>732</v>
      </c>
      <c r="O4" s="7">
        <v>250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615</v>
      </c>
      <c r="G5" s="1" t="s">
        <v>5</v>
      </c>
      <c r="H5" s="1">
        <v>0</v>
      </c>
      <c r="I5" s="1">
        <v>20</v>
      </c>
      <c r="J5" s="1">
        <v>300</v>
      </c>
      <c r="K5" s="1">
        <v>0</v>
      </c>
      <c r="L5" s="1">
        <v>40</v>
      </c>
      <c r="M5" s="1">
        <v>0</v>
      </c>
      <c r="N5" s="1">
        <f t="shared" ref="N5:N16" si="0">+F5+H5-I5-J5-K5-L5-M5</f>
        <v>255</v>
      </c>
      <c r="O5" s="7">
        <v>250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1005</v>
      </c>
      <c r="G6" s="1" t="s">
        <v>5</v>
      </c>
      <c r="H6" s="1">
        <v>0</v>
      </c>
      <c r="I6" s="1">
        <v>50</v>
      </c>
      <c r="J6" s="1">
        <v>40</v>
      </c>
      <c r="K6" s="1">
        <v>0</v>
      </c>
      <c r="L6" s="1">
        <v>15</v>
      </c>
      <c r="M6" s="1">
        <v>0</v>
      </c>
      <c r="N6" s="1">
        <f t="shared" si="0"/>
        <v>900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188</v>
      </c>
      <c r="G7" s="1" t="s">
        <v>5</v>
      </c>
      <c r="H7" s="1">
        <v>0</v>
      </c>
      <c r="I7" s="1">
        <v>41</v>
      </c>
      <c r="J7" s="1">
        <v>57</v>
      </c>
      <c r="K7" s="1">
        <v>60</v>
      </c>
      <c r="L7" s="1">
        <v>30</v>
      </c>
      <c r="M7" s="1">
        <v>0</v>
      </c>
      <c r="N7" s="1">
        <f t="shared" si="0"/>
        <v>0</v>
      </c>
      <c r="O7" s="7">
        <v>100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412</v>
      </c>
      <c r="G8" s="1" t="s">
        <v>5</v>
      </c>
      <c r="H8" s="1">
        <v>0</v>
      </c>
      <c r="I8" s="1">
        <v>0</v>
      </c>
      <c r="J8" s="1">
        <v>160</v>
      </c>
      <c r="K8" s="1">
        <v>0</v>
      </c>
      <c r="L8" s="1">
        <v>150</v>
      </c>
      <c r="M8" s="1">
        <v>0</v>
      </c>
      <c r="N8" s="1">
        <f t="shared" si="0"/>
        <v>102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2350</v>
      </c>
      <c r="G9" s="1" t="s">
        <v>5</v>
      </c>
      <c r="H9" s="1">
        <v>0</v>
      </c>
      <c r="I9" s="1">
        <v>40</v>
      </c>
      <c r="J9" s="1">
        <v>20</v>
      </c>
      <c r="K9" s="1">
        <v>0</v>
      </c>
      <c r="L9" s="1">
        <v>0</v>
      </c>
      <c r="M9" s="1">
        <v>0</v>
      </c>
      <c r="N9" s="1">
        <f t="shared" si="0"/>
        <v>2290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0</v>
      </c>
      <c r="G10" s="1" t="s">
        <v>5</v>
      </c>
      <c r="H10" s="1">
        <v>927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927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85</v>
      </c>
      <c r="D11" s="1" t="s">
        <v>4</v>
      </c>
      <c r="E11" s="1">
        <v>8818</v>
      </c>
      <c r="F11" s="2">
        <v>6</v>
      </c>
      <c r="G11" s="1" t="s">
        <v>86</v>
      </c>
      <c r="H11" s="1">
        <v>93</v>
      </c>
      <c r="I11" s="1">
        <v>6</v>
      </c>
      <c r="J11" s="1">
        <v>5</v>
      </c>
      <c r="K11" s="1">
        <v>0</v>
      </c>
      <c r="L11" s="1">
        <v>0</v>
      </c>
      <c r="M11" s="1">
        <v>0</v>
      </c>
      <c r="N11" s="1">
        <f t="shared" si="0"/>
        <v>88</v>
      </c>
      <c r="O11" s="7" t="s">
        <v>16</v>
      </c>
      <c r="P11" s="9" t="s">
        <v>16</v>
      </c>
    </row>
    <row r="12" spans="1:17" ht="26.25" customHeight="1" x14ac:dyDescent="0.25">
      <c r="A12" t="s">
        <v>3</v>
      </c>
      <c r="B12" s="2">
        <v>9</v>
      </c>
      <c r="C12" s="1" t="s">
        <v>87</v>
      </c>
      <c r="D12" s="1" t="s">
        <v>4</v>
      </c>
      <c r="E12" s="1">
        <v>12191</v>
      </c>
      <c r="F12" s="2">
        <v>8</v>
      </c>
      <c r="G12" s="1" t="s">
        <v>86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f t="shared" si="0"/>
        <v>8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2">
        <v>575</v>
      </c>
      <c r="G13" s="1" t="s">
        <v>89</v>
      </c>
      <c r="H13" s="1">
        <v>0</v>
      </c>
      <c r="I13" s="1">
        <v>50</v>
      </c>
      <c r="J13" s="1">
        <v>25</v>
      </c>
      <c r="K13" s="1">
        <v>50</v>
      </c>
      <c r="L13" s="1">
        <v>25</v>
      </c>
      <c r="M13" s="1">
        <v>0</v>
      </c>
      <c r="N13" s="1">
        <f t="shared" si="0"/>
        <v>425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5">
        <v>225</v>
      </c>
      <c r="G14" s="1" t="s">
        <v>89</v>
      </c>
      <c r="H14" s="1">
        <v>0</v>
      </c>
      <c r="I14" s="1">
        <v>25</v>
      </c>
      <c r="J14" s="1">
        <v>0</v>
      </c>
      <c r="K14" s="1">
        <v>25</v>
      </c>
      <c r="L14" s="1">
        <v>25</v>
      </c>
      <c r="M14" s="1">
        <v>0</v>
      </c>
      <c r="N14" s="14">
        <f t="shared" si="0"/>
        <v>150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5">
        <v>300</v>
      </c>
      <c r="G15" s="1" t="s">
        <v>89</v>
      </c>
      <c r="H15" s="1">
        <v>0</v>
      </c>
      <c r="I15" s="1">
        <v>25</v>
      </c>
      <c r="J15" s="1">
        <v>25</v>
      </c>
      <c r="K15" s="1">
        <v>25</v>
      </c>
      <c r="L15" s="1">
        <v>0</v>
      </c>
      <c r="M15" s="1">
        <v>0</v>
      </c>
      <c r="N15" s="14">
        <f t="shared" si="0"/>
        <v>225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5">
        <v>224</v>
      </c>
      <c r="G16" s="1" t="s">
        <v>89</v>
      </c>
      <c r="H16" s="1">
        <v>0</v>
      </c>
      <c r="I16" s="1">
        <v>0</v>
      </c>
      <c r="J16" s="1">
        <v>25</v>
      </c>
      <c r="K16" s="1">
        <v>25</v>
      </c>
      <c r="L16" s="1">
        <v>0</v>
      </c>
      <c r="M16" s="1">
        <v>0</v>
      </c>
      <c r="N16" s="14">
        <f t="shared" si="0"/>
        <v>174</v>
      </c>
      <c r="O16" s="14"/>
      <c r="P16" s="14"/>
    </row>
    <row r="17" spans="2:16" ht="25.5" customHeight="1" x14ac:dyDescent="0.25">
      <c r="B17" s="15">
        <v>14</v>
      </c>
      <c r="C17" s="14"/>
      <c r="F17" s="14"/>
      <c r="G17" s="14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4"/>
      <c r="O17" s="14"/>
      <c r="P17" s="14"/>
    </row>
    <row r="18" spans="2:16" ht="27.75" customHeight="1" x14ac:dyDescent="0.25">
      <c r="B18" s="15">
        <v>15</v>
      </c>
      <c r="C18" s="13"/>
      <c r="F18" s="14"/>
      <c r="G18" s="14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4"/>
      <c r="O18" s="14"/>
      <c r="P18" s="1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"/>
  <sheetViews>
    <sheetView topLeftCell="B2" zoomScaleNormal="100" workbookViewId="0">
      <selection activeCell="L8" sqref="L8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95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45359</v>
      </c>
      <c r="J3" s="12">
        <v>45366</v>
      </c>
      <c r="K3" s="12">
        <v>45373</v>
      </c>
      <c r="L3" s="12">
        <v>45379</v>
      </c>
      <c r="M3" s="12">
        <v>45382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785</v>
      </c>
      <c r="G4" s="1" t="s">
        <v>5</v>
      </c>
      <c r="H4" s="1">
        <v>0</v>
      </c>
      <c r="I4" s="1">
        <v>55</v>
      </c>
      <c r="J4" s="1">
        <v>75</v>
      </c>
      <c r="K4" s="1">
        <v>140</v>
      </c>
      <c r="L4" s="1">
        <v>230</v>
      </c>
      <c r="M4" s="1">
        <v>0</v>
      </c>
      <c r="N4" s="1">
        <f>+F4+H4-I4-J4-K4-L4-M4</f>
        <v>285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35</v>
      </c>
      <c r="G5" s="1" t="s">
        <v>5</v>
      </c>
      <c r="H5" s="1">
        <v>1070</v>
      </c>
      <c r="I5" s="1">
        <v>35</v>
      </c>
      <c r="J5" s="1">
        <v>30</v>
      </c>
      <c r="K5" s="1">
        <v>50</v>
      </c>
      <c r="L5" s="1">
        <v>70</v>
      </c>
      <c r="M5" s="1">
        <v>0</v>
      </c>
      <c r="N5" s="1">
        <f t="shared" ref="N5:N16" si="0">+F5+H5-I5-J5-K5-L5-M5</f>
        <v>920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900</v>
      </c>
      <c r="G6" s="1" t="s">
        <v>5</v>
      </c>
      <c r="H6" s="1">
        <v>0</v>
      </c>
      <c r="I6" s="1">
        <v>20</v>
      </c>
      <c r="J6" s="1">
        <v>30</v>
      </c>
      <c r="K6" s="1">
        <v>20</v>
      </c>
      <c r="L6" s="1">
        <v>0</v>
      </c>
      <c r="M6" s="1">
        <v>0</v>
      </c>
      <c r="N6" s="1">
        <f t="shared" si="0"/>
        <v>830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29</v>
      </c>
      <c r="G7" s="1" t="s">
        <v>5</v>
      </c>
      <c r="H7" s="1">
        <v>524</v>
      </c>
      <c r="I7" s="1">
        <v>10</v>
      </c>
      <c r="J7" s="1">
        <v>18</v>
      </c>
      <c r="K7" s="1">
        <v>0</v>
      </c>
      <c r="L7" s="1">
        <v>15</v>
      </c>
      <c r="M7" s="1">
        <v>0</v>
      </c>
      <c r="N7" s="1">
        <f t="shared" si="0"/>
        <v>510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92</v>
      </c>
      <c r="G8" s="1" t="s">
        <v>5</v>
      </c>
      <c r="H8" s="1">
        <v>795</v>
      </c>
      <c r="I8" s="1">
        <v>75</v>
      </c>
      <c r="J8" s="1">
        <v>55</v>
      </c>
      <c r="K8" s="1">
        <v>45</v>
      </c>
      <c r="L8" s="1">
        <v>90</v>
      </c>
      <c r="M8" s="1">
        <v>0</v>
      </c>
      <c r="N8" s="1">
        <f t="shared" si="0"/>
        <v>622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2290</v>
      </c>
      <c r="G9" s="1" t="s">
        <v>5</v>
      </c>
      <c r="H9" s="1">
        <v>0</v>
      </c>
      <c r="I9" s="1">
        <v>0</v>
      </c>
      <c r="J9" s="1">
        <v>60</v>
      </c>
      <c r="K9" s="1">
        <v>0</v>
      </c>
      <c r="L9" s="1">
        <v>0</v>
      </c>
      <c r="M9" s="1">
        <v>0</v>
      </c>
      <c r="N9" s="1">
        <f t="shared" si="0"/>
        <v>2230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927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927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85</v>
      </c>
      <c r="D11" s="1" t="s">
        <v>4</v>
      </c>
      <c r="E11" s="1">
        <v>8818</v>
      </c>
      <c r="F11" s="2">
        <v>88</v>
      </c>
      <c r="G11" s="1" t="s">
        <v>86</v>
      </c>
      <c r="H11" s="1">
        <v>0</v>
      </c>
      <c r="I11" s="1">
        <v>5</v>
      </c>
      <c r="J11" s="1">
        <v>5</v>
      </c>
      <c r="K11" s="1">
        <v>0</v>
      </c>
      <c r="L11" s="1">
        <v>0</v>
      </c>
      <c r="M11" s="1">
        <v>0</v>
      </c>
      <c r="N11" s="1">
        <f t="shared" si="0"/>
        <v>78</v>
      </c>
      <c r="O11" s="7" t="s">
        <v>16</v>
      </c>
      <c r="P11" s="9" t="s">
        <v>16</v>
      </c>
    </row>
    <row r="12" spans="1:17" ht="26.25" customHeight="1" x14ac:dyDescent="0.25">
      <c r="A12" t="s">
        <v>3</v>
      </c>
      <c r="B12" s="2">
        <v>9</v>
      </c>
      <c r="C12" s="1" t="s">
        <v>87</v>
      </c>
      <c r="D12" s="1" t="s">
        <v>4</v>
      </c>
      <c r="E12" s="1">
        <v>12191</v>
      </c>
      <c r="F12" s="2">
        <v>8</v>
      </c>
      <c r="G12" s="1" t="s">
        <v>86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f t="shared" si="0"/>
        <v>8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2">
        <v>425</v>
      </c>
      <c r="G13" s="1" t="s">
        <v>89</v>
      </c>
      <c r="H13" s="1">
        <v>0</v>
      </c>
      <c r="I13" s="1">
        <v>25</v>
      </c>
      <c r="J13" s="1">
        <v>50</v>
      </c>
      <c r="K13" s="1">
        <v>25</v>
      </c>
      <c r="L13" s="1">
        <v>25</v>
      </c>
      <c r="M13" s="1">
        <v>0</v>
      </c>
      <c r="N13" s="1">
        <f t="shared" si="0"/>
        <v>300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5">
        <v>150</v>
      </c>
      <c r="G14" s="1" t="s">
        <v>89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4">
        <f t="shared" si="0"/>
        <v>150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5">
        <v>225</v>
      </c>
      <c r="G15" s="1" t="s">
        <v>89</v>
      </c>
      <c r="H15" s="1">
        <v>0</v>
      </c>
      <c r="I15" s="1">
        <v>50</v>
      </c>
      <c r="J15" s="1">
        <v>0</v>
      </c>
      <c r="K15" s="1">
        <v>0</v>
      </c>
      <c r="L15" s="1">
        <v>0</v>
      </c>
      <c r="M15" s="1">
        <v>0</v>
      </c>
      <c r="N15" s="14">
        <f t="shared" si="0"/>
        <v>175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5">
        <v>174</v>
      </c>
      <c r="G16" s="1" t="s">
        <v>89</v>
      </c>
      <c r="H16" s="1">
        <v>0</v>
      </c>
      <c r="I16" s="1">
        <v>0</v>
      </c>
      <c r="J16" s="1">
        <v>0</v>
      </c>
      <c r="K16" s="1">
        <v>0</v>
      </c>
      <c r="L16" s="1">
        <v>25</v>
      </c>
      <c r="M16" s="1">
        <v>0</v>
      </c>
      <c r="N16" s="14">
        <f t="shared" si="0"/>
        <v>149</v>
      </c>
      <c r="O16" s="14"/>
      <c r="P16" s="14"/>
    </row>
    <row r="17" spans="2:16" ht="25.5" customHeight="1" x14ac:dyDescent="0.25">
      <c r="B17" s="15">
        <v>14</v>
      </c>
      <c r="C17" s="14"/>
      <c r="F17" s="14"/>
      <c r="G17" s="14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4"/>
      <c r="O17" s="14"/>
      <c r="P17" s="14"/>
    </row>
    <row r="18" spans="2:16" ht="27.75" customHeight="1" x14ac:dyDescent="0.25">
      <c r="B18" s="15">
        <v>15</v>
      </c>
      <c r="C18" s="13"/>
      <c r="F18" s="14"/>
      <c r="G18" s="14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4"/>
      <c r="O18" s="14"/>
      <c r="P18" s="1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8"/>
  <sheetViews>
    <sheetView topLeftCell="B3" zoomScaleNormal="100" workbookViewId="0">
      <selection activeCell="M6" sqref="M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96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45387</v>
      </c>
      <c r="J3" s="12">
        <v>45394</v>
      </c>
      <c r="K3" s="12">
        <v>45401</v>
      </c>
      <c r="L3" s="12">
        <v>45408</v>
      </c>
      <c r="M3" s="12">
        <v>45412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285</v>
      </c>
      <c r="G4" s="1" t="s">
        <v>5</v>
      </c>
      <c r="H4" s="1">
        <v>664</v>
      </c>
      <c r="I4" s="1">
        <v>41</v>
      </c>
      <c r="J4" s="1">
        <v>20</v>
      </c>
      <c r="K4" s="1">
        <v>0</v>
      </c>
      <c r="L4" s="1">
        <v>0</v>
      </c>
      <c r="M4" s="1">
        <v>115</v>
      </c>
      <c r="N4" s="1">
        <f>+F4+H4-I4-J4-K4-L4-M4</f>
        <v>773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920</v>
      </c>
      <c r="G5" s="1" t="s">
        <v>5</v>
      </c>
      <c r="H5" s="1">
        <v>0</v>
      </c>
      <c r="I5" s="1">
        <v>40</v>
      </c>
      <c r="J5" s="1">
        <v>10</v>
      </c>
      <c r="K5" s="1">
        <v>15</v>
      </c>
      <c r="L5" s="1">
        <v>0</v>
      </c>
      <c r="M5" s="1">
        <v>20</v>
      </c>
      <c r="N5" s="1">
        <f t="shared" ref="N5:N16" si="0">+F5+H5-I5-J5-K5-L5-M5</f>
        <v>835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830</v>
      </c>
      <c r="G6" s="1" t="s">
        <v>5</v>
      </c>
      <c r="H6" s="1">
        <v>0</v>
      </c>
      <c r="I6" s="1">
        <v>100</v>
      </c>
      <c r="J6" s="1">
        <v>20</v>
      </c>
      <c r="K6" s="1">
        <v>61</v>
      </c>
      <c r="L6" s="1">
        <v>0</v>
      </c>
      <c r="M6" s="1">
        <v>0</v>
      </c>
      <c r="N6" s="1">
        <f t="shared" si="0"/>
        <v>649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510</v>
      </c>
      <c r="G7" s="1" t="s">
        <v>5</v>
      </c>
      <c r="H7" s="1">
        <v>0</v>
      </c>
      <c r="I7" s="1">
        <v>0</v>
      </c>
      <c r="J7" s="1">
        <v>30</v>
      </c>
      <c r="K7" s="1">
        <v>15</v>
      </c>
      <c r="L7" s="1">
        <v>0</v>
      </c>
      <c r="M7" s="1">
        <v>0</v>
      </c>
      <c r="N7" s="1">
        <f t="shared" si="0"/>
        <v>465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622</v>
      </c>
      <c r="G8" s="1" t="s">
        <v>5</v>
      </c>
      <c r="H8" s="1">
        <v>0</v>
      </c>
      <c r="I8" s="1">
        <v>30</v>
      </c>
      <c r="J8" s="1">
        <v>105</v>
      </c>
      <c r="K8" s="1">
        <v>70</v>
      </c>
      <c r="L8" s="1">
        <v>0</v>
      </c>
      <c r="M8" s="1">
        <v>90</v>
      </c>
      <c r="N8" s="1">
        <f t="shared" si="0"/>
        <v>327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2230</v>
      </c>
      <c r="G9" s="1" t="s">
        <v>5</v>
      </c>
      <c r="H9" s="1">
        <v>0</v>
      </c>
      <c r="I9" s="1">
        <v>0</v>
      </c>
      <c r="J9" s="1">
        <v>0</v>
      </c>
      <c r="K9" s="1">
        <v>50</v>
      </c>
      <c r="L9" s="1">
        <v>0</v>
      </c>
      <c r="M9" s="1">
        <v>0</v>
      </c>
      <c r="N9" s="1">
        <f t="shared" si="0"/>
        <v>2180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927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927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85</v>
      </c>
      <c r="D11" s="1" t="s">
        <v>4</v>
      </c>
      <c r="E11" s="1">
        <v>8818</v>
      </c>
      <c r="F11" s="2">
        <v>15</v>
      </c>
      <c r="G11" s="1" t="s">
        <v>86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f t="shared" si="0"/>
        <v>15</v>
      </c>
      <c r="O11" s="7" t="s">
        <v>16</v>
      </c>
      <c r="P11" s="9" t="s">
        <v>16</v>
      </c>
    </row>
    <row r="12" spans="1:17" ht="26.25" customHeight="1" x14ac:dyDescent="0.25">
      <c r="A12" t="s">
        <v>3</v>
      </c>
      <c r="B12" s="2">
        <v>9</v>
      </c>
      <c r="C12" s="1" t="s">
        <v>87</v>
      </c>
      <c r="D12" s="1" t="s">
        <v>4</v>
      </c>
      <c r="E12" s="1">
        <v>12191</v>
      </c>
      <c r="F12" s="2">
        <v>8</v>
      </c>
      <c r="G12" s="1" t="s">
        <v>86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f t="shared" si="0"/>
        <v>8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2">
        <v>300</v>
      </c>
      <c r="G13" s="1" t="s">
        <v>89</v>
      </c>
      <c r="H13" s="1">
        <v>300</v>
      </c>
      <c r="I13" s="1">
        <v>25</v>
      </c>
      <c r="J13" s="1">
        <v>175</v>
      </c>
      <c r="K13" s="1">
        <v>25</v>
      </c>
      <c r="L13" s="1">
        <v>0</v>
      </c>
      <c r="M13" s="1">
        <v>50</v>
      </c>
      <c r="N13" s="1">
        <f t="shared" si="0"/>
        <v>325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5">
        <v>150</v>
      </c>
      <c r="G14" s="1" t="s">
        <v>89</v>
      </c>
      <c r="H14" s="1">
        <v>0</v>
      </c>
      <c r="I14" s="1">
        <v>0</v>
      </c>
      <c r="J14" s="1">
        <v>0</v>
      </c>
      <c r="K14" s="1">
        <v>50</v>
      </c>
      <c r="L14" s="1">
        <v>0</v>
      </c>
      <c r="M14" s="1">
        <v>0</v>
      </c>
      <c r="N14" s="14">
        <f t="shared" si="0"/>
        <v>100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5">
        <v>175</v>
      </c>
      <c r="G15" s="1" t="s">
        <v>89</v>
      </c>
      <c r="H15" s="1">
        <v>0</v>
      </c>
      <c r="I15" s="1">
        <v>25</v>
      </c>
      <c r="J15" s="1">
        <v>25</v>
      </c>
      <c r="K15" s="1">
        <v>0</v>
      </c>
      <c r="L15" s="1">
        <v>0</v>
      </c>
      <c r="M15" s="1">
        <v>25</v>
      </c>
      <c r="N15" s="14">
        <f t="shared" si="0"/>
        <v>100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5">
        <v>149</v>
      </c>
      <c r="G16" s="1" t="s">
        <v>89</v>
      </c>
      <c r="H16" s="1">
        <v>275</v>
      </c>
      <c r="I16" s="1">
        <v>25</v>
      </c>
      <c r="J16" s="1">
        <v>100</v>
      </c>
      <c r="K16" s="1">
        <v>0</v>
      </c>
      <c r="L16" s="1">
        <v>0</v>
      </c>
      <c r="M16" s="1">
        <v>25</v>
      </c>
      <c r="N16" s="14">
        <f t="shared" si="0"/>
        <v>274</v>
      </c>
      <c r="O16" s="14"/>
      <c r="P16" s="14"/>
    </row>
    <row r="17" spans="2:16" ht="25.5" customHeight="1" x14ac:dyDescent="0.25">
      <c r="B17" s="15">
        <v>14</v>
      </c>
      <c r="C17" s="14"/>
      <c r="F17" s="14"/>
      <c r="G17" s="14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4"/>
      <c r="O17" s="14"/>
      <c r="P17" s="14"/>
    </row>
    <row r="18" spans="2:16" ht="27.75" customHeight="1" x14ac:dyDescent="0.25">
      <c r="B18" s="15">
        <v>15</v>
      </c>
      <c r="C18" s="13"/>
      <c r="F18" s="14"/>
      <c r="G18" s="14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4"/>
      <c r="O18" s="14"/>
      <c r="P18" s="1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topLeftCell="B1" zoomScale="91" zoomScaleNormal="91" workbookViewId="0">
      <selection activeCell="M6" sqref="M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7.7109375" customWidth="1"/>
    <col min="9" max="9" width="9.2851562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97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45415</v>
      </c>
      <c r="J3" s="12">
        <v>45422</v>
      </c>
      <c r="K3" s="12">
        <v>45429</v>
      </c>
      <c r="L3" s="12">
        <v>45436</v>
      </c>
      <c r="M3" s="12">
        <v>45443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773</v>
      </c>
      <c r="G4" s="1" t="s">
        <v>5</v>
      </c>
      <c r="H4" s="1">
        <v>0</v>
      </c>
      <c r="I4" s="1">
        <v>165</v>
      </c>
      <c r="J4" s="1">
        <v>20</v>
      </c>
      <c r="K4" s="1">
        <v>10</v>
      </c>
      <c r="L4" s="1">
        <v>0</v>
      </c>
      <c r="M4" s="1">
        <v>13</v>
      </c>
      <c r="N4" s="1">
        <f>+F4+H4-I4-J4-K4-L4-M4</f>
        <v>565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835</v>
      </c>
      <c r="G5" s="1" t="s">
        <v>5</v>
      </c>
      <c r="H5" s="1">
        <v>0</v>
      </c>
      <c r="I5" s="1">
        <v>20</v>
      </c>
      <c r="J5" s="1">
        <v>0</v>
      </c>
      <c r="K5" s="1">
        <v>35</v>
      </c>
      <c r="L5" s="1">
        <v>0</v>
      </c>
      <c r="M5" s="1">
        <v>30</v>
      </c>
      <c r="N5" s="1">
        <f t="shared" ref="N5:N16" si="0">+F5+H5-I5-J5-K5-L5-M5</f>
        <v>750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649</v>
      </c>
      <c r="G6" s="1" t="s">
        <v>5</v>
      </c>
      <c r="H6" s="1">
        <v>0</v>
      </c>
      <c r="I6" s="1">
        <v>0</v>
      </c>
      <c r="J6" s="1">
        <v>0</v>
      </c>
      <c r="K6" s="1">
        <v>280</v>
      </c>
      <c r="L6" s="1">
        <v>0</v>
      </c>
      <c r="M6" s="1">
        <v>30</v>
      </c>
      <c r="N6" s="1">
        <f t="shared" si="0"/>
        <v>339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465</v>
      </c>
      <c r="G7" s="1" t="s">
        <v>5</v>
      </c>
      <c r="H7" s="1">
        <v>0</v>
      </c>
      <c r="I7" s="1">
        <v>75</v>
      </c>
      <c r="J7" s="1">
        <v>0</v>
      </c>
      <c r="K7" s="1">
        <v>0</v>
      </c>
      <c r="L7" s="1">
        <v>0</v>
      </c>
      <c r="M7" s="1">
        <v>10</v>
      </c>
      <c r="N7" s="1">
        <f t="shared" si="0"/>
        <v>380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327</v>
      </c>
      <c r="G8" s="1" t="s">
        <v>5</v>
      </c>
      <c r="H8" s="1">
        <v>0</v>
      </c>
      <c r="I8" s="1">
        <v>30</v>
      </c>
      <c r="J8" s="1">
        <v>40</v>
      </c>
      <c r="K8" s="1">
        <v>85</v>
      </c>
      <c r="L8" s="1">
        <v>0</v>
      </c>
      <c r="M8" s="1">
        <v>30</v>
      </c>
      <c r="N8" s="1">
        <f t="shared" si="0"/>
        <v>142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2180</v>
      </c>
      <c r="G9" s="1" t="s">
        <v>5</v>
      </c>
      <c r="H9" s="1">
        <v>0</v>
      </c>
      <c r="I9" s="1">
        <v>0</v>
      </c>
      <c r="J9" s="1">
        <v>10</v>
      </c>
      <c r="K9" s="1">
        <v>0</v>
      </c>
      <c r="L9" s="1">
        <v>0</v>
      </c>
      <c r="M9" s="1">
        <v>0</v>
      </c>
      <c r="N9" s="1">
        <f t="shared" si="0"/>
        <v>2170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927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927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85</v>
      </c>
      <c r="D11" s="1" t="s">
        <v>4</v>
      </c>
      <c r="E11" s="1">
        <v>8818</v>
      </c>
      <c r="F11" s="2">
        <v>10</v>
      </c>
      <c r="G11" s="1" t="s">
        <v>86</v>
      </c>
      <c r="H11" s="1">
        <v>80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f t="shared" si="0"/>
        <v>80</v>
      </c>
      <c r="O11" s="7" t="s">
        <v>16</v>
      </c>
      <c r="P11" s="9" t="s">
        <v>16</v>
      </c>
    </row>
    <row r="12" spans="1:17" ht="26.25" customHeight="1" x14ac:dyDescent="0.25">
      <c r="A12" t="s">
        <v>3</v>
      </c>
      <c r="B12" s="2">
        <v>9</v>
      </c>
      <c r="C12" s="1" t="s">
        <v>87</v>
      </c>
      <c r="D12" s="1" t="s">
        <v>4</v>
      </c>
      <c r="E12" s="1">
        <v>12191</v>
      </c>
      <c r="F12" s="2">
        <v>8</v>
      </c>
      <c r="G12" s="1" t="s">
        <v>86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f t="shared" si="0"/>
        <v>8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2">
        <v>325</v>
      </c>
      <c r="G13" s="1" t="s">
        <v>89</v>
      </c>
      <c r="H13" s="1">
        <v>0</v>
      </c>
      <c r="I13" s="1">
        <v>50</v>
      </c>
      <c r="J13" s="1">
        <v>150</v>
      </c>
      <c r="K13" s="1">
        <v>50</v>
      </c>
      <c r="L13" s="1">
        <v>0</v>
      </c>
      <c r="M13" s="1">
        <v>25</v>
      </c>
      <c r="N13" s="1">
        <f t="shared" si="0"/>
        <v>50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5">
        <v>100</v>
      </c>
      <c r="G14" s="1" t="s">
        <v>89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50</v>
      </c>
      <c r="N14" s="14">
        <f t="shared" si="0"/>
        <v>50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5">
        <v>100</v>
      </c>
      <c r="G15" s="1" t="s">
        <v>89</v>
      </c>
      <c r="H15" s="1">
        <v>0</v>
      </c>
      <c r="I15" s="1">
        <v>25</v>
      </c>
      <c r="J15" s="1">
        <v>0</v>
      </c>
      <c r="K15" s="1">
        <v>0</v>
      </c>
      <c r="L15" s="1">
        <v>0</v>
      </c>
      <c r="M15" s="1">
        <v>0</v>
      </c>
      <c r="N15" s="14">
        <f t="shared" si="0"/>
        <v>75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5">
        <v>274</v>
      </c>
      <c r="G16" s="1" t="s">
        <v>89</v>
      </c>
      <c r="H16" s="1">
        <v>0</v>
      </c>
      <c r="I16" s="1">
        <v>25</v>
      </c>
      <c r="J16" s="1">
        <v>0</v>
      </c>
      <c r="K16" s="1">
        <v>25</v>
      </c>
      <c r="L16" s="1">
        <v>0</v>
      </c>
      <c r="M16" s="1">
        <v>0</v>
      </c>
      <c r="N16" s="14">
        <f t="shared" si="0"/>
        <v>224</v>
      </c>
      <c r="O16" s="14"/>
      <c r="P16" s="14"/>
    </row>
    <row r="17" spans="2:16" ht="25.5" customHeight="1" x14ac:dyDescent="0.25">
      <c r="B17" s="15">
        <v>14</v>
      </c>
      <c r="C17" s="14"/>
      <c r="F17" s="14"/>
      <c r="G17" s="14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4"/>
      <c r="O17" s="14"/>
      <c r="P17" s="14"/>
    </row>
    <row r="18" spans="2:16" ht="27.75" customHeight="1" x14ac:dyDescent="0.25">
      <c r="B18" s="15">
        <v>15</v>
      </c>
      <c r="C18" s="13"/>
      <c r="F18" s="14"/>
      <c r="G18" s="14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4"/>
      <c r="O18" s="14"/>
      <c r="P18" s="1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topLeftCell="B1" zoomScale="91" zoomScaleNormal="91" workbookViewId="0">
      <selection activeCell="M6" sqref="M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98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45450</v>
      </c>
      <c r="J3" s="12">
        <v>45457</v>
      </c>
      <c r="K3" s="12">
        <v>45461</v>
      </c>
      <c r="L3" s="12">
        <v>45467</v>
      </c>
      <c r="M3" s="12">
        <v>45473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2">
        <v>565</v>
      </c>
      <c r="G4" s="1" t="s">
        <v>5</v>
      </c>
      <c r="H4" s="1">
        <v>749</v>
      </c>
      <c r="I4" s="1">
        <v>50</v>
      </c>
      <c r="J4" s="1">
        <v>65</v>
      </c>
      <c r="K4" s="1">
        <v>0</v>
      </c>
      <c r="L4" s="1">
        <v>0</v>
      </c>
      <c r="M4" s="1">
        <v>0</v>
      </c>
      <c r="N4" s="1">
        <f>+F4+H4-I4-J4-K4-L4-M4</f>
        <v>1199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2">
        <v>750</v>
      </c>
      <c r="G5" s="1" t="s">
        <v>5</v>
      </c>
      <c r="H5" s="1">
        <v>0</v>
      </c>
      <c r="I5" s="1">
        <v>20</v>
      </c>
      <c r="J5" s="1">
        <v>190</v>
      </c>
      <c r="K5" s="1">
        <v>0</v>
      </c>
      <c r="L5" s="1">
        <v>0</v>
      </c>
      <c r="M5" s="1">
        <v>0</v>
      </c>
      <c r="N5" s="1">
        <f t="shared" ref="N5:N16" si="0">+F5+H5-I5-J5-K5-L5-M5</f>
        <v>540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2">
        <v>339</v>
      </c>
      <c r="G6" s="1" t="s">
        <v>5</v>
      </c>
      <c r="H6" s="1">
        <v>1011</v>
      </c>
      <c r="I6" s="1">
        <v>0</v>
      </c>
      <c r="J6" s="1">
        <v>111</v>
      </c>
      <c r="K6" s="1">
        <v>0</v>
      </c>
      <c r="L6" s="1">
        <v>0</v>
      </c>
      <c r="M6" s="1">
        <v>60</v>
      </c>
      <c r="N6" s="1">
        <f t="shared" si="0"/>
        <v>1179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2">
        <v>380</v>
      </c>
      <c r="G7" s="1" t="s">
        <v>5</v>
      </c>
      <c r="H7" s="1">
        <v>0</v>
      </c>
      <c r="I7" s="1">
        <v>10</v>
      </c>
      <c r="J7" s="1">
        <v>10</v>
      </c>
      <c r="K7" s="1">
        <v>0</v>
      </c>
      <c r="L7" s="1">
        <v>0</v>
      </c>
      <c r="M7" s="1">
        <v>60</v>
      </c>
      <c r="N7" s="1">
        <f t="shared" si="0"/>
        <v>300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2">
        <v>142</v>
      </c>
      <c r="G8" s="1" t="s">
        <v>5</v>
      </c>
      <c r="H8" s="1">
        <v>689</v>
      </c>
      <c r="I8" s="1">
        <v>60</v>
      </c>
      <c r="J8" s="1">
        <v>95</v>
      </c>
      <c r="K8" s="1">
        <v>0</v>
      </c>
      <c r="L8" s="1">
        <v>0</v>
      </c>
      <c r="M8" s="1">
        <v>40</v>
      </c>
      <c r="N8" s="1">
        <f t="shared" si="0"/>
        <v>636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2">
        <v>2170</v>
      </c>
      <c r="G9" s="1" t="s">
        <v>5</v>
      </c>
      <c r="H9" s="1">
        <v>0</v>
      </c>
      <c r="I9" s="1">
        <v>60</v>
      </c>
      <c r="J9" s="1">
        <v>70</v>
      </c>
      <c r="K9" s="1">
        <v>0</v>
      </c>
      <c r="L9" s="1">
        <v>0</v>
      </c>
      <c r="M9" s="1">
        <v>50</v>
      </c>
      <c r="N9" s="1">
        <f t="shared" si="0"/>
        <v>1990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2">
        <v>927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927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85</v>
      </c>
      <c r="D11" s="1" t="s">
        <v>4</v>
      </c>
      <c r="E11" s="1">
        <v>8818</v>
      </c>
      <c r="F11" s="2">
        <v>80</v>
      </c>
      <c r="G11" s="1" t="s">
        <v>86</v>
      </c>
      <c r="H11" s="1">
        <v>0</v>
      </c>
      <c r="I11" s="1">
        <v>15</v>
      </c>
      <c r="J11" s="1">
        <v>0</v>
      </c>
      <c r="K11" s="1">
        <v>0</v>
      </c>
      <c r="L11" s="1">
        <v>0</v>
      </c>
      <c r="M11" s="1">
        <v>0</v>
      </c>
      <c r="N11" s="1">
        <f t="shared" si="0"/>
        <v>65</v>
      </c>
      <c r="O11" s="7" t="s">
        <v>16</v>
      </c>
      <c r="P11" s="9" t="s">
        <v>16</v>
      </c>
    </row>
    <row r="12" spans="1:17" ht="26.25" customHeight="1" x14ac:dyDescent="0.25">
      <c r="A12" t="s">
        <v>3</v>
      </c>
      <c r="B12" s="2">
        <v>9</v>
      </c>
      <c r="C12" s="1" t="s">
        <v>87</v>
      </c>
      <c r="D12" s="1" t="s">
        <v>4</v>
      </c>
      <c r="E12" s="1">
        <v>12191</v>
      </c>
      <c r="F12" s="2">
        <v>8</v>
      </c>
      <c r="G12" s="1" t="s">
        <v>86</v>
      </c>
      <c r="H12" s="1">
        <v>0</v>
      </c>
      <c r="I12" s="1">
        <v>8</v>
      </c>
      <c r="J12" s="1">
        <v>0</v>
      </c>
      <c r="K12" s="1">
        <v>0</v>
      </c>
      <c r="L12" s="1">
        <v>0</v>
      </c>
      <c r="M12" s="1">
        <v>0</v>
      </c>
      <c r="N12" s="1">
        <f t="shared" si="0"/>
        <v>0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2">
        <v>50</v>
      </c>
      <c r="G13" s="1" t="s">
        <v>89</v>
      </c>
      <c r="H13" s="1">
        <v>532.70000000000005</v>
      </c>
      <c r="I13" s="1">
        <v>50</v>
      </c>
      <c r="J13" s="1">
        <v>50</v>
      </c>
      <c r="K13" s="1">
        <v>0</v>
      </c>
      <c r="L13" s="1">
        <v>0</v>
      </c>
      <c r="M13" s="1">
        <v>75</v>
      </c>
      <c r="N13" s="1">
        <f t="shared" si="0"/>
        <v>407.70000000000005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5">
        <v>50</v>
      </c>
      <c r="G14" s="1" t="s">
        <v>89</v>
      </c>
      <c r="H14" s="1">
        <v>346.3</v>
      </c>
      <c r="I14" s="1">
        <v>0</v>
      </c>
      <c r="J14" s="1">
        <v>25</v>
      </c>
      <c r="K14" s="1">
        <v>0</v>
      </c>
      <c r="L14" s="1">
        <v>0</v>
      </c>
      <c r="M14" s="1">
        <v>0</v>
      </c>
      <c r="N14" s="14">
        <f t="shared" si="0"/>
        <v>371.3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5">
        <v>75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4">
        <f t="shared" si="0"/>
        <v>75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5">
        <v>224</v>
      </c>
      <c r="G16" s="1" t="s">
        <v>89</v>
      </c>
      <c r="H16" s="1">
        <v>0</v>
      </c>
      <c r="I16" s="1">
        <v>25</v>
      </c>
      <c r="J16" s="1">
        <v>25</v>
      </c>
      <c r="K16" s="1">
        <v>0</v>
      </c>
      <c r="L16" s="1">
        <v>0</v>
      </c>
      <c r="M16" s="1">
        <v>25</v>
      </c>
      <c r="N16" s="14">
        <f t="shared" si="0"/>
        <v>149</v>
      </c>
      <c r="O16" s="14"/>
      <c r="P16" s="14"/>
    </row>
    <row r="17" spans="2:16" ht="25.5" customHeight="1" x14ac:dyDescent="0.25">
      <c r="B17" s="15">
        <v>14</v>
      </c>
      <c r="C17" s="14"/>
      <c r="F17" s="14"/>
      <c r="G17" s="14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4"/>
      <c r="O17" s="14"/>
      <c r="P17" s="14"/>
    </row>
    <row r="18" spans="2:16" ht="27.75" customHeight="1" x14ac:dyDescent="0.25">
      <c r="B18" s="15">
        <v>15</v>
      </c>
      <c r="C18" s="13"/>
      <c r="F18" s="14"/>
      <c r="G18" s="14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4"/>
      <c r="O18" s="14"/>
      <c r="P18" s="1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"/>
  <sheetViews>
    <sheetView topLeftCell="B1" zoomScale="91" zoomScaleNormal="91" workbookViewId="0">
      <selection activeCell="M15" sqref="M15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4" t="s">
        <v>99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45478</v>
      </c>
      <c r="J3" s="12">
        <v>45485</v>
      </c>
      <c r="K3" s="12">
        <v>45492</v>
      </c>
      <c r="L3" s="12">
        <v>45499</v>
      </c>
      <c r="M3" s="12">
        <v>45504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1199</v>
      </c>
      <c r="G4" s="1" t="s">
        <v>5</v>
      </c>
      <c r="H4" s="1">
        <v>0</v>
      </c>
      <c r="I4" s="1">
        <v>50</v>
      </c>
      <c r="J4" s="1">
        <v>0</v>
      </c>
      <c r="K4" s="1">
        <v>5</v>
      </c>
      <c r="L4" s="1">
        <v>50</v>
      </c>
      <c r="M4" s="1">
        <v>20</v>
      </c>
      <c r="N4" s="3">
        <f>+F4+H4-I4-J4-K4-L4-M4</f>
        <v>1074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540</v>
      </c>
      <c r="G5" s="1" t="s">
        <v>5</v>
      </c>
      <c r="H5" s="1">
        <v>720</v>
      </c>
      <c r="I5" s="1">
        <v>0</v>
      </c>
      <c r="J5" s="1">
        <v>75</v>
      </c>
      <c r="K5" s="1">
        <v>150</v>
      </c>
      <c r="L5" s="1">
        <v>80</v>
      </c>
      <c r="M5" s="1">
        <v>108</v>
      </c>
      <c r="N5" s="3">
        <f t="shared" ref="N5:N16" si="0">+F5+H5-I5-J5-K5-L5-M5</f>
        <v>847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1179</v>
      </c>
      <c r="G6" s="1" t="s">
        <v>5</v>
      </c>
      <c r="H6" s="1">
        <v>0</v>
      </c>
      <c r="I6" s="1">
        <v>0</v>
      </c>
      <c r="J6" s="1">
        <v>0</v>
      </c>
      <c r="K6" s="1">
        <v>0</v>
      </c>
      <c r="L6" s="1">
        <v>55</v>
      </c>
      <c r="M6" s="1">
        <v>120</v>
      </c>
      <c r="N6" s="3">
        <f t="shared" si="0"/>
        <v>1004</v>
      </c>
      <c r="O6" s="7">
        <v>250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300</v>
      </c>
      <c r="G7" s="1" t="s">
        <v>5</v>
      </c>
      <c r="H7" s="1">
        <v>405</v>
      </c>
      <c r="I7" s="1">
        <v>0</v>
      </c>
      <c r="J7" s="1">
        <v>0</v>
      </c>
      <c r="K7" s="1">
        <v>5</v>
      </c>
      <c r="L7" s="1">
        <v>60</v>
      </c>
      <c r="M7" s="1">
        <v>50</v>
      </c>
      <c r="N7" s="3">
        <f t="shared" si="0"/>
        <v>590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636</v>
      </c>
      <c r="G8" s="1" t="s">
        <v>5</v>
      </c>
      <c r="H8" s="1">
        <v>525</v>
      </c>
      <c r="I8" s="1">
        <v>10</v>
      </c>
      <c r="J8" s="1">
        <v>55</v>
      </c>
      <c r="K8" s="1">
        <v>50</v>
      </c>
      <c r="L8" s="1">
        <v>60</v>
      </c>
      <c r="M8" s="1">
        <v>100</v>
      </c>
      <c r="N8" s="3">
        <f t="shared" si="0"/>
        <v>886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1990</v>
      </c>
      <c r="G9" s="1" t="s">
        <v>5</v>
      </c>
      <c r="H9" s="1">
        <v>0</v>
      </c>
      <c r="I9" s="1">
        <v>30</v>
      </c>
      <c r="J9" s="1">
        <v>30</v>
      </c>
      <c r="K9" s="1">
        <v>0</v>
      </c>
      <c r="L9" s="1">
        <v>31</v>
      </c>
      <c r="M9" s="1">
        <v>0</v>
      </c>
      <c r="N9" s="3">
        <f t="shared" si="0"/>
        <v>1899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927</v>
      </c>
      <c r="G10" s="1" t="s">
        <v>5</v>
      </c>
      <c r="H10" s="1">
        <v>0</v>
      </c>
      <c r="I10" s="1">
        <v>170</v>
      </c>
      <c r="J10" s="1">
        <v>0</v>
      </c>
      <c r="K10" s="1">
        <v>12</v>
      </c>
      <c r="L10" s="1">
        <v>0</v>
      </c>
      <c r="M10" s="1">
        <v>0</v>
      </c>
      <c r="N10" s="3">
        <f t="shared" si="0"/>
        <v>745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100</v>
      </c>
      <c r="D11" s="1" t="s">
        <v>4</v>
      </c>
      <c r="E11" s="1">
        <v>8818</v>
      </c>
      <c r="F11" s="16">
        <v>0</v>
      </c>
      <c r="G11" s="1" t="s">
        <v>5</v>
      </c>
      <c r="H11" s="1">
        <v>180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180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16</v>
      </c>
      <c r="D12" s="1" t="s">
        <v>4</v>
      </c>
      <c r="E12" s="1">
        <v>12191</v>
      </c>
      <c r="F12" s="16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0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407.7</v>
      </c>
      <c r="G13" s="1" t="s">
        <v>89</v>
      </c>
      <c r="H13" s="1">
        <v>0</v>
      </c>
      <c r="I13" s="1">
        <v>25</v>
      </c>
      <c r="J13" s="1">
        <v>75</v>
      </c>
      <c r="K13" s="1">
        <v>25</v>
      </c>
      <c r="L13" s="1">
        <v>25</v>
      </c>
      <c r="M13" s="1">
        <v>50</v>
      </c>
      <c r="N13" s="3">
        <f t="shared" si="0"/>
        <v>207.7</v>
      </c>
      <c r="O13" s="7" t="s">
        <v>16</v>
      </c>
      <c r="P13" s="9" t="s">
        <v>16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371.3</v>
      </c>
      <c r="G14" s="1" t="s">
        <v>89</v>
      </c>
      <c r="H14" s="1">
        <v>0</v>
      </c>
      <c r="I14" s="1">
        <v>0</v>
      </c>
      <c r="J14" s="1">
        <v>25</v>
      </c>
      <c r="K14" s="1">
        <v>0</v>
      </c>
      <c r="L14" s="1">
        <v>0</v>
      </c>
      <c r="M14" s="1">
        <v>25</v>
      </c>
      <c r="N14" s="18">
        <f t="shared" si="0"/>
        <v>321.3</v>
      </c>
      <c r="O14" s="14"/>
      <c r="P14" s="14"/>
    </row>
    <row r="15" spans="1:17" ht="26.25" customHeight="1" x14ac:dyDescent="0.25">
      <c r="B15" s="15">
        <v>12</v>
      </c>
      <c r="C15" s="14" t="s">
        <v>91</v>
      </c>
      <c r="F15" s="17">
        <v>75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75</v>
      </c>
      <c r="O15" s="14"/>
      <c r="P15" s="14"/>
    </row>
    <row r="16" spans="1:17" ht="22.5" customHeight="1" x14ac:dyDescent="0.25">
      <c r="B16" s="15">
        <v>13</v>
      </c>
      <c r="C16" s="14" t="s">
        <v>92</v>
      </c>
      <c r="F16" s="17">
        <v>149</v>
      </c>
      <c r="G16" s="1" t="s">
        <v>89</v>
      </c>
      <c r="H16" s="1">
        <v>0</v>
      </c>
      <c r="I16" s="1">
        <v>0</v>
      </c>
      <c r="J16" s="1">
        <v>0</v>
      </c>
      <c r="K16" s="1">
        <v>0</v>
      </c>
      <c r="L16" s="1">
        <v>25</v>
      </c>
      <c r="M16" s="1">
        <v>0</v>
      </c>
      <c r="N16" s="18">
        <f t="shared" si="0"/>
        <v>124</v>
      </c>
      <c r="O16" s="14"/>
      <c r="P16" s="14"/>
    </row>
    <row r="17" spans="2:16" ht="25.5" customHeight="1" x14ac:dyDescent="0.25">
      <c r="B17" s="15">
        <v>14</v>
      </c>
      <c r="C17" s="1" t="s">
        <v>85</v>
      </c>
      <c r="D17" s="1" t="s">
        <v>4</v>
      </c>
      <c r="E17" s="1">
        <v>8818</v>
      </c>
      <c r="F17" s="16">
        <v>65</v>
      </c>
      <c r="G17" s="1" t="s">
        <v>86</v>
      </c>
      <c r="H17" s="1">
        <v>0</v>
      </c>
      <c r="I17" s="1">
        <v>0</v>
      </c>
      <c r="J17" s="1">
        <v>0</v>
      </c>
      <c r="K17" s="1">
        <v>20</v>
      </c>
      <c r="L17" s="1">
        <v>0</v>
      </c>
      <c r="M17" s="1">
        <v>0</v>
      </c>
      <c r="N17" s="3">
        <f t="shared" ref="N17:N18" si="1">+F17+H17-I17-J17-K17-L17-M17</f>
        <v>45</v>
      </c>
      <c r="O17" s="7" t="s">
        <v>16</v>
      </c>
      <c r="P17" s="9" t="s">
        <v>16</v>
      </c>
    </row>
    <row r="18" spans="2:16" ht="27.75" customHeight="1" x14ac:dyDescent="0.25">
      <c r="B18" s="15">
        <v>15</v>
      </c>
      <c r="C18" s="1" t="s">
        <v>87</v>
      </c>
      <c r="D18" s="1" t="s">
        <v>4</v>
      </c>
      <c r="E18" s="1">
        <v>12191</v>
      </c>
      <c r="F18" s="16">
        <v>8</v>
      </c>
      <c r="G18" s="1" t="s">
        <v>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1"/>
        <v>8</v>
      </c>
      <c r="O18" s="7" t="s">
        <v>16</v>
      </c>
      <c r="P18" s="9" t="s">
        <v>16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"/>
  <sheetViews>
    <sheetView topLeftCell="B2" zoomScale="91" zoomScaleNormal="91" workbookViewId="0">
      <selection activeCell="L8" sqref="L8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45505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45509</v>
      </c>
      <c r="J3" s="12">
        <v>45516</v>
      </c>
      <c r="K3" s="12">
        <v>45527</v>
      </c>
      <c r="L3" s="12">
        <v>45530</v>
      </c>
      <c r="M3" s="12">
        <v>45534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1074</v>
      </c>
      <c r="G4" s="1" t="s">
        <v>5</v>
      </c>
      <c r="H4" s="1">
        <v>0</v>
      </c>
      <c r="I4" s="1">
        <v>16</v>
      </c>
      <c r="J4" s="1">
        <v>20</v>
      </c>
      <c r="K4" s="1">
        <v>50</v>
      </c>
      <c r="L4" s="1">
        <v>0</v>
      </c>
      <c r="M4" s="1">
        <v>10</v>
      </c>
      <c r="N4" s="3">
        <f>+F4+H4-I4-J4-K4-L4-M4</f>
        <v>978</v>
      </c>
      <c r="O4" s="7">
        <v>200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847</v>
      </c>
      <c r="G5" s="1" t="s">
        <v>5</v>
      </c>
      <c r="H5" s="1">
        <v>0</v>
      </c>
      <c r="I5" s="1">
        <v>30</v>
      </c>
      <c r="J5" s="1">
        <v>70</v>
      </c>
      <c r="K5" s="1">
        <v>30</v>
      </c>
      <c r="L5" s="1">
        <v>0</v>
      </c>
      <c r="M5" s="1">
        <v>80</v>
      </c>
      <c r="N5" s="3">
        <f t="shared" ref="N5:N18" si="0">+F5+H5-I5-J5-K5-L5-M5</f>
        <v>637</v>
      </c>
      <c r="O5" s="7">
        <v>200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1004</v>
      </c>
      <c r="G6" s="1" t="s">
        <v>5</v>
      </c>
      <c r="H6" s="1">
        <v>0</v>
      </c>
      <c r="I6" s="1">
        <v>300</v>
      </c>
      <c r="J6" s="1">
        <v>0</v>
      </c>
      <c r="K6" s="1">
        <v>150</v>
      </c>
      <c r="L6" s="1">
        <v>0</v>
      </c>
      <c r="M6" s="1">
        <v>100</v>
      </c>
      <c r="N6" s="3">
        <f t="shared" si="0"/>
        <v>454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590</v>
      </c>
      <c r="G7" s="1" t="s">
        <v>5</v>
      </c>
      <c r="H7" s="1">
        <v>0</v>
      </c>
      <c r="I7" s="1">
        <v>95</v>
      </c>
      <c r="J7" s="1">
        <v>0</v>
      </c>
      <c r="K7" s="1">
        <v>0</v>
      </c>
      <c r="L7" s="1">
        <v>0</v>
      </c>
      <c r="M7" s="1">
        <v>30</v>
      </c>
      <c r="N7" s="3">
        <f t="shared" si="0"/>
        <v>465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886</v>
      </c>
      <c r="G8" s="1" t="s">
        <v>5</v>
      </c>
      <c r="H8" s="1">
        <v>0</v>
      </c>
      <c r="I8" s="1">
        <v>75</v>
      </c>
      <c r="J8" s="1">
        <v>95</v>
      </c>
      <c r="K8" s="1">
        <v>165</v>
      </c>
      <c r="L8" s="1">
        <v>0</v>
      </c>
      <c r="M8" s="1">
        <v>70</v>
      </c>
      <c r="N8" s="3">
        <f t="shared" si="0"/>
        <v>481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1899</v>
      </c>
      <c r="G9" s="1" t="s">
        <v>5</v>
      </c>
      <c r="H9" s="1">
        <v>0</v>
      </c>
      <c r="I9" s="1">
        <v>95</v>
      </c>
      <c r="J9" s="1">
        <v>0</v>
      </c>
      <c r="K9" s="1">
        <v>50</v>
      </c>
      <c r="L9" s="1">
        <v>0</v>
      </c>
      <c r="M9" s="1">
        <v>135</v>
      </c>
      <c r="N9" s="3">
        <f t="shared" si="0"/>
        <v>1619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745</v>
      </c>
      <c r="G10" s="1" t="s">
        <v>5</v>
      </c>
      <c r="H10" s="1">
        <v>0</v>
      </c>
      <c r="I10" s="1">
        <v>0</v>
      </c>
      <c r="J10" s="1">
        <v>102</v>
      </c>
      <c r="K10" s="1">
        <v>0</v>
      </c>
      <c r="L10" s="1">
        <v>0</v>
      </c>
      <c r="M10" s="1">
        <v>0</v>
      </c>
      <c r="N10" s="3">
        <f t="shared" si="0"/>
        <v>643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100</v>
      </c>
      <c r="D11" s="1" t="s">
        <v>4</v>
      </c>
      <c r="E11" s="1">
        <v>8818</v>
      </c>
      <c r="F11" s="16">
        <v>180</v>
      </c>
      <c r="G11" s="1" t="s">
        <v>5</v>
      </c>
      <c r="H11" s="1">
        <v>785</v>
      </c>
      <c r="I11" s="1">
        <v>180</v>
      </c>
      <c r="J11" s="1">
        <v>80</v>
      </c>
      <c r="K11" s="1">
        <v>0</v>
      </c>
      <c r="L11" s="1">
        <v>0</v>
      </c>
      <c r="M11" s="1">
        <v>100</v>
      </c>
      <c r="N11" s="3">
        <f t="shared" si="0"/>
        <v>605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16</v>
      </c>
      <c r="D12" s="1" t="s">
        <v>4</v>
      </c>
      <c r="E12" s="1">
        <v>12191</v>
      </c>
      <c r="F12" s="16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0</v>
      </c>
      <c r="O12" s="7" t="s">
        <v>16</v>
      </c>
      <c r="P12" s="9" t="s">
        <v>16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207</v>
      </c>
      <c r="G13" s="1" t="s">
        <v>89</v>
      </c>
      <c r="H13" s="1">
        <v>0</v>
      </c>
      <c r="I13" s="1">
        <v>25</v>
      </c>
      <c r="J13" s="1">
        <v>82</v>
      </c>
      <c r="K13" s="1">
        <v>25</v>
      </c>
      <c r="L13" s="1">
        <v>0</v>
      </c>
      <c r="M13" s="1">
        <v>0</v>
      </c>
      <c r="N13" s="3">
        <f t="shared" si="0"/>
        <v>75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321</v>
      </c>
      <c r="G14" s="1" t="s">
        <v>89</v>
      </c>
      <c r="H14" s="1">
        <v>0</v>
      </c>
      <c r="I14" s="1">
        <v>25</v>
      </c>
      <c r="J14" s="1">
        <v>50</v>
      </c>
      <c r="K14" s="1">
        <v>50</v>
      </c>
      <c r="L14" s="1">
        <v>0</v>
      </c>
      <c r="M14" s="1">
        <v>25</v>
      </c>
      <c r="N14" s="18">
        <f t="shared" si="0"/>
        <v>171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75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75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124</v>
      </c>
      <c r="G16" s="1" t="s">
        <v>89</v>
      </c>
      <c r="H16" s="1">
        <v>0</v>
      </c>
      <c r="I16" s="1">
        <v>50</v>
      </c>
      <c r="J16" s="1">
        <v>0</v>
      </c>
      <c r="K16" s="1">
        <v>0</v>
      </c>
      <c r="L16" s="1">
        <v>0</v>
      </c>
      <c r="M16" s="1">
        <v>25</v>
      </c>
      <c r="N16" s="18">
        <f t="shared" si="0"/>
        <v>49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" t="s">
        <v>85</v>
      </c>
      <c r="D17" s="1" t="s">
        <v>4</v>
      </c>
      <c r="E17" s="1">
        <v>8818</v>
      </c>
      <c r="F17" s="16">
        <v>45</v>
      </c>
      <c r="G17" s="1" t="s">
        <v>86</v>
      </c>
      <c r="H17" s="1">
        <v>0</v>
      </c>
      <c r="I17" s="1">
        <v>0</v>
      </c>
      <c r="J17" s="1">
        <v>25</v>
      </c>
      <c r="K17" s="1">
        <v>0</v>
      </c>
      <c r="L17" s="1">
        <v>0</v>
      </c>
      <c r="M17" s="1">
        <v>0</v>
      </c>
      <c r="N17" s="3">
        <f t="shared" si="0"/>
        <v>20</v>
      </c>
      <c r="O17" s="7">
        <v>40</v>
      </c>
      <c r="P17" s="9">
        <v>100</v>
      </c>
    </row>
    <row r="18" spans="2:16" ht="27.75" customHeight="1" x14ac:dyDescent="0.25">
      <c r="B18" s="15">
        <v>15</v>
      </c>
      <c r="C18" s="1" t="s">
        <v>87</v>
      </c>
      <c r="D18" s="1" t="s">
        <v>4</v>
      </c>
      <c r="E18" s="1">
        <v>12191</v>
      </c>
      <c r="F18" s="16">
        <v>8</v>
      </c>
      <c r="G18" s="1" t="s">
        <v>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8</v>
      </c>
      <c r="O18" s="7">
        <v>10</v>
      </c>
      <c r="P18" s="9">
        <v>50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9"/>
  <sheetViews>
    <sheetView topLeftCell="B2" zoomScale="91" zoomScaleNormal="91" workbookViewId="0">
      <selection activeCell="M5" sqref="M5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45536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45541</v>
      </c>
      <c r="J3" s="12">
        <v>45548</v>
      </c>
      <c r="K3" s="12">
        <v>45555</v>
      </c>
      <c r="L3" s="12">
        <v>45562</v>
      </c>
      <c r="M3" s="12">
        <v>45565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978</v>
      </c>
      <c r="G4" s="1" t="s">
        <v>5</v>
      </c>
      <c r="H4" s="1">
        <v>0</v>
      </c>
      <c r="I4" s="1">
        <v>35</v>
      </c>
      <c r="J4" s="1">
        <v>40</v>
      </c>
      <c r="K4" s="1">
        <v>50</v>
      </c>
      <c r="L4" s="1">
        <v>0</v>
      </c>
      <c r="M4" s="1">
        <v>0</v>
      </c>
      <c r="N4" s="3">
        <f>+F4+H4-I4-J4-K4-L4-M4</f>
        <v>853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637</v>
      </c>
      <c r="G5" s="1" t="s">
        <v>5</v>
      </c>
      <c r="H5" s="1">
        <v>0</v>
      </c>
      <c r="I5" s="1">
        <v>40</v>
      </c>
      <c r="J5" s="1">
        <v>155</v>
      </c>
      <c r="K5" s="1">
        <v>0</v>
      </c>
      <c r="L5" s="1">
        <v>70</v>
      </c>
      <c r="M5" s="1">
        <v>30</v>
      </c>
      <c r="N5" s="3">
        <f t="shared" ref="N5:N19" si="0">+F5+H5-I5-J5-K5-L5-M5</f>
        <v>342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454</v>
      </c>
      <c r="G6" s="1" t="s">
        <v>5</v>
      </c>
      <c r="H6" s="1">
        <v>614</v>
      </c>
      <c r="I6" s="1">
        <v>200</v>
      </c>
      <c r="J6" s="1">
        <v>58</v>
      </c>
      <c r="K6" s="1">
        <v>0</v>
      </c>
      <c r="L6" s="1">
        <v>35</v>
      </c>
      <c r="M6" s="1">
        <v>0</v>
      </c>
      <c r="N6" s="3">
        <f t="shared" si="0"/>
        <v>775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465</v>
      </c>
      <c r="G7" s="1" t="s">
        <v>5</v>
      </c>
      <c r="H7" s="1">
        <v>0</v>
      </c>
      <c r="I7" s="1">
        <v>0</v>
      </c>
      <c r="J7" s="1">
        <v>30</v>
      </c>
      <c r="K7" s="1">
        <v>0</v>
      </c>
      <c r="L7" s="1">
        <v>30</v>
      </c>
      <c r="M7" s="1">
        <v>0</v>
      </c>
      <c r="N7" s="3">
        <f t="shared" si="0"/>
        <v>405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381</v>
      </c>
      <c r="G8" s="1" t="s">
        <v>5</v>
      </c>
      <c r="H8" s="1">
        <v>197</v>
      </c>
      <c r="I8" s="1">
        <v>0</v>
      </c>
      <c r="J8" s="1">
        <v>60</v>
      </c>
      <c r="K8" s="1">
        <v>110</v>
      </c>
      <c r="L8" s="1">
        <v>45</v>
      </c>
      <c r="M8" s="1">
        <v>100</v>
      </c>
      <c r="N8" s="3">
        <f t="shared" si="0"/>
        <v>263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1619</v>
      </c>
      <c r="G9" s="1" t="s">
        <v>5</v>
      </c>
      <c r="H9" s="1">
        <v>0</v>
      </c>
      <c r="I9" s="1">
        <v>100</v>
      </c>
      <c r="J9" s="1">
        <v>70</v>
      </c>
      <c r="K9" s="1">
        <v>60</v>
      </c>
      <c r="L9" s="1">
        <v>110</v>
      </c>
      <c r="M9" s="1">
        <v>0</v>
      </c>
      <c r="N9" s="3">
        <f t="shared" si="0"/>
        <v>1279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643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120</v>
      </c>
      <c r="M10" s="1">
        <v>0</v>
      </c>
      <c r="N10" s="3">
        <f t="shared" si="0"/>
        <v>523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100</v>
      </c>
      <c r="D11" s="1" t="s">
        <v>4</v>
      </c>
      <c r="E11" s="1">
        <v>8818</v>
      </c>
      <c r="F11" s="16">
        <v>605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605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0</v>
      </c>
      <c r="G12" s="1" t="s">
        <v>89</v>
      </c>
      <c r="H12" s="1">
        <v>355</v>
      </c>
      <c r="I12" s="1">
        <v>0</v>
      </c>
      <c r="J12" s="1">
        <v>19</v>
      </c>
      <c r="K12" s="1">
        <v>0</v>
      </c>
      <c r="L12" s="1">
        <v>0</v>
      </c>
      <c r="M12" s="1">
        <v>0</v>
      </c>
      <c r="N12" s="3">
        <f t="shared" si="0"/>
        <v>336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75</v>
      </c>
      <c r="G13" s="1" t="s">
        <v>89</v>
      </c>
      <c r="H13" s="1">
        <v>432</v>
      </c>
      <c r="I13" s="1">
        <v>0</v>
      </c>
      <c r="J13" s="1">
        <v>100</v>
      </c>
      <c r="K13" s="1">
        <v>75</v>
      </c>
      <c r="L13" s="1">
        <v>50</v>
      </c>
      <c r="M13" s="1">
        <v>0</v>
      </c>
      <c r="N13" s="3">
        <f t="shared" si="0"/>
        <v>282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171</v>
      </c>
      <c r="G14" s="1" t="s">
        <v>89</v>
      </c>
      <c r="H14" s="1">
        <v>300</v>
      </c>
      <c r="I14" s="1">
        <v>0</v>
      </c>
      <c r="J14" s="1">
        <v>25</v>
      </c>
      <c r="K14" s="1">
        <v>25</v>
      </c>
      <c r="L14" s="1">
        <v>50</v>
      </c>
      <c r="M14" s="1">
        <v>0</v>
      </c>
      <c r="N14" s="18">
        <f t="shared" si="0"/>
        <v>371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75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75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49</v>
      </c>
      <c r="G16" s="1" t="s">
        <v>89</v>
      </c>
      <c r="H16" s="1">
        <v>275</v>
      </c>
      <c r="I16" s="1">
        <v>0</v>
      </c>
      <c r="J16" s="1">
        <v>25</v>
      </c>
      <c r="K16" s="1">
        <v>50</v>
      </c>
      <c r="L16" s="1">
        <v>0</v>
      </c>
      <c r="M16" s="1">
        <v>0</v>
      </c>
      <c r="N16" s="18">
        <f t="shared" si="0"/>
        <v>249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/>
      <c r="G17" s="1" t="s">
        <v>89</v>
      </c>
      <c r="H17" s="1">
        <v>375</v>
      </c>
      <c r="I17" s="1"/>
      <c r="J17" s="1"/>
      <c r="K17" s="1"/>
      <c r="L17" s="1"/>
      <c r="M17" s="1"/>
      <c r="N17" s="18">
        <f t="shared" si="0"/>
        <v>375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20</v>
      </c>
      <c r="G18" s="1" t="s">
        <v>86</v>
      </c>
      <c r="H18" s="1">
        <v>94</v>
      </c>
      <c r="I18" s="1">
        <v>0</v>
      </c>
      <c r="J18" s="1">
        <v>54</v>
      </c>
      <c r="K18" s="1">
        <v>5</v>
      </c>
      <c r="L18" s="1">
        <v>20</v>
      </c>
      <c r="M18" s="1">
        <v>0</v>
      </c>
      <c r="N18" s="3">
        <f t="shared" si="0"/>
        <v>35</v>
      </c>
      <c r="O18" s="7">
        <v>20</v>
      </c>
      <c r="P18" s="9">
        <v>100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8</v>
      </c>
      <c r="G19" s="1" t="s">
        <v>86</v>
      </c>
      <c r="H19" s="1">
        <v>72</v>
      </c>
      <c r="I19" s="1">
        <v>0</v>
      </c>
      <c r="J19" s="1">
        <v>35</v>
      </c>
      <c r="K19" s="1">
        <v>5</v>
      </c>
      <c r="L19" s="1">
        <v>20</v>
      </c>
      <c r="M19" s="1">
        <v>0</v>
      </c>
      <c r="N19" s="3">
        <f t="shared" si="0"/>
        <v>20</v>
      </c>
      <c r="O19" s="7">
        <v>10</v>
      </c>
      <c r="P19" s="9">
        <v>50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9"/>
  <sheetViews>
    <sheetView topLeftCell="B1" zoomScale="91" zoomScaleNormal="91" workbookViewId="0">
      <selection activeCell="K16" sqref="K1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7.8554687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45566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45569</v>
      </c>
      <c r="J3" s="12">
        <v>45576</v>
      </c>
      <c r="K3" s="12">
        <v>45583</v>
      </c>
      <c r="L3" s="12">
        <v>45590</v>
      </c>
      <c r="M3" s="12">
        <v>45596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853</v>
      </c>
      <c r="G4" s="1" t="s">
        <v>5</v>
      </c>
      <c r="H4" s="1">
        <v>0</v>
      </c>
      <c r="I4" s="1">
        <v>0</v>
      </c>
      <c r="J4" s="1">
        <v>50</v>
      </c>
      <c r="K4" s="1">
        <v>0</v>
      </c>
      <c r="L4" s="1">
        <v>105</v>
      </c>
      <c r="M4" s="1">
        <v>60</v>
      </c>
      <c r="N4" s="3">
        <f>+F4+H4-I4-J4-K4-L4-M4</f>
        <v>638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442</v>
      </c>
      <c r="G5" s="1" t="s">
        <v>5</v>
      </c>
      <c r="H5" s="1">
        <v>450</v>
      </c>
      <c r="I5" s="1">
        <v>55</v>
      </c>
      <c r="J5" s="1">
        <v>50</v>
      </c>
      <c r="K5" s="1">
        <v>160</v>
      </c>
      <c r="L5" s="1">
        <v>75</v>
      </c>
      <c r="M5" s="1">
        <v>130</v>
      </c>
      <c r="N5" s="3">
        <f t="shared" ref="N5:N19" si="0">+F5+H5-I5-J5-K5-L5-M5</f>
        <v>422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775</v>
      </c>
      <c r="G6" s="1" t="s">
        <v>5</v>
      </c>
      <c r="H6" s="1">
        <v>0</v>
      </c>
      <c r="I6" s="1">
        <v>0</v>
      </c>
      <c r="J6" s="1">
        <v>295</v>
      </c>
      <c r="K6" s="1">
        <v>0</v>
      </c>
      <c r="L6" s="1">
        <v>275</v>
      </c>
      <c r="M6" s="1">
        <v>0</v>
      </c>
      <c r="N6" s="3">
        <f t="shared" si="0"/>
        <v>205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405</v>
      </c>
      <c r="G7" s="1" t="s">
        <v>5</v>
      </c>
      <c r="H7" s="1">
        <v>0</v>
      </c>
      <c r="I7" s="1">
        <v>55</v>
      </c>
      <c r="J7" s="1">
        <v>0</v>
      </c>
      <c r="K7" s="1">
        <v>0</v>
      </c>
      <c r="L7" s="1">
        <v>0</v>
      </c>
      <c r="M7" s="1">
        <v>30</v>
      </c>
      <c r="N7" s="3">
        <f t="shared" si="0"/>
        <v>320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463</v>
      </c>
      <c r="G8" s="1" t="s">
        <v>5</v>
      </c>
      <c r="H8" s="1">
        <v>275</v>
      </c>
      <c r="I8" s="1">
        <v>55</v>
      </c>
      <c r="J8" s="1">
        <v>50</v>
      </c>
      <c r="K8" s="1">
        <v>60</v>
      </c>
      <c r="L8" s="1">
        <v>0</v>
      </c>
      <c r="M8" s="1">
        <v>175</v>
      </c>
      <c r="N8" s="3">
        <f t="shared" si="0"/>
        <v>398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1279</v>
      </c>
      <c r="G9" s="1" t="s">
        <v>5</v>
      </c>
      <c r="H9" s="1">
        <v>0</v>
      </c>
      <c r="I9" s="1">
        <v>50</v>
      </c>
      <c r="J9" s="1">
        <v>60</v>
      </c>
      <c r="K9" s="1">
        <v>70</v>
      </c>
      <c r="L9" s="1">
        <v>0</v>
      </c>
      <c r="M9" s="1">
        <v>0</v>
      </c>
      <c r="N9" s="3">
        <f t="shared" si="0"/>
        <v>1099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523</v>
      </c>
      <c r="G10" s="1" t="s">
        <v>5</v>
      </c>
      <c r="H10" s="1">
        <v>0</v>
      </c>
      <c r="I10" s="1">
        <v>0</v>
      </c>
      <c r="J10" s="1">
        <v>200</v>
      </c>
      <c r="K10" s="1">
        <v>180</v>
      </c>
      <c r="L10" s="1">
        <v>0</v>
      </c>
      <c r="M10" s="1">
        <v>0</v>
      </c>
      <c r="N10" s="3">
        <f t="shared" si="0"/>
        <v>143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100</v>
      </c>
      <c r="D11" s="1" t="s">
        <v>4</v>
      </c>
      <c r="E11" s="1">
        <v>8818</v>
      </c>
      <c r="F11" s="16">
        <v>605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605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336</v>
      </c>
      <c r="G12" s="1" t="s">
        <v>89</v>
      </c>
      <c r="H12" s="1">
        <v>0</v>
      </c>
      <c r="I12" s="1">
        <v>0</v>
      </c>
      <c r="J12" s="1">
        <v>0</v>
      </c>
      <c r="K12" s="1">
        <v>0</v>
      </c>
      <c r="L12" s="1">
        <v>25</v>
      </c>
      <c r="M12" s="1">
        <v>0</v>
      </c>
      <c r="N12" s="3">
        <f t="shared" si="0"/>
        <v>311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282</v>
      </c>
      <c r="G13" s="1" t="s">
        <v>89</v>
      </c>
      <c r="H13" s="1">
        <v>0</v>
      </c>
      <c r="I13" s="1">
        <v>25</v>
      </c>
      <c r="J13" s="1">
        <v>0</v>
      </c>
      <c r="K13" s="1">
        <v>75</v>
      </c>
      <c r="L13" s="1">
        <v>100</v>
      </c>
      <c r="M13" s="1">
        <v>82</v>
      </c>
      <c r="N13" s="3">
        <f t="shared" si="0"/>
        <v>0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371</v>
      </c>
      <c r="G14" s="1" t="s">
        <v>89</v>
      </c>
      <c r="H14" s="1">
        <v>0</v>
      </c>
      <c r="I14" s="1">
        <v>50</v>
      </c>
      <c r="J14" s="1">
        <v>25</v>
      </c>
      <c r="K14" s="1">
        <v>75</v>
      </c>
      <c r="L14" s="1">
        <v>25</v>
      </c>
      <c r="M14" s="1">
        <v>25</v>
      </c>
      <c r="N14" s="18">
        <f t="shared" si="0"/>
        <v>171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75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75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249</v>
      </c>
      <c r="G16" s="1" t="s">
        <v>89</v>
      </c>
      <c r="H16" s="1">
        <v>0</v>
      </c>
      <c r="I16" s="1">
        <v>25</v>
      </c>
      <c r="J16" s="1">
        <v>25</v>
      </c>
      <c r="K16" s="1">
        <v>0</v>
      </c>
      <c r="L16" s="1">
        <v>0</v>
      </c>
      <c r="M16" s="1">
        <v>25</v>
      </c>
      <c r="N16" s="18">
        <f t="shared" si="0"/>
        <v>174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/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35</v>
      </c>
      <c r="G18" s="1" t="s">
        <v>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35</v>
      </c>
      <c r="O18" s="7">
        <v>20</v>
      </c>
      <c r="P18" s="9">
        <v>100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20</v>
      </c>
      <c r="G19" s="1" t="s">
        <v>86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20</v>
      </c>
      <c r="O19" s="7">
        <v>10</v>
      </c>
      <c r="P19" s="9">
        <v>50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9"/>
  <sheetViews>
    <sheetView topLeftCell="B2" zoomScale="91" zoomScaleNormal="91" workbookViewId="0">
      <selection activeCell="L14" sqref="L14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45597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45604</v>
      </c>
      <c r="J3" s="12">
        <v>45611</v>
      </c>
      <c r="K3" s="12">
        <v>45618</v>
      </c>
      <c r="L3" s="12">
        <v>45625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638</v>
      </c>
      <c r="G4" s="1" t="s">
        <v>5</v>
      </c>
      <c r="H4" s="1">
        <v>0</v>
      </c>
      <c r="I4" s="1">
        <v>0</v>
      </c>
      <c r="J4" s="1">
        <v>25</v>
      </c>
      <c r="K4" s="1">
        <v>150</v>
      </c>
      <c r="L4" s="1">
        <v>50</v>
      </c>
      <c r="M4" s="1">
        <v>0</v>
      </c>
      <c r="N4" s="3">
        <f>+F4+H4-I4-J4-K4-L4-M4</f>
        <v>413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422</v>
      </c>
      <c r="G5" s="1" t="s">
        <v>5</v>
      </c>
      <c r="H5" s="1">
        <v>0</v>
      </c>
      <c r="I5" s="1">
        <v>0</v>
      </c>
      <c r="J5" s="1">
        <v>20</v>
      </c>
      <c r="K5" s="1">
        <v>150</v>
      </c>
      <c r="L5" s="1">
        <v>70</v>
      </c>
      <c r="M5" s="1">
        <v>0</v>
      </c>
      <c r="N5" s="3">
        <f t="shared" ref="N5:N19" si="0">+F5+H5-I5-J5-K5-L5-M5</f>
        <v>182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205</v>
      </c>
      <c r="G6" s="1" t="s">
        <v>5</v>
      </c>
      <c r="H6" s="1">
        <v>0</v>
      </c>
      <c r="I6" s="1">
        <v>0</v>
      </c>
      <c r="J6" s="1">
        <v>50</v>
      </c>
      <c r="K6" s="1">
        <v>40</v>
      </c>
      <c r="L6" s="1">
        <v>0</v>
      </c>
      <c r="M6" s="1">
        <v>0</v>
      </c>
      <c r="N6" s="3">
        <f t="shared" si="0"/>
        <v>115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320</v>
      </c>
      <c r="G7" s="1" t="s">
        <v>5</v>
      </c>
      <c r="H7" s="1">
        <v>0</v>
      </c>
      <c r="I7" s="1">
        <v>0</v>
      </c>
      <c r="J7" s="1">
        <v>51</v>
      </c>
      <c r="K7" s="1">
        <v>0</v>
      </c>
      <c r="L7" s="1">
        <v>30</v>
      </c>
      <c r="M7" s="1">
        <v>0</v>
      </c>
      <c r="N7" s="3">
        <f t="shared" si="0"/>
        <v>239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398</v>
      </c>
      <c r="G8" s="1" t="s">
        <v>5</v>
      </c>
      <c r="H8" s="1">
        <v>0</v>
      </c>
      <c r="I8" s="1">
        <v>0</v>
      </c>
      <c r="J8" s="1">
        <v>165</v>
      </c>
      <c r="K8" s="1">
        <v>0</v>
      </c>
      <c r="L8" s="1">
        <v>20</v>
      </c>
      <c r="M8" s="1">
        <v>0</v>
      </c>
      <c r="N8" s="3">
        <f t="shared" si="0"/>
        <v>213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1099</v>
      </c>
      <c r="G9" s="1" t="s">
        <v>5</v>
      </c>
      <c r="H9" s="1">
        <v>0</v>
      </c>
      <c r="I9" s="1">
        <v>0</v>
      </c>
      <c r="J9" s="1">
        <v>50</v>
      </c>
      <c r="K9" s="1">
        <v>100</v>
      </c>
      <c r="L9" s="1">
        <v>0</v>
      </c>
      <c r="M9" s="1">
        <v>0</v>
      </c>
      <c r="N9" s="3">
        <f t="shared" si="0"/>
        <v>949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143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143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100</v>
      </c>
      <c r="D11" s="1" t="s">
        <v>4</v>
      </c>
      <c r="E11" s="1">
        <v>8818</v>
      </c>
      <c r="F11" s="16">
        <v>605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605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311</v>
      </c>
      <c r="G12" s="1" t="s">
        <v>89</v>
      </c>
      <c r="H12" s="1">
        <v>0</v>
      </c>
      <c r="I12" s="1">
        <v>0</v>
      </c>
      <c r="J12" s="1">
        <v>0</v>
      </c>
      <c r="K12" s="1">
        <v>25</v>
      </c>
      <c r="L12" s="1">
        <v>0</v>
      </c>
      <c r="M12" s="1">
        <v>0</v>
      </c>
      <c r="N12" s="3">
        <f t="shared" si="0"/>
        <v>286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0</v>
      </c>
      <c r="G13" s="1" t="s">
        <v>89</v>
      </c>
      <c r="H13" s="1">
        <v>545.79999999999995</v>
      </c>
      <c r="I13" s="1">
        <v>75</v>
      </c>
      <c r="J13" s="1">
        <v>50</v>
      </c>
      <c r="K13" s="1">
        <v>25</v>
      </c>
      <c r="L13" s="1">
        <v>50</v>
      </c>
      <c r="M13" s="1">
        <v>0</v>
      </c>
      <c r="N13" s="3">
        <f t="shared" si="0"/>
        <v>345.79999999999995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171</v>
      </c>
      <c r="G14" s="1" t="s">
        <v>89</v>
      </c>
      <c r="H14" s="1">
        <v>288.89999999999998</v>
      </c>
      <c r="I14" s="1">
        <v>0</v>
      </c>
      <c r="J14" s="1">
        <v>50</v>
      </c>
      <c r="K14" s="1">
        <v>0</v>
      </c>
      <c r="L14" s="1">
        <v>0</v>
      </c>
      <c r="M14" s="1">
        <v>0</v>
      </c>
      <c r="N14" s="18">
        <f t="shared" si="0"/>
        <v>409.9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75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75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174</v>
      </c>
      <c r="G16" s="1" t="s">
        <v>89</v>
      </c>
      <c r="H16" s="1">
        <v>0</v>
      </c>
      <c r="I16" s="1">
        <v>0</v>
      </c>
      <c r="J16" s="1">
        <v>25</v>
      </c>
      <c r="K16" s="1">
        <v>0</v>
      </c>
      <c r="L16" s="1">
        <v>0</v>
      </c>
      <c r="M16" s="1">
        <v>0</v>
      </c>
      <c r="N16" s="18">
        <f t="shared" si="0"/>
        <v>149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75</v>
      </c>
      <c r="G17" s="1" t="s">
        <v>89</v>
      </c>
      <c r="H17" s="1">
        <v>0</v>
      </c>
      <c r="I17" s="1">
        <v>0</v>
      </c>
      <c r="J17" s="1">
        <v>0</v>
      </c>
      <c r="K17" s="1">
        <v>25</v>
      </c>
      <c r="L17" s="1">
        <v>0</v>
      </c>
      <c r="M17" s="1">
        <v>0</v>
      </c>
      <c r="N17" s="18">
        <f t="shared" si="0"/>
        <v>50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35</v>
      </c>
      <c r="G18" s="1" t="s">
        <v>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35</v>
      </c>
      <c r="O18" s="7">
        <v>20</v>
      </c>
      <c r="P18" s="9">
        <v>100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20</v>
      </c>
      <c r="G19" s="1" t="s">
        <v>86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20</v>
      </c>
      <c r="O19" s="7">
        <v>10</v>
      </c>
      <c r="P19" s="9">
        <v>50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9"/>
  <sheetViews>
    <sheetView topLeftCell="B2" zoomScale="91" zoomScaleNormal="91" workbookViewId="0">
      <selection activeCell="G12" sqref="G12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45658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45660</v>
      </c>
      <c r="J3" s="12">
        <v>45667</v>
      </c>
      <c r="K3" s="12">
        <v>45674</v>
      </c>
      <c r="L3" s="12">
        <v>45681</v>
      </c>
      <c r="M3" s="12">
        <v>45688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520</v>
      </c>
      <c r="G4" s="1" t="s">
        <v>5</v>
      </c>
      <c r="H4" s="1">
        <v>0</v>
      </c>
      <c r="I4" s="1">
        <v>50</v>
      </c>
      <c r="J4" s="1">
        <v>10</v>
      </c>
      <c r="K4" s="1">
        <v>0</v>
      </c>
      <c r="L4" s="1">
        <v>60</v>
      </c>
      <c r="M4" s="1">
        <v>80</v>
      </c>
      <c r="N4" s="3">
        <f>+F4+H4-I4-J4-K4-L4-M4</f>
        <v>320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500</v>
      </c>
      <c r="G5" s="1" t="s">
        <v>5</v>
      </c>
      <c r="H5" s="1">
        <v>0</v>
      </c>
      <c r="I5" s="1">
        <v>70</v>
      </c>
      <c r="J5" s="1">
        <v>15</v>
      </c>
      <c r="K5" s="1">
        <v>110</v>
      </c>
      <c r="L5" s="1">
        <v>30</v>
      </c>
      <c r="M5" s="1">
        <v>40</v>
      </c>
      <c r="N5" s="3">
        <f t="shared" ref="N5:N19" si="0">+F5+H5-I5-J5-K5-L5-M5</f>
        <v>235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25</v>
      </c>
      <c r="G6" s="1" t="s">
        <v>5</v>
      </c>
      <c r="H6" s="1">
        <v>1063</v>
      </c>
      <c r="I6" s="1">
        <v>138</v>
      </c>
      <c r="J6" s="1">
        <v>90</v>
      </c>
      <c r="K6" s="1">
        <v>20</v>
      </c>
      <c r="L6" s="1">
        <v>0</v>
      </c>
      <c r="M6" s="1">
        <v>0</v>
      </c>
      <c r="N6" s="3">
        <f t="shared" si="0"/>
        <v>840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0</v>
      </c>
      <c r="G7" s="1" t="s">
        <v>5</v>
      </c>
      <c r="H7" s="1">
        <v>100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3">
        <f t="shared" si="0"/>
        <v>100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250</v>
      </c>
      <c r="G8" s="1" t="s">
        <v>5</v>
      </c>
      <c r="H8" s="1">
        <v>1070</v>
      </c>
      <c r="I8" s="1">
        <v>90</v>
      </c>
      <c r="J8" s="1">
        <v>45</v>
      </c>
      <c r="K8" s="1">
        <v>110</v>
      </c>
      <c r="L8" s="1">
        <v>85</v>
      </c>
      <c r="M8" s="1">
        <v>90</v>
      </c>
      <c r="N8" s="3">
        <f t="shared" si="0"/>
        <v>900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600</v>
      </c>
      <c r="G9" s="1" t="s">
        <v>5</v>
      </c>
      <c r="H9" s="1">
        <v>0</v>
      </c>
      <c r="I9" s="1">
        <v>0</v>
      </c>
      <c r="J9" s="1">
        <v>0</v>
      </c>
      <c r="K9" s="1">
        <v>100</v>
      </c>
      <c r="L9" s="1">
        <v>0</v>
      </c>
      <c r="M9" s="1">
        <v>100</v>
      </c>
      <c r="N9" s="3">
        <f t="shared" si="0"/>
        <v>400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70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70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100</v>
      </c>
      <c r="D11" s="1" t="s">
        <v>4</v>
      </c>
      <c r="E11" s="1">
        <v>8818</v>
      </c>
      <c r="F11" s="16">
        <v>150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250</v>
      </c>
      <c r="G12" s="1" t="s">
        <v>89</v>
      </c>
      <c r="H12" s="1">
        <v>0</v>
      </c>
      <c r="I12" s="1">
        <v>0</v>
      </c>
      <c r="J12" s="1">
        <v>25</v>
      </c>
      <c r="K12" s="1">
        <v>0</v>
      </c>
      <c r="L12" s="1">
        <v>0</v>
      </c>
      <c r="M12" s="1">
        <v>0</v>
      </c>
      <c r="N12" s="3">
        <f t="shared" si="0"/>
        <v>225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50</v>
      </c>
      <c r="G13" s="1" t="s">
        <v>89</v>
      </c>
      <c r="H13" s="1">
        <v>550</v>
      </c>
      <c r="I13" s="1">
        <v>25</v>
      </c>
      <c r="J13" s="1">
        <v>25</v>
      </c>
      <c r="K13" s="1">
        <v>50</v>
      </c>
      <c r="L13" s="1">
        <v>75</v>
      </c>
      <c r="M13" s="1">
        <v>50</v>
      </c>
      <c r="N13" s="3">
        <f t="shared" si="0"/>
        <v>375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100</v>
      </c>
      <c r="G14" s="1" t="s">
        <v>89</v>
      </c>
      <c r="H14" s="1">
        <v>288</v>
      </c>
      <c r="I14" s="1">
        <v>0</v>
      </c>
      <c r="J14" s="1">
        <v>50</v>
      </c>
      <c r="K14" s="1">
        <v>0</v>
      </c>
      <c r="L14" s="1">
        <v>50</v>
      </c>
      <c r="M14" s="1">
        <v>25</v>
      </c>
      <c r="N14" s="18">
        <f t="shared" si="0"/>
        <v>263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0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0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0</v>
      </c>
      <c r="G16" s="1" t="s">
        <v>89</v>
      </c>
      <c r="H16" s="1">
        <v>294</v>
      </c>
      <c r="I16" s="1">
        <v>50</v>
      </c>
      <c r="J16" s="1">
        <v>50</v>
      </c>
      <c r="K16" s="1">
        <v>0</v>
      </c>
      <c r="L16" s="1">
        <v>0</v>
      </c>
      <c r="M16" s="1">
        <v>25</v>
      </c>
      <c r="N16" s="18">
        <f t="shared" si="0"/>
        <v>169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275</v>
      </c>
      <c r="G17" s="1" t="s">
        <v>89</v>
      </c>
      <c r="H17" s="1">
        <v>0</v>
      </c>
      <c r="I17" s="1">
        <v>25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250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900</v>
      </c>
      <c r="G18" s="1" t="s">
        <v>89</v>
      </c>
      <c r="H18" s="1">
        <v>2505</v>
      </c>
      <c r="I18" s="1">
        <v>450</v>
      </c>
      <c r="J18" s="1">
        <v>750</v>
      </c>
      <c r="K18" s="1">
        <v>0</v>
      </c>
      <c r="L18" s="1">
        <v>750</v>
      </c>
      <c r="M18" s="1">
        <v>0</v>
      </c>
      <c r="N18" s="3">
        <f t="shared" si="0"/>
        <v>1455</v>
      </c>
      <c r="O18" s="7">
        <v>20</v>
      </c>
      <c r="P18" s="9">
        <v>100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300</v>
      </c>
      <c r="G19" s="1" t="s">
        <v>89</v>
      </c>
      <c r="H19" s="1">
        <v>440</v>
      </c>
      <c r="I19" s="1">
        <v>300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440</v>
      </c>
      <c r="O19" s="7">
        <v>10</v>
      </c>
      <c r="P19" s="9">
        <v>50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9"/>
  <sheetViews>
    <sheetView topLeftCell="B1" zoomScale="91" zoomScaleNormal="91" workbookViewId="0">
      <selection activeCell="L16" sqref="L1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45689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45695</v>
      </c>
      <c r="J3" s="12">
        <v>45702</v>
      </c>
      <c r="K3" s="12">
        <v>45709</v>
      </c>
      <c r="L3" s="12">
        <v>45716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460</v>
      </c>
      <c r="G4" s="1" t="s">
        <v>5</v>
      </c>
      <c r="H4" s="1">
        <v>0</v>
      </c>
      <c r="I4" s="1">
        <v>20</v>
      </c>
      <c r="J4" s="1">
        <v>120</v>
      </c>
      <c r="K4" s="1">
        <v>0</v>
      </c>
      <c r="L4" s="1">
        <v>55</v>
      </c>
      <c r="M4" s="1">
        <v>0</v>
      </c>
      <c r="N4" s="3">
        <f>+F4+H4-I4-J4-K4-L4-M4</f>
        <v>265</v>
      </c>
      <c r="O4" s="7">
        <v>250</v>
      </c>
      <c r="P4" s="9">
        <v>750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260</v>
      </c>
      <c r="G5" s="1" t="s">
        <v>5</v>
      </c>
      <c r="H5" s="1">
        <v>400</v>
      </c>
      <c r="I5" s="1">
        <v>225</v>
      </c>
      <c r="J5" s="1">
        <v>20</v>
      </c>
      <c r="K5" s="1">
        <v>245</v>
      </c>
      <c r="L5" s="1">
        <v>30</v>
      </c>
      <c r="M5" s="1">
        <v>0</v>
      </c>
      <c r="N5" s="3">
        <f t="shared" ref="N5:N19" si="0">+F5+H5-I5-J5-K5-L5-M5</f>
        <v>140</v>
      </c>
      <c r="O5" s="7">
        <v>250</v>
      </c>
      <c r="P5" s="9">
        <v>750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1080</v>
      </c>
      <c r="G6" s="1" t="s">
        <v>5</v>
      </c>
      <c r="H6" s="1">
        <v>0</v>
      </c>
      <c r="I6" s="1">
        <v>193</v>
      </c>
      <c r="J6" s="1">
        <v>50</v>
      </c>
      <c r="K6" s="1">
        <v>50</v>
      </c>
      <c r="L6" s="1">
        <v>185</v>
      </c>
      <c r="M6" s="1">
        <v>0</v>
      </c>
      <c r="N6" s="3">
        <f t="shared" si="0"/>
        <v>602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0</v>
      </c>
      <c r="G7" s="1" t="s">
        <v>5</v>
      </c>
      <c r="H7" s="1">
        <v>100</v>
      </c>
      <c r="I7" s="1">
        <v>0</v>
      </c>
      <c r="J7" s="1">
        <v>0</v>
      </c>
      <c r="K7" s="1">
        <v>20</v>
      </c>
      <c r="L7" s="1">
        <v>30</v>
      </c>
      <c r="M7" s="1">
        <v>0</v>
      </c>
      <c r="N7" s="3">
        <f t="shared" si="0"/>
        <v>50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1150</v>
      </c>
      <c r="G8" s="1" t="s">
        <v>5</v>
      </c>
      <c r="H8" s="1">
        <v>0</v>
      </c>
      <c r="I8" s="1">
        <v>140</v>
      </c>
      <c r="J8" s="1">
        <v>130</v>
      </c>
      <c r="K8" s="1">
        <v>60</v>
      </c>
      <c r="L8" s="1">
        <v>45</v>
      </c>
      <c r="M8" s="1">
        <v>0</v>
      </c>
      <c r="N8" s="3">
        <f t="shared" si="0"/>
        <v>775</v>
      </c>
      <c r="O8" s="7">
        <v>250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500</v>
      </c>
      <c r="G9" s="1" t="s">
        <v>5</v>
      </c>
      <c r="H9" s="1">
        <v>0</v>
      </c>
      <c r="I9" s="1">
        <v>100</v>
      </c>
      <c r="J9" s="1">
        <v>0</v>
      </c>
      <c r="K9" s="1">
        <v>95</v>
      </c>
      <c r="L9" s="1">
        <v>0</v>
      </c>
      <c r="M9" s="1">
        <v>0</v>
      </c>
      <c r="N9" s="3">
        <f t="shared" si="0"/>
        <v>305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70</v>
      </c>
      <c r="G10" s="1" t="s">
        <v>5</v>
      </c>
      <c r="H10" s="1">
        <v>498</v>
      </c>
      <c r="I10" s="1">
        <v>0</v>
      </c>
      <c r="J10" s="1">
        <v>0</v>
      </c>
      <c r="K10" s="1">
        <v>115</v>
      </c>
      <c r="L10" s="1">
        <v>0</v>
      </c>
      <c r="M10" s="1">
        <v>0</v>
      </c>
      <c r="N10" s="3">
        <f t="shared" si="0"/>
        <v>453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150</v>
      </c>
      <c r="G11" s="1" t="s">
        <v>5</v>
      </c>
      <c r="H11" s="1">
        <v>353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503</v>
      </c>
      <c r="O11" s="7">
        <v>50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225</v>
      </c>
      <c r="G12" s="1" t="s">
        <v>89</v>
      </c>
      <c r="H12" s="1">
        <v>0</v>
      </c>
      <c r="I12" s="1">
        <v>0</v>
      </c>
      <c r="J12" s="1">
        <v>0</v>
      </c>
      <c r="K12" s="1">
        <v>25</v>
      </c>
      <c r="L12" s="1">
        <v>0</v>
      </c>
      <c r="M12" s="1">
        <v>0</v>
      </c>
      <c r="N12" s="3">
        <f t="shared" si="0"/>
        <v>200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375</v>
      </c>
      <c r="G13" s="1" t="s">
        <v>89</v>
      </c>
      <c r="H13" s="1">
        <v>0</v>
      </c>
      <c r="I13" s="1">
        <v>75</v>
      </c>
      <c r="J13" s="1">
        <v>25</v>
      </c>
      <c r="K13" s="1">
        <v>25</v>
      </c>
      <c r="L13" s="1">
        <v>75</v>
      </c>
      <c r="M13" s="1">
        <v>0</v>
      </c>
      <c r="N13" s="3">
        <f t="shared" si="0"/>
        <v>175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263</v>
      </c>
      <c r="G14" s="1" t="s">
        <v>89</v>
      </c>
      <c r="H14" s="1">
        <v>0</v>
      </c>
      <c r="I14" s="1">
        <v>0</v>
      </c>
      <c r="J14" s="1">
        <v>25</v>
      </c>
      <c r="K14" s="1">
        <v>0</v>
      </c>
      <c r="L14" s="1">
        <v>0</v>
      </c>
      <c r="M14" s="1">
        <v>0</v>
      </c>
      <c r="N14" s="18">
        <f t="shared" si="0"/>
        <v>238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0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0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169</v>
      </c>
      <c r="G16" s="1" t="s">
        <v>89</v>
      </c>
      <c r="H16" s="1">
        <v>0</v>
      </c>
      <c r="I16" s="1">
        <v>25</v>
      </c>
      <c r="J16" s="1">
        <v>50</v>
      </c>
      <c r="K16" s="1">
        <v>0</v>
      </c>
      <c r="L16" s="1">
        <v>50</v>
      </c>
      <c r="M16" s="1">
        <v>0</v>
      </c>
      <c r="N16" s="18">
        <f t="shared" si="0"/>
        <v>44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250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250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556</v>
      </c>
      <c r="G18" s="1" t="s">
        <v>89</v>
      </c>
      <c r="H18" s="1">
        <v>850</v>
      </c>
      <c r="I18" s="1">
        <v>210</v>
      </c>
      <c r="J18" s="1">
        <v>320</v>
      </c>
      <c r="K18" s="1">
        <v>0</v>
      </c>
      <c r="L18" s="1">
        <v>0</v>
      </c>
      <c r="M18" s="1">
        <v>0</v>
      </c>
      <c r="N18" s="3">
        <f t="shared" si="0"/>
        <v>876</v>
      </c>
      <c r="O18" s="7">
        <v>20</v>
      </c>
      <c r="P18" s="9">
        <v>100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125</v>
      </c>
      <c r="G19" s="1" t="s">
        <v>89</v>
      </c>
      <c r="H19" s="1">
        <v>350</v>
      </c>
      <c r="I19" s="1">
        <v>125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350</v>
      </c>
      <c r="O19" s="7">
        <v>10</v>
      </c>
      <c r="P19" s="9">
        <v>50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9"/>
  <sheetViews>
    <sheetView topLeftCell="B4" zoomScale="91" zoomScaleNormal="91" workbookViewId="0">
      <selection activeCell="H9" sqref="H9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>
        <v>45717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45723</v>
      </c>
      <c r="J3" s="12">
        <v>45730</v>
      </c>
      <c r="K3" s="12">
        <v>45737</v>
      </c>
      <c r="L3" s="12">
        <v>45744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265</v>
      </c>
      <c r="G4" s="1" t="s">
        <v>5</v>
      </c>
      <c r="H4" s="1">
        <v>400</v>
      </c>
      <c r="I4" s="1">
        <v>35</v>
      </c>
      <c r="J4" s="1">
        <v>10</v>
      </c>
      <c r="K4" s="1">
        <v>75</v>
      </c>
      <c r="L4" s="1">
        <v>0</v>
      </c>
      <c r="M4" s="1">
        <v>0</v>
      </c>
      <c r="N4" s="3">
        <f>+F4+H4-I4-J4-K4-L4-M4</f>
        <v>545</v>
      </c>
      <c r="O4" s="7">
        <v>500</v>
      </c>
      <c r="P4" s="9">
        <v>1000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140</v>
      </c>
      <c r="G5" s="1" t="s">
        <v>5</v>
      </c>
      <c r="H5" s="1">
        <v>0</v>
      </c>
      <c r="I5" s="1">
        <v>40</v>
      </c>
      <c r="J5" s="1">
        <v>65</v>
      </c>
      <c r="K5" s="1">
        <v>35</v>
      </c>
      <c r="L5" s="1">
        <v>0</v>
      </c>
      <c r="M5" s="1">
        <v>0</v>
      </c>
      <c r="N5" s="3">
        <f t="shared" ref="N5:N19" si="0">+F5+H5-I5-J5-K5-L5-M5</f>
        <v>0</v>
      </c>
      <c r="O5" s="7">
        <v>500</v>
      </c>
      <c r="P5" s="9">
        <v>1000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602</v>
      </c>
      <c r="G6" s="1" t="s">
        <v>5</v>
      </c>
      <c r="H6" s="1">
        <v>185</v>
      </c>
      <c r="I6" s="1">
        <v>70</v>
      </c>
      <c r="J6" s="1">
        <v>70</v>
      </c>
      <c r="K6" s="1">
        <v>180</v>
      </c>
      <c r="L6" s="1">
        <v>270</v>
      </c>
      <c r="M6" s="1">
        <v>0</v>
      </c>
      <c r="N6" s="3">
        <f t="shared" si="0"/>
        <v>197</v>
      </c>
      <c r="O6" s="7">
        <v>500</v>
      </c>
      <c r="P6" s="9">
        <v>1000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50</v>
      </c>
      <c r="G7" s="1" t="s">
        <v>5</v>
      </c>
      <c r="H7" s="1">
        <v>400</v>
      </c>
      <c r="I7" s="1">
        <v>20</v>
      </c>
      <c r="J7" s="1">
        <v>0</v>
      </c>
      <c r="K7" s="1">
        <v>20</v>
      </c>
      <c r="L7" s="1">
        <v>0</v>
      </c>
      <c r="M7" s="1">
        <v>0</v>
      </c>
      <c r="N7" s="3">
        <f t="shared" si="0"/>
        <v>410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775</v>
      </c>
      <c r="G8" s="1" t="s">
        <v>5</v>
      </c>
      <c r="H8" s="1">
        <v>600</v>
      </c>
      <c r="I8" s="1">
        <v>65</v>
      </c>
      <c r="J8" s="1">
        <v>50</v>
      </c>
      <c r="K8" s="1">
        <v>120</v>
      </c>
      <c r="L8" s="1">
        <v>60</v>
      </c>
      <c r="M8" s="1">
        <v>0</v>
      </c>
      <c r="N8" s="3">
        <f t="shared" si="0"/>
        <v>1080</v>
      </c>
      <c r="O8" s="7">
        <v>700</v>
      </c>
      <c r="P8" s="9">
        <v>1000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305</v>
      </c>
      <c r="G9" s="1" t="s">
        <v>5</v>
      </c>
      <c r="H9" s="1">
        <v>1169</v>
      </c>
      <c r="I9" s="1">
        <v>0</v>
      </c>
      <c r="J9" s="1">
        <v>50</v>
      </c>
      <c r="K9" s="1">
        <v>120</v>
      </c>
      <c r="L9" s="1">
        <v>0</v>
      </c>
      <c r="M9" s="1">
        <v>0</v>
      </c>
      <c r="N9" s="3">
        <f t="shared" si="0"/>
        <v>1304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453</v>
      </c>
      <c r="G10" s="1" t="s">
        <v>5</v>
      </c>
      <c r="H10" s="1">
        <v>0</v>
      </c>
      <c r="I10" s="1">
        <v>140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313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503</v>
      </c>
      <c r="G11" s="1" t="s">
        <v>5</v>
      </c>
      <c r="H11" s="1">
        <v>0</v>
      </c>
      <c r="I11" s="1">
        <v>55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448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200</v>
      </c>
      <c r="G12" s="1" t="s">
        <v>89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200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175</v>
      </c>
      <c r="G13" s="1" t="s">
        <v>89</v>
      </c>
      <c r="H13" s="1">
        <v>826</v>
      </c>
      <c r="I13" s="1">
        <v>50</v>
      </c>
      <c r="J13" s="1">
        <v>50</v>
      </c>
      <c r="K13" s="1">
        <v>0</v>
      </c>
      <c r="L13" s="1">
        <v>25</v>
      </c>
      <c r="M13" s="1">
        <v>0</v>
      </c>
      <c r="N13" s="3">
        <f t="shared" si="0"/>
        <v>876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238</v>
      </c>
      <c r="G14" s="1" t="s">
        <v>89</v>
      </c>
      <c r="H14" s="1">
        <v>407.8</v>
      </c>
      <c r="I14" s="1">
        <v>25</v>
      </c>
      <c r="J14" s="1">
        <v>25</v>
      </c>
      <c r="K14" s="1">
        <v>50</v>
      </c>
      <c r="L14" s="1">
        <v>25</v>
      </c>
      <c r="M14" s="1">
        <v>0</v>
      </c>
      <c r="N14" s="18">
        <f t="shared" si="0"/>
        <v>520.79999999999995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0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0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44</v>
      </c>
      <c r="G16" s="1" t="s">
        <v>89</v>
      </c>
      <c r="H16" s="1">
        <v>435</v>
      </c>
      <c r="I16" s="1">
        <v>25</v>
      </c>
      <c r="J16" s="1">
        <v>50</v>
      </c>
      <c r="K16" s="1">
        <v>25</v>
      </c>
      <c r="L16" s="1">
        <v>25</v>
      </c>
      <c r="M16" s="1">
        <v>0</v>
      </c>
      <c r="N16" s="18">
        <f t="shared" si="0"/>
        <v>354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250</v>
      </c>
      <c r="G17" s="1" t="s">
        <v>89</v>
      </c>
      <c r="H17" s="1">
        <v>0</v>
      </c>
      <c r="I17" s="1">
        <v>0</v>
      </c>
      <c r="J17" s="1">
        <v>0</v>
      </c>
      <c r="K17" s="1">
        <v>25</v>
      </c>
      <c r="L17" s="1">
        <v>0</v>
      </c>
      <c r="M17" s="1">
        <v>0</v>
      </c>
      <c r="N17" s="18">
        <f t="shared" si="0"/>
        <v>225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876</v>
      </c>
      <c r="G18" s="1" t="s">
        <v>89</v>
      </c>
      <c r="H18" s="1">
        <v>0</v>
      </c>
      <c r="I18" s="1">
        <v>0</v>
      </c>
      <c r="J18" s="1">
        <v>0</v>
      </c>
      <c r="K18" s="1">
        <v>300</v>
      </c>
      <c r="L18" s="1">
        <v>0</v>
      </c>
      <c r="M18" s="1">
        <v>0</v>
      </c>
      <c r="N18" s="3">
        <f t="shared" si="0"/>
        <v>576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550</v>
      </c>
      <c r="G19" s="1" t="s">
        <v>89</v>
      </c>
      <c r="H19" s="1">
        <v>0</v>
      </c>
      <c r="I19" s="1">
        <v>0</v>
      </c>
      <c r="J19" s="1">
        <v>0</v>
      </c>
      <c r="K19" s="1">
        <v>250</v>
      </c>
      <c r="L19" s="1">
        <v>0</v>
      </c>
      <c r="M19" s="1">
        <v>0</v>
      </c>
      <c r="N19" s="3">
        <f t="shared" si="0"/>
        <v>300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20D5-4E51-4E35-8927-E99C63F7C980}">
  <dimension ref="A1:Q19"/>
  <sheetViews>
    <sheetView topLeftCell="B1" zoomScale="91" zoomScaleNormal="91" workbookViewId="0">
      <selection activeCell="M17" sqref="M17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104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45751</v>
      </c>
      <c r="J3" s="12">
        <v>45758</v>
      </c>
      <c r="K3" s="12">
        <v>45765</v>
      </c>
      <c r="L3" s="12">
        <v>45772</v>
      </c>
      <c r="M3" s="12">
        <v>45777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545</v>
      </c>
      <c r="G4" s="1" t="s">
        <v>5</v>
      </c>
      <c r="H4" s="1">
        <v>0</v>
      </c>
      <c r="I4" s="1">
        <v>10</v>
      </c>
      <c r="J4" s="1">
        <v>60</v>
      </c>
      <c r="K4" s="1">
        <v>140</v>
      </c>
      <c r="L4" s="1">
        <v>0</v>
      </c>
      <c r="M4" s="1">
        <v>90</v>
      </c>
      <c r="N4" s="3">
        <f>+F4+H4-I4-J4-K4-L4-M4</f>
        <v>245</v>
      </c>
      <c r="O4" s="7">
        <v>500</v>
      </c>
      <c r="P4" s="9">
        <v>1000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0</v>
      </c>
      <c r="G5" s="1" t="s">
        <v>5</v>
      </c>
      <c r="H5" s="1">
        <v>300</v>
      </c>
      <c r="I5" s="1">
        <v>0</v>
      </c>
      <c r="J5" s="1">
        <v>0</v>
      </c>
      <c r="K5" s="1">
        <v>55</v>
      </c>
      <c r="L5" s="1">
        <v>130</v>
      </c>
      <c r="M5" s="1">
        <v>90</v>
      </c>
      <c r="N5" s="3">
        <f t="shared" ref="N5:N19" si="0">+F5+H5-I5-J5-K5-L5-M5</f>
        <v>25</v>
      </c>
      <c r="O5" s="7">
        <v>500</v>
      </c>
      <c r="P5" s="9">
        <v>1000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197</v>
      </c>
      <c r="G6" s="1" t="s">
        <v>5</v>
      </c>
      <c r="H6" s="1">
        <v>0</v>
      </c>
      <c r="I6" s="1">
        <v>160</v>
      </c>
      <c r="J6" s="1">
        <v>37</v>
      </c>
      <c r="K6" s="1">
        <v>0</v>
      </c>
      <c r="L6" s="1">
        <v>0</v>
      </c>
      <c r="M6" s="1">
        <v>0</v>
      </c>
      <c r="N6" s="3">
        <f t="shared" si="0"/>
        <v>0</v>
      </c>
      <c r="O6" s="7">
        <v>500</v>
      </c>
      <c r="P6" s="9">
        <v>1000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410</v>
      </c>
      <c r="G7" s="1" t="s">
        <v>5</v>
      </c>
      <c r="H7" s="1">
        <v>0</v>
      </c>
      <c r="I7" s="1">
        <v>10</v>
      </c>
      <c r="J7" s="1">
        <v>60</v>
      </c>
      <c r="K7" s="1">
        <v>10</v>
      </c>
      <c r="L7" s="1">
        <v>85</v>
      </c>
      <c r="M7" s="1">
        <v>30</v>
      </c>
      <c r="N7" s="3">
        <f t="shared" si="0"/>
        <v>215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1080</v>
      </c>
      <c r="G8" s="1" t="s">
        <v>5</v>
      </c>
      <c r="H8" s="1">
        <v>0</v>
      </c>
      <c r="I8" s="1">
        <v>75</v>
      </c>
      <c r="J8" s="1">
        <v>125</v>
      </c>
      <c r="K8" s="1">
        <v>115</v>
      </c>
      <c r="L8" s="1">
        <v>40</v>
      </c>
      <c r="M8" s="1">
        <v>40</v>
      </c>
      <c r="N8" s="3">
        <f t="shared" si="0"/>
        <v>685</v>
      </c>
      <c r="O8" s="7">
        <v>700</v>
      </c>
      <c r="P8" s="9">
        <v>1000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1304</v>
      </c>
      <c r="G9" s="1" t="s">
        <v>5</v>
      </c>
      <c r="H9" s="1">
        <v>0</v>
      </c>
      <c r="I9" s="1">
        <v>140</v>
      </c>
      <c r="J9" s="1">
        <v>80</v>
      </c>
      <c r="K9" s="1">
        <v>160</v>
      </c>
      <c r="L9" s="1">
        <v>70</v>
      </c>
      <c r="M9" s="1">
        <v>120</v>
      </c>
      <c r="N9" s="3">
        <f t="shared" si="0"/>
        <v>734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313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313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448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448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200</v>
      </c>
      <c r="G12" s="1" t="s">
        <v>89</v>
      </c>
      <c r="H12" s="1">
        <v>0</v>
      </c>
      <c r="I12" s="1">
        <v>0</v>
      </c>
      <c r="J12" s="1">
        <v>0</v>
      </c>
      <c r="K12" s="1">
        <v>0</v>
      </c>
      <c r="L12" s="1">
        <v>25</v>
      </c>
      <c r="M12" s="1">
        <v>25</v>
      </c>
      <c r="N12" s="3">
        <f t="shared" si="0"/>
        <v>150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876</v>
      </c>
      <c r="G13" s="1" t="s">
        <v>89</v>
      </c>
      <c r="H13" s="1">
        <v>0</v>
      </c>
      <c r="I13" s="1">
        <v>25</v>
      </c>
      <c r="J13" s="1">
        <v>25</v>
      </c>
      <c r="K13" s="1">
        <v>25</v>
      </c>
      <c r="L13" s="1">
        <v>50</v>
      </c>
      <c r="M13" s="1">
        <v>50</v>
      </c>
      <c r="N13" s="3">
        <f t="shared" si="0"/>
        <v>701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521</v>
      </c>
      <c r="G14" s="1" t="s">
        <v>89</v>
      </c>
      <c r="H14" s="1">
        <v>0</v>
      </c>
      <c r="I14" s="1">
        <v>0</v>
      </c>
      <c r="J14" s="1">
        <v>25</v>
      </c>
      <c r="K14" s="1">
        <v>0</v>
      </c>
      <c r="L14" s="1">
        <v>25</v>
      </c>
      <c r="M14" s="1">
        <v>0</v>
      </c>
      <c r="N14" s="18">
        <f t="shared" si="0"/>
        <v>471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0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0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354</v>
      </c>
      <c r="G16" s="1" t="s">
        <v>89</v>
      </c>
      <c r="H16" s="1">
        <v>0</v>
      </c>
      <c r="I16" s="1">
        <v>50</v>
      </c>
      <c r="J16" s="1">
        <v>75</v>
      </c>
      <c r="K16" s="1">
        <v>0</v>
      </c>
      <c r="L16" s="1">
        <v>0</v>
      </c>
      <c r="M16" s="1">
        <v>25</v>
      </c>
      <c r="N16" s="18">
        <f t="shared" si="0"/>
        <v>204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225</v>
      </c>
      <c r="G17" s="1" t="s">
        <v>89</v>
      </c>
      <c r="H17" s="1">
        <v>0</v>
      </c>
      <c r="I17" s="1">
        <v>0</v>
      </c>
      <c r="J17" s="1">
        <v>0</v>
      </c>
      <c r="K17" s="1">
        <v>25</v>
      </c>
      <c r="L17" s="1">
        <v>25</v>
      </c>
      <c r="M17" s="1">
        <v>0</v>
      </c>
      <c r="N17" s="18">
        <f t="shared" si="0"/>
        <v>175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1000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1000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500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500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C4EC-BF8D-4B3F-AF24-0ECF9A837FDF}">
  <dimension ref="A1:Q19"/>
  <sheetViews>
    <sheetView topLeftCell="B1" zoomScale="91" zoomScaleNormal="91" workbookViewId="0">
      <selection activeCell="L16" sqref="L1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105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45786</v>
      </c>
      <c r="J3" s="12">
        <v>45793</v>
      </c>
      <c r="K3" s="12">
        <v>45800</v>
      </c>
      <c r="L3" s="12">
        <v>45807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245</v>
      </c>
      <c r="G4" s="1" t="s">
        <v>5</v>
      </c>
      <c r="H4" s="1">
        <v>604</v>
      </c>
      <c r="I4" s="1">
        <v>20</v>
      </c>
      <c r="J4" s="1">
        <v>65</v>
      </c>
      <c r="K4" s="1">
        <v>30</v>
      </c>
      <c r="L4" s="1">
        <v>150</v>
      </c>
      <c r="M4" s="1">
        <v>0</v>
      </c>
      <c r="N4" s="3">
        <f>+F4+H4-I4-J4-K4-L4-M4</f>
        <v>584</v>
      </c>
      <c r="O4" s="7">
        <v>500</v>
      </c>
      <c r="P4" s="9">
        <v>1000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25</v>
      </c>
      <c r="G5" s="1" t="s">
        <v>5</v>
      </c>
      <c r="H5" s="1">
        <v>541</v>
      </c>
      <c r="I5" s="1">
        <v>25</v>
      </c>
      <c r="J5" s="1">
        <v>45</v>
      </c>
      <c r="K5" s="1">
        <v>75</v>
      </c>
      <c r="L5" s="1">
        <v>40</v>
      </c>
      <c r="M5" s="1">
        <v>0</v>
      </c>
      <c r="N5" s="3">
        <f t="shared" ref="N5:N19" si="0">+F5+H5-I5-J5-K5-L5-M5</f>
        <v>381</v>
      </c>
      <c r="O5" s="7">
        <v>500</v>
      </c>
      <c r="P5" s="9">
        <v>1000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0</v>
      </c>
      <c r="G6" s="1" t="s">
        <v>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3">
        <f t="shared" si="0"/>
        <v>0</v>
      </c>
      <c r="O6" s="7">
        <v>500</v>
      </c>
      <c r="P6" s="9">
        <v>1000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215</v>
      </c>
      <c r="G7" s="1" t="s">
        <v>5</v>
      </c>
      <c r="H7" s="1">
        <v>0</v>
      </c>
      <c r="I7" s="1">
        <v>35</v>
      </c>
      <c r="J7" s="1">
        <v>30</v>
      </c>
      <c r="K7" s="1">
        <v>20</v>
      </c>
      <c r="L7" s="1">
        <v>20</v>
      </c>
      <c r="M7" s="1">
        <v>0</v>
      </c>
      <c r="N7" s="3">
        <f t="shared" si="0"/>
        <v>110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685</v>
      </c>
      <c r="G8" s="1" t="s">
        <v>5</v>
      </c>
      <c r="H8" s="1">
        <v>0</v>
      </c>
      <c r="I8" s="1">
        <v>60</v>
      </c>
      <c r="J8" s="1">
        <v>40</v>
      </c>
      <c r="K8" s="1">
        <v>15</v>
      </c>
      <c r="L8" s="1">
        <v>115</v>
      </c>
      <c r="M8" s="1">
        <v>0</v>
      </c>
      <c r="N8" s="3">
        <f t="shared" si="0"/>
        <v>455</v>
      </c>
      <c r="O8" s="7">
        <v>700</v>
      </c>
      <c r="P8" s="9">
        <v>1000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734</v>
      </c>
      <c r="G9" s="1" t="s">
        <v>5</v>
      </c>
      <c r="H9" s="1">
        <v>0</v>
      </c>
      <c r="I9" s="1">
        <v>0</v>
      </c>
      <c r="J9" s="1">
        <v>80</v>
      </c>
      <c r="K9" s="1">
        <v>80</v>
      </c>
      <c r="L9" s="1">
        <v>100</v>
      </c>
      <c r="M9" s="1">
        <v>0</v>
      </c>
      <c r="N9" s="3">
        <f t="shared" si="0"/>
        <v>474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313</v>
      </c>
      <c r="G10" s="1" t="s">
        <v>5</v>
      </c>
      <c r="H10" s="1">
        <v>0</v>
      </c>
      <c r="I10" s="1">
        <v>15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298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448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5</v>
      </c>
      <c r="M11" s="1">
        <v>0</v>
      </c>
      <c r="N11" s="3">
        <f t="shared" si="0"/>
        <v>443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150</v>
      </c>
      <c r="G12" s="1" t="s">
        <v>89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150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701</v>
      </c>
      <c r="G13" s="1" t="s">
        <v>89</v>
      </c>
      <c r="H13" s="1">
        <v>0</v>
      </c>
      <c r="I13" s="1">
        <v>50</v>
      </c>
      <c r="J13" s="1">
        <v>50</v>
      </c>
      <c r="K13" s="1">
        <v>75</v>
      </c>
      <c r="L13" s="1">
        <v>25</v>
      </c>
      <c r="M13" s="1">
        <v>0</v>
      </c>
      <c r="N13" s="3">
        <f t="shared" si="0"/>
        <v>501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471</v>
      </c>
      <c r="G14" s="1" t="s">
        <v>89</v>
      </c>
      <c r="H14" s="1">
        <v>0</v>
      </c>
      <c r="I14" s="1">
        <v>25</v>
      </c>
      <c r="J14" s="1">
        <v>0</v>
      </c>
      <c r="K14" s="1">
        <v>0</v>
      </c>
      <c r="L14" s="1">
        <v>25</v>
      </c>
      <c r="M14" s="1">
        <v>0</v>
      </c>
      <c r="N14" s="18">
        <f t="shared" si="0"/>
        <v>421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0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0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204</v>
      </c>
      <c r="G16" s="1" t="s">
        <v>89</v>
      </c>
      <c r="H16" s="1">
        <v>0</v>
      </c>
      <c r="I16" s="1">
        <v>0</v>
      </c>
      <c r="J16" s="1">
        <v>0</v>
      </c>
      <c r="K16" s="1">
        <v>25</v>
      </c>
      <c r="L16" s="1">
        <v>25</v>
      </c>
      <c r="M16" s="1">
        <v>0</v>
      </c>
      <c r="N16" s="18">
        <f t="shared" si="0"/>
        <v>154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175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175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0</v>
      </c>
      <c r="I18" s="1">
        <v>0</v>
      </c>
      <c r="J18" s="1">
        <v>0</v>
      </c>
      <c r="K18" s="1">
        <v>200</v>
      </c>
      <c r="L18" s="1">
        <v>0</v>
      </c>
      <c r="M18" s="1">
        <v>0</v>
      </c>
      <c r="N18" s="3">
        <f t="shared" si="0"/>
        <v>300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200</v>
      </c>
      <c r="G19" s="1" t="s">
        <v>89</v>
      </c>
      <c r="H19" s="1">
        <v>0</v>
      </c>
      <c r="I19" s="1">
        <v>0</v>
      </c>
      <c r="J19" s="1">
        <v>0</v>
      </c>
      <c r="K19" s="1">
        <v>50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B7FF-05B2-45AA-A101-80240226B2EC}">
  <dimension ref="A1:Q19"/>
  <sheetViews>
    <sheetView topLeftCell="B1" zoomScale="91" zoomScaleNormal="91" workbookViewId="0">
      <selection activeCell="L14" sqref="L14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106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45814</v>
      </c>
      <c r="J3" s="12">
        <v>45821</v>
      </c>
      <c r="K3" s="12">
        <v>45828</v>
      </c>
      <c r="L3" s="12">
        <v>45835</v>
      </c>
      <c r="M3" s="12">
        <v>45838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584</v>
      </c>
      <c r="G4" s="1" t="s">
        <v>5</v>
      </c>
      <c r="H4" s="1">
        <v>0</v>
      </c>
      <c r="I4" s="1">
        <v>0</v>
      </c>
      <c r="J4" s="1">
        <v>55</v>
      </c>
      <c r="K4" s="1">
        <v>25</v>
      </c>
      <c r="L4" s="1">
        <v>15</v>
      </c>
      <c r="M4" s="1">
        <v>0</v>
      </c>
      <c r="N4" s="3">
        <f>+F4+H4-I4-J4-K4-L4-M4</f>
        <v>489</v>
      </c>
      <c r="O4" s="7">
        <v>500</v>
      </c>
      <c r="P4" s="9">
        <v>1000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381</v>
      </c>
      <c r="G5" s="1" t="s">
        <v>5</v>
      </c>
      <c r="H5" s="1">
        <v>0</v>
      </c>
      <c r="I5" s="1">
        <v>0</v>
      </c>
      <c r="J5" s="1">
        <v>75</v>
      </c>
      <c r="K5" s="1">
        <v>45</v>
      </c>
      <c r="L5" s="1">
        <v>80</v>
      </c>
      <c r="M5" s="1">
        <v>0</v>
      </c>
      <c r="N5" s="3">
        <f t="shared" ref="N5:N19" si="0">+F5+H5-I5-J5-K5-L5-M5</f>
        <v>181</v>
      </c>
      <c r="O5" s="7">
        <v>500</v>
      </c>
      <c r="P5" s="9">
        <v>1000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0</v>
      </c>
      <c r="G6" s="1" t="s">
        <v>5</v>
      </c>
      <c r="H6" s="1">
        <v>612</v>
      </c>
      <c r="I6" s="1">
        <v>0</v>
      </c>
      <c r="J6" s="1">
        <v>220</v>
      </c>
      <c r="K6" s="1">
        <v>0</v>
      </c>
      <c r="L6" s="1">
        <v>70</v>
      </c>
      <c r="M6" s="1">
        <v>0</v>
      </c>
      <c r="N6" s="3">
        <f t="shared" si="0"/>
        <v>322</v>
      </c>
      <c r="O6" s="7">
        <v>500</v>
      </c>
      <c r="P6" s="9">
        <v>1000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110</v>
      </c>
      <c r="G7" s="1" t="s">
        <v>5</v>
      </c>
      <c r="H7" s="1">
        <v>400</v>
      </c>
      <c r="I7" s="1">
        <v>0</v>
      </c>
      <c r="J7" s="1">
        <v>0</v>
      </c>
      <c r="K7" s="1">
        <v>15</v>
      </c>
      <c r="L7" s="1">
        <v>15</v>
      </c>
      <c r="M7" s="1">
        <v>0</v>
      </c>
      <c r="N7" s="3">
        <f t="shared" si="0"/>
        <v>480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455</v>
      </c>
      <c r="G8" s="1" t="s">
        <v>5</v>
      </c>
      <c r="H8" s="1">
        <v>0</v>
      </c>
      <c r="I8" s="1">
        <v>0</v>
      </c>
      <c r="J8" s="1">
        <v>80</v>
      </c>
      <c r="K8" s="1">
        <v>20</v>
      </c>
      <c r="L8" s="1">
        <v>60</v>
      </c>
      <c r="M8" s="1">
        <v>0</v>
      </c>
      <c r="N8" s="3">
        <f t="shared" si="0"/>
        <v>295</v>
      </c>
      <c r="O8" s="7">
        <v>700</v>
      </c>
      <c r="P8" s="9">
        <v>1000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474</v>
      </c>
      <c r="G9" s="1" t="s">
        <v>5</v>
      </c>
      <c r="H9" s="1">
        <v>738</v>
      </c>
      <c r="I9" s="1">
        <v>0</v>
      </c>
      <c r="J9" s="1">
        <v>0</v>
      </c>
      <c r="K9" s="1">
        <v>0</v>
      </c>
      <c r="L9" s="1">
        <v>50</v>
      </c>
      <c r="M9" s="1">
        <v>0</v>
      </c>
      <c r="N9" s="3">
        <f t="shared" si="0"/>
        <v>1162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298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298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443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443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101</v>
      </c>
      <c r="D12" s="1" t="s">
        <v>4</v>
      </c>
      <c r="E12" s="1">
        <v>12191</v>
      </c>
      <c r="F12" s="16">
        <v>150</v>
      </c>
      <c r="G12" s="1" t="s">
        <v>89</v>
      </c>
      <c r="H12" s="1">
        <v>0</v>
      </c>
      <c r="I12" s="1">
        <v>0</v>
      </c>
      <c r="J12" s="1">
        <v>25</v>
      </c>
      <c r="K12" s="1">
        <v>25</v>
      </c>
      <c r="L12" s="1">
        <v>0</v>
      </c>
      <c r="M12" s="1">
        <v>0</v>
      </c>
      <c r="N12" s="3">
        <f t="shared" si="0"/>
        <v>100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501</v>
      </c>
      <c r="G13" s="1" t="s">
        <v>89</v>
      </c>
      <c r="H13" s="1">
        <v>0</v>
      </c>
      <c r="I13" s="1">
        <v>0</v>
      </c>
      <c r="J13" s="1">
        <v>25</v>
      </c>
      <c r="K13" s="1">
        <v>25</v>
      </c>
      <c r="L13" s="1">
        <v>25</v>
      </c>
      <c r="M13" s="1">
        <v>0</v>
      </c>
      <c r="N13" s="3">
        <f t="shared" si="0"/>
        <v>426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421</v>
      </c>
      <c r="G14" s="1" t="s">
        <v>89</v>
      </c>
      <c r="H14" s="1">
        <v>0</v>
      </c>
      <c r="I14" s="1">
        <v>0</v>
      </c>
      <c r="J14" s="1">
        <v>25</v>
      </c>
      <c r="K14" s="1">
        <v>0</v>
      </c>
      <c r="L14" s="1">
        <v>25</v>
      </c>
      <c r="M14" s="1">
        <v>0</v>
      </c>
      <c r="N14" s="18">
        <f t="shared" si="0"/>
        <v>371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4" t="s">
        <v>91</v>
      </c>
      <c r="F15" s="17">
        <v>0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8">
        <f t="shared" si="0"/>
        <v>0</v>
      </c>
      <c r="O15" s="7">
        <v>150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154</v>
      </c>
      <c r="G16" s="1" t="s">
        <v>89</v>
      </c>
      <c r="H16" s="1">
        <v>0</v>
      </c>
      <c r="I16" s="1">
        <v>0</v>
      </c>
      <c r="J16" s="1">
        <v>25</v>
      </c>
      <c r="K16" s="1">
        <v>0</v>
      </c>
      <c r="L16" s="1">
        <v>0</v>
      </c>
      <c r="M16" s="1">
        <v>0</v>
      </c>
      <c r="N16" s="18">
        <f t="shared" si="0"/>
        <v>129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175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175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300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300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C832-0D6F-4485-A2E0-45A519BE7C18}">
  <dimension ref="A1:Q19"/>
  <sheetViews>
    <sheetView topLeftCell="B1" zoomScale="91" zoomScaleNormal="91" workbookViewId="0">
      <selection activeCell="L14" sqref="L14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107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45842</v>
      </c>
      <c r="J3" s="12">
        <v>45849</v>
      </c>
      <c r="K3" s="12">
        <v>45856</v>
      </c>
      <c r="L3" s="12">
        <v>45863</v>
      </c>
      <c r="M3" s="12">
        <v>45869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489</v>
      </c>
      <c r="G4" s="1" t="s">
        <v>5</v>
      </c>
      <c r="H4" s="1">
        <v>0</v>
      </c>
      <c r="I4" s="1">
        <v>35</v>
      </c>
      <c r="J4" s="1">
        <v>20</v>
      </c>
      <c r="K4" s="1">
        <v>0</v>
      </c>
      <c r="L4" s="1">
        <v>0</v>
      </c>
      <c r="M4" s="1">
        <v>0</v>
      </c>
      <c r="N4" s="3">
        <f>+F4+H4-I4-J4-K4-L4-M4</f>
        <v>434</v>
      </c>
      <c r="O4" s="7">
        <v>500</v>
      </c>
      <c r="P4" s="9">
        <v>1000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220</v>
      </c>
      <c r="G5" s="1" t="s">
        <v>5</v>
      </c>
      <c r="H5" s="1">
        <v>0</v>
      </c>
      <c r="I5" s="1">
        <v>75</v>
      </c>
      <c r="J5" s="1">
        <v>65</v>
      </c>
      <c r="K5" s="1">
        <v>40</v>
      </c>
      <c r="L5" s="1">
        <v>40</v>
      </c>
      <c r="M5" s="1">
        <v>0</v>
      </c>
      <c r="N5" s="3">
        <f t="shared" ref="N5:N19" si="0">+F5+H5-I5-J5-K5-L5-M5</f>
        <v>0</v>
      </c>
      <c r="O5" s="7">
        <v>500</v>
      </c>
      <c r="P5" s="9">
        <v>1000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322</v>
      </c>
      <c r="G6" s="1" t="s">
        <v>5</v>
      </c>
      <c r="H6" s="1">
        <v>0</v>
      </c>
      <c r="I6" s="1">
        <v>50</v>
      </c>
      <c r="J6" s="1">
        <v>120</v>
      </c>
      <c r="K6" s="1">
        <v>30</v>
      </c>
      <c r="L6" s="1">
        <v>80</v>
      </c>
      <c r="M6" s="1">
        <v>40</v>
      </c>
      <c r="N6" s="3">
        <f t="shared" si="0"/>
        <v>2</v>
      </c>
      <c r="O6" s="7">
        <v>500</v>
      </c>
      <c r="P6" s="9">
        <v>1000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480</v>
      </c>
      <c r="G7" s="1" t="s">
        <v>5</v>
      </c>
      <c r="H7" s="1">
        <v>0</v>
      </c>
      <c r="I7" s="1">
        <v>85</v>
      </c>
      <c r="J7" s="1">
        <v>55</v>
      </c>
      <c r="K7" s="1">
        <v>40</v>
      </c>
      <c r="L7" s="1">
        <v>40</v>
      </c>
      <c r="M7" s="1">
        <v>0</v>
      </c>
      <c r="N7" s="3">
        <f t="shared" si="0"/>
        <v>260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295</v>
      </c>
      <c r="G8" s="1" t="s">
        <v>5</v>
      </c>
      <c r="H8" s="1">
        <v>431</v>
      </c>
      <c r="I8" s="1">
        <v>0</v>
      </c>
      <c r="J8" s="1">
        <v>0</v>
      </c>
      <c r="K8" s="1">
        <v>40</v>
      </c>
      <c r="L8" s="1">
        <v>55</v>
      </c>
      <c r="M8" s="1">
        <v>80</v>
      </c>
      <c r="N8" s="3">
        <f t="shared" si="0"/>
        <v>551</v>
      </c>
      <c r="O8" s="7">
        <v>700</v>
      </c>
      <c r="P8" s="9">
        <v>1000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1162</v>
      </c>
      <c r="G9" s="1" t="s">
        <v>5</v>
      </c>
      <c r="H9" s="1">
        <v>0</v>
      </c>
      <c r="I9" s="1">
        <v>20</v>
      </c>
      <c r="J9" s="1">
        <v>90</v>
      </c>
      <c r="K9" s="1">
        <v>70</v>
      </c>
      <c r="L9" s="1">
        <v>160</v>
      </c>
      <c r="M9" s="1">
        <v>0</v>
      </c>
      <c r="N9" s="3">
        <f t="shared" si="0"/>
        <v>822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298</v>
      </c>
      <c r="G10" s="1" t="s">
        <v>5</v>
      </c>
      <c r="H10" s="1">
        <v>0</v>
      </c>
      <c r="I10" s="1">
        <v>0</v>
      </c>
      <c r="J10" s="1">
        <v>0</v>
      </c>
      <c r="K10" s="1">
        <v>25</v>
      </c>
      <c r="L10" s="1">
        <v>0</v>
      </c>
      <c r="M10" s="1">
        <v>0</v>
      </c>
      <c r="N10" s="3">
        <f t="shared" si="0"/>
        <v>273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443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443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108</v>
      </c>
      <c r="D12" s="1" t="s">
        <v>4</v>
      </c>
      <c r="E12" s="1">
        <v>12191</v>
      </c>
      <c r="F12" s="16">
        <v>0</v>
      </c>
      <c r="G12" s="1" t="s">
        <v>5</v>
      </c>
      <c r="H12" s="1">
        <v>487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487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426</v>
      </c>
      <c r="G13" s="1" t="s">
        <v>89</v>
      </c>
      <c r="H13" s="1">
        <v>0</v>
      </c>
      <c r="I13" s="1">
        <v>25</v>
      </c>
      <c r="J13" s="1">
        <v>25</v>
      </c>
      <c r="K13" s="1">
        <v>25</v>
      </c>
      <c r="L13" s="1">
        <v>0</v>
      </c>
      <c r="M13" s="1">
        <v>0</v>
      </c>
      <c r="N13" s="3">
        <f t="shared" si="0"/>
        <v>351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371</v>
      </c>
      <c r="G14" s="1" t="s">
        <v>89</v>
      </c>
      <c r="H14" s="1">
        <v>0</v>
      </c>
      <c r="I14" s="1">
        <v>25</v>
      </c>
      <c r="J14" s="1">
        <v>0</v>
      </c>
      <c r="K14" s="1">
        <v>25</v>
      </c>
      <c r="L14" s="1">
        <v>25</v>
      </c>
      <c r="M14" s="1">
        <v>0</v>
      </c>
      <c r="N14" s="18">
        <f t="shared" si="0"/>
        <v>296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100</v>
      </c>
      <c r="G15" s="1" t="s">
        <v>89</v>
      </c>
      <c r="H15" s="1">
        <v>0</v>
      </c>
      <c r="I15" s="1">
        <v>0</v>
      </c>
      <c r="J15" s="1">
        <v>0</v>
      </c>
      <c r="K15" s="1">
        <v>25</v>
      </c>
      <c r="L15" s="1">
        <v>0</v>
      </c>
      <c r="M15" s="1">
        <v>0</v>
      </c>
      <c r="N15" s="3">
        <f t="shared" ref="N15" si="1">+F15+H15-I15-J15-K15-L15-M15</f>
        <v>75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129</v>
      </c>
      <c r="G16" s="1" t="s">
        <v>89</v>
      </c>
      <c r="H16" s="1">
        <v>0</v>
      </c>
      <c r="I16" s="1">
        <v>25</v>
      </c>
      <c r="J16" s="1">
        <v>0</v>
      </c>
      <c r="K16" s="1">
        <v>25</v>
      </c>
      <c r="L16" s="1">
        <v>0</v>
      </c>
      <c r="M16" s="1">
        <v>0</v>
      </c>
      <c r="N16" s="18">
        <f t="shared" si="0"/>
        <v>79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175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175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300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300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4794-6DFA-43C3-81EE-4263D3151FC0}">
  <dimension ref="A1:Q19"/>
  <sheetViews>
    <sheetView topLeftCell="B1" zoomScale="91" zoomScaleNormal="91" workbookViewId="0">
      <selection activeCell="F13" sqref="F13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109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45877</v>
      </c>
      <c r="J3" s="12">
        <v>45884</v>
      </c>
      <c r="K3" s="12">
        <v>45891</v>
      </c>
      <c r="L3" s="12">
        <v>45898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434</v>
      </c>
      <c r="G4" s="1" t="s">
        <v>5</v>
      </c>
      <c r="H4" s="1">
        <v>0</v>
      </c>
      <c r="I4" s="1">
        <v>125</v>
      </c>
      <c r="J4" s="1">
        <v>110</v>
      </c>
      <c r="K4" s="1">
        <v>85</v>
      </c>
      <c r="L4" s="1">
        <v>40</v>
      </c>
      <c r="M4" s="1">
        <v>0</v>
      </c>
      <c r="N4" s="3">
        <f>+F4+H4-I4-J4-K4-L4-M4</f>
        <v>74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0</v>
      </c>
      <c r="G5" s="1" t="s">
        <v>5</v>
      </c>
      <c r="H5" s="1">
        <v>675</v>
      </c>
      <c r="I5" s="1">
        <v>0</v>
      </c>
      <c r="J5" s="1">
        <v>0</v>
      </c>
      <c r="K5" s="1">
        <v>35</v>
      </c>
      <c r="L5" s="1">
        <v>150</v>
      </c>
      <c r="M5" s="1">
        <v>0</v>
      </c>
      <c r="N5" s="3">
        <f t="shared" ref="N5:N19" si="0">+F5+H5-I5-J5-K5-L5-M5</f>
        <v>490</v>
      </c>
      <c r="O5" s="7">
        <v>200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2</v>
      </c>
      <c r="G6" s="1" t="s">
        <v>5</v>
      </c>
      <c r="H6" s="1">
        <v>866</v>
      </c>
      <c r="I6" s="1">
        <v>0</v>
      </c>
      <c r="J6" s="1">
        <v>0</v>
      </c>
      <c r="K6" s="1">
        <v>100</v>
      </c>
      <c r="L6" s="1">
        <v>80</v>
      </c>
      <c r="M6" s="1">
        <v>0</v>
      </c>
      <c r="N6" s="3">
        <f t="shared" si="0"/>
        <v>688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260</v>
      </c>
      <c r="G7" s="1" t="s">
        <v>5</v>
      </c>
      <c r="H7" s="1">
        <v>630</v>
      </c>
      <c r="I7" s="1">
        <v>90</v>
      </c>
      <c r="J7" s="1">
        <v>110</v>
      </c>
      <c r="K7" s="1">
        <v>135</v>
      </c>
      <c r="L7" s="1">
        <v>50</v>
      </c>
      <c r="M7" s="1">
        <v>0</v>
      </c>
      <c r="N7" s="3">
        <f t="shared" si="0"/>
        <v>505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551</v>
      </c>
      <c r="G8" s="1" t="s">
        <v>5</v>
      </c>
      <c r="H8" s="1">
        <v>0</v>
      </c>
      <c r="I8" s="1">
        <v>230</v>
      </c>
      <c r="J8" s="1">
        <v>80</v>
      </c>
      <c r="K8" s="1">
        <v>110</v>
      </c>
      <c r="L8" s="1">
        <v>0</v>
      </c>
      <c r="M8" s="1">
        <v>0</v>
      </c>
      <c r="N8" s="3">
        <f t="shared" si="0"/>
        <v>131</v>
      </c>
      <c r="O8" s="7">
        <v>500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450</v>
      </c>
      <c r="G9" s="1" t="s">
        <v>5</v>
      </c>
      <c r="H9" s="1">
        <v>629</v>
      </c>
      <c r="I9" s="1">
        <v>200</v>
      </c>
      <c r="J9" s="1">
        <v>0</v>
      </c>
      <c r="K9" s="1">
        <v>0</v>
      </c>
      <c r="L9" s="1">
        <v>40</v>
      </c>
      <c r="M9" s="1">
        <v>0</v>
      </c>
      <c r="N9" s="3">
        <f t="shared" si="0"/>
        <v>839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273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273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443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443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108</v>
      </c>
      <c r="D12" s="1" t="s">
        <v>4</v>
      </c>
      <c r="E12" s="1">
        <v>12191</v>
      </c>
      <c r="F12" s="16">
        <v>487</v>
      </c>
      <c r="G12" s="1" t="s">
        <v>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487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245</v>
      </c>
      <c r="G13" s="1" t="s">
        <v>89</v>
      </c>
      <c r="H13" s="1">
        <v>504</v>
      </c>
      <c r="I13" s="1">
        <v>150</v>
      </c>
      <c r="J13" s="1">
        <v>175</v>
      </c>
      <c r="K13" s="1">
        <v>100</v>
      </c>
      <c r="L13" s="1">
        <v>50</v>
      </c>
      <c r="M13" s="1">
        <v>0</v>
      </c>
      <c r="N13" s="3">
        <f t="shared" si="0"/>
        <v>274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25</v>
      </c>
      <c r="G14" s="1" t="s">
        <v>89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8">
        <f t="shared" si="0"/>
        <v>25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10</v>
      </c>
      <c r="G15" s="1" t="s">
        <v>89</v>
      </c>
      <c r="H15" s="1">
        <v>316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3">
        <f t="shared" si="0"/>
        <v>326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0</v>
      </c>
      <c r="G16" s="1" t="s">
        <v>89</v>
      </c>
      <c r="H16" s="1">
        <v>459</v>
      </c>
      <c r="I16" s="1">
        <v>75</v>
      </c>
      <c r="J16" s="1">
        <v>0</v>
      </c>
      <c r="K16" s="1">
        <v>0</v>
      </c>
      <c r="L16" s="1">
        <v>25</v>
      </c>
      <c r="M16" s="1">
        <v>0</v>
      </c>
      <c r="N16" s="18">
        <f t="shared" si="0"/>
        <v>359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175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175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300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300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5B26-2150-4565-A654-B757789BBD74}">
  <dimension ref="A1:Q19"/>
  <sheetViews>
    <sheetView topLeftCell="B6" zoomScale="91" zoomScaleNormal="91" workbookViewId="0">
      <selection activeCell="M16" sqref="M16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110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45905</v>
      </c>
      <c r="J3" s="12">
        <v>45912</v>
      </c>
      <c r="K3" s="12">
        <v>45919</v>
      </c>
      <c r="L3" s="12">
        <v>45926</v>
      </c>
      <c r="M3" s="12">
        <v>45930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55</v>
      </c>
      <c r="G4" s="1" t="s">
        <v>5</v>
      </c>
      <c r="H4" s="1">
        <v>1221</v>
      </c>
      <c r="I4" s="1">
        <v>0</v>
      </c>
      <c r="J4" s="1">
        <v>80</v>
      </c>
      <c r="K4" s="1">
        <v>20</v>
      </c>
      <c r="L4" s="1">
        <v>40</v>
      </c>
      <c r="M4" s="1">
        <v>130</v>
      </c>
      <c r="N4" s="3">
        <f>+F4+H4-I4-J4-K4-L4-M4</f>
        <v>1006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410</v>
      </c>
      <c r="G5" s="1" t="s">
        <v>5</v>
      </c>
      <c r="H5" s="1">
        <v>0</v>
      </c>
      <c r="I5" s="1">
        <v>150</v>
      </c>
      <c r="J5" s="1">
        <v>95</v>
      </c>
      <c r="K5" s="1">
        <v>40</v>
      </c>
      <c r="L5" s="1">
        <v>55</v>
      </c>
      <c r="M5" s="1">
        <v>65</v>
      </c>
      <c r="N5" s="3">
        <f t="shared" ref="N5:N19" si="0">+F5+H5-I5-J5-K5-L5-M5</f>
        <v>5</v>
      </c>
      <c r="O5" s="7">
        <v>200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685</v>
      </c>
      <c r="G6" s="1" t="s">
        <v>5</v>
      </c>
      <c r="H6" s="1">
        <v>0</v>
      </c>
      <c r="I6" s="1">
        <v>0</v>
      </c>
      <c r="J6" s="1">
        <v>130</v>
      </c>
      <c r="K6" s="1">
        <v>180</v>
      </c>
      <c r="L6" s="1">
        <v>210</v>
      </c>
      <c r="M6" s="1">
        <v>130</v>
      </c>
      <c r="N6" s="3">
        <f t="shared" si="0"/>
        <v>35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530</v>
      </c>
      <c r="G7" s="1" t="s">
        <v>5</v>
      </c>
      <c r="H7" s="1">
        <v>0</v>
      </c>
      <c r="I7" s="1">
        <v>30</v>
      </c>
      <c r="J7" s="1">
        <v>40</v>
      </c>
      <c r="K7" s="1">
        <v>65</v>
      </c>
      <c r="L7" s="1">
        <v>60</v>
      </c>
      <c r="M7" s="1">
        <v>50</v>
      </c>
      <c r="N7" s="3">
        <f t="shared" si="0"/>
        <v>285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131</v>
      </c>
      <c r="G8" s="1" t="s">
        <v>5</v>
      </c>
      <c r="H8" s="1">
        <v>576</v>
      </c>
      <c r="I8" s="1">
        <v>0</v>
      </c>
      <c r="J8" s="1">
        <v>110</v>
      </c>
      <c r="K8" s="1">
        <v>55</v>
      </c>
      <c r="L8" s="1">
        <v>50</v>
      </c>
      <c r="M8" s="1">
        <v>80</v>
      </c>
      <c r="N8" s="3">
        <f t="shared" si="0"/>
        <v>412</v>
      </c>
      <c r="O8" s="7">
        <v>500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810</v>
      </c>
      <c r="G9" s="1" t="s">
        <v>5</v>
      </c>
      <c r="H9" s="1">
        <v>0</v>
      </c>
      <c r="I9" s="1">
        <v>60</v>
      </c>
      <c r="J9" s="1">
        <v>90</v>
      </c>
      <c r="K9" s="1">
        <v>30</v>
      </c>
      <c r="L9" s="1">
        <v>100</v>
      </c>
      <c r="M9" s="1">
        <v>0</v>
      </c>
      <c r="N9" s="3">
        <f t="shared" si="0"/>
        <v>530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200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200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200</v>
      </c>
      <c r="G11" s="1" t="s">
        <v>5</v>
      </c>
      <c r="H11" s="1">
        <v>0</v>
      </c>
      <c r="I11" s="1">
        <v>50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111</v>
      </c>
      <c r="D12" s="1" t="s">
        <v>4</v>
      </c>
      <c r="E12" s="1">
        <v>12191</v>
      </c>
      <c r="F12" s="16">
        <v>0</v>
      </c>
      <c r="G12" s="1" t="s">
        <v>5</v>
      </c>
      <c r="H12" s="1">
        <v>458</v>
      </c>
      <c r="I12" s="1">
        <v>0</v>
      </c>
      <c r="J12" s="1">
        <v>0</v>
      </c>
      <c r="K12" s="1">
        <v>0</v>
      </c>
      <c r="L12" s="1">
        <v>80</v>
      </c>
      <c r="M12" s="1">
        <v>100</v>
      </c>
      <c r="N12" s="3">
        <f t="shared" si="0"/>
        <v>278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380</v>
      </c>
      <c r="G13" s="1" t="s">
        <v>89</v>
      </c>
      <c r="H13" s="1">
        <v>0</v>
      </c>
      <c r="I13" s="1">
        <v>25</v>
      </c>
      <c r="J13" s="1">
        <v>75</v>
      </c>
      <c r="K13" s="1">
        <v>25</v>
      </c>
      <c r="L13" s="1">
        <v>50</v>
      </c>
      <c r="M13" s="1">
        <v>50</v>
      </c>
      <c r="N13" s="3">
        <f t="shared" si="0"/>
        <v>155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120</v>
      </c>
      <c r="G14" s="1" t="s">
        <v>89</v>
      </c>
      <c r="H14" s="1">
        <v>0</v>
      </c>
      <c r="I14" s="1">
        <v>25</v>
      </c>
      <c r="J14" s="1">
        <v>25</v>
      </c>
      <c r="K14" s="1">
        <v>25</v>
      </c>
      <c r="L14" s="1">
        <v>0</v>
      </c>
      <c r="M14" s="1">
        <v>45</v>
      </c>
      <c r="N14" s="18">
        <f t="shared" si="0"/>
        <v>0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391</v>
      </c>
      <c r="G15" s="1" t="s">
        <v>89</v>
      </c>
      <c r="H15" s="1">
        <v>0</v>
      </c>
      <c r="I15" s="1">
        <v>0</v>
      </c>
      <c r="J15" s="1">
        <v>50</v>
      </c>
      <c r="K15" s="1">
        <v>0</v>
      </c>
      <c r="L15" s="1">
        <v>0</v>
      </c>
      <c r="M15" s="1">
        <v>0</v>
      </c>
      <c r="N15" s="3">
        <f t="shared" si="0"/>
        <v>341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488</v>
      </c>
      <c r="G16" s="1" t="s">
        <v>89</v>
      </c>
      <c r="H16" s="1">
        <v>0</v>
      </c>
      <c r="I16" s="1">
        <v>0</v>
      </c>
      <c r="J16" s="1">
        <v>50</v>
      </c>
      <c r="K16" s="1">
        <v>50</v>
      </c>
      <c r="L16" s="1">
        <v>100</v>
      </c>
      <c r="M16" s="1">
        <v>50</v>
      </c>
      <c r="N16" s="18">
        <f t="shared" si="0"/>
        <v>238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175</v>
      </c>
      <c r="G17" s="1" t="s">
        <v>89</v>
      </c>
      <c r="H17" s="1">
        <v>0</v>
      </c>
      <c r="I17" s="1">
        <v>0</v>
      </c>
      <c r="J17" s="1">
        <v>0</v>
      </c>
      <c r="K17" s="1">
        <v>50</v>
      </c>
      <c r="L17" s="1">
        <v>0</v>
      </c>
      <c r="M17" s="1">
        <v>25</v>
      </c>
      <c r="N17" s="18">
        <f t="shared" si="0"/>
        <v>100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500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5611-BD9F-4345-84FF-519A54ECAB33}">
  <dimension ref="A1:Q19"/>
  <sheetViews>
    <sheetView topLeftCell="B1" zoomScale="91" zoomScaleNormal="91" workbookViewId="0">
      <selection activeCell="L1" sqref="L1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112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45940</v>
      </c>
      <c r="J3" s="12">
        <v>45947</v>
      </c>
      <c r="K3" s="12">
        <v>45954</v>
      </c>
      <c r="L3" s="12">
        <v>45961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1006</v>
      </c>
      <c r="G4" s="1" t="s">
        <v>5</v>
      </c>
      <c r="H4" s="1">
        <v>0</v>
      </c>
      <c r="I4" s="1">
        <v>40</v>
      </c>
      <c r="J4" s="1">
        <v>100</v>
      </c>
      <c r="K4" s="1">
        <v>50</v>
      </c>
      <c r="L4" s="1">
        <v>50</v>
      </c>
      <c r="M4" s="1">
        <v>0</v>
      </c>
      <c r="N4" s="3">
        <f>+F4+H4-I4-J4-K4-L4-M4</f>
        <v>766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5</v>
      </c>
      <c r="G5" s="1" t="s">
        <v>5</v>
      </c>
      <c r="H5" s="1">
        <v>540</v>
      </c>
      <c r="I5" s="1">
        <v>0</v>
      </c>
      <c r="J5" s="1">
        <v>0</v>
      </c>
      <c r="K5" s="1">
        <v>105</v>
      </c>
      <c r="L5" s="1">
        <v>70</v>
      </c>
      <c r="M5" s="1">
        <v>0</v>
      </c>
      <c r="N5" s="3">
        <f t="shared" ref="N5:N19" si="0">+F5+H5-I5-J5-K5-L5-M5</f>
        <v>370</v>
      </c>
      <c r="O5" s="7">
        <v>200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35</v>
      </c>
      <c r="G6" s="1" t="s">
        <v>5</v>
      </c>
      <c r="H6" s="1">
        <v>593</v>
      </c>
      <c r="I6" s="1">
        <v>0</v>
      </c>
      <c r="J6" s="1">
        <v>0</v>
      </c>
      <c r="K6" s="1">
        <v>65</v>
      </c>
      <c r="L6" s="1">
        <v>0</v>
      </c>
      <c r="M6" s="1">
        <v>0</v>
      </c>
      <c r="N6" s="3">
        <f t="shared" si="0"/>
        <v>563</v>
      </c>
      <c r="O6" s="7">
        <v>200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285</v>
      </c>
      <c r="G7" s="1" t="s">
        <v>5</v>
      </c>
      <c r="H7" s="1">
        <v>0</v>
      </c>
      <c r="I7" s="1">
        <v>70</v>
      </c>
      <c r="J7" s="1">
        <v>50</v>
      </c>
      <c r="K7" s="1">
        <v>30</v>
      </c>
      <c r="L7" s="1">
        <v>60</v>
      </c>
      <c r="M7" s="1">
        <v>0</v>
      </c>
      <c r="N7" s="3">
        <f t="shared" si="0"/>
        <v>75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412</v>
      </c>
      <c r="G8" s="1" t="s">
        <v>5</v>
      </c>
      <c r="H8" s="1">
        <v>0</v>
      </c>
      <c r="I8" s="1">
        <v>100</v>
      </c>
      <c r="J8" s="1">
        <v>150</v>
      </c>
      <c r="K8" s="1">
        <v>60</v>
      </c>
      <c r="L8" s="1">
        <v>20</v>
      </c>
      <c r="M8" s="1">
        <v>0</v>
      </c>
      <c r="N8" s="3">
        <f t="shared" si="0"/>
        <v>82</v>
      </c>
      <c r="O8" s="7">
        <v>500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530</v>
      </c>
      <c r="G9" s="1" t="s">
        <v>5</v>
      </c>
      <c r="H9" s="1">
        <v>0</v>
      </c>
      <c r="I9" s="1">
        <v>40</v>
      </c>
      <c r="J9" s="1">
        <v>70</v>
      </c>
      <c r="K9" s="1">
        <v>100</v>
      </c>
      <c r="L9" s="1">
        <v>90</v>
      </c>
      <c r="M9" s="1">
        <v>0</v>
      </c>
      <c r="N9" s="3">
        <f t="shared" si="0"/>
        <v>230</v>
      </c>
      <c r="O9" s="7">
        <v>250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200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200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150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111</v>
      </c>
      <c r="D12" s="1" t="s">
        <v>4</v>
      </c>
      <c r="E12" s="1">
        <v>12191</v>
      </c>
      <c r="F12" s="16">
        <v>278</v>
      </c>
      <c r="G12" s="1" t="s">
        <v>5</v>
      </c>
      <c r="H12" s="1">
        <v>0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268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155</v>
      </c>
      <c r="G13" s="1" t="s">
        <v>89</v>
      </c>
      <c r="H13" s="1">
        <v>523</v>
      </c>
      <c r="I13" s="1">
        <v>125</v>
      </c>
      <c r="J13" s="1">
        <v>25</v>
      </c>
      <c r="K13" s="1">
        <v>50</v>
      </c>
      <c r="L13" s="1">
        <v>25</v>
      </c>
      <c r="M13" s="1">
        <v>0</v>
      </c>
      <c r="N13" s="3">
        <f t="shared" si="0"/>
        <v>453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0</v>
      </c>
      <c r="G14" s="1" t="s">
        <v>89</v>
      </c>
      <c r="H14" s="1">
        <v>510</v>
      </c>
      <c r="I14" s="1">
        <v>60</v>
      </c>
      <c r="J14" s="1">
        <v>0</v>
      </c>
      <c r="K14" s="1">
        <v>25</v>
      </c>
      <c r="L14" s="1">
        <v>25</v>
      </c>
      <c r="M14" s="1">
        <v>0</v>
      </c>
      <c r="N14" s="18">
        <f t="shared" si="0"/>
        <v>400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341</v>
      </c>
      <c r="G15" s="1" t="s">
        <v>89</v>
      </c>
      <c r="H15" s="1">
        <v>0</v>
      </c>
      <c r="I15" s="1">
        <v>0</v>
      </c>
      <c r="J15" s="1">
        <v>25</v>
      </c>
      <c r="K15" s="1">
        <v>0</v>
      </c>
      <c r="L15" s="1">
        <v>0</v>
      </c>
      <c r="M15" s="1">
        <v>0</v>
      </c>
      <c r="N15" s="3">
        <f t="shared" si="0"/>
        <v>316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238</v>
      </c>
      <c r="G16" s="1" t="s">
        <v>89</v>
      </c>
      <c r="H16" s="1">
        <v>0</v>
      </c>
      <c r="I16" s="1">
        <v>25</v>
      </c>
      <c r="J16" s="1">
        <v>25</v>
      </c>
      <c r="K16" s="1">
        <v>50</v>
      </c>
      <c r="L16" s="1">
        <v>0</v>
      </c>
      <c r="M16" s="1">
        <v>0</v>
      </c>
      <c r="N16" s="18">
        <f t="shared" si="0"/>
        <v>138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100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100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500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4373-F1AA-46A8-A5A5-35C94126039A}">
  <dimension ref="A1:Q19"/>
  <sheetViews>
    <sheetView topLeftCell="B3" zoomScale="91" zoomScaleNormal="91" workbookViewId="0">
      <selection activeCell="F4" sqref="F4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113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45968</v>
      </c>
      <c r="J3" s="12">
        <v>45975</v>
      </c>
      <c r="K3" s="12">
        <v>45982</v>
      </c>
      <c r="L3" s="12">
        <v>45989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766</v>
      </c>
      <c r="G4" s="1" t="s">
        <v>5</v>
      </c>
      <c r="H4" s="1">
        <v>0</v>
      </c>
      <c r="I4" s="1">
        <v>165</v>
      </c>
      <c r="J4" s="1">
        <v>60</v>
      </c>
      <c r="K4" s="1">
        <v>50</v>
      </c>
      <c r="L4" s="1">
        <v>120</v>
      </c>
      <c r="M4" s="1">
        <v>0</v>
      </c>
      <c r="N4" s="3">
        <f>+F4+H4-I4-J4-K4-L4-M4</f>
        <v>371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370</v>
      </c>
      <c r="G5" s="1" t="s">
        <v>5</v>
      </c>
      <c r="H5" s="1">
        <v>0</v>
      </c>
      <c r="I5" s="1">
        <v>0</v>
      </c>
      <c r="J5" s="1">
        <v>130</v>
      </c>
      <c r="K5" s="1">
        <v>50</v>
      </c>
      <c r="L5" s="1">
        <v>40</v>
      </c>
      <c r="M5" s="1">
        <v>0</v>
      </c>
      <c r="N5" s="3">
        <f t="shared" ref="N5:N19" si="0">+F5+H5-I5-J5-K5-L5-M5</f>
        <v>150</v>
      </c>
      <c r="O5" s="7">
        <v>200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563</v>
      </c>
      <c r="G6" s="1" t="s">
        <v>5</v>
      </c>
      <c r="H6" s="1">
        <v>0</v>
      </c>
      <c r="I6" s="1">
        <v>70</v>
      </c>
      <c r="J6" s="1">
        <v>310</v>
      </c>
      <c r="K6" s="1">
        <v>183</v>
      </c>
      <c r="L6" s="1">
        <v>0</v>
      </c>
      <c r="M6" s="1">
        <v>0</v>
      </c>
      <c r="N6" s="3">
        <f t="shared" si="0"/>
        <v>0</v>
      </c>
      <c r="O6" s="7">
        <v>300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180</v>
      </c>
      <c r="G7" s="1" t="s">
        <v>5</v>
      </c>
      <c r="H7" s="1">
        <v>0</v>
      </c>
      <c r="I7" s="1">
        <v>50</v>
      </c>
      <c r="J7" s="1">
        <v>20</v>
      </c>
      <c r="K7" s="1">
        <v>110</v>
      </c>
      <c r="L7" s="1">
        <v>0</v>
      </c>
      <c r="M7" s="1">
        <v>0</v>
      </c>
      <c r="N7" s="3">
        <f t="shared" si="0"/>
        <v>0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192</v>
      </c>
      <c r="G8" s="1" t="s">
        <v>5</v>
      </c>
      <c r="H8" s="1">
        <v>0</v>
      </c>
      <c r="I8" s="1">
        <v>40</v>
      </c>
      <c r="J8" s="1">
        <v>60</v>
      </c>
      <c r="K8" s="1">
        <v>92</v>
      </c>
      <c r="L8" s="1">
        <v>0</v>
      </c>
      <c r="M8" s="1">
        <v>0</v>
      </c>
      <c r="N8" s="3">
        <f t="shared" si="0"/>
        <v>0</v>
      </c>
      <c r="O8" s="7">
        <v>500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230</v>
      </c>
      <c r="G9" s="1" t="s">
        <v>5</v>
      </c>
      <c r="H9" s="1">
        <v>771</v>
      </c>
      <c r="I9" s="1">
        <v>70</v>
      </c>
      <c r="J9" s="1">
        <v>180</v>
      </c>
      <c r="K9" s="1">
        <v>0</v>
      </c>
      <c r="L9" s="1">
        <v>30</v>
      </c>
      <c r="M9" s="1">
        <v>0</v>
      </c>
      <c r="N9" s="3">
        <f t="shared" si="0"/>
        <v>721</v>
      </c>
      <c r="O9" s="7">
        <v>300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200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200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150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111</v>
      </c>
      <c r="D12" s="1" t="s">
        <v>4</v>
      </c>
      <c r="E12" s="1">
        <v>12191</v>
      </c>
      <c r="F12" s="16">
        <v>268</v>
      </c>
      <c r="G12" s="1" t="s">
        <v>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268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453</v>
      </c>
      <c r="G13" s="1" t="s">
        <v>89</v>
      </c>
      <c r="H13" s="1">
        <v>0</v>
      </c>
      <c r="I13" s="1">
        <v>100</v>
      </c>
      <c r="J13" s="1">
        <v>75</v>
      </c>
      <c r="K13" s="1">
        <v>25</v>
      </c>
      <c r="L13" s="1">
        <v>100</v>
      </c>
      <c r="M13" s="1">
        <v>0</v>
      </c>
      <c r="N13" s="3">
        <f t="shared" si="0"/>
        <v>153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400</v>
      </c>
      <c r="G14" s="1" t="s">
        <v>89</v>
      </c>
      <c r="H14" s="1">
        <v>0</v>
      </c>
      <c r="I14" s="1">
        <v>50</v>
      </c>
      <c r="J14" s="1">
        <v>25</v>
      </c>
      <c r="K14" s="1">
        <v>25</v>
      </c>
      <c r="L14" s="1">
        <v>25</v>
      </c>
      <c r="M14" s="1">
        <v>0</v>
      </c>
      <c r="N14" s="18">
        <f t="shared" si="0"/>
        <v>275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316</v>
      </c>
      <c r="G15" s="1" t="s">
        <v>89</v>
      </c>
      <c r="H15" s="1">
        <v>0</v>
      </c>
      <c r="I15" s="1">
        <v>25</v>
      </c>
      <c r="J15" s="1">
        <v>25</v>
      </c>
      <c r="K15" s="1">
        <v>25</v>
      </c>
      <c r="L15" s="1">
        <v>0</v>
      </c>
      <c r="M15" s="1">
        <v>0</v>
      </c>
      <c r="N15" s="3">
        <f t="shared" si="0"/>
        <v>241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98</v>
      </c>
      <c r="G16" s="1" t="s">
        <v>89</v>
      </c>
      <c r="H16" s="1">
        <v>0</v>
      </c>
      <c r="I16" s="1">
        <v>25</v>
      </c>
      <c r="J16" s="1">
        <v>0</v>
      </c>
      <c r="K16" s="1">
        <v>50</v>
      </c>
      <c r="L16" s="1">
        <v>0</v>
      </c>
      <c r="M16" s="1">
        <v>0</v>
      </c>
      <c r="N16" s="18">
        <f t="shared" si="0"/>
        <v>23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100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100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500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075-8147-4816-9EE0-F132BB5696B5}">
  <dimension ref="A1:Q19"/>
  <sheetViews>
    <sheetView topLeftCell="B1" zoomScale="91" zoomScaleNormal="91" workbookViewId="0">
      <selection activeCell="M8" sqref="M8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114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45996</v>
      </c>
      <c r="J3" s="12">
        <v>46003</v>
      </c>
      <c r="K3" s="12">
        <v>46010</v>
      </c>
      <c r="L3" s="12">
        <v>46017</v>
      </c>
      <c r="M3" s="12">
        <v>46022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371</v>
      </c>
      <c r="G4" s="1" t="s">
        <v>5</v>
      </c>
      <c r="H4" s="1">
        <v>610</v>
      </c>
      <c r="I4" s="1">
        <v>137</v>
      </c>
      <c r="J4" s="1">
        <v>206</v>
      </c>
      <c r="K4" s="1">
        <v>0</v>
      </c>
      <c r="L4" s="1">
        <v>45</v>
      </c>
      <c r="M4" s="1">
        <v>25</v>
      </c>
      <c r="N4" s="3">
        <f>+F4+H4-I4-J4-K4-L4-M4</f>
        <v>568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150</v>
      </c>
      <c r="G5" s="1" t="s">
        <v>5</v>
      </c>
      <c r="H5" s="1">
        <v>508</v>
      </c>
      <c r="I5" s="1">
        <v>148</v>
      </c>
      <c r="J5" s="1">
        <v>5</v>
      </c>
      <c r="K5" s="1">
        <v>35</v>
      </c>
      <c r="L5" s="1">
        <v>30</v>
      </c>
      <c r="M5" s="1">
        <v>55</v>
      </c>
      <c r="N5" s="3">
        <f t="shared" ref="N5:N19" si="0">+F5+H5-I5-J5-K5-L5-M5</f>
        <v>385</v>
      </c>
      <c r="O5" s="7">
        <v>200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0</v>
      </c>
      <c r="G6" s="1" t="s">
        <v>5</v>
      </c>
      <c r="H6" s="1">
        <v>549</v>
      </c>
      <c r="I6" s="1">
        <v>0</v>
      </c>
      <c r="J6" s="1">
        <v>0</v>
      </c>
      <c r="K6" s="1">
        <v>0</v>
      </c>
      <c r="L6" s="1">
        <v>170</v>
      </c>
      <c r="M6" s="1">
        <v>80</v>
      </c>
      <c r="N6" s="3">
        <f t="shared" si="0"/>
        <v>299</v>
      </c>
      <c r="O6" s="7">
        <v>300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0</v>
      </c>
      <c r="G7" s="1" t="s">
        <v>5</v>
      </c>
      <c r="H7" s="1">
        <v>509</v>
      </c>
      <c r="I7" s="1">
        <v>50</v>
      </c>
      <c r="J7" s="1">
        <v>35</v>
      </c>
      <c r="K7" s="1">
        <v>50</v>
      </c>
      <c r="L7" s="1">
        <v>50</v>
      </c>
      <c r="M7" s="1">
        <v>46</v>
      </c>
      <c r="N7" s="3">
        <f t="shared" si="0"/>
        <v>278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0</v>
      </c>
      <c r="G8" s="1" t="s">
        <v>5</v>
      </c>
      <c r="H8" s="1">
        <v>446</v>
      </c>
      <c r="I8" s="1">
        <v>0</v>
      </c>
      <c r="J8" s="1">
        <v>10</v>
      </c>
      <c r="K8" s="1">
        <v>80</v>
      </c>
      <c r="L8" s="1">
        <v>75</v>
      </c>
      <c r="M8" s="1">
        <v>25</v>
      </c>
      <c r="N8" s="3">
        <f t="shared" si="0"/>
        <v>256</v>
      </c>
      <c r="O8" s="7">
        <v>500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721</v>
      </c>
      <c r="G9" s="1" t="s">
        <v>5</v>
      </c>
      <c r="H9" s="1">
        <v>0</v>
      </c>
      <c r="I9" s="1">
        <v>0</v>
      </c>
      <c r="J9" s="1">
        <v>0</v>
      </c>
      <c r="K9" s="1">
        <v>30</v>
      </c>
      <c r="L9" s="1">
        <v>0</v>
      </c>
      <c r="M9" s="1">
        <v>100</v>
      </c>
      <c r="N9" s="3">
        <f t="shared" si="0"/>
        <v>591</v>
      </c>
      <c r="O9" s="7">
        <v>300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200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200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150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111</v>
      </c>
      <c r="D12" s="1" t="s">
        <v>4</v>
      </c>
      <c r="E12" s="1">
        <v>12191</v>
      </c>
      <c r="F12" s="16">
        <v>268</v>
      </c>
      <c r="G12" s="1" t="s">
        <v>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f t="shared" si="0"/>
        <v>268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25</v>
      </c>
      <c r="G13" s="1" t="s">
        <v>89</v>
      </c>
      <c r="H13" s="1">
        <v>792</v>
      </c>
      <c r="I13" s="1">
        <v>75</v>
      </c>
      <c r="J13" s="1">
        <v>75</v>
      </c>
      <c r="K13" s="1">
        <v>150</v>
      </c>
      <c r="L13" s="1">
        <v>25</v>
      </c>
      <c r="M13" s="1">
        <v>0</v>
      </c>
      <c r="N13" s="3">
        <f t="shared" si="0"/>
        <v>492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275</v>
      </c>
      <c r="G14" s="1" t="s">
        <v>89</v>
      </c>
      <c r="H14" s="1">
        <v>0</v>
      </c>
      <c r="I14" s="1">
        <v>0</v>
      </c>
      <c r="J14" s="1">
        <v>25</v>
      </c>
      <c r="K14" s="1">
        <v>25</v>
      </c>
      <c r="L14" s="1">
        <v>50</v>
      </c>
      <c r="M14" s="1">
        <v>0</v>
      </c>
      <c r="N14" s="18">
        <f t="shared" si="0"/>
        <v>175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241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25</v>
      </c>
      <c r="M15" s="1">
        <v>0</v>
      </c>
      <c r="N15" s="3">
        <f t="shared" si="0"/>
        <v>216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0</v>
      </c>
      <c r="G16" s="1" t="s">
        <v>89</v>
      </c>
      <c r="H16" s="1">
        <v>518.5</v>
      </c>
      <c r="I16" s="1">
        <v>0</v>
      </c>
      <c r="J16" s="1">
        <v>0</v>
      </c>
      <c r="K16" s="1">
        <v>25</v>
      </c>
      <c r="L16" s="1">
        <v>0</v>
      </c>
      <c r="M16" s="1">
        <v>0</v>
      </c>
      <c r="N16" s="18">
        <f t="shared" si="0"/>
        <v>493.5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100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100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500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46A0-AEE6-45F5-9938-4D602052378A}">
  <dimension ref="A1:Q19"/>
  <sheetViews>
    <sheetView topLeftCell="B1" zoomScale="91" zoomScaleNormal="91" workbookViewId="0">
      <selection activeCell="H8" sqref="H8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115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46031</v>
      </c>
      <c r="J3" s="12">
        <v>46038</v>
      </c>
      <c r="K3" s="12">
        <v>46045</v>
      </c>
      <c r="L3" s="12">
        <v>46052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568</v>
      </c>
      <c r="G4" s="1" t="s">
        <v>5</v>
      </c>
      <c r="H4" s="1">
        <v>0</v>
      </c>
      <c r="I4" s="1">
        <v>30</v>
      </c>
      <c r="J4" s="1">
        <v>35</v>
      </c>
      <c r="K4" s="1">
        <v>80</v>
      </c>
      <c r="L4" s="1">
        <v>52</v>
      </c>
      <c r="M4" s="1">
        <v>0</v>
      </c>
      <c r="N4" s="3">
        <f>+F4+H4-I4-J4-K4-L4-M4</f>
        <v>371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385</v>
      </c>
      <c r="G5" s="1" t="s">
        <v>5</v>
      </c>
      <c r="H5" s="1">
        <v>0</v>
      </c>
      <c r="I5" s="1">
        <v>50</v>
      </c>
      <c r="J5" s="1">
        <v>18</v>
      </c>
      <c r="K5" s="1">
        <v>60</v>
      </c>
      <c r="L5" s="1">
        <v>0</v>
      </c>
      <c r="M5" s="1">
        <v>0</v>
      </c>
      <c r="N5" s="3">
        <f t="shared" ref="N5:N19" si="0">+F5+H5-I5-J5-K5-L5-M5</f>
        <v>257</v>
      </c>
      <c r="O5" s="7">
        <v>200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370</v>
      </c>
      <c r="G6" s="1" t="s">
        <v>5</v>
      </c>
      <c r="H6" s="1">
        <v>0</v>
      </c>
      <c r="I6" s="1">
        <v>150</v>
      </c>
      <c r="J6" s="1">
        <v>140</v>
      </c>
      <c r="K6" s="1">
        <v>35</v>
      </c>
      <c r="L6" s="1">
        <v>42</v>
      </c>
      <c r="M6" s="1">
        <v>0</v>
      </c>
      <c r="N6" s="3">
        <f t="shared" si="0"/>
        <v>3</v>
      </c>
      <c r="O6" s="7">
        <v>300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278</v>
      </c>
      <c r="G7" s="1" t="s">
        <v>5</v>
      </c>
      <c r="H7" s="1">
        <v>0</v>
      </c>
      <c r="I7" s="1">
        <v>20</v>
      </c>
      <c r="J7" s="1">
        <v>75</v>
      </c>
      <c r="K7" s="1">
        <v>20</v>
      </c>
      <c r="L7" s="1">
        <v>70</v>
      </c>
      <c r="M7" s="1">
        <v>0</v>
      </c>
      <c r="N7" s="3">
        <f t="shared" si="0"/>
        <v>93</v>
      </c>
      <c r="O7" s="7">
        <v>150</v>
      </c>
      <c r="P7" s="9">
        <v>300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256</v>
      </c>
      <c r="G8" s="1" t="s">
        <v>5</v>
      </c>
      <c r="H8" s="1">
        <v>530</v>
      </c>
      <c r="I8" s="1">
        <v>70</v>
      </c>
      <c r="J8" s="1">
        <v>20</v>
      </c>
      <c r="K8" s="1">
        <v>55</v>
      </c>
      <c r="L8" s="1">
        <v>62</v>
      </c>
      <c r="M8" s="1">
        <v>0</v>
      </c>
      <c r="N8" s="3">
        <f t="shared" si="0"/>
        <v>579</v>
      </c>
      <c r="O8" s="7">
        <v>500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391</v>
      </c>
      <c r="G9" s="1" t="s">
        <v>5</v>
      </c>
      <c r="H9" s="1">
        <v>780</v>
      </c>
      <c r="I9" s="1">
        <v>140</v>
      </c>
      <c r="J9" s="1">
        <v>80</v>
      </c>
      <c r="K9" s="1">
        <v>35</v>
      </c>
      <c r="L9" s="1">
        <v>42</v>
      </c>
      <c r="M9" s="1">
        <v>0</v>
      </c>
      <c r="N9" s="3">
        <f t="shared" si="0"/>
        <v>874</v>
      </c>
      <c r="O9" s="7">
        <v>300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200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110</v>
      </c>
      <c r="M10" s="1">
        <v>0</v>
      </c>
      <c r="N10" s="3">
        <f t="shared" si="0"/>
        <v>90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150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111</v>
      </c>
      <c r="D12" s="1" t="s">
        <v>4</v>
      </c>
      <c r="E12" s="1">
        <v>12191</v>
      </c>
      <c r="F12" s="16">
        <v>268</v>
      </c>
      <c r="G12" s="1" t="s">
        <v>5</v>
      </c>
      <c r="H12" s="1">
        <v>0</v>
      </c>
      <c r="I12" s="1">
        <v>0</v>
      </c>
      <c r="J12" s="1">
        <v>20</v>
      </c>
      <c r="K12" s="1">
        <v>0</v>
      </c>
      <c r="L12" s="1">
        <v>0</v>
      </c>
      <c r="M12" s="1">
        <v>0</v>
      </c>
      <c r="N12" s="3">
        <f t="shared" si="0"/>
        <v>248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492</v>
      </c>
      <c r="G13" s="1" t="s">
        <v>89</v>
      </c>
      <c r="H13" s="1">
        <v>0</v>
      </c>
      <c r="I13" s="1">
        <v>50</v>
      </c>
      <c r="J13" s="1">
        <v>25</v>
      </c>
      <c r="K13" s="1">
        <v>75</v>
      </c>
      <c r="L13" s="1">
        <v>25</v>
      </c>
      <c r="M13" s="1">
        <v>0</v>
      </c>
      <c r="N13" s="3">
        <f t="shared" si="0"/>
        <v>317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125</v>
      </c>
      <c r="G14" s="1" t="s">
        <v>89</v>
      </c>
      <c r="H14" s="1">
        <v>300</v>
      </c>
      <c r="I14" s="1">
        <v>25</v>
      </c>
      <c r="J14" s="1">
        <v>50</v>
      </c>
      <c r="K14" s="1">
        <v>25</v>
      </c>
      <c r="L14" s="1">
        <v>25</v>
      </c>
      <c r="M14" s="1">
        <v>0</v>
      </c>
      <c r="N14" s="18">
        <f t="shared" si="0"/>
        <v>300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216</v>
      </c>
      <c r="G15" s="1" t="s">
        <v>89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3">
        <f t="shared" si="0"/>
        <v>216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493</v>
      </c>
      <c r="G16" s="1" t="s">
        <v>89</v>
      </c>
      <c r="H16" s="1">
        <v>0</v>
      </c>
      <c r="I16" s="1">
        <v>25</v>
      </c>
      <c r="J16" s="1">
        <v>0</v>
      </c>
      <c r="K16" s="1">
        <v>25</v>
      </c>
      <c r="L16" s="1">
        <v>25</v>
      </c>
      <c r="M16" s="1">
        <v>0</v>
      </c>
      <c r="N16" s="18">
        <f t="shared" si="0"/>
        <v>418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100</v>
      </c>
      <c r="G17" s="1" t="s">
        <v>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100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500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C916-503A-4DE3-82A0-C21099F1E0EF}">
  <dimension ref="A1:Q19"/>
  <sheetViews>
    <sheetView tabSelected="1" topLeftCell="B1" zoomScale="91" zoomScaleNormal="91" workbookViewId="0">
      <selection activeCell="M9" sqref="M9"/>
    </sheetView>
  </sheetViews>
  <sheetFormatPr defaultRowHeight="15" x14ac:dyDescent="0.25"/>
  <cols>
    <col min="1" max="1" width="6" hidden="1" customWidth="1"/>
    <col min="2" max="2" width="5.7109375" customWidth="1"/>
    <col min="3" max="3" width="42.7109375" customWidth="1"/>
    <col min="4" max="4" width="0.140625" customWidth="1"/>
    <col min="5" max="5" width="0.5703125" hidden="1" customWidth="1"/>
    <col min="6" max="6" width="10.42578125" customWidth="1"/>
    <col min="7" max="7" width="6.140625" customWidth="1"/>
    <col min="8" max="8" width="9" customWidth="1"/>
    <col min="9" max="9" width="11.85546875" customWidth="1"/>
    <col min="10" max="10" width="10.7109375" customWidth="1"/>
    <col min="11" max="11" width="10.42578125" customWidth="1"/>
    <col min="12" max="12" width="9.85546875" customWidth="1"/>
    <col min="13" max="13" width="9.5703125" customWidth="1"/>
    <col min="14" max="14" width="7.85546875" customWidth="1"/>
    <col min="15" max="15" width="12.5703125" customWidth="1"/>
    <col min="16" max="16" width="12" customWidth="1"/>
    <col min="17" max="17" width="13" customWidth="1"/>
    <col min="18" max="18" width="13.42578125" bestFit="1" customWidth="1"/>
    <col min="19" max="19" width="6.7109375" bestFit="1" customWidth="1"/>
    <col min="20" max="20" width="10.42578125" customWidth="1"/>
    <col min="21" max="21" width="11.7109375" bestFit="1" customWidth="1"/>
    <col min="22" max="22" width="8.85546875" bestFit="1" customWidth="1"/>
    <col min="24" max="24" width="7.7109375" bestFit="1" customWidth="1"/>
    <col min="25" max="25" width="11.5703125" bestFit="1" customWidth="1"/>
    <col min="26" max="26" width="13.140625" bestFit="1" customWidth="1"/>
    <col min="27" max="27" width="15.7109375" bestFit="1" customWidth="1"/>
    <col min="28" max="28" width="7.7109375" bestFit="1" customWidth="1"/>
    <col min="29" max="29" width="8.85546875" bestFit="1" customWidth="1"/>
    <col min="31" max="31" width="10.140625" bestFit="1" customWidth="1"/>
  </cols>
  <sheetData>
    <row r="1" spans="1:17" ht="22.5" customHeight="1" x14ac:dyDescent="0.25"/>
    <row r="2" spans="1:17" ht="26.25" customHeight="1" x14ac:dyDescent="0.35">
      <c r="C2" s="19" t="s">
        <v>116</v>
      </c>
      <c r="O2" s="5" t="s">
        <v>16</v>
      </c>
    </row>
    <row r="3" spans="1:17" ht="26.25" customHeight="1" x14ac:dyDescent="0.25">
      <c r="A3" t="s">
        <v>0</v>
      </c>
      <c r="B3" s="3" t="s">
        <v>18</v>
      </c>
      <c r="C3" s="3" t="s">
        <v>11</v>
      </c>
      <c r="D3" s="3" t="s">
        <v>1</v>
      </c>
      <c r="E3" s="3" t="s">
        <v>2</v>
      </c>
      <c r="F3" s="3" t="s">
        <v>12</v>
      </c>
      <c r="G3" s="3" t="s">
        <v>17</v>
      </c>
      <c r="H3" s="3" t="s">
        <v>81</v>
      </c>
      <c r="I3" s="12">
        <v>46059</v>
      </c>
      <c r="J3" s="12">
        <v>46066</v>
      </c>
      <c r="K3" s="12">
        <v>46073</v>
      </c>
      <c r="L3" s="12">
        <v>46080</v>
      </c>
      <c r="M3" s="12">
        <v>0</v>
      </c>
      <c r="N3" s="12" t="s">
        <v>82</v>
      </c>
      <c r="O3" s="6" t="s">
        <v>14</v>
      </c>
      <c r="P3" s="8" t="s">
        <v>13</v>
      </c>
    </row>
    <row r="4" spans="1:17" ht="26.25" customHeight="1" x14ac:dyDescent="0.25">
      <c r="A4" t="s">
        <v>3</v>
      </c>
      <c r="B4" s="2">
        <v>1</v>
      </c>
      <c r="C4" s="1" t="s">
        <v>6</v>
      </c>
      <c r="D4" s="1" t="s">
        <v>4</v>
      </c>
      <c r="E4" s="1">
        <v>12929</v>
      </c>
      <c r="F4" s="16">
        <v>371</v>
      </c>
      <c r="G4" s="1" t="s">
        <v>5</v>
      </c>
      <c r="H4" s="1">
        <v>0</v>
      </c>
      <c r="I4" s="1">
        <v>51</v>
      </c>
      <c r="J4" s="1">
        <v>20</v>
      </c>
      <c r="K4" s="1">
        <v>85</v>
      </c>
      <c r="L4" s="1">
        <v>0</v>
      </c>
      <c r="M4" s="1">
        <v>0</v>
      </c>
      <c r="N4" s="3">
        <f>+F4+H4-I4-J4-K4-L4-M4</f>
        <v>215</v>
      </c>
      <c r="O4" s="7">
        <v>200</v>
      </c>
      <c r="P4" s="9">
        <v>500</v>
      </c>
    </row>
    <row r="5" spans="1:17" ht="26.25" customHeight="1" x14ac:dyDescent="0.25">
      <c r="A5" t="s">
        <v>3</v>
      </c>
      <c r="B5" s="2">
        <v>2</v>
      </c>
      <c r="C5" s="1" t="s">
        <v>7</v>
      </c>
      <c r="D5" s="1" t="s">
        <v>4</v>
      </c>
      <c r="E5" s="1">
        <v>13205</v>
      </c>
      <c r="F5" s="16">
        <v>257</v>
      </c>
      <c r="G5" s="1" t="s">
        <v>5</v>
      </c>
      <c r="H5" s="1">
        <v>545</v>
      </c>
      <c r="I5" s="1">
        <v>257</v>
      </c>
      <c r="J5" s="1">
        <v>38</v>
      </c>
      <c r="K5" s="1">
        <v>25</v>
      </c>
      <c r="L5" s="1">
        <v>0</v>
      </c>
      <c r="M5" s="1">
        <v>0</v>
      </c>
      <c r="N5" s="3">
        <f t="shared" ref="N5:N19" si="0">+F5+H5-I5-J5-K5-L5-M5</f>
        <v>482</v>
      </c>
      <c r="O5" s="7">
        <v>300</v>
      </c>
      <c r="P5" s="9">
        <v>500</v>
      </c>
    </row>
    <row r="6" spans="1:17" ht="26.25" customHeight="1" x14ac:dyDescent="0.25">
      <c r="A6" t="s">
        <v>3</v>
      </c>
      <c r="B6" s="2">
        <v>3</v>
      </c>
      <c r="C6" s="1" t="s">
        <v>79</v>
      </c>
      <c r="D6" s="1" t="s">
        <v>4</v>
      </c>
      <c r="E6" s="1">
        <v>16367</v>
      </c>
      <c r="F6" s="16">
        <v>10</v>
      </c>
      <c r="G6" s="1" t="s">
        <v>5</v>
      </c>
      <c r="H6" s="1">
        <v>536</v>
      </c>
      <c r="I6" s="1">
        <v>40</v>
      </c>
      <c r="J6" s="1">
        <v>106</v>
      </c>
      <c r="K6" s="1">
        <v>98</v>
      </c>
      <c r="L6" s="1">
        <v>0</v>
      </c>
      <c r="M6" s="1">
        <v>0</v>
      </c>
      <c r="N6" s="3">
        <f t="shared" si="0"/>
        <v>302</v>
      </c>
      <c r="O6" s="7">
        <v>300</v>
      </c>
      <c r="P6" s="9">
        <v>500</v>
      </c>
    </row>
    <row r="7" spans="1:17" ht="26.25" customHeight="1" x14ac:dyDescent="0.25">
      <c r="A7" t="s">
        <v>3</v>
      </c>
      <c r="B7" s="2">
        <v>4</v>
      </c>
      <c r="C7" s="1" t="s">
        <v>8</v>
      </c>
      <c r="D7" s="1" t="s">
        <v>4</v>
      </c>
      <c r="E7" s="1">
        <v>17637</v>
      </c>
      <c r="F7" s="16">
        <v>98</v>
      </c>
      <c r="G7" s="1" t="s">
        <v>5</v>
      </c>
      <c r="H7" s="1">
        <v>0</v>
      </c>
      <c r="I7" s="1">
        <v>55</v>
      </c>
      <c r="J7" s="1">
        <v>35</v>
      </c>
      <c r="K7" s="1">
        <v>5</v>
      </c>
      <c r="L7" s="1">
        <v>0</v>
      </c>
      <c r="M7" s="1">
        <v>0</v>
      </c>
      <c r="N7" s="3">
        <f t="shared" si="0"/>
        <v>3</v>
      </c>
      <c r="O7" s="7">
        <v>300</v>
      </c>
      <c r="P7" s="9">
        <v>750</v>
      </c>
    </row>
    <row r="8" spans="1:17" ht="26.25" customHeight="1" x14ac:dyDescent="0.25">
      <c r="A8" t="s">
        <v>3</v>
      </c>
      <c r="B8" s="2">
        <v>5</v>
      </c>
      <c r="C8" s="1" t="s">
        <v>15</v>
      </c>
      <c r="D8" s="1" t="s">
        <v>4</v>
      </c>
      <c r="E8" s="1">
        <v>8818</v>
      </c>
      <c r="F8" s="16">
        <v>579</v>
      </c>
      <c r="G8" s="1" t="s">
        <v>5</v>
      </c>
      <c r="H8" s="1">
        <v>0</v>
      </c>
      <c r="I8" s="1">
        <v>85</v>
      </c>
      <c r="J8" s="1">
        <v>115</v>
      </c>
      <c r="K8" s="1">
        <v>40</v>
      </c>
      <c r="L8" s="1">
        <v>0</v>
      </c>
      <c r="M8" s="1">
        <v>0</v>
      </c>
      <c r="N8" s="3">
        <f t="shared" si="0"/>
        <v>339</v>
      </c>
      <c r="O8" s="7">
        <v>300</v>
      </c>
      <c r="P8" s="9">
        <v>500</v>
      </c>
    </row>
    <row r="9" spans="1:17" ht="26.25" customHeight="1" x14ac:dyDescent="0.25">
      <c r="A9" t="s">
        <v>3</v>
      </c>
      <c r="B9" s="2">
        <v>6</v>
      </c>
      <c r="C9" s="1" t="s">
        <v>80</v>
      </c>
      <c r="D9" s="1" t="s">
        <v>4</v>
      </c>
      <c r="E9" s="1">
        <v>12191</v>
      </c>
      <c r="F9" s="16">
        <v>874</v>
      </c>
      <c r="G9" s="1" t="s">
        <v>5</v>
      </c>
      <c r="H9" s="1">
        <v>0</v>
      </c>
      <c r="I9" s="1">
        <v>140</v>
      </c>
      <c r="J9" s="1">
        <v>85</v>
      </c>
      <c r="K9" s="1">
        <v>136</v>
      </c>
      <c r="L9" s="1">
        <v>0</v>
      </c>
      <c r="M9" s="1">
        <v>0</v>
      </c>
      <c r="N9" s="3">
        <f t="shared" si="0"/>
        <v>513</v>
      </c>
      <c r="O9" s="7">
        <v>300</v>
      </c>
      <c r="P9" s="9">
        <v>500</v>
      </c>
    </row>
    <row r="10" spans="1:17" ht="26.25" customHeight="1" x14ac:dyDescent="0.25">
      <c r="A10" t="s">
        <v>3</v>
      </c>
      <c r="B10" s="2">
        <v>7</v>
      </c>
      <c r="C10" s="1" t="s">
        <v>9</v>
      </c>
      <c r="D10" s="1"/>
      <c r="E10" s="1"/>
      <c r="F10" s="16">
        <v>120</v>
      </c>
      <c r="G10" s="1" t="s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f t="shared" si="0"/>
        <v>120</v>
      </c>
      <c r="O10" s="7">
        <v>100</v>
      </c>
      <c r="P10" s="9">
        <v>300</v>
      </c>
    </row>
    <row r="11" spans="1:17" ht="26.25" customHeight="1" x14ac:dyDescent="0.25">
      <c r="A11" t="s">
        <v>3</v>
      </c>
      <c r="B11" s="2">
        <v>8</v>
      </c>
      <c r="C11" s="1" t="s">
        <v>103</v>
      </c>
      <c r="D11" s="1" t="s">
        <v>4</v>
      </c>
      <c r="E11" s="1">
        <v>8818</v>
      </c>
      <c r="F11" s="16">
        <v>150</v>
      </c>
      <c r="G11" s="1" t="s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>
        <f t="shared" si="0"/>
        <v>150</v>
      </c>
      <c r="O11" s="7">
        <v>100</v>
      </c>
      <c r="P11" s="9">
        <v>250</v>
      </c>
    </row>
    <row r="12" spans="1:17" ht="26.25" customHeight="1" x14ac:dyDescent="0.25">
      <c r="A12" t="s">
        <v>3</v>
      </c>
      <c r="B12" s="2">
        <v>9</v>
      </c>
      <c r="C12" s="1" t="s">
        <v>111</v>
      </c>
      <c r="D12" s="1" t="s">
        <v>4</v>
      </c>
      <c r="E12" s="1">
        <v>12191</v>
      </c>
      <c r="F12" s="16">
        <v>90</v>
      </c>
      <c r="G12" s="1" t="s">
        <v>5</v>
      </c>
      <c r="H12" s="1">
        <v>806</v>
      </c>
      <c r="I12" s="1">
        <v>50</v>
      </c>
      <c r="J12" s="1">
        <v>50</v>
      </c>
      <c r="K12" s="1">
        <v>0</v>
      </c>
      <c r="L12" s="1">
        <v>0</v>
      </c>
      <c r="M12" s="1">
        <v>0</v>
      </c>
      <c r="N12" s="3">
        <f t="shared" si="0"/>
        <v>796</v>
      </c>
      <c r="O12" s="7">
        <v>100</v>
      </c>
      <c r="P12" s="9">
        <v>400</v>
      </c>
    </row>
    <row r="13" spans="1:17" ht="26.25" customHeight="1" x14ac:dyDescent="0.25">
      <c r="A13" t="s">
        <v>3</v>
      </c>
      <c r="B13" s="2">
        <v>10</v>
      </c>
      <c r="C13" s="1" t="s">
        <v>88</v>
      </c>
      <c r="D13" s="1"/>
      <c r="E13" s="1"/>
      <c r="F13" s="16">
        <v>317</v>
      </c>
      <c r="G13" s="1" t="s">
        <v>89</v>
      </c>
      <c r="H13" s="1">
        <v>0</v>
      </c>
      <c r="I13" s="1">
        <v>125</v>
      </c>
      <c r="J13" s="1">
        <v>50</v>
      </c>
      <c r="K13" s="1">
        <v>25</v>
      </c>
      <c r="L13" s="1">
        <v>0</v>
      </c>
      <c r="M13" s="1">
        <v>0</v>
      </c>
      <c r="N13" s="3">
        <f t="shared" si="0"/>
        <v>117</v>
      </c>
      <c r="O13" s="7">
        <v>200</v>
      </c>
      <c r="P13" s="9">
        <v>500</v>
      </c>
      <c r="Q13" t="s">
        <v>93</v>
      </c>
    </row>
    <row r="14" spans="1:17" ht="26.25" customHeight="1" x14ac:dyDescent="0.25">
      <c r="A14" t="s">
        <v>3</v>
      </c>
      <c r="B14" s="15">
        <v>11</v>
      </c>
      <c r="C14" s="14" t="s">
        <v>90</v>
      </c>
      <c r="F14" s="17">
        <v>300</v>
      </c>
      <c r="G14" s="1" t="s">
        <v>89</v>
      </c>
      <c r="H14" s="1">
        <v>0</v>
      </c>
      <c r="I14" s="1">
        <v>50</v>
      </c>
      <c r="J14" s="1">
        <v>0</v>
      </c>
      <c r="K14" s="1">
        <v>25</v>
      </c>
      <c r="L14" s="1">
        <v>0</v>
      </c>
      <c r="M14" s="1">
        <v>0</v>
      </c>
      <c r="N14" s="18">
        <f t="shared" si="0"/>
        <v>225</v>
      </c>
      <c r="O14" s="7">
        <v>150</v>
      </c>
      <c r="P14" s="9">
        <v>400</v>
      </c>
    </row>
    <row r="15" spans="1:17" ht="26.25" customHeight="1" x14ac:dyDescent="0.25">
      <c r="B15" s="15">
        <v>12</v>
      </c>
      <c r="C15" s="1" t="s">
        <v>101</v>
      </c>
      <c r="D15" s="1" t="s">
        <v>4</v>
      </c>
      <c r="E15" s="1">
        <v>12191</v>
      </c>
      <c r="F15" s="16">
        <v>116</v>
      </c>
      <c r="G15" s="1" t="s">
        <v>89</v>
      </c>
      <c r="H15" s="1">
        <v>306.2</v>
      </c>
      <c r="I15" s="1">
        <v>25</v>
      </c>
      <c r="J15" s="1">
        <v>25</v>
      </c>
      <c r="K15" s="1">
        <v>0</v>
      </c>
      <c r="L15" s="1">
        <v>0</v>
      </c>
      <c r="M15" s="1">
        <v>0</v>
      </c>
      <c r="N15" s="3">
        <f t="shared" si="0"/>
        <v>372.2</v>
      </c>
      <c r="O15" s="7">
        <v>100</v>
      </c>
      <c r="P15" s="9">
        <v>400</v>
      </c>
    </row>
    <row r="16" spans="1:17" ht="22.5" customHeight="1" x14ac:dyDescent="0.25">
      <c r="B16" s="15">
        <v>13</v>
      </c>
      <c r="C16" s="14" t="s">
        <v>92</v>
      </c>
      <c r="F16" s="17">
        <v>418</v>
      </c>
      <c r="G16" s="1" t="s">
        <v>89</v>
      </c>
      <c r="H16" s="1">
        <v>0</v>
      </c>
      <c r="I16" s="1">
        <v>0</v>
      </c>
      <c r="J16" s="1">
        <v>0</v>
      </c>
      <c r="K16" s="1">
        <v>25</v>
      </c>
      <c r="L16" s="1">
        <v>0</v>
      </c>
      <c r="M16" s="1">
        <v>0</v>
      </c>
      <c r="N16" s="18">
        <f t="shared" si="0"/>
        <v>393</v>
      </c>
      <c r="O16" s="7">
        <v>150</v>
      </c>
      <c r="P16" s="9">
        <v>400</v>
      </c>
    </row>
    <row r="17" spans="2:16" ht="25.5" customHeight="1" x14ac:dyDescent="0.25">
      <c r="B17" s="15">
        <v>14</v>
      </c>
      <c r="C17" s="14" t="s">
        <v>102</v>
      </c>
      <c r="F17" s="17">
        <v>100</v>
      </c>
      <c r="G17" s="1" t="s">
        <v>89</v>
      </c>
      <c r="H17" s="1">
        <v>363.3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8">
        <f t="shared" si="0"/>
        <v>463.3</v>
      </c>
      <c r="O17" s="7">
        <v>100</v>
      </c>
      <c r="P17" s="9">
        <v>400</v>
      </c>
    </row>
    <row r="18" spans="2:16" ht="26.25" customHeight="1" x14ac:dyDescent="0.25">
      <c r="B18" s="15">
        <v>15</v>
      </c>
      <c r="C18" s="1" t="s">
        <v>85</v>
      </c>
      <c r="D18" s="1" t="s">
        <v>4</v>
      </c>
      <c r="E18" s="1">
        <v>8818</v>
      </c>
      <c r="F18" s="16">
        <v>500</v>
      </c>
      <c r="G18" s="1" t="s">
        <v>89</v>
      </c>
      <c r="H18" s="1">
        <v>855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3">
        <f t="shared" si="0"/>
        <v>1355</v>
      </c>
      <c r="O18" s="7">
        <v>1000</v>
      </c>
      <c r="P18" s="9">
        <v>2000</v>
      </c>
    </row>
    <row r="19" spans="2:16" ht="24.75" customHeight="1" x14ac:dyDescent="0.25">
      <c r="B19" s="15">
        <v>16</v>
      </c>
      <c r="C19" s="1" t="s">
        <v>87</v>
      </c>
      <c r="D19" s="1" t="s">
        <v>4</v>
      </c>
      <c r="E19" s="1">
        <v>12191</v>
      </c>
      <c r="F19" s="16">
        <v>150</v>
      </c>
      <c r="G19" s="1" t="s">
        <v>89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f t="shared" si="0"/>
        <v>150</v>
      </c>
      <c r="O19" s="7">
        <v>500</v>
      </c>
      <c r="P19" s="9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29</vt:i4>
      </vt:variant>
    </vt:vector>
  </HeadingPairs>
  <TitlesOfParts>
    <vt:vector size="29" baseType="lpstr">
      <vt:lpstr>KASIM2023</vt:lpstr>
      <vt:lpstr>ALT DEPO DERİ,KMŞ.</vt:lpstr>
      <vt:lpstr>MAGAZA</vt:lpstr>
      <vt:lpstr>ARALIK2023</vt:lpstr>
      <vt:lpstr>OCAK 2024</vt:lpstr>
      <vt:lpstr>ŞUBAT 2024</vt:lpstr>
      <vt:lpstr>MART 2024</vt:lpstr>
      <vt:lpstr>NİSAN 2024</vt:lpstr>
      <vt:lpstr>MAYIS 2024</vt:lpstr>
      <vt:lpstr>HAZİRAN 2024</vt:lpstr>
      <vt:lpstr>TEMMUZ 2024</vt:lpstr>
      <vt:lpstr>AĞUSTOS 2024</vt:lpstr>
      <vt:lpstr>EYLÜL 2024</vt:lpstr>
      <vt:lpstr>EKİM 2024</vt:lpstr>
      <vt:lpstr>KASIM 2024</vt:lpstr>
      <vt:lpstr>OCAK 2025</vt:lpstr>
      <vt:lpstr>ŞUBAT 2025</vt:lpstr>
      <vt:lpstr>MART 2025</vt:lpstr>
      <vt:lpstr>NİSAN 2025</vt:lpstr>
      <vt:lpstr>MAYIS 2025</vt:lpstr>
      <vt:lpstr>HAZİRAN 2025</vt:lpstr>
      <vt:lpstr>TEMMUZ 2025</vt:lpstr>
      <vt:lpstr>AĞUSTOS 2025</vt:lpstr>
      <vt:lpstr>EYLÜL 2025</vt:lpstr>
      <vt:lpstr>EKİM 2025</vt:lpstr>
      <vt:lpstr>KASIM 2025</vt:lpstr>
      <vt:lpstr>ARALIK 2025</vt:lpstr>
      <vt:lpstr>OCAK 2026</vt:lpstr>
      <vt:lpstr>ŞUBAT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2026-02-24T11:22:35Z</dcterms:modified>
</cp:coreProperties>
</file>